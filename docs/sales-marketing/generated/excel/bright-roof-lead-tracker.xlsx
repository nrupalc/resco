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Leads" sheetId="2" state="visible" r:id="rId2"/>
    <sheet xmlns:r="http://schemas.openxmlformats.org/officeDocument/2006/relationships" name="Weekly Review" sheetId="3" state="visible" r:id="rId3"/>
    <sheet xmlns:r="http://schemas.openxmlformats.org/officeDocument/2006/relationships" name="Lists" sheetId="4" state="hidden" r:id="rId4"/>
  </sheets>
  <definedNames>
    <definedName name="_xlnm._FilterDatabase" localSheetId="1" hidden="1">'Leads'!$A$1:$T$51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E1E4D"/>
      <sz val="18"/>
    </font>
    <font>
      <b val="1"/>
      <color rgb="000E1E4D"/>
    </font>
  </fonts>
  <fills count="4">
    <fill>
      <patternFill/>
    </fill>
    <fill>
      <patternFill patternType="gray125"/>
    </fill>
    <fill>
      <patternFill patternType="solid">
        <fgColor rgb="000E1E4D"/>
      </patternFill>
    </fill>
    <fill>
      <patternFill patternType="solid">
        <fgColor rgb="00F5A524"/>
      </patternFill>
    </fill>
  </fills>
  <borders count="2">
    <border>
      <left/>
      <right/>
      <top/>
      <bottom/>
      <diagonal/>
    </border>
    <border>
      <bottom style="thin">
        <color rgb="00E8EBE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FCE8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Lead Count By Stage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'Dashboard'!E4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'Dashboard'!$D$5:$D$19</f>
            </numRef>
          </cat>
          <val>
            <numRef>
              <f>'Dashboard'!$E$5:$E$19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3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19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4" customWidth="1" min="3" max="3"/>
    <col width="34" customWidth="1" min="4" max="4"/>
    <col width="10" customWidth="1" min="5" max="5"/>
    <col width="4" customWidth="1" min="6" max="6"/>
  </cols>
  <sheetData>
    <row r="1">
      <c r="A1" s="1" t="inlineStr">
        <is>
          <t>Bright Roof Sales Dashboard</t>
        </is>
      </c>
      <c r="B1" s="2" t="n"/>
      <c r="C1" s="2" t="n"/>
      <c r="D1" s="2" t="n"/>
      <c r="E1" s="2" t="n"/>
    </row>
    <row r="2">
      <c r="A2" s="2" t="inlineStr">
        <is>
          <t>Use the Leads sheet as the working CRM. Dashboard formulas update from lead stages.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3" t="inlineStr">
        <is>
          <t>Metric</t>
        </is>
      </c>
      <c r="B4" s="3" t="inlineStr">
        <is>
          <t>Value</t>
        </is>
      </c>
      <c r="C4" s="2" t="n"/>
      <c r="D4" s="4" t="inlineStr">
        <is>
          <t>Stage</t>
        </is>
      </c>
      <c r="E4" s="4" t="inlineStr">
        <is>
          <t>Count</t>
        </is>
      </c>
    </row>
    <row r="5">
      <c r="A5" s="2" t="inlineStr">
        <is>
          <t>Total leads</t>
        </is>
      </c>
      <c r="B5" s="2">
        <f>COUNTA(Leads!B2:B200)</f>
        <v/>
      </c>
      <c r="C5" s="2" t="n"/>
      <c r="D5" s="2" t="inlineStr">
        <is>
          <t>Lead identified</t>
        </is>
      </c>
      <c r="E5" s="2">
        <f>COUNTIF(Leads!L:L,D5)</f>
        <v/>
      </c>
    </row>
    <row r="6">
      <c r="A6" s="2" t="inlineStr">
        <is>
          <t>Interested</t>
        </is>
      </c>
      <c r="B6" s="2">
        <f>COUNTIF(Leads!L:L,"Interested")</f>
        <v/>
      </c>
      <c r="C6" s="2" t="n"/>
      <c r="D6" s="2" t="inlineStr">
        <is>
          <t>Contact found</t>
        </is>
      </c>
      <c r="E6" s="2">
        <f>COUNTIF(Leads!L:L,D6)</f>
        <v/>
      </c>
    </row>
    <row r="7">
      <c r="A7" s="2" t="inlineStr">
        <is>
          <t>Committee meetings planned</t>
        </is>
      </c>
      <c r="B7" s="2">
        <f>COUNTIF(Leads!L:L,"Committee meeting planned")</f>
        <v/>
      </c>
      <c r="C7" s="2" t="n"/>
      <c r="D7" s="2" t="inlineStr">
        <is>
          <t>Warm intro requested</t>
        </is>
      </c>
      <c r="E7" s="2">
        <f>COUNTIF(Leads!L:L,D7)</f>
        <v/>
      </c>
    </row>
    <row r="8">
      <c r="A8" s="2" t="inlineStr">
        <is>
          <t>Bills received</t>
        </is>
      </c>
      <c r="B8" s="2">
        <f>COUNTIF(Leads!L:L,"Bills received")</f>
        <v/>
      </c>
      <c r="C8" s="2" t="n"/>
      <c r="D8" s="2" t="inlineStr">
        <is>
          <t>First contact made</t>
        </is>
      </c>
      <c r="E8" s="2">
        <f>COUNTIF(Leads!L:L,D8)</f>
        <v/>
      </c>
    </row>
    <row r="9">
      <c r="A9" s="2" t="inlineStr">
        <is>
          <t>Survey permission granted</t>
        </is>
      </c>
      <c r="B9" s="2">
        <f>COUNTIF(Leads!L:L,"Survey permission granted")</f>
        <v/>
      </c>
      <c r="C9" s="2" t="n"/>
      <c r="D9" s="2" t="inlineStr">
        <is>
          <t>Interested</t>
        </is>
      </c>
      <c r="E9" s="2">
        <f>COUNTIF(Leads!L:L,D9)</f>
        <v/>
      </c>
    </row>
    <row r="10">
      <c r="A10" s="2" t="inlineStr">
        <is>
          <t>Won</t>
        </is>
      </c>
      <c r="B10" s="2">
        <f>COUNTIF(Leads!L:L,"Won")</f>
        <v/>
      </c>
      <c r="C10" s="2" t="n"/>
      <c r="D10" s="2" t="inlineStr">
        <is>
          <t>Committee meeting planned</t>
        </is>
      </c>
      <c r="E10" s="2">
        <f>COUNTIF(Leads!L:L,D10)</f>
        <v/>
      </c>
    </row>
    <row r="11">
      <c r="A11" s="2" t="inlineStr">
        <is>
          <t>Stalled</t>
        </is>
      </c>
      <c r="B11" s="2">
        <f>COUNTIF(Leads!L:L,"Stalled")</f>
        <v/>
      </c>
      <c r="C11" s="2" t="n"/>
      <c r="D11" s="2" t="inlineStr">
        <is>
          <t>Documents requested</t>
        </is>
      </c>
      <c r="E11" s="2">
        <f>COUNTIF(Leads!L:L,D11)</f>
        <v/>
      </c>
    </row>
    <row r="12">
      <c r="A12" s="2" t="n"/>
      <c r="B12" s="2" t="n"/>
      <c r="C12" s="2" t="n"/>
      <c r="D12" s="2" t="inlineStr">
        <is>
          <t>Bills received</t>
        </is>
      </c>
      <c r="E12" s="2">
        <f>COUNTIF(Leads!L:L,D12)</f>
        <v/>
      </c>
    </row>
    <row r="13">
      <c r="A13" s="2" t="n"/>
      <c r="B13" s="2" t="n"/>
      <c r="C13" s="2" t="n"/>
      <c r="D13" s="2" t="inlineStr">
        <is>
          <t>Survey permission requested</t>
        </is>
      </c>
      <c r="E13" s="2">
        <f>COUNTIF(Leads!L:L,D13)</f>
        <v/>
      </c>
    </row>
    <row r="14">
      <c r="A14" s="2" t="n"/>
      <c r="B14" s="2" t="n"/>
      <c r="C14" s="2" t="n"/>
      <c r="D14" s="2" t="inlineStr">
        <is>
          <t>Survey permission granted</t>
        </is>
      </c>
      <c r="E14" s="2">
        <f>COUNTIF(Leads!L:L,D14)</f>
        <v/>
      </c>
    </row>
    <row r="15">
      <c r="A15" s="2" t="n"/>
      <c r="B15" s="2" t="n"/>
      <c r="C15" s="2" t="n"/>
      <c r="D15" s="2" t="inlineStr">
        <is>
          <t>Proposal needed</t>
        </is>
      </c>
      <c r="E15" s="2">
        <f>COUNTIF(Leads!L:L,D15)</f>
        <v/>
      </c>
    </row>
    <row r="16">
      <c r="A16" s="2" t="n"/>
      <c r="B16" s="2" t="n"/>
      <c r="C16" s="2" t="n"/>
      <c r="D16" s="2" t="inlineStr">
        <is>
          <t>PPA review</t>
        </is>
      </c>
      <c r="E16" s="2">
        <f>COUNTIF(Leads!L:L,D16)</f>
        <v/>
      </c>
    </row>
    <row r="17">
      <c r="A17" s="2" t="n"/>
      <c r="B17" s="2" t="n"/>
      <c r="C17" s="2" t="n"/>
      <c r="D17" s="2" t="inlineStr">
        <is>
          <t>Won</t>
        </is>
      </c>
      <c r="E17" s="2">
        <f>COUNTIF(Leads!L:L,D17)</f>
        <v/>
      </c>
    </row>
    <row r="18">
      <c r="A18" s="2" t="n"/>
      <c r="B18" s="2" t="n"/>
      <c r="C18" s="2" t="n"/>
      <c r="D18" s="2" t="inlineStr">
        <is>
          <t>Lost</t>
        </is>
      </c>
      <c r="E18" s="2">
        <f>COUNTIF(Leads!L:L,D18)</f>
        <v/>
      </c>
    </row>
    <row r="19">
      <c r="A19" s="2" t="n"/>
      <c r="B19" s="2" t="n"/>
      <c r="C19" s="2" t="n"/>
      <c r="D19" s="2" t="inlineStr">
        <is>
          <t>Stalled</t>
        </is>
      </c>
      <c r="E19" s="2">
        <f>COUNTIF(Leads!L:L,D19)</f>
        <v/>
      </c>
    </row>
  </sheetData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8" customWidth="1" min="3" max="3"/>
    <col width="14" customWidth="1" min="4" max="4"/>
    <col width="20" customWidth="1" min="5" max="5"/>
    <col width="18" customWidth="1" min="6" max="6"/>
    <col width="18" customWidth="1" min="7" max="7"/>
    <col width="16" customWidth="1" min="8" max="8"/>
    <col width="14" customWidth="1" min="9" max="9"/>
    <col width="18" customWidth="1" min="10" max="10"/>
    <col width="18" customWidth="1" min="11" max="11"/>
    <col width="24" customWidth="1" min="12" max="12"/>
    <col width="16" customWidth="1" min="13" max="13"/>
    <col width="16" customWidth="1" min="14" max="14"/>
    <col width="22" customWidth="1" min="15" max="15"/>
    <col width="22" customWidth="1" min="16" max="16"/>
    <col width="26" customWidth="1" min="17" max="17"/>
    <col width="28" customWidth="1" min="18" max="18"/>
    <col width="18" customWidth="1" min="19" max="19"/>
    <col width="34" customWidth="1" min="20" max="20"/>
  </cols>
  <sheetData>
    <row r="1">
      <c r="A1" s="3" t="inlineStr">
        <is>
          <t>Lead ID</t>
        </is>
      </c>
      <c r="B1" s="3" t="inlineStr">
        <is>
          <t>Society name</t>
        </is>
      </c>
      <c r="C1" s="3" t="inlineStr">
        <is>
          <t>Area/locality</t>
        </is>
      </c>
      <c r="D1" s="3" t="inlineStr">
        <is>
          <t>Approx flat count</t>
        </is>
      </c>
      <c r="E1" s="3" t="inlineStr">
        <is>
          <t>Approx monthly common bill</t>
        </is>
      </c>
      <c r="F1" s="3" t="inlineStr">
        <is>
          <t>Contact person</t>
        </is>
      </c>
      <c r="G1" s="3" t="inlineStr">
        <is>
          <t>Contact role</t>
        </is>
      </c>
      <c r="H1" s="3" t="inlineStr">
        <is>
          <t>Phone</t>
        </is>
      </c>
      <c r="I1" s="3" t="inlineStr">
        <is>
          <t>WhatsApp available</t>
        </is>
      </c>
      <c r="J1" s="3" t="inlineStr">
        <is>
          <t>Warm intro source</t>
        </is>
      </c>
      <c r="K1" s="3" t="inlineStr">
        <is>
          <t>Assigned salesperson</t>
        </is>
      </c>
      <c r="L1" s="3" t="inlineStr">
        <is>
          <t>Stage</t>
        </is>
      </c>
      <c r="M1" s="3" t="inlineStr">
        <is>
          <t>Last contact date</t>
        </is>
      </c>
      <c r="N1" s="3" t="inlineStr">
        <is>
          <t>Next follow-up date</t>
        </is>
      </c>
      <c r="O1" s="3" t="inlineStr">
        <is>
          <t>Documents received</t>
        </is>
      </c>
      <c r="P1" s="3" t="inlineStr">
        <is>
          <t>Rooftop access status</t>
        </is>
      </c>
      <c r="Q1" s="3" t="inlineStr">
        <is>
          <t>Main objection</t>
        </is>
      </c>
      <c r="R1" s="3" t="inlineStr">
        <is>
          <t>Next action</t>
        </is>
      </c>
      <c r="S1" s="3" t="inlineStr">
        <is>
          <t>Next action owner</t>
        </is>
      </c>
      <c r="T1" s="3" t="inlineStr">
        <is>
          <t>Notes</t>
        </is>
      </c>
    </row>
    <row r="2">
      <c r="A2" s="2" t="inlineStr">
        <is>
          <t>BR-HYD-001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</row>
    <row r="3">
      <c r="A3" s="2" t="inlineStr">
        <is>
          <t>BR-HYD-002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</row>
    <row r="4">
      <c r="A4" s="2" t="inlineStr">
        <is>
          <t>BR-HYD-003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</row>
    <row r="5">
      <c r="A5" s="2" t="inlineStr">
        <is>
          <t>BR-HYD-004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</row>
    <row r="6">
      <c r="A6" s="2" t="inlineStr">
        <is>
          <t>BR-HYD-005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</row>
    <row r="7">
      <c r="A7" s="2" t="inlineStr">
        <is>
          <t>BR-HYD-006</t>
        </is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</row>
    <row r="8">
      <c r="A8" s="2" t="inlineStr">
        <is>
          <t>BR-HYD-007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</row>
    <row r="9">
      <c r="A9" s="2" t="inlineStr">
        <is>
          <t>BR-HYD-008</t>
        </is>
      </c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</row>
    <row r="10">
      <c r="A10" s="2" t="inlineStr">
        <is>
          <t>BR-HYD-009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</row>
    <row r="11">
      <c r="A11" s="2" t="inlineStr">
        <is>
          <t>BR-HYD-010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</row>
    <row r="12">
      <c r="A12" s="2" t="inlineStr">
        <is>
          <t>BR-HYD-011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</row>
    <row r="13">
      <c r="A13" s="2" t="inlineStr">
        <is>
          <t>BR-HYD-012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</row>
    <row r="14">
      <c r="A14" s="2" t="inlineStr">
        <is>
          <t>BR-HYD-013</t>
        </is>
      </c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</row>
    <row r="15">
      <c r="A15" s="2" t="inlineStr">
        <is>
          <t>BR-HYD-014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</row>
    <row r="16">
      <c r="A16" s="2" t="inlineStr">
        <is>
          <t>BR-HYD-015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</row>
    <row r="17">
      <c r="A17" s="2" t="inlineStr">
        <is>
          <t>BR-HYD-016</t>
        </is>
      </c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</row>
    <row r="18">
      <c r="A18" s="2" t="inlineStr">
        <is>
          <t>BR-HYD-017</t>
        </is>
      </c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</row>
    <row r="19">
      <c r="A19" s="2" t="inlineStr">
        <is>
          <t>BR-HYD-018</t>
        </is>
      </c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</row>
    <row r="20">
      <c r="A20" s="2" t="inlineStr">
        <is>
          <t>BR-HYD-019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</row>
    <row r="21">
      <c r="A21" s="2" t="inlineStr">
        <is>
          <t>BR-HYD-020</t>
        </is>
      </c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</row>
    <row r="22">
      <c r="A22" s="2" t="inlineStr">
        <is>
          <t>BR-HYD-021</t>
        </is>
      </c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</row>
    <row r="23">
      <c r="A23" s="2" t="inlineStr">
        <is>
          <t>BR-HYD-022</t>
        </is>
      </c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</row>
    <row r="24">
      <c r="A24" s="2" t="inlineStr">
        <is>
          <t>BR-HYD-023</t>
        </is>
      </c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</row>
    <row r="25">
      <c r="A25" s="2" t="inlineStr">
        <is>
          <t>BR-HYD-024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</row>
    <row r="26">
      <c r="A26" s="2" t="inlineStr">
        <is>
          <t>BR-HYD-025</t>
        </is>
      </c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</row>
    <row r="27">
      <c r="A27" s="2" t="inlineStr">
        <is>
          <t>BR-HYD-026</t>
        </is>
      </c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</row>
    <row r="28">
      <c r="A28" s="2" t="inlineStr">
        <is>
          <t>BR-HYD-027</t>
        </is>
      </c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</row>
    <row r="29">
      <c r="A29" s="2" t="inlineStr">
        <is>
          <t>BR-HYD-028</t>
        </is>
      </c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</row>
    <row r="30">
      <c r="A30" s="2" t="inlineStr">
        <is>
          <t>BR-HYD-029</t>
        </is>
      </c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</row>
    <row r="31">
      <c r="A31" s="2" t="inlineStr">
        <is>
          <t>BR-HYD-030</t>
        </is>
      </c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</row>
    <row r="32">
      <c r="A32" s="2" t="inlineStr">
        <is>
          <t>BR-HYD-031</t>
        </is>
      </c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</row>
    <row r="33">
      <c r="A33" s="2" t="inlineStr">
        <is>
          <t>BR-HYD-032</t>
        </is>
      </c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</row>
    <row r="34">
      <c r="A34" s="2" t="inlineStr">
        <is>
          <t>BR-HYD-033</t>
        </is>
      </c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</row>
    <row r="35">
      <c r="A35" s="2" t="inlineStr">
        <is>
          <t>BR-HYD-034</t>
        </is>
      </c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</row>
    <row r="36">
      <c r="A36" s="2" t="inlineStr">
        <is>
          <t>BR-HYD-035</t>
        </is>
      </c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</row>
    <row r="37">
      <c r="A37" s="2" t="inlineStr">
        <is>
          <t>BR-HYD-036</t>
        </is>
      </c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</row>
    <row r="38">
      <c r="A38" s="2" t="inlineStr">
        <is>
          <t>BR-HYD-037</t>
        </is>
      </c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</row>
    <row r="39">
      <c r="A39" s="2" t="inlineStr">
        <is>
          <t>BR-HYD-038</t>
        </is>
      </c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</row>
    <row r="40">
      <c r="A40" s="2" t="inlineStr">
        <is>
          <t>BR-HYD-039</t>
        </is>
      </c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</row>
    <row r="41">
      <c r="A41" s="2" t="inlineStr">
        <is>
          <t>BR-HYD-040</t>
        </is>
      </c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</row>
    <row r="42">
      <c r="A42" s="2" t="inlineStr">
        <is>
          <t>BR-HYD-041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</row>
    <row r="43">
      <c r="A43" s="2" t="inlineStr">
        <is>
          <t>BR-HYD-042</t>
        </is>
      </c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</row>
    <row r="44">
      <c r="A44" s="2" t="inlineStr">
        <is>
          <t>BR-HYD-043</t>
        </is>
      </c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</row>
    <row r="45">
      <c r="A45" s="2" t="inlineStr">
        <is>
          <t>BR-HYD-044</t>
        </is>
      </c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</row>
    <row r="46">
      <c r="A46" s="2" t="inlineStr">
        <is>
          <t>BR-HYD-045</t>
        </is>
      </c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</row>
    <row r="47">
      <c r="A47" s="2" t="inlineStr">
        <is>
          <t>BR-HYD-046</t>
        </is>
      </c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</row>
    <row r="48">
      <c r="A48" s="2" t="inlineStr">
        <is>
          <t>BR-HYD-047</t>
        </is>
      </c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</row>
    <row r="49">
      <c r="A49" s="2" t="inlineStr">
        <is>
          <t>BR-HYD-048</t>
        </is>
      </c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</row>
    <row r="50">
      <c r="A50" s="2" t="inlineStr">
        <is>
          <t>BR-HYD-049</t>
        </is>
      </c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</row>
    <row r="51">
      <c r="A51" s="2" t="inlineStr">
        <is>
          <t>BR-HYD-050</t>
        </is>
      </c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</row>
  </sheetData>
  <autoFilter ref="A1:T51"/>
  <conditionalFormatting sqref="N2:N200">
    <cfRule type="expression" priority="1" dxfId="0">
      <formula>AND($N2&lt;TODAY(),$L2&lt;&gt;"Won",$L2&lt;&gt;"Lost",$L2&lt;&gt;"Stalled",$N2&lt;&gt;"")</formula>
    </cfRule>
  </conditionalFormatting>
  <dataValidations count="2">
    <dataValidation sqref="L2:L200" showDropDown="0" showInputMessage="0" showErrorMessage="0" allowBlank="1" type="list">
      <formula1>=Lists!$A$1:$A$15</formula1>
    </dataValidation>
    <dataValidation sqref="K2:K200 S2:S200" showDropDown="0" showInputMessage="0" showErrorMessage="0" allowBlank="1" type="list">
      <formula1>=Lists!$B$1:$B$4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selection activeCell="A1" sqref="A1"/>
    </sheetView>
  </sheetViews>
  <sheetFormatPr baseColWidth="8" defaultRowHeight="15"/>
  <sheetData>
    <row r="1">
      <c r="A1" s="2" t="inlineStr">
        <is>
          <t>Week of</t>
        </is>
      </c>
      <c r="B1" s="2" t="inlineStr"/>
      <c r="C1" s="2" t="inlineStr">
        <is>
          <t>Attendees</t>
        </is>
      </c>
      <c r="D1" s="2" t="inlineStr">
        <is>
          <t>Srinivas / Vijay / Kalyan / Nrupal</t>
        </is>
      </c>
      <c r="E1" s="2" t="n"/>
    </row>
    <row r="2">
      <c r="A2" s="2" t="n"/>
      <c r="B2" s="2" t="n"/>
      <c r="C2" s="2" t="n"/>
      <c r="D2" s="2" t="n"/>
      <c r="E2" s="2" t="n"/>
    </row>
    <row r="3">
      <c r="A3" s="2" t="inlineStr">
        <is>
          <t>Metric</t>
        </is>
      </c>
      <c r="B3" s="2" t="inlineStr">
        <is>
          <t>Target</t>
        </is>
      </c>
      <c r="C3" s="2" t="inlineStr">
        <is>
          <t>Actual</t>
        </is>
      </c>
      <c r="D3" s="2" t="n"/>
      <c r="E3" s="2" t="n"/>
    </row>
    <row r="4">
      <c r="A4" s="2" t="inlineStr">
        <is>
          <t>New leads added</t>
        </is>
      </c>
      <c r="B4" s="2" t="n">
        <v>8</v>
      </c>
      <c r="C4" s="2" t="inlineStr"/>
      <c r="D4" s="2" t="n"/>
      <c r="E4" s="2" t="n"/>
    </row>
    <row r="5">
      <c r="A5" s="2" t="inlineStr">
        <is>
          <t>New contact persons found</t>
        </is>
      </c>
      <c r="B5" s="2" t="n">
        <v>5</v>
      </c>
      <c r="C5" s="2" t="inlineStr"/>
      <c r="D5" s="2" t="n"/>
      <c r="E5" s="2" t="n"/>
    </row>
    <row r="6">
      <c r="A6" s="2" t="inlineStr">
        <is>
          <t>First conversations</t>
        </is>
      </c>
      <c r="B6" s="2" t="n">
        <v>3</v>
      </c>
      <c r="C6" s="2" t="inlineStr"/>
      <c r="D6" s="2" t="n"/>
      <c r="E6" s="2" t="n"/>
    </row>
    <row r="7">
      <c r="A7" s="2" t="inlineStr">
        <is>
          <t>Committee meetings</t>
        </is>
      </c>
      <c r="B7" s="2" t="n">
        <v>1</v>
      </c>
      <c r="C7" s="2" t="inlineStr"/>
      <c r="D7" s="2" t="n"/>
      <c r="E7" s="2" t="n"/>
    </row>
    <row r="8">
      <c r="A8" s="2" t="inlineStr">
        <is>
          <t>Bill sets requested</t>
        </is>
      </c>
      <c r="B8" s="2" t="n">
        <v>2</v>
      </c>
      <c r="C8" s="2" t="inlineStr"/>
      <c r="D8" s="2" t="n"/>
      <c r="E8" s="2" t="n"/>
    </row>
    <row r="9">
      <c r="A9" s="2" t="inlineStr">
        <is>
          <t>Bills received</t>
        </is>
      </c>
      <c r="B9" s="2" t="n">
        <v>1</v>
      </c>
      <c r="C9" s="2" t="inlineStr"/>
      <c r="D9" s="2" t="n"/>
      <c r="E9" s="2" t="n"/>
    </row>
    <row r="10">
      <c r="A10" s="2" t="inlineStr">
        <is>
          <t>Survey permissions received</t>
        </is>
      </c>
      <c r="B10" s="2" t="inlineStr">
        <is>
          <t>0-1</t>
        </is>
      </c>
      <c r="C10" s="2" t="inlineStr"/>
      <c r="D10" s="2" t="n"/>
      <c r="E10" s="2" t="n"/>
    </row>
    <row r="11">
      <c r="A11" s="2" t="n"/>
      <c r="B11" s="2" t="n"/>
      <c r="C11" s="2" t="n"/>
      <c r="D11" s="2" t="n"/>
      <c r="E11" s="2" t="n"/>
    </row>
    <row r="12">
      <c r="A12" s="2" t="inlineStr">
        <is>
          <t>Lead</t>
        </is>
      </c>
      <c r="B12" s="2" t="inlineStr">
        <is>
          <t>Owner</t>
        </is>
      </c>
      <c r="C12" s="2" t="inlineStr">
        <is>
          <t>Current stage</t>
        </is>
      </c>
      <c r="D12" s="2" t="inlineStr">
        <is>
          <t>Next action</t>
        </is>
      </c>
      <c r="E12" s="2" t="inlineStr">
        <is>
          <t>Due date</t>
        </is>
      </c>
    </row>
    <row r="13">
      <c r="A13" s="2" t="inlineStr"/>
      <c r="B13" s="2" t="inlineStr"/>
      <c r="C13" s="2" t="inlineStr"/>
      <c r="D13" s="2" t="inlineStr"/>
      <c r="E13" s="2" t="inlineStr"/>
    </row>
    <row r="14">
      <c r="A14" s="2" t="inlineStr"/>
      <c r="B14" s="2" t="inlineStr"/>
      <c r="C14" s="2" t="inlineStr"/>
      <c r="D14" s="2" t="inlineStr"/>
      <c r="E14" s="2" t="inlineStr"/>
    </row>
    <row r="15">
      <c r="A15" s="2" t="inlineStr"/>
      <c r="B15" s="2" t="inlineStr"/>
      <c r="C15" s="2" t="inlineStr"/>
      <c r="D15" s="2" t="inlineStr"/>
      <c r="E15" s="2" t="inlineStr"/>
    </row>
    <row r="16">
      <c r="A16" s="2" t="inlineStr"/>
      <c r="B16" s="2" t="inlineStr"/>
      <c r="C16" s="2" t="inlineStr"/>
      <c r="D16" s="2" t="inlineStr"/>
      <c r="E16" s="2" t="inlineStr"/>
    </row>
    <row r="17">
      <c r="A17" s="2" t="inlineStr"/>
      <c r="B17" s="2" t="inlineStr"/>
      <c r="C17" s="2" t="inlineStr"/>
      <c r="D17" s="2" t="inlineStr"/>
      <c r="E17" s="2" t="inlineStr"/>
    </row>
    <row r="18">
      <c r="A18" s="2" t="inlineStr"/>
      <c r="B18" s="2" t="inlineStr"/>
      <c r="C18" s="2" t="inlineStr"/>
      <c r="D18" s="2" t="inlineStr"/>
      <c r="E18" s="2" t="inlineStr"/>
    </row>
    <row r="19">
      <c r="A19" s="2" t="inlineStr"/>
      <c r="B19" s="2" t="inlineStr"/>
      <c r="C19" s="2" t="inlineStr"/>
      <c r="D19" s="2" t="inlineStr"/>
      <c r="E19" s="2" t="inlineStr"/>
    </row>
    <row r="20">
      <c r="A20" s="2" t="inlineStr"/>
      <c r="B20" s="2" t="inlineStr"/>
      <c r="C20" s="2" t="inlineStr"/>
      <c r="D20" s="2" t="inlineStr"/>
      <c r="E20" s="2" t="inlineStr"/>
    </row>
    <row r="21">
      <c r="A21" s="2" t="inlineStr"/>
      <c r="B21" s="2" t="inlineStr"/>
      <c r="C21" s="2" t="inlineStr"/>
      <c r="D21" s="2" t="inlineStr"/>
      <c r="E21" s="2" t="inlineStr"/>
    </row>
    <row r="22">
      <c r="A22" s="2" t="inlineStr"/>
      <c r="B22" s="2" t="inlineStr"/>
      <c r="C22" s="2" t="inlineStr"/>
      <c r="D22" s="2" t="inlineStr"/>
      <c r="E22" s="2" t="inlineStr"/>
    </row>
    <row r="23">
      <c r="A23" s="2" t="inlineStr"/>
      <c r="B23" s="2" t="inlineStr"/>
      <c r="C23" s="2" t="inlineStr"/>
      <c r="D23" s="2" t="inlineStr"/>
      <c r="E23" s="2" t="inlineStr"/>
    </row>
    <row r="24">
      <c r="A24" s="2" t="inlineStr"/>
      <c r="B24" s="2" t="inlineStr"/>
      <c r="C24" s="2" t="inlineStr"/>
      <c r="D24" s="2" t="inlineStr"/>
      <c r="E24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Lead identified</t>
        </is>
      </c>
      <c r="B1" t="inlineStr">
        <is>
          <t>Srinivas</t>
        </is>
      </c>
    </row>
    <row r="2">
      <c r="A2" t="inlineStr">
        <is>
          <t>Contact found</t>
        </is>
      </c>
      <c r="B2" t="inlineStr">
        <is>
          <t>Vijay</t>
        </is>
      </c>
    </row>
    <row r="3">
      <c r="A3" t="inlineStr">
        <is>
          <t>Warm intro requested</t>
        </is>
      </c>
      <c r="B3" t="inlineStr">
        <is>
          <t>Kalyan</t>
        </is>
      </c>
    </row>
    <row r="4">
      <c r="A4" t="inlineStr">
        <is>
          <t>First contact made</t>
        </is>
      </c>
      <c r="B4" t="inlineStr">
        <is>
          <t>Nrupal</t>
        </is>
      </c>
    </row>
    <row r="5">
      <c r="A5" t="inlineStr">
        <is>
          <t>Interested</t>
        </is>
      </c>
    </row>
    <row r="6">
      <c r="A6" t="inlineStr">
        <is>
          <t>Committee meeting planned</t>
        </is>
      </c>
    </row>
    <row r="7">
      <c r="A7" t="inlineStr">
        <is>
          <t>Documents requested</t>
        </is>
      </c>
    </row>
    <row r="8">
      <c r="A8" t="inlineStr">
        <is>
          <t>Bills received</t>
        </is>
      </c>
    </row>
    <row r="9">
      <c r="A9" t="inlineStr">
        <is>
          <t>Survey permission requested</t>
        </is>
      </c>
    </row>
    <row r="10">
      <c r="A10" t="inlineStr">
        <is>
          <t>Survey permission granted</t>
        </is>
      </c>
    </row>
    <row r="11">
      <c r="A11" t="inlineStr">
        <is>
          <t>Proposal needed</t>
        </is>
      </c>
    </row>
    <row r="12">
      <c r="A12" t="inlineStr">
        <is>
          <t>PPA review</t>
        </is>
      </c>
    </row>
    <row r="13">
      <c r="A13" t="inlineStr">
        <is>
          <t>Won</t>
        </is>
      </c>
    </row>
    <row r="14">
      <c r="A14" t="inlineStr">
        <is>
          <t>Lost</t>
        </is>
      </c>
    </row>
    <row r="15">
      <c r="A15" t="inlineStr">
        <is>
          <t>Stalled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2026-05-31T03:42:40Z</dcterms:created>
  <dcterms:modified xmlns:dcterms="http://purl.org/dc/terms/" xmlns:xsi="http://www.w3.org/2001/XMLSchema-instance" xsi:type="dcterms:W3CDTF">2026-05-31T03:42:40Z</dcterms:modified>
</cp:coreProperties>
</file>