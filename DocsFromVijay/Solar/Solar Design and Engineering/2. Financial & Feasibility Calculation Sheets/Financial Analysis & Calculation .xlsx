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from chat GPT\Solar design and Engineering\2. Financial &amp; Feasibility Calculation Sheets\"/>
    </mc:Choice>
  </mc:AlternateContent>
  <xr:revisionPtr revIDLastSave="0" documentId="13_ncr:1_{C6356481-8193-470C-A659-F1A490F6C4B6}" xr6:coauthVersionLast="47" xr6:coauthVersionMax="47" xr10:uidLastSave="{00000000-0000-0000-0000-000000000000}"/>
  <bookViews>
    <workbookView xWindow="-108" yWindow="-108" windowWidth="23256" windowHeight="12456" xr2:uid="{6F5A8912-AF42-43EA-99A4-4B0F0E5C16AE}"/>
  </bookViews>
  <sheets>
    <sheet name="FINANCIAL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F10" i="1"/>
  <c r="F8" i="1"/>
  <c r="R35" i="1"/>
  <c r="R37" i="1" s="1"/>
  <c r="R38" i="1" s="1"/>
  <c r="R29" i="1"/>
  <c r="T19" i="1"/>
  <c r="F20" i="1" s="1"/>
  <c r="F14" i="1" l="1"/>
  <c r="F16" i="1"/>
  <c r="F18" i="1"/>
</calcChain>
</file>

<file path=xl/sharedStrings.xml><?xml version="1.0" encoding="utf-8"?>
<sst xmlns="http://schemas.openxmlformats.org/spreadsheetml/2006/main" count="68" uniqueCount="65">
  <si>
    <t>Email: contact@flasysdesign.com</t>
  </si>
  <si>
    <t>https://www.flasysdesign.com/</t>
  </si>
  <si>
    <t xml:space="preserve"> </t>
  </si>
  <si>
    <t>Total Project Cost Estimation</t>
  </si>
  <si>
    <t>DESCRIPTION</t>
  </si>
  <si>
    <t>VALUE (INR)</t>
  </si>
  <si>
    <t>Solar Panels</t>
  </si>
  <si>
    <t>Inverters</t>
  </si>
  <si>
    <t>Mounting Structure</t>
  </si>
  <si>
    <t>Electrical Components</t>
  </si>
  <si>
    <t>Civil Work</t>
  </si>
  <si>
    <t>Installation &amp; Labor</t>
  </si>
  <si>
    <t>Permitting &amp; Licensing</t>
  </si>
  <si>
    <t>Monitoring System</t>
  </si>
  <si>
    <t>Land Cost (if applicable)</t>
  </si>
  <si>
    <t>Miscellaneous</t>
  </si>
  <si>
    <t>Racking &amp; tracking system</t>
  </si>
  <si>
    <t>Cables, Junction Boxes, Breakers, etc.</t>
  </si>
  <si>
    <t>Foundation, Site Prep, Fencing</t>
  </si>
  <si>
    <t>Engineering &amp; Construction</t>
  </si>
  <si>
    <t>Regulatory approvals</t>
  </si>
  <si>
    <t>SCADA &amp; Data Acquisition</t>
  </si>
  <si>
    <t>Cost of land for ground-mounted plants</t>
  </si>
  <si>
    <t>Other expenses</t>
  </si>
  <si>
    <t>Monocrystalline/Bifacial</t>
  </si>
  <si>
    <t>On-Grid</t>
  </si>
  <si>
    <t>Total Cost</t>
  </si>
  <si>
    <t>Sum of all above</t>
  </si>
  <si>
    <t>COMPONENT</t>
  </si>
  <si>
    <t>Subsidy &amp; Incentive Calculation</t>
  </si>
  <si>
    <t>INCENTIVE TYPE</t>
  </si>
  <si>
    <t>Federal Tax Credit</t>
  </si>
  <si>
    <t>State Incentives</t>
  </si>
  <si>
    <t>Depreciation Benefits</t>
  </si>
  <si>
    <t>Monthly Energy Consumption (kWh)</t>
  </si>
  <si>
    <t>Grid Electricity Tariff (INR/kWh)</t>
  </si>
  <si>
    <t>Monthly Electricity Bill (INR)</t>
  </si>
  <si>
    <t>Annual Savings (INR)</t>
  </si>
  <si>
    <t>Financial Analysis &amp; Calculation Sheet for Solar Power Plants</t>
  </si>
  <si>
    <t xml:space="preserve">	P_Installed = Installed Solar Capacity (kW):</t>
  </si>
  <si>
    <t xml:space="preserve">	H_Peak = Peak Sun Hours per Year:</t>
  </si>
  <si>
    <t xml:space="preserve">	PR = Performance Ratio (typically 75%-85%):</t>
  </si>
  <si>
    <t xml:space="preserve">	Tariff = Electricity Rate per kWh (INR/kWh):</t>
  </si>
  <si>
    <t>O&amp;M Cost over Lifetime:</t>
  </si>
  <si>
    <t>Annual Energy Generation (kWh)</t>
  </si>
  <si>
    <t>Annual Cost Savings (INR)</t>
  </si>
  <si>
    <t>PARAMETER</t>
  </si>
  <si>
    <t>BEFORE SOLAR</t>
  </si>
  <si>
    <t>AFTER SOLAR</t>
  </si>
  <si>
    <t>Tax savings on asset depreciation</t>
  </si>
  <si>
    <t>Revenue from excess energy fed to grid</t>
  </si>
  <si>
    <t>Net Metering Benefits</t>
  </si>
  <si>
    <t>Rebates per kW installed</t>
  </si>
  <si>
    <t>% deduction from project cost</t>
  </si>
  <si>
    <t>Payback Period (Years)</t>
  </si>
  <si>
    <t xml:space="preserve">Levelized Cost of Energy (LCOE) </t>
  </si>
  <si>
    <t>Net Investment</t>
  </si>
  <si>
    <t>Total Savings</t>
  </si>
  <si>
    <t>ROI (%)</t>
  </si>
  <si>
    <t>Savings from Solar per month (INR)</t>
  </si>
  <si>
    <t>Net Monthly Bill including fix charge (INR)</t>
  </si>
  <si>
    <t>FINANCIAL ANALYSIS</t>
  </si>
  <si>
    <t>Energy Tariff Savings Analysis</t>
  </si>
  <si>
    <t>This financial analysis provides a structured method to evaluate the economic feasibility of solar power plants. It enables investors and developers to make informed decisions based on project costs, savings, and financial returns.</t>
  </si>
  <si>
    <t>System Lifetime (Years):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</si>
</sst>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7E2B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1" applyFill="1"/>
    <xf numFmtId="0" fontId="7" fillId="5" borderId="29" xfId="0" applyFont="1" applyFill="1" applyBorder="1" applyAlignment="1">
      <alignment vertical="center" wrapText="1"/>
    </xf>
    <xf numFmtId="0" fontId="0" fillId="3" borderId="0" xfId="0" applyFill="1"/>
    <xf numFmtId="0" fontId="8" fillId="3" borderId="0" xfId="0" applyFont="1" applyFill="1" applyAlignment="1">
      <alignment horizontal="center" vertical="center"/>
    </xf>
    <xf numFmtId="20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0" fillId="9" borderId="0" xfId="0" applyFill="1"/>
    <xf numFmtId="0" fontId="8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vertical="center"/>
    </xf>
    <xf numFmtId="20" fontId="8" fillId="9" borderId="0" xfId="0" applyNumberFormat="1" applyFont="1" applyFill="1" applyAlignment="1">
      <alignment horizontal="center" vertical="center"/>
    </xf>
    <xf numFmtId="0" fontId="7" fillId="7" borderId="29" xfId="0" applyFont="1" applyFill="1" applyBorder="1" applyAlignment="1">
      <alignment vertical="center" wrapText="1"/>
    </xf>
    <xf numFmtId="0" fontId="0" fillId="9" borderId="18" xfId="0" applyFill="1" applyBorder="1"/>
    <xf numFmtId="0" fontId="0" fillId="9" borderId="19" xfId="0" applyFill="1" applyBorder="1"/>
    <xf numFmtId="0" fontId="8" fillId="9" borderId="18" xfId="0" applyFont="1" applyFill="1" applyBorder="1"/>
    <xf numFmtId="0" fontId="8" fillId="9" borderId="19" xfId="0" applyFont="1" applyFill="1" applyBorder="1"/>
    <xf numFmtId="0" fontId="7" fillId="9" borderId="18" xfId="0" applyFont="1" applyFill="1" applyBorder="1" applyAlignment="1">
      <alignment vertical="center"/>
    </xf>
    <xf numFmtId="0" fontId="7" fillId="9" borderId="19" xfId="0" applyFont="1" applyFill="1" applyBorder="1" applyAlignment="1">
      <alignment vertical="center"/>
    </xf>
    <xf numFmtId="0" fontId="8" fillId="9" borderId="18" xfId="0" applyFont="1" applyFill="1" applyBorder="1" applyAlignment="1">
      <alignment horizontal="center" vertical="center"/>
    </xf>
    <xf numFmtId="0" fontId="8" fillId="9" borderId="19" xfId="0" applyFont="1" applyFill="1" applyBorder="1" applyAlignment="1">
      <alignment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/>
    <xf numFmtId="2" fontId="7" fillId="3" borderId="19" xfId="0" applyNumberFormat="1" applyFont="1" applyFill="1" applyBorder="1" applyAlignment="1">
      <alignment vertical="center"/>
    </xf>
    <xf numFmtId="0" fontId="7" fillId="3" borderId="19" xfId="0" applyFont="1" applyFill="1" applyBorder="1" applyAlignment="1">
      <alignment vertical="center"/>
    </xf>
    <xf numFmtId="0" fontId="0" fillId="3" borderId="18" xfId="0" applyFill="1" applyBorder="1"/>
    <xf numFmtId="0" fontId="0" fillId="3" borderId="19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8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20" fontId="8" fillId="3" borderId="25" xfId="0" applyNumberFormat="1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8" fillId="6" borderId="24" xfId="0" applyFont="1" applyFill="1" applyBorder="1" applyAlignment="1">
      <alignment vertical="center" wrapText="1"/>
    </xf>
    <xf numFmtId="0" fontId="8" fillId="6" borderId="33" xfId="0" applyFont="1" applyFill="1" applyBorder="1" applyAlignment="1">
      <alignment vertical="center" wrapText="1"/>
    </xf>
    <xf numFmtId="0" fontId="8" fillId="6" borderId="18" xfId="0" applyFont="1" applyFill="1" applyBorder="1" applyAlignment="1">
      <alignment vertical="center" wrapText="1"/>
    </xf>
    <xf numFmtId="0" fontId="8" fillId="6" borderId="19" xfId="0" applyFont="1" applyFill="1" applyBorder="1" applyAlignment="1">
      <alignment vertical="center" wrapText="1"/>
    </xf>
    <xf numFmtId="0" fontId="8" fillId="6" borderId="21" xfId="0" applyFont="1" applyFill="1" applyBorder="1" applyAlignment="1">
      <alignment vertical="center" wrapText="1"/>
    </xf>
    <xf numFmtId="0" fontId="8" fillId="6" borderId="23" xfId="0" applyFont="1" applyFill="1" applyBorder="1" applyAlignment="1">
      <alignment vertical="center" wrapText="1"/>
    </xf>
    <xf numFmtId="0" fontId="8" fillId="6" borderId="25" xfId="0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8" fillId="6" borderId="22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2" fontId="5" fillId="7" borderId="1" xfId="0" applyNumberFormat="1" applyFont="1" applyFill="1" applyBorder="1" applyAlignment="1">
      <alignment horizontal="center" vertical="center"/>
    </xf>
    <xf numFmtId="2" fontId="5" fillId="7" borderId="3" xfId="0" applyNumberFormat="1" applyFont="1" applyFill="1" applyBorder="1" applyAlignment="1">
      <alignment horizontal="center" vertical="center"/>
    </xf>
    <xf numFmtId="2" fontId="5" fillId="7" borderId="2" xfId="0" applyNumberFormat="1" applyFont="1" applyFill="1" applyBorder="1" applyAlignment="1">
      <alignment horizontal="center" vertical="center"/>
    </xf>
    <xf numFmtId="2" fontId="5" fillId="7" borderId="4" xfId="0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5" fillId="9" borderId="32" xfId="0" applyFont="1" applyFill="1" applyBorder="1" applyAlignment="1">
      <alignment horizontal="left" vertical="center"/>
    </xf>
    <xf numFmtId="0" fontId="7" fillId="7" borderId="27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5" fillId="7" borderId="32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32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2" fontId="5" fillId="7" borderId="8" xfId="0" applyNumberFormat="1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34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left" vertical="center" wrapText="1"/>
    </xf>
    <xf numFmtId="0" fontId="8" fillId="7" borderId="30" xfId="0" applyFont="1" applyFill="1" applyBorder="1" applyAlignment="1">
      <alignment horizontal="left" vertical="center" wrapText="1"/>
    </xf>
    <xf numFmtId="0" fontId="8" fillId="5" borderId="30" xfId="0" applyFont="1" applyFill="1" applyBorder="1" applyAlignment="1">
      <alignment horizontal="center" vertical="center" wrapText="1"/>
    </xf>
    <xf numFmtId="2" fontId="8" fillId="5" borderId="11" xfId="0" applyNumberFormat="1" applyFont="1" applyFill="1" applyBorder="1" applyAlignment="1">
      <alignment horizontal="center" vertical="center" wrapText="1"/>
    </xf>
    <xf numFmtId="2" fontId="8" fillId="5" borderId="12" xfId="0" applyNumberFormat="1" applyFont="1" applyFill="1" applyBorder="1" applyAlignment="1">
      <alignment horizontal="center" vertical="center" wrapText="1"/>
    </xf>
    <xf numFmtId="2" fontId="8" fillId="5" borderId="34" xfId="0" applyNumberFormat="1" applyFont="1" applyFill="1" applyBorder="1" applyAlignment="1">
      <alignment horizontal="center" vertical="center" wrapText="1"/>
    </xf>
    <xf numFmtId="0" fontId="5" fillId="7" borderId="27" xfId="0" applyFont="1" applyFill="1" applyBorder="1" applyAlignment="1">
      <alignment horizontal="center" vertical="center" wrapText="1"/>
    </xf>
    <xf numFmtId="0" fontId="5" fillId="7" borderId="28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5" fillId="8" borderId="32" xfId="0" applyFont="1" applyFill="1" applyBorder="1" applyAlignment="1">
      <alignment horizontal="left" vertical="center" wrapText="1"/>
    </xf>
    <xf numFmtId="0" fontId="6" fillId="6" borderId="15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8" borderId="32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vertical="center" wrapText="1"/>
    </xf>
    <xf numFmtId="0" fontId="8" fillId="5" borderId="11" xfId="0" applyFont="1" applyFill="1" applyBorder="1" applyAlignment="1">
      <alignment horizontal="left" vertical="center" wrapText="1"/>
    </xf>
    <xf numFmtId="0" fontId="5" fillId="8" borderId="7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0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6" borderId="33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7E2B2"/>
      <color rgb="FFD1E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594360</xdr:colOff>
      <xdr:row>4</xdr:row>
      <xdr:rowOff>60960</xdr:rowOff>
    </xdr:from>
    <xdr:to>
      <xdr:col>23</xdr:col>
      <xdr:colOff>556188</xdr:colOff>
      <xdr:row>6</xdr:row>
      <xdr:rowOff>52443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B8663A-2218-4B02-A537-EAA6099B3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4920" y="815340"/>
          <a:ext cx="1181028" cy="358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266B-11CA-4DE1-B0DE-897313F27FF3}">
  <dimension ref="B2:Y47"/>
  <sheetViews>
    <sheetView tabSelected="1" zoomScale="70" zoomScaleNormal="70" workbookViewId="0">
      <selection activeCell="Z58" sqref="Z58"/>
    </sheetView>
  </sheetViews>
  <sheetFormatPr defaultRowHeight="14.4" x14ac:dyDescent="0.3"/>
  <cols>
    <col min="1" max="1" width="5.109375" style="1" customWidth="1"/>
    <col min="2" max="2" width="3.33203125" style="1" customWidth="1"/>
    <col min="3" max="3" width="14.77734375" style="1" customWidth="1"/>
    <col min="4" max="4" width="12.33203125" style="1" customWidth="1"/>
    <col min="5" max="5" width="11.5546875" style="1" customWidth="1"/>
    <col min="6" max="6" width="10.33203125" style="1" customWidth="1"/>
    <col min="7" max="7" width="9.77734375" style="1" customWidth="1"/>
    <col min="8" max="8" width="4" style="1" customWidth="1"/>
    <col min="9" max="9" width="4.5546875" style="1" customWidth="1"/>
    <col min="10" max="10" width="9.77734375" style="1" customWidth="1"/>
    <col min="11" max="11" width="13.109375" style="1" customWidth="1"/>
    <col min="12" max="12" width="12.21875" style="1" customWidth="1"/>
    <col min="13" max="13" width="9.21875" style="1" customWidth="1"/>
    <col min="14" max="14" width="11.77734375" style="1" customWidth="1"/>
    <col min="15" max="15" width="9.21875" style="1" customWidth="1"/>
    <col min="16" max="16" width="12.33203125" style="1" customWidth="1"/>
    <col min="17" max="17" width="9.77734375" style="1" customWidth="1"/>
    <col min="18" max="18" width="10.109375" style="1" customWidth="1"/>
    <col min="19" max="19" width="10.6640625" style="1" bestFit="1" customWidth="1"/>
    <col min="20" max="20" width="11.88671875" style="1" customWidth="1"/>
    <col min="21" max="21" width="6" style="1" customWidth="1"/>
    <col min="22" max="16384" width="8.88671875" style="1"/>
  </cols>
  <sheetData>
    <row r="2" spans="2:25" ht="14.4" customHeight="1" x14ac:dyDescent="0.3">
      <c r="B2" s="132" t="s">
        <v>38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4"/>
    </row>
    <row r="3" spans="2:25" ht="15" customHeight="1" x14ac:dyDescent="0.3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7"/>
    </row>
    <row r="4" spans="2:25" ht="15" customHeight="1" thickBot="1" x14ac:dyDescent="0.35">
      <c r="B4" s="2"/>
      <c r="C4" s="2"/>
      <c r="D4" s="2"/>
      <c r="E4" s="2"/>
      <c r="F4" s="2"/>
      <c r="G4" s="2"/>
      <c r="H4" s="2"/>
    </row>
    <row r="5" spans="2:25" ht="15" customHeight="1" thickTop="1" x14ac:dyDescent="0.3">
      <c r="B5" s="138" t="s">
        <v>61</v>
      </c>
      <c r="C5" s="139"/>
      <c r="D5" s="139"/>
      <c r="E5" s="139"/>
      <c r="F5" s="139"/>
      <c r="G5" s="139"/>
      <c r="H5" s="140"/>
      <c r="I5" s="117" t="s">
        <v>3</v>
      </c>
      <c r="J5" s="118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20"/>
      <c r="Y5" s="3" t="s">
        <v>1</v>
      </c>
    </row>
    <row r="6" spans="2:25" x14ac:dyDescent="0.3">
      <c r="B6" s="141"/>
      <c r="C6" s="142"/>
      <c r="D6" s="142"/>
      <c r="E6" s="142"/>
      <c r="F6" s="142"/>
      <c r="G6" s="142"/>
      <c r="H6" s="143"/>
      <c r="I6" s="96"/>
      <c r="J6" s="97"/>
      <c r="K6" s="98"/>
      <c r="L6" s="98"/>
      <c r="M6" s="98"/>
      <c r="N6" s="98"/>
      <c r="O6" s="98"/>
      <c r="P6" s="98"/>
      <c r="Q6" s="98"/>
      <c r="R6" s="98"/>
      <c r="S6" s="98"/>
      <c r="T6" s="98"/>
      <c r="U6" s="99"/>
      <c r="Y6" s="1" t="s">
        <v>0</v>
      </c>
    </row>
    <row r="7" spans="2:25" ht="14.4" customHeight="1" x14ac:dyDescent="0.3">
      <c r="B7" s="14"/>
      <c r="C7" s="9"/>
      <c r="D7" s="9"/>
      <c r="E7" s="9"/>
      <c r="F7" s="9"/>
      <c r="G7" s="9"/>
      <c r="H7" s="15"/>
      <c r="I7" s="130" t="s">
        <v>28</v>
      </c>
      <c r="J7" s="123"/>
      <c r="K7" s="123"/>
      <c r="L7" s="123"/>
      <c r="M7" s="124"/>
      <c r="N7" s="122" t="s">
        <v>4</v>
      </c>
      <c r="O7" s="123"/>
      <c r="P7" s="123"/>
      <c r="Q7" s="123"/>
      <c r="R7" s="123"/>
      <c r="S7" s="124"/>
      <c r="T7" s="122" t="s">
        <v>5</v>
      </c>
      <c r="U7" s="128"/>
    </row>
    <row r="8" spans="2:25" ht="14.4" customHeight="1" x14ac:dyDescent="0.3">
      <c r="B8" s="16"/>
      <c r="C8" s="58" t="s">
        <v>44</v>
      </c>
      <c r="D8" s="58"/>
      <c r="E8" s="58"/>
      <c r="F8" s="74">
        <f>365*G27*G30*G33/100</f>
        <v>4352.625</v>
      </c>
      <c r="G8" s="74"/>
      <c r="H8" s="17"/>
      <c r="I8" s="131"/>
      <c r="J8" s="126"/>
      <c r="K8" s="126"/>
      <c r="L8" s="126"/>
      <c r="M8" s="127"/>
      <c r="N8" s="125"/>
      <c r="O8" s="126"/>
      <c r="P8" s="126"/>
      <c r="Q8" s="126"/>
      <c r="R8" s="126"/>
      <c r="S8" s="127"/>
      <c r="T8" s="125"/>
      <c r="U8" s="129"/>
    </row>
    <row r="9" spans="2:25" ht="14.4" customHeight="1" x14ac:dyDescent="0.3">
      <c r="B9" s="16"/>
      <c r="C9" s="58"/>
      <c r="D9" s="58"/>
      <c r="E9" s="58"/>
      <c r="F9" s="74"/>
      <c r="G9" s="74"/>
      <c r="H9" s="17"/>
      <c r="I9" s="4"/>
      <c r="J9" s="108" t="s">
        <v>6</v>
      </c>
      <c r="K9" s="108"/>
      <c r="L9" s="108"/>
      <c r="M9" s="109"/>
      <c r="N9" s="110" t="s">
        <v>24</v>
      </c>
      <c r="O9" s="108"/>
      <c r="P9" s="108"/>
      <c r="Q9" s="108"/>
      <c r="R9" s="108"/>
      <c r="S9" s="109"/>
      <c r="T9" s="75">
        <v>180000</v>
      </c>
      <c r="U9" s="77"/>
    </row>
    <row r="10" spans="2:25" ht="15" customHeight="1" x14ac:dyDescent="0.3">
      <c r="B10" s="16"/>
      <c r="C10" s="58" t="s">
        <v>45</v>
      </c>
      <c r="D10" s="58"/>
      <c r="E10" s="58"/>
      <c r="F10" s="74">
        <f>F8*G36</f>
        <v>29815.481249999997</v>
      </c>
      <c r="G10" s="74"/>
      <c r="H10" s="17"/>
      <c r="I10" s="4"/>
      <c r="J10" s="108" t="s">
        <v>7</v>
      </c>
      <c r="K10" s="108"/>
      <c r="L10" s="108"/>
      <c r="M10" s="109"/>
      <c r="N10" s="110" t="s">
        <v>25</v>
      </c>
      <c r="O10" s="108"/>
      <c r="P10" s="108"/>
      <c r="Q10" s="108"/>
      <c r="R10" s="108"/>
      <c r="S10" s="109"/>
      <c r="T10" s="75"/>
      <c r="U10" s="77"/>
    </row>
    <row r="11" spans="2:25" ht="14.4" customHeight="1" x14ac:dyDescent="0.3">
      <c r="B11" s="16"/>
      <c r="C11" s="58"/>
      <c r="D11" s="58"/>
      <c r="E11" s="58"/>
      <c r="F11" s="74"/>
      <c r="G11" s="74"/>
      <c r="H11" s="17"/>
      <c r="I11" s="4"/>
      <c r="J11" s="108" t="s">
        <v>8</v>
      </c>
      <c r="K11" s="108"/>
      <c r="L11" s="108"/>
      <c r="M11" s="109"/>
      <c r="N11" s="110" t="s">
        <v>16</v>
      </c>
      <c r="O11" s="108"/>
      <c r="P11" s="108"/>
      <c r="Q11" s="108"/>
      <c r="R11" s="108"/>
      <c r="S11" s="109"/>
      <c r="T11" s="75"/>
      <c r="U11" s="77"/>
    </row>
    <row r="12" spans="2:25" ht="15" customHeight="1" x14ac:dyDescent="0.3">
      <c r="B12" s="16"/>
      <c r="C12" s="58" t="s">
        <v>57</v>
      </c>
      <c r="D12" s="58"/>
      <c r="E12" s="59"/>
      <c r="F12" s="54">
        <f>F10*G39</f>
        <v>298154.8125</v>
      </c>
      <c r="G12" s="55"/>
      <c r="H12" s="17"/>
      <c r="I12" s="4"/>
      <c r="J12" s="108" t="s">
        <v>9</v>
      </c>
      <c r="K12" s="108"/>
      <c r="L12" s="108"/>
      <c r="M12" s="109"/>
      <c r="N12" s="110" t="s">
        <v>17</v>
      </c>
      <c r="O12" s="108"/>
      <c r="P12" s="108"/>
      <c r="Q12" s="108"/>
      <c r="R12" s="108"/>
      <c r="S12" s="109"/>
      <c r="T12" s="75"/>
      <c r="U12" s="77"/>
    </row>
    <row r="13" spans="2:25" ht="14.4" customHeight="1" x14ac:dyDescent="0.3">
      <c r="B13" s="16"/>
      <c r="C13" s="58"/>
      <c r="D13" s="58"/>
      <c r="E13" s="59"/>
      <c r="F13" s="56"/>
      <c r="G13" s="57"/>
      <c r="H13" s="17"/>
      <c r="I13" s="4"/>
      <c r="J13" s="108" t="s">
        <v>10</v>
      </c>
      <c r="K13" s="108"/>
      <c r="L13" s="108"/>
      <c r="M13" s="109"/>
      <c r="N13" s="110" t="s">
        <v>18</v>
      </c>
      <c r="O13" s="108"/>
      <c r="P13" s="108"/>
      <c r="Q13" s="108"/>
      <c r="R13" s="108"/>
      <c r="S13" s="109"/>
      <c r="T13" s="75"/>
      <c r="U13" s="77"/>
    </row>
    <row r="14" spans="2:25" ht="15.6" x14ac:dyDescent="0.3">
      <c r="B14" s="18"/>
      <c r="C14" s="58" t="s">
        <v>58</v>
      </c>
      <c r="D14" s="58"/>
      <c r="E14" s="58"/>
      <c r="F14" s="74">
        <f>(F12-T19)*100/T19</f>
        <v>65.641562500000006</v>
      </c>
      <c r="G14" s="74"/>
      <c r="H14" s="19"/>
      <c r="I14" s="4"/>
      <c r="J14" s="108" t="s">
        <v>11</v>
      </c>
      <c r="K14" s="108"/>
      <c r="L14" s="108"/>
      <c r="M14" s="109"/>
      <c r="N14" s="110" t="s">
        <v>19</v>
      </c>
      <c r="O14" s="108"/>
      <c r="P14" s="108"/>
      <c r="Q14" s="108"/>
      <c r="R14" s="108"/>
      <c r="S14" s="109"/>
      <c r="T14" s="75"/>
      <c r="U14" s="77"/>
    </row>
    <row r="15" spans="2:25" ht="14.4" customHeight="1" x14ac:dyDescent="0.3">
      <c r="B15" s="18"/>
      <c r="C15" s="58"/>
      <c r="D15" s="58"/>
      <c r="E15" s="58"/>
      <c r="F15" s="74"/>
      <c r="G15" s="74"/>
      <c r="H15" s="19"/>
      <c r="I15" s="4"/>
      <c r="J15" s="108" t="s">
        <v>12</v>
      </c>
      <c r="K15" s="108"/>
      <c r="L15" s="108"/>
      <c r="M15" s="109"/>
      <c r="N15" s="110" t="s">
        <v>20</v>
      </c>
      <c r="O15" s="108"/>
      <c r="P15" s="108"/>
      <c r="Q15" s="108"/>
      <c r="R15" s="108"/>
      <c r="S15" s="109"/>
      <c r="T15" s="75"/>
      <c r="U15" s="77"/>
    </row>
    <row r="16" spans="2:25" ht="14.4" customHeight="1" x14ac:dyDescent="0.3">
      <c r="B16" s="18"/>
      <c r="C16" s="58" t="s">
        <v>54</v>
      </c>
      <c r="D16" s="58"/>
      <c r="E16" s="58"/>
      <c r="F16" s="74">
        <f>T19/F10</f>
        <v>6.0371321358430201</v>
      </c>
      <c r="G16" s="74"/>
      <c r="H16" s="19"/>
      <c r="I16" s="4"/>
      <c r="J16" s="108" t="s">
        <v>13</v>
      </c>
      <c r="K16" s="108"/>
      <c r="L16" s="108"/>
      <c r="M16" s="109"/>
      <c r="N16" s="110" t="s">
        <v>21</v>
      </c>
      <c r="O16" s="108"/>
      <c r="P16" s="108"/>
      <c r="Q16" s="108"/>
      <c r="R16" s="108"/>
      <c r="S16" s="109"/>
      <c r="T16" s="75">
        <v>0</v>
      </c>
      <c r="U16" s="77"/>
    </row>
    <row r="17" spans="2:21" ht="14.4" customHeight="1" x14ac:dyDescent="0.3">
      <c r="B17" s="18"/>
      <c r="C17" s="58"/>
      <c r="D17" s="58"/>
      <c r="E17" s="58"/>
      <c r="F17" s="74"/>
      <c r="G17" s="74"/>
      <c r="H17" s="19"/>
      <c r="I17" s="4"/>
      <c r="J17" s="108" t="s">
        <v>14</v>
      </c>
      <c r="K17" s="108"/>
      <c r="L17" s="108"/>
      <c r="M17" s="109"/>
      <c r="N17" s="110" t="s">
        <v>22</v>
      </c>
      <c r="O17" s="108"/>
      <c r="P17" s="108"/>
      <c r="Q17" s="108"/>
      <c r="R17" s="108"/>
      <c r="S17" s="109"/>
      <c r="T17" s="75"/>
      <c r="U17" s="77"/>
    </row>
    <row r="18" spans="2:21" ht="15" customHeight="1" x14ac:dyDescent="0.3">
      <c r="B18" s="20"/>
      <c r="C18" s="58" t="s">
        <v>55</v>
      </c>
      <c r="D18" s="58"/>
      <c r="E18" s="58"/>
      <c r="F18" s="74">
        <f>(T19+F42)/(F8*G39)</f>
        <v>6.2031532695787028</v>
      </c>
      <c r="G18" s="74"/>
      <c r="H18" s="21"/>
      <c r="I18" s="4"/>
      <c r="J18" s="108" t="s">
        <v>15</v>
      </c>
      <c r="K18" s="108"/>
      <c r="L18" s="108"/>
      <c r="M18" s="109"/>
      <c r="N18" s="110" t="s">
        <v>23</v>
      </c>
      <c r="O18" s="108"/>
      <c r="P18" s="108"/>
      <c r="Q18" s="108"/>
      <c r="R18" s="108"/>
      <c r="S18" s="109"/>
      <c r="T18" s="75"/>
      <c r="U18" s="77"/>
    </row>
    <row r="19" spans="2:21" ht="14.4" customHeight="1" x14ac:dyDescent="0.3">
      <c r="B19" s="20"/>
      <c r="C19" s="58"/>
      <c r="D19" s="58"/>
      <c r="E19" s="58"/>
      <c r="F19" s="74"/>
      <c r="G19" s="74"/>
      <c r="H19" s="21"/>
      <c r="I19" s="90"/>
      <c r="J19" s="92" t="s">
        <v>26</v>
      </c>
      <c r="K19" s="92"/>
      <c r="L19" s="92"/>
      <c r="M19" s="93"/>
      <c r="N19" s="113" t="s">
        <v>27</v>
      </c>
      <c r="O19" s="92"/>
      <c r="P19" s="92"/>
      <c r="Q19" s="92"/>
      <c r="R19" s="92"/>
      <c r="S19" s="93"/>
      <c r="T19" s="100">
        <f>SUM(T9:U18)</f>
        <v>180000</v>
      </c>
      <c r="U19" s="106"/>
    </row>
    <row r="20" spans="2:21" ht="15" customHeight="1" thickBot="1" x14ac:dyDescent="0.35">
      <c r="B20" s="20"/>
      <c r="C20" s="58" t="s">
        <v>56</v>
      </c>
      <c r="D20" s="58"/>
      <c r="E20" s="58"/>
      <c r="F20" s="74">
        <f>T19-R29</f>
        <v>72000</v>
      </c>
      <c r="G20" s="74"/>
      <c r="H20" s="21"/>
      <c r="I20" s="121"/>
      <c r="J20" s="111"/>
      <c r="K20" s="111"/>
      <c r="L20" s="111"/>
      <c r="M20" s="112"/>
      <c r="N20" s="114"/>
      <c r="O20" s="111"/>
      <c r="P20" s="111"/>
      <c r="Q20" s="111"/>
      <c r="R20" s="111"/>
      <c r="S20" s="112"/>
      <c r="T20" s="115"/>
      <c r="U20" s="116"/>
    </row>
    <row r="21" spans="2:21" ht="14.4" customHeight="1" thickTop="1" x14ac:dyDescent="0.3">
      <c r="B21" s="20"/>
      <c r="C21" s="58"/>
      <c r="D21" s="58"/>
      <c r="E21" s="58"/>
      <c r="F21" s="74"/>
      <c r="G21" s="74"/>
      <c r="H21" s="21"/>
      <c r="I21" s="117" t="s">
        <v>29</v>
      </c>
      <c r="J21" s="118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20"/>
    </row>
    <row r="22" spans="2:21" ht="15.6" x14ac:dyDescent="0.3">
      <c r="B22" s="20"/>
      <c r="C22" s="10"/>
      <c r="D22" s="12"/>
      <c r="E22" s="11"/>
      <c r="F22" s="11"/>
      <c r="G22" s="11"/>
      <c r="H22" s="21"/>
      <c r="I22" s="96"/>
      <c r="J22" s="97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9"/>
    </row>
    <row r="23" spans="2:21" ht="15.6" customHeight="1" thickBot="1" x14ac:dyDescent="0.35">
      <c r="B23" s="20"/>
      <c r="C23" s="10"/>
      <c r="D23" s="12"/>
      <c r="E23" s="11"/>
      <c r="F23" s="11"/>
      <c r="G23" s="11"/>
      <c r="H23" s="21"/>
      <c r="I23" s="130" t="s">
        <v>30</v>
      </c>
      <c r="J23" s="123"/>
      <c r="K23" s="123"/>
      <c r="L23" s="123"/>
      <c r="M23" s="124"/>
      <c r="N23" s="122" t="s">
        <v>4</v>
      </c>
      <c r="O23" s="123"/>
      <c r="P23" s="123"/>
      <c r="Q23" s="124"/>
      <c r="R23" s="123" t="s">
        <v>5</v>
      </c>
      <c r="S23" s="123"/>
      <c r="T23" s="123"/>
      <c r="U23" s="128"/>
    </row>
    <row r="24" spans="2:21" ht="15.6" customHeight="1" thickTop="1" x14ac:dyDescent="0.3">
      <c r="B24" s="33"/>
      <c r="C24" s="34"/>
      <c r="D24" s="35"/>
      <c r="E24" s="36"/>
      <c r="F24" s="36"/>
      <c r="G24" s="36"/>
      <c r="H24" s="37"/>
      <c r="I24" s="131"/>
      <c r="J24" s="126"/>
      <c r="K24" s="126"/>
      <c r="L24" s="126"/>
      <c r="M24" s="127"/>
      <c r="N24" s="125"/>
      <c r="O24" s="126"/>
      <c r="P24" s="126"/>
      <c r="Q24" s="127"/>
      <c r="R24" s="126"/>
      <c r="S24" s="126"/>
      <c r="T24" s="126"/>
      <c r="U24" s="129"/>
    </row>
    <row r="25" spans="2:21" ht="15.6" customHeight="1" x14ac:dyDescent="0.3">
      <c r="B25" s="22"/>
      <c r="C25" s="6"/>
      <c r="D25" s="7"/>
      <c r="E25" s="8"/>
      <c r="F25" s="8"/>
      <c r="G25" s="8"/>
      <c r="H25" s="23"/>
      <c r="I25" s="4"/>
      <c r="J25" s="108" t="s">
        <v>31</v>
      </c>
      <c r="K25" s="108"/>
      <c r="L25" s="108"/>
      <c r="M25" s="109"/>
      <c r="N25" s="110" t="s">
        <v>53</v>
      </c>
      <c r="O25" s="108"/>
      <c r="P25" s="108"/>
      <c r="Q25" s="109"/>
      <c r="R25" s="75">
        <v>108000</v>
      </c>
      <c r="S25" s="76"/>
      <c r="T25" s="76"/>
      <c r="U25" s="77"/>
    </row>
    <row r="26" spans="2:21" ht="15.6" x14ac:dyDescent="0.3">
      <c r="B26" s="22"/>
      <c r="C26" s="6"/>
      <c r="D26" s="7"/>
      <c r="E26" s="8"/>
      <c r="F26" s="8"/>
      <c r="G26" s="8"/>
      <c r="H26" s="23"/>
      <c r="I26" s="4"/>
      <c r="J26" s="108" t="s">
        <v>32</v>
      </c>
      <c r="K26" s="108"/>
      <c r="L26" s="108"/>
      <c r="M26" s="109"/>
      <c r="N26" s="110" t="s">
        <v>52</v>
      </c>
      <c r="O26" s="108"/>
      <c r="P26" s="108"/>
      <c r="Q26" s="109"/>
      <c r="R26" s="75"/>
      <c r="S26" s="76"/>
      <c r="T26" s="76"/>
      <c r="U26" s="77"/>
    </row>
    <row r="27" spans="2:21" ht="14.4" customHeight="1" x14ac:dyDescent="0.3">
      <c r="B27" s="22"/>
      <c r="C27" s="53" t="s">
        <v>39</v>
      </c>
      <c r="D27" s="53"/>
      <c r="E27" s="53"/>
      <c r="F27" s="53"/>
      <c r="G27" s="47">
        <v>3</v>
      </c>
      <c r="H27" s="23"/>
      <c r="I27" s="4"/>
      <c r="J27" s="108" t="s">
        <v>51</v>
      </c>
      <c r="K27" s="108"/>
      <c r="L27" s="108"/>
      <c r="M27" s="109"/>
      <c r="N27" s="110" t="s">
        <v>50</v>
      </c>
      <c r="O27" s="108"/>
      <c r="P27" s="108"/>
      <c r="Q27" s="109"/>
      <c r="R27" s="75"/>
      <c r="S27" s="76"/>
      <c r="T27" s="76"/>
      <c r="U27" s="77"/>
    </row>
    <row r="28" spans="2:21" ht="15" customHeight="1" x14ac:dyDescent="0.3">
      <c r="B28" s="22"/>
      <c r="C28" s="53"/>
      <c r="D28" s="53"/>
      <c r="E28" s="53"/>
      <c r="F28" s="53"/>
      <c r="G28" s="48"/>
      <c r="H28" s="23"/>
      <c r="I28" s="4"/>
      <c r="J28" s="108" t="s">
        <v>33</v>
      </c>
      <c r="K28" s="108"/>
      <c r="L28" s="108"/>
      <c r="M28" s="109"/>
      <c r="N28" s="110" t="s">
        <v>49</v>
      </c>
      <c r="O28" s="108"/>
      <c r="P28" s="108"/>
      <c r="Q28" s="109"/>
      <c r="R28" s="75"/>
      <c r="S28" s="76"/>
      <c r="T28" s="76"/>
      <c r="U28" s="77"/>
    </row>
    <row r="29" spans="2:21" ht="15.6" customHeight="1" x14ac:dyDescent="0.35">
      <c r="B29" s="22"/>
      <c r="C29" s="24"/>
      <c r="D29" s="24"/>
      <c r="E29" s="24"/>
      <c r="F29" s="24"/>
      <c r="G29" s="25"/>
      <c r="H29" s="23"/>
      <c r="I29" s="90"/>
      <c r="J29" s="92"/>
      <c r="K29" s="92"/>
      <c r="L29" s="92"/>
      <c r="M29" s="93"/>
      <c r="N29" s="100" t="s">
        <v>27</v>
      </c>
      <c r="O29" s="101"/>
      <c r="P29" s="101"/>
      <c r="Q29" s="102"/>
      <c r="R29" s="101">
        <f>SUM(R25:U28)</f>
        <v>108000</v>
      </c>
      <c r="S29" s="101"/>
      <c r="T29" s="101"/>
      <c r="U29" s="106"/>
    </row>
    <row r="30" spans="2:21" ht="15.6" customHeight="1" x14ac:dyDescent="0.3">
      <c r="B30" s="22"/>
      <c r="C30" s="53" t="s">
        <v>40</v>
      </c>
      <c r="D30" s="53"/>
      <c r="E30" s="53"/>
      <c r="F30" s="53"/>
      <c r="G30" s="47">
        <v>5.3</v>
      </c>
      <c r="H30" s="23"/>
      <c r="I30" s="91"/>
      <c r="J30" s="94"/>
      <c r="K30" s="94"/>
      <c r="L30" s="94"/>
      <c r="M30" s="95"/>
      <c r="N30" s="103"/>
      <c r="O30" s="104"/>
      <c r="P30" s="104"/>
      <c r="Q30" s="105"/>
      <c r="R30" s="104"/>
      <c r="S30" s="104"/>
      <c r="T30" s="104"/>
      <c r="U30" s="107"/>
    </row>
    <row r="31" spans="2:21" ht="15.6" customHeight="1" x14ac:dyDescent="0.3">
      <c r="B31" s="22"/>
      <c r="C31" s="53"/>
      <c r="D31" s="53"/>
      <c r="E31" s="53"/>
      <c r="F31" s="53"/>
      <c r="G31" s="48"/>
      <c r="H31" s="23"/>
      <c r="I31" s="96" t="s">
        <v>62</v>
      </c>
      <c r="J31" s="97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9"/>
    </row>
    <row r="32" spans="2:21" ht="16.2" customHeight="1" x14ac:dyDescent="0.35">
      <c r="B32" s="22"/>
      <c r="C32" s="24"/>
      <c r="D32" s="24"/>
      <c r="E32" s="24"/>
      <c r="F32" s="24"/>
      <c r="G32" s="25"/>
      <c r="H32" s="23"/>
      <c r="I32" s="96"/>
      <c r="J32" s="97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9"/>
    </row>
    <row r="33" spans="2:21" ht="15.6" customHeight="1" x14ac:dyDescent="0.3">
      <c r="B33" s="22"/>
      <c r="C33" s="53" t="s">
        <v>41</v>
      </c>
      <c r="D33" s="53"/>
      <c r="E33" s="53"/>
      <c r="F33" s="53"/>
      <c r="G33" s="47">
        <v>75</v>
      </c>
      <c r="H33" s="23"/>
      <c r="I33" s="84" t="s">
        <v>46</v>
      </c>
      <c r="J33" s="67"/>
      <c r="K33" s="67"/>
      <c r="L33" s="67"/>
      <c r="M33" s="68"/>
      <c r="N33" s="66" t="s">
        <v>47</v>
      </c>
      <c r="O33" s="67"/>
      <c r="P33" s="67"/>
      <c r="Q33" s="68"/>
      <c r="R33" s="67" t="s">
        <v>48</v>
      </c>
      <c r="S33" s="67"/>
      <c r="T33" s="67"/>
      <c r="U33" s="72"/>
    </row>
    <row r="34" spans="2:21" ht="15.6" customHeight="1" x14ac:dyDescent="0.3">
      <c r="B34" s="22"/>
      <c r="C34" s="53"/>
      <c r="D34" s="53"/>
      <c r="E34" s="53"/>
      <c r="F34" s="53"/>
      <c r="G34" s="48"/>
      <c r="H34" s="23"/>
      <c r="I34" s="85"/>
      <c r="J34" s="86"/>
      <c r="K34" s="86"/>
      <c r="L34" s="86"/>
      <c r="M34" s="87"/>
      <c r="N34" s="88"/>
      <c r="O34" s="86"/>
      <c r="P34" s="86"/>
      <c r="Q34" s="87"/>
      <c r="R34" s="86"/>
      <c r="S34" s="86"/>
      <c r="T34" s="86"/>
      <c r="U34" s="89"/>
    </row>
    <row r="35" spans="2:21" ht="15.6" customHeight="1" x14ac:dyDescent="0.35">
      <c r="B35" s="22"/>
      <c r="C35" s="24"/>
      <c r="D35" s="24"/>
      <c r="E35" s="24"/>
      <c r="F35" s="24"/>
      <c r="G35" s="25"/>
      <c r="H35" s="26"/>
      <c r="I35" s="13"/>
      <c r="J35" s="78" t="s">
        <v>34</v>
      </c>
      <c r="K35" s="78"/>
      <c r="L35" s="78"/>
      <c r="M35" s="79"/>
      <c r="N35" s="75">
        <v>500</v>
      </c>
      <c r="O35" s="76"/>
      <c r="P35" s="76"/>
      <c r="Q35" s="80"/>
      <c r="R35" s="81">
        <f>N35-(F8/12)</f>
        <v>137.28125</v>
      </c>
      <c r="S35" s="82"/>
      <c r="T35" s="82"/>
      <c r="U35" s="83"/>
    </row>
    <row r="36" spans="2:21" ht="15.6" customHeight="1" x14ac:dyDescent="0.3">
      <c r="B36" s="22"/>
      <c r="C36" s="53" t="s">
        <v>42</v>
      </c>
      <c r="D36" s="53"/>
      <c r="E36" s="53"/>
      <c r="F36" s="53"/>
      <c r="G36" s="47">
        <v>6.85</v>
      </c>
      <c r="H36" s="27"/>
      <c r="I36" s="13"/>
      <c r="J36" s="78" t="s">
        <v>35</v>
      </c>
      <c r="K36" s="78"/>
      <c r="L36" s="78"/>
      <c r="M36" s="79"/>
      <c r="N36" s="75">
        <v>6.85</v>
      </c>
      <c r="O36" s="76"/>
      <c r="P36" s="76"/>
      <c r="Q36" s="80"/>
      <c r="R36" s="81">
        <v>6.85</v>
      </c>
      <c r="S36" s="82"/>
      <c r="T36" s="82"/>
      <c r="U36" s="83"/>
    </row>
    <row r="37" spans="2:21" ht="15.6" customHeight="1" x14ac:dyDescent="0.3">
      <c r="B37" s="28"/>
      <c r="C37" s="53"/>
      <c r="D37" s="53"/>
      <c r="E37" s="53"/>
      <c r="F37" s="53"/>
      <c r="G37" s="48"/>
      <c r="H37" s="29"/>
      <c r="I37" s="13"/>
      <c r="J37" s="78" t="s">
        <v>36</v>
      </c>
      <c r="K37" s="78"/>
      <c r="L37" s="78"/>
      <c r="M37" s="79"/>
      <c r="N37" s="75">
        <v>3425</v>
      </c>
      <c r="O37" s="76"/>
      <c r="P37" s="76"/>
      <c r="Q37" s="80"/>
      <c r="R37" s="81">
        <f>R35*R36</f>
        <v>940.37656249999998</v>
      </c>
      <c r="S37" s="82"/>
      <c r="T37" s="82"/>
      <c r="U37" s="83"/>
    </row>
    <row r="38" spans="2:21" ht="15.6" customHeight="1" x14ac:dyDescent="0.35">
      <c r="B38" s="28"/>
      <c r="C38" s="24"/>
      <c r="D38" s="24"/>
      <c r="E38" s="24"/>
      <c r="F38" s="24"/>
      <c r="G38" s="25"/>
      <c r="H38" s="29"/>
      <c r="I38" s="13"/>
      <c r="J38" s="78" t="s">
        <v>59</v>
      </c>
      <c r="K38" s="78"/>
      <c r="L38" s="78"/>
      <c r="M38" s="79"/>
      <c r="N38" s="75">
        <v>0</v>
      </c>
      <c r="O38" s="76"/>
      <c r="P38" s="76"/>
      <c r="Q38" s="80"/>
      <c r="R38" s="81">
        <f>N37-R37</f>
        <v>2484.6234374999999</v>
      </c>
      <c r="S38" s="82"/>
      <c r="T38" s="82"/>
      <c r="U38" s="83"/>
    </row>
    <row r="39" spans="2:21" ht="15.6" customHeight="1" x14ac:dyDescent="0.3">
      <c r="B39" s="28"/>
      <c r="C39" s="53" t="s">
        <v>64</v>
      </c>
      <c r="D39" s="53"/>
      <c r="E39" s="53"/>
      <c r="F39" s="53"/>
      <c r="G39" s="47">
        <v>10</v>
      </c>
      <c r="H39" s="29"/>
      <c r="I39" s="13"/>
      <c r="J39" s="78" t="s">
        <v>60</v>
      </c>
      <c r="K39" s="78"/>
      <c r="L39" s="78"/>
      <c r="M39" s="79"/>
      <c r="N39" s="75">
        <v>3575</v>
      </c>
      <c r="O39" s="76"/>
      <c r="P39" s="76"/>
      <c r="Q39" s="80"/>
      <c r="R39" s="81">
        <v>1090.3800000000001</v>
      </c>
      <c r="S39" s="82"/>
      <c r="T39" s="82"/>
      <c r="U39" s="83"/>
    </row>
    <row r="40" spans="2:21" ht="15.6" customHeight="1" x14ac:dyDescent="0.3">
      <c r="B40" s="28"/>
      <c r="C40" s="53"/>
      <c r="D40" s="53"/>
      <c r="E40" s="53"/>
      <c r="F40" s="53"/>
      <c r="G40" s="48"/>
      <c r="H40" s="29"/>
      <c r="I40" s="60"/>
      <c r="J40" s="62" t="s">
        <v>37</v>
      </c>
      <c r="K40" s="62"/>
      <c r="L40" s="62"/>
      <c r="M40" s="63"/>
      <c r="N40" s="66"/>
      <c r="O40" s="67"/>
      <c r="P40" s="67"/>
      <c r="Q40" s="68"/>
      <c r="R40" s="67"/>
      <c r="S40" s="67"/>
      <c r="T40" s="67"/>
      <c r="U40" s="72"/>
    </row>
    <row r="41" spans="2:21" ht="15.6" customHeight="1" thickBot="1" x14ac:dyDescent="0.4">
      <c r="B41" s="28"/>
      <c r="C41" s="25"/>
      <c r="D41" s="25"/>
      <c r="E41" s="25"/>
      <c r="F41" s="25"/>
      <c r="G41" s="25"/>
      <c r="H41" s="29"/>
      <c r="I41" s="61"/>
      <c r="J41" s="64"/>
      <c r="K41" s="64"/>
      <c r="L41" s="64"/>
      <c r="M41" s="65"/>
      <c r="N41" s="69"/>
      <c r="O41" s="70"/>
      <c r="P41" s="70"/>
      <c r="Q41" s="71"/>
      <c r="R41" s="70"/>
      <c r="S41" s="70"/>
      <c r="T41" s="70"/>
      <c r="U41" s="73"/>
    </row>
    <row r="42" spans="2:21" ht="14.4" customHeight="1" thickTop="1" x14ac:dyDescent="0.3">
      <c r="B42" s="28"/>
      <c r="C42" s="53" t="s">
        <v>43</v>
      </c>
      <c r="D42" s="53"/>
      <c r="E42" s="53"/>
      <c r="F42" s="49">
        <v>90000</v>
      </c>
      <c r="G42" s="50"/>
      <c r="H42" s="29"/>
      <c r="I42" s="38" t="s">
        <v>2</v>
      </c>
      <c r="J42" s="44" t="s">
        <v>63</v>
      </c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39"/>
    </row>
    <row r="43" spans="2:21" ht="15" customHeight="1" x14ac:dyDescent="0.3">
      <c r="B43" s="28"/>
      <c r="C43" s="53"/>
      <c r="D43" s="53"/>
      <c r="E43" s="53"/>
      <c r="F43" s="51"/>
      <c r="G43" s="52"/>
      <c r="H43" s="29"/>
      <c r="I43" s="40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1"/>
    </row>
    <row r="44" spans="2:21" ht="15" customHeight="1" x14ac:dyDescent="0.3">
      <c r="B44" s="28"/>
      <c r="C44" s="5"/>
      <c r="D44" s="5"/>
      <c r="E44" s="5"/>
      <c r="F44" s="5"/>
      <c r="G44" s="5"/>
      <c r="H44" s="29"/>
      <c r="I44" s="40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1"/>
    </row>
    <row r="45" spans="2:21" ht="14.4" customHeight="1" x14ac:dyDescent="0.3">
      <c r="B45" s="28"/>
      <c r="C45" s="5"/>
      <c r="D45" s="5"/>
      <c r="E45" s="5"/>
      <c r="F45" s="5"/>
      <c r="G45" s="5"/>
      <c r="H45" s="29"/>
      <c r="I45" s="40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1"/>
    </row>
    <row r="46" spans="2:21" ht="15" customHeight="1" thickBot="1" x14ac:dyDescent="0.35">
      <c r="B46" s="30"/>
      <c r="C46" s="31"/>
      <c r="D46" s="31"/>
      <c r="E46" s="31"/>
      <c r="F46" s="31"/>
      <c r="G46" s="31"/>
      <c r="H46" s="32"/>
      <c r="I46" s="42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3"/>
    </row>
    <row r="47" spans="2:21" ht="15" thickTop="1" x14ac:dyDescent="0.3"/>
  </sheetData>
  <mergeCells count="110">
    <mergeCell ref="B2:U3"/>
    <mergeCell ref="I5:U6"/>
    <mergeCell ref="B5:H6"/>
    <mergeCell ref="I7:M8"/>
    <mergeCell ref="N7:S8"/>
    <mergeCell ref="T7:U8"/>
    <mergeCell ref="T9:U9"/>
    <mergeCell ref="G27:G28"/>
    <mergeCell ref="G30:G31"/>
    <mergeCell ref="G33:G34"/>
    <mergeCell ref="G36:G37"/>
    <mergeCell ref="I23:M24"/>
    <mergeCell ref="J25:M25"/>
    <mergeCell ref="N23:Q24"/>
    <mergeCell ref="R23:U24"/>
    <mergeCell ref="N25:Q25"/>
    <mergeCell ref="T15:U15"/>
    <mergeCell ref="T16:U16"/>
    <mergeCell ref="T17:U17"/>
    <mergeCell ref="N12:S12"/>
    <mergeCell ref="N13:S13"/>
    <mergeCell ref="N14:S14"/>
    <mergeCell ref="N15:S15"/>
    <mergeCell ref="N16:S16"/>
    <mergeCell ref="N17:S17"/>
    <mergeCell ref="N18:S18"/>
    <mergeCell ref="I21:U22"/>
    <mergeCell ref="I19:I20"/>
    <mergeCell ref="J26:M26"/>
    <mergeCell ref="N26:Q26"/>
    <mergeCell ref="T18:U18"/>
    <mergeCell ref="J9:M9"/>
    <mergeCell ref="J10:M10"/>
    <mergeCell ref="J11:M11"/>
    <mergeCell ref="J12:M12"/>
    <mergeCell ref="J13:M13"/>
    <mergeCell ref="J14:M14"/>
    <mergeCell ref="J15:M15"/>
    <mergeCell ref="J16:M16"/>
    <mergeCell ref="J17:M17"/>
    <mergeCell ref="J18:M18"/>
    <mergeCell ref="J19:M20"/>
    <mergeCell ref="N19:S20"/>
    <mergeCell ref="T19:U20"/>
    <mergeCell ref="T10:U10"/>
    <mergeCell ref="T11:U11"/>
    <mergeCell ref="T12:U12"/>
    <mergeCell ref="T13:U13"/>
    <mergeCell ref="T14:U14"/>
    <mergeCell ref="N9:S9"/>
    <mergeCell ref="N10:S10"/>
    <mergeCell ref="N11:S11"/>
    <mergeCell ref="R33:U34"/>
    <mergeCell ref="I29:I30"/>
    <mergeCell ref="J29:M30"/>
    <mergeCell ref="I31:U32"/>
    <mergeCell ref="N29:Q30"/>
    <mergeCell ref="R29:U30"/>
    <mergeCell ref="J27:M27"/>
    <mergeCell ref="J28:M28"/>
    <mergeCell ref="N27:Q27"/>
    <mergeCell ref="N28:Q28"/>
    <mergeCell ref="F12:G13"/>
    <mergeCell ref="C12:E13"/>
    <mergeCell ref="I40:I41"/>
    <mergeCell ref="J40:M41"/>
    <mergeCell ref="N40:Q41"/>
    <mergeCell ref="R40:U41"/>
    <mergeCell ref="C8:E9"/>
    <mergeCell ref="C10:E11"/>
    <mergeCell ref="C14:E15"/>
    <mergeCell ref="C16:E17"/>
    <mergeCell ref="C18:E19"/>
    <mergeCell ref="C20:E21"/>
    <mergeCell ref="F8:G9"/>
    <mergeCell ref="F10:G11"/>
    <mergeCell ref="F14:G15"/>
    <mergeCell ref="F16:G17"/>
    <mergeCell ref="F18:G19"/>
    <mergeCell ref="F20:G21"/>
    <mergeCell ref="R25:U25"/>
    <mergeCell ref="R26:U26"/>
    <mergeCell ref="R27:U27"/>
    <mergeCell ref="R28:U28"/>
    <mergeCell ref="J38:M38"/>
    <mergeCell ref="J39:M39"/>
    <mergeCell ref="J42:T46"/>
    <mergeCell ref="G39:G40"/>
    <mergeCell ref="F42:G43"/>
    <mergeCell ref="C27:F28"/>
    <mergeCell ref="C30:F31"/>
    <mergeCell ref="C33:F34"/>
    <mergeCell ref="C36:F37"/>
    <mergeCell ref="C39:F40"/>
    <mergeCell ref="C42:E43"/>
    <mergeCell ref="N38:Q38"/>
    <mergeCell ref="R38:U38"/>
    <mergeCell ref="N39:Q39"/>
    <mergeCell ref="R39:U39"/>
    <mergeCell ref="J36:M36"/>
    <mergeCell ref="J37:M37"/>
    <mergeCell ref="N37:Q37"/>
    <mergeCell ref="R37:U37"/>
    <mergeCell ref="N35:Q35"/>
    <mergeCell ref="R35:U35"/>
    <mergeCell ref="N36:Q36"/>
    <mergeCell ref="R36:U36"/>
    <mergeCell ref="I33:M34"/>
    <mergeCell ref="J35:M35"/>
    <mergeCell ref="N33:Q34"/>
  </mergeCells>
  <hyperlinks>
    <hyperlink ref="Y5" r:id="rId1" xr:uid="{2D627EB5-3E60-460F-BE04-CB3B4E8D2D93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Ankesh Mishra</dc:creator>
  <cp:lastModifiedBy>Ankesh Mishra</cp:lastModifiedBy>
  <dcterms:created xsi:type="dcterms:W3CDTF">2025-05-12T06:16:54Z</dcterms:created>
  <dcterms:modified xsi:type="dcterms:W3CDTF">2025-05-29T09:16:13Z</dcterms:modified>
</cp:coreProperties>
</file>