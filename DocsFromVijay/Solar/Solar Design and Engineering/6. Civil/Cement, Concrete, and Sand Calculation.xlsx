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NKESH MISHRA\@FLASYS\Sales\@Online Selling Service\Solar Documents Bundle\@from chat GPT\Solar design and Engineering\6. Civil\"/>
    </mc:Choice>
  </mc:AlternateContent>
  <xr:revisionPtr revIDLastSave="0" documentId="13_ncr:1_{34231DD2-7385-4C5D-8343-80C3CD188FFB}" xr6:coauthVersionLast="47" xr6:coauthVersionMax="47" xr10:uidLastSave="{00000000-0000-0000-0000-000000000000}"/>
  <bookViews>
    <workbookView xWindow="-108" yWindow="-108" windowWidth="23256" windowHeight="12456" xr2:uid="{6F5A8912-AF42-43EA-99A4-4B0F0E5C16AE}"/>
  </bookViews>
  <sheets>
    <sheet name="CUF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20" i="1" l="1"/>
  <c r="F25" i="1" s="1"/>
  <c r="G43" i="1" s="1"/>
  <c r="I43" i="1" s="1"/>
  <c r="F68" i="1" s="1"/>
  <c r="G52" i="1" l="1"/>
  <c r="I52" i="1" s="1"/>
  <c r="I68" i="1" s="1"/>
  <c r="G34" i="1"/>
  <c r="I34" i="1" s="1"/>
  <c r="D68" i="1" s="1"/>
</calcChain>
</file>

<file path=xl/sharedStrings.xml><?xml version="1.0" encoding="utf-8"?>
<sst xmlns="http://schemas.openxmlformats.org/spreadsheetml/2006/main" count="40" uniqueCount="35">
  <si>
    <t>Email: contact@flasysdesign.com</t>
  </si>
  <si>
    <t>https://www.flasysdesign.com/</t>
  </si>
  <si>
    <t>Cement, Sand, and Aggregate Calculation</t>
  </si>
  <si>
    <t xml:space="preserve">	L = Length of the block (mm)</t>
  </si>
  <si>
    <t xml:space="preserve">	B = Breadth of the block (mm)</t>
  </si>
  <si>
    <t xml:space="preserve">	H = Height of the block (mm)</t>
  </si>
  <si>
    <t xml:space="preserve"> m³</t>
  </si>
  <si>
    <t xml:space="preserve">    V =  </t>
  </si>
  <si>
    <t xml:space="preserve">   V_dry  = V × 1.54</t>
  </si>
  <si>
    <t xml:space="preserve">    V_dry =  </t>
  </si>
  <si>
    <t>Number of Blocks</t>
  </si>
  <si>
    <t>Cement Calculation:</t>
  </si>
  <si>
    <t xml:space="preserve">                       Cement =</t>
  </si>
  <si>
    <t>Grade</t>
  </si>
  <si>
    <t xml:space="preserve">      V   =    L  ×  B  ×  H </t>
  </si>
  <si>
    <t xml:space="preserve">                           Sand =</t>
  </si>
  <si>
    <t xml:space="preserve">                  Aggregate =</t>
  </si>
  <si>
    <t>Sand Calculation:</t>
  </si>
  <si>
    <t>Aggregate Calculation:</t>
  </si>
  <si>
    <t xml:space="preserve"> m³    =</t>
  </si>
  <si>
    <t xml:space="preserve"> feet³    =</t>
  </si>
  <si>
    <t>Wastage Considerations</t>
  </si>
  <si>
    <t xml:space="preserve">	Cement: 2-3% extra to account for spillage</t>
  </si>
  <si>
    <t xml:space="preserve">	Sand: 5-10% extra to compensate for moisture</t>
  </si>
  <si>
    <t xml:space="preserve">	Aggregate: 5% extra for practical usage</t>
  </si>
  <si>
    <t>Quantity including wastage</t>
  </si>
  <si>
    <t>Cement:</t>
  </si>
  <si>
    <t xml:space="preserve">         Waste (%)</t>
  </si>
  <si>
    <t xml:space="preserve">                Waste (%)</t>
  </si>
  <si>
    <t xml:space="preserve">          Waste (%)</t>
  </si>
  <si>
    <t xml:space="preserve">     Total (feet³):</t>
  </si>
  <si>
    <t xml:space="preserve">           Total (feet³):</t>
  </si>
  <si>
    <t xml:space="preserve">      Total (feet³):</t>
  </si>
  <si>
    <t>Cement Concrete and Sand Calculation</t>
  </si>
  <si>
    <t>M15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</si>
</sst>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sz val="14"/>
      <color theme="1"/>
      <name val="Times New Roman"/>
      <family val="1"/>
    </font>
    <font>
      <b/>
      <sz val="14"/>
      <color theme="1"/>
      <name val="Times New Roman"/>
      <family val="1"/>
    </font>
    <font>
      <u/>
      <sz val="11"/>
      <color theme="10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6"/>
      <color theme="1"/>
      <name val="Times New Roman"/>
      <family val="1"/>
    </font>
    <font>
      <b/>
      <sz val="14"/>
      <color theme="1"/>
      <name val="Calibri"/>
      <family val="2"/>
      <scheme val="minor"/>
    </font>
    <font>
      <b/>
      <sz val="14"/>
      <color theme="8" tint="-0.24997711111789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D7E2B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D1E7AD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51">
    <xf numFmtId="0" fontId="0" fillId="0" borderId="0" xfId="0"/>
    <xf numFmtId="0" fontId="0" fillId="2" borderId="0" xfId="0" applyFill="1"/>
    <xf numFmtId="0" fontId="1" fillId="2" borderId="0" xfId="0" applyFont="1" applyFill="1" applyAlignment="1">
      <alignment horizontal="center" vertical="center"/>
    </xf>
    <xf numFmtId="0" fontId="0" fillId="3" borderId="0" xfId="0" applyFill="1"/>
    <xf numFmtId="0" fontId="4" fillId="2" borderId="0" xfId="1" applyFill="1"/>
    <xf numFmtId="0" fontId="0" fillId="3" borderId="14" xfId="0" applyFill="1" applyBorder="1"/>
    <xf numFmtId="0" fontId="0" fillId="3" borderId="4" xfId="0" applyFill="1" applyBorder="1"/>
    <xf numFmtId="0" fontId="8" fillId="3" borderId="15" xfId="0" applyFont="1" applyFill="1" applyBorder="1"/>
    <xf numFmtId="0" fontId="0" fillId="3" borderId="1" xfId="0" applyFill="1" applyBorder="1"/>
    <xf numFmtId="0" fontId="0" fillId="3" borderId="15" xfId="0" applyFill="1" applyBorder="1"/>
    <xf numFmtId="0" fontId="0" fillId="3" borderId="3" xfId="0" applyFill="1" applyBorder="1"/>
    <xf numFmtId="0" fontId="0" fillId="3" borderId="2" xfId="0" applyFill="1" applyBorder="1"/>
    <xf numFmtId="0" fontId="0" fillId="3" borderId="16" xfId="0" applyFill="1" applyBorder="1"/>
    <xf numFmtId="0" fontId="0" fillId="3" borderId="5" xfId="0" applyFill="1" applyBorder="1"/>
    <xf numFmtId="0" fontId="5" fillId="3" borderId="0" xfId="0" applyFont="1" applyFill="1" applyAlignment="1">
      <alignment horizontal="left" vertical="center"/>
    </xf>
    <xf numFmtId="0" fontId="5" fillId="3" borderId="0" xfId="0" applyFont="1" applyFill="1"/>
    <xf numFmtId="0" fontId="7" fillId="3" borderId="4" xfId="0" applyFont="1" applyFill="1" applyBorder="1" applyAlignment="1">
      <alignment horizontal="center" vertical="center"/>
    </xf>
    <xf numFmtId="0" fontId="7" fillId="3" borderId="14" xfId="0" applyFont="1" applyFill="1" applyBorder="1" applyAlignment="1">
      <alignment horizontal="center" vertical="center"/>
    </xf>
    <xf numFmtId="0" fontId="5" fillId="0" borderId="17" xfId="0" applyFont="1" applyBorder="1" applyAlignment="1">
      <alignment horizontal="center" vertical="center"/>
    </xf>
    <xf numFmtId="0" fontId="5" fillId="0" borderId="18" xfId="0" applyFont="1" applyBorder="1" applyAlignment="1">
      <alignment horizontal="center" vertical="center"/>
    </xf>
    <xf numFmtId="0" fontId="7" fillId="3" borderId="0" xfId="0" applyFont="1" applyFill="1" applyAlignment="1">
      <alignment horizontal="left" vertical="center"/>
    </xf>
    <xf numFmtId="2" fontId="7" fillId="4" borderId="17" xfId="0" applyNumberFormat="1" applyFont="1" applyFill="1" applyBorder="1" applyAlignment="1">
      <alignment horizontal="center" vertical="center"/>
    </xf>
    <xf numFmtId="2" fontId="7" fillId="4" borderId="18" xfId="0" applyNumberFormat="1" applyFont="1" applyFill="1" applyBorder="1" applyAlignment="1">
      <alignment horizontal="center" vertical="center"/>
    </xf>
    <xf numFmtId="0" fontId="7" fillId="3" borderId="0" xfId="0" applyFont="1" applyFill="1" applyAlignment="1">
      <alignment horizontal="center" vertical="center"/>
    </xf>
    <xf numFmtId="0" fontId="5" fillId="3" borderId="0" xfId="0" applyFont="1" applyFill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3" fillId="3" borderId="0" xfId="0" applyFont="1" applyFill="1" applyAlignment="1">
      <alignment horizontal="left" vertical="center"/>
    </xf>
    <xf numFmtId="0" fontId="2" fillId="3" borderId="0" xfId="0" applyFont="1" applyFill="1" applyAlignment="1">
      <alignment horizontal="left" vertical="center"/>
    </xf>
    <xf numFmtId="0" fontId="2" fillId="3" borderId="4" xfId="0" applyFont="1" applyFill="1" applyBorder="1" applyAlignment="1">
      <alignment horizontal="left" vertical="center"/>
    </xf>
    <xf numFmtId="2" fontId="7" fillId="3" borderId="17" xfId="0" applyNumberFormat="1" applyFont="1" applyFill="1" applyBorder="1" applyAlignment="1">
      <alignment horizontal="center" vertical="center"/>
    </xf>
    <xf numFmtId="2" fontId="7" fillId="3" borderId="18" xfId="0" applyNumberFormat="1" applyFont="1" applyFill="1" applyBorder="1" applyAlignment="1">
      <alignment horizontal="center" vertical="center"/>
    </xf>
    <xf numFmtId="0" fontId="7" fillId="3" borderId="17" xfId="0" applyFont="1" applyFill="1" applyBorder="1" applyAlignment="1">
      <alignment horizontal="center" vertical="center"/>
    </xf>
    <xf numFmtId="0" fontId="7" fillId="3" borderId="18" xfId="0" applyFont="1" applyFill="1" applyBorder="1" applyAlignment="1">
      <alignment horizontal="center" vertical="center"/>
    </xf>
    <xf numFmtId="0" fontId="7" fillId="3" borderId="0" xfId="0" applyFont="1" applyFill="1" applyAlignment="1">
      <alignment horizontal="center"/>
    </xf>
    <xf numFmtId="0" fontId="5" fillId="3" borderId="10" xfId="0" applyFont="1" applyFill="1" applyBorder="1" applyAlignment="1">
      <alignment horizontal="right" vertical="center"/>
    </xf>
    <xf numFmtId="2" fontId="7" fillId="3" borderId="6" xfId="0" applyNumberFormat="1" applyFont="1" applyFill="1" applyBorder="1" applyAlignment="1">
      <alignment horizontal="center" vertical="center"/>
    </xf>
    <xf numFmtId="2" fontId="7" fillId="3" borderId="8" xfId="0" applyNumberFormat="1" applyFont="1" applyFill="1" applyBorder="1" applyAlignment="1">
      <alignment horizontal="center" vertical="center"/>
    </xf>
    <xf numFmtId="2" fontId="7" fillId="3" borderId="11" xfId="0" applyNumberFormat="1" applyFont="1" applyFill="1" applyBorder="1" applyAlignment="1">
      <alignment horizontal="center" vertical="center"/>
    </xf>
    <xf numFmtId="2" fontId="7" fillId="3" borderId="13" xfId="0" applyNumberFormat="1" applyFont="1" applyFill="1" applyBorder="1" applyAlignment="1">
      <alignment horizontal="center" vertical="center"/>
    </xf>
    <xf numFmtId="0" fontId="7" fillId="3" borderId="9" xfId="0" applyFont="1" applyFill="1" applyBorder="1" applyAlignment="1">
      <alignment horizontal="left" vertical="center"/>
    </xf>
    <xf numFmtId="0" fontId="5" fillId="3" borderId="0" xfId="0" applyFont="1" applyFill="1" applyAlignment="1">
      <alignment horizontal="left" vertical="center"/>
    </xf>
    <xf numFmtId="0" fontId="6" fillId="5" borderId="6" xfId="0" applyFont="1" applyFill="1" applyBorder="1" applyAlignment="1">
      <alignment horizontal="center" vertical="center"/>
    </xf>
    <xf numFmtId="0" fontId="6" fillId="5" borderId="7" xfId="0" applyFont="1" applyFill="1" applyBorder="1" applyAlignment="1">
      <alignment horizontal="center" vertical="center"/>
    </xf>
    <xf numFmtId="0" fontId="6" fillId="5" borderId="8" xfId="0" applyFont="1" applyFill="1" applyBorder="1" applyAlignment="1">
      <alignment horizontal="center" vertical="center"/>
    </xf>
    <xf numFmtId="0" fontId="6" fillId="5" borderId="11" xfId="0" applyFont="1" applyFill="1" applyBorder="1" applyAlignment="1">
      <alignment horizontal="center" vertical="center"/>
    </xf>
    <xf numFmtId="0" fontId="6" fillId="5" borderId="12" xfId="0" applyFont="1" applyFill="1" applyBorder="1" applyAlignment="1">
      <alignment horizontal="center" vertical="center"/>
    </xf>
    <xf numFmtId="0" fontId="6" fillId="5" borderId="13" xfId="0" applyFont="1" applyFill="1" applyBorder="1" applyAlignment="1">
      <alignment horizontal="center" vertical="center"/>
    </xf>
    <xf numFmtId="0" fontId="0" fillId="6" borderId="0" xfId="0" applyFill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mruColors>
      <color rgb="FFD1E7AD"/>
      <color rgb="FFD7E2B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2</xdr:row>
      <xdr:rowOff>0</xdr:rowOff>
    </xdr:from>
    <xdr:to>
      <xdr:col>13</xdr:col>
      <xdr:colOff>571428</xdr:colOff>
      <xdr:row>3</xdr:row>
      <xdr:rowOff>167640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DB8663A-2218-4B02-A537-EAA6099B3E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25640" y="373380"/>
          <a:ext cx="1181028" cy="358140"/>
        </a:xfrm>
        <a:prstGeom prst="rect">
          <a:avLst/>
        </a:prstGeom>
      </xdr:spPr>
    </xdr:pic>
    <xdr:clientData/>
  </xdr:twoCellAnchor>
  <xdr:twoCellAnchor>
    <xdr:from>
      <xdr:col>4</xdr:col>
      <xdr:colOff>967740</xdr:colOff>
      <xdr:row>28</xdr:row>
      <xdr:rowOff>137160</xdr:rowOff>
    </xdr:from>
    <xdr:to>
      <xdr:col>7</xdr:col>
      <xdr:colOff>588728</xdr:colOff>
      <xdr:row>30</xdr:row>
      <xdr:rowOff>167640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909F05D1-AB5A-B89B-C7FF-98FA477C4F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09060" y="5554980"/>
          <a:ext cx="2196548" cy="3962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4</xdr:col>
      <xdr:colOff>1112519</xdr:colOff>
      <xdr:row>37</xdr:row>
      <xdr:rowOff>60960</xdr:rowOff>
    </xdr:from>
    <xdr:to>
      <xdr:col>7</xdr:col>
      <xdr:colOff>578120</xdr:colOff>
      <xdr:row>40</xdr:row>
      <xdr:rowOff>91440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E1127A6F-703E-62C9-57EB-7254DAB519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53839" y="7185660"/>
          <a:ext cx="2041161" cy="5791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4</xdr:col>
      <xdr:colOff>548639</xdr:colOff>
      <xdr:row>46</xdr:row>
      <xdr:rowOff>70158</xdr:rowOff>
    </xdr:from>
    <xdr:to>
      <xdr:col>8</xdr:col>
      <xdr:colOff>228600</xdr:colOff>
      <xdr:row>49</xdr:row>
      <xdr:rowOff>106680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2F3C52F5-555B-C25B-D817-6B1B755452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89959" y="8894118"/>
          <a:ext cx="2964181" cy="58516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https://www.flasysdesign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BD266B-11CA-4DE1-B0DE-897313F27FF3}">
  <dimension ref="B1:O79"/>
  <sheetViews>
    <sheetView tabSelected="1" zoomScale="85" zoomScaleNormal="85" workbookViewId="0">
      <selection activeCell="N74" sqref="N74"/>
    </sheetView>
  </sheetViews>
  <sheetFormatPr defaultRowHeight="14.4" x14ac:dyDescent="0.3"/>
  <cols>
    <col min="1" max="1" width="5.109375" style="1" customWidth="1"/>
    <col min="2" max="2" width="3.88671875" style="1" customWidth="1"/>
    <col min="3" max="3" width="16.88671875" style="1" customWidth="1"/>
    <col min="4" max="4" width="11.77734375" style="1" customWidth="1"/>
    <col min="5" max="5" width="18.109375" style="1" customWidth="1"/>
    <col min="6" max="6" width="11.5546875" style="1" customWidth="1"/>
    <col min="7" max="7" width="10.88671875" style="1" customWidth="1"/>
    <col min="8" max="8" width="10.33203125" style="1" customWidth="1"/>
    <col min="9" max="9" width="13.33203125" style="1" customWidth="1"/>
    <col min="10" max="10" width="16.5546875" style="1" customWidth="1"/>
    <col min="11" max="11" width="3.6640625" style="1" customWidth="1"/>
    <col min="12" max="16384" width="8.88671875" style="1"/>
  </cols>
  <sheetData>
    <row r="1" spans="2:15" ht="15" thickBot="1" x14ac:dyDescent="0.35"/>
    <row r="2" spans="2:15" ht="14.4" customHeight="1" x14ac:dyDescent="0.3">
      <c r="B2" s="44" t="s">
        <v>33</v>
      </c>
      <c r="C2" s="45"/>
      <c r="D2" s="45"/>
      <c r="E2" s="45"/>
      <c r="F2" s="45"/>
      <c r="G2" s="45"/>
      <c r="H2" s="45"/>
      <c r="I2" s="45"/>
      <c r="J2" s="45"/>
      <c r="K2" s="46"/>
    </row>
    <row r="3" spans="2:15" ht="15" customHeight="1" thickBot="1" x14ac:dyDescent="0.35">
      <c r="B3" s="47"/>
      <c r="C3" s="48"/>
      <c r="D3" s="48"/>
      <c r="E3" s="48"/>
      <c r="F3" s="48"/>
      <c r="G3" s="48"/>
      <c r="H3" s="48"/>
      <c r="I3" s="48"/>
      <c r="J3" s="48"/>
      <c r="K3" s="49"/>
      <c r="O3" s="4" t="s">
        <v>1</v>
      </c>
    </row>
    <row r="4" spans="2:15" ht="15" customHeight="1" x14ac:dyDescent="0.3">
      <c r="B4" s="2"/>
      <c r="C4" s="2"/>
      <c r="D4" s="2"/>
      <c r="E4" s="2"/>
      <c r="F4" s="2"/>
      <c r="G4" s="2"/>
      <c r="H4" s="2"/>
      <c r="I4" s="2"/>
      <c r="J4" s="2"/>
      <c r="K4" s="2"/>
      <c r="O4" s="1" t="s">
        <v>0</v>
      </c>
    </row>
    <row r="5" spans="2:15" ht="18" x14ac:dyDescent="0.35">
      <c r="B5" s="8"/>
      <c r="C5" s="7" t="s">
        <v>2</v>
      </c>
      <c r="D5" s="9"/>
      <c r="E5" s="9"/>
      <c r="F5" s="9"/>
      <c r="G5" s="9"/>
      <c r="H5" s="9"/>
      <c r="I5" s="9"/>
      <c r="J5" s="9"/>
      <c r="K5" s="10"/>
    </row>
    <row r="6" spans="2:15" x14ac:dyDescent="0.3">
      <c r="B6" s="5"/>
      <c r="C6" s="3"/>
      <c r="D6" s="3"/>
      <c r="E6" s="3"/>
      <c r="F6" s="3"/>
      <c r="G6" s="3"/>
      <c r="H6" s="3"/>
      <c r="I6" s="3"/>
      <c r="J6" s="3"/>
      <c r="K6" s="6"/>
    </row>
    <row r="7" spans="2:15" ht="14.4" customHeight="1" x14ac:dyDescent="0.3">
      <c r="B7" s="5"/>
      <c r="C7" s="29" t="s">
        <v>3</v>
      </c>
      <c r="D7" s="30"/>
      <c r="E7" s="30"/>
      <c r="F7" s="30"/>
      <c r="G7" s="30"/>
      <c r="H7" s="31"/>
      <c r="I7" s="25">
        <v>400</v>
      </c>
      <c r="J7" s="26"/>
      <c r="K7" s="6"/>
    </row>
    <row r="8" spans="2:15" ht="14.4" customHeight="1" x14ac:dyDescent="0.3">
      <c r="B8" s="5"/>
      <c r="C8" s="30"/>
      <c r="D8" s="30"/>
      <c r="E8" s="30"/>
      <c r="F8" s="30"/>
      <c r="G8" s="30"/>
      <c r="H8" s="31"/>
      <c r="I8" s="27"/>
      <c r="J8" s="28"/>
      <c r="K8" s="6"/>
    </row>
    <row r="9" spans="2:15" ht="14.4" customHeight="1" x14ac:dyDescent="0.3">
      <c r="B9" s="5"/>
      <c r="C9" s="29" t="s">
        <v>4</v>
      </c>
      <c r="D9" s="30"/>
      <c r="E9" s="30"/>
      <c r="F9" s="30"/>
      <c r="G9" s="30"/>
      <c r="H9" s="31"/>
      <c r="I9" s="25">
        <v>400</v>
      </c>
      <c r="J9" s="26"/>
      <c r="K9" s="6"/>
    </row>
    <row r="10" spans="2:15" ht="14.4" customHeight="1" x14ac:dyDescent="0.3">
      <c r="B10" s="5"/>
      <c r="C10" s="30"/>
      <c r="D10" s="30"/>
      <c r="E10" s="30"/>
      <c r="F10" s="30"/>
      <c r="G10" s="30"/>
      <c r="H10" s="31"/>
      <c r="I10" s="27"/>
      <c r="J10" s="28"/>
      <c r="K10" s="6"/>
    </row>
    <row r="11" spans="2:15" x14ac:dyDescent="0.3">
      <c r="B11" s="5"/>
      <c r="C11" s="29" t="s">
        <v>5</v>
      </c>
      <c r="D11" s="30"/>
      <c r="E11" s="30"/>
      <c r="F11" s="30"/>
      <c r="G11" s="30"/>
      <c r="H11" s="31"/>
      <c r="I11" s="25">
        <v>400</v>
      </c>
      <c r="J11" s="26"/>
      <c r="K11" s="6"/>
    </row>
    <row r="12" spans="2:15" x14ac:dyDescent="0.3">
      <c r="B12" s="5"/>
      <c r="C12" s="30"/>
      <c r="D12" s="30"/>
      <c r="E12" s="30"/>
      <c r="F12" s="30"/>
      <c r="G12" s="30"/>
      <c r="H12" s="31"/>
      <c r="I12" s="27"/>
      <c r="J12" s="28"/>
      <c r="K12" s="6"/>
    </row>
    <row r="13" spans="2:15" x14ac:dyDescent="0.3">
      <c r="B13" s="5"/>
      <c r="C13" s="29" t="s">
        <v>10</v>
      </c>
      <c r="D13" s="30"/>
      <c r="E13" s="30"/>
      <c r="F13" s="30"/>
      <c r="G13" s="30"/>
      <c r="H13" s="31"/>
      <c r="I13" s="25">
        <v>6</v>
      </c>
      <c r="J13" s="26"/>
      <c r="K13" s="6"/>
    </row>
    <row r="14" spans="2:15" x14ac:dyDescent="0.3">
      <c r="B14" s="5"/>
      <c r="C14" s="30"/>
      <c r="D14" s="30"/>
      <c r="E14" s="30"/>
      <c r="F14" s="30"/>
      <c r="G14" s="30"/>
      <c r="H14" s="31"/>
      <c r="I14" s="27"/>
      <c r="J14" s="28"/>
      <c r="K14" s="6"/>
    </row>
    <row r="15" spans="2:15" x14ac:dyDescent="0.3">
      <c r="B15" s="5"/>
      <c r="C15" s="29" t="s">
        <v>13</v>
      </c>
      <c r="D15" s="30"/>
      <c r="E15" s="30"/>
      <c r="F15" s="30"/>
      <c r="G15" s="30"/>
      <c r="H15" s="31"/>
      <c r="I15" s="25" t="s">
        <v>34</v>
      </c>
      <c r="J15" s="26"/>
      <c r="K15" s="6"/>
    </row>
    <row r="16" spans="2:15" x14ac:dyDescent="0.3">
      <c r="B16" s="5"/>
      <c r="C16" s="30"/>
      <c r="D16" s="30"/>
      <c r="E16" s="30"/>
      <c r="F16" s="30"/>
      <c r="G16" s="30"/>
      <c r="H16" s="31"/>
      <c r="I16" s="27"/>
      <c r="J16" s="28"/>
      <c r="K16" s="6"/>
    </row>
    <row r="17" spans="2:11" x14ac:dyDescent="0.3">
      <c r="B17" s="5"/>
      <c r="C17" s="3"/>
      <c r="D17" s="3"/>
      <c r="E17" s="3"/>
      <c r="F17" s="3"/>
      <c r="G17" s="3"/>
      <c r="H17" s="3"/>
      <c r="I17" s="3"/>
      <c r="J17" s="3"/>
      <c r="K17" s="6"/>
    </row>
    <row r="18" spans="2:11" ht="18" x14ac:dyDescent="0.35">
      <c r="B18" s="5"/>
      <c r="C18" s="3"/>
      <c r="D18" s="3"/>
      <c r="E18" s="36" t="s">
        <v>14</v>
      </c>
      <c r="F18" s="36"/>
      <c r="G18" s="36"/>
      <c r="H18" s="3"/>
      <c r="I18" s="3"/>
      <c r="J18" s="3"/>
      <c r="K18" s="6"/>
    </row>
    <row r="19" spans="2:11" ht="15" thickBot="1" x14ac:dyDescent="0.35">
      <c r="B19" s="5"/>
      <c r="C19" s="3"/>
      <c r="D19" s="3"/>
      <c r="E19" s="3"/>
      <c r="F19" s="3"/>
      <c r="G19" s="3"/>
      <c r="H19" s="3"/>
      <c r="I19" s="3"/>
      <c r="J19" s="3"/>
      <c r="K19" s="6"/>
    </row>
    <row r="20" spans="2:11" ht="18" customHeight="1" x14ac:dyDescent="0.3">
      <c r="B20" s="5"/>
      <c r="C20" s="3"/>
      <c r="D20" s="3"/>
      <c r="E20" s="37" t="s">
        <v>7</v>
      </c>
      <c r="F20" s="38">
        <f>(I7*I9*I11/(1000*1000*1000))*I13</f>
        <v>0.38400000000000001</v>
      </c>
      <c r="G20" s="39"/>
      <c r="H20" s="42" t="s">
        <v>6</v>
      </c>
      <c r="I20" s="3"/>
      <c r="J20" s="3"/>
      <c r="K20" s="6"/>
    </row>
    <row r="21" spans="2:11" ht="14.4" customHeight="1" thickBot="1" x14ac:dyDescent="0.35">
      <c r="B21" s="5"/>
      <c r="C21" s="3"/>
      <c r="D21" s="3"/>
      <c r="E21" s="37"/>
      <c r="F21" s="40"/>
      <c r="G21" s="41"/>
      <c r="H21" s="42"/>
      <c r="I21" s="43"/>
      <c r="J21" s="3"/>
      <c r="K21" s="6"/>
    </row>
    <row r="22" spans="2:11" ht="15" customHeight="1" x14ac:dyDescent="0.3">
      <c r="B22" s="5"/>
      <c r="C22" s="3"/>
      <c r="D22" s="3"/>
      <c r="E22" s="3"/>
      <c r="F22" s="3"/>
      <c r="G22" s="3"/>
      <c r="H22" s="3"/>
      <c r="I22" s="43"/>
      <c r="J22" s="3"/>
      <c r="K22" s="6"/>
    </row>
    <row r="23" spans="2:11" ht="15" customHeight="1" x14ac:dyDescent="0.35">
      <c r="B23" s="5"/>
      <c r="C23" s="3"/>
      <c r="D23" s="3"/>
      <c r="E23" s="36" t="s">
        <v>8</v>
      </c>
      <c r="F23" s="36"/>
      <c r="G23" s="36"/>
      <c r="H23" s="3"/>
      <c r="I23" s="14"/>
      <c r="J23" s="3"/>
      <c r="K23" s="6"/>
    </row>
    <row r="24" spans="2:11" ht="15" customHeight="1" thickBot="1" x14ac:dyDescent="0.35">
      <c r="B24" s="5"/>
      <c r="C24" s="3"/>
      <c r="D24" s="3"/>
      <c r="E24" s="3"/>
      <c r="F24" s="3"/>
      <c r="G24" s="3"/>
      <c r="H24" s="3"/>
      <c r="I24" s="14"/>
      <c r="J24" s="3"/>
      <c r="K24" s="6"/>
    </row>
    <row r="25" spans="2:11" ht="15" customHeight="1" x14ac:dyDescent="0.3">
      <c r="B25" s="5"/>
      <c r="C25" s="3"/>
      <c r="D25" s="3"/>
      <c r="E25" s="37" t="s">
        <v>9</v>
      </c>
      <c r="F25" s="38">
        <f>F20*1.54</f>
        <v>0.59136</v>
      </c>
      <c r="G25" s="39"/>
      <c r="H25" s="42" t="s">
        <v>6</v>
      </c>
      <c r="I25" s="14"/>
      <c r="J25" s="3"/>
      <c r="K25" s="6"/>
    </row>
    <row r="26" spans="2:11" ht="15" customHeight="1" thickBot="1" x14ac:dyDescent="0.35">
      <c r="B26" s="5"/>
      <c r="C26" s="3"/>
      <c r="D26" s="3"/>
      <c r="E26" s="37"/>
      <c r="F26" s="40"/>
      <c r="G26" s="41"/>
      <c r="H26" s="42"/>
      <c r="I26" s="14"/>
      <c r="J26" s="3"/>
      <c r="K26" s="6"/>
    </row>
    <row r="27" spans="2:11" x14ac:dyDescent="0.3">
      <c r="B27" s="11"/>
      <c r="C27" s="12"/>
      <c r="D27" s="12"/>
      <c r="E27" s="12"/>
      <c r="F27" s="12"/>
      <c r="G27" s="12"/>
      <c r="H27" s="12"/>
      <c r="I27" s="12"/>
      <c r="J27" s="12"/>
      <c r="K27" s="13"/>
    </row>
    <row r="28" spans="2:11" ht="18" x14ac:dyDescent="0.35">
      <c r="B28" s="8"/>
      <c r="C28" s="7" t="s">
        <v>11</v>
      </c>
      <c r="D28" s="9"/>
      <c r="E28" s="9"/>
      <c r="F28" s="9"/>
      <c r="G28" s="9"/>
      <c r="H28" s="9"/>
      <c r="I28" s="9"/>
      <c r="J28" s="9"/>
      <c r="K28" s="10"/>
    </row>
    <row r="29" spans="2:11" x14ac:dyDescent="0.3">
      <c r="B29" s="5"/>
      <c r="C29" s="3"/>
      <c r="D29" s="3"/>
      <c r="E29" s="3"/>
      <c r="F29" s="3"/>
      <c r="G29" s="3"/>
      <c r="H29" s="3"/>
      <c r="I29" s="3"/>
      <c r="J29" s="3"/>
      <c r="K29" s="6"/>
    </row>
    <row r="30" spans="2:11" x14ac:dyDescent="0.3">
      <c r="B30" s="5"/>
      <c r="C30" s="3"/>
      <c r="D30" s="3"/>
      <c r="E30" s="3"/>
      <c r="F30" s="3"/>
      <c r="G30" s="3"/>
      <c r="H30" s="3"/>
      <c r="I30" s="3"/>
      <c r="J30" s="3"/>
      <c r="K30" s="6"/>
    </row>
    <row r="31" spans="2:11" x14ac:dyDescent="0.3">
      <c r="B31" s="5"/>
      <c r="C31" s="3"/>
      <c r="D31" s="3"/>
      <c r="E31" s="3"/>
      <c r="F31" s="3"/>
      <c r="G31" s="3"/>
      <c r="H31" s="3"/>
      <c r="I31" s="3"/>
      <c r="J31" s="3"/>
      <c r="K31" s="6"/>
    </row>
    <row r="32" spans="2:11" x14ac:dyDescent="0.3">
      <c r="B32" s="5"/>
      <c r="C32" s="3"/>
      <c r="D32" s="3"/>
      <c r="E32" s="3"/>
      <c r="F32" s="3"/>
      <c r="G32" s="3"/>
      <c r="H32" s="3"/>
      <c r="I32" s="3"/>
      <c r="J32" s="3"/>
      <c r="K32" s="6"/>
    </row>
    <row r="33" spans="2:11" x14ac:dyDescent="0.3">
      <c r="B33" s="5"/>
      <c r="C33" s="3"/>
      <c r="D33" s="3"/>
      <c r="E33" s="3"/>
      <c r="F33" s="3"/>
      <c r="G33" s="3"/>
      <c r="H33" s="3"/>
      <c r="I33" s="3"/>
      <c r="J33" s="3"/>
      <c r="K33" s="6"/>
    </row>
    <row r="34" spans="2:11" ht="14.4" customHeight="1" x14ac:dyDescent="0.3">
      <c r="B34" s="5"/>
      <c r="C34" s="3"/>
      <c r="D34" s="3"/>
      <c r="E34" s="24" t="s">
        <v>12</v>
      </c>
      <c r="F34" s="24"/>
      <c r="G34" s="32">
        <f>F25/(IF(I15="M10",10,IF(I15="M15",7,IF(I15="M20",5.5,IF(I15="M25",4)))))</f>
        <v>8.448E-2</v>
      </c>
      <c r="H34" s="20" t="s">
        <v>19</v>
      </c>
      <c r="I34" s="21">
        <f>G34*35.3147</f>
        <v>2.9833858559999999</v>
      </c>
      <c r="J34" s="20" t="s">
        <v>20</v>
      </c>
      <c r="K34" s="6"/>
    </row>
    <row r="35" spans="2:11" ht="15" customHeight="1" x14ac:dyDescent="0.3">
      <c r="B35" s="5"/>
      <c r="C35" s="3"/>
      <c r="D35" s="3"/>
      <c r="E35" s="24"/>
      <c r="F35" s="24"/>
      <c r="G35" s="33"/>
      <c r="H35" s="20"/>
      <c r="I35" s="22"/>
      <c r="J35" s="20"/>
      <c r="K35" s="6"/>
    </row>
    <row r="36" spans="2:11" x14ac:dyDescent="0.3">
      <c r="B36" s="11"/>
      <c r="C36" s="12"/>
      <c r="D36" s="12"/>
      <c r="E36" s="12"/>
      <c r="F36" s="12"/>
      <c r="G36" s="12"/>
      <c r="H36" s="12"/>
      <c r="I36" s="12"/>
      <c r="J36" s="12"/>
      <c r="K36" s="13"/>
    </row>
    <row r="37" spans="2:11" ht="18" x14ac:dyDescent="0.35">
      <c r="B37" s="8"/>
      <c r="C37" s="7" t="s">
        <v>17</v>
      </c>
      <c r="D37" s="9"/>
      <c r="E37" s="9"/>
      <c r="F37" s="9"/>
      <c r="G37" s="9"/>
      <c r="H37" s="9"/>
      <c r="I37" s="9"/>
      <c r="J37" s="9"/>
      <c r="K37" s="10"/>
    </row>
    <row r="38" spans="2:11" x14ac:dyDescent="0.3">
      <c r="B38" s="5"/>
      <c r="C38" s="3"/>
      <c r="D38" s="3"/>
      <c r="E38" s="3"/>
      <c r="F38" s="3"/>
      <c r="G38" s="3"/>
      <c r="H38" s="3"/>
      <c r="I38" s="3"/>
      <c r="J38" s="3"/>
      <c r="K38" s="6"/>
    </row>
    <row r="39" spans="2:11" x14ac:dyDescent="0.3">
      <c r="B39" s="5"/>
      <c r="C39" s="3"/>
      <c r="D39" s="3"/>
      <c r="E39" s="3"/>
      <c r="F39" s="3"/>
      <c r="G39" s="3"/>
      <c r="H39" s="3"/>
      <c r="I39" s="3"/>
      <c r="J39" s="3"/>
      <c r="K39" s="6"/>
    </row>
    <row r="40" spans="2:11" x14ac:dyDescent="0.3">
      <c r="B40" s="5"/>
      <c r="C40" s="3"/>
      <c r="D40" s="3"/>
      <c r="E40" s="3"/>
      <c r="F40" s="3"/>
      <c r="G40" s="3"/>
      <c r="H40" s="3"/>
      <c r="I40" s="3"/>
      <c r="J40" s="3"/>
      <c r="K40" s="6"/>
    </row>
    <row r="41" spans="2:11" x14ac:dyDescent="0.3">
      <c r="B41" s="5"/>
      <c r="C41" s="3"/>
      <c r="D41" s="3"/>
      <c r="E41" s="3"/>
      <c r="F41" s="3"/>
      <c r="G41" s="3"/>
      <c r="H41" s="3"/>
      <c r="I41" s="3"/>
      <c r="J41" s="3"/>
      <c r="K41" s="6"/>
    </row>
    <row r="42" spans="2:11" x14ac:dyDescent="0.3">
      <c r="B42" s="5"/>
      <c r="C42" s="3"/>
      <c r="D42" s="3"/>
      <c r="E42" s="3"/>
      <c r="F42" s="3"/>
      <c r="G42" s="3"/>
      <c r="H42" s="3"/>
      <c r="I42" s="3"/>
      <c r="J42" s="3"/>
      <c r="K42" s="6"/>
    </row>
    <row r="43" spans="2:11" ht="14.4" customHeight="1" x14ac:dyDescent="0.3">
      <c r="B43" s="5"/>
      <c r="C43" s="3"/>
      <c r="D43" s="3"/>
      <c r="E43" s="24" t="s">
        <v>15</v>
      </c>
      <c r="F43" s="24"/>
      <c r="G43" s="34">
        <f>(F25*IF(I15="M10",3,IF(I15="M15",2,IF(I15="M20",1.5,IF(I15="M25",1)))))/(IF(I15="M10",10,IF(I15="M15",7,IF(I15="M20",5.5,IF(I15="M25",4)))))</f>
        <v>0.16896</v>
      </c>
      <c r="H43" s="20" t="s">
        <v>19</v>
      </c>
      <c r="I43" s="21">
        <f>G43*35.3147</f>
        <v>5.9667717119999999</v>
      </c>
      <c r="J43" s="20" t="s">
        <v>20</v>
      </c>
      <c r="K43" s="6"/>
    </row>
    <row r="44" spans="2:11" ht="15" customHeight="1" x14ac:dyDescent="0.3">
      <c r="B44" s="5"/>
      <c r="C44" s="3"/>
      <c r="D44" s="3"/>
      <c r="E44" s="24"/>
      <c r="F44" s="24"/>
      <c r="G44" s="35"/>
      <c r="H44" s="20"/>
      <c r="I44" s="22"/>
      <c r="J44" s="20"/>
      <c r="K44" s="6"/>
    </row>
    <row r="45" spans="2:11" x14ac:dyDescent="0.3">
      <c r="B45" s="11"/>
      <c r="C45" s="12"/>
      <c r="D45" s="12"/>
      <c r="E45" s="12"/>
      <c r="F45" s="12"/>
      <c r="G45" s="12"/>
      <c r="H45" s="12"/>
      <c r="I45" s="12"/>
      <c r="J45" s="12"/>
      <c r="K45" s="13"/>
    </row>
    <row r="46" spans="2:11" ht="18" x14ac:dyDescent="0.35">
      <c r="B46" s="8"/>
      <c r="C46" s="7" t="s">
        <v>18</v>
      </c>
      <c r="D46" s="9"/>
      <c r="E46" s="9"/>
      <c r="F46" s="9"/>
      <c r="G46" s="9"/>
      <c r="H46" s="9"/>
      <c r="I46" s="9"/>
      <c r="J46" s="9"/>
      <c r="K46" s="10"/>
    </row>
    <row r="47" spans="2:11" x14ac:dyDescent="0.3">
      <c r="B47" s="5"/>
      <c r="C47" s="3"/>
      <c r="D47" s="3"/>
      <c r="E47" s="3"/>
      <c r="F47" s="3"/>
      <c r="G47" s="3"/>
      <c r="H47" s="3"/>
      <c r="I47" s="3"/>
      <c r="J47" s="3"/>
      <c r="K47" s="6"/>
    </row>
    <row r="48" spans="2:11" x14ac:dyDescent="0.3">
      <c r="B48" s="5"/>
      <c r="C48" s="3"/>
      <c r="D48" s="3"/>
      <c r="E48" s="3"/>
      <c r="F48" s="3"/>
      <c r="G48" s="3"/>
      <c r="H48" s="3"/>
      <c r="I48" s="3"/>
      <c r="J48" s="3"/>
      <c r="K48" s="6"/>
    </row>
    <row r="49" spans="2:11" x14ac:dyDescent="0.3">
      <c r="B49" s="5"/>
      <c r="C49" s="3"/>
      <c r="D49" s="3"/>
      <c r="E49" s="3"/>
      <c r="F49" s="3"/>
      <c r="G49" s="3"/>
      <c r="H49" s="3"/>
      <c r="I49" s="3"/>
      <c r="J49" s="3"/>
      <c r="K49" s="6"/>
    </row>
    <row r="50" spans="2:11" x14ac:dyDescent="0.3">
      <c r="B50" s="5"/>
      <c r="C50" s="3"/>
      <c r="D50" s="3"/>
      <c r="E50" s="3"/>
      <c r="F50" s="3"/>
      <c r="G50" s="3"/>
      <c r="H50" s="3"/>
      <c r="I50" s="3"/>
      <c r="J50" s="3"/>
      <c r="K50" s="6"/>
    </row>
    <row r="51" spans="2:11" x14ac:dyDescent="0.3">
      <c r="B51" s="5"/>
      <c r="C51" s="3"/>
      <c r="D51" s="3"/>
      <c r="E51" s="3"/>
      <c r="F51" s="3"/>
      <c r="G51" s="3"/>
      <c r="H51" s="3"/>
      <c r="I51" s="3"/>
      <c r="J51" s="3"/>
      <c r="K51" s="6"/>
    </row>
    <row r="52" spans="2:11" ht="14.4" customHeight="1" x14ac:dyDescent="0.3">
      <c r="B52" s="5"/>
      <c r="C52" s="3"/>
      <c r="D52" s="3"/>
      <c r="E52" s="24" t="s">
        <v>16</v>
      </c>
      <c r="F52" s="24"/>
      <c r="G52" s="34">
        <f>(F25*IF(I15="M10",6,IF(I15="M15",4,IF(I15="M20",3,IF(I15="M25",2)))))/(IF(I15="M10",10,IF(I15="M15",7,IF(I15="M20",5.5,IF(I15="M25",4)))))</f>
        <v>0.33792</v>
      </c>
      <c r="H52" s="20" t="s">
        <v>19</v>
      </c>
      <c r="I52" s="21">
        <f>G52*35.3147</f>
        <v>11.933543424</v>
      </c>
      <c r="J52" s="20" t="s">
        <v>20</v>
      </c>
      <c r="K52" s="6"/>
    </row>
    <row r="53" spans="2:11" ht="15" customHeight="1" x14ac:dyDescent="0.3">
      <c r="B53" s="5"/>
      <c r="C53" s="3"/>
      <c r="D53" s="3"/>
      <c r="E53" s="24"/>
      <c r="F53" s="24"/>
      <c r="G53" s="35"/>
      <c r="H53" s="20"/>
      <c r="I53" s="22"/>
      <c r="J53" s="20"/>
      <c r="K53" s="6"/>
    </row>
    <row r="54" spans="2:11" x14ac:dyDescent="0.3">
      <c r="B54" s="11"/>
      <c r="C54" s="12"/>
      <c r="D54" s="12"/>
      <c r="E54" s="12"/>
      <c r="F54" s="12"/>
      <c r="G54" s="12"/>
      <c r="H54" s="12"/>
      <c r="I54" s="12"/>
      <c r="J54" s="12"/>
      <c r="K54" s="13"/>
    </row>
    <row r="55" spans="2:11" ht="18" x14ac:dyDescent="0.35">
      <c r="B55" s="8"/>
      <c r="C55" s="7" t="s">
        <v>21</v>
      </c>
      <c r="D55" s="9"/>
      <c r="E55" s="9"/>
      <c r="F55" s="9"/>
      <c r="G55" s="9"/>
      <c r="H55" s="9"/>
      <c r="I55" s="9"/>
      <c r="J55" s="9"/>
      <c r="K55" s="10"/>
    </row>
    <row r="56" spans="2:11" x14ac:dyDescent="0.3">
      <c r="B56" s="5"/>
      <c r="C56" s="3"/>
      <c r="D56" s="3"/>
      <c r="E56" s="3"/>
      <c r="F56" s="3"/>
      <c r="G56" s="3"/>
      <c r="H56" s="3"/>
      <c r="I56" s="3"/>
      <c r="J56" s="3"/>
      <c r="K56" s="6"/>
    </row>
    <row r="57" spans="2:11" ht="18" x14ac:dyDescent="0.35">
      <c r="B57" s="5"/>
      <c r="C57" s="3"/>
      <c r="D57" s="15" t="s">
        <v>22</v>
      </c>
      <c r="E57" s="3"/>
      <c r="F57" s="3"/>
      <c r="G57" s="3"/>
      <c r="H57" s="3"/>
      <c r="I57" s="3"/>
      <c r="J57" s="3"/>
      <c r="K57" s="6"/>
    </row>
    <row r="58" spans="2:11" ht="18" x14ac:dyDescent="0.35">
      <c r="B58" s="5"/>
      <c r="C58" s="3"/>
      <c r="D58" s="15" t="s">
        <v>23</v>
      </c>
      <c r="E58" s="3"/>
      <c r="F58" s="3"/>
      <c r="G58" s="3"/>
      <c r="H58" s="3"/>
      <c r="I58" s="3"/>
      <c r="J58" s="3"/>
      <c r="K58" s="6"/>
    </row>
    <row r="59" spans="2:11" ht="18" x14ac:dyDescent="0.35">
      <c r="B59" s="5"/>
      <c r="C59" s="3"/>
      <c r="D59" s="15" t="s">
        <v>24</v>
      </c>
      <c r="E59" s="3"/>
      <c r="F59" s="3"/>
      <c r="G59" s="3"/>
      <c r="H59" s="3"/>
      <c r="I59" s="3"/>
      <c r="J59" s="3"/>
      <c r="K59" s="6"/>
    </row>
    <row r="60" spans="2:11" x14ac:dyDescent="0.3">
      <c r="B60" s="11"/>
      <c r="C60" s="12"/>
      <c r="D60" s="12"/>
      <c r="E60" s="12"/>
      <c r="F60" s="12"/>
      <c r="G60" s="12"/>
      <c r="H60" s="12"/>
      <c r="I60" s="12"/>
      <c r="J60" s="12"/>
      <c r="K60" s="13"/>
    </row>
    <row r="61" spans="2:11" ht="18" x14ac:dyDescent="0.35">
      <c r="B61" s="8"/>
      <c r="C61" s="7" t="s">
        <v>25</v>
      </c>
      <c r="D61" s="9"/>
      <c r="E61" s="9"/>
      <c r="F61" s="9"/>
      <c r="G61" s="9"/>
      <c r="H61" s="9"/>
      <c r="I61" s="9"/>
      <c r="J61" s="9"/>
      <c r="K61" s="10"/>
    </row>
    <row r="62" spans="2:11" x14ac:dyDescent="0.3">
      <c r="B62" s="5"/>
      <c r="C62" s="3"/>
      <c r="D62" s="3"/>
      <c r="E62" s="3"/>
      <c r="F62" s="3"/>
      <c r="G62" s="3"/>
      <c r="H62" s="3"/>
      <c r="I62" s="3"/>
      <c r="J62" s="3"/>
      <c r="K62" s="6"/>
    </row>
    <row r="63" spans="2:11" x14ac:dyDescent="0.3">
      <c r="B63" s="5"/>
      <c r="C63" s="3"/>
      <c r="D63" s="23" t="s">
        <v>26</v>
      </c>
      <c r="E63" s="3"/>
      <c r="F63" s="3"/>
      <c r="G63" s="3"/>
      <c r="H63" s="3"/>
      <c r="I63" s="3"/>
      <c r="J63" s="3"/>
      <c r="K63" s="6"/>
    </row>
    <row r="64" spans="2:11" x14ac:dyDescent="0.3">
      <c r="B64" s="5"/>
      <c r="C64" s="3"/>
      <c r="D64" s="23"/>
      <c r="E64" s="3"/>
      <c r="F64" s="3"/>
      <c r="G64" s="3"/>
      <c r="H64" s="3"/>
      <c r="I64" s="3"/>
      <c r="J64" s="3"/>
      <c r="K64" s="6"/>
    </row>
    <row r="65" spans="2:14" ht="14.4" customHeight="1" x14ac:dyDescent="0.3">
      <c r="B65" s="5"/>
      <c r="C65" s="16" t="s">
        <v>27</v>
      </c>
      <c r="D65" s="18">
        <v>3</v>
      </c>
      <c r="E65" s="16" t="s">
        <v>29</v>
      </c>
      <c r="F65" s="18">
        <v>10</v>
      </c>
      <c r="G65" s="17" t="s">
        <v>28</v>
      </c>
      <c r="H65" s="16"/>
      <c r="I65" s="18">
        <v>5</v>
      </c>
      <c r="J65" s="3"/>
      <c r="K65" s="6"/>
    </row>
    <row r="66" spans="2:14" ht="14.4" customHeight="1" x14ac:dyDescent="0.3">
      <c r="B66" s="5"/>
      <c r="C66" s="16"/>
      <c r="D66" s="19"/>
      <c r="E66" s="16"/>
      <c r="F66" s="19"/>
      <c r="G66" s="17"/>
      <c r="H66" s="16"/>
      <c r="I66" s="19"/>
      <c r="J66" s="3"/>
      <c r="K66" s="6"/>
    </row>
    <row r="67" spans="2:14" x14ac:dyDescent="0.3">
      <c r="B67" s="5"/>
      <c r="C67" s="3"/>
      <c r="D67" s="3"/>
      <c r="E67" s="3"/>
      <c r="F67" s="3"/>
      <c r="G67" s="3"/>
      <c r="H67" s="3"/>
      <c r="I67" s="3"/>
      <c r="J67" s="3"/>
      <c r="K67" s="6"/>
    </row>
    <row r="68" spans="2:14" ht="14.4" customHeight="1" x14ac:dyDescent="0.3">
      <c r="B68" s="5"/>
      <c r="C68" s="16" t="s">
        <v>30</v>
      </c>
      <c r="D68" s="21">
        <f>I34*(1+D65/100)</f>
        <v>3.0728874316799999</v>
      </c>
      <c r="E68" s="16" t="s">
        <v>32</v>
      </c>
      <c r="F68" s="21">
        <f>I43*(1+F65/100)</f>
        <v>6.5634488832000004</v>
      </c>
      <c r="G68" s="17" t="s">
        <v>31</v>
      </c>
      <c r="H68" s="16"/>
      <c r="I68" s="21">
        <f>I52*(1+I65/100)</f>
        <v>12.530220595199999</v>
      </c>
      <c r="J68" s="3"/>
      <c r="K68" s="6"/>
    </row>
    <row r="69" spans="2:14" ht="14.4" customHeight="1" x14ac:dyDescent="0.3">
      <c r="B69" s="5"/>
      <c r="C69" s="16"/>
      <c r="D69" s="22"/>
      <c r="E69" s="16"/>
      <c r="F69" s="22"/>
      <c r="G69" s="17"/>
      <c r="H69" s="16"/>
      <c r="I69" s="22"/>
      <c r="J69" s="3"/>
      <c r="K69" s="6"/>
    </row>
    <row r="70" spans="2:14" x14ac:dyDescent="0.3">
      <c r="B70" s="5"/>
      <c r="C70" s="3"/>
      <c r="D70" s="3"/>
      <c r="E70" s="3"/>
      <c r="F70" s="3"/>
      <c r="G70" s="3"/>
      <c r="H70" s="3"/>
      <c r="I70" s="3"/>
      <c r="J70" s="3"/>
      <c r="K70" s="6"/>
    </row>
    <row r="71" spans="2:14" x14ac:dyDescent="0.3">
      <c r="B71" s="11"/>
      <c r="C71" s="12"/>
      <c r="D71" s="12"/>
      <c r="E71" s="12"/>
      <c r="F71" s="12"/>
      <c r="G71" s="12"/>
      <c r="H71" s="12"/>
      <c r="I71" s="12"/>
      <c r="J71" s="12"/>
      <c r="K71" s="13"/>
    </row>
    <row r="79" spans="2:14" x14ac:dyDescent="0.3">
      <c r="N79" s="50"/>
    </row>
  </sheetData>
  <mergeCells count="48">
    <mergeCell ref="C11:H12"/>
    <mergeCell ref="I11:J12"/>
    <mergeCell ref="B2:K3"/>
    <mergeCell ref="C7:H8"/>
    <mergeCell ref="I7:J8"/>
    <mergeCell ref="C9:H10"/>
    <mergeCell ref="I9:J10"/>
    <mergeCell ref="E23:G23"/>
    <mergeCell ref="E25:E26"/>
    <mergeCell ref="F25:G26"/>
    <mergeCell ref="H25:H26"/>
    <mergeCell ref="I13:J14"/>
    <mergeCell ref="C13:H14"/>
    <mergeCell ref="E18:G18"/>
    <mergeCell ref="H20:H21"/>
    <mergeCell ref="I21:I22"/>
    <mergeCell ref="F20:G21"/>
    <mergeCell ref="E20:E21"/>
    <mergeCell ref="E34:F35"/>
    <mergeCell ref="I15:J16"/>
    <mergeCell ref="C15:H16"/>
    <mergeCell ref="E43:F44"/>
    <mergeCell ref="E52:F53"/>
    <mergeCell ref="G34:G35"/>
    <mergeCell ref="G52:G53"/>
    <mergeCell ref="G43:G44"/>
    <mergeCell ref="H34:H35"/>
    <mergeCell ref="H43:H44"/>
    <mergeCell ref="H52:H53"/>
    <mergeCell ref="I52:I53"/>
    <mergeCell ref="I43:I44"/>
    <mergeCell ref="I34:I35"/>
    <mergeCell ref="J34:J35"/>
    <mergeCell ref="J43:J44"/>
    <mergeCell ref="J52:J53"/>
    <mergeCell ref="D68:D69"/>
    <mergeCell ref="F68:F69"/>
    <mergeCell ref="I68:I69"/>
    <mergeCell ref="I65:I66"/>
    <mergeCell ref="D63:D64"/>
    <mergeCell ref="C68:C69"/>
    <mergeCell ref="E68:E69"/>
    <mergeCell ref="G68:H69"/>
    <mergeCell ref="D65:D66"/>
    <mergeCell ref="F65:F66"/>
    <mergeCell ref="C65:C66"/>
    <mergeCell ref="E65:E66"/>
    <mergeCell ref="G65:H66"/>
  </mergeCells>
  <dataValidations count="1">
    <dataValidation type="list" allowBlank="1" showInputMessage="1" showErrorMessage="1" sqref="I15:J16" xr:uid="{3A87ECB0-3661-4C7B-A326-769986F1E003}">
      <formula1>"M10,M15,M20,M25"</formula1>
    </dataValidation>
  </dataValidations>
  <hyperlinks>
    <hyperlink ref="O3" r:id="rId1" xr:uid="{65B33CBE-89F0-4758-A1E8-CD93301D4C32}"/>
  </hyperlinks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Ankesh Mishra</dc:creator>
  <cp:lastModifiedBy>Ankesh Mishra</cp:lastModifiedBy>
  <dcterms:created xsi:type="dcterms:W3CDTF">2025-05-12T06:16:54Z</dcterms:created>
  <dcterms:modified xsi:type="dcterms:W3CDTF">2025-05-28T16:51:10Z</dcterms:modified>
</cp:coreProperties>
</file>