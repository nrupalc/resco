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from chat GPT\Solar design and Engineering\1. PV System Sizing &amp; Performance Calculation Sheets\"/>
    </mc:Choice>
  </mc:AlternateContent>
  <xr:revisionPtr revIDLastSave="0" documentId="13_ncr:1_{D03B063C-A800-4DE1-9DCD-48EE39A24E11}" xr6:coauthVersionLast="47" xr6:coauthVersionMax="47" xr10:uidLastSave="{00000000-0000-0000-0000-000000000000}"/>
  <bookViews>
    <workbookView xWindow="-108" yWindow="-108" windowWidth="23256" windowHeight="12456" xr2:uid="{6F5A8912-AF42-43EA-99A4-4B0F0E5C16AE}"/>
  </bookViews>
  <sheets>
    <sheet name="CU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1" l="1"/>
  <c r="I15" i="1"/>
</calcChain>
</file>

<file path=xl/sharedStrings.xml><?xml version="1.0" encoding="utf-8"?>
<sst xmlns="http://schemas.openxmlformats.org/spreadsheetml/2006/main" count="16" uniqueCount="15">
  <si>
    <t xml:space="preserve">CUF (%) </t>
  </si>
  <si>
    <r>
      <rPr>
        <b/>
        <sz val="14"/>
        <color theme="1"/>
        <rFont val="Times New Roman"/>
        <family val="1"/>
      </rPr>
      <t>Installed Capacity (kW)</t>
    </r>
    <r>
      <rPr>
        <sz val="14"/>
        <color theme="1"/>
        <rFont val="Times New Roman"/>
        <family val="1"/>
      </rPr>
      <t>:</t>
    </r>
  </si>
  <si>
    <r>
      <rPr>
        <b/>
        <sz val="14"/>
        <color theme="1"/>
        <rFont val="Times New Roman"/>
        <family val="1"/>
      </rPr>
      <t>Total Energy Generated in a Year (kWh)</t>
    </r>
    <r>
      <rPr>
        <sz val="14"/>
        <color theme="1"/>
        <rFont val="Times New Roman"/>
        <family val="1"/>
      </rPr>
      <t>:</t>
    </r>
  </si>
  <si>
    <r>
      <rPr>
        <b/>
        <sz val="14"/>
        <color theme="1"/>
        <rFont val="Times New Roman"/>
        <family val="1"/>
      </rPr>
      <t>Total Hours in a Year</t>
    </r>
    <r>
      <rPr>
        <sz val="14"/>
        <color theme="1"/>
        <rFont val="Times New Roman"/>
        <family val="1"/>
      </rPr>
      <t>:</t>
    </r>
  </si>
  <si>
    <t>Capacity Utilization Factor (CUF)</t>
  </si>
  <si>
    <t>Rooftop Solar</t>
  </si>
  <si>
    <t>Ground Mount Solar</t>
  </si>
  <si>
    <t>Tracking Solar</t>
  </si>
  <si>
    <t>14-20%</t>
  </si>
  <si>
    <t>17-25%</t>
  </si>
  <si>
    <t>22-30%</t>
  </si>
  <si>
    <t>RECOMMENDED RANGE OF CUF</t>
  </si>
  <si>
    <t>Email: contact@flasysdesign.com</t>
  </si>
  <si>
    <t>https://www.flasysdesign.com/</t>
  </si>
  <si>
    <t>Type of Solar (Select from Dropdown)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</si>
</sst>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rgb="FFD7E2B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4"/>
      <color theme="0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7E2B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5" fillId="2" borderId="0" xfId="0" applyFont="1" applyFill="1"/>
    <xf numFmtId="0" fontId="6" fillId="2" borderId="0" xfId="1" applyFill="1"/>
    <xf numFmtId="0" fontId="7" fillId="5" borderId="1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2" fontId="4" fillId="3" borderId="5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0" fillId="3" borderId="1" xfId="0" applyFill="1" applyBorder="1"/>
    <xf numFmtId="0" fontId="0" fillId="3" borderId="6" xfId="0" applyFill="1" applyBorder="1"/>
    <xf numFmtId="0" fontId="0" fillId="3" borderId="3" xfId="0" applyFill="1" applyBorder="1"/>
    <xf numFmtId="0" fontId="0" fillId="3" borderId="7" xfId="0" applyFill="1" applyBorder="1"/>
    <xf numFmtId="0" fontId="3" fillId="3" borderId="0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/>
    </xf>
    <xf numFmtId="0" fontId="0" fillId="3" borderId="4" xfId="0" applyFill="1" applyBorder="1"/>
    <xf numFmtId="0" fontId="2" fillId="3" borderId="0" xfId="0" applyFont="1" applyFill="1" applyBorder="1" applyAlignment="1">
      <alignment horizontal="left" vertical="center"/>
    </xf>
    <xf numFmtId="0" fontId="0" fillId="3" borderId="0" xfId="0" applyFill="1" applyBorder="1"/>
    <xf numFmtId="0" fontId="3" fillId="3" borderId="0" xfId="0" applyFont="1" applyFill="1" applyBorder="1" applyAlignment="1">
      <alignment horizontal="center" vertical="center"/>
    </xf>
    <xf numFmtId="0" fontId="7" fillId="3" borderId="0" xfId="0" applyFont="1" applyFill="1" applyBorder="1"/>
    <xf numFmtId="0" fontId="2" fillId="3" borderId="0" xfId="0" applyFont="1" applyFill="1" applyBorder="1"/>
    <xf numFmtId="0" fontId="0" fillId="3" borderId="2" xfId="0" applyFill="1" applyBorder="1"/>
    <xf numFmtId="0" fontId="0" fillId="3" borderId="8" xfId="0" applyFill="1" applyBorder="1"/>
    <xf numFmtId="0" fontId="0" fillId="3" borderId="5" xfId="0" applyFill="1" applyBorder="1"/>
    <xf numFmtId="0" fontId="8" fillId="6" borderId="1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7E2B2"/>
      <color rgb="FFD1E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13</xdr:col>
      <xdr:colOff>571428</xdr:colOff>
      <xdr:row>3</xdr:row>
      <xdr:rowOff>167640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B8663A-2218-4B02-A537-EAA6099B3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5640" y="373380"/>
          <a:ext cx="1181028" cy="358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flasysdesig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266B-11CA-4DE1-B0DE-897313F27FF3}">
  <dimension ref="B2:W20"/>
  <sheetViews>
    <sheetView tabSelected="1" workbookViewId="0">
      <selection activeCell="N12" sqref="N12"/>
    </sheetView>
  </sheetViews>
  <sheetFormatPr defaultRowHeight="14.4" x14ac:dyDescent="0.3"/>
  <cols>
    <col min="1" max="1" width="5.109375" style="1" customWidth="1"/>
    <col min="2" max="2" width="3.88671875" style="1" customWidth="1"/>
    <col min="3" max="8" width="8.88671875" style="1"/>
    <col min="9" max="9" width="13.77734375" style="1" customWidth="1"/>
    <col min="10" max="10" width="16.5546875" style="1" customWidth="1"/>
    <col min="11" max="11" width="3.6640625" style="1" customWidth="1"/>
    <col min="12" max="16384" width="8.88671875" style="1"/>
  </cols>
  <sheetData>
    <row r="2" spans="2:23" ht="14.4" customHeight="1" x14ac:dyDescent="0.3">
      <c r="B2" s="39" t="s">
        <v>4</v>
      </c>
      <c r="C2" s="40"/>
      <c r="D2" s="40"/>
      <c r="E2" s="40"/>
      <c r="F2" s="40"/>
      <c r="G2" s="40"/>
      <c r="H2" s="40"/>
      <c r="I2" s="40"/>
      <c r="J2" s="40"/>
      <c r="K2" s="41"/>
    </row>
    <row r="3" spans="2:23" ht="15" customHeight="1" x14ac:dyDescent="0.3">
      <c r="B3" s="42"/>
      <c r="C3" s="43"/>
      <c r="D3" s="43"/>
      <c r="E3" s="43"/>
      <c r="F3" s="43"/>
      <c r="G3" s="43"/>
      <c r="H3" s="43"/>
      <c r="I3" s="43"/>
      <c r="J3" s="43"/>
      <c r="K3" s="44"/>
      <c r="O3" s="4" t="s">
        <v>13</v>
      </c>
    </row>
    <row r="4" spans="2:23" ht="15" customHeight="1" x14ac:dyDescent="0.3">
      <c r="B4" s="2"/>
      <c r="C4" s="2"/>
      <c r="D4" s="2"/>
      <c r="E4" s="2"/>
      <c r="F4" s="2"/>
      <c r="G4" s="2"/>
      <c r="H4" s="2"/>
      <c r="I4" s="2"/>
      <c r="J4" s="2"/>
      <c r="K4" s="2"/>
      <c r="O4" s="1" t="s">
        <v>12</v>
      </c>
    </row>
    <row r="5" spans="2:23" x14ac:dyDescent="0.3">
      <c r="B5" s="24"/>
      <c r="C5" s="25"/>
      <c r="D5" s="25"/>
      <c r="E5" s="25"/>
      <c r="F5" s="25"/>
      <c r="G5" s="25"/>
      <c r="H5" s="25"/>
      <c r="I5" s="25"/>
      <c r="J5" s="25"/>
      <c r="K5" s="26"/>
    </row>
    <row r="6" spans="2:23" ht="14.4" customHeight="1" x14ac:dyDescent="0.35">
      <c r="B6" s="27"/>
      <c r="C6" s="28" t="s">
        <v>14</v>
      </c>
      <c r="D6" s="28"/>
      <c r="E6" s="28"/>
      <c r="F6" s="28"/>
      <c r="G6" s="28"/>
      <c r="H6" s="23"/>
      <c r="I6" s="5" t="s">
        <v>5</v>
      </c>
      <c r="J6" s="6"/>
      <c r="K6" s="29"/>
      <c r="U6" s="3" t="s">
        <v>5</v>
      </c>
      <c r="V6" s="3"/>
      <c r="W6" s="3" t="s">
        <v>8</v>
      </c>
    </row>
    <row r="7" spans="2:23" ht="14.4" customHeight="1" x14ac:dyDescent="0.3">
      <c r="B7" s="27"/>
      <c r="C7" s="28"/>
      <c r="D7" s="28"/>
      <c r="E7" s="28"/>
      <c r="F7" s="28"/>
      <c r="G7" s="28"/>
      <c r="H7" s="23"/>
      <c r="I7" s="7"/>
      <c r="J7" s="8"/>
      <c r="K7" s="30"/>
      <c r="U7" s="3" t="s">
        <v>6</v>
      </c>
      <c r="V7" s="3"/>
      <c r="W7" s="3" t="s">
        <v>9</v>
      </c>
    </row>
    <row r="8" spans="2:23" ht="15.6" customHeight="1" x14ac:dyDescent="0.3">
      <c r="B8" s="27"/>
      <c r="C8" s="31" t="s">
        <v>1</v>
      </c>
      <c r="D8" s="31"/>
      <c r="E8" s="31"/>
      <c r="F8" s="31"/>
      <c r="G8" s="31"/>
      <c r="H8" s="18"/>
      <c r="I8" s="19">
        <v>100</v>
      </c>
      <c r="J8" s="20"/>
      <c r="K8" s="30"/>
      <c r="U8" s="3" t="s">
        <v>7</v>
      </c>
      <c r="V8" s="3"/>
      <c r="W8" s="3" t="s">
        <v>10</v>
      </c>
    </row>
    <row r="9" spans="2:23" ht="15.6" customHeight="1" x14ac:dyDescent="0.3">
      <c r="B9" s="27"/>
      <c r="C9" s="31"/>
      <c r="D9" s="31"/>
      <c r="E9" s="31"/>
      <c r="F9" s="31"/>
      <c r="G9" s="31"/>
      <c r="H9" s="18"/>
      <c r="I9" s="21"/>
      <c r="J9" s="22"/>
      <c r="K9" s="30"/>
    </row>
    <row r="10" spans="2:23" ht="15.6" customHeight="1" x14ac:dyDescent="0.3">
      <c r="B10" s="27"/>
      <c r="C10" s="31" t="s">
        <v>2</v>
      </c>
      <c r="D10" s="31"/>
      <c r="E10" s="31"/>
      <c r="F10" s="31"/>
      <c r="G10" s="31"/>
      <c r="H10" s="18"/>
      <c r="I10" s="19">
        <v>127750</v>
      </c>
      <c r="J10" s="20"/>
      <c r="K10" s="30"/>
    </row>
    <row r="11" spans="2:23" ht="15.6" customHeight="1" x14ac:dyDescent="0.3">
      <c r="B11" s="27"/>
      <c r="C11" s="31"/>
      <c r="D11" s="31"/>
      <c r="E11" s="31"/>
      <c r="F11" s="31"/>
      <c r="G11" s="31"/>
      <c r="H11" s="18"/>
      <c r="I11" s="21"/>
      <c r="J11" s="22"/>
      <c r="K11" s="30"/>
    </row>
    <row r="12" spans="2:23" ht="15.6" customHeight="1" x14ac:dyDescent="0.3">
      <c r="B12" s="27"/>
      <c r="C12" s="31" t="s">
        <v>3</v>
      </c>
      <c r="D12" s="31"/>
      <c r="E12" s="31"/>
      <c r="F12" s="31"/>
      <c r="G12" s="31"/>
      <c r="H12" s="18"/>
      <c r="I12" s="19">
        <v>8760</v>
      </c>
      <c r="J12" s="20"/>
      <c r="K12" s="30"/>
    </row>
    <row r="13" spans="2:23" ht="14.4" customHeight="1" x14ac:dyDescent="0.3">
      <c r="B13" s="27"/>
      <c r="C13" s="31"/>
      <c r="D13" s="31"/>
      <c r="E13" s="31"/>
      <c r="F13" s="31"/>
      <c r="G13" s="31"/>
      <c r="H13" s="18"/>
      <c r="I13" s="21"/>
      <c r="J13" s="22"/>
      <c r="K13" s="30"/>
    </row>
    <row r="14" spans="2:23" x14ac:dyDescent="0.3">
      <c r="B14" s="27"/>
      <c r="C14" s="32"/>
      <c r="D14" s="32"/>
      <c r="E14" s="32"/>
      <c r="F14" s="32"/>
      <c r="G14" s="32"/>
      <c r="H14" s="32"/>
      <c r="I14" s="32"/>
      <c r="J14" s="32"/>
      <c r="K14" s="30"/>
    </row>
    <row r="15" spans="2:23" ht="14.4" customHeight="1" x14ac:dyDescent="0.3">
      <c r="B15" s="27"/>
      <c r="C15" s="33" t="s">
        <v>0</v>
      </c>
      <c r="D15" s="33"/>
      <c r="E15" s="33"/>
      <c r="F15" s="33"/>
      <c r="G15" s="33"/>
      <c r="H15" s="9"/>
      <c r="I15" s="10">
        <f>(I10/(I8*I12))*100</f>
        <v>14.583333333333334</v>
      </c>
      <c r="J15" s="11"/>
      <c r="K15" s="30"/>
    </row>
    <row r="16" spans="2:23" ht="14.4" customHeight="1" x14ac:dyDescent="0.3">
      <c r="B16" s="27"/>
      <c r="C16" s="33"/>
      <c r="D16" s="33"/>
      <c r="E16" s="33"/>
      <c r="F16" s="33"/>
      <c r="G16" s="33"/>
      <c r="H16" s="9"/>
      <c r="I16" s="12"/>
      <c r="J16" s="13"/>
      <c r="K16" s="30"/>
    </row>
    <row r="17" spans="2:11" ht="18" x14ac:dyDescent="0.35">
      <c r="B17" s="27"/>
      <c r="C17" s="34"/>
      <c r="D17" s="34"/>
      <c r="E17" s="35"/>
      <c r="F17" s="34"/>
      <c r="G17" s="34"/>
      <c r="H17" s="34"/>
      <c r="I17" s="32"/>
      <c r="J17" s="32"/>
      <c r="K17" s="30"/>
    </row>
    <row r="18" spans="2:11" x14ac:dyDescent="0.3">
      <c r="B18" s="27"/>
      <c r="C18" s="33" t="s">
        <v>11</v>
      </c>
      <c r="D18" s="33"/>
      <c r="E18" s="33"/>
      <c r="F18" s="33"/>
      <c r="G18" s="33"/>
      <c r="H18" s="9"/>
      <c r="I18" s="14" t="str">
        <f>IF(I6=U6,W6,IF(I6=U7,W7,IF(I6=U8,W8)))</f>
        <v>14-20%</v>
      </c>
      <c r="J18" s="15"/>
      <c r="K18" s="30"/>
    </row>
    <row r="19" spans="2:11" x14ac:dyDescent="0.3">
      <c r="B19" s="27"/>
      <c r="C19" s="33"/>
      <c r="D19" s="33"/>
      <c r="E19" s="33"/>
      <c r="F19" s="33"/>
      <c r="G19" s="33"/>
      <c r="H19" s="9"/>
      <c r="I19" s="16"/>
      <c r="J19" s="17"/>
      <c r="K19" s="30"/>
    </row>
    <row r="20" spans="2:11" x14ac:dyDescent="0.3">
      <c r="B20" s="36"/>
      <c r="C20" s="37"/>
      <c r="D20" s="37"/>
      <c r="E20" s="37"/>
      <c r="F20" s="37"/>
      <c r="G20" s="37"/>
      <c r="H20" s="37"/>
      <c r="I20" s="37"/>
      <c r="J20" s="37"/>
      <c r="K20" s="38"/>
    </row>
  </sheetData>
  <mergeCells count="13">
    <mergeCell ref="B2:K3"/>
    <mergeCell ref="I6:J7"/>
    <mergeCell ref="C15:H16"/>
    <mergeCell ref="I15:J16"/>
    <mergeCell ref="C18:H19"/>
    <mergeCell ref="I18:J19"/>
    <mergeCell ref="C8:H9"/>
    <mergeCell ref="C10:H11"/>
    <mergeCell ref="C12:H13"/>
    <mergeCell ref="I12:J13"/>
    <mergeCell ref="I10:J11"/>
    <mergeCell ref="I8:J9"/>
    <mergeCell ref="C6:H7"/>
  </mergeCells>
  <conditionalFormatting sqref="I6:J7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15:J16">
    <cfRule type="colorScale" priority="2">
      <colorScale>
        <cfvo type="formula" val="$I$15&lt;14"/>
        <cfvo type="formula" val="$I$15&gt;14"/>
        <color rgb="FFFF7128"/>
        <color rgb="FF92D050"/>
      </colorScale>
    </cfRule>
  </conditionalFormatting>
  <conditionalFormatting sqref="N8:N11">
    <cfRule type="colorScale" priority="1">
      <colorScale>
        <cfvo type="formula" val="$N$7&lt;56"/>
        <cfvo type="formula" val="$N$7&gt;56"/>
        <color rgb="FFFF7128"/>
        <color rgb="FFFFEF9C"/>
      </colorScale>
    </cfRule>
  </conditionalFormatting>
  <dataValidations count="1">
    <dataValidation type="list" allowBlank="1" showInputMessage="1" showErrorMessage="1" promptTitle="Choose Type" prompt="Select Solar Type" sqref="I6:J7" xr:uid="{6F239C64-AD3B-4719-AFED-999A2D609A7A}">
      <formula1>$U$6:$U$8</formula1>
    </dataValidation>
  </dataValidations>
  <hyperlinks>
    <hyperlink ref="O3" r:id="rId1" xr:uid="{65B33CBE-89F0-4758-A1E8-CD93301D4C32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Ankesh Mishra</dc:creator>
  <cp:lastModifiedBy>Ankesh Mishra</cp:lastModifiedBy>
  <dcterms:created xsi:type="dcterms:W3CDTF">2025-05-12T06:16:54Z</dcterms:created>
  <dcterms:modified xsi:type="dcterms:W3CDTF">2025-05-29T04:44:54Z</dcterms:modified>
</cp:coreProperties>
</file>