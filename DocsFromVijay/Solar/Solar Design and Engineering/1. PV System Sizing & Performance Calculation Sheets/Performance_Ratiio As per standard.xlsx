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Solar design and Engineering\1. PV System Sizing &amp; Performance Calculation Sheets\"/>
    </mc:Choice>
  </mc:AlternateContent>
  <xr:revisionPtr revIDLastSave="0" documentId="13_ncr:1_{F9E48FD6-4BEC-4C3C-90D1-2CA2A24C4553}" xr6:coauthVersionLast="47" xr6:coauthVersionMax="47" xr10:uidLastSave="{00000000-0000-0000-0000-000000000000}"/>
  <bookViews>
    <workbookView xWindow="-108" yWindow="-108" windowWidth="23256" windowHeight="12456" xr2:uid="{6F5A8912-AF42-43EA-99A4-4B0F0E5C16AE}"/>
  </bookViews>
  <sheets>
    <sheet name="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U33" i="1"/>
  <c r="O19" i="1"/>
  <c r="O18" i="1"/>
  <c r="O20" i="1"/>
  <c r="O21" i="1"/>
  <c r="O22" i="1"/>
  <c r="O23" i="1"/>
  <c r="O24" i="1"/>
  <c r="U18" i="1"/>
  <c r="W18" i="1" s="1"/>
  <c r="U19" i="1"/>
  <c r="U20" i="1"/>
  <c r="U21" i="1"/>
  <c r="W21" i="1" s="1"/>
  <c r="U22" i="1"/>
  <c r="W22" i="1" s="1"/>
  <c r="U23" i="1"/>
  <c r="W23" i="1" s="1"/>
  <c r="U24" i="1"/>
  <c r="W24" i="1" s="1"/>
  <c r="W19" i="1"/>
  <c r="W20" i="1"/>
  <c r="O17" i="1"/>
  <c r="U17" i="1" s="1"/>
  <c r="W17" i="1" s="1"/>
  <c r="W25" i="1" s="1"/>
  <c r="E35" i="1"/>
</calcChain>
</file>

<file path=xl/sharedStrings.xml><?xml version="1.0" encoding="utf-8"?>
<sst xmlns="http://schemas.openxmlformats.org/spreadsheetml/2006/main" count="48" uniqueCount="40">
  <si>
    <t>Email: contact@flasysdesign.com</t>
  </si>
  <si>
    <t>https://www.flasysdesign.com/</t>
  </si>
  <si>
    <t xml:space="preserve">Calculation of Performance Ratio (PR) </t>
  </si>
  <si>
    <t xml:space="preserve">    PR =</t>
  </si>
  <si>
    <t>%</t>
  </si>
  <si>
    <t>EXPORT</t>
  </si>
  <si>
    <t>IMPORT</t>
  </si>
  <si>
    <t>BUILDING NAME</t>
  </si>
  <si>
    <t>METER SERIAL NO.</t>
  </si>
  <si>
    <t>PRESENT DATE</t>
  </si>
  <si>
    <t>PRESENT READING</t>
  </si>
  <si>
    <t>PAST DATE</t>
  </si>
  <si>
    <t>PAST READING</t>
  </si>
  <si>
    <t>DIFFERENCE</t>
  </si>
  <si>
    <t>TOTAL GENERATED (EXPORT-IMPORT)</t>
  </si>
  <si>
    <t>M.F</t>
  </si>
  <si>
    <t>NET READING (kWh)</t>
  </si>
  <si>
    <t>METER ERROR</t>
  </si>
  <si>
    <t>REMARKS</t>
  </si>
  <si>
    <t>AC Yield (kWh) - METER READING</t>
  </si>
  <si>
    <t>Representative from client</t>
  </si>
  <si>
    <t>Representative from Installer</t>
  </si>
  <si>
    <t xml:space="preserve">TOTAL GENERATED ENERGY:    </t>
  </si>
  <si>
    <t>Date</t>
  </si>
  <si>
    <t>Time</t>
  </si>
  <si>
    <t>S.R.</t>
  </si>
  <si>
    <t>Irradiation on tilted panels</t>
  </si>
  <si>
    <t xml:space="preserve"> </t>
  </si>
  <si>
    <t>Total Time</t>
  </si>
  <si>
    <t xml:space="preserve"> Average irradiation on tilted panels</t>
  </si>
  <si>
    <t>PERFORMANCE RATIO</t>
  </si>
  <si>
    <t xml:space="preserve">Total solar panel Area (m²) = Total Numbers of Modules Installed at Site * Area of One Module (as per data sheet)            </t>
  </si>
  <si>
    <t>Total Solar Panel area (m²) :</t>
  </si>
  <si>
    <t>Length of Solar Module (mm) :</t>
  </si>
  <si>
    <t>Breadth of Solar Module (mm) :</t>
  </si>
  <si>
    <t>Number of Solar Modules :</t>
  </si>
  <si>
    <t>RCC 1</t>
  </si>
  <si>
    <t>UPP12345</t>
  </si>
  <si>
    <t>Module Efficiency (η) :</t>
  </si>
  <si>
    <t>COMPANY NAME:
SITE NAME:
CAPACITY: 880.4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</si>
</sst>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2B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2" borderId="0" xfId="1" applyFill="1"/>
    <xf numFmtId="0" fontId="0" fillId="3" borderId="5" xfId="0" applyFill="1" applyBorder="1"/>
    <xf numFmtId="0" fontId="9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20" fontId="10" fillId="5" borderId="8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20" fontId="10" fillId="5" borderId="9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20" fontId="9" fillId="5" borderId="29" xfId="0" applyNumberFormat="1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vertical="top"/>
    </xf>
    <xf numFmtId="0" fontId="9" fillId="6" borderId="20" xfId="0" applyFont="1" applyFill="1" applyBorder="1" applyAlignment="1">
      <alignment vertical="top"/>
    </xf>
    <xf numFmtId="0" fontId="9" fillId="6" borderId="22" xfId="0" applyFont="1" applyFill="1" applyBorder="1" applyAlignment="1">
      <alignment vertical="top"/>
    </xf>
    <xf numFmtId="0" fontId="9" fillId="6" borderId="25" xfId="0" applyFont="1" applyFill="1" applyBorder="1" applyAlignment="1">
      <alignment vertical="center"/>
    </xf>
    <xf numFmtId="0" fontId="9" fillId="6" borderId="25" xfId="0" applyFont="1" applyFill="1" applyBorder="1" applyAlignment="1">
      <alignment vertical="top"/>
    </xf>
    <xf numFmtId="0" fontId="9" fillId="6" borderId="26" xfId="0" applyFont="1" applyFill="1" applyBorder="1" applyAlignment="1">
      <alignment vertical="top"/>
    </xf>
    <xf numFmtId="2" fontId="9" fillId="7" borderId="14" xfId="0" applyNumberFormat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2" fontId="9" fillId="7" borderId="9" xfId="0" applyNumberFormat="1" applyFont="1" applyFill="1" applyBorder="1" applyAlignment="1">
      <alignment horizontal="center" vertical="center"/>
    </xf>
    <xf numFmtId="2" fontId="9" fillId="7" borderId="10" xfId="0" applyNumberFormat="1" applyFont="1" applyFill="1" applyBorder="1" applyAlignment="1">
      <alignment horizontal="center" vertical="center"/>
    </xf>
    <xf numFmtId="2" fontId="9" fillId="7" borderId="1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2" fontId="5" fillId="9" borderId="3" xfId="0" applyNumberFormat="1" applyFont="1" applyFill="1" applyBorder="1" applyAlignment="1">
      <alignment horizontal="center" vertical="center"/>
    </xf>
    <xf numFmtId="2" fontId="5" fillId="9" borderId="2" xfId="0" applyNumberFormat="1" applyFont="1" applyFill="1" applyBorder="1" applyAlignment="1">
      <alignment horizontal="center" vertical="center"/>
    </xf>
    <xf numFmtId="2" fontId="5" fillId="9" borderId="4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2" fontId="9" fillId="7" borderId="32" xfId="0" applyNumberFormat="1" applyFont="1" applyFill="1" applyBorder="1" applyAlignment="1">
      <alignment horizontal="center" vertical="center"/>
    </xf>
    <xf numFmtId="2" fontId="9" fillId="7" borderId="31" xfId="0" applyNumberFormat="1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right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5" fillId="6" borderId="0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9" fillId="5" borderId="16" xfId="0" applyFont="1" applyFill="1" applyBorder="1" applyAlignment="1">
      <alignment horizontal="right" vertical="center"/>
    </xf>
    <xf numFmtId="0" fontId="9" fillId="5" borderId="18" xfId="0" applyFont="1" applyFill="1" applyBorder="1" applyAlignment="1">
      <alignment horizontal="right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0" fontId="9" fillId="6" borderId="0" xfId="0" applyFont="1" applyFill="1" applyBorder="1" applyAlignment="1">
      <alignment vertical="top"/>
    </xf>
    <xf numFmtId="0" fontId="9" fillId="6" borderId="2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7E2B2"/>
      <color rgb="FFD1E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594360</xdr:colOff>
      <xdr:row>4</xdr:row>
      <xdr:rowOff>60960</xdr:rowOff>
    </xdr:from>
    <xdr:to>
      <xdr:col>27</xdr:col>
      <xdr:colOff>556188</xdr:colOff>
      <xdr:row>6</xdr:row>
      <xdr:rowOff>52443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8663A-2218-4B02-A537-EAA6099B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4920" y="815340"/>
          <a:ext cx="1181028" cy="358140"/>
        </a:xfrm>
        <a:prstGeom prst="rect">
          <a:avLst/>
        </a:prstGeom>
      </xdr:spPr>
    </xdr:pic>
    <xdr:clientData/>
  </xdr:twoCellAnchor>
  <xdr:twoCellAnchor>
    <xdr:from>
      <xdr:col>8</xdr:col>
      <xdr:colOff>457199</xdr:colOff>
      <xdr:row>30</xdr:row>
      <xdr:rowOff>26895</xdr:rowOff>
    </xdr:from>
    <xdr:to>
      <xdr:col>10</xdr:col>
      <xdr:colOff>206187</xdr:colOff>
      <xdr:row>35</xdr:row>
      <xdr:rowOff>177185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F43AB8-80AE-305F-DF0D-27BECE1C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1952" y="5611907"/>
          <a:ext cx="1317811" cy="1154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17929</xdr:colOff>
      <xdr:row>6</xdr:row>
      <xdr:rowOff>3</xdr:rowOff>
    </xdr:from>
    <xdr:to>
      <xdr:col>7</xdr:col>
      <xdr:colOff>510987</xdr:colOff>
      <xdr:row>9</xdr:row>
      <xdr:rowOff>8855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DED3FD-07C7-8129-1172-65D68CD33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553" y="1102662"/>
          <a:ext cx="4267199" cy="546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266B-11CA-4DE1-B0DE-897313F27FF3}">
  <dimension ref="B2:AC37"/>
  <sheetViews>
    <sheetView tabSelected="1" zoomScale="70" zoomScaleNormal="70" workbookViewId="0">
      <selection activeCell="AC55" sqref="AC55"/>
    </sheetView>
  </sheetViews>
  <sheetFormatPr defaultRowHeight="14.4" x14ac:dyDescent="0.3"/>
  <cols>
    <col min="1" max="1" width="5.109375" style="1" customWidth="1"/>
    <col min="2" max="2" width="5.5546875" style="1" customWidth="1"/>
    <col min="3" max="3" width="14.77734375" style="1" customWidth="1"/>
    <col min="4" max="4" width="12.33203125" style="1" customWidth="1"/>
    <col min="5" max="8" width="7.44140625" style="1" customWidth="1"/>
    <col min="9" max="9" width="9.77734375" style="1" customWidth="1"/>
    <col min="10" max="10" width="13.109375" style="1" customWidth="1"/>
    <col min="11" max="11" width="12.21875" style="1" customWidth="1"/>
    <col min="12" max="12" width="9.21875" style="1" customWidth="1"/>
    <col min="13" max="13" width="8.6640625" style="1" customWidth="1"/>
    <col min="14" max="14" width="9.21875" style="1" customWidth="1"/>
    <col min="15" max="15" width="12.33203125" style="1" customWidth="1"/>
    <col min="16" max="16" width="9.77734375" style="1" customWidth="1"/>
    <col min="17" max="17" width="10.109375" style="1" customWidth="1"/>
    <col min="18" max="18" width="10.6640625" style="1" bestFit="1" customWidth="1"/>
    <col min="19" max="21" width="11.88671875" style="1" customWidth="1"/>
    <col min="22" max="22" width="7.109375" style="1" customWidth="1"/>
    <col min="23" max="23" width="9.88671875" style="1" customWidth="1"/>
    <col min="24" max="24" width="7.6640625" style="1" customWidth="1"/>
    <col min="25" max="25" width="11.88671875" style="1" customWidth="1"/>
    <col min="26" max="16384" width="8.88671875" style="1"/>
  </cols>
  <sheetData>
    <row r="2" spans="2:29" ht="14.4" customHeight="1" x14ac:dyDescent="0.3">
      <c r="B2" s="79" t="s">
        <v>2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1"/>
    </row>
    <row r="3" spans="2:29" ht="15" customHeight="1" x14ac:dyDescent="0.3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4"/>
    </row>
    <row r="4" spans="2:29" ht="15" customHeight="1" thickBot="1" x14ac:dyDescent="0.35">
      <c r="B4" s="2"/>
      <c r="C4" s="2"/>
      <c r="D4" s="2"/>
      <c r="E4" s="2"/>
      <c r="F4" s="2"/>
      <c r="G4" s="2"/>
      <c r="H4" s="2"/>
    </row>
    <row r="5" spans="2:29" ht="15" customHeight="1" thickTop="1" x14ac:dyDescent="0.3">
      <c r="B5" s="30" t="s">
        <v>30</v>
      </c>
      <c r="C5" s="31"/>
      <c r="D5" s="31"/>
      <c r="E5" s="31"/>
      <c r="F5" s="31"/>
      <c r="G5" s="31"/>
      <c r="H5" s="31"/>
      <c r="I5" s="88" t="s">
        <v>19</v>
      </c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1"/>
      <c r="AC5" s="4" t="s">
        <v>1</v>
      </c>
    </row>
    <row r="6" spans="2:29" x14ac:dyDescent="0.3">
      <c r="B6" s="32"/>
      <c r="C6" s="33"/>
      <c r="D6" s="33"/>
      <c r="E6" s="33"/>
      <c r="F6" s="33"/>
      <c r="G6" s="33"/>
      <c r="H6" s="33"/>
      <c r="I6" s="89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  <c r="AC6" s="1" t="s">
        <v>0</v>
      </c>
    </row>
    <row r="7" spans="2:29" ht="14.4" customHeight="1" x14ac:dyDescent="0.3">
      <c r="B7" s="5"/>
      <c r="C7" s="3"/>
      <c r="D7" s="3"/>
      <c r="E7" s="3"/>
      <c r="F7" s="3"/>
      <c r="G7" s="3"/>
      <c r="H7" s="3"/>
      <c r="I7" s="76" t="s">
        <v>39</v>
      </c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8"/>
    </row>
    <row r="8" spans="2:29" ht="14.4" customHeight="1" x14ac:dyDescent="0.3">
      <c r="B8" s="5"/>
      <c r="C8" s="3"/>
      <c r="D8" s="3"/>
      <c r="E8" s="3"/>
      <c r="F8" s="3"/>
      <c r="G8" s="3"/>
      <c r="H8" s="3"/>
      <c r="I8" s="76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8"/>
    </row>
    <row r="9" spans="2:29" ht="14.4" customHeight="1" x14ac:dyDescent="0.3">
      <c r="B9" s="5"/>
      <c r="C9" s="3"/>
      <c r="D9" s="3"/>
      <c r="E9" s="3"/>
      <c r="F9" s="3"/>
      <c r="G9" s="3"/>
      <c r="H9" s="3"/>
      <c r="I9" s="76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8"/>
    </row>
    <row r="10" spans="2:29" ht="15" customHeight="1" x14ac:dyDescent="0.3">
      <c r="B10" s="5"/>
      <c r="C10" s="3"/>
      <c r="D10" s="3"/>
      <c r="E10" s="3"/>
      <c r="F10" s="3"/>
      <c r="G10" s="3"/>
      <c r="H10" s="3"/>
      <c r="I10" s="76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8"/>
    </row>
    <row r="11" spans="2:29" ht="14.4" customHeight="1" x14ac:dyDescent="0.3">
      <c r="B11" s="5"/>
      <c r="C11" s="41" t="s">
        <v>3</v>
      </c>
      <c r="D11" s="37">
        <f>((W25*1000)/(E35*D35*U33*P32/100))*100</f>
        <v>85.167692816086301</v>
      </c>
      <c r="E11" s="38"/>
      <c r="F11" s="85" t="s">
        <v>4</v>
      </c>
      <c r="G11" s="3"/>
      <c r="H11" s="3"/>
      <c r="I11" s="57" t="s">
        <v>5</v>
      </c>
      <c r="J11" s="56"/>
      <c r="K11" s="56"/>
      <c r="L11" s="56"/>
      <c r="M11" s="56"/>
      <c r="N11" s="56"/>
      <c r="O11" s="56"/>
      <c r="P11" s="56" t="s">
        <v>6</v>
      </c>
      <c r="Q11" s="56"/>
      <c r="R11" s="56"/>
      <c r="S11" s="56"/>
      <c r="T11" s="56"/>
      <c r="U11" s="74"/>
      <c r="V11" s="74"/>
      <c r="W11" s="74"/>
      <c r="X11" s="74"/>
      <c r="Y11" s="75"/>
    </row>
    <row r="12" spans="2:29" ht="15" customHeight="1" x14ac:dyDescent="0.3">
      <c r="B12" s="5"/>
      <c r="C12" s="41"/>
      <c r="D12" s="39"/>
      <c r="E12" s="40"/>
      <c r="F12" s="85"/>
      <c r="G12" s="3"/>
      <c r="H12" s="3"/>
      <c r="I12" s="57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74"/>
      <c r="V12" s="74"/>
      <c r="W12" s="74"/>
      <c r="X12" s="74"/>
      <c r="Y12" s="75"/>
    </row>
    <row r="13" spans="2:29" ht="14.4" customHeight="1" thickBot="1" x14ac:dyDescent="0.35">
      <c r="B13" s="5"/>
      <c r="C13" s="3"/>
      <c r="D13" s="3"/>
      <c r="E13" s="3"/>
      <c r="F13" s="3"/>
      <c r="G13" s="3"/>
      <c r="H13" s="3"/>
      <c r="I13" s="69" t="s">
        <v>7</v>
      </c>
      <c r="J13" s="66" t="s">
        <v>8</v>
      </c>
      <c r="K13" s="66" t="s">
        <v>9</v>
      </c>
      <c r="L13" s="66" t="s">
        <v>10</v>
      </c>
      <c r="M13" s="66" t="s">
        <v>11</v>
      </c>
      <c r="N13" s="66" t="s">
        <v>12</v>
      </c>
      <c r="O13" s="66" t="s">
        <v>13</v>
      </c>
      <c r="P13" s="66" t="s">
        <v>9</v>
      </c>
      <c r="Q13" s="66" t="s">
        <v>10</v>
      </c>
      <c r="R13" s="66" t="s">
        <v>11</v>
      </c>
      <c r="S13" s="66" t="s">
        <v>12</v>
      </c>
      <c r="T13" s="66" t="s">
        <v>13</v>
      </c>
      <c r="U13" s="66" t="s">
        <v>14</v>
      </c>
      <c r="V13" s="66" t="s">
        <v>15</v>
      </c>
      <c r="W13" s="66" t="s">
        <v>16</v>
      </c>
      <c r="X13" s="66" t="s">
        <v>17</v>
      </c>
      <c r="Y13" s="68" t="s">
        <v>18</v>
      </c>
    </row>
    <row r="14" spans="2:29" ht="15" thickTop="1" x14ac:dyDescent="0.3">
      <c r="B14" s="52" t="s">
        <v>29</v>
      </c>
      <c r="C14" s="53"/>
      <c r="D14" s="53"/>
      <c r="E14" s="53"/>
      <c r="F14" s="53"/>
      <c r="G14" s="53"/>
      <c r="H14" s="53"/>
      <c r="I14" s="69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7"/>
      <c r="W14" s="66"/>
      <c r="X14" s="66"/>
      <c r="Y14" s="68"/>
    </row>
    <row r="15" spans="2:29" ht="14.4" customHeight="1" x14ac:dyDescent="0.3">
      <c r="B15" s="54"/>
      <c r="C15" s="55"/>
      <c r="D15" s="55"/>
      <c r="E15" s="55"/>
      <c r="F15" s="55"/>
      <c r="G15" s="55"/>
      <c r="H15" s="86"/>
      <c r="I15" s="69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7"/>
      <c r="W15" s="66"/>
      <c r="X15" s="66"/>
      <c r="Y15" s="68"/>
    </row>
    <row r="16" spans="2:29" ht="14.4" customHeight="1" x14ac:dyDescent="0.3">
      <c r="B16" s="57" t="s">
        <v>25</v>
      </c>
      <c r="C16" s="56" t="s">
        <v>23</v>
      </c>
      <c r="D16" s="56" t="s">
        <v>24</v>
      </c>
      <c r="E16" s="56" t="s">
        <v>26</v>
      </c>
      <c r="F16" s="56"/>
      <c r="G16" s="56"/>
      <c r="H16" s="87"/>
      <c r="I16" s="69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7"/>
      <c r="W16" s="66"/>
      <c r="X16" s="66"/>
      <c r="Y16" s="68"/>
    </row>
    <row r="17" spans="2:25" ht="14.4" customHeight="1" x14ac:dyDescent="0.3">
      <c r="B17" s="57"/>
      <c r="C17" s="56"/>
      <c r="D17" s="56"/>
      <c r="E17" s="56"/>
      <c r="F17" s="56"/>
      <c r="G17" s="56"/>
      <c r="H17" s="87"/>
      <c r="I17" s="90" t="s">
        <v>36</v>
      </c>
      <c r="J17" s="7" t="s">
        <v>37</v>
      </c>
      <c r="K17" s="28">
        <v>45714</v>
      </c>
      <c r="L17" s="7">
        <v>502.3</v>
      </c>
      <c r="M17" s="7"/>
      <c r="N17" s="7">
        <v>2.2999999999999998</v>
      </c>
      <c r="O17" s="29">
        <f>L17-N17</f>
        <v>500</v>
      </c>
      <c r="P17" s="7"/>
      <c r="Q17" s="7">
        <v>0</v>
      </c>
      <c r="R17" s="7"/>
      <c r="S17" s="7">
        <v>0</v>
      </c>
      <c r="T17" s="7">
        <v>0</v>
      </c>
      <c r="U17" s="29">
        <f>O17-T17</f>
        <v>500</v>
      </c>
      <c r="V17" s="7">
        <v>3</v>
      </c>
      <c r="W17" s="7">
        <f>U17*V17</f>
        <v>1500</v>
      </c>
      <c r="X17" s="7"/>
      <c r="Y17" s="27"/>
    </row>
    <row r="18" spans="2:25" ht="15" customHeight="1" x14ac:dyDescent="0.3">
      <c r="B18" s="11">
        <v>1</v>
      </c>
      <c r="C18" s="8"/>
      <c r="D18" s="9">
        <v>0.45833333333333331</v>
      </c>
      <c r="E18" s="47">
        <v>400</v>
      </c>
      <c r="F18" s="48"/>
      <c r="G18" s="48"/>
      <c r="H18" s="48"/>
      <c r="I18" s="90"/>
      <c r="J18" s="7"/>
      <c r="K18" s="7"/>
      <c r="L18" s="7"/>
      <c r="M18" s="7"/>
      <c r="N18" s="7"/>
      <c r="O18" s="29">
        <f t="shared" ref="O18:O24" si="0">L18-N18</f>
        <v>0</v>
      </c>
      <c r="P18" s="7"/>
      <c r="Q18" s="7"/>
      <c r="R18" s="7"/>
      <c r="S18" s="7"/>
      <c r="T18" s="7"/>
      <c r="U18" s="29">
        <f t="shared" ref="U18:U24" si="1">O18-T18</f>
        <v>0</v>
      </c>
      <c r="V18" s="7"/>
      <c r="W18" s="7">
        <f t="shared" ref="W18:W24" si="2">U18*V18</f>
        <v>0</v>
      </c>
      <c r="X18" s="7"/>
      <c r="Y18" s="27"/>
    </row>
    <row r="19" spans="2:25" ht="14.4" customHeight="1" x14ac:dyDescent="0.3">
      <c r="B19" s="11">
        <v>2</v>
      </c>
      <c r="C19" s="8"/>
      <c r="D19" s="9">
        <v>0.46875</v>
      </c>
      <c r="E19" s="47">
        <v>400</v>
      </c>
      <c r="F19" s="48"/>
      <c r="G19" s="48"/>
      <c r="H19" s="48"/>
      <c r="I19" s="90"/>
      <c r="J19" s="7"/>
      <c r="K19" s="7"/>
      <c r="L19" s="7"/>
      <c r="M19" s="7"/>
      <c r="N19" s="7"/>
      <c r="O19" s="29">
        <f>L19-N19</f>
        <v>0</v>
      </c>
      <c r="P19" s="7"/>
      <c r="Q19" s="7"/>
      <c r="R19" s="7"/>
      <c r="S19" s="7"/>
      <c r="T19" s="7"/>
      <c r="U19" s="29">
        <f t="shared" si="1"/>
        <v>0</v>
      </c>
      <c r="V19" s="7"/>
      <c r="W19" s="7">
        <f t="shared" si="2"/>
        <v>0</v>
      </c>
      <c r="X19" s="7"/>
      <c r="Y19" s="27"/>
    </row>
    <row r="20" spans="2:25" ht="15" customHeight="1" x14ac:dyDescent="0.3">
      <c r="B20" s="11">
        <v>3</v>
      </c>
      <c r="C20" s="8"/>
      <c r="D20" s="9">
        <v>0.47916666666666669</v>
      </c>
      <c r="E20" s="47">
        <v>400</v>
      </c>
      <c r="F20" s="48"/>
      <c r="G20" s="48"/>
      <c r="H20" s="48"/>
      <c r="I20" s="90"/>
      <c r="J20" s="7"/>
      <c r="K20" s="7"/>
      <c r="L20" s="7"/>
      <c r="M20" s="7"/>
      <c r="N20" s="7"/>
      <c r="O20" s="29">
        <f t="shared" si="0"/>
        <v>0</v>
      </c>
      <c r="P20" s="7"/>
      <c r="Q20" s="7"/>
      <c r="R20" s="7"/>
      <c r="S20" s="7"/>
      <c r="T20" s="7"/>
      <c r="U20" s="29">
        <f t="shared" si="1"/>
        <v>0</v>
      </c>
      <c r="V20" s="7"/>
      <c r="W20" s="7">
        <f t="shared" si="2"/>
        <v>0</v>
      </c>
      <c r="X20" s="7"/>
      <c r="Y20" s="27"/>
    </row>
    <row r="21" spans="2:25" ht="14.4" customHeight="1" x14ac:dyDescent="0.3">
      <c r="B21" s="11">
        <v>4</v>
      </c>
      <c r="C21" s="8"/>
      <c r="D21" s="9">
        <v>0.48958333333333331</v>
      </c>
      <c r="E21" s="47">
        <v>400</v>
      </c>
      <c r="F21" s="48"/>
      <c r="G21" s="48"/>
      <c r="H21" s="48"/>
      <c r="I21" s="90"/>
      <c r="J21" s="7"/>
      <c r="K21" s="7"/>
      <c r="L21" s="7"/>
      <c r="M21" s="7"/>
      <c r="N21" s="7"/>
      <c r="O21" s="29">
        <f t="shared" si="0"/>
        <v>0</v>
      </c>
      <c r="P21" s="7"/>
      <c r="Q21" s="7"/>
      <c r="R21" s="7"/>
      <c r="S21" s="7"/>
      <c r="T21" s="7"/>
      <c r="U21" s="29">
        <f t="shared" si="1"/>
        <v>0</v>
      </c>
      <c r="V21" s="7"/>
      <c r="W21" s="7">
        <f t="shared" si="2"/>
        <v>0</v>
      </c>
      <c r="X21" s="7"/>
      <c r="Y21" s="27"/>
    </row>
    <row r="22" spans="2:25" ht="15.6" x14ac:dyDescent="0.3">
      <c r="B22" s="11">
        <v>5</v>
      </c>
      <c r="C22" s="10"/>
      <c r="D22" s="9">
        <v>0.5</v>
      </c>
      <c r="E22" s="47">
        <v>400</v>
      </c>
      <c r="F22" s="48"/>
      <c r="G22" s="48"/>
      <c r="H22" s="48"/>
      <c r="I22" s="90"/>
      <c r="J22" s="7"/>
      <c r="K22" s="7"/>
      <c r="L22" s="7"/>
      <c r="M22" s="7"/>
      <c r="N22" s="7"/>
      <c r="O22" s="29">
        <f t="shared" si="0"/>
        <v>0</v>
      </c>
      <c r="P22" s="7"/>
      <c r="Q22" s="7"/>
      <c r="R22" s="7"/>
      <c r="S22" s="7"/>
      <c r="T22" s="7"/>
      <c r="U22" s="29">
        <f t="shared" si="1"/>
        <v>0</v>
      </c>
      <c r="V22" s="7"/>
      <c r="W22" s="7">
        <f t="shared" si="2"/>
        <v>0</v>
      </c>
      <c r="X22" s="7"/>
      <c r="Y22" s="27"/>
    </row>
    <row r="23" spans="2:25" ht="15.6" x14ac:dyDescent="0.3">
      <c r="B23" s="11">
        <v>6</v>
      </c>
      <c r="C23" s="8"/>
      <c r="D23" s="9">
        <v>0.51041666666666663</v>
      </c>
      <c r="E23" s="47">
        <v>400</v>
      </c>
      <c r="F23" s="48"/>
      <c r="G23" s="48"/>
      <c r="H23" s="48"/>
      <c r="I23" s="90"/>
      <c r="J23" s="7"/>
      <c r="K23" s="7"/>
      <c r="L23" s="7"/>
      <c r="M23" s="7"/>
      <c r="N23" s="7"/>
      <c r="O23" s="29">
        <f t="shared" si="0"/>
        <v>0</v>
      </c>
      <c r="P23" s="7"/>
      <c r="Q23" s="7"/>
      <c r="R23" s="7"/>
      <c r="S23" s="7"/>
      <c r="T23" s="7"/>
      <c r="U23" s="29">
        <f t="shared" si="1"/>
        <v>0</v>
      </c>
      <c r="V23" s="7"/>
      <c r="W23" s="7">
        <f t="shared" si="2"/>
        <v>0</v>
      </c>
      <c r="X23" s="7"/>
      <c r="Y23" s="27"/>
    </row>
    <row r="24" spans="2:25" ht="15.6" x14ac:dyDescent="0.3">
      <c r="B24" s="11">
        <v>7</v>
      </c>
      <c r="C24" s="8"/>
      <c r="D24" s="9">
        <v>0.52083333333333337</v>
      </c>
      <c r="E24" s="47">
        <v>400</v>
      </c>
      <c r="F24" s="48"/>
      <c r="G24" s="48"/>
      <c r="H24" s="48"/>
      <c r="I24" s="90"/>
      <c r="J24" s="7"/>
      <c r="K24" s="7"/>
      <c r="L24" s="7"/>
      <c r="M24" s="7"/>
      <c r="N24" s="7"/>
      <c r="O24" s="29">
        <f t="shared" si="0"/>
        <v>0</v>
      </c>
      <c r="P24" s="7"/>
      <c r="Q24" s="7"/>
      <c r="R24" s="7"/>
      <c r="S24" s="7"/>
      <c r="T24" s="7"/>
      <c r="U24" s="29">
        <f t="shared" si="1"/>
        <v>0</v>
      </c>
      <c r="V24" s="7"/>
      <c r="W24" s="7">
        <f t="shared" si="2"/>
        <v>0</v>
      </c>
      <c r="X24" s="7"/>
      <c r="Y24" s="27"/>
    </row>
    <row r="25" spans="2:25" ht="15.6" x14ac:dyDescent="0.3">
      <c r="B25" s="11">
        <v>8</v>
      </c>
      <c r="C25" s="8"/>
      <c r="D25" s="9">
        <v>0.53125</v>
      </c>
      <c r="E25" s="47">
        <v>400</v>
      </c>
      <c r="F25" s="48"/>
      <c r="G25" s="48"/>
      <c r="H25" s="48"/>
      <c r="I25" s="91" t="s">
        <v>22</v>
      </c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60">
        <f>SUM(W17:W24)</f>
        <v>1500</v>
      </c>
      <c r="X25" s="62"/>
      <c r="Y25" s="64"/>
    </row>
    <row r="26" spans="2:25" ht="15.6" x14ac:dyDescent="0.3">
      <c r="B26" s="11">
        <v>9</v>
      </c>
      <c r="C26" s="8"/>
      <c r="D26" s="9">
        <v>4.1666666666666664E-2</v>
      </c>
      <c r="E26" s="47">
        <v>400</v>
      </c>
      <c r="F26" s="48"/>
      <c r="G26" s="48"/>
      <c r="H26" s="48"/>
      <c r="I26" s="92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61"/>
      <c r="X26" s="63"/>
      <c r="Y26" s="65"/>
    </row>
    <row r="27" spans="2:25" ht="14.4" customHeight="1" x14ac:dyDescent="0.3">
      <c r="B27" s="11">
        <v>10</v>
      </c>
      <c r="C27" s="8"/>
      <c r="D27" s="9">
        <v>5.2083333333333336E-2</v>
      </c>
      <c r="E27" s="47">
        <v>400</v>
      </c>
      <c r="F27" s="48"/>
      <c r="G27" s="48"/>
      <c r="H27" s="48"/>
      <c r="I27" s="93" t="s">
        <v>20</v>
      </c>
      <c r="J27" s="42"/>
      <c r="K27" s="42"/>
      <c r="L27" s="42"/>
      <c r="M27" s="42"/>
      <c r="N27" s="42"/>
      <c r="O27" s="42"/>
      <c r="P27" s="42"/>
      <c r="Q27" s="42"/>
      <c r="R27" s="42" t="s">
        <v>21</v>
      </c>
      <c r="S27" s="42"/>
      <c r="T27" s="42"/>
      <c r="U27" s="42"/>
      <c r="V27" s="42"/>
      <c r="W27" s="42"/>
      <c r="X27" s="42"/>
      <c r="Y27" s="44"/>
    </row>
    <row r="28" spans="2:25" ht="15" customHeight="1" x14ac:dyDescent="0.3">
      <c r="B28" s="11">
        <v>11</v>
      </c>
      <c r="C28" s="8"/>
      <c r="D28" s="9">
        <v>6.25E-2</v>
      </c>
      <c r="E28" s="47">
        <v>400</v>
      </c>
      <c r="F28" s="48"/>
      <c r="G28" s="48"/>
      <c r="H28" s="48"/>
      <c r="I28" s="94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45"/>
    </row>
    <row r="29" spans="2:25" ht="15.6" x14ac:dyDescent="0.3">
      <c r="B29" s="11">
        <v>12</v>
      </c>
      <c r="C29" s="8"/>
      <c r="D29" s="9">
        <v>7.2916666666666671E-2</v>
      </c>
      <c r="E29" s="47">
        <v>400</v>
      </c>
      <c r="F29" s="48"/>
      <c r="G29" s="48"/>
      <c r="H29" s="48"/>
      <c r="I29" s="94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45"/>
    </row>
    <row r="30" spans="2:25" ht="15.6" x14ac:dyDescent="0.3">
      <c r="B30" s="11">
        <v>13</v>
      </c>
      <c r="C30" s="8"/>
      <c r="D30" s="9">
        <v>8.3333333333333329E-2</v>
      </c>
      <c r="E30" s="47">
        <v>400</v>
      </c>
      <c r="F30" s="48"/>
      <c r="G30" s="48"/>
      <c r="H30" s="48"/>
      <c r="I30" s="96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6"/>
    </row>
    <row r="31" spans="2:25" ht="15.6" x14ac:dyDescent="0.3">
      <c r="B31" s="11">
        <v>14</v>
      </c>
      <c r="C31" s="8"/>
      <c r="D31" s="9">
        <v>9.375E-2</v>
      </c>
      <c r="E31" s="47">
        <v>400</v>
      </c>
      <c r="F31" s="48"/>
      <c r="G31" s="48"/>
      <c r="H31" s="48"/>
      <c r="I31" s="97"/>
      <c r="J31" s="98"/>
      <c r="K31" s="98"/>
      <c r="L31" s="20" t="s">
        <v>31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</row>
    <row r="32" spans="2:25" ht="15.6" x14ac:dyDescent="0.3">
      <c r="B32" s="11">
        <v>15</v>
      </c>
      <c r="C32" s="8"/>
      <c r="D32" s="9">
        <v>0.10416666666666667</v>
      </c>
      <c r="E32" s="47">
        <v>400</v>
      </c>
      <c r="F32" s="48"/>
      <c r="G32" s="48"/>
      <c r="H32" s="48"/>
      <c r="I32" s="97"/>
      <c r="J32" s="98"/>
      <c r="K32" s="98"/>
      <c r="L32" s="99" t="s">
        <v>38</v>
      </c>
      <c r="M32" s="99"/>
      <c r="N32" s="99"/>
      <c r="O32" s="99"/>
      <c r="P32" s="6">
        <v>15.98</v>
      </c>
      <c r="Q32" s="99"/>
      <c r="R32" s="99"/>
      <c r="S32" s="99"/>
      <c r="T32" s="99"/>
      <c r="U32" s="99"/>
      <c r="V32" s="99"/>
      <c r="W32" s="99"/>
      <c r="X32" s="99"/>
      <c r="Y32" s="22"/>
    </row>
    <row r="33" spans="2:25" ht="15.6" x14ac:dyDescent="0.3">
      <c r="B33" s="11">
        <v>16</v>
      </c>
      <c r="C33" s="8"/>
      <c r="D33" s="9">
        <v>0.11458333333333333</v>
      </c>
      <c r="E33" s="47">
        <v>400</v>
      </c>
      <c r="F33" s="48"/>
      <c r="G33" s="48"/>
      <c r="H33" s="48"/>
      <c r="I33" s="97"/>
      <c r="J33" s="98"/>
      <c r="K33" s="98"/>
      <c r="L33" s="99" t="s">
        <v>33</v>
      </c>
      <c r="M33" s="99"/>
      <c r="N33" s="99"/>
      <c r="O33" s="99"/>
      <c r="P33" s="6">
        <v>1960</v>
      </c>
      <c r="Q33" s="99"/>
      <c r="R33" s="99"/>
      <c r="S33" s="99"/>
      <c r="T33" s="99"/>
      <c r="U33" s="34">
        <f>(P33*P34/1000000)*P35</f>
        <v>5510.7359999999999</v>
      </c>
      <c r="V33" s="99"/>
      <c r="W33" s="99"/>
      <c r="X33" s="99"/>
      <c r="Y33" s="22"/>
    </row>
    <row r="34" spans="2:25" ht="16.2" thickBot="1" x14ac:dyDescent="0.35">
      <c r="B34" s="12">
        <v>17</v>
      </c>
      <c r="C34" s="14" t="s">
        <v>27</v>
      </c>
      <c r="D34" s="13">
        <v>0.125</v>
      </c>
      <c r="E34" s="47">
        <v>400</v>
      </c>
      <c r="F34" s="48"/>
      <c r="G34" s="48"/>
      <c r="H34" s="48"/>
      <c r="I34" s="97"/>
      <c r="J34" s="98"/>
      <c r="K34" s="98"/>
      <c r="L34" s="99" t="s">
        <v>34</v>
      </c>
      <c r="M34" s="99"/>
      <c r="N34" s="99"/>
      <c r="O34" s="99"/>
      <c r="P34" s="6">
        <v>990</v>
      </c>
      <c r="Q34" s="99"/>
      <c r="R34" s="99" t="s">
        <v>32</v>
      </c>
      <c r="S34" s="99"/>
      <c r="T34" s="99"/>
      <c r="U34" s="35"/>
      <c r="V34" s="99"/>
      <c r="W34" s="99" t="s">
        <v>27</v>
      </c>
      <c r="X34" s="99"/>
      <c r="Y34" s="22"/>
    </row>
    <row r="35" spans="2:25" ht="16.2" thickTop="1" x14ac:dyDescent="0.3">
      <c r="B35" s="18"/>
      <c r="C35" s="19"/>
      <c r="D35" s="26">
        <v>5</v>
      </c>
      <c r="E35" s="49">
        <f>AVERAGE(E18:H34)</f>
        <v>400</v>
      </c>
      <c r="F35" s="50"/>
      <c r="G35" s="50"/>
      <c r="H35" s="50"/>
      <c r="I35" s="97"/>
      <c r="J35" s="98"/>
      <c r="K35" s="98"/>
      <c r="L35" s="99" t="s">
        <v>35</v>
      </c>
      <c r="M35" s="99"/>
      <c r="N35" s="99"/>
      <c r="O35" s="99"/>
      <c r="P35" s="6">
        <v>2840</v>
      </c>
      <c r="Q35" s="99"/>
      <c r="R35" s="99"/>
      <c r="S35" s="99"/>
      <c r="T35" s="99"/>
      <c r="U35" s="36"/>
      <c r="V35" s="99"/>
      <c r="W35" s="99"/>
      <c r="X35" s="99"/>
      <c r="Y35" s="22"/>
    </row>
    <row r="36" spans="2:25" ht="16.2" thickBot="1" x14ac:dyDescent="0.35">
      <c r="B36" s="15"/>
      <c r="C36" s="16"/>
      <c r="D36" s="17" t="s">
        <v>28</v>
      </c>
      <c r="E36" s="51" t="s">
        <v>27</v>
      </c>
      <c r="F36" s="51"/>
      <c r="G36" s="51"/>
      <c r="H36" s="51"/>
      <c r="I36" s="100" t="s">
        <v>27</v>
      </c>
      <c r="J36" s="23"/>
      <c r="K36" s="23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5"/>
    </row>
    <row r="37" spans="2:25" ht="15" thickTop="1" x14ac:dyDescent="0.3"/>
  </sheetData>
  <mergeCells count="58">
    <mergeCell ref="B2:Y3"/>
    <mergeCell ref="F11:F12"/>
    <mergeCell ref="I13:I16"/>
    <mergeCell ref="I5:Y6"/>
    <mergeCell ref="I11:O12"/>
    <mergeCell ref="P11:T12"/>
    <mergeCell ref="U11:Y12"/>
    <mergeCell ref="I7:Y10"/>
    <mergeCell ref="N13:N16"/>
    <mergeCell ref="M13:M16"/>
    <mergeCell ref="L13:L16"/>
    <mergeCell ref="K13:K16"/>
    <mergeCell ref="J13:J16"/>
    <mergeCell ref="X25:X26"/>
    <mergeCell ref="Y25:Y26"/>
    <mergeCell ref="U13:U16"/>
    <mergeCell ref="T13:T16"/>
    <mergeCell ref="O13:O16"/>
    <mergeCell ref="P13:P16"/>
    <mergeCell ref="Q13:Q16"/>
    <mergeCell ref="R13:R16"/>
    <mergeCell ref="S13:S16"/>
    <mergeCell ref="V13:V16"/>
    <mergeCell ref="W13:W16"/>
    <mergeCell ref="X13:X16"/>
    <mergeCell ref="Y13:Y16"/>
    <mergeCell ref="E23:H23"/>
    <mergeCell ref="E24:H24"/>
    <mergeCell ref="E25:H25"/>
    <mergeCell ref="I25:V26"/>
    <mergeCell ref="W25:W26"/>
    <mergeCell ref="E18:H18"/>
    <mergeCell ref="E19:H19"/>
    <mergeCell ref="E20:H20"/>
    <mergeCell ref="E21:H21"/>
    <mergeCell ref="E22:H22"/>
    <mergeCell ref="E36:H36"/>
    <mergeCell ref="E26:H26"/>
    <mergeCell ref="E27:H27"/>
    <mergeCell ref="E28:H28"/>
    <mergeCell ref="E29:H29"/>
    <mergeCell ref="E30:H30"/>
    <mergeCell ref="B5:H6"/>
    <mergeCell ref="U33:U35"/>
    <mergeCell ref="D11:E12"/>
    <mergeCell ref="C11:C12"/>
    <mergeCell ref="I27:Q30"/>
    <mergeCell ref="R27:Y30"/>
    <mergeCell ref="E34:H34"/>
    <mergeCell ref="E35:H35"/>
    <mergeCell ref="E31:H31"/>
    <mergeCell ref="E32:H32"/>
    <mergeCell ref="E33:H33"/>
    <mergeCell ref="B14:H15"/>
    <mergeCell ref="C16:C17"/>
    <mergeCell ref="D16:D17"/>
    <mergeCell ref="B16:B17"/>
    <mergeCell ref="E16:H17"/>
  </mergeCells>
  <hyperlinks>
    <hyperlink ref="AC5" r:id="rId1" xr:uid="{2D627EB5-3E60-460F-BE04-CB3B4E8D2D9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2025-05-12T06:16:54Z</dcterms:created>
  <dcterms:modified xsi:type="dcterms:W3CDTF">2025-05-29T06:16:10Z</dcterms:modified>
</cp:coreProperties>
</file>