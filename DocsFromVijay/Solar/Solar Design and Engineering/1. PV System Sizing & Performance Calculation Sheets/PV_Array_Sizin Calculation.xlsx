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from chat GPT\Solar design and Engineering\1. PV System Sizing &amp; Performance Calculation Sheets\"/>
    </mc:Choice>
  </mc:AlternateContent>
  <xr:revisionPtr revIDLastSave="0" documentId="13_ncr:1_{984C1340-5116-4A2F-9CAC-7EEC758F50CA}" xr6:coauthVersionLast="47" xr6:coauthVersionMax="47" xr10:uidLastSave="{00000000-0000-0000-0000-000000000000}"/>
  <bookViews>
    <workbookView xWindow="-108" yWindow="-108" windowWidth="23256" windowHeight="12456" xr2:uid="{6F5A8912-AF42-43EA-99A4-4B0F0E5C16AE}"/>
  </bookViews>
  <sheets>
    <sheet name="PV Array Sizing" sheetId="1" r:id="rId1"/>
  </sheets>
  <definedNames>
    <definedName name="_xlnm.Print_Area" localSheetId="0">'PV Array Sizing'!$A$1:$K$41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" i="1" l="1"/>
  <c r="E36" i="1" s="1"/>
  <c r="I36" i="1" s="1"/>
  <c r="E39" i="1" l="1"/>
</calcChain>
</file>

<file path=xl/sharedStrings.xml><?xml version="1.0" encoding="utf-8"?>
<sst xmlns="http://schemas.openxmlformats.org/spreadsheetml/2006/main" count="23" uniqueCount="23">
  <si>
    <t>Email: contact@flasysdesign.com</t>
  </si>
  <si>
    <t>https://www.flasysdesign.com/</t>
  </si>
  <si>
    <t>PV Array Sizing Calculation</t>
  </si>
  <si>
    <t>Module Tilt</t>
  </si>
  <si>
    <t>Module Orientation</t>
  </si>
  <si>
    <t>Table Size</t>
  </si>
  <si>
    <t>Module Size (mm)</t>
  </si>
  <si>
    <t>Breadth</t>
  </si>
  <si>
    <t>Length</t>
  </si>
  <si>
    <t>Roof Area (Meter Square)</t>
  </si>
  <si>
    <t>Potrait</t>
  </si>
  <si>
    <t>Module Spacing (mm)</t>
  </si>
  <si>
    <t>Row Spacing (mm)</t>
  </si>
  <si>
    <t>Table Spacing (mm)</t>
  </si>
  <si>
    <t>Horizontal</t>
  </si>
  <si>
    <t>Vertical</t>
  </si>
  <si>
    <t>Module Watt</t>
  </si>
  <si>
    <t>Total Modules</t>
  </si>
  <si>
    <t>Capacity (kW)</t>
  </si>
  <si>
    <t>No. of Tables</t>
  </si>
  <si>
    <t>RESULT</t>
  </si>
  <si>
    <t>Please fill Input in white Boxes</t>
  </si>
  <si>
    <t>Note: If roof or area has some uneven obstruction then actual capacity may vary.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</si>
</sst>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7E2B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4" fillId="2" borderId="0" xfId="1" applyFill="1"/>
    <xf numFmtId="0" fontId="0" fillId="3" borderId="0" xfId="0" applyFill="1"/>
    <xf numFmtId="0" fontId="0" fillId="3" borderId="1" xfId="0" applyFill="1" applyBorder="1"/>
    <xf numFmtId="0" fontId="8" fillId="3" borderId="12" xfId="0" applyFont="1" applyFill="1" applyBorder="1"/>
    <xf numFmtId="0" fontId="0" fillId="3" borderId="12" xfId="0" applyFill="1" applyBorder="1"/>
    <xf numFmtId="0" fontId="0" fillId="3" borderId="3" xfId="0" applyFill="1" applyBorder="1"/>
    <xf numFmtId="0" fontId="0" fillId="3" borderId="13" xfId="0" applyFill="1" applyBorder="1"/>
    <xf numFmtId="0" fontId="0" fillId="3" borderId="4" xfId="0" applyFill="1" applyBorder="1"/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8" fillId="3" borderId="0" xfId="0" applyFont="1" applyFill="1"/>
    <xf numFmtId="0" fontId="2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9" fillId="3" borderId="12" xfId="0" applyFont="1" applyFill="1" applyBorder="1"/>
    <xf numFmtId="0" fontId="7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D7E2B2"/>
      <color rgb="FFD1E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13</xdr:col>
      <xdr:colOff>571428</xdr:colOff>
      <xdr:row>3</xdr:row>
      <xdr:rowOff>167640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B8663A-2218-4B02-A537-EAA6099B3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5640" y="373380"/>
          <a:ext cx="1181028" cy="358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lasysdesig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266B-11CA-4DE1-B0DE-897313F27FF3}">
  <dimension ref="B1:O45"/>
  <sheetViews>
    <sheetView tabSelected="1" zoomScale="80" zoomScaleNormal="80" workbookViewId="0">
      <selection activeCell="U17" sqref="U17"/>
    </sheetView>
  </sheetViews>
  <sheetFormatPr defaultRowHeight="14.4" x14ac:dyDescent="0.3"/>
  <cols>
    <col min="1" max="1" width="5.109375" style="1" customWidth="1"/>
    <col min="2" max="2" width="3.88671875" style="1" customWidth="1"/>
    <col min="3" max="3" width="8.88671875" style="1"/>
    <col min="4" max="4" width="10.88671875" style="1" customWidth="1"/>
    <col min="5" max="5" width="8.88671875" style="1"/>
    <col min="6" max="6" width="8.88671875" style="1" customWidth="1"/>
    <col min="7" max="8" width="8.88671875" style="1"/>
    <col min="9" max="9" width="11.88671875" style="1" customWidth="1"/>
    <col min="10" max="10" width="16.5546875" style="1" customWidth="1"/>
    <col min="11" max="11" width="3.6640625" style="1" customWidth="1"/>
    <col min="12" max="16384" width="8.88671875" style="1"/>
  </cols>
  <sheetData>
    <row r="1" spans="2:15" ht="15" thickBot="1" x14ac:dyDescent="0.35"/>
    <row r="2" spans="2:15" ht="14.4" customHeight="1" x14ac:dyDescent="0.3">
      <c r="B2" s="28" t="s">
        <v>2</v>
      </c>
      <c r="C2" s="29"/>
      <c r="D2" s="29"/>
      <c r="E2" s="29"/>
      <c r="F2" s="29"/>
      <c r="G2" s="29"/>
      <c r="H2" s="29"/>
      <c r="I2" s="29"/>
      <c r="J2" s="29"/>
      <c r="K2" s="30"/>
    </row>
    <row r="3" spans="2:15" ht="15" customHeight="1" thickBot="1" x14ac:dyDescent="0.35">
      <c r="B3" s="31"/>
      <c r="C3" s="32"/>
      <c r="D3" s="32"/>
      <c r="E3" s="32"/>
      <c r="F3" s="32"/>
      <c r="G3" s="32"/>
      <c r="H3" s="32"/>
      <c r="I3" s="32"/>
      <c r="J3" s="32"/>
      <c r="K3" s="33"/>
      <c r="O3" s="3" t="s">
        <v>1</v>
      </c>
    </row>
    <row r="4" spans="2:15" ht="15" customHeight="1" x14ac:dyDescent="0.3">
      <c r="B4" s="2"/>
      <c r="C4" s="2"/>
      <c r="D4" s="2"/>
      <c r="E4" s="2"/>
      <c r="F4" s="2"/>
      <c r="G4" s="2"/>
      <c r="H4" s="2"/>
      <c r="I4" s="2"/>
      <c r="J4" s="2"/>
      <c r="K4" s="2"/>
      <c r="O4" s="1" t="s">
        <v>0</v>
      </c>
    </row>
    <row r="5" spans="2:15" ht="18" x14ac:dyDescent="0.35">
      <c r="B5" s="5"/>
      <c r="C5" s="6" t="s">
        <v>21</v>
      </c>
      <c r="D5" s="7"/>
      <c r="E5" s="7"/>
      <c r="F5" s="7"/>
      <c r="G5" s="7"/>
      <c r="H5" s="7"/>
      <c r="I5" s="7"/>
      <c r="J5" s="7"/>
      <c r="K5" s="8"/>
    </row>
    <row r="6" spans="2:15" ht="18" x14ac:dyDescent="0.35">
      <c r="B6" s="9"/>
      <c r="C6" s="13"/>
      <c r="D6" s="4"/>
      <c r="E6" s="4"/>
      <c r="F6" s="4"/>
      <c r="G6" s="4"/>
      <c r="H6" s="4"/>
      <c r="I6" s="4"/>
      <c r="J6" s="4"/>
      <c r="K6" s="10"/>
    </row>
    <row r="7" spans="2:15" ht="14.4" customHeight="1" x14ac:dyDescent="0.3">
      <c r="B7" s="9"/>
      <c r="C7" s="34" t="s">
        <v>6</v>
      </c>
      <c r="D7" s="34"/>
      <c r="E7" s="34"/>
      <c r="F7" s="39" t="s">
        <v>8</v>
      </c>
      <c r="G7" s="38">
        <v>2250</v>
      </c>
      <c r="H7" s="38"/>
      <c r="I7" s="37" t="s">
        <v>7</v>
      </c>
      <c r="J7" s="36">
        <v>1130</v>
      </c>
      <c r="K7" s="10"/>
    </row>
    <row r="8" spans="2:15" ht="14.4" customHeight="1" x14ac:dyDescent="0.3">
      <c r="B8" s="9"/>
      <c r="C8" s="34"/>
      <c r="D8" s="34"/>
      <c r="E8" s="34"/>
      <c r="F8" s="39"/>
      <c r="G8" s="38"/>
      <c r="H8" s="38"/>
      <c r="I8" s="37"/>
      <c r="J8" s="36"/>
      <c r="K8" s="10"/>
    </row>
    <row r="9" spans="2:15" ht="14.4" customHeight="1" x14ac:dyDescent="0.3">
      <c r="B9" s="9"/>
      <c r="C9" s="11"/>
      <c r="D9" s="11"/>
      <c r="E9" s="11"/>
      <c r="F9" s="14"/>
      <c r="G9" s="14"/>
      <c r="H9" s="14"/>
      <c r="I9" s="15"/>
      <c r="J9" s="15"/>
      <c r="K9" s="10"/>
    </row>
    <row r="10" spans="2:15" x14ac:dyDescent="0.3">
      <c r="B10" s="9"/>
      <c r="C10" s="34" t="s">
        <v>9</v>
      </c>
      <c r="D10" s="35"/>
      <c r="E10" s="35"/>
      <c r="F10" s="35"/>
      <c r="G10" s="35"/>
      <c r="H10" s="35"/>
      <c r="I10" s="36">
        <v>25000</v>
      </c>
      <c r="J10" s="36"/>
      <c r="K10" s="10"/>
    </row>
    <row r="11" spans="2:15" x14ac:dyDescent="0.3">
      <c r="B11" s="9"/>
      <c r="C11" s="35"/>
      <c r="D11" s="35"/>
      <c r="E11" s="35"/>
      <c r="F11" s="35"/>
      <c r="G11" s="35"/>
      <c r="H11" s="35"/>
      <c r="I11" s="36"/>
      <c r="J11" s="36"/>
      <c r="K11" s="10"/>
    </row>
    <row r="12" spans="2:15" ht="18" x14ac:dyDescent="0.3">
      <c r="B12" s="9"/>
      <c r="C12" s="12"/>
      <c r="D12" s="12"/>
      <c r="E12" s="12"/>
      <c r="F12" s="12"/>
      <c r="G12" s="12"/>
      <c r="H12" s="12"/>
      <c r="I12" s="15"/>
      <c r="J12" s="15"/>
      <c r="K12" s="10"/>
    </row>
    <row r="13" spans="2:15" x14ac:dyDescent="0.3">
      <c r="B13" s="9"/>
      <c r="C13" s="34" t="s">
        <v>3</v>
      </c>
      <c r="D13" s="35"/>
      <c r="E13" s="35"/>
      <c r="F13" s="35"/>
      <c r="G13" s="35"/>
      <c r="H13" s="35"/>
      <c r="I13" s="36">
        <v>5</v>
      </c>
      <c r="J13" s="36"/>
      <c r="K13" s="10"/>
    </row>
    <row r="14" spans="2:15" x14ac:dyDescent="0.3">
      <c r="B14" s="9"/>
      <c r="C14" s="35"/>
      <c r="D14" s="35"/>
      <c r="E14" s="35"/>
      <c r="F14" s="35"/>
      <c r="G14" s="35"/>
      <c r="H14" s="35"/>
      <c r="I14" s="36"/>
      <c r="J14" s="36"/>
      <c r="K14" s="10"/>
    </row>
    <row r="15" spans="2:15" ht="18" x14ac:dyDescent="0.3">
      <c r="B15" s="9"/>
      <c r="C15" s="12"/>
      <c r="D15" s="12"/>
      <c r="E15" s="12"/>
      <c r="F15" s="12"/>
      <c r="G15" s="12"/>
      <c r="H15" s="12"/>
      <c r="I15" s="15"/>
      <c r="J15" s="15"/>
      <c r="K15" s="10"/>
    </row>
    <row r="16" spans="2:15" x14ac:dyDescent="0.3">
      <c r="B16" s="9"/>
      <c r="C16" s="34" t="s">
        <v>16</v>
      </c>
      <c r="D16" s="35"/>
      <c r="E16" s="35"/>
      <c r="F16" s="35"/>
      <c r="G16" s="35"/>
      <c r="H16" s="35"/>
      <c r="I16" s="36">
        <v>715</v>
      </c>
      <c r="J16" s="36"/>
      <c r="K16" s="10"/>
    </row>
    <row r="17" spans="2:11" x14ac:dyDescent="0.3">
      <c r="B17" s="9"/>
      <c r="C17" s="35"/>
      <c r="D17" s="35"/>
      <c r="E17" s="35"/>
      <c r="F17" s="35"/>
      <c r="G17" s="35"/>
      <c r="H17" s="35"/>
      <c r="I17" s="36"/>
      <c r="J17" s="36"/>
      <c r="K17" s="10"/>
    </row>
    <row r="18" spans="2:11" ht="18" x14ac:dyDescent="0.3">
      <c r="B18" s="9"/>
      <c r="C18" s="12"/>
      <c r="D18" s="12"/>
      <c r="E18" s="12"/>
      <c r="F18" s="12"/>
      <c r="G18" s="12"/>
      <c r="H18" s="12"/>
      <c r="I18" s="15"/>
      <c r="J18" s="15"/>
      <c r="K18" s="10"/>
    </row>
    <row r="19" spans="2:11" x14ac:dyDescent="0.3">
      <c r="B19" s="9"/>
      <c r="C19" s="34" t="s">
        <v>13</v>
      </c>
      <c r="D19" s="35"/>
      <c r="E19" s="35"/>
      <c r="F19" s="35"/>
      <c r="G19" s="35"/>
      <c r="H19" s="35"/>
      <c r="I19" s="36">
        <v>1500</v>
      </c>
      <c r="J19" s="36"/>
      <c r="K19" s="10"/>
    </row>
    <row r="20" spans="2:11" x14ac:dyDescent="0.3">
      <c r="B20" s="9"/>
      <c r="C20" s="35"/>
      <c r="D20" s="35"/>
      <c r="E20" s="35"/>
      <c r="F20" s="35"/>
      <c r="G20" s="35"/>
      <c r="H20" s="35"/>
      <c r="I20" s="36"/>
      <c r="J20" s="36"/>
      <c r="K20" s="10"/>
    </row>
    <row r="21" spans="2:11" ht="18" x14ac:dyDescent="0.3">
      <c r="B21" s="9"/>
      <c r="C21" s="12"/>
      <c r="D21" s="12"/>
      <c r="E21" s="12"/>
      <c r="F21" s="12"/>
      <c r="G21" s="12"/>
      <c r="H21" s="12"/>
      <c r="I21" s="15"/>
      <c r="J21" s="15"/>
      <c r="K21" s="10"/>
    </row>
    <row r="22" spans="2:11" x14ac:dyDescent="0.3">
      <c r="B22" s="9"/>
      <c r="C22" s="34" t="s">
        <v>11</v>
      </c>
      <c r="D22" s="35"/>
      <c r="E22" s="35"/>
      <c r="F22" s="35"/>
      <c r="G22" s="35"/>
      <c r="H22" s="35"/>
      <c r="I22" s="36">
        <v>25</v>
      </c>
      <c r="J22" s="36"/>
      <c r="K22" s="10"/>
    </row>
    <row r="23" spans="2:11" x14ac:dyDescent="0.3">
      <c r="B23" s="9"/>
      <c r="C23" s="35"/>
      <c r="D23" s="35"/>
      <c r="E23" s="35"/>
      <c r="F23" s="35"/>
      <c r="G23" s="35"/>
      <c r="H23" s="35"/>
      <c r="I23" s="36"/>
      <c r="J23" s="36"/>
      <c r="K23" s="10"/>
    </row>
    <row r="24" spans="2:11" ht="18" x14ac:dyDescent="0.3">
      <c r="B24" s="9"/>
      <c r="C24" s="12"/>
      <c r="D24" s="12"/>
      <c r="E24" s="12"/>
      <c r="F24" s="12"/>
      <c r="G24" s="12"/>
      <c r="H24" s="12"/>
      <c r="I24" s="15"/>
      <c r="J24" s="15"/>
      <c r="K24" s="10"/>
    </row>
    <row r="25" spans="2:11" x14ac:dyDescent="0.3">
      <c r="B25" s="9"/>
      <c r="C25" s="34" t="s">
        <v>12</v>
      </c>
      <c r="D25" s="35"/>
      <c r="E25" s="35"/>
      <c r="F25" s="35"/>
      <c r="G25" s="35"/>
      <c r="H25" s="35"/>
      <c r="I25" s="36">
        <v>600</v>
      </c>
      <c r="J25" s="36"/>
      <c r="K25" s="10"/>
    </row>
    <row r="26" spans="2:11" x14ac:dyDescent="0.3">
      <c r="B26" s="9"/>
      <c r="C26" s="35"/>
      <c r="D26" s="35"/>
      <c r="E26" s="35"/>
      <c r="F26" s="35"/>
      <c r="G26" s="35"/>
      <c r="H26" s="35"/>
      <c r="I26" s="36"/>
      <c r="J26" s="36"/>
      <c r="K26" s="10"/>
    </row>
    <row r="27" spans="2:11" ht="18" x14ac:dyDescent="0.3">
      <c r="B27" s="9"/>
      <c r="C27" s="12"/>
      <c r="D27" s="12"/>
      <c r="E27" s="12"/>
      <c r="F27" s="12"/>
      <c r="G27" s="12"/>
      <c r="H27" s="12"/>
      <c r="I27" s="15"/>
      <c r="J27" s="15"/>
      <c r="K27" s="10"/>
    </row>
    <row r="28" spans="2:11" ht="14.4" customHeight="1" x14ac:dyDescent="0.3">
      <c r="B28" s="9"/>
      <c r="C28" s="34" t="s">
        <v>4</v>
      </c>
      <c r="D28" s="35"/>
      <c r="E28" s="35"/>
      <c r="F28" s="35"/>
      <c r="G28" s="35"/>
      <c r="H28" s="35"/>
      <c r="I28" s="36" t="s">
        <v>10</v>
      </c>
      <c r="J28" s="36"/>
      <c r="K28" s="10"/>
    </row>
    <row r="29" spans="2:11" ht="14.4" customHeight="1" x14ac:dyDescent="0.3">
      <c r="B29" s="9"/>
      <c r="C29" s="35"/>
      <c r="D29" s="35"/>
      <c r="E29" s="35"/>
      <c r="F29" s="35"/>
      <c r="G29" s="35"/>
      <c r="H29" s="35"/>
      <c r="I29" s="36"/>
      <c r="J29" s="36"/>
      <c r="K29" s="10"/>
    </row>
    <row r="30" spans="2:11" ht="18" x14ac:dyDescent="0.3">
      <c r="B30" s="9"/>
      <c r="C30" s="12"/>
      <c r="D30" s="12"/>
      <c r="E30" s="12"/>
      <c r="F30" s="12"/>
      <c r="G30" s="12"/>
      <c r="H30" s="12"/>
      <c r="I30" s="15"/>
      <c r="J30" s="15"/>
      <c r="K30" s="10"/>
    </row>
    <row r="31" spans="2:11" ht="15.6" customHeight="1" x14ac:dyDescent="0.3">
      <c r="B31" s="9"/>
      <c r="C31" s="34" t="s">
        <v>5</v>
      </c>
      <c r="D31" s="34"/>
      <c r="E31" s="42" t="s">
        <v>14</v>
      </c>
      <c r="F31" s="42"/>
      <c r="G31" s="38">
        <v>3</v>
      </c>
      <c r="H31" s="38"/>
      <c r="I31" s="41" t="s">
        <v>15</v>
      </c>
      <c r="J31" s="36">
        <v>2</v>
      </c>
      <c r="K31" s="10"/>
    </row>
    <row r="32" spans="2:11" ht="15.6" customHeight="1" x14ac:dyDescent="0.3">
      <c r="B32" s="9"/>
      <c r="C32" s="34"/>
      <c r="D32" s="34"/>
      <c r="E32" s="42"/>
      <c r="F32" s="42"/>
      <c r="G32" s="38"/>
      <c r="H32" s="38"/>
      <c r="I32" s="41"/>
      <c r="J32" s="36"/>
      <c r="K32" s="10"/>
    </row>
    <row r="33" spans="2:11" x14ac:dyDescent="0.3">
      <c r="B33" s="9"/>
      <c r="C33" s="4"/>
      <c r="D33" s="4"/>
      <c r="E33" s="4"/>
      <c r="F33" s="4"/>
      <c r="G33" s="4"/>
      <c r="H33" s="4"/>
      <c r="I33" s="4"/>
      <c r="J33" s="4"/>
      <c r="K33" s="10"/>
    </row>
    <row r="34" spans="2:11" x14ac:dyDescent="0.3">
      <c r="B34" s="9"/>
      <c r="C34" s="4"/>
      <c r="D34" s="4"/>
      <c r="E34" s="4"/>
      <c r="F34" s="4"/>
      <c r="G34" s="4"/>
      <c r="H34" s="4"/>
      <c r="I34" s="4"/>
      <c r="J34" s="4"/>
      <c r="K34" s="10"/>
    </row>
    <row r="35" spans="2:11" x14ac:dyDescent="0.3">
      <c r="B35" s="5"/>
      <c r="C35" s="7"/>
      <c r="D35" s="7"/>
      <c r="E35" s="16">
        <f>(I10*1000*1000)/(((((IF(I28="Potrait",G7,J7)*COS(RADIANS(I13)))*J31)+(J31-1)*I22)+I25)*((G31*IF(I28="Potrait",J7,IF(I28="Landscape",G7))+(G31-1)*I22)+I19))</f>
        <v>990.76966724166834</v>
      </c>
      <c r="F35" s="7"/>
      <c r="G35" s="7"/>
      <c r="H35" s="7"/>
      <c r="I35" s="7"/>
      <c r="J35" s="7"/>
      <c r="K35" s="8"/>
    </row>
    <row r="36" spans="2:11" ht="18" customHeight="1" x14ac:dyDescent="0.3">
      <c r="B36" s="9"/>
      <c r="C36" s="17" t="s">
        <v>17</v>
      </c>
      <c r="D36" s="17"/>
      <c r="E36" s="18">
        <f>(TRUNC(E35,0))*(G31*J31)</f>
        <v>5940</v>
      </c>
      <c r="F36" s="18"/>
      <c r="G36" s="17" t="s">
        <v>18</v>
      </c>
      <c r="H36" s="17"/>
      <c r="I36" s="40">
        <f>E36*I16/1000</f>
        <v>4247.1000000000004</v>
      </c>
      <c r="J36" s="40"/>
      <c r="K36" s="10"/>
    </row>
    <row r="37" spans="2:11" ht="14.4" customHeight="1" x14ac:dyDescent="0.3">
      <c r="B37" s="9"/>
      <c r="C37" s="17"/>
      <c r="D37" s="17"/>
      <c r="E37" s="18"/>
      <c r="F37" s="18"/>
      <c r="G37" s="17"/>
      <c r="H37" s="17"/>
      <c r="I37" s="40"/>
      <c r="J37" s="40"/>
      <c r="K37" s="10"/>
    </row>
    <row r="38" spans="2:11" x14ac:dyDescent="0.3">
      <c r="B38" s="9"/>
      <c r="C38" s="4"/>
      <c r="D38" s="4"/>
      <c r="E38" s="4"/>
      <c r="F38" s="4"/>
      <c r="G38" s="4"/>
      <c r="H38" s="4"/>
      <c r="I38" s="4"/>
      <c r="J38" s="4"/>
      <c r="K38" s="10"/>
    </row>
    <row r="39" spans="2:11" x14ac:dyDescent="0.3">
      <c r="B39" s="9"/>
      <c r="C39" s="17" t="s">
        <v>19</v>
      </c>
      <c r="D39" s="17"/>
      <c r="E39" s="18">
        <f>TRUNC(E35,0)</f>
        <v>990</v>
      </c>
      <c r="F39" s="18"/>
      <c r="G39" s="4"/>
      <c r="H39" s="4"/>
      <c r="I39" s="4"/>
      <c r="J39" s="4"/>
      <c r="K39" s="10"/>
    </row>
    <row r="40" spans="2:11" x14ac:dyDescent="0.3">
      <c r="B40" s="9"/>
      <c r="C40" s="17"/>
      <c r="D40" s="17"/>
      <c r="E40" s="18"/>
      <c r="F40" s="18"/>
      <c r="G40" s="4"/>
      <c r="H40" s="4"/>
      <c r="I40" s="4"/>
      <c r="J40" s="4"/>
      <c r="K40" s="10"/>
    </row>
    <row r="41" spans="2:11" x14ac:dyDescent="0.3">
      <c r="B41" s="9"/>
      <c r="C41" s="4"/>
      <c r="D41" s="4"/>
      <c r="E41" s="4"/>
      <c r="F41" s="4"/>
      <c r="G41" s="4"/>
      <c r="H41" s="4"/>
      <c r="I41" s="4"/>
      <c r="J41" s="4"/>
      <c r="K41" s="10"/>
    </row>
    <row r="42" spans="2:11" x14ac:dyDescent="0.3">
      <c r="B42" s="19" t="s">
        <v>20</v>
      </c>
      <c r="C42" s="20"/>
      <c r="D42" s="20"/>
      <c r="E42" s="20"/>
      <c r="F42" s="20"/>
      <c r="G42" s="20"/>
      <c r="H42" s="20"/>
      <c r="I42" s="20"/>
      <c r="J42" s="20"/>
      <c r="K42" s="21"/>
    </row>
    <row r="43" spans="2:11" x14ac:dyDescent="0.3">
      <c r="B43" s="19"/>
      <c r="C43" s="20"/>
      <c r="D43" s="20"/>
      <c r="E43" s="20"/>
      <c r="F43" s="20"/>
      <c r="G43" s="20"/>
      <c r="H43" s="20"/>
      <c r="I43" s="20"/>
      <c r="J43" s="20"/>
      <c r="K43" s="21"/>
    </row>
    <row r="44" spans="2:11" x14ac:dyDescent="0.3">
      <c r="B44" s="22"/>
      <c r="C44" s="23"/>
      <c r="D44" s="23"/>
      <c r="E44" s="23"/>
      <c r="F44" s="23"/>
      <c r="G44" s="23"/>
      <c r="H44" s="23"/>
      <c r="I44" s="23"/>
      <c r="J44" s="23"/>
      <c r="K44" s="24"/>
    </row>
    <row r="45" spans="2:11" ht="36.6" x14ac:dyDescent="0.3">
      <c r="B45" s="25" t="s">
        <v>22</v>
      </c>
      <c r="C45" s="26"/>
      <c r="D45" s="26"/>
      <c r="E45" s="26"/>
      <c r="F45" s="26"/>
      <c r="G45" s="26"/>
      <c r="H45" s="26"/>
      <c r="I45" s="26"/>
      <c r="J45" s="26"/>
      <c r="K45" s="27"/>
    </row>
  </sheetData>
  <mergeCells count="33">
    <mergeCell ref="C16:H17"/>
    <mergeCell ref="I16:J17"/>
    <mergeCell ref="I36:J37"/>
    <mergeCell ref="C36:D37"/>
    <mergeCell ref="G36:H37"/>
    <mergeCell ref="G31:H32"/>
    <mergeCell ref="I31:I32"/>
    <mergeCell ref="J31:J32"/>
    <mergeCell ref="E31:F32"/>
    <mergeCell ref="C31:D32"/>
    <mergeCell ref="E36:F37"/>
    <mergeCell ref="I13:J14"/>
    <mergeCell ref="J7:J8"/>
    <mergeCell ref="I7:I8"/>
    <mergeCell ref="C7:E8"/>
    <mergeCell ref="G7:H8"/>
    <mergeCell ref="F7:F8"/>
    <mergeCell ref="C39:D40"/>
    <mergeCell ref="E39:F40"/>
    <mergeCell ref="B42:K44"/>
    <mergeCell ref="B45:K45"/>
    <mergeCell ref="B2:K3"/>
    <mergeCell ref="C25:H26"/>
    <mergeCell ref="I25:J26"/>
    <mergeCell ref="C28:H29"/>
    <mergeCell ref="I28:J29"/>
    <mergeCell ref="C19:H20"/>
    <mergeCell ref="I19:J20"/>
    <mergeCell ref="C22:H23"/>
    <mergeCell ref="I22:J23"/>
    <mergeCell ref="C10:H11"/>
    <mergeCell ref="I10:J11"/>
    <mergeCell ref="C13:H14"/>
  </mergeCells>
  <conditionalFormatting sqref="N31:N32">
    <cfRule type="colorScale" priority="1">
      <colorScale>
        <cfvo type="formula" val="#REF!&lt;56"/>
        <cfvo type="formula" val="#REF!&gt;56"/>
        <color rgb="FFFF7128"/>
        <color rgb="FFFFEF9C"/>
      </colorScale>
    </cfRule>
  </conditionalFormatting>
  <dataValidations count="1">
    <dataValidation type="list" allowBlank="1" showInputMessage="1" showErrorMessage="1" sqref="I28:J29" xr:uid="{02B2D08C-347D-46D9-A324-9C15BC4C29C9}">
      <formula1>"Landscape, Potrait"</formula1>
    </dataValidation>
  </dataValidations>
  <hyperlinks>
    <hyperlink ref="O3" r:id="rId1" xr:uid="{65B33CBE-89F0-4758-A1E8-CD93301D4C32}"/>
  </hyperlinks>
  <pageMargins left="0.7" right="0.7" top="0.75" bottom="0.75" header="0.3" footer="0.3"/>
  <pageSetup scale="91" orientation="portrait" r:id="rId2"/>
  <colBreaks count="1" manualBreakCount="1">
    <brk id="11" max="48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PV Array Sizing</vt:lpstr>
      <vt:lpstr>'PV Array Sizing'!Print_Area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Ankesh Mishra</dc:creator>
  <cp:lastModifiedBy>Ankesh Mishra</cp:lastModifiedBy>
  <dcterms:created xsi:type="dcterms:W3CDTF">2025-05-12T06:16:54Z</dcterms:created>
  <dcterms:modified xsi:type="dcterms:W3CDTF">2025-05-29T05:59:57Z</dcterms:modified>
</cp:coreProperties>
</file>