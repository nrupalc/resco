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@Ready\Misc_01\"/>
    </mc:Choice>
  </mc:AlternateContent>
  <xr:revisionPtr revIDLastSave="0" documentId="13_ncr:1_{BFFE9FC3-8AF2-48CC-9196-7A18990CD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X16" sheetId="1" r:id="rId1"/>
    <sheet name="2X15" sheetId="4" r:id="rId2"/>
    <sheet name="2X8" sheetId="5" r:id="rId3"/>
    <sheet name="OTHER" sheetId="3" r:id="rId4"/>
  </sheets>
  <definedNames>
    <definedName name="_xlnm.Print_Area" localSheetId="1">'2X15'!$A$1:$G$44</definedName>
    <definedName name="_xlnm.Print_Area" localSheetId="0">'2X16'!$A$1:$G$44</definedName>
    <definedName name="_xlnm.Print_Area" localSheetId="2">'2X8'!$A$1:$G$44</definedName>
    <definedName name="_xlnm.Print_Area" localSheetId="3">OTHER!$A$1:$H$49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4" l="1"/>
  <c r="I27" i="4"/>
  <c r="I23" i="4"/>
  <c r="G11" i="4"/>
  <c r="K22" i="5"/>
  <c r="I11" i="5"/>
  <c r="I12" i="5"/>
  <c r="I13" i="5"/>
  <c r="I14" i="5"/>
  <c r="I11" i="4"/>
  <c r="I12" i="4"/>
  <c r="I14" i="4"/>
  <c r="H12" i="3"/>
  <c r="H13" i="3"/>
  <c r="H14" i="3"/>
  <c r="H15" i="3"/>
  <c r="H16" i="3"/>
  <c r="H17" i="3"/>
  <c r="H18" i="3"/>
  <c r="H19" i="3"/>
  <c r="F34" i="3"/>
  <c r="H34" i="3" s="1"/>
  <c r="F35" i="3"/>
  <c r="H35" i="3" s="1"/>
  <c r="F36" i="3"/>
  <c r="H36" i="3" s="1"/>
  <c r="F37" i="3"/>
  <c r="H37" i="3" s="1"/>
  <c r="F38" i="3"/>
  <c r="H38" i="3" s="1"/>
  <c r="F39" i="3"/>
  <c r="H39" i="3" s="1"/>
  <c r="F40" i="3"/>
  <c r="H40" i="3" s="1"/>
  <c r="F28" i="3"/>
  <c r="H28" i="3" s="1"/>
  <c r="F20" i="3"/>
  <c r="H20" i="3" s="1"/>
  <c r="F11" i="3"/>
  <c r="H11" i="3" s="1"/>
  <c r="G23" i="5"/>
  <c r="F29" i="3" s="1"/>
  <c r="H29" i="3" s="1"/>
  <c r="G24" i="5"/>
  <c r="F30" i="3" s="1"/>
  <c r="H30" i="3" s="1"/>
  <c r="G25" i="5"/>
  <c r="F31" i="3" s="1"/>
  <c r="H31" i="3" s="1"/>
  <c r="G26" i="5"/>
  <c r="F32" i="3" s="1"/>
  <c r="H32" i="3" s="1"/>
  <c r="G27" i="5"/>
  <c r="G28" i="5"/>
  <c r="G29" i="5"/>
  <c r="G30" i="5"/>
  <c r="G31" i="5"/>
  <c r="G32" i="5"/>
  <c r="G33" i="5"/>
  <c r="G34" i="5"/>
  <c r="G35" i="5"/>
  <c r="F41" i="3" s="1"/>
  <c r="H41" i="3" s="1"/>
  <c r="G36" i="5"/>
  <c r="F42" i="3" s="1"/>
  <c r="H42" i="3" s="1"/>
  <c r="G37" i="5"/>
  <c r="F43" i="3" s="1"/>
  <c r="H43" i="3" s="1"/>
  <c r="G38" i="5"/>
  <c r="F44" i="3" s="1"/>
  <c r="H44" i="3" s="1"/>
  <c r="G39" i="5"/>
  <c r="F45" i="3" s="1"/>
  <c r="H45" i="3" s="1"/>
  <c r="G40" i="5"/>
  <c r="F46" i="3" s="1"/>
  <c r="H46" i="3" s="1"/>
  <c r="G41" i="5"/>
  <c r="F47" i="3" s="1"/>
  <c r="H47" i="3" s="1"/>
  <c r="G42" i="5"/>
  <c r="F48" i="3" s="1"/>
  <c r="H48" i="3" s="1"/>
  <c r="G43" i="5"/>
  <c r="G22" i="5"/>
  <c r="G11" i="5"/>
  <c r="G12" i="5"/>
  <c r="G13" i="5"/>
  <c r="G14" i="5"/>
  <c r="G15" i="5"/>
  <c r="I15" i="5" s="1"/>
  <c r="G16" i="5"/>
  <c r="I16" i="5" s="1"/>
  <c r="G17" i="5"/>
  <c r="I17" i="5" s="1"/>
  <c r="G18" i="5"/>
  <c r="I18" i="5" s="1"/>
  <c r="G10" i="5"/>
  <c r="F10" i="3" s="1"/>
  <c r="H10" i="3" s="1"/>
  <c r="G24" i="4"/>
  <c r="G25" i="4"/>
  <c r="G26" i="4"/>
  <c r="G27" i="4"/>
  <c r="G28" i="4"/>
  <c r="G29" i="4"/>
  <c r="G30" i="4"/>
  <c r="G31" i="4"/>
  <c r="G32" i="4"/>
  <c r="G33" i="4"/>
  <c r="G34" i="4"/>
  <c r="I34" i="4" s="1"/>
  <c r="G35" i="4"/>
  <c r="G36" i="4"/>
  <c r="G37" i="4"/>
  <c r="I37" i="4" s="1"/>
  <c r="G38" i="4"/>
  <c r="G39" i="4"/>
  <c r="G40" i="4"/>
  <c r="G41" i="4"/>
  <c r="G42" i="4"/>
  <c r="I42" i="4" s="1"/>
  <c r="G43" i="4"/>
  <c r="G44" i="4"/>
  <c r="G23" i="4"/>
  <c r="G12" i="4"/>
  <c r="G13" i="4"/>
  <c r="I13" i="4" s="1"/>
  <c r="G14" i="4"/>
  <c r="G15" i="4"/>
  <c r="I15" i="4" s="1"/>
  <c r="G16" i="4"/>
  <c r="I16" i="4" s="1"/>
  <c r="G17" i="4"/>
  <c r="I17" i="4" s="1"/>
  <c r="G18" i="4"/>
  <c r="I18" i="4" s="1"/>
  <c r="G19" i="4"/>
  <c r="I19" i="4" s="1"/>
  <c r="G10" i="4"/>
  <c r="I10" i="4" s="1"/>
  <c r="G24" i="1"/>
  <c r="G25" i="1"/>
  <c r="G26" i="1"/>
  <c r="G27" i="1"/>
  <c r="G28" i="1"/>
  <c r="F33" i="3" s="1"/>
  <c r="H33" i="3" s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F49" i="3" s="1"/>
  <c r="H49" i="3" s="1"/>
  <c r="G23" i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10" i="1"/>
  <c r="I10" i="1" s="1"/>
  <c r="I45" i="4" l="1"/>
  <c r="I10" i="5"/>
  <c r="I19" i="5" s="1"/>
  <c r="F23" i="3"/>
  <c r="H23" i="3" s="1"/>
  <c r="F22" i="3"/>
  <c r="H22" i="3" s="1"/>
  <c r="F24" i="3"/>
  <c r="H24" i="3" s="1"/>
  <c r="F21" i="3"/>
  <c r="H21" i="3" s="1"/>
  <c r="I20" i="1"/>
  <c r="I20" i="4"/>
</calcChain>
</file>

<file path=xl/sharedStrings.xml><?xml version="1.0" encoding="utf-8"?>
<sst xmlns="http://schemas.openxmlformats.org/spreadsheetml/2006/main" count="533" uniqueCount="78">
  <si>
    <t>STRUCTURE MEMBERS</t>
  </si>
  <si>
    <t>S.NO.</t>
  </si>
  <si>
    <t>DESCRIPTION</t>
  </si>
  <si>
    <t>SIZE(MM)</t>
  </si>
  <si>
    <t>LENGTH(MM)</t>
  </si>
  <si>
    <t>MATERIAL</t>
  </si>
  <si>
    <t>QUANTITY/TABLE</t>
  </si>
  <si>
    <t>TOTAL QUANTITY</t>
  </si>
  <si>
    <t>HOT DIP GALVANISED STEEL</t>
  </si>
  <si>
    <t>RAFTER</t>
  </si>
  <si>
    <t>COLUMN</t>
  </si>
  <si>
    <t>BRACING-1</t>
  </si>
  <si>
    <t>BRACING-2</t>
  </si>
  <si>
    <t>BRACING CONNECTOR</t>
  </si>
  <si>
    <t>L-ANGLE CONNECTOR</t>
  </si>
  <si>
    <t>FASTENERS /CLAMPS</t>
  </si>
  <si>
    <t>HEX BOLT FOR MODULE</t>
  </si>
  <si>
    <t>PLAIN WASHER</t>
  </si>
  <si>
    <t>SPRING WASHER</t>
  </si>
  <si>
    <t>PURLIN 1</t>
  </si>
  <si>
    <t>PURLIN 2</t>
  </si>
  <si>
    <t>PURLIN 3</t>
  </si>
  <si>
    <t>C120X60X20X3.15</t>
  </si>
  <si>
    <t>ISA-50X50X4</t>
  </si>
  <si>
    <t>PL-150X100X4</t>
  </si>
  <si>
    <t>L-85X85X4</t>
  </si>
  <si>
    <t>PURLIN CONNECTOR</t>
  </si>
  <si>
    <t>C80X40X15X2</t>
  </si>
  <si>
    <t>PL-150X65X3</t>
  </si>
  <si>
    <t>SS-304</t>
  </si>
  <si>
    <t>M6</t>
  </si>
  <si>
    <t>M10</t>
  </si>
  <si>
    <t>HEX NUT FOR MODULE</t>
  </si>
  <si>
    <t>HEX BOLT FOR COLUMN TO RAFTER CONNECTION</t>
  </si>
  <si>
    <t>HEX NUT FOR COLUMN TO RAFTER CONNECTION</t>
  </si>
  <si>
    <t>HEX BOLT FOR L-CONNECTOR CONNECTION</t>
  </si>
  <si>
    <t>HEX NUT FOR L-CONNECTOR CONNECTION</t>
  </si>
  <si>
    <t>HEX BOLT FOR BRACING CONNECTION</t>
  </si>
  <si>
    <t>M12</t>
  </si>
  <si>
    <t>HEX NUT FOR BRACING CONNECTION</t>
  </si>
  <si>
    <t>HEX BOLT FOR PURLIN CONNECTION</t>
  </si>
  <si>
    <t>HEX NUT FOR PURLIN CONNECTION</t>
  </si>
  <si>
    <t>BILL OF MATERIAL</t>
  </si>
  <si>
    <t>PV MODULE MOUNTING SYSTEM (GROUND MOUNT)</t>
  </si>
  <si>
    <t>PROJECT:</t>
  </si>
  <si>
    <t>ADDRESS:</t>
  </si>
  <si>
    <t>400.4kWp</t>
  </si>
  <si>
    <t>MODULE (Wp):</t>
  </si>
  <si>
    <t>TILT:</t>
  </si>
  <si>
    <t>25 DEGREE</t>
  </si>
  <si>
    <t xml:space="preserve"> </t>
  </si>
  <si>
    <t>HEX BOLT FOR BRACING-1 CONNECTION</t>
  </si>
  <si>
    <t>HEX NUT FOR BRACING-1 CONNECTION</t>
  </si>
  <si>
    <t>HEX BOLT FOR BRACING-2 CONNECTION</t>
  </si>
  <si>
    <t>HEX NUT FOR BRACING-2 CONNECTION</t>
  </si>
  <si>
    <t>PV MODULE MOUNTING SYSTEM (GROUND MOUNT 2X8 TABLE)</t>
  </si>
  <si>
    <t>PV MODULE MOUNTING SYSTEM (GROUND MOUNT 2X15 TABLE)</t>
  </si>
  <si>
    <t>PV MODULE MOUNTING SYSTEM (GROUND MOUNT 2X16 TABLE)</t>
  </si>
  <si>
    <t>SAG ROD (NUT &amp; WASHER)</t>
  </si>
  <si>
    <t>TABLE:</t>
  </si>
  <si>
    <t>11 Nos</t>
  </si>
  <si>
    <t>10 Nos</t>
  </si>
  <si>
    <t>TOTAL CAPACITY:</t>
  </si>
  <si>
    <t>PURLIN 1 (2X16 TABLE)</t>
  </si>
  <si>
    <t>PURLIN 2 (2X16 TABLE)</t>
  </si>
  <si>
    <t>PURLIN 3 (2X16 TABLE)</t>
  </si>
  <si>
    <t>PURLIN 1 (2X8 TABLE)</t>
  </si>
  <si>
    <t>PURLIN 2 (2X8 TABLE)</t>
  </si>
  <si>
    <t>MUDULE DIM.</t>
  </si>
  <si>
    <t>1960X990X40</t>
  </si>
  <si>
    <t>-</t>
  </si>
  <si>
    <t>ACTUAL QUANTITY</t>
  </si>
  <si>
    <t>SPARE</t>
  </si>
  <si>
    <t>Weight/Meter or per piece (kg/m)</t>
  </si>
  <si>
    <t>Total weight</t>
  </si>
  <si>
    <t>C120X50X15X2</t>
  </si>
  <si>
    <t>24 Nos (30 Modules/Table)</t>
  </si>
  <si>
    <t>FLASYS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</si>
</sst>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3399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5" xfId="0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38100</xdr:rowOff>
    </xdr:from>
    <xdr:to>
      <xdr:col>1</xdr:col>
      <xdr:colOff>354525</xdr:colOff>
      <xdr:row>0</xdr:row>
      <xdr:rowOff>281940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E66969-092D-40A2-893A-9EDBEEAA3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38100"/>
          <a:ext cx="804105" cy="243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30481</xdr:rowOff>
    </xdr:from>
    <xdr:to>
      <xdr:col>1</xdr:col>
      <xdr:colOff>331665</xdr:colOff>
      <xdr:row>0</xdr:row>
      <xdr:rowOff>274321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587224-7560-F6C9-A4C5-B44F3B737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30481"/>
          <a:ext cx="804105" cy="243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30480</xdr:rowOff>
    </xdr:from>
    <xdr:to>
      <xdr:col>1</xdr:col>
      <xdr:colOff>415485</xdr:colOff>
      <xdr:row>0</xdr:row>
      <xdr:rowOff>274320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167F9-6F3D-448D-89F4-9F63BBEA3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0480"/>
          <a:ext cx="804105" cy="2438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30480</xdr:rowOff>
    </xdr:from>
    <xdr:to>
      <xdr:col>1</xdr:col>
      <xdr:colOff>385005</xdr:colOff>
      <xdr:row>0</xdr:row>
      <xdr:rowOff>274320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3352B-72F1-4AD8-B685-49CCEAA19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0480"/>
          <a:ext cx="804105" cy="243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C14" sqref="C14"/>
    </sheetView>
  </sheetViews>
  <sheetFormatPr defaultRowHeight="14.4" x14ac:dyDescent="0.3"/>
  <cols>
    <col min="2" max="2" width="45" bestFit="1" customWidth="1"/>
    <col min="3" max="3" width="16.33203125" bestFit="1" customWidth="1"/>
    <col min="4" max="4" width="13.5546875" bestFit="1" customWidth="1"/>
    <col min="5" max="5" width="25.6640625" bestFit="1" customWidth="1"/>
    <col min="6" max="6" width="17" customWidth="1"/>
    <col min="7" max="7" width="16.109375" bestFit="1" customWidth="1"/>
    <col min="8" max="8" width="15.5546875" customWidth="1"/>
  </cols>
  <sheetData>
    <row r="1" spans="1:9" ht="23.4" x14ac:dyDescent="0.45">
      <c r="A1" s="28" t="s">
        <v>42</v>
      </c>
      <c r="B1" s="29"/>
      <c r="C1" s="29"/>
      <c r="D1" s="29"/>
      <c r="E1" s="29"/>
      <c r="F1" s="29"/>
      <c r="G1" s="30"/>
    </row>
    <row r="2" spans="1:9" x14ac:dyDescent="0.3">
      <c r="A2" s="31" t="s">
        <v>57</v>
      </c>
      <c r="B2" s="32"/>
      <c r="C2" s="32"/>
      <c r="D2" s="32"/>
      <c r="E2" s="32"/>
      <c r="F2" s="32"/>
      <c r="G2" s="33"/>
    </row>
    <row r="3" spans="1:9" x14ac:dyDescent="0.3">
      <c r="A3" s="36" t="s">
        <v>77</v>
      </c>
      <c r="B3" s="37"/>
      <c r="C3" s="37"/>
      <c r="D3" s="37"/>
      <c r="E3" s="37"/>
      <c r="F3" s="37"/>
      <c r="G3" s="38"/>
    </row>
    <row r="4" spans="1:9" x14ac:dyDescent="0.3">
      <c r="A4" s="5"/>
      <c r="B4" s="8" t="s">
        <v>44</v>
      </c>
      <c r="C4" s="34"/>
      <c r="D4" s="34"/>
      <c r="E4" s="34"/>
      <c r="F4" s="34"/>
      <c r="G4" s="35"/>
    </row>
    <row r="5" spans="1:9" x14ac:dyDescent="0.3">
      <c r="A5" s="5"/>
      <c r="B5" s="9" t="s">
        <v>45</v>
      </c>
      <c r="C5" s="34"/>
      <c r="D5" s="34"/>
      <c r="E5" s="34"/>
      <c r="F5" s="34"/>
      <c r="G5" s="35"/>
    </row>
    <row r="6" spans="1:9" x14ac:dyDescent="0.3">
      <c r="A6" s="5"/>
      <c r="B6" s="10" t="s">
        <v>62</v>
      </c>
      <c r="C6" t="s">
        <v>46</v>
      </c>
      <c r="D6" s="10" t="s">
        <v>47</v>
      </c>
      <c r="E6" s="6">
        <v>325</v>
      </c>
      <c r="G6" s="7"/>
    </row>
    <row r="7" spans="1:9" x14ac:dyDescent="0.3">
      <c r="A7" s="5"/>
      <c r="B7" s="10" t="s">
        <v>48</v>
      </c>
      <c r="C7" t="s">
        <v>49</v>
      </c>
      <c r="D7" s="10" t="s">
        <v>59</v>
      </c>
      <c r="E7" s="6" t="s">
        <v>60</v>
      </c>
      <c r="G7" s="7"/>
    </row>
    <row r="8" spans="1:9" x14ac:dyDescent="0.3">
      <c r="A8" s="26" t="s">
        <v>0</v>
      </c>
      <c r="B8" s="26"/>
      <c r="C8" s="26"/>
      <c r="D8" s="26"/>
      <c r="E8" s="26"/>
      <c r="F8" s="26"/>
      <c r="G8" s="26"/>
    </row>
    <row r="9" spans="1:9" ht="28.8" x14ac:dyDescent="0.3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1" t="s">
        <v>73</v>
      </c>
      <c r="I9" s="21" t="s">
        <v>74</v>
      </c>
    </row>
    <row r="10" spans="1:9" x14ac:dyDescent="0.3">
      <c r="A10" s="3">
        <v>1</v>
      </c>
      <c r="B10" s="4" t="s">
        <v>9</v>
      </c>
      <c r="C10" s="3" t="s">
        <v>22</v>
      </c>
      <c r="D10" s="3">
        <v>3235</v>
      </c>
      <c r="E10" s="4" t="s">
        <v>8</v>
      </c>
      <c r="F10" s="3">
        <v>6</v>
      </c>
      <c r="G10" s="3">
        <f>F10*11</f>
        <v>66</v>
      </c>
      <c r="H10" s="6">
        <v>6.92</v>
      </c>
      <c r="I10" s="24">
        <f>((H10*D10)/1000)*G10</f>
        <v>1477.4892000000002</v>
      </c>
    </row>
    <row r="11" spans="1:9" x14ac:dyDescent="0.3">
      <c r="A11" s="3">
        <v>2</v>
      </c>
      <c r="B11" s="4" t="s">
        <v>10</v>
      </c>
      <c r="C11" s="3" t="s">
        <v>22</v>
      </c>
      <c r="D11" s="3">
        <v>2912</v>
      </c>
      <c r="E11" s="4" t="s">
        <v>8</v>
      </c>
      <c r="F11" s="3">
        <v>6</v>
      </c>
      <c r="G11" s="3">
        <f t="shared" ref="G11:G19" si="0">F11*11</f>
        <v>66</v>
      </c>
      <c r="H11" s="6">
        <v>6.92</v>
      </c>
      <c r="I11" s="24">
        <f t="shared" ref="I11:I16" si="1">((H11*D11)/1000)*G11</f>
        <v>1329.9686400000001</v>
      </c>
    </row>
    <row r="12" spans="1:9" x14ac:dyDescent="0.3">
      <c r="A12" s="3">
        <v>3</v>
      </c>
      <c r="B12" s="4" t="s">
        <v>19</v>
      </c>
      <c r="C12" s="3" t="s">
        <v>27</v>
      </c>
      <c r="D12" s="3">
        <v>5550</v>
      </c>
      <c r="E12" s="4" t="s">
        <v>8</v>
      </c>
      <c r="F12" s="3">
        <v>4</v>
      </c>
      <c r="G12" s="3">
        <f t="shared" si="0"/>
        <v>44</v>
      </c>
      <c r="H12" s="6">
        <v>4.7</v>
      </c>
      <c r="I12" s="24">
        <f t="shared" si="1"/>
        <v>1147.74</v>
      </c>
    </row>
    <row r="13" spans="1:9" x14ac:dyDescent="0.3">
      <c r="A13" s="3">
        <v>4</v>
      </c>
      <c r="B13" s="4" t="s">
        <v>20</v>
      </c>
      <c r="C13" s="3" t="s">
        <v>27</v>
      </c>
      <c r="D13" s="3">
        <v>5050</v>
      </c>
      <c r="E13" s="4" t="s">
        <v>8</v>
      </c>
      <c r="F13" s="3">
        <v>4</v>
      </c>
      <c r="G13" s="3">
        <f t="shared" si="0"/>
        <v>44</v>
      </c>
      <c r="H13" s="6">
        <v>4.7</v>
      </c>
      <c r="I13" s="24">
        <f t="shared" si="1"/>
        <v>1044.3399999999999</v>
      </c>
    </row>
    <row r="14" spans="1:9" x14ac:dyDescent="0.3">
      <c r="A14" s="3">
        <v>5</v>
      </c>
      <c r="B14" s="4" t="s">
        <v>21</v>
      </c>
      <c r="C14" s="3" t="s">
        <v>27</v>
      </c>
      <c r="D14" s="3">
        <v>5550</v>
      </c>
      <c r="E14" s="4" t="s">
        <v>8</v>
      </c>
      <c r="F14" s="3">
        <v>4</v>
      </c>
      <c r="G14" s="3">
        <f t="shared" si="0"/>
        <v>44</v>
      </c>
      <c r="H14" s="6">
        <v>4.7</v>
      </c>
      <c r="I14" s="24">
        <f t="shared" si="1"/>
        <v>1147.74</v>
      </c>
    </row>
    <row r="15" spans="1:9" x14ac:dyDescent="0.3">
      <c r="A15" s="3">
        <v>6</v>
      </c>
      <c r="B15" s="4" t="s">
        <v>11</v>
      </c>
      <c r="C15" s="3" t="s">
        <v>23</v>
      </c>
      <c r="D15" s="3">
        <v>1314</v>
      </c>
      <c r="E15" s="4" t="s">
        <v>8</v>
      </c>
      <c r="F15" s="3">
        <v>6</v>
      </c>
      <c r="G15" s="3">
        <f t="shared" si="0"/>
        <v>66</v>
      </c>
      <c r="H15" s="6">
        <v>3.14</v>
      </c>
      <c r="I15" s="24">
        <f t="shared" si="1"/>
        <v>272.31335999999999</v>
      </c>
    </row>
    <row r="16" spans="1:9" x14ac:dyDescent="0.3">
      <c r="A16" s="3">
        <v>7</v>
      </c>
      <c r="B16" s="4" t="s">
        <v>12</v>
      </c>
      <c r="C16" s="3" t="s">
        <v>23</v>
      </c>
      <c r="D16" s="3">
        <v>3043</v>
      </c>
      <c r="E16" s="4" t="s">
        <v>8</v>
      </c>
      <c r="F16" s="3">
        <v>4</v>
      </c>
      <c r="G16" s="3">
        <f t="shared" si="0"/>
        <v>44</v>
      </c>
      <c r="H16" s="6">
        <v>3.14</v>
      </c>
      <c r="I16" s="24">
        <f t="shared" si="1"/>
        <v>420.42088000000001</v>
      </c>
    </row>
    <row r="17" spans="1:9" x14ac:dyDescent="0.3">
      <c r="A17" s="3">
        <v>8</v>
      </c>
      <c r="B17" s="4" t="s">
        <v>13</v>
      </c>
      <c r="C17" s="3" t="s">
        <v>24</v>
      </c>
      <c r="D17" s="3">
        <v>150</v>
      </c>
      <c r="E17" s="4" t="s">
        <v>8</v>
      </c>
      <c r="F17" s="3">
        <v>6</v>
      </c>
      <c r="G17" s="3">
        <f t="shared" si="0"/>
        <v>66</v>
      </c>
      <c r="H17" s="6">
        <v>0.47099999999999997</v>
      </c>
      <c r="I17" s="24">
        <f>H17*G17</f>
        <v>31.085999999999999</v>
      </c>
    </row>
    <row r="18" spans="1:9" x14ac:dyDescent="0.3">
      <c r="A18" s="3">
        <v>9</v>
      </c>
      <c r="B18" s="4" t="s">
        <v>14</v>
      </c>
      <c r="C18" s="3" t="s">
        <v>25</v>
      </c>
      <c r="D18" s="3">
        <v>85</v>
      </c>
      <c r="E18" s="4" t="s">
        <v>8</v>
      </c>
      <c r="F18" s="3">
        <v>24</v>
      </c>
      <c r="G18" s="3">
        <f t="shared" si="0"/>
        <v>264</v>
      </c>
      <c r="H18" s="6">
        <v>0.23</v>
      </c>
      <c r="I18" s="24">
        <f>H18*G18</f>
        <v>60.720000000000006</v>
      </c>
    </row>
    <row r="19" spans="1:9" x14ac:dyDescent="0.3">
      <c r="A19" s="3">
        <v>11</v>
      </c>
      <c r="B19" s="4" t="s">
        <v>26</v>
      </c>
      <c r="C19" s="3" t="s">
        <v>28</v>
      </c>
      <c r="D19" s="3">
        <v>150</v>
      </c>
      <c r="E19" s="4" t="s">
        <v>8</v>
      </c>
      <c r="F19" s="3">
        <v>8</v>
      </c>
      <c r="G19" s="3">
        <f t="shared" si="0"/>
        <v>88</v>
      </c>
      <c r="H19" s="6">
        <v>0.23</v>
      </c>
      <c r="I19" s="24">
        <f>H19*G19</f>
        <v>20.240000000000002</v>
      </c>
    </row>
    <row r="20" spans="1:9" x14ac:dyDescent="0.3">
      <c r="A20" s="3"/>
      <c r="B20" s="4"/>
      <c r="C20" s="4"/>
      <c r="D20" s="4"/>
      <c r="E20" s="4"/>
      <c r="F20" s="4"/>
      <c r="G20" s="4"/>
      <c r="H20" s="6"/>
      <c r="I20" s="24">
        <f>SUM(I10:I19)</f>
        <v>6952.0580799999998</v>
      </c>
    </row>
    <row r="21" spans="1:9" x14ac:dyDescent="0.3">
      <c r="A21" s="27" t="s">
        <v>15</v>
      </c>
      <c r="B21" s="27"/>
      <c r="C21" s="27"/>
      <c r="D21" s="27"/>
      <c r="E21" s="27"/>
      <c r="F21" s="27"/>
      <c r="G21" s="27"/>
      <c r="H21" s="6"/>
    </row>
    <row r="22" spans="1:9" x14ac:dyDescent="0.3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6"/>
    </row>
    <row r="23" spans="1:9" x14ac:dyDescent="0.3">
      <c r="A23" s="3">
        <v>1</v>
      </c>
      <c r="B23" s="4" t="s">
        <v>16</v>
      </c>
      <c r="C23" s="3" t="s">
        <v>30</v>
      </c>
      <c r="D23" s="4"/>
      <c r="E23" s="3" t="s">
        <v>29</v>
      </c>
      <c r="F23" s="3">
        <v>128</v>
      </c>
      <c r="G23" s="3">
        <f>F23*11</f>
        <v>1408</v>
      </c>
      <c r="H23" s="6"/>
    </row>
    <row r="24" spans="1:9" x14ac:dyDescent="0.3">
      <c r="A24" s="3">
        <v>2</v>
      </c>
      <c r="B24" s="4" t="s">
        <v>32</v>
      </c>
      <c r="C24" s="3" t="s">
        <v>30</v>
      </c>
      <c r="D24" s="4"/>
      <c r="E24" s="3" t="s">
        <v>29</v>
      </c>
      <c r="F24" s="3">
        <v>128</v>
      </c>
      <c r="G24" s="3">
        <f t="shared" ref="G24:G44" si="2">F24*11</f>
        <v>1408</v>
      </c>
      <c r="H24" s="6"/>
    </row>
    <row r="25" spans="1:9" x14ac:dyDescent="0.3">
      <c r="A25" s="3">
        <v>3</v>
      </c>
      <c r="B25" s="4" t="s">
        <v>17</v>
      </c>
      <c r="C25" s="3" t="s">
        <v>30</v>
      </c>
      <c r="D25" s="4"/>
      <c r="E25" s="3" t="s">
        <v>29</v>
      </c>
      <c r="F25" s="3">
        <v>128</v>
      </c>
      <c r="G25" s="3">
        <f t="shared" si="2"/>
        <v>1408</v>
      </c>
    </row>
    <row r="26" spans="1:9" x14ac:dyDescent="0.3">
      <c r="A26" s="3">
        <v>4</v>
      </c>
      <c r="B26" s="4" t="s">
        <v>18</v>
      </c>
      <c r="C26" s="3" t="s">
        <v>30</v>
      </c>
      <c r="D26" s="4"/>
      <c r="E26" s="3" t="s">
        <v>29</v>
      </c>
      <c r="F26" s="3">
        <v>128</v>
      </c>
      <c r="G26" s="3">
        <f t="shared" si="2"/>
        <v>1408</v>
      </c>
    </row>
    <row r="27" spans="1:9" x14ac:dyDescent="0.3">
      <c r="A27" s="3">
        <v>5</v>
      </c>
      <c r="B27" s="4" t="s">
        <v>33</v>
      </c>
      <c r="C27" s="3" t="s">
        <v>31</v>
      </c>
      <c r="D27" s="4"/>
      <c r="E27" s="3" t="s">
        <v>29</v>
      </c>
      <c r="F27" s="3">
        <v>24</v>
      </c>
      <c r="G27" s="3">
        <f t="shared" si="2"/>
        <v>264</v>
      </c>
    </row>
    <row r="28" spans="1:9" x14ac:dyDescent="0.3">
      <c r="A28" s="3">
        <v>6</v>
      </c>
      <c r="B28" s="4" t="s">
        <v>34</v>
      </c>
      <c r="C28" s="3" t="s">
        <v>31</v>
      </c>
      <c r="D28" s="4"/>
      <c r="E28" s="3" t="s">
        <v>29</v>
      </c>
      <c r="F28" s="3">
        <v>24</v>
      </c>
      <c r="G28" s="3">
        <f t="shared" si="2"/>
        <v>264</v>
      </c>
    </row>
    <row r="29" spans="1:9" x14ac:dyDescent="0.3">
      <c r="A29" s="3">
        <v>7</v>
      </c>
      <c r="B29" s="4" t="s">
        <v>17</v>
      </c>
      <c r="C29" s="3" t="s">
        <v>31</v>
      </c>
      <c r="D29" s="4"/>
      <c r="E29" s="3" t="s">
        <v>29</v>
      </c>
      <c r="F29" s="3">
        <v>24</v>
      </c>
      <c r="G29" s="3">
        <f t="shared" si="2"/>
        <v>264</v>
      </c>
    </row>
    <row r="30" spans="1:9" x14ac:dyDescent="0.3">
      <c r="A30" s="3">
        <v>8</v>
      </c>
      <c r="B30" s="4" t="s">
        <v>35</v>
      </c>
      <c r="C30" s="3" t="s">
        <v>31</v>
      </c>
      <c r="D30" s="4"/>
      <c r="E30" s="3" t="s">
        <v>29</v>
      </c>
      <c r="F30" s="3">
        <v>48</v>
      </c>
      <c r="G30" s="3">
        <f t="shared" si="2"/>
        <v>528</v>
      </c>
    </row>
    <row r="31" spans="1:9" x14ac:dyDescent="0.3">
      <c r="A31" s="3">
        <v>9</v>
      </c>
      <c r="B31" s="4" t="s">
        <v>36</v>
      </c>
      <c r="C31" s="3" t="s">
        <v>31</v>
      </c>
      <c r="D31" s="4"/>
      <c r="E31" s="3" t="s">
        <v>29</v>
      </c>
      <c r="F31" s="3">
        <v>48</v>
      </c>
      <c r="G31" s="3">
        <f t="shared" si="2"/>
        <v>528</v>
      </c>
    </row>
    <row r="32" spans="1:9" x14ac:dyDescent="0.3">
      <c r="A32" s="3">
        <v>10</v>
      </c>
      <c r="B32" s="4" t="s">
        <v>18</v>
      </c>
      <c r="C32" s="3" t="s">
        <v>31</v>
      </c>
      <c r="D32" s="4"/>
      <c r="E32" s="3" t="s">
        <v>29</v>
      </c>
      <c r="F32" s="3">
        <v>48</v>
      </c>
      <c r="G32" s="3">
        <f t="shared" si="2"/>
        <v>528</v>
      </c>
    </row>
    <row r="33" spans="1:8" x14ac:dyDescent="0.3">
      <c r="A33" s="3">
        <v>11</v>
      </c>
      <c r="B33" s="4" t="s">
        <v>17</v>
      </c>
      <c r="C33" s="3" t="s">
        <v>31</v>
      </c>
      <c r="D33" s="4"/>
      <c r="E33" s="3" t="s">
        <v>29</v>
      </c>
      <c r="F33" s="3">
        <v>48</v>
      </c>
      <c r="G33" s="3">
        <f t="shared" si="2"/>
        <v>528</v>
      </c>
    </row>
    <row r="34" spans="1:8" x14ac:dyDescent="0.3">
      <c r="A34" s="3">
        <v>12</v>
      </c>
      <c r="B34" s="4" t="s">
        <v>37</v>
      </c>
      <c r="C34" s="3" t="s">
        <v>38</v>
      </c>
      <c r="D34" s="4"/>
      <c r="E34" s="3" t="s">
        <v>29</v>
      </c>
      <c r="F34" s="3">
        <v>24</v>
      </c>
      <c r="G34" s="3">
        <f t="shared" si="2"/>
        <v>264</v>
      </c>
    </row>
    <row r="35" spans="1:8" x14ac:dyDescent="0.3">
      <c r="A35" s="3">
        <v>13</v>
      </c>
      <c r="B35" s="4" t="s">
        <v>39</v>
      </c>
      <c r="C35" s="3" t="s">
        <v>38</v>
      </c>
      <c r="D35" s="4"/>
      <c r="E35" s="3" t="s">
        <v>29</v>
      </c>
      <c r="F35" s="3">
        <v>24</v>
      </c>
      <c r="G35" s="3">
        <f t="shared" si="2"/>
        <v>264</v>
      </c>
    </row>
    <row r="36" spans="1:8" x14ac:dyDescent="0.3">
      <c r="A36" s="3">
        <v>14</v>
      </c>
      <c r="B36" s="4" t="s">
        <v>17</v>
      </c>
      <c r="C36" s="3" t="s">
        <v>38</v>
      </c>
      <c r="D36" s="4"/>
      <c r="E36" s="3" t="s">
        <v>29</v>
      </c>
      <c r="F36" s="3">
        <v>24</v>
      </c>
      <c r="G36" s="3">
        <f t="shared" si="2"/>
        <v>264</v>
      </c>
    </row>
    <row r="37" spans="1:8" x14ac:dyDescent="0.3">
      <c r="A37" s="3">
        <v>15</v>
      </c>
      <c r="B37" s="4" t="s">
        <v>40</v>
      </c>
      <c r="C37" s="3" t="s">
        <v>31</v>
      </c>
      <c r="D37" s="4"/>
      <c r="E37" s="3" t="s">
        <v>29</v>
      </c>
      <c r="F37" s="3">
        <v>64</v>
      </c>
      <c r="G37" s="3">
        <f t="shared" si="2"/>
        <v>704</v>
      </c>
    </row>
    <row r="38" spans="1:8" x14ac:dyDescent="0.3">
      <c r="A38" s="3">
        <v>16</v>
      </c>
      <c r="B38" s="4" t="s">
        <v>41</v>
      </c>
      <c r="C38" s="3" t="s">
        <v>31</v>
      </c>
      <c r="D38" s="4"/>
      <c r="E38" s="3" t="s">
        <v>29</v>
      </c>
      <c r="F38" s="3">
        <v>64</v>
      </c>
      <c r="G38" s="3">
        <f t="shared" si="2"/>
        <v>704</v>
      </c>
      <c r="H38" s="1"/>
    </row>
    <row r="39" spans="1:8" x14ac:dyDescent="0.3">
      <c r="A39" s="3">
        <v>17</v>
      </c>
      <c r="B39" s="4" t="s">
        <v>17</v>
      </c>
      <c r="C39" s="3" t="s">
        <v>31</v>
      </c>
      <c r="D39" s="4"/>
      <c r="E39" s="3" t="s">
        <v>29</v>
      </c>
      <c r="F39" s="3">
        <v>64</v>
      </c>
      <c r="G39" s="3">
        <f t="shared" si="2"/>
        <v>704</v>
      </c>
      <c r="H39" s="1"/>
    </row>
    <row r="40" spans="1:8" x14ac:dyDescent="0.3">
      <c r="A40" s="3">
        <v>18</v>
      </c>
      <c r="B40" s="4" t="s">
        <v>18</v>
      </c>
      <c r="C40" s="3" t="s">
        <v>31</v>
      </c>
      <c r="D40" s="4"/>
      <c r="E40" s="3" t="s">
        <v>29</v>
      </c>
      <c r="F40" s="3">
        <v>64</v>
      </c>
      <c r="G40" s="3">
        <f t="shared" si="2"/>
        <v>704</v>
      </c>
      <c r="H40" s="1"/>
    </row>
    <row r="41" spans="1:8" x14ac:dyDescent="0.3">
      <c r="A41" s="3">
        <v>19</v>
      </c>
      <c r="B41" s="4" t="s">
        <v>58</v>
      </c>
      <c r="C41" s="3" t="s">
        <v>31</v>
      </c>
      <c r="D41" s="3">
        <v>1120</v>
      </c>
      <c r="E41" s="3" t="s">
        <v>29</v>
      </c>
      <c r="F41" s="3">
        <v>5</v>
      </c>
      <c r="G41" s="3">
        <f t="shared" si="2"/>
        <v>55</v>
      </c>
      <c r="H41" s="1"/>
    </row>
    <row r="42" spans="1:8" x14ac:dyDescent="0.3">
      <c r="A42" s="3">
        <v>20</v>
      </c>
      <c r="B42" s="4" t="s">
        <v>53</v>
      </c>
      <c r="C42" s="3" t="s">
        <v>31</v>
      </c>
      <c r="D42" s="4"/>
      <c r="E42" s="3" t="s">
        <v>29</v>
      </c>
      <c r="F42" s="3">
        <v>8</v>
      </c>
      <c r="G42" s="3">
        <f t="shared" si="2"/>
        <v>88</v>
      </c>
      <c r="H42" s="1"/>
    </row>
    <row r="43" spans="1:8" x14ac:dyDescent="0.3">
      <c r="A43" s="3">
        <v>21</v>
      </c>
      <c r="B43" s="4" t="s">
        <v>54</v>
      </c>
      <c r="C43" s="3" t="s">
        <v>31</v>
      </c>
      <c r="D43" s="4"/>
      <c r="E43" s="3" t="s">
        <v>29</v>
      </c>
      <c r="F43" s="3">
        <v>8</v>
      </c>
      <c r="G43" s="3">
        <f t="shared" si="2"/>
        <v>88</v>
      </c>
      <c r="H43" s="1"/>
    </row>
    <row r="44" spans="1:8" x14ac:dyDescent="0.3">
      <c r="A44" s="3">
        <v>22</v>
      </c>
      <c r="B44" s="4" t="s">
        <v>17</v>
      </c>
      <c r="C44" s="3" t="s">
        <v>31</v>
      </c>
      <c r="D44" s="4"/>
      <c r="E44" s="3" t="s">
        <v>29</v>
      </c>
      <c r="F44" s="3">
        <v>8</v>
      </c>
      <c r="G44" s="3">
        <f t="shared" si="2"/>
        <v>88</v>
      </c>
      <c r="H44" s="1"/>
    </row>
    <row r="45" spans="1:8" x14ac:dyDescent="0.3">
      <c r="B45" s="1"/>
      <c r="C45" s="1"/>
      <c r="D45" s="1"/>
      <c r="E45" s="1"/>
      <c r="F45" s="1"/>
      <c r="G45" s="1"/>
      <c r="H45" s="1"/>
    </row>
  </sheetData>
  <mergeCells count="7">
    <mergeCell ref="A8:G8"/>
    <mergeCell ref="A21:G21"/>
    <mergeCell ref="A1:G1"/>
    <mergeCell ref="A2:G2"/>
    <mergeCell ref="C4:G4"/>
    <mergeCell ref="C5:G5"/>
    <mergeCell ref="A3:G3"/>
  </mergeCells>
  <pageMargins left="0.7" right="0.7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selection activeCell="B9" sqref="B9"/>
    </sheetView>
  </sheetViews>
  <sheetFormatPr defaultRowHeight="14.4" x14ac:dyDescent="0.3"/>
  <cols>
    <col min="2" max="2" width="45" bestFit="1" customWidth="1"/>
    <col min="3" max="3" width="16.33203125" bestFit="1" customWidth="1"/>
    <col min="4" max="4" width="13.5546875" bestFit="1" customWidth="1"/>
    <col min="5" max="5" width="25.6640625" bestFit="1" customWidth="1"/>
    <col min="6" max="6" width="17" customWidth="1"/>
    <col min="7" max="7" width="16.109375" bestFit="1" customWidth="1"/>
    <col min="8" max="8" width="14.109375" bestFit="1" customWidth="1"/>
    <col min="9" max="9" width="8.5546875" bestFit="1" customWidth="1"/>
  </cols>
  <sheetData>
    <row r="1" spans="1:9" ht="23.4" x14ac:dyDescent="0.45">
      <c r="A1" s="28" t="s">
        <v>42</v>
      </c>
      <c r="B1" s="29"/>
      <c r="C1" s="29"/>
      <c r="D1" s="29"/>
      <c r="E1" s="29"/>
      <c r="F1" s="29"/>
      <c r="G1" s="30"/>
    </row>
    <row r="2" spans="1:9" x14ac:dyDescent="0.3">
      <c r="A2" s="31" t="s">
        <v>56</v>
      </c>
      <c r="B2" s="32"/>
      <c r="C2" s="32"/>
      <c r="D2" s="32"/>
      <c r="E2" s="32"/>
      <c r="F2" s="32"/>
      <c r="G2" s="33"/>
    </row>
    <row r="3" spans="1:9" x14ac:dyDescent="0.3">
      <c r="A3" s="36" t="s">
        <v>77</v>
      </c>
      <c r="B3" s="37"/>
      <c r="C3" s="37"/>
      <c r="D3" s="37"/>
      <c r="E3" s="37"/>
      <c r="F3" s="37"/>
      <c r="G3" s="38"/>
    </row>
    <row r="4" spans="1:9" x14ac:dyDescent="0.3">
      <c r="A4" s="5"/>
      <c r="B4" s="8" t="s">
        <v>44</v>
      </c>
      <c r="C4" s="34"/>
      <c r="D4" s="34"/>
      <c r="E4" s="34"/>
      <c r="F4" s="34"/>
      <c r="G4" s="35"/>
    </row>
    <row r="5" spans="1:9" x14ac:dyDescent="0.3">
      <c r="A5" s="5"/>
      <c r="B5" s="9" t="s">
        <v>45</v>
      </c>
      <c r="C5" s="34"/>
      <c r="D5" s="34"/>
      <c r="E5" s="34"/>
      <c r="F5" s="34"/>
      <c r="G5" s="35"/>
    </row>
    <row r="6" spans="1:9" x14ac:dyDescent="0.3">
      <c r="A6" s="5"/>
      <c r="B6" s="10" t="s">
        <v>62</v>
      </c>
      <c r="C6" t="s">
        <v>46</v>
      </c>
      <c r="D6" s="10" t="s">
        <v>47</v>
      </c>
      <c r="E6" s="6">
        <v>325</v>
      </c>
      <c r="G6" s="7"/>
    </row>
    <row r="7" spans="1:9" x14ac:dyDescent="0.3">
      <c r="A7" s="5"/>
      <c r="B7" s="10" t="s">
        <v>48</v>
      </c>
      <c r="C7" t="s">
        <v>49</v>
      </c>
      <c r="D7" s="10" t="s">
        <v>59</v>
      </c>
      <c r="E7" s="6" t="s">
        <v>76</v>
      </c>
      <c r="G7" s="7"/>
    </row>
    <row r="8" spans="1:9" x14ac:dyDescent="0.3">
      <c r="A8" s="26" t="s">
        <v>0</v>
      </c>
      <c r="B8" s="26"/>
      <c r="C8" s="26"/>
      <c r="D8" s="26"/>
      <c r="E8" s="26"/>
      <c r="F8" s="26"/>
      <c r="G8" s="26"/>
    </row>
    <row r="9" spans="1:9" ht="43.2" x14ac:dyDescent="0.3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1" t="s">
        <v>73</v>
      </c>
      <c r="I9" s="21" t="s">
        <v>74</v>
      </c>
    </row>
    <row r="10" spans="1:9" x14ac:dyDescent="0.3">
      <c r="A10" s="3">
        <v>1</v>
      </c>
      <c r="B10" s="4" t="s">
        <v>9</v>
      </c>
      <c r="C10" s="3" t="s">
        <v>75</v>
      </c>
      <c r="D10" s="3">
        <v>3235</v>
      </c>
      <c r="E10" s="4" t="s">
        <v>8</v>
      </c>
      <c r="F10" s="3">
        <v>6</v>
      </c>
      <c r="G10" s="3">
        <f>F10*24</f>
        <v>144</v>
      </c>
      <c r="H10" s="6">
        <v>3.92</v>
      </c>
      <c r="I10" s="24">
        <f>((H10*D10)/1000)*G10</f>
        <v>1826.0927999999999</v>
      </c>
    </row>
    <row r="11" spans="1:9" x14ac:dyDescent="0.3">
      <c r="A11" s="3">
        <v>2</v>
      </c>
      <c r="B11" s="4" t="s">
        <v>10</v>
      </c>
      <c r="C11" s="3" t="s">
        <v>22</v>
      </c>
      <c r="D11" s="3">
        <v>1912</v>
      </c>
      <c r="E11" s="4" t="s">
        <v>8</v>
      </c>
      <c r="F11" s="3">
        <v>6</v>
      </c>
      <c r="G11" s="3">
        <f>F11*24</f>
        <v>144</v>
      </c>
      <c r="H11" s="6">
        <v>6.6</v>
      </c>
      <c r="I11" s="24">
        <f t="shared" ref="I11:I16" si="0">((H11*D11)/1000)*G11</f>
        <v>1817.1648</v>
      </c>
    </row>
    <row r="12" spans="1:9" x14ac:dyDescent="0.3">
      <c r="A12" s="3">
        <v>3</v>
      </c>
      <c r="B12" s="4" t="s">
        <v>19</v>
      </c>
      <c r="C12" s="3" t="s">
        <v>27</v>
      </c>
      <c r="D12" s="3">
        <v>5550</v>
      </c>
      <c r="E12" s="4" t="s">
        <v>8</v>
      </c>
      <c r="F12" s="3">
        <v>4</v>
      </c>
      <c r="G12" s="3">
        <f t="shared" ref="G12:G19" si="1">F12*24</f>
        <v>96</v>
      </c>
      <c r="H12" s="6">
        <v>4.7</v>
      </c>
      <c r="I12" s="24">
        <f t="shared" si="0"/>
        <v>2504.16</v>
      </c>
    </row>
    <row r="13" spans="1:9" x14ac:dyDescent="0.3">
      <c r="A13" s="3">
        <v>4</v>
      </c>
      <c r="B13" s="4" t="s">
        <v>20</v>
      </c>
      <c r="C13" s="3" t="s">
        <v>27</v>
      </c>
      <c r="D13" s="3">
        <v>5045</v>
      </c>
      <c r="E13" s="4" t="s">
        <v>8</v>
      </c>
      <c r="F13" s="3">
        <v>4</v>
      </c>
      <c r="G13" s="3">
        <f t="shared" si="1"/>
        <v>96</v>
      </c>
      <c r="H13" s="6">
        <v>4.7</v>
      </c>
      <c r="I13" s="24">
        <f t="shared" si="0"/>
        <v>2276.3040000000001</v>
      </c>
    </row>
    <row r="14" spans="1:9" x14ac:dyDescent="0.3">
      <c r="A14" s="3">
        <v>5</v>
      </c>
      <c r="B14" s="4" t="s">
        <v>21</v>
      </c>
      <c r="C14" s="3" t="s">
        <v>27</v>
      </c>
      <c r="D14" s="3">
        <v>5550</v>
      </c>
      <c r="E14" s="4" t="s">
        <v>8</v>
      </c>
      <c r="F14" s="3">
        <v>4</v>
      </c>
      <c r="G14" s="3">
        <f t="shared" si="1"/>
        <v>96</v>
      </c>
      <c r="H14" s="6">
        <v>4.7</v>
      </c>
      <c r="I14" s="24">
        <f t="shared" si="0"/>
        <v>2504.16</v>
      </c>
    </row>
    <row r="15" spans="1:9" x14ac:dyDescent="0.3">
      <c r="A15" s="3">
        <v>6</v>
      </c>
      <c r="B15" s="4" t="s">
        <v>11</v>
      </c>
      <c r="C15" s="3" t="s">
        <v>23</v>
      </c>
      <c r="D15" s="3">
        <v>1314</v>
      </c>
      <c r="E15" s="4" t="s">
        <v>8</v>
      </c>
      <c r="F15" s="3">
        <v>6</v>
      </c>
      <c r="G15" s="3">
        <f t="shared" si="1"/>
        <v>144</v>
      </c>
      <c r="H15" s="6">
        <v>3.14</v>
      </c>
      <c r="I15" s="24">
        <f t="shared" si="0"/>
        <v>594.13824</v>
      </c>
    </row>
    <row r="16" spans="1:9" x14ac:dyDescent="0.3">
      <c r="A16" s="3">
        <v>7</v>
      </c>
      <c r="B16" s="4" t="s">
        <v>12</v>
      </c>
      <c r="C16" s="3" t="s">
        <v>23</v>
      </c>
      <c r="D16" s="3">
        <v>3043</v>
      </c>
      <c r="E16" s="4" t="s">
        <v>8</v>
      </c>
      <c r="F16" s="3">
        <v>4</v>
      </c>
      <c r="G16" s="3">
        <f t="shared" si="1"/>
        <v>96</v>
      </c>
      <c r="H16" s="6">
        <v>3.14</v>
      </c>
      <c r="I16" s="24">
        <f t="shared" si="0"/>
        <v>917.28192000000013</v>
      </c>
    </row>
    <row r="17" spans="1:9" x14ac:dyDescent="0.3">
      <c r="A17" s="3">
        <v>8</v>
      </c>
      <c r="B17" s="4" t="s">
        <v>13</v>
      </c>
      <c r="C17" s="3" t="s">
        <v>24</v>
      </c>
      <c r="D17" s="3">
        <v>150</v>
      </c>
      <c r="E17" s="4" t="s">
        <v>8</v>
      </c>
      <c r="F17" s="3">
        <v>6</v>
      </c>
      <c r="G17" s="3">
        <f t="shared" si="1"/>
        <v>144</v>
      </c>
      <c r="H17" s="6">
        <v>0.47099999999999997</v>
      </c>
      <c r="I17" s="24">
        <f>H17*G17</f>
        <v>67.823999999999998</v>
      </c>
    </row>
    <row r="18" spans="1:9" x14ac:dyDescent="0.3">
      <c r="A18" s="3">
        <v>9</v>
      </c>
      <c r="B18" s="4" t="s">
        <v>14</v>
      </c>
      <c r="C18" s="3" t="s">
        <v>25</v>
      </c>
      <c r="D18" s="3">
        <v>85</v>
      </c>
      <c r="E18" s="4" t="s">
        <v>8</v>
      </c>
      <c r="F18" s="3">
        <v>24</v>
      </c>
      <c r="G18" s="3">
        <f t="shared" si="1"/>
        <v>576</v>
      </c>
      <c r="H18" s="6">
        <v>0.23</v>
      </c>
      <c r="I18" s="24">
        <f>H18*G18</f>
        <v>132.48000000000002</v>
      </c>
    </row>
    <row r="19" spans="1:9" x14ac:dyDescent="0.3">
      <c r="A19" s="3">
        <v>11</v>
      </c>
      <c r="B19" s="4" t="s">
        <v>26</v>
      </c>
      <c r="C19" s="3" t="s">
        <v>28</v>
      </c>
      <c r="D19" s="3">
        <v>150</v>
      </c>
      <c r="E19" s="4" t="s">
        <v>8</v>
      </c>
      <c r="F19" s="3">
        <v>8</v>
      </c>
      <c r="G19" s="3">
        <f t="shared" si="1"/>
        <v>192</v>
      </c>
      <c r="H19" s="6">
        <v>0.23</v>
      </c>
      <c r="I19" s="24">
        <f>H19*G19</f>
        <v>44.160000000000004</v>
      </c>
    </row>
    <row r="20" spans="1:9" x14ac:dyDescent="0.3">
      <c r="A20" s="3"/>
      <c r="B20" s="4"/>
      <c r="C20" s="4"/>
      <c r="D20" s="4"/>
      <c r="E20" s="4"/>
      <c r="F20" s="4"/>
      <c r="G20" s="4"/>
      <c r="I20" s="23">
        <f>SUM(I10:I19)</f>
        <v>12683.76576</v>
      </c>
    </row>
    <row r="21" spans="1:9" x14ac:dyDescent="0.3">
      <c r="A21" s="27" t="s">
        <v>15</v>
      </c>
      <c r="B21" s="27"/>
      <c r="C21" s="27"/>
      <c r="D21" s="27"/>
      <c r="E21" s="27"/>
      <c r="F21" s="27"/>
      <c r="G21" s="27"/>
    </row>
    <row r="22" spans="1:9" x14ac:dyDescent="0.3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</row>
    <row r="23" spans="1:9" x14ac:dyDescent="0.3">
      <c r="A23" s="3">
        <v>1</v>
      </c>
      <c r="B23" s="4" t="s">
        <v>16</v>
      </c>
      <c r="C23" s="3" t="s">
        <v>30</v>
      </c>
      <c r="D23" s="4"/>
      <c r="E23" s="3" t="s">
        <v>29</v>
      </c>
      <c r="F23" s="3">
        <v>120</v>
      </c>
      <c r="G23" s="3">
        <f>F23*24</f>
        <v>2880</v>
      </c>
      <c r="H23">
        <v>10</v>
      </c>
      <c r="I23">
        <f>H23*G23</f>
        <v>28800</v>
      </c>
    </row>
    <row r="24" spans="1:9" x14ac:dyDescent="0.3">
      <c r="A24" s="3">
        <v>2</v>
      </c>
      <c r="B24" s="4" t="s">
        <v>32</v>
      </c>
      <c r="C24" s="3" t="s">
        <v>30</v>
      </c>
      <c r="D24" s="4"/>
      <c r="E24" s="3" t="s">
        <v>29</v>
      </c>
      <c r="F24" s="3">
        <v>120</v>
      </c>
      <c r="G24" s="3">
        <f t="shared" ref="G24:G44" si="2">F24*24</f>
        <v>2880</v>
      </c>
    </row>
    <row r="25" spans="1:9" x14ac:dyDescent="0.3">
      <c r="A25" s="3">
        <v>3</v>
      </c>
      <c r="B25" s="4" t="s">
        <v>17</v>
      </c>
      <c r="C25" s="3" t="s">
        <v>30</v>
      </c>
      <c r="D25" s="4"/>
      <c r="E25" s="3" t="s">
        <v>29</v>
      </c>
      <c r="F25" s="3">
        <v>120</v>
      </c>
      <c r="G25" s="3">
        <f t="shared" si="2"/>
        <v>2880</v>
      </c>
    </row>
    <row r="26" spans="1:9" x14ac:dyDescent="0.3">
      <c r="A26" s="3">
        <v>4</v>
      </c>
      <c r="B26" s="4" t="s">
        <v>18</v>
      </c>
      <c r="C26" s="3" t="s">
        <v>30</v>
      </c>
      <c r="D26" s="4"/>
      <c r="E26" s="3" t="s">
        <v>29</v>
      </c>
      <c r="F26" s="3">
        <v>120</v>
      </c>
      <c r="G26" s="3">
        <f t="shared" si="2"/>
        <v>2880</v>
      </c>
    </row>
    <row r="27" spans="1:9" x14ac:dyDescent="0.3">
      <c r="A27" s="3">
        <v>5</v>
      </c>
      <c r="B27" s="4" t="s">
        <v>33</v>
      </c>
      <c r="C27" s="3" t="s">
        <v>31</v>
      </c>
      <c r="D27" s="4"/>
      <c r="E27" s="3" t="s">
        <v>29</v>
      </c>
      <c r="F27" s="3">
        <v>24</v>
      </c>
      <c r="G27" s="3">
        <f t="shared" si="2"/>
        <v>576</v>
      </c>
      <c r="H27">
        <v>11</v>
      </c>
      <c r="I27">
        <f>H27*G27</f>
        <v>6336</v>
      </c>
    </row>
    <row r="28" spans="1:9" x14ac:dyDescent="0.3">
      <c r="A28" s="3">
        <v>6</v>
      </c>
      <c r="B28" s="4" t="s">
        <v>34</v>
      </c>
      <c r="C28" s="3" t="s">
        <v>31</v>
      </c>
      <c r="D28" s="4"/>
      <c r="E28" s="3" t="s">
        <v>29</v>
      </c>
      <c r="F28" s="3">
        <v>24</v>
      </c>
      <c r="G28" s="3">
        <f t="shared" si="2"/>
        <v>576</v>
      </c>
    </row>
    <row r="29" spans="1:9" x14ac:dyDescent="0.3">
      <c r="A29" s="3">
        <v>7</v>
      </c>
      <c r="B29" s="4" t="s">
        <v>17</v>
      </c>
      <c r="C29" s="3" t="s">
        <v>31</v>
      </c>
      <c r="D29" s="4"/>
      <c r="E29" s="3" t="s">
        <v>29</v>
      </c>
      <c r="F29" s="3">
        <v>24</v>
      </c>
      <c r="G29" s="3">
        <f t="shared" si="2"/>
        <v>576</v>
      </c>
    </row>
    <row r="30" spans="1:9" x14ac:dyDescent="0.3">
      <c r="A30" s="3">
        <v>8</v>
      </c>
      <c r="B30" s="4" t="s">
        <v>35</v>
      </c>
      <c r="C30" s="3" t="s">
        <v>31</v>
      </c>
      <c r="D30" s="4"/>
      <c r="E30" s="3" t="s">
        <v>29</v>
      </c>
      <c r="F30" s="3">
        <v>48</v>
      </c>
      <c r="G30" s="3">
        <f t="shared" si="2"/>
        <v>1152</v>
      </c>
      <c r="H30">
        <v>11</v>
      </c>
      <c r="I30">
        <f>H30*G30</f>
        <v>12672</v>
      </c>
    </row>
    <row r="31" spans="1:9" x14ac:dyDescent="0.3">
      <c r="A31" s="3">
        <v>9</v>
      </c>
      <c r="B31" s="4" t="s">
        <v>36</v>
      </c>
      <c r="C31" s="3" t="s">
        <v>31</v>
      </c>
      <c r="D31" s="4"/>
      <c r="E31" s="3" t="s">
        <v>29</v>
      </c>
      <c r="F31" s="3">
        <v>48</v>
      </c>
      <c r="G31" s="3">
        <f t="shared" si="2"/>
        <v>1152</v>
      </c>
    </row>
    <row r="32" spans="1:9" x14ac:dyDescent="0.3">
      <c r="A32" s="3">
        <v>10</v>
      </c>
      <c r="B32" s="4" t="s">
        <v>18</v>
      </c>
      <c r="C32" s="3" t="s">
        <v>31</v>
      </c>
      <c r="D32" s="4"/>
      <c r="E32" s="3" t="s">
        <v>29</v>
      </c>
      <c r="F32" s="3">
        <v>48</v>
      </c>
      <c r="G32" s="3">
        <f t="shared" si="2"/>
        <v>1152</v>
      </c>
    </row>
    <row r="33" spans="1:9" x14ac:dyDescent="0.3">
      <c r="A33" s="3">
        <v>11</v>
      </c>
      <c r="B33" s="4" t="s">
        <v>17</v>
      </c>
      <c r="C33" s="3" t="s">
        <v>31</v>
      </c>
      <c r="D33" s="4"/>
      <c r="E33" s="3" t="s">
        <v>29</v>
      </c>
      <c r="F33" s="3">
        <v>48</v>
      </c>
      <c r="G33" s="3">
        <f t="shared" si="2"/>
        <v>1152</v>
      </c>
    </row>
    <row r="34" spans="1:9" x14ac:dyDescent="0.3">
      <c r="A34" s="3">
        <v>12</v>
      </c>
      <c r="B34" s="4" t="s">
        <v>37</v>
      </c>
      <c r="C34" s="3" t="s">
        <v>38</v>
      </c>
      <c r="D34" s="4"/>
      <c r="E34" s="3" t="s">
        <v>29</v>
      </c>
      <c r="F34" s="3">
        <v>24</v>
      </c>
      <c r="G34" s="3">
        <f t="shared" si="2"/>
        <v>576</v>
      </c>
      <c r="H34">
        <v>28</v>
      </c>
      <c r="I34">
        <f>H34*G34</f>
        <v>16128</v>
      </c>
    </row>
    <row r="35" spans="1:9" x14ac:dyDescent="0.3">
      <c r="A35" s="3">
        <v>13</v>
      </c>
      <c r="B35" s="4" t="s">
        <v>39</v>
      </c>
      <c r="C35" s="3" t="s">
        <v>38</v>
      </c>
      <c r="D35" s="4"/>
      <c r="E35" s="3" t="s">
        <v>29</v>
      </c>
      <c r="F35" s="3">
        <v>24</v>
      </c>
      <c r="G35" s="3">
        <f t="shared" si="2"/>
        <v>576</v>
      </c>
    </row>
    <row r="36" spans="1:9" x14ac:dyDescent="0.3">
      <c r="A36" s="3">
        <v>14</v>
      </c>
      <c r="B36" s="4" t="s">
        <v>17</v>
      </c>
      <c r="C36" s="3" t="s">
        <v>38</v>
      </c>
      <c r="D36" s="4"/>
      <c r="E36" s="3" t="s">
        <v>29</v>
      </c>
      <c r="F36" s="3">
        <v>24</v>
      </c>
      <c r="G36" s="3">
        <f t="shared" si="2"/>
        <v>576</v>
      </c>
    </row>
    <row r="37" spans="1:9" x14ac:dyDescent="0.3">
      <c r="A37" s="3">
        <v>15</v>
      </c>
      <c r="B37" s="4" t="s">
        <v>40</v>
      </c>
      <c r="C37" s="3" t="s">
        <v>31</v>
      </c>
      <c r="D37" s="4"/>
      <c r="E37" s="3" t="s">
        <v>29</v>
      </c>
      <c r="F37" s="3">
        <v>64</v>
      </c>
      <c r="G37" s="3">
        <f t="shared" si="2"/>
        <v>1536</v>
      </c>
      <c r="H37">
        <v>11</v>
      </c>
      <c r="I37">
        <f>H37*G37</f>
        <v>16896</v>
      </c>
    </row>
    <row r="38" spans="1:9" x14ac:dyDescent="0.3">
      <c r="A38" s="3">
        <v>16</v>
      </c>
      <c r="B38" s="4" t="s">
        <v>41</v>
      </c>
      <c r="C38" s="3" t="s">
        <v>31</v>
      </c>
      <c r="D38" s="4"/>
      <c r="E38" s="3" t="s">
        <v>29</v>
      </c>
      <c r="F38" s="3">
        <v>64</v>
      </c>
      <c r="G38" s="3">
        <f t="shared" si="2"/>
        <v>1536</v>
      </c>
      <c r="H38" s="1"/>
    </row>
    <row r="39" spans="1:9" x14ac:dyDescent="0.3">
      <c r="A39" s="3">
        <v>17</v>
      </c>
      <c r="B39" s="4" t="s">
        <v>17</v>
      </c>
      <c r="C39" s="3" t="s">
        <v>31</v>
      </c>
      <c r="D39" s="4"/>
      <c r="E39" s="3" t="s">
        <v>29</v>
      </c>
      <c r="F39" s="3">
        <v>64</v>
      </c>
      <c r="G39" s="3">
        <f t="shared" si="2"/>
        <v>1536</v>
      </c>
      <c r="H39" s="1"/>
    </row>
    <row r="40" spans="1:9" x14ac:dyDescent="0.3">
      <c r="A40" s="3">
        <v>18</v>
      </c>
      <c r="B40" s="4" t="s">
        <v>18</v>
      </c>
      <c r="C40" s="3" t="s">
        <v>31</v>
      </c>
      <c r="D40" s="4"/>
      <c r="E40" s="3" t="s">
        <v>29</v>
      </c>
      <c r="F40" s="3">
        <v>64</v>
      </c>
      <c r="G40" s="3">
        <f t="shared" si="2"/>
        <v>1536</v>
      </c>
      <c r="H40" s="1"/>
    </row>
    <row r="41" spans="1:9" x14ac:dyDescent="0.3">
      <c r="A41" s="3">
        <v>19</v>
      </c>
      <c r="B41" s="4" t="s">
        <v>58</v>
      </c>
      <c r="C41" s="3" t="s">
        <v>31</v>
      </c>
      <c r="D41" s="3">
        <v>1120</v>
      </c>
      <c r="E41" s="3" t="s">
        <v>29</v>
      </c>
      <c r="F41" s="3">
        <v>5</v>
      </c>
      <c r="G41" s="3">
        <f t="shared" si="2"/>
        <v>120</v>
      </c>
      <c r="H41" s="1"/>
    </row>
    <row r="42" spans="1:9" x14ac:dyDescent="0.3">
      <c r="A42" s="3">
        <v>20</v>
      </c>
      <c r="B42" s="4" t="s">
        <v>53</v>
      </c>
      <c r="C42" s="3" t="s">
        <v>31</v>
      </c>
      <c r="D42" s="4"/>
      <c r="E42" s="3" t="s">
        <v>29</v>
      </c>
      <c r="F42" s="3">
        <v>8</v>
      </c>
      <c r="G42" s="3">
        <f t="shared" si="2"/>
        <v>192</v>
      </c>
      <c r="H42" s="25">
        <v>11</v>
      </c>
      <c r="I42">
        <f>H42*G42</f>
        <v>2112</v>
      </c>
    </row>
    <row r="43" spans="1:9" x14ac:dyDescent="0.3">
      <c r="A43" s="3">
        <v>21</v>
      </c>
      <c r="B43" s="4" t="s">
        <v>54</v>
      </c>
      <c r="C43" s="3" t="s">
        <v>31</v>
      </c>
      <c r="D43" s="4"/>
      <c r="E43" s="3" t="s">
        <v>29</v>
      </c>
      <c r="F43" s="3">
        <v>8</v>
      </c>
      <c r="G43" s="3">
        <f t="shared" si="2"/>
        <v>192</v>
      </c>
      <c r="H43" s="1"/>
    </row>
    <row r="44" spans="1:9" x14ac:dyDescent="0.3">
      <c r="A44" s="3">
        <v>22</v>
      </c>
      <c r="B44" s="4" t="s">
        <v>17</v>
      </c>
      <c r="C44" s="3" t="s">
        <v>31</v>
      </c>
      <c r="D44" s="4"/>
      <c r="E44" s="3" t="s">
        <v>29</v>
      </c>
      <c r="F44" s="3">
        <v>8</v>
      </c>
      <c r="G44" s="3">
        <f t="shared" si="2"/>
        <v>192</v>
      </c>
      <c r="H44" s="1"/>
    </row>
    <row r="45" spans="1:9" x14ac:dyDescent="0.3">
      <c r="B45" s="1"/>
      <c r="C45" s="1"/>
      <c r="D45" s="1"/>
      <c r="E45" s="1"/>
      <c r="F45" s="1"/>
      <c r="G45" s="1"/>
      <c r="H45" s="1"/>
      <c r="I45">
        <f>SUM(I23:I42)</f>
        <v>82944</v>
      </c>
    </row>
  </sheetData>
  <mergeCells count="7">
    <mergeCell ref="A21:G21"/>
    <mergeCell ref="A1:G1"/>
    <mergeCell ref="A2:G2"/>
    <mergeCell ref="A3:G3"/>
    <mergeCell ref="C4:G4"/>
    <mergeCell ref="C5:G5"/>
    <mergeCell ref="A8:G8"/>
  </mergeCells>
  <pageMargins left="0.7" right="0.7" top="0.75" bottom="0.75" header="0.3" footer="0.3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workbookViewId="0">
      <selection activeCell="E9" sqref="E9"/>
    </sheetView>
  </sheetViews>
  <sheetFormatPr defaultRowHeight="14.4" x14ac:dyDescent="0.3"/>
  <cols>
    <col min="2" max="2" width="45" bestFit="1" customWidth="1"/>
    <col min="3" max="3" width="16.33203125" bestFit="1" customWidth="1"/>
    <col min="4" max="4" width="13.5546875" bestFit="1" customWidth="1"/>
    <col min="5" max="5" width="25.6640625" bestFit="1" customWidth="1"/>
    <col min="6" max="6" width="17" customWidth="1"/>
    <col min="7" max="7" width="16.109375" bestFit="1" customWidth="1"/>
    <col min="8" max="8" width="14.44140625" customWidth="1"/>
  </cols>
  <sheetData>
    <row r="1" spans="1:9" ht="23.4" x14ac:dyDescent="0.45">
      <c r="A1" s="28" t="s">
        <v>42</v>
      </c>
      <c r="B1" s="29"/>
      <c r="C1" s="29"/>
      <c r="D1" s="29"/>
      <c r="E1" s="29"/>
      <c r="F1" s="29"/>
      <c r="G1" s="30"/>
    </row>
    <row r="2" spans="1:9" x14ac:dyDescent="0.3">
      <c r="A2" s="31" t="s">
        <v>55</v>
      </c>
      <c r="B2" s="32"/>
      <c r="C2" s="32"/>
      <c r="D2" s="32"/>
      <c r="E2" s="32"/>
      <c r="F2" s="32"/>
      <c r="G2" s="33"/>
    </row>
    <row r="3" spans="1:9" x14ac:dyDescent="0.3">
      <c r="A3" s="36" t="s">
        <v>77</v>
      </c>
      <c r="B3" s="37"/>
      <c r="C3" s="37"/>
      <c r="D3" s="37"/>
      <c r="E3" s="37"/>
      <c r="F3" s="37"/>
      <c r="G3" s="38"/>
    </row>
    <row r="4" spans="1:9" x14ac:dyDescent="0.3">
      <c r="A4" s="5"/>
      <c r="B4" s="8" t="s">
        <v>44</v>
      </c>
      <c r="C4" s="34"/>
      <c r="D4" s="34"/>
      <c r="E4" s="34"/>
      <c r="F4" s="34"/>
      <c r="G4" s="35"/>
    </row>
    <row r="5" spans="1:9" x14ac:dyDescent="0.3">
      <c r="A5" s="5"/>
      <c r="B5" s="9" t="s">
        <v>45</v>
      </c>
      <c r="C5" s="34"/>
      <c r="D5" s="34"/>
      <c r="E5" s="34"/>
      <c r="F5" s="34"/>
      <c r="G5" s="35"/>
    </row>
    <row r="6" spans="1:9" x14ac:dyDescent="0.3">
      <c r="A6" s="5"/>
      <c r="B6" s="10" t="s">
        <v>62</v>
      </c>
      <c r="C6" t="s">
        <v>46</v>
      </c>
      <c r="D6" s="10" t="s">
        <v>47</v>
      </c>
      <c r="E6" s="6">
        <v>325</v>
      </c>
      <c r="G6" s="7"/>
    </row>
    <row r="7" spans="1:9" x14ac:dyDescent="0.3">
      <c r="A7" s="5"/>
      <c r="B7" s="10" t="s">
        <v>48</v>
      </c>
      <c r="C7" t="s">
        <v>49</v>
      </c>
      <c r="D7" s="10" t="s">
        <v>59</v>
      </c>
      <c r="E7" s="6" t="s">
        <v>61</v>
      </c>
      <c r="G7" s="7"/>
    </row>
    <row r="8" spans="1:9" x14ac:dyDescent="0.3">
      <c r="A8" s="26" t="s">
        <v>0</v>
      </c>
      <c r="B8" s="26"/>
      <c r="C8" s="26"/>
      <c r="D8" s="26"/>
      <c r="E8" s="26"/>
      <c r="F8" s="26"/>
      <c r="G8" s="26"/>
    </row>
    <row r="9" spans="1:9" ht="43.2" x14ac:dyDescent="0.3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1" t="s">
        <v>73</v>
      </c>
      <c r="I9" s="21" t="s">
        <v>74</v>
      </c>
    </row>
    <row r="10" spans="1:9" x14ac:dyDescent="0.3">
      <c r="A10" s="3">
        <v>1</v>
      </c>
      <c r="B10" s="4" t="s">
        <v>9</v>
      </c>
      <c r="C10" s="3" t="s">
        <v>22</v>
      </c>
      <c r="D10" s="3">
        <v>3235</v>
      </c>
      <c r="E10" s="4" t="s">
        <v>8</v>
      </c>
      <c r="F10" s="3">
        <v>3</v>
      </c>
      <c r="G10" s="3">
        <f>F10*10</f>
        <v>30</v>
      </c>
      <c r="H10" s="6">
        <v>6.92</v>
      </c>
      <c r="I10" s="24">
        <f>((H10*D10)/1000)*G10</f>
        <v>671.58600000000001</v>
      </c>
    </row>
    <row r="11" spans="1:9" x14ac:dyDescent="0.3">
      <c r="A11" s="3">
        <v>2</v>
      </c>
      <c r="B11" s="4" t="s">
        <v>10</v>
      </c>
      <c r="C11" s="3" t="s">
        <v>22</v>
      </c>
      <c r="D11" s="3">
        <v>2912</v>
      </c>
      <c r="E11" s="4" t="s">
        <v>8</v>
      </c>
      <c r="F11" s="3">
        <v>3</v>
      </c>
      <c r="G11" s="3">
        <f t="shared" ref="G11:G18" si="0">F11*10</f>
        <v>30</v>
      </c>
      <c r="H11" s="6">
        <v>6.92</v>
      </c>
      <c r="I11" s="24">
        <f t="shared" ref="I11:I14" si="1">((H11*D11)/1000)*G11</f>
        <v>604.53120000000001</v>
      </c>
    </row>
    <row r="12" spans="1:9" x14ac:dyDescent="0.3">
      <c r="A12" s="3">
        <v>3</v>
      </c>
      <c r="B12" s="4" t="s">
        <v>19</v>
      </c>
      <c r="C12" s="3" t="s">
        <v>27</v>
      </c>
      <c r="D12" s="3">
        <v>4500</v>
      </c>
      <c r="E12" s="4" t="s">
        <v>8</v>
      </c>
      <c r="F12" s="3">
        <v>4</v>
      </c>
      <c r="G12" s="3">
        <f t="shared" si="0"/>
        <v>40</v>
      </c>
      <c r="H12" s="6">
        <v>4.7</v>
      </c>
      <c r="I12" s="24">
        <f t="shared" si="1"/>
        <v>846</v>
      </c>
    </row>
    <row r="13" spans="1:9" x14ac:dyDescent="0.3">
      <c r="A13" s="3">
        <v>4</v>
      </c>
      <c r="B13" s="4" t="s">
        <v>20</v>
      </c>
      <c r="C13" s="3" t="s">
        <v>27</v>
      </c>
      <c r="D13" s="3">
        <v>3575</v>
      </c>
      <c r="E13" s="4" t="s">
        <v>8</v>
      </c>
      <c r="F13" s="3">
        <v>4</v>
      </c>
      <c r="G13" s="3">
        <f t="shared" si="0"/>
        <v>40</v>
      </c>
      <c r="H13" s="6">
        <v>4.7</v>
      </c>
      <c r="I13" s="24">
        <f t="shared" si="1"/>
        <v>672.09999999999991</v>
      </c>
    </row>
    <row r="14" spans="1:9" x14ac:dyDescent="0.3">
      <c r="A14" s="3">
        <v>6</v>
      </c>
      <c r="B14" s="4" t="s">
        <v>11</v>
      </c>
      <c r="C14" s="3" t="s">
        <v>23</v>
      </c>
      <c r="D14" s="3">
        <v>1314</v>
      </c>
      <c r="E14" s="4" t="s">
        <v>8</v>
      </c>
      <c r="F14" s="3">
        <v>3</v>
      </c>
      <c r="G14" s="3">
        <f t="shared" si="0"/>
        <v>30</v>
      </c>
      <c r="H14" s="6">
        <v>3.14</v>
      </c>
      <c r="I14" s="24">
        <f t="shared" si="1"/>
        <v>123.7788</v>
      </c>
    </row>
    <row r="15" spans="1:9" x14ac:dyDescent="0.3">
      <c r="A15" s="3">
        <v>7</v>
      </c>
      <c r="B15" s="4" t="s">
        <v>12</v>
      </c>
      <c r="C15" s="3" t="s">
        <v>23</v>
      </c>
      <c r="D15" s="3">
        <v>3043</v>
      </c>
      <c r="E15" s="4" t="s">
        <v>8</v>
      </c>
      <c r="F15" s="3">
        <v>2</v>
      </c>
      <c r="G15" s="3">
        <f t="shared" si="0"/>
        <v>20</v>
      </c>
      <c r="H15" s="6">
        <v>3.14</v>
      </c>
      <c r="I15" s="24">
        <f>((H15*D15)/1000)*G15</f>
        <v>191.10040000000001</v>
      </c>
    </row>
    <row r="16" spans="1:9" x14ac:dyDescent="0.3">
      <c r="A16" s="3">
        <v>8</v>
      </c>
      <c r="B16" s="4" t="s">
        <v>13</v>
      </c>
      <c r="C16" s="3" t="s">
        <v>24</v>
      </c>
      <c r="D16" s="3">
        <v>150</v>
      </c>
      <c r="E16" s="4" t="s">
        <v>8</v>
      </c>
      <c r="F16" s="3">
        <v>3</v>
      </c>
      <c r="G16" s="3">
        <f t="shared" si="0"/>
        <v>30</v>
      </c>
      <c r="H16" s="6">
        <v>0.47099999999999997</v>
      </c>
      <c r="I16" s="24">
        <f>H16*G16</f>
        <v>14.129999999999999</v>
      </c>
    </row>
    <row r="17" spans="1:11" x14ac:dyDescent="0.3">
      <c r="A17" s="3">
        <v>9</v>
      </c>
      <c r="B17" s="4" t="s">
        <v>14</v>
      </c>
      <c r="C17" s="3" t="s">
        <v>25</v>
      </c>
      <c r="D17" s="3">
        <v>85</v>
      </c>
      <c r="E17" s="4" t="s">
        <v>8</v>
      </c>
      <c r="F17" s="3">
        <v>4</v>
      </c>
      <c r="G17" s="3">
        <f t="shared" si="0"/>
        <v>40</v>
      </c>
      <c r="H17" s="6">
        <v>0.23</v>
      </c>
      <c r="I17" s="24">
        <f>H17*G17</f>
        <v>9.2000000000000011</v>
      </c>
    </row>
    <row r="18" spans="1:11" x14ac:dyDescent="0.3">
      <c r="A18" s="3">
        <v>10</v>
      </c>
      <c r="B18" s="4" t="s">
        <v>26</v>
      </c>
      <c r="C18" s="3" t="s">
        <v>28</v>
      </c>
      <c r="D18" s="3">
        <v>150</v>
      </c>
      <c r="E18" s="4" t="s">
        <v>8</v>
      </c>
      <c r="F18" s="3">
        <v>4</v>
      </c>
      <c r="G18" s="3">
        <f t="shared" si="0"/>
        <v>40</v>
      </c>
      <c r="H18" s="6">
        <v>0.23</v>
      </c>
      <c r="I18" s="24">
        <f>H18*G18</f>
        <v>9.2000000000000011</v>
      </c>
      <c r="K18">
        <v>6952</v>
      </c>
    </row>
    <row r="19" spans="1:11" x14ac:dyDescent="0.3">
      <c r="A19" s="3"/>
      <c r="B19" s="4"/>
      <c r="C19" s="4"/>
      <c r="D19" s="4"/>
      <c r="E19" s="4"/>
      <c r="F19" s="4"/>
      <c r="G19" s="4"/>
      <c r="H19" s="6"/>
      <c r="I19" s="24">
        <f>SUM(I10:I18)</f>
        <v>3141.6263999999996</v>
      </c>
      <c r="K19">
        <v>15165</v>
      </c>
    </row>
    <row r="20" spans="1:11" x14ac:dyDescent="0.3">
      <c r="A20" s="27" t="s">
        <v>15</v>
      </c>
      <c r="B20" s="27"/>
      <c r="C20" s="27"/>
      <c r="D20" s="27"/>
      <c r="E20" s="27"/>
      <c r="F20" s="27"/>
      <c r="G20" s="27"/>
      <c r="K20">
        <v>3142</v>
      </c>
    </row>
    <row r="21" spans="1:11" x14ac:dyDescent="0.3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</row>
    <row r="22" spans="1:11" x14ac:dyDescent="0.3">
      <c r="A22" s="3">
        <v>1</v>
      </c>
      <c r="B22" s="4" t="s">
        <v>16</v>
      </c>
      <c r="C22" s="3" t="s">
        <v>30</v>
      </c>
      <c r="D22" s="4"/>
      <c r="E22" s="3" t="s">
        <v>29</v>
      </c>
      <c r="F22" s="3">
        <v>64</v>
      </c>
      <c r="G22" s="3">
        <f>F22*10</f>
        <v>640</v>
      </c>
      <c r="K22">
        <f>SUM(K18:K20)</f>
        <v>25259</v>
      </c>
    </row>
    <row r="23" spans="1:11" x14ac:dyDescent="0.3">
      <c r="A23" s="3">
        <v>2</v>
      </c>
      <c r="B23" s="4" t="s">
        <v>32</v>
      </c>
      <c r="C23" s="3" t="s">
        <v>30</v>
      </c>
      <c r="D23" s="4"/>
      <c r="E23" s="3" t="s">
        <v>29</v>
      </c>
      <c r="F23" s="3">
        <v>64</v>
      </c>
      <c r="G23" s="3">
        <f t="shared" ref="G23:G43" si="2">F23*10</f>
        <v>640</v>
      </c>
    </row>
    <row r="24" spans="1:11" x14ac:dyDescent="0.3">
      <c r="A24" s="3">
        <v>3</v>
      </c>
      <c r="B24" s="4" t="s">
        <v>17</v>
      </c>
      <c r="C24" s="3" t="s">
        <v>30</v>
      </c>
      <c r="D24" s="4"/>
      <c r="E24" s="3" t="s">
        <v>29</v>
      </c>
      <c r="F24" s="3">
        <v>64</v>
      </c>
      <c r="G24" s="3">
        <f t="shared" si="2"/>
        <v>640</v>
      </c>
    </row>
    <row r="25" spans="1:11" x14ac:dyDescent="0.3">
      <c r="A25" s="3">
        <v>4</v>
      </c>
      <c r="B25" s="4" t="s">
        <v>18</v>
      </c>
      <c r="C25" s="3" t="s">
        <v>30</v>
      </c>
      <c r="D25" s="4"/>
      <c r="E25" s="3" t="s">
        <v>29</v>
      </c>
      <c r="F25" s="3">
        <v>64</v>
      </c>
      <c r="G25" s="3">
        <f t="shared" si="2"/>
        <v>640</v>
      </c>
    </row>
    <row r="26" spans="1:11" x14ac:dyDescent="0.3">
      <c r="A26" s="3">
        <v>5</v>
      </c>
      <c r="B26" s="4" t="s">
        <v>33</v>
      </c>
      <c r="C26" s="3" t="s">
        <v>31</v>
      </c>
      <c r="D26" s="4"/>
      <c r="E26" s="3" t="s">
        <v>29</v>
      </c>
      <c r="F26" s="3">
        <v>12</v>
      </c>
      <c r="G26" s="3">
        <f t="shared" si="2"/>
        <v>120</v>
      </c>
    </row>
    <row r="27" spans="1:11" x14ac:dyDescent="0.3">
      <c r="A27" s="3">
        <v>6</v>
      </c>
      <c r="B27" s="4" t="s">
        <v>34</v>
      </c>
      <c r="C27" s="3" t="s">
        <v>31</v>
      </c>
      <c r="D27" s="4"/>
      <c r="E27" s="3" t="s">
        <v>29</v>
      </c>
      <c r="F27" s="3">
        <v>12</v>
      </c>
      <c r="G27" s="3">
        <f t="shared" si="2"/>
        <v>120</v>
      </c>
    </row>
    <row r="28" spans="1:11" x14ac:dyDescent="0.3">
      <c r="A28" s="3">
        <v>7</v>
      </c>
      <c r="B28" s="4" t="s">
        <v>17</v>
      </c>
      <c r="C28" s="3" t="s">
        <v>31</v>
      </c>
      <c r="D28" s="4"/>
      <c r="E28" s="3" t="s">
        <v>29</v>
      </c>
      <c r="F28" s="3">
        <v>12</v>
      </c>
      <c r="G28" s="3">
        <f t="shared" si="2"/>
        <v>120</v>
      </c>
    </row>
    <row r="29" spans="1:11" x14ac:dyDescent="0.3">
      <c r="A29" s="3">
        <v>8</v>
      </c>
      <c r="B29" s="4" t="s">
        <v>35</v>
      </c>
      <c r="C29" s="3" t="s">
        <v>31</v>
      </c>
      <c r="D29" s="4"/>
      <c r="E29" s="3" t="s">
        <v>29</v>
      </c>
      <c r="F29" s="3">
        <v>8</v>
      </c>
      <c r="G29" s="3">
        <f t="shared" si="2"/>
        <v>80</v>
      </c>
    </row>
    <row r="30" spans="1:11" x14ac:dyDescent="0.3">
      <c r="A30" s="3">
        <v>9</v>
      </c>
      <c r="B30" s="4" t="s">
        <v>36</v>
      </c>
      <c r="C30" s="3" t="s">
        <v>31</v>
      </c>
      <c r="D30" s="4"/>
      <c r="E30" s="3" t="s">
        <v>29</v>
      </c>
      <c r="F30" s="3">
        <v>8</v>
      </c>
      <c r="G30" s="3">
        <f t="shared" si="2"/>
        <v>80</v>
      </c>
    </row>
    <row r="31" spans="1:11" x14ac:dyDescent="0.3">
      <c r="A31" s="3">
        <v>10</v>
      </c>
      <c r="B31" s="4" t="s">
        <v>18</v>
      </c>
      <c r="C31" s="3" t="s">
        <v>31</v>
      </c>
      <c r="D31" s="4"/>
      <c r="E31" s="3" t="s">
        <v>29</v>
      </c>
      <c r="F31" s="3">
        <v>8</v>
      </c>
      <c r="G31" s="3">
        <f t="shared" si="2"/>
        <v>80</v>
      </c>
    </row>
    <row r="32" spans="1:11" x14ac:dyDescent="0.3">
      <c r="A32" s="3">
        <v>11</v>
      </c>
      <c r="B32" s="4" t="s">
        <v>17</v>
      </c>
      <c r="C32" s="3" t="s">
        <v>31</v>
      </c>
      <c r="D32" s="4"/>
      <c r="E32" s="3" t="s">
        <v>29</v>
      </c>
      <c r="F32" s="3">
        <v>8</v>
      </c>
      <c r="G32" s="3">
        <f t="shared" si="2"/>
        <v>80</v>
      </c>
    </row>
    <row r="33" spans="1:8" x14ac:dyDescent="0.3">
      <c r="A33" s="3">
        <v>12</v>
      </c>
      <c r="B33" s="4" t="s">
        <v>51</v>
      </c>
      <c r="C33" s="3" t="s">
        <v>38</v>
      </c>
      <c r="D33" s="4"/>
      <c r="E33" s="3" t="s">
        <v>29</v>
      </c>
      <c r="F33" s="3">
        <v>12</v>
      </c>
      <c r="G33" s="3">
        <f t="shared" si="2"/>
        <v>120</v>
      </c>
    </row>
    <row r="34" spans="1:8" x14ac:dyDescent="0.3">
      <c r="A34" s="3">
        <v>13</v>
      </c>
      <c r="B34" s="4" t="s">
        <v>52</v>
      </c>
      <c r="C34" s="3" t="s">
        <v>38</v>
      </c>
      <c r="D34" s="4"/>
      <c r="E34" s="3" t="s">
        <v>29</v>
      </c>
      <c r="F34" s="3">
        <v>12</v>
      </c>
      <c r="G34" s="3">
        <f t="shared" si="2"/>
        <v>120</v>
      </c>
    </row>
    <row r="35" spans="1:8" x14ac:dyDescent="0.3">
      <c r="A35" s="3">
        <v>14</v>
      </c>
      <c r="B35" s="4" t="s">
        <v>17</v>
      </c>
      <c r="C35" s="3" t="s">
        <v>38</v>
      </c>
      <c r="D35" s="4"/>
      <c r="E35" s="3" t="s">
        <v>29</v>
      </c>
      <c r="F35" s="3">
        <v>12</v>
      </c>
      <c r="G35" s="3">
        <f t="shared" si="2"/>
        <v>120</v>
      </c>
    </row>
    <row r="36" spans="1:8" x14ac:dyDescent="0.3">
      <c r="A36" s="3">
        <v>15</v>
      </c>
      <c r="B36" s="4" t="s">
        <v>40</v>
      </c>
      <c r="C36" s="3" t="s">
        <v>31</v>
      </c>
      <c r="D36" s="4"/>
      <c r="E36" s="3" t="s">
        <v>29</v>
      </c>
      <c r="F36" s="3">
        <v>32</v>
      </c>
      <c r="G36" s="3">
        <f t="shared" si="2"/>
        <v>320</v>
      </c>
    </row>
    <row r="37" spans="1:8" x14ac:dyDescent="0.3">
      <c r="A37" s="3">
        <v>16</v>
      </c>
      <c r="B37" s="4" t="s">
        <v>41</v>
      </c>
      <c r="C37" s="3" t="s">
        <v>31</v>
      </c>
      <c r="D37" s="4"/>
      <c r="E37" s="3" t="s">
        <v>29</v>
      </c>
      <c r="F37" s="3">
        <v>32</v>
      </c>
      <c r="G37" s="3">
        <f t="shared" si="2"/>
        <v>320</v>
      </c>
      <c r="H37" s="1"/>
    </row>
    <row r="38" spans="1:8" x14ac:dyDescent="0.3">
      <c r="A38" s="3">
        <v>17</v>
      </c>
      <c r="B38" s="4" t="s">
        <v>17</v>
      </c>
      <c r="C38" s="3" t="s">
        <v>31</v>
      </c>
      <c r="D38" s="4"/>
      <c r="E38" s="3" t="s">
        <v>29</v>
      </c>
      <c r="F38" s="3">
        <v>32</v>
      </c>
      <c r="G38" s="3">
        <f t="shared" si="2"/>
        <v>320</v>
      </c>
      <c r="H38" s="1"/>
    </row>
    <row r="39" spans="1:8" x14ac:dyDescent="0.3">
      <c r="A39" s="3">
        <v>18</v>
      </c>
      <c r="B39" s="4" t="s">
        <v>18</v>
      </c>
      <c r="C39" s="3" t="s">
        <v>31</v>
      </c>
      <c r="D39" s="4"/>
      <c r="E39" s="3" t="s">
        <v>29</v>
      </c>
      <c r="F39" s="3">
        <v>32</v>
      </c>
      <c r="G39" s="3">
        <f t="shared" si="2"/>
        <v>320</v>
      </c>
      <c r="H39" s="1"/>
    </row>
    <row r="40" spans="1:8" x14ac:dyDescent="0.3">
      <c r="A40" s="3">
        <v>19</v>
      </c>
      <c r="B40" s="4" t="s">
        <v>58</v>
      </c>
      <c r="C40" s="3" t="s">
        <v>31</v>
      </c>
      <c r="D40" s="3">
        <v>1120</v>
      </c>
      <c r="E40" s="3" t="s">
        <v>29</v>
      </c>
      <c r="F40" s="3">
        <v>2</v>
      </c>
      <c r="G40" s="3">
        <f t="shared" si="2"/>
        <v>20</v>
      </c>
      <c r="H40" s="1"/>
    </row>
    <row r="41" spans="1:8" x14ac:dyDescent="0.3">
      <c r="A41" s="3">
        <v>20</v>
      </c>
      <c r="B41" s="4" t="s">
        <v>53</v>
      </c>
      <c r="C41" s="3" t="s">
        <v>31</v>
      </c>
      <c r="D41" s="4"/>
      <c r="E41" s="3" t="s">
        <v>29</v>
      </c>
      <c r="F41" s="3">
        <v>4</v>
      </c>
      <c r="G41" s="3">
        <f t="shared" si="2"/>
        <v>40</v>
      </c>
      <c r="H41" s="1"/>
    </row>
    <row r="42" spans="1:8" x14ac:dyDescent="0.3">
      <c r="A42" s="3">
        <v>21</v>
      </c>
      <c r="B42" s="4" t="s">
        <v>54</v>
      </c>
      <c r="C42" s="3" t="s">
        <v>31</v>
      </c>
      <c r="D42" s="4"/>
      <c r="E42" s="3" t="s">
        <v>29</v>
      </c>
      <c r="F42" s="3">
        <v>4</v>
      </c>
      <c r="G42" s="3">
        <f t="shared" si="2"/>
        <v>40</v>
      </c>
      <c r="H42" s="1"/>
    </row>
    <row r="43" spans="1:8" x14ac:dyDescent="0.3">
      <c r="A43" s="3">
        <v>22</v>
      </c>
      <c r="B43" s="4" t="s">
        <v>17</v>
      </c>
      <c r="C43" s="3" t="s">
        <v>31</v>
      </c>
      <c r="D43" s="4"/>
      <c r="E43" s="3" t="s">
        <v>29</v>
      </c>
      <c r="F43" s="3">
        <v>4</v>
      </c>
      <c r="G43" s="3">
        <f t="shared" si="2"/>
        <v>40</v>
      </c>
      <c r="H43" s="1"/>
    </row>
    <row r="44" spans="1:8" x14ac:dyDescent="0.3">
      <c r="B44" s="1"/>
      <c r="C44" s="1"/>
      <c r="D44" s="1"/>
      <c r="E44" s="1"/>
      <c r="F44" s="1"/>
      <c r="G44" s="1"/>
      <c r="H44" s="1"/>
    </row>
  </sheetData>
  <mergeCells count="7">
    <mergeCell ref="A20:G20"/>
    <mergeCell ref="A1:G1"/>
    <mergeCell ref="A2:G2"/>
    <mergeCell ref="A3:G3"/>
    <mergeCell ref="C4:G4"/>
    <mergeCell ref="C5:G5"/>
    <mergeCell ref="A8:G8"/>
  </mergeCells>
  <pageMargins left="0.7" right="0.7" top="0.75" bottom="0.75" header="0.3" footer="0.3"/>
  <pageSetup paperSize="9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1"/>
  <sheetViews>
    <sheetView workbookViewId="0">
      <selection activeCell="G6" sqref="G6"/>
    </sheetView>
  </sheetViews>
  <sheetFormatPr defaultRowHeight="14.4" x14ac:dyDescent="0.3"/>
  <cols>
    <col min="2" max="2" width="45" bestFit="1" customWidth="1"/>
    <col min="3" max="3" width="16.33203125" bestFit="1" customWidth="1"/>
    <col min="4" max="4" width="14.33203125" customWidth="1"/>
    <col min="5" max="5" width="25.6640625" customWidth="1"/>
    <col min="6" max="6" width="10.6640625" customWidth="1"/>
    <col min="7" max="7" width="8.33203125" customWidth="1"/>
    <col min="8" max="8" width="16.5546875" bestFit="1" customWidth="1"/>
    <col min="9" max="9" width="14.109375" bestFit="1" customWidth="1"/>
  </cols>
  <sheetData>
    <row r="1" spans="1:9" ht="23.4" x14ac:dyDescent="0.3">
      <c r="A1" s="42" t="s">
        <v>42</v>
      </c>
      <c r="B1" s="43"/>
      <c r="C1" s="43"/>
      <c r="D1" s="43"/>
      <c r="E1" s="43"/>
      <c r="F1" s="43"/>
      <c r="G1" s="43"/>
      <c r="H1" s="44"/>
    </row>
    <row r="2" spans="1:9" x14ac:dyDescent="0.3">
      <c r="A2" s="31" t="s">
        <v>43</v>
      </c>
      <c r="B2" s="32"/>
      <c r="C2" s="32"/>
      <c r="D2" s="32"/>
      <c r="E2" s="32"/>
      <c r="F2" s="32"/>
      <c r="G2" s="32"/>
      <c r="H2" s="7"/>
    </row>
    <row r="3" spans="1:9" x14ac:dyDescent="0.3">
      <c r="A3" s="36" t="s">
        <v>77</v>
      </c>
      <c r="B3" s="37"/>
      <c r="C3" s="37"/>
      <c r="D3" s="37"/>
      <c r="E3" s="37"/>
      <c r="F3" s="37"/>
      <c r="G3" s="37"/>
      <c r="H3" s="7"/>
    </row>
    <row r="4" spans="1:9" x14ac:dyDescent="0.3">
      <c r="A4" s="5"/>
      <c r="B4" s="8" t="s">
        <v>44</v>
      </c>
      <c r="C4" s="45"/>
      <c r="D4" s="45"/>
      <c r="E4" s="45"/>
      <c r="F4" s="45"/>
      <c r="G4" s="45"/>
      <c r="H4" s="7"/>
    </row>
    <row r="5" spans="1:9" x14ac:dyDescent="0.3">
      <c r="A5" s="5"/>
      <c r="B5" s="9" t="s">
        <v>45</v>
      </c>
      <c r="C5" s="45"/>
      <c r="D5" s="45"/>
      <c r="E5" s="45"/>
      <c r="F5" s="45"/>
      <c r="G5" s="45"/>
      <c r="H5" s="7"/>
    </row>
    <row r="6" spans="1:9" x14ac:dyDescent="0.3">
      <c r="A6" s="5"/>
      <c r="B6" s="10" t="s">
        <v>62</v>
      </c>
      <c r="C6" t="s">
        <v>46</v>
      </c>
      <c r="D6" s="10" t="s">
        <v>47</v>
      </c>
      <c r="E6" s="6">
        <v>325</v>
      </c>
      <c r="H6" s="7"/>
    </row>
    <row r="7" spans="1:9" x14ac:dyDescent="0.3">
      <c r="A7" s="16"/>
      <c r="B7" s="17" t="s">
        <v>48</v>
      </c>
      <c r="C7" s="18" t="s">
        <v>49</v>
      </c>
      <c r="D7" s="17" t="s">
        <v>68</v>
      </c>
      <c r="E7" s="19" t="s">
        <v>69</v>
      </c>
      <c r="F7" s="46"/>
      <c r="G7" s="46"/>
      <c r="H7" s="20"/>
    </row>
    <row r="8" spans="1:9" x14ac:dyDescent="0.3">
      <c r="A8" s="39" t="s">
        <v>0</v>
      </c>
      <c r="B8" s="40"/>
      <c r="C8" s="40"/>
      <c r="D8" s="40"/>
      <c r="E8" s="40"/>
      <c r="F8" s="40"/>
      <c r="G8" s="40"/>
      <c r="H8" s="41"/>
    </row>
    <row r="9" spans="1:9" ht="43.2" x14ac:dyDescent="0.3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2" t="s">
        <v>71</v>
      </c>
      <c r="G9" s="2" t="s">
        <v>72</v>
      </c>
      <c r="H9" s="2" t="s">
        <v>7</v>
      </c>
      <c r="I9" s="21" t="s">
        <v>73</v>
      </c>
    </row>
    <row r="10" spans="1:9" x14ac:dyDescent="0.3">
      <c r="A10" s="3">
        <v>1</v>
      </c>
      <c r="B10" s="4" t="s">
        <v>9</v>
      </c>
      <c r="C10" s="3" t="s">
        <v>22</v>
      </c>
      <c r="D10" s="3">
        <v>3215</v>
      </c>
      <c r="E10" s="4" t="s">
        <v>8</v>
      </c>
      <c r="F10" s="3">
        <f>SUM('2X8'!G10,'2X15'!G10,'2X16'!G10)</f>
        <v>240</v>
      </c>
      <c r="G10" s="3">
        <v>0</v>
      </c>
      <c r="H10" s="3">
        <f>SUM(F10:G10)</f>
        <v>240</v>
      </c>
      <c r="I10" s="6">
        <v>6.92</v>
      </c>
    </row>
    <row r="11" spans="1:9" x14ac:dyDescent="0.3">
      <c r="A11" s="3">
        <v>2</v>
      </c>
      <c r="B11" s="4" t="s">
        <v>10</v>
      </c>
      <c r="C11" s="3" t="s">
        <v>22</v>
      </c>
      <c r="D11" s="3">
        <v>2912</v>
      </c>
      <c r="E11" s="4" t="s">
        <v>8</v>
      </c>
      <c r="F11" s="3">
        <f>SUM('2X8'!G11,'2X15'!G11,'2X16'!G11)</f>
        <v>240</v>
      </c>
      <c r="G11" s="3">
        <v>0</v>
      </c>
      <c r="H11" s="3">
        <f t="shared" ref="H11:H24" si="0">SUM(F11:G11)</f>
        <v>240</v>
      </c>
      <c r="I11" s="6">
        <v>6.92</v>
      </c>
    </row>
    <row r="12" spans="1:9" x14ac:dyDescent="0.3">
      <c r="A12" s="3">
        <v>3</v>
      </c>
      <c r="B12" s="4" t="s">
        <v>63</v>
      </c>
      <c r="C12" s="3" t="s">
        <v>27</v>
      </c>
      <c r="D12" s="3">
        <v>5550</v>
      </c>
      <c r="E12" s="4" t="s">
        <v>8</v>
      </c>
      <c r="F12" s="3">
        <v>44</v>
      </c>
      <c r="G12" s="3">
        <v>0</v>
      </c>
      <c r="H12" s="3">
        <f t="shared" si="0"/>
        <v>44</v>
      </c>
      <c r="I12" s="6">
        <v>4.7</v>
      </c>
    </row>
    <row r="13" spans="1:9" x14ac:dyDescent="0.3">
      <c r="A13" s="3">
        <v>4</v>
      </c>
      <c r="B13" s="4" t="s">
        <v>64</v>
      </c>
      <c r="C13" s="3" t="s">
        <v>27</v>
      </c>
      <c r="D13" s="3">
        <v>5050</v>
      </c>
      <c r="E13" s="4" t="s">
        <v>8</v>
      </c>
      <c r="F13" s="3">
        <v>44</v>
      </c>
      <c r="G13" s="3">
        <v>0</v>
      </c>
      <c r="H13" s="3">
        <f t="shared" si="0"/>
        <v>44</v>
      </c>
      <c r="I13" s="6">
        <v>4.7</v>
      </c>
    </row>
    <row r="14" spans="1:9" x14ac:dyDescent="0.3">
      <c r="A14" s="3">
        <v>5</v>
      </c>
      <c r="B14" s="4" t="s">
        <v>65</v>
      </c>
      <c r="C14" s="3" t="s">
        <v>27</v>
      </c>
      <c r="D14" s="3">
        <v>5550</v>
      </c>
      <c r="E14" s="4" t="s">
        <v>8</v>
      </c>
      <c r="F14" s="3">
        <v>44</v>
      </c>
      <c r="G14" s="3">
        <v>0</v>
      </c>
      <c r="H14" s="3">
        <f t="shared" si="0"/>
        <v>44</v>
      </c>
      <c r="I14" s="6">
        <v>4.7</v>
      </c>
    </row>
    <row r="15" spans="1:9" x14ac:dyDescent="0.3">
      <c r="A15" s="3">
        <v>3</v>
      </c>
      <c r="B15" s="4" t="s">
        <v>63</v>
      </c>
      <c r="C15" s="3" t="s">
        <v>27</v>
      </c>
      <c r="D15" s="3">
        <v>5550</v>
      </c>
      <c r="E15" s="4" t="s">
        <v>8</v>
      </c>
      <c r="F15" s="3">
        <v>96</v>
      </c>
      <c r="G15" s="3">
        <v>0</v>
      </c>
      <c r="H15" s="3">
        <f t="shared" si="0"/>
        <v>96</v>
      </c>
      <c r="I15" s="6">
        <v>4.7</v>
      </c>
    </row>
    <row r="16" spans="1:9" x14ac:dyDescent="0.3">
      <c r="A16" s="3">
        <v>4</v>
      </c>
      <c r="B16" s="4" t="s">
        <v>64</v>
      </c>
      <c r="C16" s="3" t="s">
        <v>27</v>
      </c>
      <c r="D16" s="3">
        <v>5045</v>
      </c>
      <c r="E16" s="4" t="s">
        <v>8</v>
      </c>
      <c r="F16" s="3">
        <v>96</v>
      </c>
      <c r="G16" s="3">
        <v>0</v>
      </c>
      <c r="H16" s="3">
        <f t="shared" si="0"/>
        <v>96</v>
      </c>
      <c r="I16" s="6">
        <v>4.7</v>
      </c>
    </row>
    <row r="17" spans="1:10" x14ac:dyDescent="0.3">
      <c r="A17" s="3">
        <v>5</v>
      </c>
      <c r="B17" s="4" t="s">
        <v>65</v>
      </c>
      <c r="C17" s="3" t="s">
        <v>27</v>
      </c>
      <c r="D17" s="3">
        <v>5550</v>
      </c>
      <c r="E17" s="4" t="s">
        <v>8</v>
      </c>
      <c r="F17" s="3">
        <v>96</v>
      </c>
      <c r="G17" s="3">
        <v>0</v>
      </c>
      <c r="H17" s="3">
        <f t="shared" si="0"/>
        <v>96</v>
      </c>
      <c r="I17" s="6">
        <v>4.7</v>
      </c>
    </row>
    <row r="18" spans="1:10" x14ac:dyDescent="0.3">
      <c r="A18" s="3">
        <v>3</v>
      </c>
      <c r="B18" s="4" t="s">
        <v>66</v>
      </c>
      <c r="C18" s="3" t="s">
        <v>27</v>
      </c>
      <c r="D18" s="3">
        <v>4500</v>
      </c>
      <c r="E18" s="4" t="s">
        <v>8</v>
      </c>
      <c r="F18" s="3">
        <v>40</v>
      </c>
      <c r="G18" s="3">
        <v>0</v>
      </c>
      <c r="H18" s="3">
        <f t="shared" si="0"/>
        <v>40</v>
      </c>
      <c r="I18" s="6">
        <v>4.7</v>
      </c>
    </row>
    <row r="19" spans="1:10" x14ac:dyDescent="0.3">
      <c r="A19" s="3">
        <v>4</v>
      </c>
      <c r="B19" s="4" t="s">
        <v>67</v>
      </c>
      <c r="C19" s="3" t="s">
        <v>27</v>
      </c>
      <c r="D19" s="3">
        <v>3575</v>
      </c>
      <c r="E19" s="4" t="s">
        <v>8</v>
      </c>
      <c r="F19" s="3">
        <v>40</v>
      </c>
      <c r="G19" s="3">
        <v>0</v>
      </c>
      <c r="H19" s="3">
        <f t="shared" si="0"/>
        <v>40</v>
      </c>
      <c r="I19" s="6">
        <v>4.7</v>
      </c>
    </row>
    <row r="20" spans="1:10" x14ac:dyDescent="0.3">
      <c r="A20" s="3">
        <v>6</v>
      </c>
      <c r="B20" s="4" t="s">
        <v>11</v>
      </c>
      <c r="C20" s="3" t="s">
        <v>23</v>
      </c>
      <c r="D20" s="3">
        <v>1314</v>
      </c>
      <c r="E20" s="4" t="s">
        <v>8</v>
      </c>
      <c r="F20" s="3">
        <f>SUM('2X8'!G14,'2X15'!G15,'2X16'!G15)</f>
        <v>240</v>
      </c>
      <c r="G20" s="3">
        <v>1</v>
      </c>
      <c r="H20" s="3">
        <f t="shared" si="0"/>
        <v>241</v>
      </c>
      <c r="I20" s="6">
        <v>3.14</v>
      </c>
    </row>
    <row r="21" spans="1:10" x14ac:dyDescent="0.3">
      <c r="A21" s="3">
        <v>7</v>
      </c>
      <c r="B21" s="4" t="s">
        <v>12</v>
      </c>
      <c r="C21" s="3" t="s">
        <v>23</v>
      </c>
      <c r="D21" s="3">
        <v>3043</v>
      </c>
      <c r="E21" s="4" t="s">
        <v>8</v>
      </c>
      <c r="F21" s="3">
        <f>SUM('2X8'!G15,'2X15'!G16,'2X16'!G16)</f>
        <v>160</v>
      </c>
      <c r="G21" s="3">
        <v>1</v>
      </c>
      <c r="H21" s="3">
        <f t="shared" si="0"/>
        <v>161</v>
      </c>
      <c r="I21" s="6">
        <v>3.14</v>
      </c>
    </row>
    <row r="22" spans="1:10" x14ac:dyDescent="0.3">
      <c r="A22" s="3">
        <v>8</v>
      </c>
      <c r="B22" s="4" t="s">
        <v>13</v>
      </c>
      <c r="C22" s="3" t="s">
        <v>24</v>
      </c>
      <c r="D22" s="3">
        <v>150</v>
      </c>
      <c r="E22" s="4" t="s">
        <v>8</v>
      </c>
      <c r="F22" s="3">
        <f>SUM('2X8'!G16,'2X15'!G17,'2X16'!G17)</f>
        <v>240</v>
      </c>
      <c r="G22" s="3">
        <v>8</v>
      </c>
      <c r="H22" s="3">
        <f t="shared" si="0"/>
        <v>248</v>
      </c>
      <c r="I22" s="6">
        <v>0.47099999999999997</v>
      </c>
    </row>
    <row r="23" spans="1:10" x14ac:dyDescent="0.3">
      <c r="A23" s="3">
        <v>9</v>
      </c>
      <c r="B23" s="4" t="s">
        <v>14</v>
      </c>
      <c r="C23" s="3" t="s">
        <v>25</v>
      </c>
      <c r="D23" s="3">
        <v>85</v>
      </c>
      <c r="E23" s="4" t="s">
        <v>8</v>
      </c>
      <c r="F23" s="3">
        <f>SUM('2X8'!G17,'2X15'!G18,'2X16'!G18)</f>
        <v>880</v>
      </c>
      <c r="G23" s="3">
        <v>8</v>
      </c>
      <c r="H23" s="3">
        <f t="shared" si="0"/>
        <v>888</v>
      </c>
      <c r="I23" s="6">
        <v>0.23</v>
      </c>
    </row>
    <row r="24" spans="1:10" x14ac:dyDescent="0.3">
      <c r="A24" s="3">
        <v>11</v>
      </c>
      <c r="B24" s="4" t="s">
        <v>26</v>
      </c>
      <c r="C24" s="3" t="s">
        <v>28</v>
      </c>
      <c r="D24" s="3">
        <v>150</v>
      </c>
      <c r="E24" s="4" t="s">
        <v>8</v>
      </c>
      <c r="F24" s="3">
        <f>SUM('2X8'!G18,'2X15'!G19,'2X16'!G19)</f>
        <v>320</v>
      </c>
      <c r="G24" s="3">
        <v>8</v>
      </c>
      <c r="H24" s="3">
        <f t="shared" si="0"/>
        <v>328</v>
      </c>
      <c r="I24" s="6"/>
    </row>
    <row r="25" spans="1:10" x14ac:dyDescent="0.3">
      <c r="A25" s="3"/>
      <c r="B25" s="4"/>
      <c r="C25" s="4"/>
      <c r="D25" s="4"/>
      <c r="E25" s="4"/>
      <c r="F25" s="4"/>
      <c r="G25" s="3"/>
      <c r="H25" s="3"/>
      <c r="I25" s="6"/>
    </row>
    <row r="26" spans="1:10" x14ac:dyDescent="0.3">
      <c r="A26" s="27" t="s">
        <v>15</v>
      </c>
      <c r="B26" s="27"/>
      <c r="C26" s="27"/>
      <c r="D26" s="27"/>
      <c r="E26" s="27"/>
      <c r="F26" s="27"/>
      <c r="G26" s="27"/>
      <c r="H26" s="27"/>
      <c r="I26" s="6"/>
    </row>
    <row r="27" spans="1:10" ht="28.8" x14ac:dyDescent="0.3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2" t="s">
        <v>7</v>
      </c>
      <c r="G27" s="2" t="s">
        <v>72</v>
      </c>
      <c r="H27" s="2" t="s">
        <v>7</v>
      </c>
      <c r="I27" s="6"/>
    </row>
    <row r="28" spans="1:10" x14ac:dyDescent="0.3">
      <c r="A28" s="3">
        <v>1</v>
      </c>
      <c r="B28" s="4" t="s">
        <v>16</v>
      </c>
      <c r="C28" s="3" t="s">
        <v>30</v>
      </c>
      <c r="D28" s="2">
        <v>20</v>
      </c>
      <c r="E28" s="3" t="s">
        <v>29</v>
      </c>
      <c r="F28" s="3">
        <f>SUM('2X8'!G22,'2X15'!G23,'2X16'!G23)</f>
        <v>4928</v>
      </c>
      <c r="G28" s="3">
        <v>20</v>
      </c>
      <c r="H28" s="3">
        <f>SUM(F28:G28)</f>
        <v>4948</v>
      </c>
      <c r="I28" s="6"/>
    </row>
    <row r="29" spans="1:10" x14ac:dyDescent="0.3">
      <c r="A29" s="3">
        <v>2</v>
      </c>
      <c r="B29" s="4" t="s">
        <v>32</v>
      </c>
      <c r="C29" s="3" t="s">
        <v>30</v>
      </c>
      <c r="D29" s="2" t="s">
        <v>70</v>
      </c>
      <c r="E29" s="3" t="s">
        <v>29</v>
      </c>
      <c r="F29" s="3">
        <f>SUM('2X8'!G23,'2X15'!G24,'2X16'!G24)</f>
        <v>4928</v>
      </c>
      <c r="G29" s="3">
        <v>20</v>
      </c>
      <c r="H29" s="3">
        <f t="shared" ref="H29:H49" si="1">SUM(F29:G29)</f>
        <v>4948</v>
      </c>
      <c r="I29" s="6"/>
    </row>
    <row r="30" spans="1:10" x14ac:dyDescent="0.3">
      <c r="A30" s="3">
        <v>3</v>
      </c>
      <c r="B30" s="4" t="s">
        <v>17</v>
      </c>
      <c r="C30" s="3" t="s">
        <v>30</v>
      </c>
      <c r="D30" s="2" t="s">
        <v>70</v>
      </c>
      <c r="E30" s="3" t="s">
        <v>29</v>
      </c>
      <c r="F30" s="3">
        <f>SUM('2X8'!G24,'2X15'!G25,'2X16'!G25)</f>
        <v>4928</v>
      </c>
      <c r="G30" s="3">
        <v>60</v>
      </c>
      <c r="H30" s="3">
        <f t="shared" si="1"/>
        <v>4988</v>
      </c>
      <c r="I30" s="6"/>
      <c r="J30" t="s">
        <v>50</v>
      </c>
    </row>
    <row r="31" spans="1:10" x14ac:dyDescent="0.3">
      <c r="A31" s="3">
        <v>4</v>
      </c>
      <c r="B31" s="4" t="s">
        <v>18</v>
      </c>
      <c r="C31" s="3" t="s">
        <v>30</v>
      </c>
      <c r="D31" s="2" t="s">
        <v>70</v>
      </c>
      <c r="E31" s="3" t="s">
        <v>29</v>
      </c>
      <c r="F31" s="3">
        <f>SUM('2X8'!G25,'2X15'!G26,'2X16'!G26)</f>
        <v>4928</v>
      </c>
      <c r="G31" s="3">
        <v>60</v>
      </c>
      <c r="H31" s="3">
        <f t="shared" si="1"/>
        <v>4988</v>
      </c>
      <c r="I31" s="6"/>
    </row>
    <row r="32" spans="1:10" x14ac:dyDescent="0.3">
      <c r="A32" s="3">
        <v>5</v>
      </c>
      <c r="B32" s="4" t="s">
        <v>33</v>
      </c>
      <c r="C32" s="3" t="s">
        <v>31</v>
      </c>
      <c r="D32" s="2">
        <v>30</v>
      </c>
      <c r="E32" s="3" t="s">
        <v>29</v>
      </c>
      <c r="F32" s="3">
        <f>SUM('2X8'!G26,'2X15'!G27,'2X16'!G27)</f>
        <v>960</v>
      </c>
      <c r="G32" s="3">
        <v>20</v>
      </c>
      <c r="H32" s="3">
        <f t="shared" si="1"/>
        <v>980</v>
      </c>
      <c r="I32" s="6"/>
    </row>
    <row r="33" spans="1:9" x14ac:dyDescent="0.3">
      <c r="A33" s="3">
        <v>6</v>
      </c>
      <c r="B33" s="4" t="s">
        <v>34</v>
      </c>
      <c r="C33" s="3" t="s">
        <v>31</v>
      </c>
      <c r="D33" s="2" t="s">
        <v>70</v>
      </c>
      <c r="E33" s="3" t="s">
        <v>29</v>
      </c>
      <c r="F33" s="3">
        <f>SUM('2X8'!G27,'2X15'!G28,'2X16'!G28)</f>
        <v>960</v>
      </c>
      <c r="G33" s="3">
        <v>20</v>
      </c>
      <c r="H33" s="3">
        <f t="shared" si="1"/>
        <v>980</v>
      </c>
      <c r="I33" s="6"/>
    </row>
    <row r="34" spans="1:9" x14ac:dyDescent="0.3">
      <c r="A34" s="3">
        <v>7</v>
      </c>
      <c r="B34" s="4" t="s">
        <v>17</v>
      </c>
      <c r="C34" s="3" t="s">
        <v>31</v>
      </c>
      <c r="D34" s="2" t="s">
        <v>70</v>
      </c>
      <c r="E34" s="3" t="s">
        <v>29</v>
      </c>
      <c r="F34" s="3">
        <f>SUM('2X8'!G28,'2X15'!G29,'2X16'!G29)</f>
        <v>960</v>
      </c>
      <c r="G34" s="3">
        <v>20</v>
      </c>
      <c r="H34" s="3">
        <f t="shared" si="1"/>
        <v>980</v>
      </c>
      <c r="I34" s="6"/>
    </row>
    <row r="35" spans="1:9" x14ac:dyDescent="0.3">
      <c r="A35" s="3">
        <v>8</v>
      </c>
      <c r="B35" s="4" t="s">
        <v>35</v>
      </c>
      <c r="C35" s="3" t="s">
        <v>31</v>
      </c>
      <c r="D35" s="2">
        <v>30</v>
      </c>
      <c r="E35" s="3" t="s">
        <v>29</v>
      </c>
      <c r="F35" s="3">
        <f>SUM('2X8'!G29,'2X15'!G30,'2X16'!G30)</f>
        <v>1760</v>
      </c>
      <c r="G35" s="3">
        <v>20</v>
      </c>
      <c r="H35" s="3">
        <f t="shared" si="1"/>
        <v>1780</v>
      </c>
      <c r="I35" s="6"/>
    </row>
    <row r="36" spans="1:9" x14ac:dyDescent="0.3">
      <c r="A36" s="3">
        <v>9</v>
      </c>
      <c r="B36" s="4" t="s">
        <v>36</v>
      </c>
      <c r="C36" s="3" t="s">
        <v>31</v>
      </c>
      <c r="D36" s="2" t="s">
        <v>70</v>
      </c>
      <c r="E36" s="3" t="s">
        <v>29</v>
      </c>
      <c r="F36" s="3">
        <f>SUM('2X8'!G30,'2X15'!G31,'2X16'!G31)</f>
        <v>1760</v>
      </c>
      <c r="G36" s="3">
        <v>60</v>
      </c>
      <c r="H36" s="3">
        <f t="shared" si="1"/>
        <v>1820</v>
      </c>
      <c r="I36" s="6"/>
    </row>
    <row r="37" spans="1:9" x14ac:dyDescent="0.3">
      <c r="A37" s="3">
        <v>10</v>
      </c>
      <c r="B37" s="4" t="s">
        <v>18</v>
      </c>
      <c r="C37" s="3" t="s">
        <v>31</v>
      </c>
      <c r="D37" s="2" t="s">
        <v>70</v>
      </c>
      <c r="E37" s="3" t="s">
        <v>29</v>
      </c>
      <c r="F37" s="3">
        <f>SUM('2X8'!G31,'2X15'!G32,'2X16'!G32)</f>
        <v>1760</v>
      </c>
      <c r="G37" s="3">
        <v>60</v>
      </c>
      <c r="H37" s="3">
        <f t="shared" si="1"/>
        <v>1820</v>
      </c>
      <c r="I37" s="6"/>
    </row>
    <row r="38" spans="1:9" x14ac:dyDescent="0.3">
      <c r="A38" s="3">
        <v>11</v>
      </c>
      <c r="B38" s="4" t="s">
        <v>17</v>
      </c>
      <c r="C38" s="3" t="s">
        <v>31</v>
      </c>
      <c r="D38" s="2" t="s">
        <v>70</v>
      </c>
      <c r="E38" s="3" t="s">
        <v>29</v>
      </c>
      <c r="F38" s="3">
        <f>SUM('2X8'!G32,'2X15'!G33,'2X16'!G33)</f>
        <v>1760</v>
      </c>
      <c r="G38" s="3">
        <v>60</v>
      </c>
      <c r="H38" s="3">
        <f t="shared" si="1"/>
        <v>1820</v>
      </c>
      <c r="I38" s="6"/>
    </row>
    <row r="39" spans="1:9" x14ac:dyDescent="0.3">
      <c r="A39" s="3">
        <v>12</v>
      </c>
      <c r="B39" s="4" t="s">
        <v>51</v>
      </c>
      <c r="C39" s="3" t="s">
        <v>38</v>
      </c>
      <c r="D39" s="2">
        <v>40</v>
      </c>
      <c r="E39" s="3" t="s">
        <v>29</v>
      </c>
      <c r="F39" s="3">
        <f>SUM('2X8'!G33,'2X15'!G34,'2X16'!G34)</f>
        <v>960</v>
      </c>
      <c r="G39" s="3">
        <v>10</v>
      </c>
      <c r="H39" s="3">
        <f t="shared" si="1"/>
        <v>970</v>
      </c>
      <c r="I39" s="6"/>
    </row>
    <row r="40" spans="1:9" x14ac:dyDescent="0.3">
      <c r="A40" s="3">
        <v>13</v>
      </c>
      <c r="B40" s="4" t="s">
        <v>52</v>
      </c>
      <c r="C40" s="3" t="s">
        <v>38</v>
      </c>
      <c r="D40" s="2" t="s">
        <v>70</v>
      </c>
      <c r="E40" s="3" t="s">
        <v>29</v>
      </c>
      <c r="F40" s="3">
        <f>SUM('2X8'!G34,'2X15'!G35,'2X16'!G35)</f>
        <v>960</v>
      </c>
      <c r="G40" s="3">
        <v>10</v>
      </c>
      <c r="H40" s="3">
        <f t="shared" si="1"/>
        <v>970</v>
      </c>
      <c r="I40" s="6"/>
    </row>
    <row r="41" spans="1:9" x14ac:dyDescent="0.3">
      <c r="A41" s="3">
        <v>14</v>
      </c>
      <c r="B41" s="4" t="s">
        <v>17</v>
      </c>
      <c r="C41" s="3" t="s">
        <v>38</v>
      </c>
      <c r="D41" s="2" t="s">
        <v>70</v>
      </c>
      <c r="E41" s="3" t="s">
        <v>29</v>
      </c>
      <c r="F41" s="3">
        <f>SUM('2X8'!G35,'2X15'!G36,'2X16'!G36)</f>
        <v>960</v>
      </c>
      <c r="G41" s="3">
        <v>20</v>
      </c>
      <c r="H41" s="3">
        <f t="shared" si="1"/>
        <v>980</v>
      </c>
      <c r="I41" s="6"/>
    </row>
    <row r="42" spans="1:9" x14ac:dyDescent="0.3">
      <c r="A42" s="3">
        <v>15</v>
      </c>
      <c r="B42" s="4" t="s">
        <v>40</v>
      </c>
      <c r="C42" s="3" t="s">
        <v>31</v>
      </c>
      <c r="D42" s="2">
        <v>30</v>
      </c>
      <c r="E42" s="3" t="s">
        <v>29</v>
      </c>
      <c r="F42" s="3">
        <f>SUM('2X8'!G36,'2X15'!G37,'2X16'!G37)</f>
        <v>2560</v>
      </c>
      <c r="G42" s="3">
        <v>15</v>
      </c>
      <c r="H42" s="3">
        <f t="shared" si="1"/>
        <v>2575</v>
      </c>
      <c r="I42" s="6"/>
    </row>
    <row r="43" spans="1:9" x14ac:dyDescent="0.3">
      <c r="A43" s="3">
        <v>16</v>
      </c>
      <c r="B43" s="4" t="s">
        <v>41</v>
      </c>
      <c r="C43" s="3" t="s">
        <v>31</v>
      </c>
      <c r="D43" s="2" t="s">
        <v>70</v>
      </c>
      <c r="E43" s="3" t="s">
        <v>29</v>
      </c>
      <c r="F43" s="3">
        <f>SUM('2X8'!G37,'2X15'!G38,'2X16'!G38)</f>
        <v>2560</v>
      </c>
      <c r="G43" s="3">
        <v>15</v>
      </c>
      <c r="H43" s="3">
        <f t="shared" si="1"/>
        <v>2575</v>
      </c>
      <c r="I43" s="6"/>
    </row>
    <row r="44" spans="1:9" x14ac:dyDescent="0.3">
      <c r="A44" s="3">
        <v>17</v>
      </c>
      <c r="B44" s="4" t="s">
        <v>17</v>
      </c>
      <c r="C44" s="3" t="s">
        <v>31</v>
      </c>
      <c r="D44" s="2" t="s">
        <v>70</v>
      </c>
      <c r="E44" s="3" t="s">
        <v>29</v>
      </c>
      <c r="F44" s="3">
        <f>SUM('2X8'!G38,'2X15'!G39,'2X16'!G39)</f>
        <v>2560</v>
      </c>
      <c r="G44" s="3">
        <v>60</v>
      </c>
      <c r="H44" s="3">
        <f t="shared" si="1"/>
        <v>2620</v>
      </c>
      <c r="I44" s="6"/>
    </row>
    <row r="45" spans="1:9" x14ac:dyDescent="0.3">
      <c r="A45" s="3">
        <v>18</v>
      </c>
      <c r="B45" s="4" t="s">
        <v>18</v>
      </c>
      <c r="C45" s="3" t="s">
        <v>31</v>
      </c>
      <c r="D45" s="2" t="s">
        <v>70</v>
      </c>
      <c r="E45" s="3" t="s">
        <v>29</v>
      </c>
      <c r="F45" s="3">
        <f>SUM('2X8'!G39,'2X15'!G40,'2X16'!G40)</f>
        <v>2560</v>
      </c>
      <c r="G45" s="3">
        <v>60</v>
      </c>
      <c r="H45" s="3">
        <f t="shared" si="1"/>
        <v>2620</v>
      </c>
      <c r="I45" s="6"/>
    </row>
    <row r="46" spans="1:9" x14ac:dyDescent="0.3">
      <c r="A46" s="3">
        <v>19</v>
      </c>
      <c r="B46" s="4" t="s">
        <v>58</v>
      </c>
      <c r="C46" s="3" t="s">
        <v>31</v>
      </c>
      <c r="D46" s="3">
        <v>1120</v>
      </c>
      <c r="E46" s="3" t="s">
        <v>29</v>
      </c>
      <c r="F46" s="3">
        <f>SUM('2X8'!G40,'2X15'!G41,'2X16'!G41)</f>
        <v>195</v>
      </c>
      <c r="G46" s="3">
        <v>5</v>
      </c>
      <c r="H46" s="3">
        <f t="shared" si="1"/>
        <v>200</v>
      </c>
      <c r="I46" s="6"/>
    </row>
    <row r="47" spans="1:9" x14ac:dyDescent="0.3">
      <c r="A47" s="3">
        <v>20</v>
      </c>
      <c r="B47" s="4" t="s">
        <v>53</v>
      </c>
      <c r="C47" s="3" t="s">
        <v>31</v>
      </c>
      <c r="D47" s="2">
        <v>30</v>
      </c>
      <c r="E47" s="3" t="s">
        <v>29</v>
      </c>
      <c r="F47" s="3">
        <f>SUM('2X8'!G41,'2X15'!G42,'2X16'!G42)</f>
        <v>320</v>
      </c>
      <c r="G47" s="3">
        <v>10</v>
      </c>
      <c r="H47" s="3">
        <f t="shared" si="1"/>
        <v>330</v>
      </c>
      <c r="I47" s="6"/>
    </row>
    <row r="48" spans="1:9" x14ac:dyDescent="0.3">
      <c r="A48" s="3">
        <v>21</v>
      </c>
      <c r="B48" s="4" t="s">
        <v>54</v>
      </c>
      <c r="C48" s="3" t="s">
        <v>31</v>
      </c>
      <c r="D48" s="3" t="s">
        <v>70</v>
      </c>
      <c r="E48" s="3" t="s">
        <v>29</v>
      </c>
      <c r="F48" s="3">
        <f>SUM('2X8'!G42,'2X15'!G43,'2X16'!G43)</f>
        <v>320</v>
      </c>
      <c r="G48" s="3">
        <v>10</v>
      </c>
      <c r="H48" s="3">
        <f t="shared" si="1"/>
        <v>330</v>
      </c>
      <c r="I48" s="6"/>
    </row>
    <row r="49" spans="1:9" x14ac:dyDescent="0.3">
      <c r="A49" s="3">
        <v>22</v>
      </c>
      <c r="B49" s="4" t="s">
        <v>17</v>
      </c>
      <c r="C49" s="3" t="s">
        <v>31</v>
      </c>
      <c r="D49" s="3" t="s">
        <v>70</v>
      </c>
      <c r="E49" s="3" t="s">
        <v>29</v>
      </c>
      <c r="F49" s="3">
        <f>SUM('2X8'!G43,'2X15'!G44,'2X16'!G44)</f>
        <v>320</v>
      </c>
      <c r="G49" s="3">
        <v>20</v>
      </c>
      <c r="H49" s="3">
        <f t="shared" si="1"/>
        <v>340</v>
      </c>
      <c r="I49" s="6"/>
    </row>
    <row r="50" spans="1:9" x14ac:dyDescent="0.3">
      <c r="B50" s="1"/>
      <c r="C50" s="1"/>
      <c r="D50" s="1"/>
      <c r="E50" s="1"/>
      <c r="F50" s="1"/>
      <c r="G50" s="1"/>
    </row>
    <row r="52" spans="1:9" ht="23.4" x14ac:dyDescent="0.45">
      <c r="A52" s="13"/>
      <c r="B52" s="13"/>
      <c r="C52" s="13"/>
      <c r="D52" s="13"/>
      <c r="E52" s="13"/>
      <c r="F52" s="13"/>
    </row>
    <row r="53" spans="1:9" x14ac:dyDescent="0.3">
      <c r="A53" s="10"/>
      <c r="B53" s="10"/>
      <c r="C53" s="10"/>
      <c r="D53" s="10"/>
      <c r="E53" s="10"/>
      <c r="F53" s="10"/>
    </row>
    <row r="54" spans="1:9" x14ac:dyDescent="0.3">
      <c r="A54" s="14"/>
      <c r="B54" s="14"/>
      <c r="C54" s="14"/>
      <c r="D54" s="14"/>
      <c r="E54" s="14"/>
      <c r="F54" s="14"/>
    </row>
    <row r="55" spans="1:9" x14ac:dyDescent="0.3">
      <c r="B55" s="8"/>
    </row>
    <row r="56" spans="1:9" x14ac:dyDescent="0.3">
      <c r="B56" s="9"/>
    </row>
    <row r="57" spans="1:9" x14ac:dyDescent="0.3">
      <c r="B57" s="10"/>
      <c r="D57" s="10"/>
      <c r="E57" s="6"/>
    </row>
    <row r="58" spans="1:9" x14ac:dyDescent="0.3">
      <c r="B58" s="10"/>
      <c r="D58" s="10"/>
      <c r="E58" s="6"/>
    </row>
    <row r="59" spans="1:9" x14ac:dyDescent="0.3">
      <c r="A59" s="10"/>
      <c r="B59" s="10"/>
      <c r="C59" s="10"/>
      <c r="D59" s="10"/>
      <c r="E59" s="10"/>
      <c r="F59" s="10"/>
    </row>
    <row r="60" spans="1:9" x14ac:dyDescent="0.3">
      <c r="A60" s="11"/>
      <c r="B60" s="11"/>
      <c r="C60" s="11"/>
      <c r="D60" s="11"/>
      <c r="E60" s="11"/>
      <c r="F60" s="11"/>
    </row>
    <row r="61" spans="1:9" x14ac:dyDescent="0.3">
      <c r="A61" s="6"/>
      <c r="B61" s="12"/>
      <c r="C61" s="6"/>
      <c r="D61" s="6"/>
      <c r="E61" s="12"/>
      <c r="F61" s="6"/>
    </row>
    <row r="62" spans="1:9" x14ac:dyDescent="0.3">
      <c r="A62" s="6"/>
      <c r="B62" s="12"/>
      <c r="C62" s="6"/>
      <c r="D62" s="6"/>
      <c r="E62" s="12"/>
      <c r="F62" s="6"/>
    </row>
    <row r="63" spans="1:9" x14ac:dyDescent="0.3">
      <c r="A63" s="6"/>
      <c r="B63" s="12"/>
      <c r="C63" s="6"/>
      <c r="D63" s="6"/>
      <c r="E63" s="12"/>
      <c r="F63" s="6"/>
    </row>
    <row r="64" spans="1:9" x14ac:dyDescent="0.3">
      <c r="A64" s="6"/>
      <c r="B64" s="12"/>
      <c r="C64" s="6"/>
      <c r="D64" s="6"/>
      <c r="E64" s="12"/>
      <c r="F64" s="6"/>
    </row>
    <row r="65" spans="1:6" x14ac:dyDescent="0.3">
      <c r="A65" s="6"/>
      <c r="B65" s="12"/>
      <c r="C65" s="6"/>
      <c r="D65" s="6"/>
      <c r="E65" s="12"/>
      <c r="F65" s="6"/>
    </row>
    <row r="66" spans="1:6" x14ac:dyDescent="0.3">
      <c r="A66" s="6"/>
      <c r="B66" s="12"/>
      <c r="C66" s="6"/>
      <c r="D66" s="6"/>
      <c r="E66" s="12"/>
      <c r="F66" s="6"/>
    </row>
    <row r="67" spans="1:6" x14ac:dyDescent="0.3">
      <c r="A67" s="6"/>
      <c r="B67" s="12"/>
      <c r="C67" s="6"/>
      <c r="D67" s="6"/>
      <c r="E67" s="12"/>
      <c r="F67" s="6"/>
    </row>
    <row r="68" spans="1:6" x14ac:dyDescent="0.3">
      <c r="A68" s="6"/>
      <c r="B68" s="12"/>
      <c r="C68" s="6"/>
      <c r="D68" s="6"/>
      <c r="E68" s="12"/>
      <c r="F68" s="6"/>
    </row>
    <row r="69" spans="1:6" x14ac:dyDescent="0.3">
      <c r="A69" s="6"/>
      <c r="B69" s="12"/>
      <c r="C69" s="6"/>
      <c r="D69" s="6"/>
      <c r="E69" s="12"/>
      <c r="F69" s="6"/>
    </row>
    <row r="70" spans="1:6" x14ac:dyDescent="0.3">
      <c r="A70" s="6"/>
      <c r="B70" s="12"/>
      <c r="C70" s="6"/>
      <c r="D70" s="6"/>
      <c r="E70" s="12"/>
      <c r="F70" s="6"/>
    </row>
    <row r="71" spans="1:6" x14ac:dyDescent="0.3">
      <c r="A71" s="6"/>
      <c r="B71" s="12"/>
      <c r="C71" s="12"/>
      <c r="D71" s="12"/>
      <c r="E71" s="12"/>
      <c r="F71" s="12"/>
    </row>
    <row r="72" spans="1:6" x14ac:dyDescent="0.3">
      <c r="A72" s="15"/>
      <c r="B72" s="15"/>
      <c r="C72" s="15"/>
      <c r="D72" s="15"/>
      <c r="E72" s="15"/>
      <c r="F72" s="15"/>
    </row>
    <row r="73" spans="1:6" x14ac:dyDescent="0.3">
      <c r="A73" s="11"/>
      <c r="B73" s="11"/>
      <c r="C73" s="11"/>
      <c r="D73" s="11"/>
      <c r="E73" s="11"/>
      <c r="F73" s="11"/>
    </row>
    <row r="74" spans="1:6" x14ac:dyDescent="0.3">
      <c r="A74" s="6"/>
      <c r="B74" s="12"/>
      <c r="C74" s="6"/>
      <c r="D74" s="12"/>
      <c r="E74" s="6"/>
      <c r="F74" s="6"/>
    </row>
    <row r="75" spans="1:6" x14ac:dyDescent="0.3">
      <c r="A75" s="6"/>
      <c r="B75" s="12"/>
      <c r="C75" s="6"/>
      <c r="D75" s="12"/>
      <c r="E75" s="6"/>
      <c r="F75" s="6"/>
    </row>
    <row r="76" spans="1:6" x14ac:dyDescent="0.3">
      <c r="A76" s="6"/>
      <c r="B76" s="12"/>
      <c r="C76" s="6"/>
      <c r="D76" s="12"/>
      <c r="E76" s="6"/>
      <c r="F76" s="6"/>
    </row>
    <row r="77" spans="1:6" x14ac:dyDescent="0.3">
      <c r="A77" s="6"/>
      <c r="B77" s="12"/>
      <c r="C77" s="6"/>
      <c r="D77" s="12"/>
      <c r="E77" s="6"/>
      <c r="F77" s="6"/>
    </row>
    <row r="78" spans="1:6" x14ac:dyDescent="0.3">
      <c r="A78" s="6"/>
      <c r="B78" s="12"/>
      <c r="C78" s="6"/>
      <c r="D78" s="12"/>
      <c r="E78" s="6"/>
      <c r="F78" s="6"/>
    </row>
    <row r="79" spans="1:6" x14ac:dyDescent="0.3">
      <c r="A79" s="6"/>
      <c r="B79" s="12"/>
      <c r="C79" s="6"/>
      <c r="D79" s="12"/>
      <c r="E79" s="6"/>
      <c r="F79" s="6"/>
    </row>
    <row r="80" spans="1:6" x14ac:dyDescent="0.3">
      <c r="A80" s="6"/>
      <c r="B80" s="12"/>
      <c r="C80" s="6"/>
      <c r="D80" s="12"/>
      <c r="E80" s="6"/>
      <c r="F80" s="6"/>
    </row>
    <row r="81" spans="1:6" x14ac:dyDescent="0.3">
      <c r="A81" s="6"/>
      <c r="B81" s="12"/>
      <c r="C81" s="6"/>
      <c r="D81" s="12"/>
      <c r="E81" s="6"/>
      <c r="F81" s="6"/>
    </row>
    <row r="82" spans="1:6" x14ac:dyDescent="0.3">
      <c r="A82" s="6"/>
      <c r="B82" s="12"/>
      <c r="C82" s="6"/>
      <c r="D82" s="12"/>
      <c r="E82" s="6"/>
      <c r="F82" s="6"/>
    </row>
    <row r="83" spans="1:6" x14ac:dyDescent="0.3">
      <c r="A83" s="6"/>
      <c r="B83" s="12"/>
      <c r="C83" s="6"/>
      <c r="D83" s="12"/>
      <c r="E83" s="6"/>
      <c r="F83" s="6"/>
    </row>
    <row r="84" spans="1:6" x14ac:dyDescent="0.3">
      <c r="A84" s="6"/>
      <c r="B84" s="12"/>
      <c r="C84" s="6"/>
      <c r="D84" s="12"/>
      <c r="E84" s="6"/>
      <c r="F84" s="6"/>
    </row>
    <row r="85" spans="1:6" x14ac:dyDescent="0.3">
      <c r="A85" s="6"/>
      <c r="B85" s="12"/>
      <c r="C85" s="6"/>
      <c r="D85" s="12"/>
      <c r="E85" s="6"/>
      <c r="F85" s="6"/>
    </row>
    <row r="86" spans="1:6" x14ac:dyDescent="0.3">
      <c r="A86" s="6"/>
      <c r="B86" s="12"/>
      <c r="C86" s="6"/>
      <c r="D86" s="12"/>
      <c r="E86" s="6"/>
      <c r="F86" s="6"/>
    </row>
    <row r="87" spans="1:6" x14ac:dyDescent="0.3">
      <c r="A87" s="6"/>
      <c r="B87" s="12"/>
      <c r="C87" s="6"/>
      <c r="D87" s="12"/>
      <c r="E87" s="6"/>
      <c r="F87" s="6"/>
    </row>
    <row r="88" spans="1:6" x14ac:dyDescent="0.3">
      <c r="A88" s="6"/>
      <c r="B88" s="12"/>
      <c r="C88" s="6"/>
      <c r="D88" s="12"/>
      <c r="E88" s="6"/>
      <c r="F88" s="6"/>
    </row>
    <row r="89" spans="1:6" x14ac:dyDescent="0.3">
      <c r="A89" s="6"/>
      <c r="B89" s="12"/>
      <c r="C89" s="6"/>
      <c r="D89" s="12"/>
      <c r="E89" s="6"/>
      <c r="F89" s="6"/>
    </row>
    <row r="90" spans="1:6" x14ac:dyDescent="0.3">
      <c r="A90" s="6"/>
      <c r="B90" s="12"/>
      <c r="C90" s="6"/>
      <c r="D90" s="12"/>
      <c r="E90" s="6"/>
      <c r="F90" s="6"/>
    </row>
    <row r="91" spans="1:6" x14ac:dyDescent="0.3">
      <c r="A91" s="6"/>
      <c r="B91" s="12"/>
      <c r="C91" s="6"/>
      <c r="D91" s="12"/>
      <c r="E91" s="6"/>
      <c r="F91" s="6"/>
    </row>
    <row r="92" spans="1:6" x14ac:dyDescent="0.3">
      <c r="A92" s="6"/>
      <c r="B92" s="12"/>
      <c r="C92" s="6"/>
      <c r="D92" s="6"/>
      <c r="E92" s="6"/>
      <c r="F92" s="6"/>
    </row>
    <row r="93" spans="1:6" x14ac:dyDescent="0.3">
      <c r="A93" s="6"/>
      <c r="B93" s="12"/>
      <c r="C93" s="6"/>
      <c r="D93" s="12"/>
      <c r="E93" s="6"/>
      <c r="F93" s="6"/>
    </row>
    <row r="94" spans="1:6" x14ac:dyDescent="0.3">
      <c r="A94" s="6"/>
      <c r="B94" s="12"/>
      <c r="C94" s="6"/>
      <c r="D94" s="12"/>
      <c r="E94" s="6"/>
      <c r="F94" s="6"/>
    </row>
    <row r="95" spans="1:6" x14ac:dyDescent="0.3">
      <c r="A95" s="6"/>
      <c r="B95" s="12"/>
      <c r="C95" s="6"/>
      <c r="D95" s="12"/>
      <c r="E95" s="6"/>
      <c r="F95" s="6"/>
    </row>
    <row r="98" spans="1:6" ht="23.4" x14ac:dyDescent="0.45">
      <c r="A98" s="13"/>
      <c r="B98" s="13"/>
      <c r="C98" s="13"/>
      <c r="D98" s="13"/>
      <c r="E98" s="13"/>
      <c r="F98" s="13"/>
    </row>
    <row r="99" spans="1:6" x14ac:dyDescent="0.3">
      <c r="A99" s="10"/>
      <c r="B99" s="10"/>
      <c r="C99" s="10"/>
      <c r="D99" s="10"/>
      <c r="E99" s="10"/>
      <c r="F99" s="10"/>
    </row>
    <row r="100" spans="1:6" x14ac:dyDescent="0.3">
      <c r="A100" s="14"/>
      <c r="B100" s="14"/>
      <c r="C100" s="14"/>
      <c r="D100" s="14"/>
      <c r="E100" s="14"/>
      <c r="F100" s="14"/>
    </row>
    <row r="101" spans="1:6" x14ac:dyDescent="0.3">
      <c r="B101" s="8"/>
    </row>
    <row r="102" spans="1:6" x14ac:dyDescent="0.3">
      <c r="B102" s="9"/>
    </row>
    <row r="103" spans="1:6" x14ac:dyDescent="0.3">
      <c r="B103" s="10"/>
      <c r="D103" s="10"/>
      <c r="E103" s="6"/>
    </row>
    <row r="104" spans="1:6" x14ac:dyDescent="0.3">
      <c r="B104" s="10"/>
      <c r="D104" s="10"/>
      <c r="E104" s="6"/>
    </row>
    <row r="105" spans="1:6" x14ac:dyDescent="0.3">
      <c r="A105" s="10"/>
      <c r="B105" s="10"/>
      <c r="C105" s="10"/>
      <c r="D105" s="10"/>
      <c r="E105" s="10"/>
      <c r="F105" s="10"/>
    </row>
    <row r="106" spans="1:6" x14ac:dyDescent="0.3">
      <c r="A106" s="11"/>
      <c r="B106" s="11"/>
      <c r="C106" s="11"/>
      <c r="D106" s="11"/>
      <c r="E106" s="11"/>
      <c r="F106" s="11"/>
    </row>
    <row r="107" spans="1:6" x14ac:dyDescent="0.3">
      <c r="A107" s="6"/>
      <c r="B107" s="12"/>
      <c r="C107" s="6"/>
      <c r="D107" s="6"/>
      <c r="E107" s="12"/>
      <c r="F107" s="6"/>
    </row>
    <row r="108" spans="1:6" x14ac:dyDescent="0.3">
      <c r="A108" s="6"/>
      <c r="B108" s="12"/>
      <c r="C108" s="6"/>
      <c r="D108" s="6"/>
      <c r="E108" s="12"/>
      <c r="F108" s="6"/>
    </row>
    <row r="109" spans="1:6" x14ac:dyDescent="0.3">
      <c r="A109" s="6"/>
      <c r="B109" s="12"/>
      <c r="C109" s="6"/>
      <c r="D109" s="6"/>
      <c r="E109" s="12"/>
      <c r="F109" s="6"/>
    </row>
    <row r="110" spans="1:6" x14ac:dyDescent="0.3">
      <c r="A110" s="6"/>
      <c r="B110" s="12"/>
      <c r="C110" s="6"/>
      <c r="D110" s="6"/>
      <c r="E110" s="12"/>
      <c r="F110" s="6"/>
    </row>
    <row r="111" spans="1:6" x14ac:dyDescent="0.3">
      <c r="A111" s="6"/>
      <c r="B111" s="12"/>
      <c r="C111" s="6"/>
      <c r="D111" s="6"/>
      <c r="E111" s="12"/>
      <c r="F111" s="6"/>
    </row>
    <row r="112" spans="1:6" x14ac:dyDescent="0.3">
      <c r="A112" s="6"/>
      <c r="B112" s="12"/>
      <c r="C112" s="6"/>
      <c r="D112" s="6"/>
      <c r="E112" s="12"/>
      <c r="F112" s="6"/>
    </row>
    <row r="113" spans="1:6" x14ac:dyDescent="0.3">
      <c r="A113" s="6"/>
      <c r="B113" s="12"/>
      <c r="C113" s="6"/>
      <c r="D113" s="6"/>
      <c r="E113" s="12"/>
      <c r="F113" s="6"/>
    </row>
    <row r="114" spans="1:6" x14ac:dyDescent="0.3">
      <c r="A114" s="6"/>
      <c r="B114" s="12"/>
      <c r="C114" s="6"/>
      <c r="D114" s="6"/>
      <c r="E114" s="12"/>
      <c r="F114" s="6"/>
    </row>
    <row r="115" spans="1:6" x14ac:dyDescent="0.3">
      <c r="A115" s="6"/>
      <c r="B115" s="12"/>
      <c r="C115" s="6"/>
      <c r="D115" s="6"/>
      <c r="E115" s="12"/>
      <c r="F115" s="6"/>
    </row>
    <row r="116" spans="1:6" x14ac:dyDescent="0.3">
      <c r="A116" s="6"/>
      <c r="B116" s="12"/>
      <c r="C116" s="6"/>
      <c r="D116" s="6"/>
      <c r="E116" s="12"/>
      <c r="F116" s="6"/>
    </row>
    <row r="117" spans="1:6" x14ac:dyDescent="0.3">
      <c r="A117" s="6"/>
      <c r="B117" s="12"/>
      <c r="C117" s="12"/>
      <c r="D117" s="12"/>
      <c r="E117" s="12"/>
      <c r="F117" s="12"/>
    </row>
    <row r="118" spans="1:6" x14ac:dyDescent="0.3">
      <c r="A118" s="15"/>
      <c r="B118" s="15"/>
      <c r="C118" s="15"/>
      <c r="D118" s="15"/>
      <c r="E118" s="15"/>
      <c r="F118" s="15"/>
    </row>
    <row r="119" spans="1:6" x14ac:dyDescent="0.3">
      <c r="A119" s="11"/>
      <c r="B119" s="11"/>
      <c r="C119" s="11"/>
      <c r="D119" s="11"/>
      <c r="E119" s="11"/>
      <c r="F119" s="11"/>
    </row>
    <row r="120" spans="1:6" x14ac:dyDescent="0.3">
      <c r="A120" s="6"/>
      <c r="B120" s="12"/>
      <c r="C120" s="6"/>
      <c r="D120" s="12"/>
      <c r="E120" s="6"/>
      <c r="F120" s="6"/>
    </row>
    <row r="121" spans="1:6" x14ac:dyDescent="0.3">
      <c r="A121" s="6"/>
      <c r="B121" s="12"/>
      <c r="C121" s="6"/>
      <c r="D121" s="12"/>
      <c r="E121" s="6"/>
      <c r="F121" s="6"/>
    </row>
    <row r="122" spans="1:6" x14ac:dyDescent="0.3">
      <c r="A122" s="6"/>
      <c r="B122" s="12"/>
      <c r="C122" s="6"/>
      <c r="D122" s="12"/>
      <c r="E122" s="6"/>
      <c r="F122" s="6"/>
    </row>
    <row r="123" spans="1:6" x14ac:dyDescent="0.3">
      <c r="A123" s="6"/>
      <c r="B123" s="12"/>
      <c r="C123" s="6"/>
      <c r="D123" s="12"/>
      <c r="E123" s="6"/>
      <c r="F123" s="6"/>
    </row>
    <row r="124" spans="1:6" x14ac:dyDescent="0.3">
      <c r="A124" s="6"/>
      <c r="B124" s="12"/>
      <c r="C124" s="6"/>
      <c r="D124" s="12"/>
      <c r="E124" s="6"/>
      <c r="F124" s="6"/>
    </row>
    <row r="125" spans="1:6" x14ac:dyDescent="0.3">
      <c r="A125" s="6"/>
      <c r="B125" s="12"/>
      <c r="C125" s="6"/>
      <c r="D125" s="12"/>
      <c r="E125" s="6"/>
      <c r="F125" s="6"/>
    </row>
    <row r="126" spans="1:6" x14ac:dyDescent="0.3">
      <c r="A126" s="6"/>
      <c r="B126" s="12"/>
      <c r="C126" s="6"/>
      <c r="D126" s="12"/>
      <c r="E126" s="6"/>
      <c r="F126" s="6"/>
    </row>
    <row r="127" spans="1:6" x14ac:dyDescent="0.3">
      <c r="A127" s="6"/>
      <c r="B127" s="12"/>
      <c r="C127" s="6"/>
      <c r="D127" s="12"/>
      <c r="E127" s="6"/>
      <c r="F127" s="6"/>
    </row>
    <row r="128" spans="1:6" x14ac:dyDescent="0.3">
      <c r="A128" s="6"/>
      <c r="B128" s="12"/>
      <c r="C128" s="6"/>
      <c r="D128" s="12"/>
      <c r="E128" s="6"/>
      <c r="F128" s="6"/>
    </row>
    <row r="129" spans="1:6" x14ac:dyDescent="0.3">
      <c r="A129" s="6"/>
      <c r="B129" s="12"/>
      <c r="C129" s="6"/>
      <c r="D129" s="12"/>
      <c r="E129" s="6"/>
      <c r="F129" s="6"/>
    </row>
    <row r="130" spans="1:6" x14ac:dyDescent="0.3">
      <c r="A130" s="6"/>
      <c r="B130" s="12"/>
      <c r="C130" s="6"/>
      <c r="D130" s="12"/>
      <c r="E130" s="6"/>
      <c r="F130" s="6"/>
    </row>
    <row r="131" spans="1:6" x14ac:dyDescent="0.3">
      <c r="A131" s="6"/>
      <c r="B131" s="12"/>
      <c r="C131" s="6"/>
      <c r="D131" s="12"/>
      <c r="E131" s="6"/>
      <c r="F131" s="6"/>
    </row>
    <row r="132" spans="1:6" x14ac:dyDescent="0.3">
      <c r="A132" s="6"/>
      <c r="B132" s="12"/>
      <c r="C132" s="6"/>
      <c r="D132" s="12"/>
      <c r="E132" s="6"/>
      <c r="F132" s="6"/>
    </row>
    <row r="133" spans="1:6" x14ac:dyDescent="0.3">
      <c r="A133" s="6"/>
      <c r="B133" s="12"/>
      <c r="C133" s="6"/>
      <c r="D133" s="12"/>
      <c r="E133" s="6"/>
      <c r="F133" s="6"/>
    </row>
    <row r="134" spans="1:6" x14ac:dyDescent="0.3">
      <c r="A134" s="6"/>
      <c r="B134" s="12"/>
      <c r="C134" s="6"/>
      <c r="D134" s="12"/>
      <c r="E134" s="6"/>
      <c r="F134" s="6"/>
    </row>
    <row r="135" spans="1:6" x14ac:dyDescent="0.3">
      <c r="A135" s="6"/>
      <c r="B135" s="12"/>
      <c r="C135" s="6"/>
      <c r="D135" s="12"/>
      <c r="E135" s="6"/>
      <c r="F135" s="6"/>
    </row>
    <row r="136" spans="1:6" x14ac:dyDescent="0.3">
      <c r="A136" s="6"/>
      <c r="B136" s="12"/>
      <c r="C136" s="6"/>
      <c r="D136" s="12"/>
      <c r="E136" s="6"/>
      <c r="F136" s="6"/>
    </row>
    <row r="137" spans="1:6" x14ac:dyDescent="0.3">
      <c r="A137" s="6"/>
      <c r="B137" s="12"/>
      <c r="C137" s="6"/>
      <c r="D137" s="12"/>
      <c r="E137" s="6"/>
      <c r="F137" s="6"/>
    </row>
    <row r="138" spans="1:6" x14ac:dyDescent="0.3">
      <c r="A138" s="6"/>
      <c r="B138" s="12"/>
      <c r="C138" s="6"/>
      <c r="D138" s="6"/>
      <c r="E138" s="6"/>
      <c r="F138" s="6"/>
    </row>
    <row r="139" spans="1:6" x14ac:dyDescent="0.3">
      <c r="A139" s="6"/>
      <c r="B139" s="12"/>
      <c r="C139" s="6"/>
      <c r="D139" s="12"/>
      <c r="E139" s="6"/>
      <c r="F139" s="6"/>
    </row>
    <row r="140" spans="1:6" x14ac:dyDescent="0.3">
      <c r="A140" s="6"/>
      <c r="B140" s="12"/>
      <c r="C140" s="6"/>
      <c r="D140" s="12"/>
      <c r="E140" s="6"/>
      <c r="F140" s="6"/>
    </row>
    <row r="141" spans="1:6" x14ac:dyDescent="0.3">
      <c r="A141" s="6"/>
      <c r="B141" s="12"/>
      <c r="C141" s="6"/>
      <c r="D141" s="12"/>
      <c r="E141" s="6"/>
      <c r="F141" s="6"/>
    </row>
  </sheetData>
  <mergeCells count="8">
    <mergeCell ref="A8:H8"/>
    <mergeCell ref="A26:H26"/>
    <mergeCell ref="A1:H1"/>
    <mergeCell ref="A2:G2"/>
    <mergeCell ref="A3:G3"/>
    <mergeCell ref="C4:G4"/>
    <mergeCell ref="C5:G5"/>
    <mergeCell ref="F7:G7"/>
  </mergeCells>
  <pageMargins left="0.7" right="0.7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2X16</vt:lpstr>
      <vt:lpstr>2X15</vt:lpstr>
      <vt:lpstr>2X8</vt:lpstr>
      <vt:lpstr>OTHER</vt:lpstr>
      <vt:lpstr>'2X15'!Print_Area</vt:lpstr>
      <vt:lpstr>'2X16'!Print_Area</vt:lpstr>
      <vt:lpstr>'2X8'!Print_Area</vt:lpstr>
      <vt:lpstr>OTHER!Print_Area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Ankesh Mishra</cp:lastModifiedBy>
  <cp:lastPrinted>2018-10-18T07:23:50Z</cp:lastPrinted>
  <dcterms:created xsi:type="dcterms:W3CDTF">2018-10-04T04:58:21Z</dcterms:created>
  <dcterms:modified xsi:type="dcterms:W3CDTF">2025-04-16T14:02:00Z</dcterms:modified>
</cp:coreProperties>
</file>