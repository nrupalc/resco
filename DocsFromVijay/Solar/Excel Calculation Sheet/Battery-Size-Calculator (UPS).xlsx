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Excel Calculation Sheet\"/>
    </mc:Choice>
  </mc:AlternateContent>
  <xr:revisionPtr revIDLastSave="0" documentId="13_ncr:1_{37AD799D-7298-4978-8510-9A7A46E13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definedNames>
    <definedName name="ce">Sheet2!$AH$24:$AJ$30</definedName>
    <definedName name="fe">Sheet2!$AI$24:$AJ$30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1" l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AI37" i="1"/>
  <c r="Y37" i="1"/>
  <c r="I37" i="1"/>
  <c r="H37" i="1"/>
  <c r="AI36" i="1"/>
  <c r="AI38" i="1" s="1"/>
  <c r="AE36" i="1"/>
  <c r="AE37" i="1" s="1"/>
  <c r="AB36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L19" i="1"/>
  <c r="I19" i="1"/>
  <c r="H19" i="1"/>
  <c r="I18" i="1"/>
  <c r="H18" i="1"/>
  <c r="I17" i="1"/>
  <c r="H17" i="1"/>
  <c r="I16" i="1"/>
  <c r="H16" i="1"/>
  <c r="S15" i="1"/>
  <c r="L21" i="1" s="1"/>
  <c r="Q15" i="1"/>
  <c r="I15" i="1"/>
  <c r="H15" i="1"/>
  <c r="I14" i="1"/>
  <c r="H14" i="1"/>
  <c r="I13" i="1"/>
  <c r="H13" i="1"/>
  <c r="I12" i="1"/>
  <c r="H12" i="1"/>
  <c r="N11" i="1"/>
  <c r="I11" i="1"/>
  <c r="H11" i="1"/>
  <c r="N10" i="1"/>
  <c r="I10" i="1"/>
  <c r="H10" i="1"/>
  <c r="N9" i="1"/>
  <c r="I9" i="1"/>
  <c r="H9" i="1"/>
  <c r="N8" i="1"/>
  <c r="I8" i="1"/>
  <c r="H8" i="1"/>
  <c r="I7" i="1"/>
  <c r="H7" i="1"/>
  <c r="AE42" i="1" l="1"/>
  <c r="H46" i="1"/>
  <c r="L36" i="1" s="1"/>
  <c r="L37" i="1" s="1"/>
  <c r="L38" i="1" s="1"/>
  <c r="L39" i="1" s="1"/>
  <c r="L40" i="1" s="1"/>
  <c r="L41" i="1" s="1"/>
  <c r="L42" i="1" s="1"/>
  <c r="L13" i="1" s="1"/>
  <c r="AD37" i="1" s="1"/>
  <c r="I46" i="1"/>
  <c r="L32" i="1" s="1"/>
  <c r="AF36" i="1"/>
  <c r="AE38" i="1"/>
  <c r="AA42" i="1"/>
  <c r="AC37" i="1" l="1"/>
  <c r="AC42" i="1" s="1"/>
  <c r="AD42" i="1"/>
  <c r="AD38" i="1"/>
  <c r="AC38" i="1" s="1"/>
  <c r="AF38" i="1" s="1"/>
  <c r="Y38" i="1"/>
  <c r="Q14" i="1"/>
  <c r="AD36" i="1"/>
  <c r="Y36" i="1"/>
  <c r="AD41" i="1" s="1"/>
  <c r="AB37" i="1"/>
  <c r="AB42" i="1" s="1"/>
  <c r="AF37" i="1" l="1"/>
  <c r="AF42" i="1" s="1"/>
  <c r="AF43" i="1"/>
  <c r="L27" i="1" s="1"/>
  <c r="AE41" i="1"/>
  <c r="AA41" i="1"/>
  <c r="AF41" i="1"/>
  <c r="AA43" i="1"/>
  <c r="L20" i="1" s="1"/>
  <c r="L23" i="1" s="1"/>
  <c r="AC43" i="1"/>
  <c r="L22" i="1" s="1"/>
  <c r="AD43" i="1"/>
  <c r="AE43" i="1"/>
  <c r="L24" i="1" s="1"/>
  <c r="AB38" i="1"/>
  <c r="AB43" i="1" s="1"/>
  <c r="L26" i="1" s="1"/>
  <c r="AB41" i="1"/>
  <c r="AC41" i="1"/>
</calcChain>
</file>

<file path=xl/sharedStrings.xml><?xml version="1.0" encoding="utf-8"?>
<sst xmlns="http://schemas.openxmlformats.org/spreadsheetml/2006/main" count="81" uniqueCount="65">
  <si>
    <t>CALCULATE THE SIZE OF  BATTERY BANK &amp; INVERTOR</t>
  </si>
  <si>
    <t>Electrical Load Details</t>
  </si>
  <si>
    <t>Battery Bank's Voltage</t>
  </si>
  <si>
    <t>Volts DC</t>
  </si>
  <si>
    <t>Sr.No</t>
  </si>
  <si>
    <t>Equiment Name</t>
  </si>
  <si>
    <t xml:space="preserve"> No</t>
  </si>
  <si>
    <t>Watt</t>
  </si>
  <si>
    <t>Using Hr/Day</t>
  </si>
  <si>
    <t>Watt Hr./Day</t>
  </si>
  <si>
    <t>Reaserve Day: (How many days Do you want to get Power from battery Banks)</t>
  </si>
  <si>
    <t>Days</t>
  </si>
  <si>
    <t>Loose Connection/Wire Loss Factor:</t>
  </si>
  <si>
    <t>%</t>
  </si>
  <si>
    <t>Battery Efficiency</t>
  </si>
  <si>
    <t>Battery Aging:</t>
  </si>
  <si>
    <t>Depth of Discharge:(DOD)</t>
  </si>
  <si>
    <t>Battery Operating Temp:</t>
  </si>
  <si>
    <t>The Battery Bank Required:</t>
  </si>
  <si>
    <t>Amp.Hr</t>
  </si>
  <si>
    <t xml:space="preserve">If You are Selecting Battery </t>
  </si>
  <si>
    <t>Amp.Hr @</t>
  </si>
  <si>
    <t>volts</t>
  </si>
  <si>
    <t>Batteries connection for Battery Bank</t>
  </si>
  <si>
    <t>:Battery Bank Detail :</t>
  </si>
  <si>
    <t>Type of Connection For Batteries</t>
  </si>
  <si>
    <t>Selection of Batteries Connection:</t>
  </si>
  <si>
    <t>Selection of Each Battery Voltage</t>
  </si>
  <si>
    <t>Number of String for Battry Bank</t>
  </si>
  <si>
    <t>Nos</t>
  </si>
  <si>
    <t>Total Amp.Hr of Each String</t>
  </si>
  <si>
    <t>C</t>
  </si>
  <si>
    <t>F</t>
  </si>
  <si>
    <t>Total No of Battery in Each String</t>
  </si>
  <si>
    <t>Total Battery Bank Amp.Hr</t>
  </si>
  <si>
    <t xml:space="preserve">Amp.Hr </t>
  </si>
  <si>
    <t xml:space="preserve">Total Nos of Batteries in Battery Bank </t>
  </si>
  <si>
    <t>:Size of Invertor:</t>
  </si>
  <si>
    <t>Calculate Additional Future Load</t>
  </si>
  <si>
    <t>Effieciency of Invertor</t>
  </si>
  <si>
    <t>Size of Invertor</t>
  </si>
  <si>
    <t>KW</t>
  </si>
  <si>
    <t>CALCULATIONS:</t>
  </si>
  <si>
    <t>string</t>
  </si>
  <si>
    <t>amp.hr</t>
  </si>
  <si>
    <t>No</t>
  </si>
  <si>
    <t>Total</t>
  </si>
  <si>
    <t>Total KW.Hr/Day</t>
  </si>
  <si>
    <t>Watt.Hr/Day</t>
  </si>
  <si>
    <t>series</t>
  </si>
  <si>
    <r>
      <rPr>
        <sz val="10"/>
        <color theme="1"/>
        <rFont val="Arial"/>
        <family val="2"/>
      </rPr>
      <t>C</t>
    </r>
    <r>
      <rPr>
        <sz val="10"/>
        <color rgb="FF000000"/>
        <rFont val="Calibri"/>
        <family val="2"/>
      </rPr>
      <t>°</t>
    </r>
  </si>
  <si>
    <t>Total Amp.Hr</t>
  </si>
  <si>
    <t>Parral</t>
  </si>
  <si>
    <r>
      <rPr>
        <sz val="10"/>
        <color theme="1"/>
        <rFont val="Arial"/>
        <family val="2"/>
      </rPr>
      <t>F</t>
    </r>
    <r>
      <rPr>
        <sz val="10"/>
        <color rgb="FF000000"/>
        <rFont val="Calibri"/>
        <family val="2"/>
      </rPr>
      <t>°</t>
    </r>
  </si>
  <si>
    <t>Average Load</t>
  </si>
  <si>
    <t>series-Parral</t>
  </si>
  <si>
    <t>Storage Required</t>
  </si>
  <si>
    <t>Series</t>
  </si>
  <si>
    <t>Battery Aging</t>
  </si>
  <si>
    <t>Including Operating Temp</t>
  </si>
  <si>
    <t>Series-Parral</t>
  </si>
  <si>
    <t>Depth of Discharge</t>
  </si>
  <si>
    <t>Total Load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</si>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</sst>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rgb="FF000080"/>
      <name val="Arial"/>
      <family val="2"/>
    </font>
    <font>
      <sz val="10"/>
      <color rgb="FFB8CCE4"/>
      <name val="Arial"/>
      <family val="2"/>
    </font>
    <font>
      <b/>
      <sz val="10"/>
      <color theme="0"/>
      <name val="Arial"/>
      <family val="2"/>
    </font>
    <font>
      <b/>
      <sz val="10"/>
      <color rgb="FF632423"/>
      <name val="Arial"/>
      <family val="2"/>
    </font>
    <font>
      <sz val="10"/>
      <color rgb="FFFF0000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rgb="FFC6D9F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B8CCE4"/>
      </patternFill>
    </fill>
    <fill>
      <patternFill patternType="solid">
        <fgColor theme="8" tint="-0.249977111117893"/>
        <bgColor rgb="FF49442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5F497A"/>
      </patternFill>
    </fill>
    <fill>
      <patternFill patternType="solid">
        <fgColor theme="9" tint="0.39997558519241921"/>
        <bgColor rgb="FFFFFF00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rgb="FF31859B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rgb="FF31859B"/>
      </top>
      <bottom/>
      <diagonal/>
    </border>
    <border>
      <left/>
      <right style="medium">
        <color indexed="64"/>
      </right>
      <top style="double">
        <color rgb="FF31859B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5">
    <xf numFmtId="0" fontId="0" fillId="0" borderId="0" xfId="0"/>
    <xf numFmtId="0" fontId="1" fillId="3" borderId="1" xfId="0" applyFont="1" applyFill="1" applyBorder="1"/>
    <xf numFmtId="0" fontId="1" fillId="3" borderId="5" xfId="0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7" fillId="5" borderId="1" xfId="0" applyFont="1" applyFill="1" applyBorder="1"/>
    <xf numFmtId="0" fontId="1" fillId="5" borderId="1" xfId="0" applyFont="1" applyFill="1" applyBorder="1" applyAlignment="1">
      <alignment horizontal="center"/>
    </xf>
    <xf numFmtId="164" fontId="5" fillId="5" borderId="10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6" borderId="7" xfId="0" applyFont="1" applyFill="1" applyBorder="1"/>
    <xf numFmtId="0" fontId="5" fillId="5" borderId="5" xfId="0" applyFont="1" applyFill="1" applyBorder="1"/>
    <xf numFmtId="0" fontId="12" fillId="5" borderId="1" xfId="1" applyFill="1" applyBorder="1"/>
    <xf numFmtId="0" fontId="0" fillId="6" borderId="7" xfId="0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3" borderId="13" xfId="0" applyFont="1" applyFill="1" applyBorder="1" applyAlignment="1">
      <alignment horizontal="center"/>
    </xf>
    <xf numFmtId="0" fontId="3" fillId="6" borderId="12" xfId="0" applyFont="1" applyFill="1" applyBorder="1"/>
    <xf numFmtId="0" fontId="3" fillId="6" borderId="14" xfId="0" applyFont="1" applyFill="1" applyBorder="1"/>
    <xf numFmtId="0" fontId="1" fillId="5" borderId="15" xfId="0" applyFont="1" applyFill="1" applyBorder="1"/>
    <xf numFmtId="0" fontId="1" fillId="5" borderId="7" xfId="0" applyFont="1" applyFill="1" applyBorder="1"/>
    <xf numFmtId="0" fontId="1" fillId="7" borderId="7" xfId="0" applyFont="1" applyFill="1" applyBorder="1"/>
    <xf numFmtId="0" fontId="1" fillId="5" borderId="16" xfId="0" applyFont="1" applyFill="1" applyBorder="1"/>
    <xf numFmtId="0" fontId="1" fillId="5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7" xfId="0" applyFont="1" applyFill="1" applyBorder="1"/>
    <xf numFmtId="164" fontId="1" fillId="5" borderId="7" xfId="0" applyNumberFormat="1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/>
    <xf numFmtId="0" fontId="1" fillId="5" borderId="18" xfId="0" applyFont="1" applyFill="1" applyBorder="1"/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/>
    <xf numFmtId="0" fontId="1" fillId="5" borderId="7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center"/>
    </xf>
    <xf numFmtId="0" fontId="9" fillId="5" borderId="7" xfId="0" applyFont="1" applyFill="1" applyBorder="1"/>
    <xf numFmtId="0" fontId="9" fillId="5" borderId="7" xfId="0" applyFont="1" applyFill="1" applyBorder="1" applyAlignment="1">
      <alignment horizontal="center"/>
    </xf>
    <xf numFmtId="0" fontId="5" fillId="5" borderId="7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14" xfId="0" applyFont="1" applyFill="1" applyBorder="1"/>
    <xf numFmtId="0" fontId="2" fillId="11" borderId="7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3" fillId="6" borderId="7" xfId="0" applyFont="1" applyFill="1" applyBorder="1"/>
    <xf numFmtId="0" fontId="5" fillId="5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0" borderId="7" xfId="0" applyFont="1" applyBorder="1"/>
    <xf numFmtId="0" fontId="8" fillId="10" borderId="20" xfId="0" applyFont="1" applyFill="1" applyBorder="1" applyAlignment="1">
      <alignment horizontal="center"/>
    </xf>
    <xf numFmtId="0" fontId="3" fillId="9" borderId="9" xfId="0" applyFont="1" applyFill="1" applyBorder="1"/>
    <xf numFmtId="0" fontId="3" fillId="9" borderId="21" xfId="0" applyFont="1" applyFill="1" applyBorder="1"/>
    <xf numFmtId="0" fontId="5" fillId="5" borderId="2" xfId="0" applyFont="1" applyFill="1" applyBorder="1" applyAlignment="1">
      <alignment horizontal="center"/>
    </xf>
    <xf numFmtId="0" fontId="3" fillId="6" borderId="3" xfId="0" applyFont="1" applyFill="1" applyBorder="1"/>
    <xf numFmtId="0" fontId="3" fillId="6" borderId="4" xfId="0" applyFont="1" applyFill="1" applyBorder="1"/>
    <xf numFmtId="0" fontId="4" fillId="8" borderId="2" xfId="0" applyFont="1" applyFill="1" applyBorder="1" applyAlignment="1">
      <alignment horizontal="center"/>
    </xf>
    <xf numFmtId="0" fontId="3" fillId="9" borderId="3" xfId="0" applyFont="1" applyFill="1" applyBorder="1"/>
    <xf numFmtId="0" fontId="3" fillId="9" borderId="4" xfId="0" applyFont="1" applyFill="1" applyBorder="1"/>
    <xf numFmtId="0" fontId="6" fillId="5" borderId="7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1" fillId="5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C6D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45720</xdr:colOff>
      <xdr:row>0</xdr:row>
      <xdr:rowOff>53340</xdr:rowOff>
    </xdr:from>
    <xdr:to>
      <xdr:col>19</xdr:col>
      <xdr:colOff>83820</xdr:colOff>
      <xdr:row>1</xdr:row>
      <xdr:rowOff>183783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4B3DB3-A6E6-4D7B-B511-AF1BA48CC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4700" y="53340"/>
          <a:ext cx="982980" cy="29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K13" sqref="K13"/>
    </sheetView>
  </sheetViews>
  <sheetFormatPr defaultColWidth="14.44140625" defaultRowHeight="15" customHeight="1" x14ac:dyDescent="0.3"/>
  <cols>
    <col min="1" max="1" width="0.5546875" customWidth="1"/>
    <col min="2" max="2" width="1.109375" customWidth="1"/>
    <col min="3" max="3" width="5.33203125" customWidth="1"/>
    <col min="4" max="4" width="24.6640625" customWidth="1"/>
    <col min="5" max="5" width="6.109375" customWidth="1"/>
    <col min="6" max="6" width="9.109375" customWidth="1"/>
    <col min="7" max="7" width="12" customWidth="1"/>
    <col min="8" max="8" width="12.33203125" customWidth="1"/>
    <col min="9" max="9" width="2" customWidth="1"/>
    <col min="10" max="10" width="2.109375" customWidth="1"/>
    <col min="11" max="11" width="38.33203125" customWidth="1"/>
    <col min="12" max="12" width="9.5546875" customWidth="1"/>
    <col min="13" max="13" width="10.6640625" customWidth="1"/>
    <col min="14" max="14" width="6.88671875" customWidth="1"/>
    <col min="15" max="15" width="4.5546875" customWidth="1"/>
    <col min="16" max="16" width="12.44140625" customWidth="1"/>
    <col min="17" max="17" width="1" customWidth="1"/>
    <col min="18" max="18" width="4.6640625" customWidth="1"/>
    <col min="19" max="19" width="9.109375" customWidth="1"/>
    <col min="20" max="20" width="1.5546875" customWidth="1"/>
    <col min="21" max="21" width="9.109375" customWidth="1"/>
    <col min="22" max="22" width="1.5546875" customWidth="1"/>
    <col min="23" max="23" width="17.88671875" customWidth="1"/>
    <col min="24" max="24" width="1.5546875" customWidth="1"/>
    <col min="25" max="25" width="9.109375" hidden="1" customWidth="1"/>
    <col min="26" max="26" width="3.88671875" hidden="1" customWidth="1"/>
    <col min="27" max="27" width="27.33203125" hidden="1" customWidth="1"/>
    <col min="28" max="28" width="5.33203125" hidden="1" customWidth="1"/>
    <col min="29" max="29" width="5.6640625" hidden="1" customWidth="1"/>
    <col min="30" max="30" width="8" hidden="1" customWidth="1"/>
    <col min="31" max="31" width="4.88671875" hidden="1" customWidth="1"/>
    <col min="32" max="36" width="9.109375" hidden="1" customWidth="1"/>
  </cols>
  <sheetData>
    <row r="1" spans="1:36" ht="13.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10"/>
      <c r="M1" s="8"/>
      <c r="N1" s="8"/>
      <c r="O1" s="8"/>
      <c r="P1" s="8"/>
      <c r="Q1" s="8"/>
      <c r="R1" s="8"/>
      <c r="S1" s="8"/>
      <c r="T1" s="8"/>
      <c r="U1" s="16" t="s">
        <v>63</v>
      </c>
      <c r="V1" s="8"/>
      <c r="W1" s="8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8" customHeight="1" x14ac:dyDescent="0.3">
      <c r="A2" s="8"/>
      <c r="B2" s="8"/>
      <c r="C2" s="43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14"/>
      <c r="S2" s="8"/>
      <c r="T2" s="8"/>
      <c r="U2" s="8" t="s">
        <v>64</v>
      </c>
      <c r="V2" s="8"/>
      <c r="W2" s="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1.25" customHeight="1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10"/>
      <c r="M3" s="8"/>
      <c r="N3" s="14"/>
      <c r="O3" s="17"/>
      <c r="P3" s="17"/>
      <c r="Q3" s="17"/>
      <c r="R3" s="14"/>
      <c r="S3" s="8"/>
      <c r="T3" s="8"/>
      <c r="U3" s="8"/>
      <c r="V3" s="8"/>
      <c r="W3" s="8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3">
      <c r="A4" s="8"/>
      <c r="B4" s="8"/>
      <c r="C4" s="58" t="s">
        <v>1</v>
      </c>
      <c r="D4" s="59"/>
      <c r="E4" s="59"/>
      <c r="F4" s="59"/>
      <c r="G4" s="59"/>
      <c r="H4" s="60"/>
      <c r="I4" s="10"/>
      <c r="J4" s="18"/>
      <c r="K4" s="19" t="s">
        <v>2</v>
      </c>
      <c r="L4" s="20">
        <v>24</v>
      </c>
      <c r="M4" s="19" t="s">
        <v>3</v>
      </c>
      <c r="N4" s="21"/>
      <c r="O4" s="21"/>
      <c r="P4" s="21"/>
      <c r="Q4" s="22"/>
      <c r="R4" s="14"/>
      <c r="S4" s="8"/>
      <c r="T4" s="8"/>
      <c r="U4" s="8"/>
      <c r="V4" s="8"/>
      <c r="W4" s="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6" customHeight="1" x14ac:dyDescent="0.3">
      <c r="A5" s="8"/>
      <c r="B5" s="8"/>
      <c r="C5" s="10"/>
      <c r="D5" s="10"/>
      <c r="E5" s="10"/>
      <c r="F5" s="10"/>
      <c r="G5" s="10"/>
      <c r="H5" s="10"/>
      <c r="I5" s="10"/>
      <c r="J5" s="23"/>
      <c r="K5" s="24"/>
      <c r="L5" s="25"/>
      <c r="M5" s="24"/>
      <c r="N5" s="24"/>
      <c r="O5" s="24"/>
      <c r="P5" s="24"/>
      <c r="Q5" s="26"/>
      <c r="R5" s="8"/>
      <c r="S5" s="8"/>
      <c r="T5" s="8"/>
      <c r="U5" s="8"/>
      <c r="V5" s="8"/>
      <c r="W5" s="8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2.75" customHeight="1" x14ac:dyDescent="0.3">
      <c r="A6" s="8"/>
      <c r="B6" s="8"/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9</v>
      </c>
      <c r="I6" s="8"/>
      <c r="J6" s="23"/>
      <c r="K6" s="61" t="s">
        <v>10</v>
      </c>
      <c r="L6" s="62">
        <v>0.6</v>
      </c>
      <c r="M6" s="64" t="s">
        <v>11</v>
      </c>
      <c r="N6" s="24"/>
      <c r="O6" s="24"/>
      <c r="P6" s="24"/>
      <c r="Q6" s="26"/>
      <c r="R6" s="8"/>
      <c r="S6" s="8"/>
      <c r="T6" s="8"/>
      <c r="U6" s="8"/>
      <c r="V6" s="8"/>
      <c r="W6" s="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2.75" customHeight="1" x14ac:dyDescent="0.3">
      <c r="A7" s="8"/>
      <c r="B7" s="8"/>
      <c r="C7" s="2">
        <v>1</v>
      </c>
      <c r="D7" s="2"/>
      <c r="E7" s="2">
        <v>2</v>
      </c>
      <c r="F7" s="2">
        <v>75</v>
      </c>
      <c r="G7" s="2">
        <v>12</v>
      </c>
      <c r="H7" s="3">
        <f t="shared" ref="H7:H44" si="0">E7*F7*G7</f>
        <v>1800</v>
      </c>
      <c r="I7" s="13">
        <f t="shared" ref="I7:I44" si="1">F7*E7</f>
        <v>150</v>
      </c>
      <c r="J7" s="23"/>
      <c r="K7" s="48"/>
      <c r="L7" s="63"/>
      <c r="M7" s="48"/>
      <c r="N7" s="24"/>
      <c r="O7" s="24"/>
      <c r="P7" s="24"/>
      <c r="Q7" s="26"/>
      <c r="R7" s="8"/>
      <c r="S7" s="8"/>
      <c r="T7" s="8"/>
      <c r="U7" s="8"/>
      <c r="V7" s="8"/>
      <c r="W7" s="8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2.75" customHeight="1" x14ac:dyDescent="0.3">
      <c r="A8" s="8"/>
      <c r="B8" s="8"/>
      <c r="C8" s="2"/>
      <c r="D8" s="2"/>
      <c r="E8" s="2">
        <v>3</v>
      </c>
      <c r="F8" s="2">
        <v>20</v>
      </c>
      <c r="G8" s="2">
        <v>6</v>
      </c>
      <c r="H8" s="3">
        <f t="shared" si="0"/>
        <v>360</v>
      </c>
      <c r="I8" s="13">
        <f t="shared" si="1"/>
        <v>60</v>
      </c>
      <c r="J8" s="23"/>
      <c r="K8" s="24" t="s">
        <v>12</v>
      </c>
      <c r="L8" s="2">
        <v>15</v>
      </c>
      <c r="M8" s="27" t="s">
        <v>13</v>
      </c>
      <c r="N8" s="28">
        <f t="shared" ref="N8:N11" si="2">L8/100</f>
        <v>0.15</v>
      </c>
      <c r="O8" s="24"/>
      <c r="P8" s="24"/>
      <c r="Q8" s="26"/>
      <c r="R8" s="8"/>
      <c r="S8" s="8"/>
      <c r="T8" s="8"/>
      <c r="U8" s="8"/>
      <c r="V8" s="8"/>
      <c r="W8" s="8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2.75" customHeight="1" x14ac:dyDescent="0.3">
      <c r="A9" s="8"/>
      <c r="B9" s="8"/>
      <c r="C9" s="2"/>
      <c r="D9" s="2"/>
      <c r="E9" s="2">
        <v>1</v>
      </c>
      <c r="F9" s="2">
        <v>300</v>
      </c>
      <c r="G9" s="2">
        <v>8</v>
      </c>
      <c r="H9" s="3">
        <f t="shared" si="0"/>
        <v>2400</v>
      </c>
      <c r="I9" s="13">
        <f t="shared" si="1"/>
        <v>300</v>
      </c>
      <c r="J9" s="23"/>
      <c r="K9" s="24" t="s">
        <v>14</v>
      </c>
      <c r="L9" s="2">
        <v>90</v>
      </c>
      <c r="M9" s="27" t="s">
        <v>13</v>
      </c>
      <c r="N9" s="28">
        <f t="shared" si="2"/>
        <v>0.9</v>
      </c>
      <c r="O9" s="24"/>
      <c r="P9" s="24"/>
      <c r="Q9" s="26"/>
      <c r="R9" s="8"/>
      <c r="S9" s="8"/>
      <c r="T9" s="8"/>
      <c r="U9" s="8"/>
      <c r="V9" s="8"/>
      <c r="W9" s="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 x14ac:dyDescent="0.3">
      <c r="A10" s="8"/>
      <c r="B10" s="8"/>
      <c r="C10" s="2"/>
      <c r="D10" s="2"/>
      <c r="E10" s="2"/>
      <c r="F10" s="2"/>
      <c r="G10" s="2"/>
      <c r="H10" s="3">
        <f t="shared" si="0"/>
        <v>0</v>
      </c>
      <c r="I10" s="13">
        <f t="shared" si="1"/>
        <v>0</v>
      </c>
      <c r="J10" s="23"/>
      <c r="K10" s="24" t="s">
        <v>15</v>
      </c>
      <c r="L10" s="2">
        <v>15</v>
      </c>
      <c r="M10" s="27" t="s">
        <v>13</v>
      </c>
      <c r="N10" s="28">
        <f t="shared" si="2"/>
        <v>0.15</v>
      </c>
      <c r="O10" s="24"/>
      <c r="P10" s="24"/>
      <c r="Q10" s="26"/>
      <c r="R10" s="8"/>
      <c r="S10" s="8"/>
      <c r="T10" s="8"/>
      <c r="U10" s="8"/>
      <c r="V10" s="8"/>
      <c r="W10" s="8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2.75" customHeight="1" x14ac:dyDescent="0.3">
      <c r="A11" s="8"/>
      <c r="B11" s="8"/>
      <c r="C11" s="2"/>
      <c r="D11" s="2"/>
      <c r="E11" s="2"/>
      <c r="F11" s="2"/>
      <c r="G11" s="2"/>
      <c r="H11" s="3">
        <f t="shared" si="0"/>
        <v>0</v>
      </c>
      <c r="I11" s="13">
        <f t="shared" si="1"/>
        <v>0</v>
      </c>
      <c r="J11" s="23"/>
      <c r="K11" s="24" t="s">
        <v>16</v>
      </c>
      <c r="L11" s="2">
        <v>80</v>
      </c>
      <c r="M11" s="27" t="s">
        <v>13</v>
      </c>
      <c r="N11" s="28">
        <f t="shared" si="2"/>
        <v>0.8</v>
      </c>
      <c r="O11" s="24"/>
      <c r="P11" s="24"/>
      <c r="Q11" s="26"/>
      <c r="R11" s="8"/>
      <c r="S11" s="8"/>
      <c r="T11" s="8"/>
      <c r="U11" s="8"/>
      <c r="V11" s="8"/>
      <c r="W11" s="8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7.25" customHeight="1" x14ac:dyDescent="0.3">
      <c r="A12" s="8"/>
      <c r="B12" s="8"/>
      <c r="C12" s="2"/>
      <c r="D12" s="2"/>
      <c r="E12" s="2"/>
      <c r="F12" s="2"/>
      <c r="G12" s="2"/>
      <c r="H12" s="3">
        <f t="shared" si="0"/>
        <v>0</v>
      </c>
      <c r="I12" s="13">
        <f t="shared" si="1"/>
        <v>0</v>
      </c>
      <c r="J12" s="23"/>
      <c r="K12" s="24" t="s">
        <v>17</v>
      </c>
      <c r="L12" s="2">
        <v>45</v>
      </c>
      <c r="M12" s="24"/>
      <c r="N12" s="29"/>
      <c r="O12" s="24"/>
      <c r="P12" s="24"/>
      <c r="Q12" s="26"/>
      <c r="R12" s="8"/>
      <c r="S12" s="8"/>
      <c r="T12" s="8"/>
      <c r="U12" s="8"/>
      <c r="V12" s="8"/>
      <c r="W12" s="8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2.75" customHeight="1" x14ac:dyDescent="0.3">
      <c r="A13" s="8"/>
      <c r="B13" s="8"/>
      <c r="C13" s="2"/>
      <c r="D13" s="2"/>
      <c r="E13" s="2"/>
      <c r="F13" s="2"/>
      <c r="G13" s="2"/>
      <c r="H13" s="3">
        <f t="shared" si="0"/>
        <v>0</v>
      </c>
      <c r="I13" s="13">
        <f t="shared" si="1"/>
        <v>0</v>
      </c>
      <c r="J13" s="23"/>
      <c r="K13" s="24" t="s">
        <v>18</v>
      </c>
      <c r="L13" s="30">
        <f>IF(L4="","",L42)</f>
        <v>209.39583333333326</v>
      </c>
      <c r="M13" s="24" t="s">
        <v>19</v>
      </c>
      <c r="N13" s="27"/>
      <c r="O13" s="27"/>
      <c r="P13" s="24"/>
      <c r="Q13" s="26"/>
      <c r="R13" s="8"/>
      <c r="S13" s="8"/>
      <c r="T13" s="8"/>
      <c r="U13" s="8"/>
      <c r="V13" s="8"/>
      <c r="W13" s="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4"/>
      <c r="AI13" s="4"/>
      <c r="AJ13" s="4"/>
    </row>
    <row r="14" spans="1:36" ht="12.75" customHeight="1" x14ac:dyDescent="0.3">
      <c r="A14" s="8"/>
      <c r="B14" s="8"/>
      <c r="C14" s="2"/>
      <c r="D14" s="2"/>
      <c r="E14" s="2"/>
      <c r="F14" s="2"/>
      <c r="G14" s="2"/>
      <c r="H14" s="3">
        <f t="shared" si="0"/>
        <v>0</v>
      </c>
      <c r="I14" s="13">
        <f t="shared" si="1"/>
        <v>0</v>
      </c>
      <c r="J14" s="23"/>
      <c r="K14" s="24"/>
      <c r="L14" s="27"/>
      <c r="M14" s="24"/>
      <c r="N14" s="27"/>
      <c r="O14" s="27"/>
      <c r="P14" s="24"/>
      <c r="Q14" s="31">
        <f>ROUND((L13/L15),0)</f>
        <v>1</v>
      </c>
      <c r="R14" s="8"/>
      <c r="S14" s="8"/>
      <c r="T14" s="8"/>
      <c r="U14" s="8"/>
      <c r="V14" s="8"/>
      <c r="W14" s="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4"/>
      <c r="AI14" s="4"/>
      <c r="AJ14" s="4"/>
    </row>
    <row r="15" spans="1:36" ht="12.75" customHeight="1" x14ac:dyDescent="0.3">
      <c r="A15" s="8"/>
      <c r="B15" s="8"/>
      <c r="C15" s="2"/>
      <c r="D15" s="2"/>
      <c r="E15" s="2"/>
      <c r="F15" s="2"/>
      <c r="G15" s="2"/>
      <c r="H15" s="3">
        <f t="shared" si="0"/>
        <v>0</v>
      </c>
      <c r="I15" s="13">
        <f t="shared" si="1"/>
        <v>0</v>
      </c>
      <c r="J15" s="23"/>
      <c r="K15" s="24" t="s">
        <v>20</v>
      </c>
      <c r="L15" s="2">
        <v>150</v>
      </c>
      <c r="M15" s="24" t="s">
        <v>21</v>
      </c>
      <c r="N15" s="2">
        <v>12</v>
      </c>
      <c r="O15" s="27" t="s">
        <v>22</v>
      </c>
      <c r="P15" s="24"/>
      <c r="Q15" s="31">
        <f>L4/N15</f>
        <v>2</v>
      </c>
      <c r="R15" s="8"/>
      <c r="S15" s="9">
        <f>MOD(L4,N15)</f>
        <v>0</v>
      </c>
      <c r="T15" s="8"/>
      <c r="U15" s="8"/>
      <c r="V15" s="8"/>
      <c r="W15" s="8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4"/>
      <c r="AI15" s="4"/>
      <c r="AJ15" s="4"/>
    </row>
    <row r="16" spans="1:36" ht="17.25" customHeight="1" x14ac:dyDescent="0.3">
      <c r="A16" s="8"/>
      <c r="B16" s="8"/>
      <c r="C16" s="2"/>
      <c r="D16" s="2"/>
      <c r="E16" s="2"/>
      <c r="F16" s="2"/>
      <c r="G16" s="2"/>
      <c r="H16" s="3">
        <f t="shared" si="0"/>
        <v>0</v>
      </c>
      <c r="I16" s="13">
        <f t="shared" si="1"/>
        <v>0</v>
      </c>
      <c r="J16" s="23"/>
      <c r="K16" s="24" t="s">
        <v>23</v>
      </c>
      <c r="L16" s="27"/>
      <c r="M16" s="24"/>
      <c r="N16" s="24"/>
      <c r="O16" s="27"/>
      <c r="P16" s="24"/>
      <c r="Q16" s="31"/>
      <c r="R16" s="8"/>
      <c r="S16" s="8"/>
      <c r="T16" s="8"/>
      <c r="U16" s="8"/>
      <c r="V16" s="8"/>
      <c r="W16" s="8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"/>
      <c r="AI16" s="4"/>
      <c r="AJ16" s="4"/>
    </row>
    <row r="17" spans="1:36" ht="13.5" customHeight="1" thickBot="1" x14ac:dyDescent="0.35">
      <c r="A17" s="8"/>
      <c r="B17" s="8"/>
      <c r="C17" s="2"/>
      <c r="D17" s="2"/>
      <c r="E17" s="2"/>
      <c r="F17" s="2"/>
      <c r="G17" s="2"/>
      <c r="H17" s="3">
        <f t="shared" si="0"/>
        <v>0</v>
      </c>
      <c r="I17" s="13">
        <f t="shared" si="1"/>
        <v>0</v>
      </c>
      <c r="J17" s="32"/>
      <c r="K17" s="33"/>
      <c r="L17" s="34"/>
      <c r="M17" s="33"/>
      <c r="N17" s="33"/>
      <c r="O17" s="34"/>
      <c r="P17" s="33"/>
      <c r="Q17" s="35"/>
      <c r="R17" s="8"/>
      <c r="S17" s="8"/>
      <c r="T17" s="8"/>
      <c r="U17" s="8"/>
      <c r="V17" s="8"/>
      <c r="W17" s="8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"/>
      <c r="AI17" s="4"/>
      <c r="AJ17" s="4"/>
    </row>
    <row r="18" spans="1:36" ht="15" customHeight="1" x14ac:dyDescent="0.3">
      <c r="A18" s="8"/>
      <c r="B18" s="8"/>
      <c r="C18" s="2"/>
      <c r="D18" s="2"/>
      <c r="E18" s="2"/>
      <c r="F18" s="2"/>
      <c r="G18" s="2"/>
      <c r="H18" s="3">
        <f t="shared" si="0"/>
        <v>0</v>
      </c>
      <c r="I18" s="13">
        <f t="shared" si="1"/>
        <v>0</v>
      </c>
      <c r="J18" s="44" t="s">
        <v>24</v>
      </c>
      <c r="K18" s="45"/>
      <c r="L18" s="45"/>
      <c r="M18" s="45"/>
      <c r="N18" s="45"/>
      <c r="O18" s="45"/>
      <c r="P18" s="45"/>
      <c r="Q18" s="46"/>
      <c r="R18" s="8"/>
      <c r="S18" s="8"/>
      <c r="T18" s="8"/>
      <c r="U18" s="8"/>
      <c r="V18" s="8"/>
      <c r="W18" s="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4"/>
      <c r="AI18" s="4"/>
      <c r="AJ18" s="4"/>
    </row>
    <row r="19" spans="1:36" ht="12.75" customHeight="1" x14ac:dyDescent="0.3">
      <c r="A19" s="8"/>
      <c r="B19" s="8"/>
      <c r="C19" s="2"/>
      <c r="D19" s="2"/>
      <c r="E19" s="2"/>
      <c r="F19" s="2"/>
      <c r="G19" s="2"/>
      <c r="H19" s="3">
        <f t="shared" si="0"/>
        <v>0</v>
      </c>
      <c r="I19" s="13">
        <f t="shared" si="1"/>
        <v>0</v>
      </c>
      <c r="J19" s="23"/>
      <c r="K19" s="36" t="s">
        <v>25</v>
      </c>
      <c r="L19" s="47" t="str">
        <f>IF(AI39=1,"Series Connection",IF(AI39=2,"Parral Connection","Series-Parral Connection"))</f>
        <v>Series-Parral Connection</v>
      </c>
      <c r="M19" s="48"/>
      <c r="N19" s="48"/>
      <c r="O19" s="27"/>
      <c r="P19" s="24"/>
      <c r="Q19" s="26"/>
      <c r="R19" s="8"/>
      <c r="S19" s="8"/>
      <c r="T19" s="8"/>
      <c r="U19" s="8"/>
      <c r="V19" s="8"/>
      <c r="W19" s="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4"/>
      <c r="AI19" s="4"/>
      <c r="AJ19" s="4"/>
    </row>
    <row r="20" spans="1:36" ht="12.75" customHeight="1" x14ac:dyDescent="0.3">
      <c r="A20" s="8"/>
      <c r="B20" s="8"/>
      <c r="C20" s="2"/>
      <c r="D20" s="2"/>
      <c r="E20" s="2"/>
      <c r="F20" s="2"/>
      <c r="G20" s="2"/>
      <c r="H20" s="3">
        <f t="shared" si="0"/>
        <v>0</v>
      </c>
      <c r="I20" s="13">
        <f t="shared" si="1"/>
        <v>0</v>
      </c>
      <c r="J20" s="23"/>
      <c r="K20" s="36" t="s">
        <v>26</v>
      </c>
      <c r="L20" s="49" t="str">
        <f>IF(L4="","",VLOOKUP(AI39,Z41:AE43,2))</f>
        <v>O.K</v>
      </c>
      <c r="M20" s="48"/>
      <c r="N20" s="48"/>
      <c r="O20" s="48"/>
      <c r="P20" s="48"/>
      <c r="Q20" s="26"/>
      <c r="R20" s="8"/>
      <c r="S20" s="8"/>
      <c r="T20" s="8"/>
      <c r="U20" s="8"/>
      <c r="V20" s="8"/>
      <c r="W20" s="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4"/>
      <c r="AI20" s="4"/>
      <c r="AJ20" s="4"/>
    </row>
    <row r="21" spans="1:36" ht="12.75" customHeight="1" x14ac:dyDescent="0.3">
      <c r="A21" s="8"/>
      <c r="B21" s="8"/>
      <c r="C21" s="2"/>
      <c r="D21" s="2"/>
      <c r="E21" s="2"/>
      <c r="F21" s="2"/>
      <c r="G21" s="2"/>
      <c r="H21" s="3">
        <f t="shared" si="0"/>
        <v>0</v>
      </c>
      <c r="I21" s="13">
        <f t="shared" si="1"/>
        <v>0</v>
      </c>
      <c r="J21" s="23"/>
      <c r="K21" s="36" t="s">
        <v>27</v>
      </c>
      <c r="L21" s="50" t="str">
        <f>IF(N15="","",IF(S15=0,"O.K","Select other Battery Voltage instend of "&amp;N15&amp;"Volts"))</f>
        <v>O.K</v>
      </c>
      <c r="M21" s="51"/>
      <c r="N21" s="51"/>
      <c r="O21" s="51"/>
      <c r="P21" s="51"/>
      <c r="Q21" s="26"/>
      <c r="R21" s="8"/>
      <c r="S21" s="8"/>
      <c r="T21" s="8"/>
      <c r="U21" s="8"/>
      <c r="V21" s="8"/>
      <c r="W21" s="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4"/>
      <c r="AI21" s="4"/>
      <c r="AJ21" s="4"/>
    </row>
    <row r="22" spans="1:36" ht="12.75" customHeight="1" x14ac:dyDescent="0.3">
      <c r="A22" s="8"/>
      <c r="B22" s="8"/>
      <c r="C22" s="2"/>
      <c r="D22" s="2"/>
      <c r="E22" s="2"/>
      <c r="F22" s="2"/>
      <c r="G22" s="2"/>
      <c r="H22" s="3">
        <f t="shared" si="0"/>
        <v>0</v>
      </c>
      <c r="I22" s="13">
        <f t="shared" si="1"/>
        <v>0</v>
      </c>
      <c r="J22" s="23"/>
      <c r="K22" s="24" t="s">
        <v>28</v>
      </c>
      <c r="L22" s="27">
        <f>IF(N15="","",VLOOKUP(AI$39,Z$41:AF$43,4))</f>
        <v>1</v>
      </c>
      <c r="M22" s="24" t="s">
        <v>29</v>
      </c>
      <c r="N22" s="24"/>
      <c r="O22" s="24"/>
      <c r="P22" s="24"/>
      <c r="Q22" s="26"/>
      <c r="R22" s="8"/>
      <c r="S22" s="8"/>
      <c r="T22" s="8"/>
      <c r="U22" s="8"/>
      <c r="V22" s="8"/>
      <c r="W22" s="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4"/>
      <c r="AI22" s="4"/>
      <c r="AJ22" s="4"/>
    </row>
    <row r="23" spans="1:36" ht="12.75" customHeight="1" x14ac:dyDescent="0.3">
      <c r="A23" s="8"/>
      <c r="B23" s="8"/>
      <c r="C23" s="2"/>
      <c r="D23" s="2"/>
      <c r="E23" s="2"/>
      <c r="F23" s="2"/>
      <c r="G23" s="2"/>
      <c r="H23" s="3">
        <f t="shared" si="0"/>
        <v>0</v>
      </c>
      <c r="I23" s="13">
        <f t="shared" si="1"/>
        <v>0</v>
      </c>
      <c r="J23" s="23"/>
      <c r="K23" s="24" t="s">
        <v>30</v>
      </c>
      <c r="L23" s="27">
        <f>IF(N15="","",IF(L20="O.K",L15,""))</f>
        <v>150</v>
      </c>
      <c r="M23" s="24" t="s">
        <v>19</v>
      </c>
      <c r="N23" s="24"/>
      <c r="O23" s="24"/>
      <c r="P23" s="24"/>
      <c r="Q23" s="26"/>
      <c r="R23" s="8"/>
      <c r="S23" s="8"/>
      <c r="T23" s="8"/>
      <c r="U23" s="8"/>
      <c r="V23" s="8"/>
      <c r="W23" s="8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31</v>
      </c>
      <c r="AI23" s="1" t="s">
        <v>32</v>
      </c>
      <c r="AJ23" s="1"/>
    </row>
    <row r="24" spans="1:36" ht="12.75" customHeight="1" x14ac:dyDescent="0.3">
      <c r="A24" s="8"/>
      <c r="B24" s="8"/>
      <c r="C24" s="2"/>
      <c r="D24" s="2"/>
      <c r="E24" s="2"/>
      <c r="F24" s="2"/>
      <c r="G24" s="2"/>
      <c r="H24" s="3">
        <f t="shared" si="0"/>
        <v>0</v>
      </c>
      <c r="I24" s="13">
        <f t="shared" si="1"/>
        <v>0</v>
      </c>
      <c r="J24" s="23"/>
      <c r="K24" s="24" t="s">
        <v>33</v>
      </c>
      <c r="L24" s="27">
        <f>IF(N15="","",IF(S15=0,VLOOKUP(AI$39,Z$41:AF$43,6),""))</f>
        <v>2</v>
      </c>
      <c r="M24" s="24" t="s">
        <v>29</v>
      </c>
      <c r="N24" s="24"/>
      <c r="O24" s="24"/>
      <c r="P24" s="24"/>
      <c r="Q24" s="26"/>
      <c r="R24" s="8"/>
      <c r="S24" s="8"/>
      <c r="T24" s="8"/>
      <c r="U24" s="8"/>
      <c r="V24" s="8"/>
      <c r="W24" s="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4">
        <v>6.7</v>
      </c>
      <c r="AI24" s="4">
        <v>20</v>
      </c>
      <c r="AJ24" s="4">
        <v>1.59</v>
      </c>
    </row>
    <row r="25" spans="1:36" ht="12.75" customHeight="1" x14ac:dyDescent="0.3">
      <c r="A25" s="8"/>
      <c r="B25" s="8"/>
      <c r="C25" s="2"/>
      <c r="D25" s="2"/>
      <c r="E25" s="2"/>
      <c r="F25" s="2"/>
      <c r="G25" s="2"/>
      <c r="H25" s="3">
        <f t="shared" si="0"/>
        <v>0</v>
      </c>
      <c r="I25" s="13">
        <f t="shared" si="1"/>
        <v>0</v>
      </c>
      <c r="J25" s="23"/>
      <c r="K25" s="24"/>
      <c r="L25" s="27"/>
      <c r="M25" s="24"/>
      <c r="N25" s="24"/>
      <c r="O25" s="24"/>
      <c r="P25" s="24"/>
      <c r="Q25" s="26"/>
      <c r="R25" s="8"/>
      <c r="S25" s="8"/>
      <c r="T25" s="8"/>
      <c r="U25" s="8"/>
      <c r="V25" s="8"/>
      <c r="W25" s="8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4">
        <v>1.1000000000000001</v>
      </c>
      <c r="AI25" s="4">
        <v>30</v>
      </c>
      <c r="AJ25" s="4">
        <v>1.4</v>
      </c>
    </row>
    <row r="26" spans="1:36" ht="12.75" customHeight="1" x14ac:dyDescent="0.3">
      <c r="A26" s="8"/>
      <c r="B26" s="8"/>
      <c r="C26" s="2"/>
      <c r="D26" s="2"/>
      <c r="E26" s="2"/>
      <c r="F26" s="2"/>
      <c r="G26" s="2"/>
      <c r="H26" s="3">
        <f t="shared" si="0"/>
        <v>0</v>
      </c>
      <c r="I26" s="13">
        <f t="shared" si="1"/>
        <v>0</v>
      </c>
      <c r="J26" s="23"/>
      <c r="K26" s="38" t="s">
        <v>34</v>
      </c>
      <c r="L26" s="39">
        <f>IF(L4="","",VLOOKUP(AI$39,Z$41:AF$43,3))</f>
        <v>150</v>
      </c>
      <c r="M26" s="38" t="s">
        <v>35</v>
      </c>
      <c r="N26" s="27"/>
      <c r="O26" s="24"/>
      <c r="P26" s="24"/>
      <c r="Q26" s="26"/>
      <c r="R26" s="8"/>
      <c r="S26" s="8"/>
      <c r="T26" s="8"/>
      <c r="U26" s="8"/>
      <c r="V26" s="8"/>
      <c r="W26" s="8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4">
        <v>4</v>
      </c>
      <c r="AI26" s="4">
        <v>40</v>
      </c>
      <c r="AJ26" s="4">
        <v>1.3</v>
      </c>
    </row>
    <row r="27" spans="1:36" ht="12.75" customHeight="1" x14ac:dyDescent="0.3">
      <c r="A27" s="8"/>
      <c r="B27" s="8"/>
      <c r="C27" s="2"/>
      <c r="D27" s="2"/>
      <c r="E27" s="2"/>
      <c r="F27" s="2"/>
      <c r="G27" s="2"/>
      <c r="H27" s="3">
        <f t="shared" si="0"/>
        <v>0</v>
      </c>
      <c r="I27" s="13">
        <f t="shared" si="1"/>
        <v>0</v>
      </c>
      <c r="J27" s="23"/>
      <c r="K27" s="38" t="s">
        <v>36</v>
      </c>
      <c r="L27" s="39">
        <f>IF(N15="","",VLOOKUP(AI$39,Z$41:AF$43,7))</f>
        <v>2</v>
      </c>
      <c r="M27" s="38" t="s">
        <v>29</v>
      </c>
      <c r="N27" s="24"/>
      <c r="O27" s="24"/>
      <c r="P27" s="24"/>
      <c r="Q27" s="26"/>
      <c r="R27" s="8"/>
      <c r="S27" s="8"/>
      <c r="T27" s="8"/>
      <c r="U27" s="8"/>
      <c r="V27" s="8"/>
      <c r="W27" s="8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4">
        <v>10</v>
      </c>
      <c r="AI27" s="4">
        <v>50</v>
      </c>
      <c r="AJ27" s="4">
        <v>1.19</v>
      </c>
    </row>
    <row r="28" spans="1:36" ht="13.5" customHeight="1" thickBot="1" x14ac:dyDescent="0.35">
      <c r="A28" s="8"/>
      <c r="B28" s="8"/>
      <c r="C28" s="2"/>
      <c r="D28" s="2"/>
      <c r="E28" s="2"/>
      <c r="F28" s="2"/>
      <c r="G28" s="2"/>
      <c r="H28" s="3">
        <f t="shared" si="0"/>
        <v>0</v>
      </c>
      <c r="I28" s="13">
        <f t="shared" si="1"/>
        <v>0</v>
      </c>
      <c r="J28" s="23"/>
      <c r="K28" s="24"/>
      <c r="L28" s="27"/>
      <c r="M28" s="24"/>
      <c r="N28" s="24"/>
      <c r="O28" s="24"/>
      <c r="P28" s="24"/>
      <c r="Q28" s="26"/>
      <c r="R28" s="8"/>
      <c r="S28" s="8"/>
      <c r="T28" s="8"/>
      <c r="U28" s="8"/>
      <c r="V28" s="8"/>
      <c r="W28" s="8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4">
        <v>15.6</v>
      </c>
      <c r="AI28" s="4">
        <v>60</v>
      </c>
      <c r="AJ28" s="4">
        <v>1.1100000000000001</v>
      </c>
    </row>
    <row r="29" spans="1:36" ht="15" customHeight="1" thickTop="1" x14ac:dyDescent="0.3">
      <c r="A29" s="8"/>
      <c r="B29" s="8"/>
      <c r="C29" s="2"/>
      <c r="D29" s="2"/>
      <c r="E29" s="2"/>
      <c r="F29" s="2"/>
      <c r="G29" s="2"/>
      <c r="H29" s="3">
        <f t="shared" si="0"/>
        <v>0</v>
      </c>
      <c r="I29" s="13">
        <f t="shared" si="1"/>
        <v>0</v>
      </c>
      <c r="J29" s="52" t="s">
        <v>37</v>
      </c>
      <c r="K29" s="53"/>
      <c r="L29" s="53"/>
      <c r="M29" s="53"/>
      <c r="N29" s="53"/>
      <c r="O29" s="53"/>
      <c r="P29" s="53"/>
      <c r="Q29" s="54"/>
      <c r="R29" s="8"/>
      <c r="S29" s="8"/>
      <c r="T29" s="8"/>
      <c r="U29" s="8"/>
      <c r="V29" s="8"/>
      <c r="W29" s="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4">
        <v>21.2</v>
      </c>
      <c r="AI29" s="4">
        <v>70</v>
      </c>
      <c r="AJ29" s="4">
        <v>1.04</v>
      </c>
    </row>
    <row r="30" spans="1:36" ht="12.75" customHeight="1" x14ac:dyDescent="0.3">
      <c r="A30" s="8"/>
      <c r="B30" s="8"/>
      <c r="C30" s="2"/>
      <c r="D30" s="2"/>
      <c r="E30" s="2"/>
      <c r="F30" s="2"/>
      <c r="G30" s="2"/>
      <c r="H30" s="3">
        <f t="shared" si="0"/>
        <v>0</v>
      </c>
      <c r="I30" s="13">
        <f t="shared" si="1"/>
        <v>0</v>
      </c>
      <c r="J30" s="23"/>
      <c r="K30" s="24" t="s">
        <v>38</v>
      </c>
      <c r="L30" s="2">
        <v>20</v>
      </c>
      <c r="M30" s="24" t="s">
        <v>13</v>
      </c>
      <c r="N30" s="24"/>
      <c r="O30" s="24"/>
      <c r="P30" s="24"/>
      <c r="Q30" s="26"/>
      <c r="R30" s="8"/>
      <c r="S30" s="8"/>
      <c r="T30" s="8"/>
      <c r="U30" s="8"/>
      <c r="V30" s="8"/>
      <c r="W30" s="8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4">
        <v>26.7</v>
      </c>
      <c r="AI30" s="4">
        <v>80</v>
      </c>
      <c r="AJ30" s="4">
        <v>1</v>
      </c>
    </row>
    <row r="31" spans="1:36" ht="12.75" customHeight="1" x14ac:dyDescent="0.3">
      <c r="A31" s="8"/>
      <c r="B31" s="8"/>
      <c r="C31" s="2"/>
      <c r="D31" s="2"/>
      <c r="E31" s="2"/>
      <c r="F31" s="2"/>
      <c r="G31" s="2"/>
      <c r="H31" s="3">
        <f t="shared" si="0"/>
        <v>0</v>
      </c>
      <c r="I31" s="13">
        <f t="shared" si="1"/>
        <v>0</v>
      </c>
      <c r="J31" s="23"/>
      <c r="K31" s="24" t="s">
        <v>39</v>
      </c>
      <c r="L31" s="2">
        <v>80</v>
      </c>
      <c r="M31" s="24" t="s">
        <v>13</v>
      </c>
      <c r="N31" s="24"/>
      <c r="O31" s="24"/>
      <c r="P31" s="24"/>
      <c r="Q31" s="26"/>
      <c r="R31" s="8"/>
      <c r="S31" s="8"/>
      <c r="T31" s="8"/>
      <c r="U31" s="8"/>
      <c r="V31" s="8"/>
      <c r="W31" s="8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4"/>
      <c r="AI31" s="4"/>
      <c r="AJ31" s="4"/>
    </row>
    <row r="32" spans="1:36" ht="12.75" customHeight="1" x14ac:dyDescent="0.3">
      <c r="A32" s="8"/>
      <c r="B32" s="8"/>
      <c r="C32" s="2"/>
      <c r="D32" s="2"/>
      <c r="E32" s="2"/>
      <c r="F32" s="2"/>
      <c r="G32" s="2"/>
      <c r="H32" s="3">
        <f t="shared" si="0"/>
        <v>0</v>
      </c>
      <c r="I32" s="13">
        <f t="shared" si="1"/>
        <v>0</v>
      </c>
      <c r="J32" s="23"/>
      <c r="K32" s="38" t="s">
        <v>40</v>
      </c>
      <c r="L32" s="37">
        <f>IF(L31="","",((I46*(L30/100)+I46))/(L31/100))</f>
        <v>765</v>
      </c>
      <c r="M32" s="40" t="s">
        <v>41</v>
      </c>
      <c r="N32" s="24"/>
      <c r="O32" s="24"/>
      <c r="P32" s="24"/>
      <c r="Q32" s="26"/>
      <c r="R32" s="8"/>
      <c r="S32" s="8"/>
      <c r="T32" s="8"/>
      <c r="U32" s="8"/>
      <c r="V32" s="8"/>
      <c r="W32" s="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4"/>
      <c r="AI32" s="4"/>
      <c r="AJ32" s="4"/>
    </row>
    <row r="33" spans="1:36" ht="13.5" customHeight="1" thickBot="1" x14ac:dyDescent="0.35">
      <c r="A33" s="8"/>
      <c r="B33" s="8"/>
      <c r="C33" s="2"/>
      <c r="D33" s="2"/>
      <c r="E33" s="2"/>
      <c r="F33" s="2"/>
      <c r="G33" s="2"/>
      <c r="H33" s="3">
        <f t="shared" si="0"/>
        <v>0</v>
      </c>
      <c r="I33" s="13">
        <f t="shared" si="1"/>
        <v>0</v>
      </c>
      <c r="J33" s="32"/>
      <c r="K33" s="33"/>
      <c r="L33" s="34"/>
      <c r="M33" s="33"/>
      <c r="N33" s="33"/>
      <c r="O33" s="33"/>
      <c r="P33" s="33"/>
      <c r="Q33" s="35"/>
      <c r="R33" s="8"/>
      <c r="S33" s="8"/>
      <c r="T33" s="8"/>
      <c r="U33" s="8"/>
      <c r="V33" s="8"/>
      <c r="W33" s="8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3.5" customHeight="1" x14ac:dyDescent="0.3">
      <c r="A34" s="8"/>
      <c r="B34" s="8"/>
      <c r="C34" s="2"/>
      <c r="D34" s="2"/>
      <c r="E34" s="2"/>
      <c r="F34" s="2"/>
      <c r="G34" s="2"/>
      <c r="H34" s="3">
        <f t="shared" si="0"/>
        <v>0</v>
      </c>
      <c r="I34" s="13">
        <f t="shared" si="1"/>
        <v>0</v>
      </c>
      <c r="J34" s="18"/>
      <c r="K34" s="19"/>
      <c r="L34" s="41"/>
      <c r="M34" s="19"/>
      <c r="N34" s="19"/>
      <c r="O34" s="19"/>
      <c r="P34" s="19"/>
      <c r="Q34" s="42"/>
      <c r="R34" s="8"/>
      <c r="S34" s="8"/>
      <c r="T34" s="8"/>
      <c r="U34" s="8"/>
      <c r="V34" s="8"/>
      <c r="W34" s="8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3">
      <c r="A35" s="8"/>
      <c r="B35" s="8"/>
      <c r="C35" s="2"/>
      <c r="D35" s="2"/>
      <c r="E35" s="2"/>
      <c r="F35" s="2"/>
      <c r="G35" s="2"/>
      <c r="H35" s="3">
        <f t="shared" si="0"/>
        <v>0</v>
      </c>
      <c r="I35" s="13">
        <f t="shared" si="1"/>
        <v>0</v>
      </c>
      <c r="J35" s="23"/>
      <c r="K35" s="37" t="s">
        <v>42</v>
      </c>
      <c r="L35" s="27"/>
      <c r="M35" s="24"/>
      <c r="N35" s="24"/>
      <c r="O35" s="24"/>
      <c r="P35" s="24"/>
      <c r="Q35" s="26"/>
      <c r="R35" s="8"/>
      <c r="S35" s="8"/>
      <c r="T35" s="8"/>
      <c r="U35" s="8"/>
      <c r="V35" s="8"/>
      <c r="W35" s="8"/>
      <c r="X35" s="1"/>
      <c r="Y35" s="1"/>
      <c r="Z35" s="1"/>
      <c r="AA35" s="1"/>
      <c r="AB35" s="1"/>
      <c r="AC35" s="1" t="s">
        <v>43</v>
      </c>
      <c r="AD35" s="1" t="s">
        <v>44</v>
      </c>
      <c r="AE35" s="1" t="s">
        <v>45</v>
      </c>
      <c r="AF35" s="1" t="s">
        <v>46</v>
      </c>
      <c r="AG35" s="1"/>
      <c r="AH35" s="4"/>
      <c r="AI35" s="4"/>
      <c r="AJ35" s="4"/>
    </row>
    <row r="36" spans="1:36" ht="12.75" customHeight="1" x14ac:dyDescent="0.3">
      <c r="A36" s="8"/>
      <c r="B36" s="8"/>
      <c r="C36" s="2"/>
      <c r="D36" s="2"/>
      <c r="E36" s="2"/>
      <c r="F36" s="2"/>
      <c r="G36" s="2"/>
      <c r="H36" s="3">
        <f t="shared" si="0"/>
        <v>0</v>
      </c>
      <c r="I36" s="13">
        <f t="shared" si="1"/>
        <v>0</v>
      </c>
      <c r="J36" s="23"/>
      <c r="K36" s="24" t="s">
        <v>47</v>
      </c>
      <c r="L36" s="30">
        <f>H46</f>
        <v>4560</v>
      </c>
      <c r="M36" s="24" t="s">
        <v>48</v>
      </c>
      <c r="N36" s="24"/>
      <c r="O36" s="24"/>
      <c r="P36" s="24"/>
      <c r="Q36" s="26"/>
      <c r="R36" s="8"/>
      <c r="S36" s="8"/>
      <c r="T36" s="8"/>
      <c r="U36" s="8"/>
      <c r="V36" s="8"/>
      <c r="W36" s="8"/>
      <c r="X36" s="1"/>
      <c r="Y36" s="4">
        <f>IF(L15&lt;L13,0,1)</f>
        <v>0</v>
      </c>
      <c r="Z36" s="1"/>
      <c r="AA36" s="1" t="s">
        <v>49</v>
      </c>
      <c r="AB36" s="4">
        <f t="shared" ref="AB36:AB38" si="3">$L$15*AC36</f>
        <v>150</v>
      </c>
      <c r="AC36" s="1">
        <v>1</v>
      </c>
      <c r="AD36" s="5">
        <f t="shared" ref="AD36:AD38" si="4">ROUND($L$13/$L$15,0)</f>
        <v>1</v>
      </c>
      <c r="AE36" s="4">
        <f>L4/N15</f>
        <v>2</v>
      </c>
      <c r="AF36" s="4">
        <f t="shared" ref="AF36:AF38" si="5">AC36*AE36</f>
        <v>2</v>
      </c>
      <c r="AG36" s="1"/>
      <c r="AH36" s="1" t="s">
        <v>50</v>
      </c>
      <c r="AI36" s="1">
        <f>VLOOKUP(L12,ce,3,TRUE)</f>
        <v>1</v>
      </c>
      <c r="AJ36" s="1"/>
    </row>
    <row r="37" spans="1:36" ht="12.75" customHeight="1" x14ac:dyDescent="0.3">
      <c r="A37" s="8"/>
      <c r="B37" s="8"/>
      <c r="C37" s="2"/>
      <c r="D37" s="2"/>
      <c r="E37" s="2"/>
      <c r="F37" s="2"/>
      <c r="G37" s="2"/>
      <c r="H37" s="3">
        <f t="shared" si="0"/>
        <v>0</v>
      </c>
      <c r="I37" s="13">
        <f t="shared" si="1"/>
        <v>0</v>
      </c>
      <c r="J37" s="23"/>
      <c r="K37" s="24" t="s">
        <v>51</v>
      </c>
      <c r="L37" s="30">
        <f>L36/L4</f>
        <v>190</v>
      </c>
      <c r="M37" s="24" t="s">
        <v>19</v>
      </c>
      <c r="N37" s="24"/>
      <c r="O37" s="24"/>
      <c r="P37" s="24"/>
      <c r="Q37" s="26"/>
      <c r="R37" s="8"/>
      <c r="S37" s="8"/>
      <c r="T37" s="8"/>
      <c r="U37" s="8"/>
      <c r="V37" s="8"/>
      <c r="W37" s="8"/>
      <c r="X37" s="1"/>
      <c r="Y37" s="4">
        <f>IF(N15&lt;&gt;L4,0,1)</f>
        <v>0</v>
      </c>
      <c r="Z37" s="1"/>
      <c r="AA37" s="1" t="s">
        <v>52</v>
      </c>
      <c r="AB37" s="4">
        <f t="shared" si="3"/>
        <v>150</v>
      </c>
      <c r="AC37" s="1">
        <f t="shared" ref="AC37:AC38" si="6">AD37</f>
        <v>1</v>
      </c>
      <c r="AD37" s="5">
        <f t="shared" si="4"/>
        <v>1</v>
      </c>
      <c r="AE37" s="5">
        <f>AE36</f>
        <v>2</v>
      </c>
      <c r="AF37" s="4">
        <f t="shared" si="5"/>
        <v>2</v>
      </c>
      <c r="AG37" s="1"/>
      <c r="AH37" s="1" t="s">
        <v>53</v>
      </c>
      <c r="AI37" s="1">
        <f>VLOOKUP(L12,fe,2,TRUE)</f>
        <v>1.3</v>
      </c>
      <c r="AJ37" s="1"/>
    </row>
    <row r="38" spans="1:36" ht="12.75" customHeight="1" x14ac:dyDescent="0.3">
      <c r="A38" s="8"/>
      <c r="B38" s="8"/>
      <c r="C38" s="2"/>
      <c r="D38" s="2"/>
      <c r="E38" s="2"/>
      <c r="F38" s="2"/>
      <c r="G38" s="2"/>
      <c r="H38" s="3">
        <f t="shared" si="0"/>
        <v>0</v>
      </c>
      <c r="I38" s="13">
        <f t="shared" si="1"/>
        <v>0</v>
      </c>
      <c r="J38" s="23"/>
      <c r="K38" s="24" t="s">
        <v>54</v>
      </c>
      <c r="L38" s="30">
        <f>(L37*(1+N8))/N9</f>
        <v>242.77777777777774</v>
      </c>
      <c r="M38" s="24" t="s">
        <v>19</v>
      </c>
      <c r="N38" s="24"/>
      <c r="O38" s="24"/>
      <c r="P38" s="24"/>
      <c r="Q38" s="26"/>
      <c r="R38" s="8"/>
      <c r="S38" s="8"/>
      <c r="T38" s="8"/>
      <c r="U38" s="8"/>
      <c r="V38" s="8"/>
      <c r="W38" s="8"/>
      <c r="X38" s="1"/>
      <c r="Y38" s="4">
        <f>IF(L15&lt;L13,IF(N15&lt;L4,1,0),0)</f>
        <v>1</v>
      </c>
      <c r="Z38" s="1"/>
      <c r="AA38" s="1" t="s">
        <v>55</v>
      </c>
      <c r="AB38" s="4">
        <f t="shared" si="3"/>
        <v>150</v>
      </c>
      <c r="AC38" s="1">
        <f t="shared" si="6"/>
        <v>1</v>
      </c>
      <c r="AD38" s="5">
        <f t="shared" si="4"/>
        <v>1</v>
      </c>
      <c r="AE38" s="4">
        <f>AE36</f>
        <v>2</v>
      </c>
      <c r="AF38" s="4">
        <f t="shared" si="5"/>
        <v>2</v>
      </c>
      <c r="AG38" s="1"/>
      <c r="AH38" s="6">
        <v>1</v>
      </c>
      <c r="AI38" s="1">
        <f>IF(AH38=1,AI36,AI37)</f>
        <v>1</v>
      </c>
      <c r="AJ38" s="1"/>
    </row>
    <row r="39" spans="1:36" ht="12.75" customHeight="1" x14ac:dyDescent="0.3">
      <c r="A39" s="8"/>
      <c r="B39" s="8"/>
      <c r="C39" s="2"/>
      <c r="D39" s="2"/>
      <c r="E39" s="2"/>
      <c r="F39" s="2"/>
      <c r="G39" s="2"/>
      <c r="H39" s="3">
        <f t="shared" si="0"/>
        <v>0</v>
      </c>
      <c r="I39" s="13">
        <f t="shared" si="1"/>
        <v>0</v>
      </c>
      <c r="J39" s="23"/>
      <c r="K39" s="24" t="s">
        <v>56</v>
      </c>
      <c r="L39" s="30">
        <f>L38*L6</f>
        <v>145.66666666666663</v>
      </c>
      <c r="M39" s="24" t="s">
        <v>19</v>
      </c>
      <c r="N39" s="24"/>
      <c r="O39" s="24"/>
      <c r="P39" s="24"/>
      <c r="Q39" s="26"/>
      <c r="R39" s="8"/>
      <c r="S39" s="8"/>
      <c r="T39" s="8"/>
      <c r="U39" s="8"/>
      <c r="V39" s="8"/>
      <c r="W39" s="8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57</v>
      </c>
      <c r="AI39" s="7">
        <v>3</v>
      </c>
      <c r="AJ39" s="1"/>
    </row>
    <row r="40" spans="1:36" ht="12.75" customHeight="1" x14ac:dyDescent="0.3">
      <c r="A40" s="8"/>
      <c r="B40" s="8"/>
      <c r="C40" s="2"/>
      <c r="D40" s="2"/>
      <c r="E40" s="2"/>
      <c r="F40" s="2"/>
      <c r="G40" s="2"/>
      <c r="H40" s="3">
        <f t="shared" si="0"/>
        <v>0</v>
      </c>
      <c r="I40" s="13">
        <f t="shared" si="1"/>
        <v>0</v>
      </c>
      <c r="J40" s="23"/>
      <c r="K40" s="24" t="s">
        <v>58</v>
      </c>
      <c r="L40" s="30">
        <f>L39*(1+N10)</f>
        <v>167.51666666666662</v>
      </c>
      <c r="M40" s="24" t="s">
        <v>19</v>
      </c>
      <c r="N40" s="24"/>
      <c r="O40" s="24"/>
      <c r="P40" s="24"/>
      <c r="Q40" s="26"/>
      <c r="R40" s="8"/>
      <c r="S40" s="8"/>
      <c r="T40" s="8"/>
      <c r="U40" s="8"/>
      <c r="V40" s="8"/>
      <c r="W40" s="8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52</v>
      </c>
      <c r="AI40" s="1"/>
      <c r="AJ40" s="1"/>
    </row>
    <row r="41" spans="1:36" ht="12.75" customHeight="1" x14ac:dyDescent="0.3">
      <c r="A41" s="8"/>
      <c r="B41" s="8"/>
      <c r="C41" s="2"/>
      <c r="D41" s="2"/>
      <c r="E41" s="2"/>
      <c r="F41" s="2"/>
      <c r="G41" s="2"/>
      <c r="H41" s="3">
        <f t="shared" si="0"/>
        <v>0</v>
      </c>
      <c r="I41" s="13">
        <f t="shared" si="1"/>
        <v>0</v>
      </c>
      <c r="J41" s="23"/>
      <c r="K41" s="24" t="s">
        <v>59</v>
      </c>
      <c r="L41" s="30">
        <f>L40*AI38</f>
        <v>167.51666666666662</v>
      </c>
      <c r="M41" s="24" t="s">
        <v>19</v>
      </c>
      <c r="N41" s="24"/>
      <c r="O41" s="24"/>
      <c r="P41" s="24"/>
      <c r="Q41" s="26"/>
      <c r="R41" s="8"/>
      <c r="S41" s="8"/>
      <c r="T41" s="8"/>
      <c r="U41" s="8"/>
      <c r="V41" s="8"/>
      <c r="W41" s="8"/>
      <c r="X41" s="1"/>
      <c r="Y41" s="1"/>
      <c r="Z41" s="1">
        <v>1</v>
      </c>
      <c r="AA41" s="1" t="str">
        <f t="shared" ref="AA41:AA43" si="7">IF(Y36=1,"O.K","Select other Type of Connecion")</f>
        <v>Select other Type of Connecion</v>
      </c>
      <c r="AB41" s="1" t="str">
        <f t="shared" ref="AB41:AB43" si="8">IF(Y36=0,"",AB36)</f>
        <v/>
      </c>
      <c r="AC41" s="1" t="str">
        <f t="shared" ref="AC41:AC43" si="9">IF(Y36=0,"",AC36)</f>
        <v/>
      </c>
      <c r="AD41" s="1" t="str">
        <f t="shared" ref="AD41:AD43" si="10">IF(Y36=0,"",AD36)</f>
        <v/>
      </c>
      <c r="AE41" s="1" t="str">
        <f t="shared" ref="AE41:AE43" si="11">IF(Y36=0,"",AE36)</f>
        <v/>
      </c>
      <c r="AF41" s="4" t="str">
        <f t="shared" ref="AF41:AF43" si="12">IF(Y36=0,"",AF36)</f>
        <v/>
      </c>
      <c r="AG41" s="1"/>
      <c r="AH41" s="1" t="s">
        <v>60</v>
      </c>
      <c r="AI41" s="1"/>
      <c r="AJ41" s="1"/>
    </row>
    <row r="42" spans="1:36" ht="12.75" customHeight="1" x14ac:dyDescent="0.3">
      <c r="A42" s="8"/>
      <c r="B42" s="8"/>
      <c r="C42" s="2"/>
      <c r="D42" s="2"/>
      <c r="E42" s="2"/>
      <c r="F42" s="2"/>
      <c r="G42" s="2"/>
      <c r="H42" s="3">
        <f t="shared" si="0"/>
        <v>0</v>
      </c>
      <c r="I42" s="13">
        <f t="shared" si="1"/>
        <v>0</v>
      </c>
      <c r="J42" s="23"/>
      <c r="K42" s="24" t="s">
        <v>61</v>
      </c>
      <c r="L42" s="30">
        <f>L41/N11</f>
        <v>209.39583333333326</v>
      </c>
      <c r="M42" s="24" t="s">
        <v>19</v>
      </c>
      <c r="N42" s="24"/>
      <c r="O42" s="24"/>
      <c r="P42" s="24"/>
      <c r="Q42" s="26"/>
      <c r="R42" s="8"/>
      <c r="S42" s="8"/>
      <c r="T42" s="8"/>
      <c r="U42" s="8"/>
      <c r="V42" s="8"/>
      <c r="W42" s="8"/>
      <c r="X42" s="1"/>
      <c r="Y42" s="1"/>
      <c r="Z42" s="1">
        <v>2</v>
      </c>
      <c r="AA42" s="1" t="str">
        <f t="shared" si="7"/>
        <v>Select other Type of Connecion</v>
      </c>
      <c r="AB42" s="1" t="str">
        <f t="shared" si="8"/>
        <v/>
      </c>
      <c r="AC42" s="1" t="str">
        <f t="shared" si="9"/>
        <v/>
      </c>
      <c r="AD42" s="1" t="str">
        <f t="shared" si="10"/>
        <v/>
      </c>
      <c r="AE42" s="1" t="str">
        <f t="shared" si="11"/>
        <v/>
      </c>
      <c r="AF42" s="4" t="str">
        <f t="shared" si="12"/>
        <v/>
      </c>
      <c r="AG42" s="1"/>
      <c r="AH42" s="1"/>
      <c r="AI42" s="1"/>
      <c r="AJ42" s="1"/>
    </row>
    <row r="43" spans="1:36" ht="12.75" customHeight="1" x14ac:dyDescent="0.3">
      <c r="A43" s="8"/>
      <c r="B43" s="8"/>
      <c r="C43" s="2"/>
      <c r="D43" s="2"/>
      <c r="E43" s="2"/>
      <c r="F43" s="2"/>
      <c r="G43" s="2"/>
      <c r="H43" s="3">
        <f t="shared" si="0"/>
        <v>0</v>
      </c>
      <c r="I43" s="13">
        <f t="shared" si="1"/>
        <v>0</v>
      </c>
      <c r="J43" s="23"/>
      <c r="K43" s="24"/>
      <c r="L43" s="27"/>
      <c r="M43" s="24"/>
      <c r="N43" s="24"/>
      <c r="O43" s="24"/>
      <c r="P43" s="24"/>
      <c r="Q43" s="26"/>
      <c r="R43" s="8"/>
      <c r="S43" s="8"/>
      <c r="T43" s="8"/>
      <c r="U43" s="8"/>
      <c r="V43" s="8"/>
      <c r="W43" s="8"/>
      <c r="X43" s="1"/>
      <c r="Y43" s="1"/>
      <c r="Z43" s="1">
        <v>3</v>
      </c>
      <c r="AA43" s="1" t="str">
        <f t="shared" si="7"/>
        <v>O.K</v>
      </c>
      <c r="AB43" s="1">
        <f t="shared" si="8"/>
        <v>150</v>
      </c>
      <c r="AC43" s="1">
        <f t="shared" si="9"/>
        <v>1</v>
      </c>
      <c r="AD43" s="1">
        <f t="shared" si="10"/>
        <v>1</v>
      </c>
      <c r="AE43" s="1">
        <f t="shared" si="11"/>
        <v>2</v>
      </c>
      <c r="AF43" s="4">
        <f t="shared" si="12"/>
        <v>2</v>
      </c>
      <c r="AG43" s="1"/>
      <c r="AH43" s="1"/>
      <c r="AI43" s="1"/>
      <c r="AJ43" s="1"/>
    </row>
    <row r="44" spans="1:36" ht="12.75" customHeight="1" thickBot="1" x14ac:dyDescent="0.35">
      <c r="A44" s="8"/>
      <c r="B44" s="8"/>
      <c r="C44" s="2"/>
      <c r="D44" s="2"/>
      <c r="E44" s="2"/>
      <c r="F44" s="2"/>
      <c r="G44" s="2"/>
      <c r="H44" s="3">
        <f t="shared" si="0"/>
        <v>0</v>
      </c>
      <c r="I44" s="13">
        <f t="shared" si="1"/>
        <v>0</v>
      </c>
      <c r="J44" s="32"/>
      <c r="K44" s="33"/>
      <c r="L44" s="34"/>
      <c r="M44" s="33"/>
      <c r="N44" s="33"/>
      <c r="O44" s="33"/>
      <c r="P44" s="33"/>
      <c r="Q44" s="35"/>
      <c r="R44" s="8"/>
      <c r="S44" s="8"/>
      <c r="T44" s="8"/>
      <c r="U44" s="8"/>
      <c r="V44" s="8"/>
      <c r="W44" s="8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3.5" customHeight="1" thickBot="1" x14ac:dyDescent="0.35">
      <c r="A45" s="8"/>
      <c r="B45" s="8"/>
      <c r="C45" s="8"/>
      <c r="D45" s="8"/>
      <c r="E45" s="8"/>
      <c r="F45" s="8"/>
      <c r="G45" s="8"/>
      <c r="H45" s="8"/>
      <c r="I45" s="9"/>
      <c r="J45" s="8"/>
      <c r="K45" s="8"/>
      <c r="L45" s="1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3.5" customHeight="1" x14ac:dyDescent="0.3">
      <c r="A46" s="8"/>
      <c r="B46" s="8"/>
      <c r="C46" s="55" t="s">
        <v>62</v>
      </c>
      <c r="D46" s="56"/>
      <c r="E46" s="57"/>
      <c r="F46" s="8"/>
      <c r="G46" s="8"/>
      <c r="H46" s="11">
        <f t="shared" ref="H46:I46" si="13">SUM(H7:H44)</f>
        <v>4560</v>
      </c>
      <c r="I46" s="12">
        <f t="shared" si="13"/>
        <v>510</v>
      </c>
      <c r="J46" s="8" t="s">
        <v>48</v>
      </c>
      <c r="K46" s="8"/>
      <c r="L46" s="1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1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1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1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1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1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1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1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1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1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1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1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1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1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1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1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1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1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1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1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1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1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1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11">
    <mergeCell ref="J29:Q29"/>
    <mergeCell ref="C46:E46"/>
    <mergeCell ref="C4:H4"/>
    <mergeCell ref="K6:K7"/>
    <mergeCell ref="L6:L7"/>
    <mergeCell ref="M6:M7"/>
    <mergeCell ref="C2:Q2"/>
    <mergeCell ref="J18:Q18"/>
    <mergeCell ref="L19:N19"/>
    <mergeCell ref="L20:P20"/>
    <mergeCell ref="L21:P21"/>
  </mergeCells>
  <conditionalFormatting sqref="L20">
    <cfRule type="containsText" dxfId="3" priority="1" operator="containsText" text="&quot;Select other Type of Connecion&quot;">
      <formula>NOT(ISERROR(SEARCH(("""Select other Type of Connecion"""),(L20))))</formula>
    </cfRule>
    <cfRule type="containsText" dxfId="2" priority="2" operator="containsText" text="&quot;O.K&quot;">
      <formula>NOT(ISERROR(SEARCH(("""O.K"""),(L20))))</formula>
    </cfRule>
  </conditionalFormatting>
  <conditionalFormatting sqref="L21:P21">
    <cfRule type="expression" dxfId="1" priority="3">
      <formula>$S$15&gt;0</formula>
    </cfRule>
    <cfRule type="expression" dxfId="0" priority="4">
      <formula>$S$15=0</formula>
    </cfRule>
  </conditionalFormatting>
  <hyperlinks>
    <hyperlink ref="U1" r:id="rId1" xr:uid="{25B2DFAA-7D21-4DC4-86EA-700284C4FD41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ce</vt:lpstr>
      <vt:lpstr>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2025-04-20T06:28:11Z</dcterms:modified>
</cp:coreProperties>
</file>