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D:\ANKESH MISHRA\@FLASYS\Sales\@Online Selling Service\Solar Documents Bundle\@Ready to Deliver\"/>
    </mc:Choice>
  </mc:AlternateContent>
  <xr:revisionPtr revIDLastSave="0" documentId="13_ncr:1_{F63C1035-4488-4937-BBBA-C345876EE393}" xr6:coauthVersionLast="47" xr6:coauthVersionMax="47" xr10:uidLastSave="{00000000-0000-0000-0000-000000000000}"/>
  <bookViews>
    <workbookView xWindow="-108" yWindow="-108" windowWidth="23256" windowHeight="12456" tabRatio="873" activeTab="6" xr2:uid="{00000000-000D-0000-FFFF-FFFF00000000}"/>
  </bookViews>
  <sheets>
    <sheet name="Front Sheet-Potrait" sheetId="1" r:id="rId1"/>
    <sheet name="Hold Sheet-Potrait" sheetId="2" r:id="rId2"/>
    <sheet name="Index" sheetId="7" r:id="rId3"/>
    <sheet name="Sheet 1" sheetId="8" r:id="rId4"/>
    <sheet name="Sheet 2" sheetId="9" r:id="rId5"/>
    <sheet name="Sheet 3" sheetId="11" r:id="rId6"/>
    <sheet name="Sheet 4" sheetId="10" r:id="rId7"/>
    <sheet name="Sheet 5" sheetId="18" r:id="rId8"/>
    <sheet name="Sheet 6" sheetId="12" r:id="rId9"/>
    <sheet name="Sheet 7" sheetId="13" r:id="rId10"/>
    <sheet name="Sheet 8" sheetId="19" r:id="rId11"/>
    <sheet name="Sheet 9" sheetId="14" r:id="rId12"/>
    <sheet name="Sheet 10" sheetId="15" r:id="rId13"/>
    <sheet name="Sheet 11" sheetId="24" r:id="rId14"/>
    <sheet name="Sheet 12" sheetId="21" r:id="rId15"/>
    <sheet name="Sheet 13" sheetId="22" r:id="rId16"/>
    <sheet name="Annex-1" sheetId="17" r:id="rId17"/>
    <sheet name="Portrait Page" sheetId="4" state="hidden" r:id="rId18"/>
    <sheet name="Earth Pit Count" sheetId="23" state="hidden" r:id="rId19"/>
  </sheets>
  <externalReferences>
    <externalReference r:id="rId20"/>
  </externalReferences>
  <definedNames>
    <definedName name="A1_" localSheetId="13">#REF!</definedName>
    <definedName name="A1_">#REF!</definedName>
    <definedName name="A10_" localSheetId="13">#REF!</definedName>
    <definedName name="A10_">#REF!</definedName>
    <definedName name="A13_" localSheetId="13">#REF!</definedName>
    <definedName name="A13_" localSheetId="15">#REF!</definedName>
    <definedName name="A13_">#REF!</definedName>
    <definedName name="A2_" localSheetId="13">#REF!</definedName>
    <definedName name="A2_">#REF!</definedName>
    <definedName name="A3_" localSheetId="13">#REF!</definedName>
    <definedName name="A3_">#REF!</definedName>
    <definedName name="A4_" localSheetId="13">#REF!</definedName>
    <definedName name="A4_">#REF!</definedName>
    <definedName name="A5_" localSheetId="13">#REF!</definedName>
    <definedName name="A5_">#REF!</definedName>
    <definedName name="A6_" localSheetId="13">#REF!</definedName>
    <definedName name="A6_">#REF!</definedName>
    <definedName name="A7_" localSheetId="13">#REF!</definedName>
    <definedName name="A7_">#REF!</definedName>
    <definedName name="A8_" localSheetId="13">#REF!</definedName>
    <definedName name="A8_">#REF!</definedName>
    <definedName name="A9_" localSheetId="13">#REF!</definedName>
    <definedName name="A9_">#REF!</definedName>
    <definedName name="AddPage" localSheetId="13">[1]!AddPage</definedName>
    <definedName name="AddPage" localSheetId="15">[1]!AddPage</definedName>
    <definedName name="AddPage">[1]!AddPage</definedName>
    <definedName name="AddSheet" localSheetId="13">[1]!AddSheet</definedName>
    <definedName name="AddSheet" localSheetId="15">[1]!AddSheet</definedName>
    <definedName name="AddSheet">[1]!AddSheet</definedName>
    <definedName name="ca" localSheetId="13">#REF!</definedName>
    <definedName name="ca">#REF!</definedName>
    <definedName name="di" localSheetId="13">#REF!</definedName>
    <definedName name="di">#REF!</definedName>
    <definedName name="Eh" localSheetId="13">#REF!</definedName>
    <definedName name="Eh">#REF!</definedName>
    <definedName name="Es" localSheetId="13">#REF!</definedName>
    <definedName name="Es">#REF!</definedName>
    <definedName name="HS" localSheetId="13">#REF!</definedName>
    <definedName name="HS">#REF!</definedName>
    <definedName name="hsh" localSheetId="13">#REF!</definedName>
    <definedName name="hsh">#REF!</definedName>
    <definedName name="II" localSheetId="13">[1]!AddSheet</definedName>
    <definedName name="II" localSheetId="15">[1]!AddSheet</definedName>
    <definedName name="II">[1]!AddSheet</definedName>
    <definedName name="myrange" localSheetId="16">'Annex-1'!$62:$1080</definedName>
    <definedName name="myrange" localSheetId="2">Index!$3:$1062</definedName>
    <definedName name="myrange" localSheetId="12">'Sheet 10'!$3:$950</definedName>
    <definedName name="myrange" localSheetId="13">'Sheet 11'!$3:$950</definedName>
    <definedName name="myrange" localSheetId="14">'Sheet 12'!$3:$941</definedName>
    <definedName name="myrange" localSheetId="15">'Sheet 13'!$4:$955</definedName>
    <definedName name="myrange" localSheetId="4">'Sheet 2'!$3:$1076</definedName>
    <definedName name="myrange" localSheetId="5">'Sheet 3'!$3:$1076</definedName>
    <definedName name="myrange" localSheetId="6">'Sheet 4'!$3:$1078</definedName>
    <definedName name="myrange" localSheetId="7">'Sheet 5'!$3:$1078</definedName>
    <definedName name="myrange" localSheetId="8">'Sheet 6'!$3:$1084</definedName>
    <definedName name="myrange" localSheetId="9">'Sheet 7'!$3:$1210</definedName>
    <definedName name="myrange" localSheetId="10">'Sheet 8'!$3:$1214</definedName>
    <definedName name="myrange" localSheetId="11">'Sheet 9'!$3:$1236</definedName>
    <definedName name="myrange">'Sheet 1'!$3:$1077</definedName>
    <definedName name="PD" localSheetId="13">#REF!</definedName>
    <definedName name="PD">#REF!</definedName>
    <definedName name="pdh" localSheetId="13">#REF!</definedName>
    <definedName name="pdh">#REF!</definedName>
    <definedName name="ph" localSheetId="13">#REF!</definedName>
    <definedName name="ph">#REF!</definedName>
    <definedName name="phh" localSheetId="13">#REF!</definedName>
    <definedName name="phh">#REF!</definedName>
    <definedName name="_xlnm.Print_Area" localSheetId="16">'Annex-1'!$A$1:$AK$64</definedName>
    <definedName name="_xlnm.Print_Area" localSheetId="0">'Front Sheet-Potrait'!$A$1:$K$46</definedName>
    <definedName name="_xlnm.Print_Area" localSheetId="1">'Hold Sheet-Potrait'!$A$1:$L$38</definedName>
    <definedName name="_xlnm.Print_Area" localSheetId="2">Index!$A$1:$AK$46</definedName>
    <definedName name="_xlnm.Print_Area" localSheetId="17">'Portrait Page'!$A$1:$K$61</definedName>
    <definedName name="_xlnm.Print_Area" localSheetId="3">'Sheet 1'!$A$2:$AM$62</definedName>
    <definedName name="_xlnm.Print_Area" localSheetId="12">'Sheet 10'!$A$1:$AK$61</definedName>
    <definedName name="_xlnm.Print_Area" localSheetId="13">'Sheet 11'!$A$1:$AL$61</definedName>
    <definedName name="_xlnm.Print_Area" localSheetId="14">'Sheet 12'!$A$1:$AO$52</definedName>
    <definedName name="_xlnm.Print_Area" localSheetId="15">'Sheet 13'!$A$1:$AM$66</definedName>
    <definedName name="_xlnm.Print_Area" localSheetId="4">'Sheet 2'!$A$1:$AK$60</definedName>
    <definedName name="_xlnm.Print_Area" localSheetId="5">'Sheet 3'!$A$1:$AM$60</definedName>
    <definedName name="_xlnm.Print_Area" localSheetId="6">'Sheet 4'!$A$1:$AK$65</definedName>
    <definedName name="_xlnm.Print_Area" localSheetId="7">'Sheet 5'!$A$1:$AL$62</definedName>
    <definedName name="_xlnm.Print_Area" localSheetId="8">'Sheet 6'!$A$1:$AM$62</definedName>
    <definedName name="_xlnm.Print_Area" localSheetId="9">'Sheet 7'!$A$1:$AK$58</definedName>
    <definedName name="_xlnm.Print_Area" localSheetId="10">'Sheet 8'!$A$1:$AL$62</definedName>
    <definedName name="_xlnm.Print_Area" localSheetId="11">'Sheet 9'!$A$1:$AL$61</definedName>
    <definedName name="_xlnm.Print_Area">#REF!</definedName>
    <definedName name="_xlnm.Print_Titles" localSheetId="16">'Annex-1'!$3:$4</definedName>
    <definedName name="_xlnm.Print_Titles" localSheetId="2">Index!$3:$6</definedName>
    <definedName name="_xlnm.Print_Titles" localSheetId="3">'Sheet 1'!$3:$6</definedName>
    <definedName name="_xlnm.Print_Titles" localSheetId="12">'Sheet 10'!$3:$3</definedName>
    <definedName name="_xlnm.Print_Titles" localSheetId="13">'Sheet 11'!$3:$3</definedName>
    <definedName name="_xlnm.Print_Titles" localSheetId="15">'Sheet 13'!$1:$2</definedName>
    <definedName name="_xlnm.Print_Titles" localSheetId="4">'Sheet 2'!$3:$4</definedName>
    <definedName name="_xlnm.Print_Titles" localSheetId="5">'Sheet 3'!$3:$28</definedName>
    <definedName name="_xlnm.Print_Titles" localSheetId="6">'Sheet 4'!$3:$4</definedName>
    <definedName name="_xlnm.Print_Titles" localSheetId="7">'Sheet 5'!$3:$3</definedName>
    <definedName name="_xlnm.Print_Titles" localSheetId="8">'Sheet 6'!$3:$3</definedName>
    <definedName name="_xlnm.Print_Titles" localSheetId="9">'Sheet 7'!$3:$5</definedName>
    <definedName name="_xlnm.Print_Titles" localSheetId="10">'Sheet 8'!$3:$3</definedName>
    <definedName name="_xlnm.Print_Titles" localSheetId="11">'Sheet 9'!$3:$59</definedName>
    <definedName name="pt" localSheetId="13">#REF!</definedName>
    <definedName name="pt">#REF!</definedName>
    <definedName name="pts" localSheetId="13">#REF!</definedName>
    <definedName name="pts">#REF!</definedName>
    <definedName name="ri" localSheetId="13">#REF!</definedName>
    <definedName name="ri">#REF!</definedName>
    <definedName name="Ric" localSheetId="13">#REF!</definedName>
    <definedName name="Ric">#REF!</definedName>
    <definedName name="s" localSheetId="13">#REF!</definedName>
    <definedName name="s">#REF!</definedName>
    <definedName name="SA" localSheetId="13">#REF!</definedName>
    <definedName name="SA">#REF!</definedName>
    <definedName name="SD" localSheetId="13">#REF!</definedName>
    <definedName name="SD">#REF!</definedName>
    <definedName name="sh" localSheetId="13">#REF!</definedName>
    <definedName name="sh">#REF!</definedName>
    <definedName name="sheet2" localSheetId="13">[1]!AddPage</definedName>
    <definedName name="sheet2" localSheetId="15">[1]!AddPage</definedName>
    <definedName name="sheet2">[1]!AddPage</definedName>
    <definedName name="SR" localSheetId="13">#REF!</definedName>
    <definedName name="SR">#REF!</definedName>
    <definedName name="srh" localSheetId="13">#REF!</definedName>
    <definedName name="srh">#REF!</definedName>
    <definedName name="Ss" localSheetId="13">#REF!</definedName>
    <definedName name="Ss">#REF!</definedName>
    <definedName name="sy" localSheetId="13">#REF!</definedName>
    <definedName name="sy">#REF!</definedName>
    <definedName name="Waiting">"Picture 1"</definedName>
    <definedName name="Z_260F09AC_BC60_4659_8A2D_6200FFD301A9_.wvu.PrintArea" localSheetId="16" hidden="1">'Annex-1'!$A$62:$AJ$142</definedName>
    <definedName name="Z_260F09AC_BC60_4659_8A2D_6200FFD301A9_.wvu.PrintArea" localSheetId="2" hidden="1">Index!$A$3:$AJ$124</definedName>
    <definedName name="Z_260F09AC_BC60_4659_8A2D_6200FFD301A9_.wvu.PrintArea" localSheetId="3" hidden="1">'Sheet 1'!$B$3:$AK$139</definedName>
    <definedName name="Z_260F09AC_BC60_4659_8A2D_6200FFD301A9_.wvu.PrintArea" localSheetId="12" hidden="1">'Sheet 10'!$A$3:$AJ$3</definedName>
    <definedName name="Z_260F09AC_BC60_4659_8A2D_6200FFD301A9_.wvu.PrintArea" localSheetId="13" hidden="1">'Sheet 11'!$A$3:$AJ$3</definedName>
    <definedName name="Z_260F09AC_BC60_4659_8A2D_6200FFD301A9_.wvu.PrintArea" localSheetId="14" hidden="1">'Sheet 12'!#REF!</definedName>
    <definedName name="Z_260F09AC_BC60_4659_8A2D_6200FFD301A9_.wvu.PrintArea" localSheetId="15" hidden="1">'Sheet 13'!$A$4:$AJ$49</definedName>
    <definedName name="Z_260F09AC_BC60_4659_8A2D_6200FFD301A9_.wvu.PrintArea" localSheetId="4" hidden="1">'Sheet 2'!$A$3:$AJ$138</definedName>
    <definedName name="Z_260F09AC_BC60_4659_8A2D_6200FFD301A9_.wvu.PrintArea" localSheetId="5" hidden="1">'Sheet 3'!$B$3:$AK$138</definedName>
    <definedName name="Z_260F09AC_BC60_4659_8A2D_6200FFD301A9_.wvu.PrintArea" localSheetId="6" hidden="1">'Sheet 4'!$A$3:$AJ$140</definedName>
    <definedName name="Z_260F09AC_BC60_4659_8A2D_6200FFD301A9_.wvu.PrintArea" localSheetId="7" hidden="1">'Sheet 5'!$B$3:$AK$140</definedName>
    <definedName name="Z_260F09AC_BC60_4659_8A2D_6200FFD301A9_.wvu.PrintArea" localSheetId="8" hidden="1">'Sheet 6'!$A$3:$AJ$146</definedName>
    <definedName name="Z_260F09AC_BC60_4659_8A2D_6200FFD301A9_.wvu.PrintArea" localSheetId="9" hidden="1">'Sheet 7'!$A$3:$AJ$272</definedName>
    <definedName name="Z_260F09AC_BC60_4659_8A2D_6200FFD301A9_.wvu.PrintArea" localSheetId="10" hidden="1">'Sheet 8'!$A$3:$AJ$276</definedName>
    <definedName name="Z_260F09AC_BC60_4659_8A2D_6200FFD301A9_.wvu.PrintArea" localSheetId="11" hidden="1">'Sheet 9'!$A$3:$AJ$298</definedName>
    <definedName name="Z_260F09AC_BC60_4659_8A2D_6200FFD301A9_.wvu.PrintTitles" localSheetId="16" hidden="1">'Annex-1'!$3:$4</definedName>
    <definedName name="Z_260F09AC_BC60_4659_8A2D_6200FFD301A9_.wvu.PrintTitles" localSheetId="2" hidden="1">Index!$3:$6</definedName>
    <definedName name="Z_260F09AC_BC60_4659_8A2D_6200FFD301A9_.wvu.PrintTitles" localSheetId="3" hidden="1">'Sheet 1'!$3:$6</definedName>
    <definedName name="Z_260F09AC_BC60_4659_8A2D_6200FFD301A9_.wvu.PrintTitles" localSheetId="12" hidden="1">'Sheet 10'!$3:$3</definedName>
    <definedName name="Z_260F09AC_BC60_4659_8A2D_6200FFD301A9_.wvu.PrintTitles" localSheetId="13" hidden="1">'Sheet 11'!$3:$3</definedName>
    <definedName name="Z_260F09AC_BC60_4659_8A2D_6200FFD301A9_.wvu.PrintTitles" localSheetId="14" hidden="1">'Sheet 12'!#REF!</definedName>
    <definedName name="Z_260F09AC_BC60_4659_8A2D_6200FFD301A9_.wvu.PrintTitles" localSheetId="15" hidden="1">'Sheet 12'!$4:$6</definedName>
    <definedName name="Z_260F09AC_BC60_4659_8A2D_6200FFD301A9_.wvu.PrintTitles" localSheetId="4" hidden="1">'Sheet 2'!$3:$4</definedName>
    <definedName name="Z_260F09AC_BC60_4659_8A2D_6200FFD301A9_.wvu.PrintTitles" localSheetId="5" hidden="1">'Sheet 3'!$3:$28</definedName>
    <definedName name="Z_260F09AC_BC60_4659_8A2D_6200FFD301A9_.wvu.PrintTitles" localSheetId="6" hidden="1">'Sheet 4'!$3:$4</definedName>
    <definedName name="Z_260F09AC_BC60_4659_8A2D_6200FFD301A9_.wvu.PrintTitles" localSheetId="7" hidden="1">'Sheet 5'!$3:$3</definedName>
    <definedName name="Z_260F09AC_BC60_4659_8A2D_6200FFD301A9_.wvu.PrintTitles" localSheetId="8" hidden="1">'Sheet 6'!$3:$3</definedName>
    <definedName name="Z_260F09AC_BC60_4659_8A2D_6200FFD301A9_.wvu.PrintTitles" localSheetId="9" hidden="1">'Sheet 7'!$3:$5</definedName>
    <definedName name="Z_260F09AC_BC60_4659_8A2D_6200FFD301A9_.wvu.PrintTitles" localSheetId="10" hidden="1">'Sheet 8'!$3:$3</definedName>
    <definedName name="Z_260F09AC_BC60_4659_8A2D_6200FFD301A9_.wvu.PrintTitles" localSheetId="11" hidden="1">'Sheet 9'!$3:$59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R39" i="9" l="1"/>
  <c r="N58" i="10" l="1"/>
  <c r="O54" i="17"/>
  <c r="O52" i="17"/>
  <c r="O40" i="17"/>
  <c r="O56" i="17" l="1"/>
  <c r="O58" i="17" s="1"/>
  <c r="V60" i="17" s="1"/>
  <c r="T53" i="24" l="1"/>
  <c r="O55" i="24" s="1"/>
  <c r="U55" i="24" s="1"/>
  <c r="T49" i="24"/>
  <c r="F18" i="24"/>
  <c r="K29" i="24"/>
  <c r="K33" i="24" s="1"/>
  <c r="T53" i="15" l="1"/>
  <c r="T49" i="15"/>
  <c r="F18" i="15"/>
  <c r="AC40" i="12"/>
  <c r="E19" i="19" l="1"/>
  <c r="D24" i="19" s="1"/>
  <c r="T25" i="21" l="1"/>
  <c r="T29" i="21"/>
  <c r="O31" i="21" s="1"/>
  <c r="U31" i="21" s="1"/>
  <c r="O55" i="15"/>
  <c r="U55" i="15" s="1"/>
  <c r="T49" i="14"/>
  <c r="T53" i="14"/>
  <c r="O55" i="14" s="1"/>
  <c r="U55" i="14" s="1"/>
  <c r="X46" i="19"/>
  <c r="U51" i="19" s="1"/>
  <c r="V54" i="19"/>
  <c r="O56" i="19" s="1"/>
  <c r="U56" i="19"/>
  <c r="K29" i="15" l="1"/>
  <c r="K33" i="15" s="1"/>
  <c r="A14" i="23" l="1"/>
  <c r="A7" i="23"/>
  <c r="A17" i="23" l="1"/>
  <c r="K29" i="14"/>
  <c r="K33" i="14" s="1"/>
  <c r="F18" i="14"/>
  <c r="F9" i="14"/>
  <c r="J30" i="19"/>
  <c r="K35" i="19" s="1"/>
  <c r="G35" i="19"/>
  <c r="R41" i="18"/>
  <c r="F9" i="15" l="1"/>
  <c r="E23" i="15" s="1"/>
  <c r="G33" i="15" s="1"/>
  <c r="G34" i="15" s="1"/>
  <c r="F9" i="24"/>
  <c r="E23" i="24" s="1"/>
  <c r="G33" i="24" s="1"/>
  <c r="G34" i="24" s="1"/>
  <c r="E23" i="14"/>
  <c r="G33" i="14" s="1"/>
  <c r="G34" i="14" s="1"/>
  <c r="G36" i="19"/>
  <c r="D22" i="18"/>
  <c r="W22" i="18" s="1"/>
  <c r="D21" i="18"/>
  <c r="W21" i="18" s="1"/>
  <c r="D20" i="18"/>
  <c r="D19" i="18"/>
  <c r="W20" i="18"/>
  <c r="P37" i="10"/>
  <c r="F21" i="10"/>
  <c r="AA17" i="10"/>
  <c r="F22" i="10" s="1"/>
  <c r="AF58" i="10" l="1"/>
  <c r="S60" i="10" s="1"/>
  <c r="D24" i="18"/>
  <c r="W19" i="18"/>
  <c r="F24" i="10"/>
  <c r="W24" i="18" l="1"/>
  <c r="U29" i="18" s="1"/>
  <c r="AB38" i="10"/>
  <c r="P38" i="10"/>
  <c r="P39" i="10" s="1"/>
  <c r="O26" i="17"/>
  <c r="O24" i="17"/>
  <c r="O12" i="17"/>
  <c r="O28" i="17" l="1"/>
  <c r="O30" i="17" s="1"/>
  <c r="E37" i="11"/>
  <c r="F9" i="10"/>
  <c r="F7" i="10"/>
  <c r="AE25" i="9"/>
  <c r="AE23" i="9"/>
  <c r="D13" i="11" s="1"/>
  <c r="AE21" i="9"/>
  <c r="AE19" i="9"/>
  <c r="AE11" i="9"/>
  <c r="H28" i="10" s="1"/>
  <c r="AE7" i="9" l="1"/>
  <c r="AB37" i="10" s="1"/>
  <c r="AB39" i="10" s="1"/>
  <c r="O43" i="10" s="1"/>
  <c r="O45" i="10" s="1"/>
  <c r="O60" i="17"/>
  <c r="R61" i="17" s="1"/>
  <c r="D17" i="11"/>
  <c r="O18" i="11" s="1"/>
  <c r="O20" i="11" s="1"/>
  <c r="N31" i="10"/>
  <c r="O47" i="10" s="1"/>
  <c r="F8" i="10"/>
  <c r="F13" i="10" s="1"/>
  <c r="O6" i="18" s="1"/>
  <c r="E41" i="11" l="1"/>
  <c r="R43" i="11" s="1"/>
  <c r="R45" i="11" s="1"/>
  <c r="O49" i="10"/>
  <c r="AF51" i="10" s="1"/>
  <c r="O8" i="18" s="1"/>
  <c r="O10" i="18" s="1"/>
  <c r="O34" i="18" s="1"/>
  <c r="T15" i="10"/>
</calcChain>
</file>

<file path=xl/sharedStrings.xml><?xml version="1.0" encoding="utf-8"?>
<sst xmlns="http://schemas.openxmlformats.org/spreadsheetml/2006/main" count="1054" uniqueCount="609">
  <si>
    <t>Rev</t>
  </si>
  <si>
    <t>Date</t>
  </si>
  <si>
    <t>Page</t>
  </si>
  <si>
    <t>Client:</t>
  </si>
  <si>
    <t>Prepared by</t>
  </si>
  <si>
    <t xml:space="preserve">Checked By </t>
  </si>
  <si>
    <t>Approved By</t>
  </si>
  <si>
    <t>Section</t>
  </si>
  <si>
    <t>Table of Holds</t>
  </si>
  <si>
    <t>The following holds have been identified.  They will be cleared as soon as practicable.</t>
  </si>
  <si>
    <t>Details of Hold</t>
  </si>
  <si>
    <t>Hold Cleared (rev)</t>
  </si>
  <si>
    <t>Contractor:</t>
  </si>
  <si>
    <t>Location:</t>
  </si>
  <si>
    <t>Job No.:</t>
  </si>
  <si>
    <t>Document Status</t>
  </si>
  <si>
    <t>J3 Program</t>
  </si>
  <si>
    <t>Specification for …….</t>
  </si>
  <si>
    <t>Record of Revisions</t>
  </si>
  <si>
    <t>Rev.</t>
  </si>
  <si>
    <t>Revision Details</t>
  </si>
  <si>
    <t>APG Project No:</t>
  </si>
  <si>
    <t>Earthing &amp; Lightning Protection Calculation</t>
  </si>
  <si>
    <t>TABLE OF CONTENTS</t>
  </si>
  <si>
    <t xml:space="preserve">Scope </t>
  </si>
  <si>
    <t>Reference documents</t>
  </si>
  <si>
    <t>Design inputs</t>
  </si>
  <si>
    <t>Formulae</t>
  </si>
  <si>
    <t xml:space="preserve">Calculation of number of earth electrodes </t>
  </si>
  <si>
    <t>Main earth grid GI strip sizing</t>
  </si>
  <si>
    <t>Plant earth grid GI strip sizing</t>
  </si>
  <si>
    <t>Conclusion</t>
  </si>
  <si>
    <t>Recommendations</t>
  </si>
  <si>
    <t>Annexure-1 -- Fault current calculation</t>
  </si>
  <si>
    <t>-</t>
  </si>
  <si>
    <t>Scope:</t>
  </si>
  <si>
    <t xml:space="preserve">This section of document covers the calculation to determine the size of main earth strip &amp; number of total earth electrodes required for </t>
  </si>
  <si>
    <t>Reference Documents:</t>
  </si>
  <si>
    <t>This calculation is based on following documents :</t>
  </si>
  <si>
    <t>Design Inputs:</t>
  </si>
  <si>
    <t>Formulae:</t>
  </si>
  <si>
    <t>Re</t>
  </si>
  <si>
    <t>=</t>
  </si>
  <si>
    <t>where,</t>
  </si>
  <si>
    <t>l  =  length of pipe in cm.</t>
  </si>
  <si>
    <t>d = diameter of pipe in cm</t>
  </si>
  <si>
    <t>р = resistivity of soil in ohm-m</t>
  </si>
  <si>
    <t xml:space="preserve">1/S = </t>
  </si>
  <si>
    <t>K</t>
  </si>
  <si>
    <t>*</t>
  </si>
  <si>
    <r>
      <t xml:space="preserve">1 / I </t>
    </r>
    <r>
      <rPr>
        <sz val="8"/>
        <rFont val="Symbol"/>
        <family val="1"/>
        <charset val="2"/>
      </rPr>
      <t>Ö</t>
    </r>
    <r>
      <rPr>
        <sz val="8"/>
        <rFont val="Arial"/>
        <family val="2"/>
      </rPr>
      <t>t</t>
    </r>
  </si>
  <si>
    <t>S = cross sectional area in sq.mm.</t>
  </si>
  <si>
    <t>I  = r.m.s. value of fault current of system in amperes</t>
  </si>
  <si>
    <t>K = factor from IS: 3043 table 6.</t>
  </si>
  <si>
    <t>Table 6A</t>
  </si>
  <si>
    <t>Table 6D</t>
  </si>
  <si>
    <t xml:space="preserve">Bare Conductor with No Risk of Fire or Danger </t>
  </si>
  <si>
    <t xml:space="preserve">Protective Bare Conductors in Hazardous Areas Where There is Risk </t>
  </si>
  <si>
    <t>to Any Other Touching or Surrounding Material</t>
  </si>
  <si>
    <t>of Fire from Petroleum Bound Oil or Other Surrounding Material</t>
  </si>
  <si>
    <t>Copper</t>
  </si>
  <si>
    <t>Aluminium</t>
  </si>
  <si>
    <t>Steel</t>
  </si>
  <si>
    <t>Inputs:</t>
  </si>
  <si>
    <t>: Maximum Fault Current (for Main Earth grid sizing)</t>
  </si>
  <si>
    <t>kA</t>
  </si>
  <si>
    <t>: Maximum Fault Current (for Plant Earth grid sizing)</t>
  </si>
  <si>
    <t>Sec.</t>
  </si>
  <si>
    <t>Ohm-m</t>
  </si>
  <si>
    <t>: Pipe electrode length (l)</t>
  </si>
  <si>
    <t>cm</t>
  </si>
  <si>
    <t>: Pipe electrode length in contact with ground (l)</t>
  </si>
  <si>
    <t>: Pipe electrode diameter (D)</t>
  </si>
  <si>
    <t>%</t>
  </si>
  <si>
    <t>Symbols</t>
  </si>
  <si>
    <t>I</t>
  </si>
  <si>
    <t>: Fault Current in kA</t>
  </si>
  <si>
    <t>t</t>
  </si>
  <si>
    <t xml:space="preserve">: Fault duration in seconds </t>
  </si>
  <si>
    <t>: Constant (for GI Earth strip in safe area)</t>
  </si>
  <si>
    <t>(ref. Table 6A of IS 3043:1987)</t>
  </si>
  <si>
    <t>(for GI Earth strip in Hazardous area)</t>
  </si>
  <si>
    <t>(ref. Table 6D of IS 3043:1987)</t>
  </si>
  <si>
    <t>w</t>
  </si>
  <si>
    <t>: Depth of burial of the strip in cm</t>
  </si>
  <si>
    <t>: Width of strip in cm</t>
  </si>
  <si>
    <t>Calculation for Number of Earth Electrodes:</t>
  </si>
  <si>
    <t>r</t>
  </si>
  <si>
    <t>ohm-m</t>
  </si>
  <si>
    <t>l</t>
  </si>
  <si>
    <t>cm (length in contact with ground)</t>
  </si>
  <si>
    <t>d</t>
  </si>
  <si>
    <t>ohm</t>
  </si>
  <si>
    <t xml:space="preserve">In order to achieve an overall earth resistance below 1 ohm, </t>
  </si>
  <si>
    <t>nos min. pipe electrodes are required.</t>
  </si>
  <si>
    <t>A</t>
  </si>
  <si>
    <r>
      <t>p</t>
    </r>
    <r>
      <rPr>
        <sz val="8"/>
        <rFont val="Arial"/>
        <family val="2"/>
      </rPr>
      <t>Dl</t>
    </r>
  </si>
  <si>
    <t>sq. m</t>
  </si>
  <si>
    <t>Considering 5% reduction in the gross area of pipe electrodes due to perforations &amp; also tapering of pipe electrodes at bottom.</t>
  </si>
  <si>
    <t xml:space="preserve">Hence net area of each pipe electrode </t>
  </si>
  <si>
    <t>sq.m.</t>
  </si>
  <si>
    <t>Area of each earth electrode</t>
  </si>
  <si>
    <t>Total Earth Electrode Area</t>
  </si>
  <si>
    <t>Ohm</t>
  </si>
  <si>
    <t>Hence Main earth strip shall be designed for this fault current</t>
  </si>
  <si>
    <t>K=</t>
  </si>
  <si>
    <t xml:space="preserve">S = </t>
  </si>
  <si>
    <t>I/K</t>
  </si>
  <si>
    <r>
      <t>Ö</t>
    </r>
    <r>
      <rPr>
        <sz val="8"/>
        <rFont val="Arial"/>
        <family val="2"/>
      </rPr>
      <t>t</t>
    </r>
  </si>
  <si>
    <t>Required Cross sect. area of GI strip  =</t>
  </si>
  <si>
    <t>sq.mm</t>
  </si>
  <si>
    <t xml:space="preserve">75  x 10 </t>
  </si>
  <si>
    <t>mm GI strip to be selected</t>
  </si>
  <si>
    <t>Therefore, Earth grid around Substation shall be by 75 x 10mm GI earth Strip</t>
  </si>
  <si>
    <t>Plant Earth Grid GI Strip Sizing</t>
  </si>
  <si>
    <r>
      <t xml:space="preserve">1/ I </t>
    </r>
    <r>
      <rPr>
        <sz val="8"/>
        <rFont val="Symbol"/>
        <family val="1"/>
        <charset val="2"/>
      </rPr>
      <t>Ö</t>
    </r>
    <r>
      <rPr>
        <sz val="8"/>
        <rFont val="Arial"/>
        <family val="2"/>
      </rPr>
      <t>t</t>
    </r>
  </si>
  <si>
    <t>(for hazardous area)</t>
  </si>
  <si>
    <t>50 x 6</t>
  </si>
  <si>
    <t>m</t>
  </si>
  <si>
    <t>Rs</t>
  </si>
  <si>
    <t>resistivity of soil in ohm-metre</t>
  </si>
  <si>
    <t>length of strip in cm</t>
  </si>
  <si>
    <t>depth of burial of the electrode in cm</t>
  </si>
  <si>
    <t>width of strip in cm</t>
  </si>
  <si>
    <t xml:space="preserve">= </t>
  </si>
  <si>
    <t>Conclusion:</t>
  </si>
  <si>
    <t>Recommendations:</t>
  </si>
  <si>
    <r>
      <t>1.</t>
    </r>
    <r>
      <rPr>
        <sz val="8"/>
        <rFont val="Arial"/>
        <family val="2"/>
      </rPr>
      <t xml:space="preserve"> Provide min.</t>
    </r>
  </si>
  <si>
    <t>nos.</t>
  </si>
  <si>
    <t xml:space="preserve">m. Long, </t>
  </si>
  <si>
    <r>
      <t>2.</t>
    </r>
    <r>
      <rPr>
        <sz val="8"/>
        <rFont val="Arial"/>
        <family val="2"/>
      </rPr>
      <t xml:space="preserve"> Each Transformer shall have 2 Nos. dedicated earth pits for Neutral grounding. </t>
    </r>
  </si>
  <si>
    <r>
      <t>3.</t>
    </r>
    <r>
      <rPr>
        <sz val="8"/>
        <rFont val="Arial"/>
        <family val="2"/>
      </rPr>
      <t xml:space="preserve"> Provide GI Earth strip for main earth grid </t>
    </r>
  </si>
  <si>
    <t>75 x 10</t>
  </si>
  <si>
    <t>mm bare strip</t>
  </si>
  <si>
    <t>Type of Equipment</t>
  </si>
  <si>
    <t>Bare GI Strip / GI Wire</t>
  </si>
  <si>
    <t>75 x 10 mm GI strip</t>
  </si>
  <si>
    <t>1.  IS 2309 : Protection of Buildings and Allied Structures Against Lightning - Code of Practice</t>
  </si>
  <si>
    <t>(Ref Fig. 1 of IS 2309)</t>
  </si>
  <si>
    <t>Calculations:</t>
  </si>
  <si>
    <t xml:space="preserve">A. </t>
  </si>
  <si>
    <t xml:space="preserve">Determination of  “Ng” ( Lightning flash density ) : </t>
  </si>
  <si>
    <t>The lightning flash density “Ng” is the number of flashes to ground per sq.km per year.</t>
  </si>
  <si>
    <t xml:space="preserve">Ng = </t>
  </si>
  <si>
    <t>Determination of  “Ac” ( Effective collection area of structure ):</t>
  </si>
  <si>
    <t>The effective collection area of structure is the area of the plan of the structure extended in all direction to take account of its height.</t>
  </si>
  <si>
    <r>
      <t>Ac = (L x W) + 2(L x H) + 2(W x H) + (Π x H</t>
    </r>
    <r>
      <rPr>
        <vertAlign val="superscript"/>
        <sz val="8"/>
        <rFont val="Arial"/>
        <family val="2"/>
      </rPr>
      <t xml:space="preserve">2 </t>
    </r>
    <r>
      <rPr>
        <sz val="8"/>
        <rFont val="Arial"/>
        <family val="2"/>
      </rPr>
      <t>)</t>
    </r>
  </si>
  <si>
    <t>(Refer IS 2309, Figure 2)</t>
  </si>
  <si>
    <t xml:space="preserve">Ac = </t>
  </si>
  <si>
    <r>
      <t xml:space="preserve"> m</t>
    </r>
    <r>
      <rPr>
        <vertAlign val="superscript"/>
        <sz val="8"/>
        <rFont val="Arial"/>
        <family val="2"/>
      </rPr>
      <t>2</t>
    </r>
  </si>
  <si>
    <t>Calculation of  “Probable number of strikers”:</t>
  </si>
  <si>
    <r>
      <t>P = Ac x Ng x 10</t>
    </r>
    <r>
      <rPr>
        <vertAlign val="superscript"/>
        <sz val="8"/>
        <rFont val="Arial"/>
        <family val="2"/>
      </rPr>
      <t xml:space="preserve">-6 </t>
    </r>
    <r>
      <rPr>
        <sz val="8"/>
        <rFont val="Arial"/>
        <family val="2"/>
      </rPr>
      <t xml:space="preserve">      </t>
    </r>
  </si>
  <si>
    <t>(Ref section 8.1.2  of IS 2309)</t>
  </si>
  <si>
    <t xml:space="preserve">P = </t>
  </si>
  <si>
    <t>Calculation of  “Overall weighting Factors” :</t>
  </si>
  <si>
    <t xml:space="preserve">  =</t>
  </si>
  <si>
    <t xml:space="preserve"> </t>
  </si>
  <si>
    <t>·         Determination of  “Overall Risk Factor”</t>
  </si>
  <si>
    <t>Overall Risk Factor = P x Overall weigthing Factor</t>
  </si>
  <si>
    <t xml:space="preserve">  = </t>
  </si>
  <si>
    <t>x</t>
  </si>
  <si>
    <t>&gt;</t>
  </si>
  <si>
    <r>
      <t>10</t>
    </r>
    <r>
      <rPr>
        <vertAlign val="superscript"/>
        <sz val="8"/>
        <rFont val="Arial"/>
        <family val="2"/>
      </rPr>
      <t>-5</t>
    </r>
  </si>
  <si>
    <r>
      <t>As per IS 2309 Clause 8.1.3 If Overall Risk Factor is greater than 10</t>
    </r>
    <r>
      <rPr>
        <vertAlign val="superscript"/>
        <sz val="8"/>
        <rFont val="Arial"/>
        <family val="2"/>
      </rPr>
      <t>-5</t>
    </r>
    <r>
      <rPr>
        <sz val="8"/>
        <rFont val="Arial"/>
        <family val="2"/>
      </rPr>
      <t xml:space="preserve">,  protection is required.  </t>
    </r>
  </si>
  <si>
    <t>Calculation for number of Down conductors required :</t>
  </si>
  <si>
    <t>As per Clause 12.2.3 and 12.2.4 &amp; Tabel - 4 of IS 2309, Down conductors required shall be as follows:</t>
  </si>
  <si>
    <t>Number of down conductors shall be at least the smaller of the following,</t>
  </si>
  <si>
    <r>
      <t>i)  One + Additional one for each 300 m</t>
    </r>
    <r>
      <rPr>
        <vertAlign val="superscript"/>
        <sz val="8"/>
        <rFont val="Arial"/>
        <family val="2"/>
      </rPr>
      <t>2</t>
    </r>
    <r>
      <rPr>
        <sz val="8"/>
        <rFont val="Arial"/>
        <family val="2"/>
      </rPr>
      <t xml:space="preserve"> of base area in excess of first 100 m</t>
    </r>
    <r>
      <rPr>
        <vertAlign val="superscript"/>
        <sz val="8"/>
        <rFont val="Arial"/>
        <family val="2"/>
      </rPr>
      <t>2</t>
    </r>
  </si>
  <si>
    <t>Number of down conductors</t>
  </si>
  <si>
    <t>ii)  one for each 30 m of perimeter of structure,</t>
  </si>
  <si>
    <t>Number of down conductors =</t>
  </si>
  <si>
    <t>B.</t>
  </si>
  <si>
    <t xml:space="preserve"> (Ref section 8.1.2  of IS 2309)</t>
  </si>
  <si>
    <r>
      <t>~</t>
    </r>
    <r>
      <rPr>
        <sz val="8"/>
        <rFont val="Arial"/>
        <family val="2"/>
      </rPr>
      <t xml:space="preserve">  2</t>
    </r>
  </si>
  <si>
    <t>.</t>
  </si>
  <si>
    <r>
      <t>~</t>
    </r>
    <r>
      <rPr>
        <sz val="8"/>
        <rFont val="Arial"/>
        <family val="2"/>
      </rPr>
      <t xml:space="preserve">  3</t>
    </r>
  </si>
  <si>
    <t>Annexure-1</t>
  </si>
  <si>
    <t>of</t>
  </si>
  <si>
    <t>Doc. No. 10013-EGC-CHC501-001</t>
  </si>
  <si>
    <t>Rev:        0</t>
  </si>
  <si>
    <r>
      <t xml:space="preserve">2&gt; </t>
    </r>
    <r>
      <rPr>
        <sz val="8"/>
        <rFont val="Arial"/>
        <family val="2"/>
      </rPr>
      <t>Depth of pipe electrode in contact with earth is considered as pipe length = 3 m</t>
    </r>
  </si>
  <si>
    <r>
      <t>4&gt;</t>
    </r>
    <r>
      <rPr>
        <sz val="8"/>
        <rFont val="Arial"/>
        <family val="2"/>
      </rPr>
      <t xml:space="preserve"> </t>
    </r>
  </si>
  <si>
    <t>11kV System : Resistance earthed by 250A NER.</t>
  </si>
  <si>
    <t>6.6kV System : Resistance earthed by 250A NER.</t>
  </si>
  <si>
    <t>0.415kV &amp; 0.690kV System : Solidly earthed.</t>
  </si>
  <si>
    <r>
      <t>5&gt;</t>
    </r>
    <r>
      <rPr>
        <sz val="8"/>
        <rFont val="Arial"/>
        <family val="2"/>
      </rPr>
      <t xml:space="preserve"> Material of earth electrode is considered as 100NB Class 'B' GI pipe Electrode ‐ 3m long as per Standard Specifiaction for Cable Trays &amp;</t>
    </r>
  </si>
  <si>
    <t>(LV Switchboard / PCC design fault current)</t>
  </si>
  <si>
    <t>The fault current calculated at this motor terminal is as below :</t>
  </si>
  <si>
    <t>Fault current available at PMCC Bus</t>
  </si>
  <si>
    <t>Source Voltage</t>
  </si>
  <si>
    <t>kV</t>
  </si>
  <si>
    <t>Source Reactance  (Xs)</t>
  </si>
  <si>
    <t xml:space="preserve">Cable size used </t>
  </si>
  <si>
    <t>sqmm Aluminium cable</t>
  </si>
  <si>
    <t>No of runs</t>
  </si>
  <si>
    <t>Cable Length</t>
  </si>
  <si>
    <t>Cable Resistance</t>
  </si>
  <si>
    <t>(ohm/km)</t>
  </si>
  <si>
    <t>ohm/km</t>
  </si>
  <si>
    <t>Cable Reactance</t>
  </si>
  <si>
    <t>Actual Cable Resistance</t>
  </si>
  <si>
    <t>Rc</t>
  </si>
  <si>
    <t>Actual Cable Reactance</t>
  </si>
  <si>
    <t>Xc</t>
  </si>
  <si>
    <t xml:space="preserve">Z total = </t>
  </si>
  <si>
    <r>
      <t>Rc</t>
    </r>
    <r>
      <rPr>
        <vertAlign val="superscript"/>
        <sz val="8"/>
        <rFont val="Arial"/>
        <family val="2"/>
      </rPr>
      <t xml:space="preserve">2 </t>
    </r>
    <r>
      <rPr>
        <sz val="8"/>
        <rFont val="Arial"/>
        <family val="2"/>
      </rPr>
      <t>+ (Xs + Xc)</t>
    </r>
    <r>
      <rPr>
        <vertAlign val="superscript"/>
        <sz val="8"/>
        <rFont val="Arial"/>
        <family val="2"/>
      </rPr>
      <t>2</t>
    </r>
  </si>
  <si>
    <t>Z total</t>
  </si>
  <si>
    <t>Fault current at end of Cable</t>
  </si>
  <si>
    <t xml:space="preserve">(Selected based on LV cable sizing table 10080-1-ENGG-GUI-EL-003) </t>
  </si>
  <si>
    <r>
      <t xml:space="preserve">3&gt; </t>
    </r>
    <r>
      <rPr>
        <sz val="8"/>
        <rFont val="Arial"/>
        <family val="2"/>
      </rPr>
      <t>For earth grid design, duration of fault current considered is 0.5 sec as per Electrical Design Basis.</t>
    </r>
  </si>
  <si>
    <r>
      <t>[100р/2Лl] x [log</t>
    </r>
    <r>
      <rPr>
        <vertAlign val="subscript"/>
        <sz val="8"/>
        <rFont val="Arial"/>
        <family val="2"/>
      </rPr>
      <t>e</t>
    </r>
    <r>
      <rPr>
        <sz val="8"/>
        <rFont val="Arial"/>
        <family val="2"/>
      </rPr>
      <t xml:space="preserve"> (2l/d)] ohm</t>
    </r>
  </si>
  <si>
    <t>4.1. Resistance of pipe electrode (ref. 9.2.2. of IS: 3043 - Amend No. 2)</t>
  </si>
  <si>
    <t xml:space="preserve">: Duration of Fault (Fault Clearing Time) </t>
  </si>
  <si>
    <t xml:space="preserve">: Average soil resistivity </t>
  </si>
  <si>
    <t>(ref. Cl 20.6.3.2  of IS 3043:1987)</t>
  </si>
  <si>
    <t>(for Non hazardous area near Substation)</t>
  </si>
  <si>
    <t xml:space="preserve">Design fault level for LV Switchboard / PCC is 65 kA for 1sec. </t>
  </si>
  <si>
    <r>
      <t xml:space="preserve">65 * 1000  </t>
    </r>
    <r>
      <rPr>
        <sz val="8"/>
        <rFont val="Arial"/>
        <family val="2"/>
      </rPr>
      <t xml:space="preserve">  *   </t>
    </r>
  </si>
  <si>
    <t>Ö 0.5</t>
  </si>
  <si>
    <t>Considering 30% Corrosion allowance :</t>
  </si>
  <si>
    <t>*  Ö 0.5</t>
  </si>
  <si>
    <t>Considering 30% Corrosion allowance:</t>
  </si>
  <si>
    <t>Since Cross sect area of 50 x 6mm GI Stip  =</t>
  </si>
  <si>
    <t>Since Cross sect area of 75 x 10mm GI Stip  =</t>
  </si>
  <si>
    <t>… installed at 600mm depth around Substation</t>
  </si>
  <si>
    <t>… installed at 600mm depth in plant area</t>
  </si>
  <si>
    <r>
      <t>4.</t>
    </r>
    <r>
      <rPr>
        <sz val="8"/>
        <rFont val="Arial"/>
        <family val="2"/>
      </rPr>
      <t xml:space="preserve"> Provide GI Earth strip for plant earth grid</t>
    </r>
  </si>
  <si>
    <t>1C x 70 sqmm AL, PVC Cable</t>
  </si>
  <si>
    <t>1C x 35 sqmm AL, PVC Cable</t>
  </si>
  <si>
    <t>2. Motors from 37 kW and above including MV motors</t>
  </si>
  <si>
    <t>(Refer E12-042)</t>
  </si>
  <si>
    <t>(Refer E12-040 / 041)</t>
  </si>
  <si>
    <t>1C x 70 sqmm AL, PVC Cable from Earth pit to</t>
  </si>
  <si>
    <t>Earth Bus to equipment</t>
  </si>
  <si>
    <t>earth Bus &amp; 1C x 6 sqmm Cu, PVC Cable from</t>
  </si>
  <si>
    <t>(Refer E12-044)</t>
  </si>
  <si>
    <t>Instrument reference earth Bus (Insulated earth bus)</t>
  </si>
  <si>
    <t>(Refer E12-046)</t>
  </si>
  <si>
    <t>(Refer E12-047)</t>
  </si>
  <si>
    <t>(Refer E12-048)</t>
  </si>
  <si>
    <t>sec.</t>
  </si>
  <si>
    <t>J</t>
  </si>
  <si>
    <r>
      <t xml:space="preserve">  7.57 x 10</t>
    </r>
    <r>
      <rPr>
        <vertAlign val="superscript"/>
        <sz val="8"/>
        <rFont val="Arial"/>
        <family val="2"/>
      </rPr>
      <t>3</t>
    </r>
  </si>
  <si>
    <t>A/sq.m</t>
  </si>
  <si>
    <r>
      <t>Ör</t>
    </r>
    <r>
      <rPr>
        <sz val="8"/>
        <rFont val="Arial"/>
        <family val="2"/>
      </rPr>
      <t>t</t>
    </r>
  </si>
  <si>
    <t>ohm-mtr</t>
  </si>
  <si>
    <t>sec</t>
  </si>
  <si>
    <r>
      <t xml:space="preserve">  7.57 x 10</t>
    </r>
    <r>
      <rPr>
        <vertAlign val="superscript"/>
        <sz val="9"/>
        <rFont val="Arial"/>
        <family val="2"/>
      </rPr>
      <t>3</t>
    </r>
  </si>
  <si>
    <r>
      <t>Ör</t>
    </r>
    <r>
      <rPr>
        <sz val="9"/>
        <rFont val="Arial"/>
        <family val="2"/>
      </rPr>
      <t>t</t>
    </r>
  </si>
  <si>
    <t>where t = duration of fault (sec)</t>
  </si>
  <si>
    <t>4.2. Permissible current density for given value of soil resistivity &amp; for given duration (ref. 10.3 of IS: 3043)</t>
  </si>
  <si>
    <t>4.3. The cross-sectional area of earthing conductor for disconnection time not exceeding 5 sec (ref. 12.2.2.1 of IS: 3043)</t>
  </si>
  <si>
    <t>4. Total surface area of pipe electrode required for fault current dissipation =</t>
  </si>
  <si>
    <t>Fault current component in amperes for dissipation through earthing elements</t>
  </si>
  <si>
    <t>current density in A/sq.m</t>
  </si>
  <si>
    <t>Substation</t>
  </si>
  <si>
    <t>Plant</t>
  </si>
  <si>
    <t>Total Fault kA</t>
  </si>
  <si>
    <t>Current Density</t>
  </si>
  <si>
    <t>Total surface area of earth elements required</t>
  </si>
  <si>
    <t>sq.m</t>
  </si>
  <si>
    <t>5. Minimum Total number of pipe electrode required to be interconnected for Plot spread</t>
  </si>
  <si>
    <t>sqm</t>
  </si>
  <si>
    <t>Total no. of earth electrodes</t>
  </si>
  <si>
    <t>Nos.</t>
  </si>
  <si>
    <t>1. Resistance to pipe electrode</t>
  </si>
  <si>
    <t>3. Total area of each pipe electrode in contact with ground</t>
  </si>
  <si>
    <r>
      <t xml:space="preserve">Main Earth Grid GI Strip Sizing </t>
    </r>
    <r>
      <rPr>
        <sz val="8"/>
        <color indexed="12"/>
        <rFont val="Arial"/>
        <family val="2"/>
      </rPr>
      <t>(Around Substation)</t>
    </r>
  </si>
  <si>
    <t>mm GI earth strip may be selected.</t>
  </si>
  <si>
    <t>B</t>
  </si>
  <si>
    <t>C</t>
  </si>
  <si>
    <t>Estimated Strip Laid Area (Substation):</t>
  </si>
  <si>
    <t>Estimated Strip Laid Area (Plant):</t>
  </si>
  <si>
    <t>N</t>
  </si>
  <si>
    <t>6. Earth Strip Areas =</t>
  </si>
  <si>
    <t>Area of Strip in contact with ground</t>
  </si>
  <si>
    <t>(Refer Section B)</t>
  </si>
  <si>
    <t>(Refer Section C)</t>
  </si>
  <si>
    <t>Strip run around Substation</t>
  </si>
  <si>
    <t>Strip run over Plant</t>
  </si>
  <si>
    <t xml:space="preserve">Cross sectional area of Main earth strip (GI) required to carry the rated fault current for 0.5 sec </t>
  </si>
  <si>
    <t>The max. earth fault current to be dessipated by plant earth grid is same as that of the earth fault current of the largest kW motor</t>
  </si>
  <si>
    <t>D.</t>
  </si>
  <si>
    <t>System Resistance:</t>
  </si>
  <si>
    <t>Resistance of one electrode:</t>
  </si>
  <si>
    <t>No. of electrodes forming Grid:</t>
  </si>
  <si>
    <t>Effective Resistance achieved:</t>
  </si>
  <si>
    <t>E.</t>
  </si>
  <si>
    <t>Grid Resistance</t>
  </si>
  <si>
    <r>
      <t>[100</t>
    </r>
    <r>
      <rPr>
        <sz val="8"/>
        <rFont val="Calibri"/>
        <family val="2"/>
      </rPr>
      <t>p</t>
    </r>
    <r>
      <rPr>
        <sz val="8"/>
        <rFont val="Arial"/>
        <family val="2"/>
      </rPr>
      <t>/2pi*l] x [loge(4l/t)]</t>
    </r>
  </si>
  <si>
    <t>Resistance of strip electrode (ref. 9.2.3 of IS: 3043_Amend 2)</t>
  </si>
  <si>
    <t>J  =</t>
  </si>
  <si>
    <t>(Max of the surface area calculated above in 4.)</t>
  </si>
  <si>
    <t>Calculation:</t>
  </si>
  <si>
    <t xml:space="preserve"> Ö</t>
  </si>
  <si>
    <t>Determination of requirement of lightning protection for substation building</t>
  </si>
  <si>
    <t>The principal components of Lightning Protection System are:</t>
  </si>
  <si>
    <r>
      <t>1. Total Collection Area (in m</t>
    </r>
    <r>
      <rPr>
        <b/>
        <vertAlign val="superscript"/>
        <sz val="8"/>
        <color indexed="17"/>
        <rFont val="Arial"/>
        <family val="2"/>
      </rPr>
      <t>2</t>
    </r>
    <r>
      <rPr>
        <b/>
        <sz val="8"/>
        <color indexed="17"/>
        <rFont val="Arial"/>
        <family val="2"/>
      </rPr>
      <t>) (Ref.equation 1 of 8.1.2 of IS-2309-1989)</t>
    </r>
  </si>
  <si>
    <t xml:space="preserve">Ac </t>
  </si>
  <si>
    <r>
      <t>A</t>
    </r>
    <r>
      <rPr>
        <vertAlign val="subscript"/>
        <sz val="8"/>
        <rFont val="Arial"/>
        <family val="2"/>
      </rPr>
      <t>c</t>
    </r>
    <r>
      <rPr>
        <sz val="8"/>
        <rFont val="Arial"/>
        <family val="2"/>
      </rPr>
      <t xml:space="preserve">  = Collection Area in m</t>
    </r>
    <r>
      <rPr>
        <vertAlign val="superscript"/>
        <sz val="8"/>
        <rFont val="Arial"/>
        <family val="2"/>
      </rPr>
      <t>2</t>
    </r>
  </si>
  <si>
    <t>L = Length of the structure in meter</t>
  </si>
  <si>
    <t>W = Width of the structure in meter</t>
  </si>
  <si>
    <t>H = Height of the structure in meter</t>
  </si>
  <si>
    <t>2. The probable no. of strikes (Risk) to the structure per year (Ref.equation 2 of 8.1.2 of IS-2309-1989)</t>
  </si>
  <si>
    <t>P</t>
  </si>
  <si>
    <t xml:space="preserve">P = The probable no. of strikes (Risk) to the structure per year </t>
  </si>
  <si>
    <r>
      <t>N</t>
    </r>
    <r>
      <rPr>
        <vertAlign val="subscript"/>
        <sz val="8"/>
        <rFont val="Arial"/>
        <family val="2"/>
      </rPr>
      <t>g</t>
    </r>
    <r>
      <rPr>
        <sz val="8"/>
        <rFont val="Arial"/>
        <family val="2"/>
      </rPr>
      <t xml:space="preserve"> = Lightning flashes per sq. Kilometer per year</t>
    </r>
  </si>
  <si>
    <t>3. Recommended No. of Down Conductors (Ref.12.2.3 of IS-2309)</t>
  </si>
  <si>
    <t xml:space="preserve">For a structure having a base area exceeding 100 sq.meter , the number of Down conductors should be at least </t>
  </si>
  <si>
    <t>the smaller of the following:</t>
  </si>
  <si>
    <t xml:space="preserve"> a)</t>
  </si>
  <si>
    <t xml:space="preserve"> b)</t>
  </si>
  <si>
    <t>One for each 30 meter of perimeter of the structure protected.</t>
  </si>
  <si>
    <t>Lightning Protection System (LPS)- General</t>
  </si>
  <si>
    <t xml:space="preserve">From lightning protection point of view, buildings / process units of the Plant can be broadly classified in two categories viz. </t>
  </si>
  <si>
    <t>In order to achieve an overall earth resistance below 1 ohm &amp; dessipation of 65kA of earth fault current, min</t>
  </si>
  <si>
    <t>electrodes will be required.</t>
  </si>
  <si>
    <r>
      <t>7.</t>
    </r>
    <r>
      <rPr>
        <sz val="8"/>
        <rFont val="Arial"/>
        <family val="2"/>
      </rPr>
      <t xml:space="preserve"> Size of Earth conductors for various equipments shall be as given in the table below  (referred from electrical standard installation dwg):</t>
    </r>
  </si>
  <si>
    <t>50 x 6 mm GI strip at min 30 m interval</t>
  </si>
  <si>
    <t>50 x 6 mm GI strip</t>
  </si>
  <si>
    <t>3. HV / MV / LV switchgear, Main earth grid around substation, Plant earth grid</t>
  </si>
  <si>
    <t>Contd on next sheet…</t>
  </si>
  <si>
    <t>Contd from previous sheet…</t>
  </si>
  <si>
    <t>(Refer E12-012)</t>
  </si>
  <si>
    <t>Overall weigthing factors = A x B x C x D x E</t>
  </si>
  <si>
    <t xml:space="preserve">  = 0.7 x 0.4 x 0.8 x 1 x 0.3              ( Ref. IS 2309, Table 1 )</t>
  </si>
  <si>
    <r>
      <t>~</t>
    </r>
    <r>
      <rPr>
        <sz val="8"/>
        <rFont val="Arial"/>
        <family val="2"/>
      </rPr>
      <t xml:space="preserve">  8</t>
    </r>
  </si>
  <si>
    <r>
      <t>~</t>
    </r>
    <r>
      <rPr>
        <sz val="8"/>
        <rFont val="Arial"/>
        <family val="2"/>
      </rPr>
      <t xml:space="preserve">  5</t>
    </r>
  </si>
  <si>
    <t>Base Area of Substation building = (Area of Switchgear room ) + (Area of VFD &amp; maint room) + (Area of Staircases)</t>
  </si>
  <si>
    <t xml:space="preserve">Base Area of Substation building = (78 x 12) + (6 x 24) + 3 x (6 x 6) </t>
  </si>
  <si>
    <r>
      <t>m</t>
    </r>
    <r>
      <rPr>
        <vertAlign val="superscript"/>
        <sz val="8"/>
        <rFont val="Arial"/>
        <family val="2"/>
      </rPr>
      <t>2</t>
    </r>
  </si>
  <si>
    <r>
      <t xml:space="preserve">   &gt;   100 m</t>
    </r>
    <r>
      <rPr>
        <vertAlign val="superscript"/>
        <sz val="8"/>
        <rFont val="Arial"/>
        <family val="2"/>
      </rPr>
      <t>2</t>
    </r>
  </si>
  <si>
    <r>
      <t>= 1 +</t>
    </r>
    <r>
      <rPr>
        <u/>
        <sz val="8"/>
        <rFont val="Arial"/>
        <family val="2"/>
      </rPr>
      <t xml:space="preserve"> (1188 - 100)  </t>
    </r>
  </si>
  <si>
    <t xml:space="preserve">Perimeter of Substation building =  2 x (78 + 12) + (8 x 6)   =   </t>
  </si>
  <si>
    <t>connected to dedicated earth pits (5 nos).</t>
  </si>
  <si>
    <t xml:space="preserve"> Determination of lightning protection for Plant Interface Building (PIB)</t>
  </si>
  <si>
    <t>PIB Building Dimensions :    Length (L) = 37 m,       Width (W) = 10 m,           Height (H) = 5.65 m</t>
  </si>
  <si>
    <r>
      <t>Ac = (37 x 10) + 2(37 x 5.65) + 2(10 x 5.65) + (3.14 x 5.65</t>
    </r>
    <r>
      <rPr>
        <vertAlign val="superscript"/>
        <sz val="8"/>
        <rFont val="Arial"/>
        <family val="2"/>
      </rPr>
      <t xml:space="preserve">2 </t>
    </r>
    <r>
      <rPr>
        <sz val="8"/>
        <rFont val="Arial"/>
        <family val="2"/>
      </rPr>
      <t>)</t>
    </r>
  </si>
  <si>
    <r>
      <t>P = 1001.34 x 0.5 x 10</t>
    </r>
    <r>
      <rPr>
        <vertAlign val="superscript"/>
        <sz val="8"/>
        <rFont val="Arial"/>
        <family val="2"/>
      </rPr>
      <t>-6</t>
    </r>
  </si>
  <si>
    <r>
      <t xml:space="preserve">=  0.5 x 10 </t>
    </r>
    <r>
      <rPr>
        <vertAlign val="superscript"/>
        <sz val="8"/>
        <rFont val="Arial"/>
        <family val="2"/>
      </rPr>
      <t>-3</t>
    </r>
  </si>
  <si>
    <r>
      <t xml:space="preserve">=  3.4 x 10 </t>
    </r>
    <r>
      <rPr>
        <vertAlign val="superscript"/>
        <sz val="8"/>
        <rFont val="Arial"/>
        <family val="2"/>
      </rPr>
      <t>-5</t>
    </r>
  </si>
  <si>
    <r>
      <t>3.4 x 10</t>
    </r>
    <r>
      <rPr>
        <vertAlign val="superscript"/>
        <sz val="8"/>
        <rFont val="Arial"/>
        <family val="2"/>
      </rPr>
      <t>-5</t>
    </r>
  </si>
  <si>
    <r>
      <t>Base Area of PIB building = 37 x 10       =    370 m</t>
    </r>
    <r>
      <rPr>
        <vertAlign val="superscript"/>
        <sz val="8"/>
        <rFont val="Arial"/>
        <family val="2"/>
      </rPr>
      <t>2</t>
    </r>
    <r>
      <rPr>
        <sz val="8"/>
        <rFont val="Arial"/>
        <family val="2"/>
      </rPr>
      <t xml:space="preserve">         &gt;   100 m</t>
    </r>
    <r>
      <rPr>
        <vertAlign val="superscript"/>
        <sz val="8"/>
        <rFont val="Arial"/>
        <family val="2"/>
      </rPr>
      <t>2</t>
    </r>
  </si>
  <si>
    <r>
      <t>=</t>
    </r>
    <r>
      <rPr>
        <sz val="8"/>
        <rFont val="Arial"/>
        <family val="2"/>
      </rPr>
      <t xml:space="preserve"> 1 + </t>
    </r>
    <r>
      <rPr>
        <u/>
        <sz val="8"/>
        <rFont val="Arial"/>
        <family val="2"/>
      </rPr>
      <t>(370 - 100)</t>
    </r>
  </si>
  <si>
    <t xml:space="preserve">Perimeter of PIB building =  (2 x 30) + (2 x 10)   =   </t>
  </si>
  <si>
    <t>3. Earth resistance: 10 Ω for lightning</t>
  </si>
  <si>
    <t>4. Down comer size 32x6 mm GI strip</t>
  </si>
  <si>
    <t>(Approx length for calculation purpose only)</t>
  </si>
  <si>
    <t>Earth Grid around the Substation</t>
  </si>
  <si>
    <t>NTS</t>
  </si>
  <si>
    <t xml:space="preserve">Earth Grid around the Plot &amp; below Piperacks </t>
  </si>
  <si>
    <t>Total Area covered by earth strip in Plant &amp; Substation</t>
  </si>
  <si>
    <t>Therefore, the total surface area covered by earth grid is more than the required area of earth elements to dissipate 65kA fault current</t>
  </si>
  <si>
    <t>for the 0.5sec duration as calculated above in 4.</t>
  </si>
  <si>
    <t>Considering corrossion allowance :</t>
  </si>
  <si>
    <t>The effective resistance of the grounding system is 0.03 ohm, which is within the maximum permissible value of 1 ohm.</t>
  </si>
  <si>
    <t xml:space="preserve"> Determination of lightning protection for Maintenance Building</t>
  </si>
  <si>
    <t>C.</t>
  </si>
  <si>
    <r>
      <t>Peripheral steel columns of these structures shall be connected (at every 30 Mtrs interval) to main Earthing Network via 50 x 6 mm GI strips.  Resistance to earth for LPS shall be less than 10 Ω. (</t>
    </r>
    <r>
      <rPr>
        <i/>
        <sz val="8"/>
        <rFont val="Arial"/>
        <family val="2"/>
      </rPr>
      <t xml:space="preserve">Refer IS 2309: 1989 section 12.3.1).     </t>
    </r>
  </si>
  <si>
    <t xml:space="preserve">Since earth termination network of LPS and plant main earth network is common (as recommended in IS 2309:1989 section 12.3.3) the resistance to earth shall be less than 1 Ω thus ensuring very efficient LPS. </t>
  </si>
  <si>
    <t>a.</t>
  </si>
  <si>
    <t>b.</t>
  </si>
  <si>
    <t>SUMMARY</t>
  </si>
  <si>
    <t xml:space="preserve"> (a)</t>
  </si>
  <si>
    <t xml:space="preserve"> (b)</t>
  </si>
  <si>
    <r>
      <t>Most of the process units in the plant are metallic structures (made of structural steel columns, beams, interconnecting framework, platforms at different elevations, handrails etc.)  Since these structures are metallic and firmly bonded from top to bottom they can be considered as “Natural components” of LPS and hence no separate “Air Termination Network” and “Down Conductors” are necessary. 
(</t>
    </r>
    <r>
      <rPr>
        <i/>
        <sz val="8"/>
        <rFont val="Arial"/>
        <family val="2"/>
      </rPr>
      <t>Refer sections 12.1, 12.2 &amp; 12.5.3 of IS 2309:1989)</t>
    </r>
    <r>
      <rPr>
        <sz val="8"/>
        <rFont val="Arial"/>
        <family val="2"/>
      </rPr>
      <t xml:space="preserve">                                                                                                                                    
                                                                                                                                                                                                                              </t>
    </r>
  </si>
  <si>
    <r>
      <t>~</t>
    </r>
    <r>
      <rPr>
        <sz val="8"/>
        <rFont val="Arial"/>
        <family val="2"/>
      </rPr>
      <t xml:space="preserve">  4</t>
    </r>
  </si>
  <si>
    <t>Area of the Structure : 50.3  Mtr. x 45.5 Mtr.</t>
  </si>
  <si>
    <t xml:space="preserve">(Base Area) </t>
  </si>
  <si>
    <t>Height of the Structure : 133.7 Mtr.</t>
  </si>
  <si>
    <t>Resin Degassing &amp; Pelletising Building:</t>
  </si>
  <si>
    <t xml:space="preserve">Resin Degassing &amp; Pelletising is having Concrete Structure upto EL 69.8 m and metallic structures above (made of structural steel columns, beams, interconnecting framework,  platforms at different elevations, handrails etc.).  Since the total structure is metallic and firmly bonded from top to bottom they can be considered as “Natural components” of LPS. Hence no separate “Air Termination Network” and “Down Conductors” are envisaged for Structure above EL 69.8 m Peripheral steel columns of these structures shall be connected (at every 30 Mtrs interval) to main Earthing Network via 50 x 6 mm GI strips,
</t>
  </si>
  <si>
    <r>
      <t>Base Area of Structure = 50.3 x 45.5       =    2288.65 m</t>
    </r>
    <r>
      <rPr>
        <vertAlign val="superscript"/>
        <sz val="8"/>
        <rFont val="Arial"/>
        <family val="2"/>
      </rPr>
      <t>2</t>
    </r>
    <r>
      <rPr>
        <sz val="8"/>
        <rFont val="Arial"/>
        <family val="2"/>
      </rPr>
      <t xml:space="preserve">         &gt;   100 m</t>
    </r>
    <r>
      <rPr>
        <vertAlign val="superscript"/>
        <sz val="8"/>
        <rFont val="Arial"/>
        <family val="2"/>
      </rPr>
      <t>2</t>
    </r>
  </si>
  <si>
    <r>
      <t xml:space="preserve">= 1 + </t>
    </r>
    <r>
      <rPr>
        <u/>
        <sz val="8"/>
        <rFont val="Arial"/>
        <family val="2"/>
      </rPr>
      <t>(2288.65 - 100)</t>
    </r>
  </si>
  <si>
    <r>
      <t>~</t>
    </r>
    <r>
      <rPr>
        <sz val="8"/>
        <rFont val="Arial"/>
        <family val="2"/>
      </rPr>
      <t xml:space="preserve">  9</t>
    </r>
  </si>
  <si>
    <r>
      <t>~</t>
    </r>
    <r>
      <rPr>
        <sz val="8"/>
        <rFont val="Arial"/>
        <family val="2"/>
      </rPr>
      <t xml:space="preserve">  7</t>
    </r>
  </si>
  <si>
    <t>And it is considered that Lightning protection is required.</t>
  </si>
  <si>
    <t>Therefore Total 9 Nos Down conductors shall be required to be connected to dedicated earth pits (9 nos).</t>
  </si>
  <si>
    <t>Earth Pit Count</t>
  </si>
  <si>
    <t>Substation &amp; Plant Eartrh Grid including Transformer Neutral Grounding Pits</t>
  </si>
  <si>
    <t>Instrument Clean earthing</t>
  </si>
  <si>
    <t>Lightning Earth Pits</t>
  </si>
  <si>
    <t>substation building</t>
  </si>
  <si>
    <t>Plant Interface Building (PIB)</t>
  </si>
  <si>
    <t xml:space="preserve"> Maintenance Building</t>
  </si>
  <si>
    <t xml:space="preserve">Perimeter of Structure =  (2 x 50.3) + (2 x 45.5)   =   </t>
  </si>
  <si>
    <t>Reaction Area (including Compressor shed)</t>
  </si>
  <si>
    <t>Seed Bed Silos</t>
  </si>
  <si>
    <t>Pellet Blending Silos</t>
  </si>
  <si>
    <t>Vent Gas Recovery &amp; Compression</t>
  </si>
  <si>
    <t>Purification</t>
  </si>
  <si>
    <t>Section-1 : Earthing Study</t>
  </si>
  <si>
    <t>Section-2 : Lightning Study</t>
  </si>
  <si>
    <t>Page   2   of     9</t>
  </si>
  <si>
    <t>This document covers the calculation to determine and establish the adequecy of Llightning Protection System (LPS) requirements</t>
  </si>
  <si>
    <t>Maintenance Building</t>
  </si>
  <si>
    <t>a. RCC Buildings (e.g. Substations, PIB building &amp; Maintenance building).</t>
  </si>
  <si>
    <t>Total EP</t>
  </si>
  <si>
    <t>Total LEP</t>
  </si>
  <si>
    <t>Total EP + LEP</t>
  </si>
  <si>
    <t>b. Metallic structures/buildings (e.g. Resin Degassing &amp; Pelletising Building,  Reaction Area (including Compressor shed),  Seed Bed Silos,      
    Pellet Blending Silos, Vent Gas Recovery &amp; Compression and Purification )</t>
  </si>
  <si>
    <t xml:space="preserve">Additionally 2 Nos Down conductors are required for Direct connection of Steel structure (above EL 69.8 m) to the Earth grid.  </t>
  </si>
  <si>
    <t xml:space="preserve">Calculations </t>
  </si>
  <si>
    <t>D</t>
  </si>
  <si>
    <t>System resistance</t>
  </si>
  <si>
    <t>E</t>
  </si>
  <si>
    <t>Grid resistance</t>
  </si>
  <si>
    <t>Substation Building</t>
  </si>
  <si>
    <t>LPS For Metallic Structures/Buildings</t>
  </si>
  <si>
    <t>Summary</t>
  </si>
  <si>
    <t>Calculation for Requirement of LPS</t>
  </si>
  <si>
    <t>Hexene &amp; Butene Area</t>
  </si>
  <si>
    <t>Area of the Structure :  36  Mtr. x  8 Mtr. +  12  Mtr. x  12 Mtr.</t>
  </si>
  <si>
    <t>Hydrogen Compressor Area</t>
  </si>
  <si>
    <t>Area of the Structure :  30  Mtr. x  7 Mtr.</t>
  </si>
  <si>
    <t>Nitrogen Compressor Area</t>
  </si>
  <si>
    <t>ICA &amp; Butane Area</t>
  </si>
  <si>
    <t>Height of the Structure : 53 Mtr.</t>
  </si>
  <si>
    <t>Area of the Structure :  24  Mtr. x  8 Mtr. +  12  Mtr. x  12 Mtr.</t>
  </si>
  <si>
    <t>One plus an additional one for each 300 sq.meter, or a part thereof , in excess of the first 100 sq.meter.</t>
  </si>
  <si>
    <r>
      <t xml:space="preserve">1&gt; </t>
    </r>
    <r>
      <rPr>
        <sz val="8"/>
        <rFont val="Arial"/>
        <family val="2"/>
      </rPr>
      <t xml:space="preserve">Soil Resistivity is taken as 45 ohm-m as per Clause no 11 (Page 25 of 42) of Ref Documents as mentioned under 5&gt; above.   </t>
    </r>
  </si>
  <si>
    <t>earthing Material.</t>
  </si>
  <si>
    <t xml:space="preserve">: Corrosion allowance for GI strip  </t>
  </si>
  <si>
    <t>(As per Design Basis CL No. 8.10)</t>
  </si>
  <si>
    <t>However for Standardization purpose,  Earth grid for Plant shall be by selected as 75 x 10mm GI earth Strip</t>
  </si>
  <si>
    <t>2. Permissible current density for given value of soil resistivity &amp; for given duration of</t>
  </si>
  <si>
    <t>Hence, Effective resistance of Substation &amp; Plant Earth Strip,</t>
  </si>
  <si>
    <t>Effective Plant Earth Resistance</t>
  </si>
  <si>
    <r>
      <t>R</t>
    </r>
    <r>
      <rPr>
        <b/>
        <vertAlign val="subscript"/>
        <sz val="8"/>
        <rFont val="Arial"/>
        <family val="2"/>
      </rPr>
      <t>e</t>
    </r>
    <r>
      <rPr>
        <b/>
        <sz val="8"/>
        <rFont val="Arial"/>
        <family val="2"/>
      </rPr>
      <t xml:space="preserve">  =</t>
    </r>
  </si>
  <si>
    <r>
      <t>Electrodes R</t>
    </r>
    <r>
      <rPr>
        <vertAlign val="subscript"/>
        <sz val="8"/>
        <rFont val="Arial"/>
        <family val="2"/>
      </rPr>
      <t>e</t>
    </r>
    <r>
      <rPr>
        <sz val="8"/>
        <rFont val="Arial"/>
        <family val="2"/>
      </rPr>
      <t xml:space="preserve"> x Strip  R</t>
    </r>
    <r>
      <rPr>
        <vertAlign val="subscript"/>
        <sz val="8"/>
        <rFont val="Arial"/>
        <family val="2"/>
      </rPr>
      <t>s</t>
    </r>
  </si>
  <si>
    <r>
      <t>Substation Strip R</t>
    </r>
    <r>
      <rPr>
        <vertAlign val="subscript"/>
        <sz val="8"/>
        <rFont val="Arial"/>
        <family val="2"/>
      </rPr>
      <t>s</t>
    </r>
    <r>
      <rPr>
        <sz val="8"/>
        <rFont val="Arial"/>
        <family val="2"/>
      </rPr>
      <t xml:space="preserve"> x Plant Strip R</t>
    </r>
    <r>
      <rPr>
        <vertAlign val="subscript"/>
        <sz val="8"/>
        <rFont val="Arial"/>
        <family val="2"/>
      </rPr>
      <t>s</t>
    </r>
  </si>
  <si>
    <t>NB Class 'B' GI, pipe electrodes  Distributed around substation &amp; Plant</t>
  </si>
  <si>
    <r>
      <t>5.</t>
    </r>
    <r>
      <rPr>
        <sz val="8"/>
        <rFont val="Arial"/>
        <family val="2"/>
      </rPr>
      <t xml:space="preserve"> Plant earth grid shall be connected to substation earth grid at Minimum two locations.</t>
    </r>
  </si>
  <si>
    <t>Bare GI Strip / AL or Cu cable</t>
  </si>
  <si>
    <t>2 Nos.</t>
  </si>
  <si>
    <t>4. NGR Earth Terminal</t>
  </si>
  <si>
    <t>(Refer E12-041)</t>
  </si>
  <si>
    <t>5. Distribution Transformer Neutral</t>
  </si>
  <si>
    <t>(Refer E12-040)</t>
  </si>
  <si>
    <t>6. Power &amp; Distribution Transformer Body</t>
  </si>
  <si>
    <t>7. Transformer HV Terminal Box</t>
  </si>
  <si>
    <t>1 No.</t>
  </si>
  <si>
    <t>1C x 16 sqmm AL, PVC Cable</t>
  </si>
  <si>
    <t>9. Rectifier / battery charger, Local Panels</t>
  </si>
  <si>
    <t>8. Transformer LV Terminal Box</t>
  </si>
  <si>
    <t>(Qty As calculated)</t>
  </si>
  <si>
    <t>10. Lighting Transformers</t>
  </si>
  <si>
    <t xml:space="preserve">11. Lighting, Small Power and Instrument panels, UPS </t>
  </si>
  <si>
    <t>12. Street lighting poles</t>
  </si>
  <si>
    <t>13. Pipe racks &amp; cable Trays on Piperack</t>
  </si>
  <si>
    <t>14. Bonding of pipeworks</t>
  </si>
  <si>
    <t>15. Building columns / Steel Structure</t>
  </si>
  <si>
    <t>16. Storage tanks (vertical and horizontal)</t>
  </si>
  <si>
    <t>17. Stairs &amp; Ladders</t>
  </si>
  <si>
    <t>18.  Vessels and heat exchangers</t>
  </si>
  <si>
    <t>20.</t>
  </si>
  <si>
    <t>21. Horizontal Air Termination for  lightning protection of buildings</t>
  </si>
  <si>
    <t xml:space="preserve">50 x 6 mm GI Strip </t>
  </si>
  <si>
    <t>(mesh of 20 m x 10 m)</t>
  </si>
  <si>
    <t xml:space="preserve">a. Air terminations (e.g. rods, horizontal roof conductors, metallic roofs, hand rails etc)
b. Down conductors (e.g. metal strips, part of building metal frame work, interconnected steel frame work of structure etc)
c. Earth termination network/electrode (e.g. main earthing grid &amp; earth electrodes)
</t>
  </si>
  <si>
    <t>Substation Dimensions :      Length (L) = 78 m,       Width (W) = 18 m,           Height (H) = 11 m</t>
  </si>
  <si>
    <r>
      <t>Ac = (78 x 18) + 2(78 x 11) + 2(18 x 11) + (3.14 x 11</t>
    </r>
    <r>
      <rPr>
        <vertAlign val="superscript"/>
        <sz val="8"/>
        <rFont val="Arial"/>
        <family val="2"/>
      </rPr>
      <t xml:space="preserve">2 </t>
    </r>
    <r>
      <rPr>
        <sz val="8"/>
        <rFont val="Arial"/>
        <family val="2"/>
      </rPr>
      <t>)</t>
    </r>
  </si>
  <si>
    <r>
      <t>P = 3896.1 x 0.5 x 10</t>
    </r>
    <r>
      <rPr>
        <vertAlign val="superscript"/>
        <sz val="8"/>
        <rFont val="Arial"/>
        <family val="2"/>
      </rPr>
      <t>-6</t>
    </r>
  </si>
  <si>
    <r>
      <t xml:space="preserve">=  1.95 x 10 </t>
    </r>
    <r>
      <rPr>
        <vertAlign val="superscript"/>
        <sz val="8"/>
        <rFont val="Arial"/>
        <family val="2"/>
      </rPr>
      <t>-3</t>
    </r>
  </si>
  <si>
    <r>
      <t xml:space="preserve">=  13.1 x 10 </t>
    </r>
    <r>
      <rPr>
        <vertAlign val="superscript"/>
        <sz val="8"/>
        <rFont val="Arial"/>
        <family val="2"/>
      </rPr>
      <t>-5</t>
    </r>
  </si>
  <si>
    <r>
      <t>13.1 x 10</t>
    </r>
    <r>
      <rPr>
        <vertAlign val="superscript"/>
        <sz val="8"/>
        <rFont val="Arial"/>
        <family val="2"/>
      </rPr>
      <t>-5</t>
    </r>
  </si>
  <si>
    <t>Air termination (mesh of 20 m x 10 m) GI strip of size 50 x 6 mm may be employed as shown in typical arrangement  fig 5 of IS 2309</t>
  </si>
  <si>
    <t xml:space="preserve">Since the Structure is above 20 m Height, calculation for Probable no. of strikes &amp; Risk factor is omitted.  </t>
  </si>
  <si>
    <t>Other Structures in the Plant (having Height above 20 m)</t>
  </si>
  <si>
    <t>Below is  the list of such structures</t>
  </si>
  <si>
    <t>i.</t>
  </si>
  <si>
    <t>ii.</t>
  </si>
  <si>
    <t>iii.</t>
  </si>
  <si>
    <t>iv.</t>
  </si>
  <si>
    <t>v.</t>
  </si>
  <si>
    <t xml:space="preserve"> LPS FOR METALLIC STRUCTURES / BUILDINGS</t>
  </si>
  <si>
    <r>
      <t>Substation Strip R</t>
    </r>
    <r>
      <rPr>
        <vertAlign val="subscript"/>
        <sz val="8"/>
        <rFont val="Arial"/>
        <family val="2"/>
      </rPr>
      <t>s</t>
    </r>
    <r>
      <rPr>
        <sz val="8"/>
        <rFont val="Arial"/>
        <family val="2"/>
      </rPr>
      <t xml:space="preserve"> + Plant Strip R</t>
    </r>
    <r>
      <rPr>
        <vertAlign val="subscript"/>
        <sz val="8"/>
        <rFont val="Arial"/>
        <family val="2"/>
      </rPr>
      <t>s</t>
    </r>
  </si>
  <si>
    <t>connected to dedicated earth pits (2 nos).</t>
  </si>
  <si>
    <t>For all process units which are metallic structures, no separate “Air Termination Network” and “Down Conductors” are proposed/provided. This is in line with IS recommendations. At ground level, these structures are connected to “Main Earth Network” to ensure earth connectivity below 1 Ω.</t>
  </si>
  <si>
    <t>8. Local Control stations (LCS)  **</t>
  </si>
  <si>
    <t>Summary of Earth Electrodes</t>
  </si>
  <si>
    <t>1.</t>
  </si>
  <si>
    <t>2.</t>
  </si>
  <si>
    <t>:</t>
  </si>
  <si>
    <t xml:space="preserve">3. </t>
  </si>
  <si>
    <t>(Refer - Annexure-1) *</t>
  </si>
  <si>
    <t xml:space="preserve">   *   11kV &amp; 6.6kV Systems are resistively earthed with NGR rating 250A.  Therefore plant earthing is designed considering Maximum earth</t>
  </si>
  <si>
    <t>3C X 300</t>
  </si>
  <si>
    <t xml:space="preserve">(Estimated from plot plan)
</t>
  </si>
  <si>
    <t xml:space="preserve">15.45  * 1000      </t>
  </si>
  <si>
    <t>Nos</t>
  </si>
  <si>
    <t>4.</t>
  </si>
  <si>
    <t>Earth pits inside plant</t>
  </si>
  <si>
    <t xml:space="preserve">5. </t>
  </si>
  <si>
    <t>6.</t>
  </si>
  <si>
    <t>Earth Pits for 4 Nos Power Transformers Neutral Earthing</t>
  </si>
  <si>
    <t>Earth Pits for 8 Nos Distribution Transformers Neutral Earthing</t>
  </si>
  <si>
    <t>Maintenance Building Dimensions :    Length (L) = 34.5 m,       Width (W) = 23.50 m,           Height (H) = 7.7 m</t>
  </si>
  <si>
    <r>
      <t>Ac = (34.5 x 23.5) + 2(34.5 x 7.7) + 2(23.5 x 7.7) + (3.14 x 7.7</t>
    </r>
    <r>
      <rPr>
        <vertAlign val="superscript"/>
        <sz val="8"/>
        <rFont val="Arial"/>
        <family val="2"/>
      </rPr>
      <t xml:space="preserve">2 </t>
    </r>
    <r>
      <rPr>
        <sz val="8"/>
        <rFont val="Arial"/>
        <family val="2"/>
      </rPr>
      <t>)</t>
    </r>
  </si>
  <si>
    <r>
      <t>P = 1890.12 x 0.5 x 10</t>
    </r>
    <r>
      <rPr>
        <vertAlign val="superscript"/>
        <sz val="8"/>
        <rFont val="Arial"/>
        <family val="2"/>
      </rPr>
      <t>-6</t>
    </r>
  </si>
  <si>
    <r>
      <t xml:space="preserve">=  0.95 x 10 </t>
    </r>
    <r>
      <rPr>
        <vertAlign val="superscript"/>
        <sz val="8"/>
        <rFont val="Arial"/>
        <family val="2"/>
      </rPr>
      <t>-3</t>
    </r>
  </si>
  <si>
    <r>
      <t xml:space="preserve">=  6.4 x 10 </t>
    </r>
    <r>
      <rPr>
        <vertAlign val="superscript"/>
        <sz val="8"/>
        <rFont val="Arial"/>
        <family val="2"/>
      </rPr>
      <t>-5</t>
    </r>
  </si>
  <si>
    <r>
      <t>6.4 x 10</t>
    </r>
    <r>
      <rPr>
        <vertAlign val="superscript"/>
        <sz val="8"/>
        <rFont val="Arial"/>
        <family val="2"/>
      </rPr>
      <t>-5</t>
    </r>
  </si>
  <si>
    <r>
      <t xml:space="preserve">= 1 + </t>
    </r>
    <r>
      <rPr>
        <u/>
        <sz val="8"/>
        <rFont val="Arial"/>
        <family val="2"/>
      </rPr>
      <t>(810.7 - 100)</t>
    </r>
  </si>
  <si>
    <t>Air termination (mesh of 20 m x 10 m) GI strip of size 50 x 6 mm may be employed as shown in typical arrangement  fig 6 of IS 2309</t>
  </si>
  <si>
    <t>Area of the Structure : 66  Mtr. x 31.5 Mtr.</t>
  </si>
  <si>
    <t>Height of the Structure : 83.85 Mtr.</t>
  </si>
  <si>
    <t>Area of the Structure : 30.25  Mtr. x 8.5 Mtr.</t>
  </si>
  <si>
    <t>Height of the Structure : 81.5 Mtr.</t>
  </si>
  <si>
    <t>Area of the Structure :  94.65  Mtr. x 11 Mtr.</t>
  </si>
  <si>
    <t>Height of the Structure : 79.5 Mtr.</t>
  </si>
  <si>
    <t>Area of the Structure :  34  Mtr. x 25 Mtr.</t>
  </si>
  <si>
    <t>Height of the Structure : 59.15 Mtr.</t>
  </si>
  <si>
    <t>Area of the Structure :  42  Mtr. x 21 Mtr.</t>
  </si>
  <si>
    <t>Height of the Structure : 50.7 Mtr.</t>
  </si>
  <si>
    <t>VGR Structure</t>
  </si>
  <si>
    <t>Compressor shed</t>
  </si>
  <si>
    <t>Height of the Structure : 63.2 Mtr.</t>
  </si>
  <si>
    <t>Area of the Structure :  33.5  Mtr. x  7 Mtr.</t>
  </si>
  <si>
    <t>Height of the Structure : 52.5 Mtr.</t>
  </si>
  <si>
    <t>Height of the Structure : 47.65 Mtr.</t>
  </si>
  <si>
    <t>Ethylene Area</t>
  </si>
  <si>
    <t>Area of the Structure :  59  Mtr. x  8 Mtr.</t>
  </si>
  <si>
    <t>Height of the Structure : 57.8 Mtr.</t>
  </si>
  <si>
    <t>Earth pits along the piperack (Approx. every 30m)</t>
  </si>
  <si>
    <t>Catalyst Storage Building</t>
  </si>
  <si>
    <t xml:space="preserve"> Determination of lightning protection for Catalyst Storage Building</t>
  </si>
  <si>
    <t>Catalyst storage Building Dimensions :    Length (L) = 40 m,       Width (W) = 40 m,           Height (H) = 8.7 m</t>
  </si>
  <si>
    <r>
      <t>Ac = (40 x 40) + 2(40 x 8.7) + 2(40 x 8.7) + (3.14 x 8.7</t>
    </r>
    <r>
      <rPr>
        <vertAlign val="superscript"/>
        <sz val="8"/>
        <rFont val="Arial"/>
        <family val="2"/>
      </rPr>
      <t xml:space="preserve">2 </t>
    </r>
    <r>
      <rPr>
        <sz val="8"/>
        <rFont val="Arial"/>
        <family val="2"/>
      </rPr>
      <t>)</t>
    </r>
  </si>
  <si>
    <r>
      <t>P = 3229.67 x 0.5 x 10</t>
    </r>
    <r>
      <rPr>
        <vertAlign val="superscript"/>
        <sz val="8"/>
        <rFont val="Arial"/>
        <family val="2"/>
      </rPr>
      <t>-6</t>
    </r>
  </si>
  <si>
    <r>
      <t xml:space="preserve">=  1.61 x 10 </t>
    </r>
    <r>
      <rPr>
        <vertAlign val="superscript"/>
        <sz val="8"/>
        <rFont val="Arial"/>
        <family val="2"/>
      </rPr>
      <t>-3</t>
    </r>
  </si>
  <si>
    <r>
      <t>10.9 x 10</t>
    </r>
    <r>
      <rPr>
        <vertAlign val="superscript"/>
        <sz val="8"/>
        <rFont val="Arial"/>
        <family val="2"/>
      </rPr>
      <t>-5</t>
    </r>
  </si>
  <si>
    <r>
      <t xml:space="preserve">=  10.9 x 10 </t>
    </r>
    <r>
      <rPr>
        <vertAlign val="superscript"/>
        <sz val="8"/>
        <rFont val="Arial"/>
        <family val="2"/>
      </rPr>
      <t>-5</t>
    </r>
  </si>
  <si>
    <r>
      <t xml:space="preserve">= 1 + </t>
    </r>
    <r>
      <rPr>
        <u/>
        <sz val="8"/>
        <rFont val="Arial"/>
        <family val="2"/>
      </rPr>
      <t>(1600 - 100)</t>
    </r>
  </si>
  <si>
    <r>
      <t>Base Area of the building = 40 x 40       =    1600 m</t>
    </r>
    <r>
      <rPr>
        <vertAlign val="superscript"/>
        <sz val="8"/>
        <rFont val="Arial"/>
        <family val="2"/>
      </rPr>
      <t>2</t>
    </r>
    <r>
      <rPr>
        <sz val="8"/>
        <rFont val="Arial"/>
        <family val="2"/>
      </rPr>
      <t xml:space="preserve">         &gt;   100 m</t>
    </r>
    <r>
      <rPr>
        <vertAlign val="superscript"/>
        <sz val="8"/>
        <rFont val="Arial"/>
        <family val="2"/>
      </rPr>
      <t>2</t>
    </r>
  </si>
  <si>
    <t xml:space="preserve">Perimeter of the building =  (2 x 34.5) + (2 x 23.5)   =   </t>
  </si>
  <si>
    <t xml:space="preserve">Perimeter of the building =  (2 x 40) + (2 x 40)   =   </t>
  </si>
  <si>
    <r>
      <t>~</t>
    </r>
    <r>
      <rPr>
        <sz val="8"/>
        <rFont val="Arial"/>
        <family val="2"/>
      </rPr>
      <t xml:space="preserve">  6</t>
    </r>
  </si>
  <si>
    <r>
      <t>Base Area of the building = 34.5 x 23.5       =    810.75 m</t>
    </r>
    <r>
      <rPr>
        <vertAlign val="superscript"/>
        <sz val="8"/>
        <rFont val="Arial"/>
        <family val="2"/>
      </rPr>
      <t>2</t>
    </r>
    <r>
      <rPr>
        <sz val="8"/>
        <rFont val="Arial"/>
        <family val="2"/>
      </rPr>
      <t xml:space="preserve">         &gt;   100 m</t>
    </r>
    <r>
      <rPr>
        <vertAlign val="superscript"/>
        <sz val="8"/>
        <rFont val="Arial"/>
        <family val="2"/>
      </rPr>
      <t>2</t>
    </r>
  </si>
  <si>
    <t>connected to dedicated earth pits (6 nos).</t>
  </si>
  <si>
    <t>Earth Pits for Instrument Clean Earthing - Near Substation Treated Earthpits (Refer E12-38)</t>
  </si>
  <si>
    <t>7.</t>
  </si>
  <si>
    <t>8.</t>
  </si>
  <si>
    <t>Earth Pits for Instrument Clean Earthing - Near PIB Treated Earthpits (Refer E12-38)</t>
  </si>
  <si>
    <t>Earth Pits for Instrument Clean Earthing - in Reaction Area Treated Earthpits (Refer E12-38)</t>
  </si>
  <si>
    <t>connected to dedicated earth pits (4 nos).</t>
  </si>
  <si>
    <t xml:space="preserve">2. Number of flashes to ground per sq.km per year = 0.5                   </t>
  </si>
  <si>
    <t>(Ref section 8.1.2  of  IS 2309)</t>
  </si>
  <si>
    <t>Earth Pits for Lightning Protection System (Various structures as calculated in Section-2)</t>
  </si>
  <si>
    <t>Fault current calculations for 415V Motor</t>
  </si>
  <si>
    <t>Fault current calculations for 690V Motor</t>
  </si>
  <si>
    <t xml:space="preserve">From substation nearest 690V Motor in the plant is PELLET WATER PUMP MOTOR (Tag no. MP-CHC501-M7012 / 7017) of rating 250kW. </t>
  </si>
  <si>
    <t>3C X 150</t>
  </si>
  <si>
    <t xml:space="preserve">(Selected as per LV cable sizing calculation 10013-EWLC-CHC501-002) </t>
  </si>
  <si>
    <t>fault current on 415V &amp; 690V system 15.45kA as calculated in Annexure-1.</t>
  </si>
  <si>
    <t>7017) of rating 250kW on 690V system.</t>
  </si>
  <si>
    <t>Max Cross sectional area of Plant earth strip (GI) required to carry the fault current of 15.45 kA for 0.5 sec is calculated as follows,</t>
  </si>
  <si>
    <t xml:space="preserve">Since calculated fault current for 415V system  </t>
  </si>
  <si>
    <t xml:space="preserve">kA is more than </t>
  </si>
  <si>
    <t xml:space="preserve">kA calculated for 690V system. Maximum fault </t>
  </si>
  <si>
    <t xml:space="preserve">current for Plant earth strip sizing shall be considered as </t>
  </si>
  <si>
    <t xml:space="preserve">(Tag no. MA-CHC501-M5613,  5614) of rating 225 kW on 415V system &amp; PELLET WATER PUMP MOTOR (Tag no. MP-CHC501-M7012 / </t>
  </si>
  <si>
    <r>
      <t xml:space="preserve">(LV) located near the source. Refer </t>
    </r>
    <r>
      <rPr>
        <b/>
        <sz val="8"/>
        <rFont val="Arial"/>
        <family val="2"/>
      </rPr>
      <t>Annexure-1</t>
    </r>
    <r>
      <rPr>
        <sz val="8"/>
        <rFont val="Arial"/>
        <family val="2"/>
      </rPr>
      <t xml:space="preserve"> for earth fault current calculation of SEED BED BLOWER MOTOR</t>
    </r>
  </si>
  <si>
    <r>
      <t xml:space="preserve">Strip laid 600mm below ground over </t>
    </r>
    <r>
      <rPr>
        <b/>
        <sz val="8"/>
        <color indexed="10"/>
        <rFont val="Arial"/>
        <family val="2"/>
      </rPr>
      <t>(Approx)</t>
    </r>
  </si>
  <si>
    <t>250  *   {(75 * 2) + (10 *2)}</t>
  </si>
  <si>
    <t>2260  *  {(75 * 2) + (10 *2)}</t>
  </si>
  <si>
    <t>1C x 6 sqmm Cu, PVC Cable</t>
  </si>
  <si>
    <t>(For pipelines entering &amp; leaving hazardous area)</t>
  </si>
  <si>
    <r>
      <t xml:space="preserve">22. Down conductor for lightning protection of buildings </t>
    </r>
    <r>
      <rPr>
        <vertAlign val="superscript"/>
        <sz val="8"/>
        <rFont val="Arial"/>
        <family val="2"/>
      </rPr>
      <t>##</t>
    </r>
  </si>
  <si>
    <t>9.</t>
  </si>
  <si>
    <t>Earth Pits for Instrument Clean Earthing - in Elutriator Area Treated Earthpits (Refer E12-38)</t>
  </si>
  <si>
    <t xml:space="preserve">Hence 5 numbers down conductors of GI earth strip size 50 x 6 mm are required. Down conductors shall be further </t>
  </si>
  <si>
    <t xml:space="preserve">Hence 2 numbers down conductors of GI earth strip size 50 x 6 mm are required. Down conductors shall be further </t>
  </si>
  <si>
    <t xml:space="preserve">Hence 4 numbers down conductors of GI earth strip size 50 x 6 mm are required. Down conductors shall be further </t>
  </si>
  <si>
    <t xml:space="preserve">Hence 6 numbers down conductors of GI earth strip size 50 x 6 mm are required. Down conductors shall be further </t>
  </si>
  <si>
    <t>Hence 7 Nos numbers down conductors of GI earth strip size 50 x 6 mm are required for the Lightning protection Grid.</t>
  </si>
  <si>
    <t xml:space="preserve">However Lightning Protection for the Concrete structure (terrace) at EL 63.300 &amp; EL 69.800 shall be provided.  </t>
  </si>
  <si>
    <t xml:space="preserve">Largest LV Motor on 415V Switchboard in the plant is SEED BED BLOWER MOTOR (Tag no. MA-CHC501-M5613, 5614) of rating 225 kW. </t>
  </si>
  <si>
    <t>Hydrogen compressor Shed</t>
  </si>
  <si>
    <t>Area of the Structure :  11 Mtr. x  14 Mtr.</t>
  </si>
  <si>
    <t>Height of the Structure : 9 Mtr.</t>
  </si>
  <si>
    <t xml:space="preserve">Note: Although the structure height is less than 20m, due to potential hazard of Hydrogen gas </t>
  </si>
  <si>
    <t>the structure is provided with 2 nos Lightning protection earth pits.</t>
  </si>
  <si>
    <t>19. Small equipment and instruments</t>
  </si>
  <si>
    <t>23. Power JBs</t>
  </si>
  <si>
    <r>
      <t xml:space="preserve">Note :  </t>
    </r>
    <r>
      <rPr>
        <sz val="8"/>
        <rFont val="Arial"/>
        <family val="2"/>
      </rPr>
      <t>For actual location of earth electrodes refer Overall Plot Plan (ISBL) Earthing layout Dwg No. 10013-E61-CHC501-000001.</t>
    </r>
  </si>
  <si>
    <t>Piperack PR-12</t>
  </si>
  <si>
    <t>Grid PR/18 to PR/96 of this piperack is having height Approx 23 m.  Further this piperack is located between C&amp;P Building &amp; Reaction structure</t>
  </si>
  <si>
    <t xml:space="preserve">Which are covered in lightning protection calculation above.  Therefore separate lightning protection is not required for piperack PR-12, </t>
  </si>
  <si>
    <t xml:space="preserve"> However for additional safety 2 nos of Lightning Earth pits are considered for Lightning protection</t>
  </si>
  <si>
    <t>1. Motors above 2.2kW up to and including 30 kW</t>
  </si>
  <si>
    <r>
      <t xml:space="preserve">24. Motors up to and including 2.2 kW </t>
    </r>
    <r>
      <rPr>
        <vertAlign val="superscript"/>
        <sz val="8"/>
        <rFont val="Arial"/>
        <family val="2"/>
      </rPr>
      <t>$$</t>
    </r>
  </si>
  <si>
    <t>the earthing system .</t>
  </si>
  <si>
    <r>
      <t xml:space="preserve">6. </t>
    </r>
    <r>
      <rPr>
        <sz val="8"/>
        <rFont val="Arial"/>
        <family val="2"/>
      </rPr>
      <t>Further, this plant earth grid shall be connected to earth grids of the adjacent areas surrounding to  plant at Minimum two locations.</t>
    </r>
  </si>
  <si>
    <t>**   Based on mail  dated 10th Feb 2014</t>
  </si>
  <si>
    <r>
      <rPr>
        <vertAlign val="superscript"/>
        <sz val="8"/>
        <rFont val="Arial"/>
        <family val="2"/>
      </rPr>
      <t>##</t>
    </r>
    <r>
      <rPr>
        <sz val="8"/>
        <rFont val="Arial"/>
        <family val="2"/>
      </rPr>
      <t xml:space="preserve">   Based on mail  dated 20th May 2014</t>
    </r>
  </si>
  <si>
    <r>
      <rPr>
        <vertAlign val="superscript"/>
        <sz val="8"/>
        <rFont val="Arial"/>
        <family val="2"/>
      </rPr>
      <t>$$</t>
    </r>
    <r>
      <rPr>
        <sz val="8"/>
        <rFont val="Arial"/>
        <family val="2"/>
      </rPr>
      <t xml:space="preserve">  based on confirmation to TQ-0077 dated 07th July 2014</t>
    </r>
  </si>
  <si>
    <t xml:space="preserve"> (for the Tall structures, Substation, PIB building &amp; Maintenance building) .</t>
  </si>
  <si>
    <t xml:space="preserve">2.  Doc No.  10013-P50-CHC501-001-REV-3 : Unit Plot plan </t>
  </si>
  <si>
    <t xml:space="preserve">1. No. of thunderstorm days per year = 6 </t>
  </si>
  <si>
    <t xml:space="preserve">Lightning Protection System - Plant </t>
  </si>
  <si>
    <t xml:space="preserve">For this Plant, LPS for RCC buildings has been determined as per IS-2309:1989 guidelines.
</t>
  </si>
  <si>
    <t xml:space="preserve">
Substation</t>
  </si>
  <si>
    <t>-  Plot</t>
  </si>
  <si>
    <t xml:space="preserve">mtr </t>
  </si>
  <si>
    <t>mtr</t>
  </si>
  <si>
    <t>Status</t>
  </si>
  <si>
    <t>https://www.flasysdesign.com/</t>
  </si>
  <si>
    <t>Email: contact@flasysdesign.com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</si>
</sst>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00"/>
    <numFmt numFmtId="166" formatCode="0.0"/>
    <numFmt numFmtId="167" formatCode="0.00000"/>
    <numFmt numFmtId="168" formatCode="0.000000"/>
    <numFmt numFmtId="169" formatCode="0.00_)"/>
  </numFmts>
  <fonts count="102" x14ac:knownFonts="1">
    <font>
      <sz val="10"/>
      <name val="Arial"/>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sz val="11"/>
      <color indexed="8"/>
      <name val="Arial"/>
      <family val="2"/>
    </font>
    <font>
      <b/>
      <sz val="10"/>
      <color indexed="8"/>
      <name val="Arial"/>
      <family val="2"/>
    </font>
    <font>
      <b/>
      <sz val="8"/>
      <color indexed="8"/>
      <name val="Arial"/>
      <family val="2"/>
    </font>
    <font>
      <sz val="8"/>
      <color indexed="55"/>
      <name val="Arial"/>
      <family val="2"/>
    </font>
    <font>
      <sz val="12"/>
      <color indexed="23"/>
      <name val="Arial"/>
      <family val="2"/>
    </font>
    <font>
      <sz val="12"/>
      <name val="Arial"/>
      <family val="2"/>
    </font>
    <font>
      <sz val="11"/>
      <name val="Arial"/>
      <family val="2"/>
    </font>
    <font>
      <b/>
      <i/>
      <sz val="11"/>
      <color indexed="10"/>
      <name val="Arial"/>
      <family val="2"/>
    </font>
    <font>
      <b/>
      <sz val="11"/>
      <name val="Arial Bold"/>
    </font>
    <font>
      <sz val="10"/>
      <name val="Calibri"/>
      <family val="2"/>
    </font>
    <font>
      <sz val="20"/>
      <name val="Calibri"/>
      <family val="2"/>
    </font>
    <font>
      <b/>
      <sz val="20"/>
      <name val="Calibri"/>
      <family val="2"/>
    </font>
    <font>
      <sz val="12"/>
      <name val="Calibri"/>
      <family val="2"/>
    </font>
    <font>
      <b/>
      <sz val="12"/>
      <name val="Calibri"/>
      <family val="2"/>
    </font>
    <font>
      <sz val="9"/>
      <color indexed="8"/>
      <name val="Calibri"/>
      <family val="2"/>
    </font>
    <font>
      <sz val="8"/>
      <color indexed="55"/>
      <name val="Calibri"/>
      <family val="2"/>
    </font>
    <font>
      <sz val="12"/>
      <color indexed="8"/>
      <name val="Calibri"/>
      <family val="2"/>
    </font>
    <font>
      <b/>
      <sz val="12"/>
      <name val="Calibri"/>
      <family val="2"/>
    </font>
    <font>
      <sz val="12"/>
      <name val="Calibri"/>
      <family val="2"/>
    </font>
    <font>
      <sz val="12"/>
      <color indexed="8"/>
      <name val="Calibri"/>
      <family val="2"/>
    </font>
    <font>
      <b/>
      <sz val="11"/>
      <color indexed="8"/>
      <name val="Calibri"/>
      <family val="2"/>
    </font>
    <font>
      <sz val="11"/>
      <color indexed="8"/>
      <name val="Calibri"/>
      <family val="2"/>
    </font>
    <font>
      <sz val="11"/>
      <name val="Calibri"/>
      <family val="2"/>
    </font>
    <font>
      <b/>
      <sz val="11"/>
      <name val="Calibri"/>
      <family val="2"/>
    </font>
    <font>
      <sz val="10"/>
      <name val="Calibri"/>
      <family val="2"/>
    </font>
    <font>
      <i/>
      <sz val="8"/>
      <color indexed="55"/>
      <name val="Calibri"/>
      <family val="2"/>
    </font>
    <font>
      <sz val="10"/>
      <name val="Arial"/>
      <family val="2"/>
    </font>
    <font>
      <sz val="8"/>
      <name val="Arial"/>
      <family val="2"/>
    </font>
    <font>
      <sz val="8"/>
      <color indexed="12"/>
      <name val="Arial"/>
      <family val="2"/>
    </font>
    <font>
      <sz val="9"/>
      <name val="Arial"/>
      <family val="2"/>
    </font>
    <font>
      <b/>
      <sz val="8"/>
      <name val="Arial"/>
      <family val="2"/>
    </font>
    <font>
      <b/>
      <sz val="10"/>
      <name val="Arial"/>
      <family val="2"/>
    </font>
    <font>
      <b/>
      <sz val="8"/>
      <color indexed="10"/>
      <name val="Arial"/>
      <family val="2"/>
    </font>
    <font>
      <b/>
      <sz val="10"/>
      <color indexed="10"/>
      <name val="Arial"/>
      <family val="2"/>
    </font>
    <font>
      <b/>
      <sz val="8"/>
      <color indexed="12"/>
      <name val="Arial"/>
      <family val="2"/>
    </font>
    <font>
      <sz val="8"/>
      <color indexed="17"/>
      <name val="Arial"/>
      <family val="2"/>
    </font>
    <font>
      <b/>
      <sz val="8"/>
      <color indexed="17"/>
      <name val="Arial"/>
      <family val="2"/>
    </font>
    <font>
      <vertAlign val="subscript"/>
      <sz val="8"/>
      <name val="Arial"/>
      <family val="2"/>
    </font>
    <font>
      <b/>
      <strike/>
      <sz val="8"/>
      <name val="Arial"/>
      <family val="2"/>
    </font>
    <font>
      <strike/>
      <sz val="8"/>
      <name val="Arial"/>
      <family val="2"/>
    </font>
    <font>
      <sz val="8"/>
      <name val="Symbol"/>
      <family val="1"/>
      <charset val="2"/>
    </font>
    <font>
      <b/>
      <u/>
      <sz val="8"/>
      <name val="Arial"/>
      <family val="2"/>
    </font>
    <font>
      <sz val="9"/>
      <name val="Arial"/>
      <family val="2"/>
    </font>
    <font>
      <b/>
      <sz val="8"/>
      <name val="Arial"/>
      <family val="2"/>
    </font>
    <font>
      <b/>
      <sz val="8"/>
      <name val="Symbol"/>
      <family val="1"/>
      <charset val="2"/>
    </font>
    <font>
      <b/>
      <sz val="9"/>
      <name val="Arial"/>
      <family val="2"/>
    </font>
    <font>
      <sz val="8"/>
      <color indexed="10"/>
      <name val="Arial"/>
      <family val="2"/>
    </font>
    <font>
      <sz val="10"/>
      <color indexed="17"/>
      <name val="Arial"/>
      <family val="2"/>
    </font>
    <font>
      <sz val="9"/>
      <color indexed="17"/>
      <name val="Arial"/>
      <family val="2"/>
    </font>
    <font>
      <u/>
      <sz val="8"/>
      <name val="Arial"/>
      <family val="2"/>
    </font>
    <font>
      <b/>
      <u/>
      <sz val="9"/>
      <color indexed="10"/>
      <name val="Arial"/>
      <family val="2"/>
    </font>
    <font>
      <vertAlign val="superscript"/>
      <sz val="8"/>
      <name val="Arial"/>
      <family val="2"/>
    </font>
    <font>
      <sz val="10"/>
      <color indexed="22"/>
      <name val="Arial"/>
      <family val="2"/>
    </font>
    <font>
      <sz val="10"/>
      <color indexed="10"/>
      <name val="Arial"/>
      <family val="2"/>
    </font>
    <font>
      <u/>
      <sz val="10"/>
      <color indexed="12"/>
      <name val="Arial"/>
      <family val="2"/>
    </font>
    <font>
      <strike/>
      <sz val="10"/>
      <name val="Arial"/>
      <family val="2"/>
    </font>
    <font>
      <sz val="9"/>
      <color indexed="10"/>
      <name val="Arial"/>
      <family val="2"/>
    </font>
    <font>
      <b/>
      <u/>
      <sz val="8"/>
      <color indexed="17"/>
      <name val="Arial"/>
      <family val="2"/>
    </font>
    <font>
      <sz val="12"/>
      <name val="Symbol"/>
      <family val="1"/>
      <charset val="2"/>
    </font>
    <font>
      <sz val="10"/>
      <name val="Arial"/>
      <family val="2"/>
    </font>
    <font>
      <u/>
      <sz val="9"/>
      <name val="Arial"/>
      <family val="2"/>
    </font>
    <font>
      <vertAlign val="superscript"/>
      <sz val="9"/>
      <name val="Arial"/>
      <family val="2"/>
    </font>
    <font>
      <sz val="9"/>
      <name val="Arial"/>
      <family val="2"/>
    </font>
    <font>
      <sz val="9"/>
      <name val="Symbol"/>
      <family val="1"/>
      <charset val="2"/>
    </font>
    <font>
      <sz val="8"/>
      <color indexed="17"/>
      <name val="Arial"/>
      <family val="2"/>
    </font>
    <font>
      <sz val="8"/>
      <name val="Arial"/>
      <family val="2"/>
    </font>
    <font>
      <b/>
      <sz val="10"/>
      <color indexed="17"/>
      <name val="Arial"/>
      <family val="2"/>
    </font>
    <font>
      <sz val="8"/>
      <name val="Calibri"/>
      <family val="2"/>
    </font>
    <font>
      <i/>
      <sz val="8"/>
      <name val="Arial"/>
      <family val="2"/>
    </font>
    <font>
      <b/>
      <vertAlign val="superscript"/>
      <sz val="8"/>
      <color indexed="17"/>
      <name val="Arial"/>
      <family val="2"/>
    </font>
    <font>
      <b/>
      <sz val="12"/>
      <name val="Arial"/>
      <family val="2"/>
    </font>
    <font>
      <sz val="12"/>
      <name val="Times New Roman"/>
      <family val="1"/>
    </font>
    <font>
      <sz val="10"/>
      <name val="Times New Roman"/>
      <family val="1"/>
    </font>
    <font>
      <b/>
      <i/>
      <sz val="16"/>
      <name val="Helv"/>
    </font>
    <font>
      <b/>
      <sz val="11"/>
      <name val="Times New Roman"/>
      <family val="1"/>
    </font>
    <font>
      <b/>
      <vertAlign val="subscript"/>
      <sz val="8"/>
      <name val="Arial"/>
      <family val="2"/>
    </font>
    <font>
      <b/>
      <sz val="8"/>
      <color rgb="FF00B050"/>
      <name val="Arial"/>
      <family val="2"/>
    </font>
    <font>
      <sz val="9"/>
      <name val="Calibri"/>
      <family val="2"/>
    </font>
    <font>
      <strike/>
      <sz val="11"/>
      <color indexed="8"/>
      <name val="Calibri"/>
      <family val="2"/>
    </font>
    <font>
      <strike/>
      <sz val="11"/>
      <name val="Calibri"/>
      <family val="2"/>
    </font>
    <font>
      <i/>
      <sz val="8"/>
      <color indexed="12"/>
      <name val="Arial"/>
      <family val="2"/>
    </font>
    <font>
      <u/>
      <sz val="10"/>
      <color theme="10"/>
      <name val="Arial"/>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7" tint="0.39997558519241921"/>
        <bgColor indexed="64"/>
      </patternFill>
    </fill>
    <fill>
      <patternFill patternType="solid">
        <fgColor theme="8" tint="0.59999389629810485"/>
        <bgColor indexed="64"/>
      </patternFill>
    </fill>
    <fill>
      <patternFill patternType="solid">
        <fgColor indexed="22"/>
        <bgColor indexed="64"/>
      </patternFill>
    </fill>
    <fill>
      <patternFill patternType="solid">
        <fgColor theme="5" tint="0.79998168889431442"/>
        <bgColor indexed="64"/>
      </patternFill>
    </fill>
    <fill>
      <patternFill patternType="solid">
        <fgColor indexed="26"/>
        <bgColor indexed="64"/>
      </patternFill>
    </fill>
  </fills>
  <borders count="6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double">
        <color indexed="8"/>
      </left>
      <right/>
      <top/>
      <bottom/>
      <diagonal/>
    </border>
    <border>
      <left/>
      <right style="double">
        <color indexed="8"/>
      </right>
      <top/>
      <bottom/>
      <diagonal/>
    </border>
    <border>
      <left style="double">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double">
        <color indexed="8"/>
      </left>
      <right style="thin">
        <color indexed="8"/>
      </right>
      <top style="thin">
        <color indexed="8"/>
      </top>
      <bottom/>
      <diagonal/>
    </border>
    <border>
      <left style="thin">
        <color indexed="8"/>
      </left>
      <right style="thin">
        <color indexed="8"/>
      </right>
      <top style="thin">
        <color indexed="8"/>
      </top>
      <bottom/>
      <diagonal/>
    </border>
    <border>
      <left style="double">
        <color indexed="8"/>
      </left>
      <right style="thin">
        <color indexed="8"/>
      </right>
      <top style="double">
        <color indexed="8"/>
      </top>
      <bottom style="double">
        <color indexed="8"/>
      </bottom>
      <diagonal/>
    </border>
    <border>
      <left style="thin">
        <color indexed="8"/>
      </left>
      <right style="thin">
        <color indexed="8"/>
      </right>
      <top style="double">
        <color indexed="8"/>
      </top>
      <bottom style="double">
        <color indexed="8"/>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double">
        <color indexed="8"/>
      </top>
      <bottom/>
      <diagonal/>
    </border>
    <border>
      <left style="double">
        <color indexed="8"/>
      </left>
      <right/>
      <top style="thin">
        <color indexed="8"/>
      </top>
      <bottom/>
      <diagonal/>
    </border>
    <border>
      <left/>
      <right/>
      <top style="thin">
        <color indexed="8"/>
      </top>
      <bottom/>
      <diagonal/>
    </border>
    <border>
      <left/>
      <right style="double">
        <color indexed="8"/>
      </right>
      <top style="thin">
        <color indexed="8"/>
      </top>
      <bottom/>
      <diagonal/>
    </border>
    <border>
      <left style="double">
        <color indexed="8"/>
      </left>
      <right/>
      <top style="double">
        <color indexed="8"/>
      </top>
      <bottom/>
      <diagonal/>
    </border>
    <border>
      <left/>
      <right style="thin">
        <color indexed="64"/>
      </right>
      <top style="double">
        <color indexed="8"/>
      </top>
      <bottom/>
      <diagonal/>
    </border>
    <border>
      <left/>
      <right style="thin">
        <color indexed="64"/>
      </right>
      <top/>
      <bottom/>
      <diagonal/>
    </border>
    <border>
      <left style="double">
        <color indexed="8"/>
      </left>
      <right/>
      <top/>
      <bottom style="thin">
        <color indexed="8"/>
      </bottom>
      <diagonal/>
    </border>
    <border>
      <left/>
      <right/>
      <top/>
      <bottom style="thin">
        <color indexed="8"/>
      </bottom>
      <diagonal/>
    </border>
    <border>
      <left/>
      <right style="thin">
        <color indexed="64"/>
      </right>
      <top/>
      <bottom style="thin">
        <color indexed="8"/>
      </bottom>
      <diagonal/>
    </border>
    <border>
      <left/>
      <right style="double">
        <color indexed="8"/>
      </right>
      <top style="double">
        <color indexed="8"/>
      </top>
      <bottom/>
      <diagonal/>
    </border>
    <border>
      <left/>
      <right style="double">
        <color indexed="8"/>
      </right>
      <top/>
      <bottom style="thin">
        <color indexed="8"/>
      </bottom>
      <diagonal/>
    </border>
    <border>
      <left style="thin">
        <color indexed="64"/>
      </left>
      <right/>
      <top style="double">
        <color indexed="8"/>
      </top>
      <bottom/>
      <diagonal/>
    </border>
    <border>
      <left style="thin">
        <color indexed="64"/>
      </left>
      <right/>
      <top/>
      <bottom/>
      <diagonal/>
    </border>
    <border>
      <left style="thin">
        <color indexed="64"/>
      </left>
      <right/>
      <top/>
      <bottom style="thin">
        <color indexed="8"/>
      </bottom>
      <diagonal/>
    </border>
    <border>
      <left/>
      <right/>
      <top style="thin">
        <color indexed="8"/>
      </top>
      <bottom style="thin">
        <color indexed="8"/>
      </bottom>
      <diagonal/>
    </border>
    <border>
      <left style="thin">
        <color indexed="8"/>
      </left>
      <right/>
      <top style="thin">
        <color indexed="8"/>
      </top>
      <bottom style="double">
        <color indexed="8"/>
      </bottom>
      <diagonal/>
    </border>
    <border>
      <left/>
      <right/>
      <top style="thin">
        <color indexed="8"/>
      </top>
      <bottom style="double">
        <color indexed="8"/>
      </bottom>
      <diagonal/>
    </border>
    <border>
      <left/>
      <right style="thin">
        <color indexed="8"/>
      </right>
      <top style="thin">
        <color indexed="8"/>
      </top>
      <bottom style="double">
        <color indexed="8"/>
      </bottom>
      <diagonal/>
    </border>
    <border>
      <left style="thin">
        <color indexed="8"/>
      </left>
      <right/>
      <top style="double">
        <color indexed="8"/>
      </top>
      <bottom style="double">
        <color indexed="8"/>
      </bottom>
      <diagonal/>
    </border>
    <border>
      <left/>
      <right/>
      <top style="double">
        <color indexed="8"/>
      </top>
      <bottom style="double">
        <color indexed="8"/>
      </bottom>
      <diagonal/>
    </border>
    <border>
      <left/>
      <right style="thin">
        <color indexed="8"/>
      </right>
      <top style="double">
        <color indexed="8"/>
      </top>
      <bottom style="double">
        <color indexed="8"/>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hair">
        <color indexed="64"/>
      </bottom>
      <diagonal/>
    </border>
    <border>
      <left/>
      <right/>
      <top style="hair">
        <color indexed="64"/>
      </top>
      <bottom style="hair">
        <color indexed="64"/>
      </bottom>
      <diagonal/>
    </border>
    <border>
      <left/>
      <right style="thin">
        <color indexed="64"/>
      </right>
      <top/>
      <bottom style="thin">
        <color indexed="64"/>
      </bottom>
      <diagonal/>
    </border>
    <border>
      <left/>
      <right/>
      <top style="hair">
        <color indexed="64"/>
      </top>
      <bottom/>
      <diagonal/>
    </border>
    <border>
      <left style="thin">
        <color indexed="64"/>
      </left>
      <right/>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thin">
        <color indexed="8"/>
      </left>
      <right style="double">
        <color indexed="8"/>
      </right>
      <top style="thin">
        <color indexed="8"/>
      </top>
      <bottom/>
      <diagonal/>
    </border>
    <border>
      <left style="thin">
        <color indexed="8"/>
      </left>
      <right style="double">
        <color indexed="8"/>
      </right>
      <top style="double">
        <color indexed="8"/>
      </top>
      <bottom style="double">
        <color indexed="8"/>
      </bottom>
      <diagonal/>
    </border>
  </borders>
  <cellStyleXfs count="5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4" fillId="0" borderId="0"/>
    <xf numFmtId="0" fontId="14" fillId="23"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xf numFmtId="0" fontId="74" fillId="0" borderId="0" applyNumberFormat="0" applyFill="0" applyBorder="0" applyAlignment="0" applyProtection="0">
      <alignment vertical="top"/>
      <protection locked="0"/>
    </xf>
    <xf numFmtId="0" fontId="92" fillId="0" borderId="61" applyNumberFormat="0" applyFill="0" applyBorder="0" applyAlignment="0" applyProtection="0">
      <protection locked="0"/>
    </xf>
    <xf numFmtId="38" fontId="19" fillId="26" borderId="0" applyNumberFormat="0" applyBorder="0" applyAlignment="0" applyProtection="0"/>
    <xf numFmtId="0" fontId="90" fillId="0" borderId="64" applyNumberFormat="0" applyAlignment="0" applyProtection="0">
      <alignment horizontal="left" vertical="center"/>
    </xf>
    <xf numFmtId="0" fontId="90" fillId="0" borderId="47">
      <alignment horizontal="left" vertical="center"/>
    </xf>
    <xf numFmtId="10" fontId="19" fillId="28" borderId="20" applyNumberFormat="0" applyBorder="0" applyAlignment="0" applyProtection="0"/>
    <xf numFmtId="169" fontId="93" fillId="0" borderId="0"/>
    <xf numFmtId="10" fontId="79" fillId="0" borderId="0" applyFont="0" applyFill="0" applyBorder="0" applyAlignment="0" applyProtection="0"/>
    <xf numFmtId="40" fontId="94" fillId="0" borderId="0"/>
    <xf numFmtId="0" fontId="101" fillId="0" borderId="0" applyNumberFormat="0" applyFill="0" applyBorder="0" applyAlignment="0" applyProtection="0"/>
  </cellStyleXfs>
  <cellXfs count="438">
    <xf numFmtId="0" fontId="0" fillId="0" borderId="0" xfId="0"/>
    <xf numFmtId="0" fontId="0" fillId="0" borderId="0" xfId="0" applyAlignment="1" applyProtection="1">
      <alignment vertical="center"/>
      <protection locked="0"/>
    </xf>
    <xf numFmtId="0" fontId="0" fillId="0" borderId="0" xfId="0" applyProtection="1">
      <protection locked="0"/>
    </xf>
    <xf numFmtId="0" fontId="24" fillId="0" borderId="0" xfId="0" applyFont="1" applyAlignment="1" applyProtection="1">
      <alignment horizontal="center"/>
      <protection locked="0"/>
    </xf>
    <xf numFmtId="0" fontId="26" fillId="0" borderId="0" xfId="0" applyFont="1" applyAlignment="1">
      <alignment horizontal="justify"/>
    </xf>
    <xf numFmtId="0" fontId="27" fillId="0" borderId="0" xfId="0" applyFont="1" applyAlignment="1">
      <alignment horizontal="justify"/>
    </xf>
    <xf numFmtId="0" fontId="28" fillId="0" borderId="0" xfId="0" applyFont="1" applyAlignment="1">
      <alignment horizontal="center"/>
    </xf>
    <xf numFmtId="0" fontId="26" fillId="0" borderId="0" xfId="0" applyFont="1"/>
    <xf numFmtId="0" fontId="25" fillId="0" borderId="0" xfId="0" applyFont="1" applyAlignment="1" applyProtection="1">
      <alignment vertical="center"/>
      <protection locked="0"/>
    </xf>
    <xf numFmtId="0" fontId="20" fillId="0" borderId="0" xfId="0" applyFont="1" applyAlignment="1" applyProtection="1">
      <alignment vertical="center"/>
      <protection locked="0"/>
    </xf>
    <xf numFmtId="0" fontId="0" fillId="0" borderId="10" xfId="0" applyBorder="1" applyAlignment="1">
      <alignment vertical="top"/>
    </xf>
    <xf numFmtId="0" fontId="0" fillId="0" borderId="0" xfId="0" applyAlignment="1">
      <alignment vertical="top"/>
    </xf>
    <xf numFmtId="0" fontId="0" fillId="0" borderId="11" xfId="0" applyBorder="1" applyAlignment="1">
      <alignment vertical="top"/>
    </xf>
    <xf numFmtId="0" fontId="32" fillId="0" borderId="0" xfId="0" applyFont="1" applyAlignment="1">
      <alignment vertical="top"/>
    </xf>
    <xf numFmtId="0" fontId="34" fillId="0" borderId="17" xfId="0" applyFont="1" applyBorder="1" applyAlignment="1" applyProtection="1">
      <alignment horizontal="center" vertical="center" wrapText="1"/>
      <protection locked="0"/>
    </xf>
    <xf numFmtId="0" fontId="34" fillId="0" borderId="18" xfId="0" applyFont="1" applyBorder="1" applyAlignment="1" applyProtection="1">
      <alignment horizontal="center" vertical="center" wrapText="1"/>
      <protection locked="0"/>
    </xf>
    <xf numFmtId="0" fontId="34" fillId="0" borderId="18" xfId="0" applyFont="1" applyBorder="1" applyAlignment="1" applyProtection="1">
      <alignment horizontal="centerContinuous" vertical="center"/>
      <protection locked="0"/>
    </xf>
    <xf numFmtId="0" fontId="38" fillId="0" borderId="0" xfId="0" applyFont="1" applyAlignment="1">
      <alignment vertical="center"/>
    </xf>
    <xf numFmtId="0" fontId="41" fillId="0" borderId="19" xfId="0" applyFont="1" applyBorder="1" applyProtection="1">
      <protection locked="0"/>
    </xf>
    <xf numFmtId="0" fontId="42" fillId="0" borderId="20" xfId="0" applyFont="1" applyBorder="1" applyAlignment="1">
      <alignment horizontal="center"/>
    </xf>
    <xf numFmtId="0" fontId="42" fillId="0" borderId="20" xfId="0" applyFont="1" applyBorder="1"/>
    <xf numFmtId="0" fontId="41" fillId="0" borderId="19" xfId="0" applyFont="1" applyBorder="1" applyAlignment="1" applyProtection="1">
      <alignment horizontal="center"/>
      <protection locked="0"/>
    </xf>
    <xf numFmtId="0" fontId="44" fillId="0" borderId="21" xfId="0" applyFont="1" applyBorder="1"/>
    <xf numFmtId="0" fontId="44" fillId="0" borderId="0" xfId="0" applyFont="1"/>
    <xf numFmtId="0" fontId="40" fillId="0" borderId="21" xfId="0" applyFont="1" applyBorder="1" applyAlignment="1" applyProtection="1">
      <alignment horizontal="center"/>
      <protection locked="0"/>
    </xf>
    <xf numFmtId="0" fontId="42" fillId="0" borderId="21" xfId="0" applyFont="1" applyBorder="1" applyAlignment="1">
      <alignment horizontal="center"/>
    </xf>
    <xf numFmtId="0" fontId="43" fillId="0" borderId="21" xfId="0" applyFont="1" applyBorder="1" applyAlignment="1">
      <alignment horizontal="center"/>
    </xf>
    <xf numFmtId="0" fontId="45" fillId="0" borderId="0" xfId="0" applyFont="1" applyAlignment="1">
      <alignment wrapText="1"/>
    </xf>
    <xf numFmtId="0" fontId="37" fillId="0" borderId="0" xfId="0" applyFont="1" applyAlignment="1">
      <alignment vertical="center"/>
    </xf>
    <xf numFmtId="0" fontId="29" fillId="0" borderId="0" xfId="0" applyFont="1" applyAlignment="1">
      <alignment wrapText="1"/>
    </xf>
    <xf numFmtId="0" fontId="46" fillId="0" borderId="0" xfId="0" applyFont="1" applyProtection="1">
      <protection hidden="1"/>
    </xf>
    <xf numFmtId="0" fontId="46" fillId="0" borderId="37" xfId="0" applyFont="1" applyBorder="1" applyProtection="1">
      <protection hidden="1"/>
    </xf>
    <xf numFmtId="0" fontId="47" fillId="0" borderId="0" xfId="0" applyFont="1" applyProtection="1">
      <protection hidden="1"/>
    </xf>
    <xf numFmtId="0" fontId="50" fillId="0" borderId="0" xfId="0" applyFont="1" applyAlignment="1">
      <alignment horizontal="center"/>
    </xf>
    <xf numFmtId="0" fontId="50" fillId="0" borderId="0" xfId="0" applyFont="1"/>
    <xf numFmtId="0" fontId="50" fillId="0" borderId="0" xfId="0" applyFont="1" applyProtection="1">
      <protection hidden="1"/>
    </xf>
    <xf numFmtId="0" fontId="51" fillId="0" borderId="0" xfId="0" applyFont="1" applyProtection="1">
      <protection hidden="1"/>
    </xf>
    <xf numFmtId="0" fontId="51" fillId="0" borderId="0" xfId="0" applyFont="1"/>
    <xf numFmtId="0" fontId="51" fillId="0" borderId="0" xfId="0" applyFont="1" applyAlignment="1">
      <alignment horizontal="center"/>
    </xf>
    <xf numFmtId="0" fontId="51" fillId="0" borderId="0" xfId="0" applyFont="1" applyAlignment="1">
      <alignment horizontal="left"/>
    </xf>
    <xf numFmtId="0" fontId="51" fillId="0" borderId="51" xfId="0" applyFont="1" applyBorder="1" applyProtection="1">
      <protection hidden="1"/>
    </xf>
    <xf numFmtId="0" fontId="50" fillId="0" borderId="51" xfId="0" applyFont="1" applyBorder="1" applyProtection="1">
      <protection hidden="1"/>
    </xf>
    <xf numFmtId="0" fontId="51" fillId="0" borderId="0" xfId="0" applyFont="1" applyAlignment="1" applyProtection="1">
      <alignment horizontal="center"/>
      <protection hidden="1"/>
    </xf>
    <xf numFmtId="0" fontId="51" fillId="0" borderId="54" xfId="0" applyFont="1" applyBorder="1" applyProtection="1">
      <protection hidden="1"/>
    </xf>
    <xf numFmtId="0" fontId="51" fillId="0" borderId="52" xfId="0" applyFont="1" applyBorder="1" applyProtection="1">
      <protection hidden="1"/>
    </xf>
    <xf numFmtId="0" fontId="50" fillId="0" borderId="52" xfId="0" applyFont="1" applyBorder="1" applyProtection="1">
      <protection hidden="1"/>
    </xf>
    <xf numFmtId="0" fontId="50" fillId="0" borderId="0" xfId="0" applyFont="1" applyAlignment="1">
      <alignment horizontal="left"/>
    </xf>
    <xf numFmtId="0" fontId="50" fillId="0" borderId="54" xfId="0" applyFont="1" applyBorder="1" applyProtection="1">
      <protection hidden="1"/>
    </xf>
    <xf numFmtId="0" fontId="52" fillId="0" borderId="0" xfId="0" applyFont="1" applyProtection="1">
      <protection hidden="1"/>
    </xf>
    <xf numFmtId="0" fontId="50" fillId="0" borderId="0" xfId="0" quotePrefix="1" applyFont="1" applyProtection="1">
      <protection hidden="1"/>
    </xf>
    <xf numFmtId="0" fontId="52" fillId="0" borderId="0" xfId="0" applyFont="1"/>
    <xf numFmtId="0" fontId="53" fillId="0" borderId="0" xfId="0" applyFont="1" applyAlignment="1">
      <alignment horizontal="left"/>
    </xf>
    <xf numFmtId="0" fontId="54" fillId="0" borderId="0" xfId="0" applyFont="1"/>
    <xf numFmtId="0" fontId="19" fillId="0" borderId="0" xfId="0" applyFont="1"/>
    <xf numFmtId="0" fontId="47" fillId="0" borderId="0" xfId="0" applyFont="1"/>
    <xf numFmtId="0" fontId="55" fillId="0" borderId="0" xfId="0" applyFont="1" applyAlignment="1">
      <alignment horizontal="left"/>
    </xf>
    <xf numFmtId="0" fontId="55" fillId="0" borderId="0" xfId="0" applyFont="1" applyProtection="1">
      <protection hidden="1"/>
    </xf>
    <xf numFmtId="0" fontId="19" fillId="0" borderId="0" xfId="0" applyFont="1" applyAlignment="1">
      <alignment horizontal="center"/>
    </xf>
    <xf numFmtId="0" fontId="56" fillId="0" borderId="0" xfId="0" applyFont="1"/>
    <xf numFmtId="0" fontId="57" fillId="0" borderId="0" xfId="0" applyFont="1"/>
    <xf numFmtId="0" fontId="19" fillId="0" borderId="0" xfId="0" quotePrefix="1" applyFont="1"/>
    <xf numFmtId="0" fontId="19" fillId="0" borderId="0" xfId="0" applyFont="1" applyAlignment="1">
      <alignment horizontal="left"/>
    </xf>
    <xf numFmtId="0" fontId="60" fillId="0" borderId="0" xfId="0" applyFont="1" applyAlignment="1">
      <alignment horizontal="center"/>
    </xf>
    <xf numFmtId="0" fontId="47" fillId="0" borderId="0" xfId="0" quotePrefix="1" applyFont="1" applyProtection="1">
      <protection hidden="1"/>
    </xf>
    <xf numFmtId="0" fontId="47" fillId="0" borderId="0" xfId="0" applyFont="1" applyAlignment="1">
      <alignment horizontal="center" vertical="center"/>
    </xf>
    <xf numFmtId="0" fontId="61" fillId="0" borderId="0" xfId="0" applyFont="1"/>
    <xf numFmtId="0" fontId="62" fillId="0" borderId="0" xfId="0" applyFont="1"/>
    <xf numFmtId="0" fontId="47" fillId="0" borderId="0" xfId="0" applyFont="1" applyAlignment="1">
      <alignment horizontal="left"/>
    </xf>
    <xf numFmtId="0" fontId="63" fillId="0" borderId="0" xfId="0" applyFont="1" applyAlignment="1">
      <alignment horizontal="center"/>
    </xf>
    <xf numFmtId="0" fontId="49" fillId="0" borderId="0" xfId="0" applyFont="1"/>
    <xf numFmtId="0" fontId="58" fillId="0" borderId="0" xfId="0" applyFont="1"/>
    <xf numFmtId="0" fontId="64" fillId="0" borderId="0" xfId="0" applyFont="1"/>
    <xf numFmtId="0" fontId="63" fillId="0" borderId="0" xfId="0" applyFont="1"/>
    <xf numFmtId="0" fontId="54" fillId="0" borderId="0" xfId="0" applyFont="1" applyProtection="1">
      <protection hidden="1"/>
    </xf>
    <xf numFmtId="2" fontId="50" fillId="0" borderId="0" xfId="0" applyNumberFormat="1" applyFont="1"/>
    <xf numFmtId="1" fontId="50" fillId="0" borderId="0" xfId="0" quotePrefix="1" applyNumberFormat="1" applyFont="1" applyAlignment="1">
      <alignment horizontal="center"/>
    </xf>
    <xf numFmtId="0" fontId="19" fillId="0" borderId="0" xfId="0" quotePrefix="1" applyFont="1" applyAlignment="1">
      <alignment horizontal="center"/>
    </xf>
    <xf numFmtId="165" fontId="46" fillId="0" borderId="0" xfId="0" applyNumberFormat="1" applyFont="1" applyProtection="1">
      <protection hidden="1"/>
    </xf>
    <xf numFmtId="164" fontId="50" fillId="0" borderId="0" xfId="0" applyNumberFormat="1" applyFont="1" applyAlignment="1">
      <alignment horizontal="center"/>
    </xf>
    <xf numFmtId="164" fontId="50" fillId="0" borderId="0" xfId="0" applyNumberFormat="1" applyFont="1"/>
    <xf numFmtId="2" fontId="50" fillId="0" borderId="0" xfId="0" applyNumberFormat="1" applyFont="1" applyAlignment="1">
      <alignment horizontal="center"/>
    </xf>
    <xf numFmtId="2" fontId="19" fillId="0" borderId="0" xfId="0" applyNumberFormat="1" applyFont="1"/>
    <xf numFmtId="0" fontId="62" fillId="0" borderId="0" xfId="0" applyFont="1" applyAlignment="1">
      <alignment horizontal="center"/>
    </xf>
    <xf numFmtId="0" fontId="14" fillId="0" borderId="0" xfId="0" applyFont="1" applyProtection="1">
      <protection hidden="1"/>
    </xf>
    <xf numFmtId="0" fontId="67" fillId="0" borderId="0" xfId="0" applyFont="1" applyProtection="1">
      <protection hidden="1"/>
    </xf>
    <xf numFmtId="0" fontId="55" fillId="0" borderId="0" xfId="0" applyFont="1"/>
    <xf numFmtId="0" fontId="68" fillId="0" borderId="0" xfId="0" applyFont="1"/>
    <xf numFmtId="0" fontId="14" fillId="0" borderId="0" xfId="0" applyFont="1" applyAlignment="1">
      <alignment horizontal="center"/>
    </xf>
    <xf numFmtId="0" fontId="49" fillId="0" borderId="0" xfId="0" applyFont="1" applyAlignment="1">
      <alignment horizontal="center" vertical="center"/>
    </xf>
    <xf numFmtId="0" fontId="47" fillId="0" borderId="0" xfId="0" quotePrefix="1" applyFont="1" applyAlignment="1">
      <alignment horizontal="right"/>
    </xf>
    <xf numFmtId="0" fontId="69" fillId="0" borderId="0" xfId="0" applyFont="1"/>
    <xf numFmtId="0" fontId="49" fillId="0" borderId="0" xfId="0" applyFont="1" applyAlignment="1">
      <alignment horizontal="center"/>
    </xf>
    <xf numFmtId="0" fontId="46" fillId="0" borderId="30" xfId="0" applyFont="1" applyBorder="1" applyProtection="1">
      <protection hidden="1"/>
    </xf>
    <xf numFmtId="0" fontId="62" fillId="0" borderId="0" xfId="0" quotePrefix="1" applyFont="1" applyAlignment="1">
      <alignment horizontal="center"/>
    </xf>
    <xf numFmtId="2" fontId="70" fillId="0" borderId="0" xfId="0" applyNumberFormat="1" applyFont="1" applyProtection="1">
      <protection locked="0"/>
    </xf>
    <xf numFmtId="0" fontId="49" fillId="0" borderId="0" xfId="0" applyFont="1" applyAlignment="1">
      <alignment horizontal="left"/>
    </xf>
    <xf numFmtId="0" fontId="46" fillId="0" borderId="0" xfId="0" applyFont="1"/>
    <xf numFmtId="0" fontId="55" fillId="0" borderId="0" xfId="0" applyFont="1" applyAlignment="1">
      <alignment horizontal="center"/>
    </xf>
    <xf numFmtId="0" fontId="67" fillId="0" borderId="0" xfId="0" applyFont="1"/>
    <xf numFmtId="0" fontId="72" fillId="0" borderId="0" xfId="0" applyFont="1" applyProtection="1">
      <protection hidden="1"/>
    </xf>
    <xf numFmtId="0" fontId="60" fillId="0" borderId="0" xfId="0" applyFont="1"/>
    <xf numFmtId="0" fontId="14" fillId="0" borderId="0" xfId="0" applyFont="1"/>
    <xf numFmtId="0" fontId="50" fillId="0" borderId="49" xfId="0" applyFont="1" applyBorder="1"/>
    <xf numFmtId="0" fontId="19" fillId="0" borderId="21" xfId="0" applyFont="1" applyBorder="1"/>
    <xf numFmtId="0" fontId="62" fillId="0" borderId="21" xfId="0" applyFont="1" applyBorder="1"/>
    <xf numFmtId="0" fontId="14" fillId="0" borderId="21" xfId="0" applyFont="1" applyBorder="1" applyProtection="1">
      <protection hidden="1"/>
    </xf>
    <xf numFmtId="0" fontId="14" fillId="0" borderId="50" xfId="0" applyFont="1" applyBorder="1" applyProtection="1">
      <protection hidden="1"/>
    </xf>
    <xf numFmtId="0" fontId="14" fillId="0" borderId="49" xfId="0" applyFont="1" applyBorder="1" applyProtection="1">
      <protection hidden="1"/>
    </xf>
    <xf numFmtId="0" fontId="19" fillId="0" borderId="21" xfId="0" applyFont="1" applyBorder="1" applyProtection="1">
      <protection hidden="1"/>
    </xf>
    <xf numFmtId="0" fontId="46" fillId="0" borderId="21" xfId="0" applyFont="1" applyBorder="1" applyProtection="1">
      <protection hidden="1"/>
    </xf>
    <xf numFmtId="0" fontId="46" fillId="0" borderId="50" xfId="0" applyFont="1" applyBorder="1" applyProtection="1">
      <protection hidden="1"/>
    </xf>
    <xf numFmtId="0" fontId="46" fillId="0" borderId="55" xfId="0" applyFont="1" applyBorder="1" applyProtection="1">
      <protection hidden="1"/>
    </xf>
    <xf numFmtId="0" fontId="46" fillId="0" borderId="46" xfId="0" applyFont="1" applyBorder="1" applyProtection="1">
      <protection hidden="1"/>
    </xf>
    <xf numFmtId="0" fontId="19" fillId="0" borderId="46" xfId="0" applyFont="1" applyBorder="1"/>
    <xf numFmtId="0" fontId="62" fillId="0" borderId="46" xfId="0" applyFont="1" applyBorder="1"/>
    <xf numFmtId="0" fontId="14" fillId="0" borderId="46" xfId="0" applyFont="1" applyBorder="1" applyProtection="1">
      <protection hidden="1"/>
    </xf>
    <xf numFmtId="0" fontId="14" fillId="0" borderId="53" xfId="0" applyFont="1" applyBorder="1" applyProtection="1">
      <protection hidden="1"/>
    </xf>
    <xf numFmtId="0" fontId="14" fillId="0" borderId="55" xfId="0" applyFont="1" applyBorder="1" applyProtection="1">
      <protection hidden="1"/>
    </xf>
    <xf numFmtId="0" fontId="59" fillId="0" borderId="46" xfId="0" applyFont="1" applyBorder="1" applyProtection="1">
      <protection hidden="1"/>
    </xf>
    <xf numFmtId="0" fontId="75" fillId="0" borderId="46" xfId="0" applyFont="1" applyBorder="1" applyProtection="1">
      <protection hidden="1"/>
    </xf>
    <xf numFmtId="0" fontId="46" fillId="0" borderId="53" xfId="0" applyFont="1" applyBorder="1" applyProtection="1">
      <protection hidden="1"/>
    </xf>
    <xf numFmtId="0" fontId="50" fillId="0" borderId="37" xfId="0" applyFont="1" applyBorder="1"/>
    <xf numFmtId="0" fontId="14" fillId="0" borderId="30" xfId="0" applyFont="1" applyBorder="1" applyProtection="1">
      <protection hidden="1"/>
    </xf>
    <xf numFmtId="0" fontId="14" fillId="0" borderId="37" xfId="0" applyFont="1" applyBorder="1" applyProtection="1">
      <protection hidden="1"/>
    </xf>
    <xf numFmtId="0" fontId="19" fillId="0" borderId="0" xfId="0" applyFont="1" applyProtection="1">
      <protection hidden="1"/>
    </xf>
    <xf numFmtId="0" fontId="77" fillId="0" borderId="0" xfId="0" applyFont="1" applyAlignment="1">
      <alignment horizontal="center"/>
    </xf>
    <xf numFmtId="0" fontId="47" fillId="0" borderId="0" xfId="0" applyFont="1" applyAlignment="1" applyProtection="1">
      <alignment horizontal="center"/>
      <protection hidden="1"/>
    </xf>
    <xf numFmtId="0" fontId="54" fillId="0" borderId="0" xfId="0" applyFont="1" applyAlignment="1">
      <alignment horizontal="center"/>
    </xf>
    <xf numFmtId="2" fontId="47" fillId="0" borderId="0" xfId="0" applyNumberFormat="1" applyFont="1" applyProtection="1">
      <protection hidden="1"/>
    </xf>
    <xf numFmtId="165" fontId="47" fillId="0" borderId="0" xfId="0" applyNumberFormat="1" applyFont="1" applyProtection="1">
      <protection hidden="1"/>
    </xf>
    <xf numFmtId="0" fontId="47" fillId="0" borderId="0" xfId="0" applyFont="1" applyAlignment="1">
      <alignment horizontal="center"/>
    </xf>
    <xf numFmtId="164" fontId="47" fillId="0" borderId="0" xfId="0" applyNumberFormat="1" applyFont="1" applyProtection="1">
      <protection hidden="1"/>
    </xf>
    <xf numFmtId="1" fontId="47" fillId="0" borderId="0" xfId="0" applyNumberFormat="1" applyFont="1" applyProtection="1">
      <protection hidden="1"/>
    </xf>
    <xf numFmtId="0" fontId="54" fillId="0" borderId="0" xfId="0" applyFont="1" applyAlignment="1" applyProtection="1">
      <alignment horizontal="center"/>
      <protection hidden="1"/>
    </xf>
    <xf numFmtId="0" fontId="19" fillId="0" borderId="0" xfId="0" applyFont="1" applyAlignment="1">
      <alignment horizontal="right"/>
    </xf>
    <xf numFmtId="0" fontId="54" fillId="0" borderId="0" xfId="0" applyFont="1" applyAlignment="1">
      <alignment horizontal="right"/>
    </xf>
    <xf numFmtId="0" fontId="54" fillId="0" borderId="0" xfId="0" applyFont="1" applyAlignment="1">
      <alignment horizontal="left"/>
    </xf>
    <xf numFmtId="0" fontId="47" fillId="0" borderId="0" xfId="0" applyFont="1" applyAlignment="1" applyProtection="1">
      <alignment horizontal="left"/>
      <protection hidden="1"/>
    </xf>
    <xf numFmtId="0" fontId="63" fillId="0" borderId="0" xfId="0" applyFont="1" applyAlignment="1" applyProtection="1">
      <alignment horizontal="left"/>
      <protection hidden="1"/>
    </xf>
    <xf numFmtId="0" fontId="60" fillId="0" borderId="0" xfId="0" applyFont="1" applyAlignment="1">
      <alignment horizontal="left"/>
    </xf>
    <xf numFmtId="164" fontId="47" fillId="0" borderId="0" xfId="0" applyNumberFormat="1" applyFont="1" applyAlignment="1" applyProtection="1">
      <alignment horizontal="left"/>
      <protection hidden="1"/>
    </xf>
    <xf numFmtId="0" fontId="78" fillId="0" borderId="0" xfId="0" applyFont="1" applyAlignment="1">
      <alignment horizontal="left"/>
    </xf>
    <xf numFmtId="2" fontId="50" fillId="0" borderId="0" xfId="0" applyNumberFormat="1" applyFont="1" applyAlignment="1">
      <alignment horizontal="left"/>
    </xf>
    <xf numFmtId="2" fontId="47" fillId="0" borderId="0" xfId="0" applyNumberFormat="1" applyFont="1" applyAlignment="1" applyProtection="1">
      <alignment horizontal="left"/>
      <protection hidden="1"/>
    </xf>
    <xf numFmtId="0" fontId="63" fillId="0" borderId="0" xfId="0" applyFont="1" applyAlignment="1">
      <alignment horizontal="left"/>
    </xf>
    <xf numFmtId="2" fontId="19" fillId="0" borderId="0" xfId="0" applyNumberFormat="1" applyFont="1" applyAlignment="1">
      <alignment horizontal="left"/>
    </xf>
    <xf numFmtId="0" fontId="47" fillId="0" borderId="0" xfId="0" quotePrefix="1" applyFont="1"/>
    <xf numFmtId="0" fontId="47" fillId="0" borderId="0" xfId="0" quotePrefix="1" applyFont="1" applyAlignment="1" applyProtection="1">
      <alignment horizontal="center"/>
      <protection hidden="1"/>
    </xf>
    <xf numFmtId="167" fontId="47" fillId="0" borderId="0" xfId="0" applyNumberFormat="1" applyFont="1" applyProtection="1">
      <protection hidden="1"/>
    </xf>
    <xf numFmtId="0" fontId="63" fillId="0" borderId="0" xfId="0" applyFont="1" applyProtection="1">
      <protection hidden="1"/>
    </xf>
    <xf numFmtId="0" fontId="47" fillId="0" borderId="0" xfId="0" applyFont="1" applyAlignment="1">
      <alignment horizontal="left" vertical="center"/>
    </xf>
    <xf numFmtId="0" fontId="19" fillId="0" borderId="0" xfId="0" quotePrefix="1" applyFont="1" applyAlignment="1">
      <alignment horizontal="left"/>
    </xf>
    <xf numFmtId="0" fontId="19" fillId="0" borderId="0" xfId="0" quotePrefix="1" applyFont="1" applyAlignment="1" applyProtection="1">
      <alignment horizontal="left"/>
      <protection hidden="1"/>
    </xf>
    <xf numFmtId="0" fontId="69" fillId="0" borderId="0" xfId="0" quotePrefix="1" applyFont="1" applyAlignment="1" applyProtection="1">
      <alignment horizontal="left"/>
      <protection hidden="1"/>
    </xf>
    <xf numFmtId="0" fontId="54" fillId="0" borderId="0" xfId="0" applyFont="1" applyAlignment="1" applyProtection="1">
      <alignment horizontal="left"/>
      <protection hidden="1"/>
    </xf>
    <xf numFmtId="0" fontId="19" fillId="0" borderId="0" xfId="0" applyFont="1" applyAlignment="1">
      <alignment horizontal="left" indent="1"/>
    </xf>
    <xf numFmtId="165" fontId="47" fillId="0" borderId="0" xfId="0" applyNumberFormat="1" applyFont="1" applyAlignment="1" applyProtection="1">
      <alignment horizontal="left"/>
      <protection hidden="1"/>
    </xf>
    <xf numFmtId="167" fontId="47" fillId="0" borderId="0" xfId="0" applyNumberFormat="1" applyFont="1" applyAlignment="1" applyProtection="1">
      <alignment horizontal="left"/>
      <protection hidden="1"/>
    </xf>
    <xf numFmtId="0" fontId="38" fillId="0" borderId="21" xfId="0" applyFont="1" applyBorder="1"/>
    <xf numFmtId="0" fontId="42" fillId="0" borderId="21" xfId="0" applyFont="1" applyBorder="1"/>
    <xf numFmtId="0" fontId="35" fillId="0" borderId="0" xfId="0" applyFont="1" applyAlignment="1">
      <alignment vertical="top" wrapText="1"/>
    </xf>
    <xf numFmtId="0" fontId="32" fillId="0" borderId="21" xfId="0" applyFont="1" applyBorder="1"/>
    <xf numFmtId="0" fontId="78" fillId="0" borderId="0" xfId="0" applyFont="1" applyAlignment="1">
      <alignment horizontal="right"/>
    </xf>
    <xf numFmtId="0" fontId="47" fillId="0" borderId="21" xfId="0" applyFont="1" applyBorder="1" applyProtection="1">
      <protection hidden="1"/>
    </xf>
    <xf numFmtId="0" fontId="47" fillId="0" borderId="21" xfId="0" applyFont="1" applyBorder="1" applyAlignment="1">
      <alignment horizontal="left"/>
    </xf>
    <xf numFmtId="0" fontId="47" fillId="0" borderId="21" xfId="0" applyFont="1" applyBorder="1"/>
    <xf numFmtId="0" fontId="42" fillId="0" borderId="21" xfId="0" applyFont="1" applyBorder="1" applyAlignment="1">
      <alignment horizontal="left"/>
    </xf>
    <xf numFmtId="2" fontId="50" fillId="25" borderId="0" xfId="0" quotePrefix="1" applyNumberFormat="1" applyFont="1" applyFill="1" applyAlignment="1">
      <alignment horizontal="center"/>
    </xf>
    <xf numFmtId="0" fontId="19" fillId="0" borderId="37" xfId="0" quotePrefix="1" applyFont="1" applyBorder="1"/>
    <xf numFmtId="0" fontId="79" fillId="0" borderId="0" xfId="0" applyFont="1" applyProtection="1">
      <protection hidden="1"/>
    </xf>
    <xf numFmtId="0" fontId="65" fillId="0" borderId="0" xfId="0" applyFont="1"/>
    <xf numFmtId="0" fontId="69" fillId="0" borderId="0" xfId="0" applyFont="1" applyAlignment="1">
      <alignment horizontal="left"/>
    </xf>
    <xf numFmtId="0" fontId="80" fillId="0" borderId="0" xfId="0" applyFont="1"/>
    <xf numFmtId="0" fontId="82" fillId="0" borderId="0" xfId="0" applyFont="1"/>
    <xf numFmtId="0" fontId="83" fillId="0" borderId="0" xfId="0" applyFont="1"/>
    <xf numFmtId="0" fontId="69" fillId="0" borderId="0" xfId="0" applyFont="1" applyAlignment="1">
      <alignment wrapText="1"/>
    </xf>
    <xf numFmtId="1" fontId="50" fillId="0" borderId="0" xfId="0" applyNumberFormat="1" applyFont="1" applyAlignment="1">
      <alignment horizontal="center"/>
    </xf>
    <xf numFmtId="0" fontId="85" fillId="0" borderId="0" xfId="0" applyFont="1"/>
    <xf numFmtId="0" fontId="86" fillId="0" borderId="0" xfId="0" applyFont="1" applyAlignment="1" applyProtection="1">
      <alignment vertical="center"/>
      <protection hidden="1"/>
    </xf>
    <xf numFmtId="0" fontId="0" fillId="0" borderId="0" xfId="0" applyAlignment="1">
      <alignment horizontal="center"/>
    </xf>
    <xf numFmtId="165" fontId="56" fillId="0" borderId="0" xfId="0" applyNumberFormat="1" applyFont="1" applyAlignment="1" applyProtection="1">
      <alignment horizontal="center"/>
      <protection hidden="1"/>
    </xf>
    <xf numFmtId="0" fontId="86" fillId="26" borderId="57" xfId="0" applyFont="1" applyFill="1" applyBorder="1" applyAlignment="1" applyProtection="1">
      <alignment horizontal="center" vertical="center"/>
      <protection hidden="1"/>
    </xf>
    <xf numFmtId="0" fontId="86" fillId="26" borderId="58" xfId="0" applyFont="1" applyFill="1" applyBorder="1" applyAlignment="1" applyProtection="1">
      <alignment horizontal="center" vertical="center"/>
      <protection hidden="1"/>
    </xf>
    <xf numFmtId="0" fontId="86" fillId="26" borderId="59" xfId="0" applyFont="1" applyFill="1" applyBorder="1" applyAlignment="1" applyProtection="1">
      <alignment horizontal="center" vertical="center"/>
      <protection hidden="1"/>
    </xf>
    <xf numFmtId="0" fontId="86" fillId="26" borderId="60" xfId="0" applyFont="1" applyFill="1" applyBorder="1" applyAlignment="1" applyProtection="1">
      <alignment horizontal="center" vertical="center"/>
      <protection hidden="1"/>
    </xf>
    <xf numFmtId="0" fontId="86" fillId="26" borderId="0" xfId="0" applyFont="1" applyFill="1" applyAlignment="1" applyProtection="1">
      <alignment horizontal="center" vertical="center"/>
      <protection hidden="1"/>
    </xf>
    <xf numFmtId="0" fontId="86" fillId="26" borderId="61" xfId="0" applyFont="1" applyFill="1" applyBorder="1" applyAlignment="1" applyProtection="1">
      <alignment horizontal="center" vertical="center"/>
      <protection hidden="1"/>
    </xf>
    <xf numFmtId="0" fontId="0" fillId="0" borderId="46" xfId="0" applyBorder="1"/>
    <xf numFmtId="0" fontId="79" fillId="0" borderId="46" xfId="0" applyFont="1" applyBorder="1" applyProtection="1">
      <protection hidden="1"/>
    </xf>
    <xf numFmtId="0" fontId="66" fillId="0" borderId="0" xfId="0" applyFont="1" applyProtection="1">
      <protection hidden="1"/>
    </xf>
    <xf numFmtId="0" fontId="52" fillId="0" borderId="0" xfId="0" applyFont="1" applyAlignment="1">
      <alignment horizontal="center"/>
    </xf>
    <xf numFmtId="0" fontId="19" fillId="0" borderId="0" xfId="0" applyFont="1" applyAlignment="1">
      <alignment vertical="center"/>
    </xf>
    <xf numFmtId="0" fontId="19" fillId="0" borderId="0" xfId="0" applyFont="1" applyAlignment="1">
      <alignment horizontal="left" indent="2"/>
    </xf>
    <xf numFmtId="0" fontId="14" fillId="0" borderId="0" xfId="0" applyFont="1" applyAlignment="1" applyProtection="1">
      <alignment horizontal="left" indent="2"/>
      <protection hidden="1"/>
    </xf>
    <xf numFmtId="0" fontId="54" fillId="0" borderId="0" xfId="0" applyFont="1" applyAlignment="1">
      <alignment horizontal="left" indent="2"/>
    </xf>
    <xf numFmtId="0" fontId="19" fillId="0" borderId="0" xfId="0" applyFont="1" applyAlignment="1">
      <alignment horizontal="center" vertical="center"/>
    </xf>
    <xf numFmtId="0" fontId="60" fillId="0" borderId="0" xfId="0" quotePrefix="1" applyFont="1"/>
    <xf numFmtId="0" fontId="50" fillId="0" borderId="0" xfId="0" applyFont="1" applyAlignment="1">
      <alignment vertical="center"/>
    </xf>
    <xf numFmtId="0" fontId="19" fillId="0" borderId="0" xfId="0" applyFont="1" applyAlignment="1">
      <alignment horizontal="left" vertical="center"/>
    </xf>
    <xf numFmtId="0" fontId="19" fillId="0" borderId="46" xfId="0" applyFont="1" applyBorder="1" applyAlignment="1">
      <alignment horizontal="left" indent="1"/>
    </xf>
    <xf numFmtId="0" fontId="14" fillId="0" borderId="46" xfId="0" applyFont="1" applyBorder="1" applyAlignment="1" applyProtection="1">
      <alignment horizontal="left" indent="1"/>
      <protection hidden="1"/>
    </xf>
    <xf numFmtId="0" fontId="19" fillId="0" borderId="37" xfId="0" applyFont="1" applyBorder="1"/>
    <xf numFmtId="0" fontId="66" fillId="0" borderId="0" xfId="0" applyFont="1"/>
    <xf numFmtId="0" fontId="76" fillId="0" borderId="0" xfId="0" applyFont="1"/>
    <xf numFmtId="0" fontId="73" fillId="0" borderId="0" xfId="0" applyFont="1" applyProtection="1">
      <protection hidden="1"/>
    </xf>
    <xf numFmtId="0" fontId="19" fillId="0" borderId="30" xfId="0" applyFont="1" applyBorder="1" applyProtection="1">
      <protection hidden="1"/>
    </xf>
    <xf numFmtId="0" fontId="19" fillId="0" borderId="46" xfId="0" applyFont="1" applyBorder="1" applyProtection="1">
      <protection hidden="1"/>
    </xf>
    <xf numFmtId="0" fontId="19" fillId="0" borderId="0" xfId="0" applyFont="1" applyAlignment="1" applyProtection="1">
      <alignment horizontal="left"/>
      <protection hidden="1"/>
    </xf>
    <xf numFmtId="0" fontId="19" fillId="0" borderId="0" xfId="0" quotePrefix="1" applyFont="1" applyProtection="1">
      <protection hidden="1"/>
    </xf>
    <xf numFmtId="0" fontId="79" fillId="0" borderId="0" xfId="0" applyFont="1" applyAlignment="1" applyProtection="1">
      <alignment horizontal="center"/>
      <protection hidden="1"/>
    </xf>
    <xf numFmtId="0" fontId="84" fillId="0" borderId="61" xfId="0" applyFont="1" applyBorder="1" applyAlignment="1" applyProtection="1">
      <alignment vertical="center" textRotation="180"/>
      <protection hidden="1"/>
    </xf>
    <xf numFmtId="0" fontId="79" fillId="0" borderId="0" xfId="0" applyFont="1" applyAlignment="1" applyProtection="1">
      <alignment horizontal="left" vertical="top"/>
      <protection hidden="1"/>
    </xf>
    <xf numFmtId="0" fontId="19" fillId="0" borderId="0" xfId="0" applyFont="1" applyAlignment="1">
      <alignment vertical="top" wrapText="1"/>
    </xf>
    <xf numFmtId="0" fontId="91" fillId="0" borderId="0" xfId="0" applyFont="1" applyAlignment="1">
      <alignment horizontal="justify" vertical="center"/>
    </xf>
    <xf numFmtId="0" fontId="19" fillId="0" borderId="0" xfId="0" applyFont="1" applyAlignment="1" applyProtection="1">
      <alignment horizontal="left" vertical="top"/>
      <protection hidden="1"/>
    </xf>
    <xf numFmtId="0" fontId="88" fillId="0" borderId="0" xfId="0" applyFont="1" applyProtection="1">
      <protection hidden="1"/>
    </xf>
    <xf numFmtId="0" fontId="88" fillId="0" borderId="0" xfId="0" applyFont="1" applyAlignment="1">
      <alignment vertical="top" wrapText="1"/>
    </xf>
    <xf numFmtId="0" fontId="36" fillId="0" borderId="0" xfId="0" applyFont="1" applyAlignment="1" applyProtection="1">
      <alignment horizontal="left" vertical="center"/>
      <protection locked="0"/>
    </xf>
    <xf numFmtId="0" fontId="19" fillId="0" borderId="0" xfId="0" applyFont="1" applyAlignment="1" applyProtection="1">
      <alignment horizontal="center"/>
      <protection hidden="1"/>
    </xf>
    <xf numFmtId="0" fontId="47" fillId="0" borderId="0" xfId="0" applyFont="1" applyAlignment="1" applyProtection="1">
      <alignment horizontal="left" vertical="top" indent="1"/>
      <protection hidden="1"/>
    </xf>
    <xf numFmtId="0" fontId="42" fillId="0" borderId="48" xfId="0" applyFont="1" applyBorder="1" applyAlignment="1">
      <alignment horizontal="center"/>
    </xf>
    <xf numFmtId="0" fontId="42" fillId="0" borderId="47" xfId="0" applyFont="1" applyBorder="1" applyAlignment="1">
      <alignment horizontal="center"/>
    </xf>
    <xf numFmtId="0" fontId="42" fillId="0" borderId="19" xfId="0" applyFont="1" applyBorder="1" applyAlignment="1">
      <alignment horizontal="center"/>
    </xf>
    <xf numFmtId="0" fontId="48" fillId="0" borderId="0" xfId="0" applyFont="1"/>
    <xf numFmtId="0" fontId="42" fillId="0" borderId="20" xfId="0" quotePrefix="1" applyFont="1" applyBorder="1"/>
    <xf numFmtId="0" fontId="1" fillId="0" borderId="19" xfId="0" applyFont="1" applyBorder="1" applyAlignment="1" applyProtection="1">
      <alignment horizontal="center"/>
      <protection locked="0"/>
    </xf>
    <xf numFmtId="0" fontId="34" fillId="0" borderId="66" xfId="0" applyFont="1" applyBorder="1" applyAlignment="1" applyProtection="1">
      <alignment horizontal="center" vertical="center" wrapText="1"/>
      <protection locked="0"/>
    </xf>
    <xf numFmtId="0" fontId="14" fillId="0" borderId="0" xfId="0" quotePrefix="1" applyFont="1" applyProtection="1">
      <protection hidden="1"/>
    </xf>
    <xf numFmtId="0" fontId="19" fillId="0" borderId="55" xfId="0" applyFont="1" applyBorder="1"/>
    <xf numFmtId="0" fontId="96" fillId="0" borderId="0" xfId="0" applyFont="1"/>
    <xf numFmtId="0" fontId="96" fillId="0" borderId="0" xfId="0" applyFont="1" applyAlignment="1" applyProtection="1">
      <alignment horizontal="center"/>
      <protection hidden="1"/>
    </xf>
    <xf numFmtId="0" fontId="34" fillId="0" borderId="12" xfId="0" applyFont="1" applyBorder="1" applyAlignment="1" applyProtection="1">
      <alignment horizontal="center" vertical="center" wrapText="1"/>
      <protection locked="0"/>
    </xf>
    <xf numFmtId="0" fontId="34" fillId="0" borderId="13" xfId="0" applyFont="1" applyBorder="1" applyAlignment="1" applyProtection="1">
      <alignment horizontal="center" vertical="center" wrapText="1"/>
      <protection locked="0"/>
    </xf>
    <xf numFmtId="0" fontId="34" fillId="0" borderId="14" xfId="0" applyFont="1" applyBorder="1" applyAlignment="1" applyProtection="1">
      <alignment horizontal="center" vertical="center" wrapText="1"/>
      <protection locked="0"/>
    </xf>
    <xf numFmtId="0" fontId="34" fillId="0" borderId="15" xfId="0" applyFont="1" applyBorder="1" applyAlignment="1" applyProtection="1">
      <alignment horizontal="center" vertical="center" wrapText="1"/>
      <protection locked="0"/>
    </xf>
    <xf numFmtId="0" fontId="34" fillId="0" borderId="16" xfId="0" quotePrefix="1" applyFont="1" applyBorder="1" applyAlignment="1" applyProtection="1">
      <alignment horizontal="center" vertical="center" wrapText="1"/>
      <protection locked="0"/>
    </xf>
    <xf numFmtId="0" fontId="34" fillId="0" borderId="16" xfId="0" applyFont="1" applyBorder="1" applyAlignment="1" applyProtection="1">
      <alignment horizontal="center" vertical="center" wrapText="1"/>
      <protection locked="0"/>
    </xf>
    <xf numFmtId="0" fontId="34" fillId="0" borderId="16" xfId="0" applyFont="1" applyBorder="1" applyAlignment="1" applyProtection="1">
      <alignment horizontal="center" wrapText="1"/>
      <protection locked="0"/>
    </xf>
    <xf numFmtId="0" fontId="34" fillId="0" borderId="65" xfId="0" applyFont="1" applyBorder="1" applyAlignment="1" applyProtection="1">
      <alignment horizontal="center" wrapText="1"/>
      <protection locked="0"/>
    </xf>
    <xf numFmtId="0" fontId="59" fillId="0" borderId="0" xfId="0" applyFont="1" applyAlignment="1" applyProtection="1">
      <alignment horizontal="left"/>
      <protection hidden="1"/>
    </xf>
    <xf numFmtId="0" fontId="49" fillId="0" borderId="0" xfId="0" applyFont="1" applyProtection="1">
      <protection hidden="1"/>
    </xf>
    <xf numFmtId="0" fontId="26" fillId="0" borderId="0" xfId="0" applyFont="1" applyProtection="1">
      <protection locked="0"/>
    </xf>
    <xf numFmtId="0" fontId="42" fillId="0" borderId="0" xfId="0" applyFont="1"/>
    <xf numFmtId="0" fontId="50" fillId="0" borderId="0" xfId="0" quotePrefix="1" applyFont="1"/>
    <xf numFmtId="0" fontId="19" fillId="0" borderId="0" xfId="0" applyFont="1" applyAlignment="1">
      <alignment horizontal="left" vertical="top" wrapText="1"/>
    </xf>
    <xf numFmtId="0" fontId="19" fillId="0" borderId="0" xfId="0" applyFont="1" applyAlignment="1">
      <alignment horizontal="left" vertical="top"/>
    </xf>
    <xf numFmtId="0" fontId="100" fillId="0" borderId="0" xfId="0" applyFont="1"/>
    <xf numFmtId="14" fontId="34" fillId="0" borderId="13" xfId="0" applyNumberFormat="1" applyFont="1" applyBorder="1" applyAlignment="1" applyProtection="1">
      <alignment horizontal="center" vertical="center" wrapText="1"/>
      <protection locked="0"/>
    </xf>
    <xf numFmtId="0" fontId="19" fillId="0" borderId="55" xfId="0" quotePrefix="1" applyFont="1" applyBorder="1" applyProtection="1">
      <protection hidden="1"/>
    </xf>
    <xf numFmtId="0" fontId="47" fillId="0" borderId="46" xfId="0" applyFont="1" applyBorder="1" applyProtection="1">
      <protection hidden="1"/>
    </xf>
    <xf numFmtId="0" fontId="19" fillId="0" borderId="37" xfId="0" quotePrefix="1" applyFont="1" applyBorder="1" applyProtection="1">
      <protection hidden="1"/>
    </xf>
    <xf numFmtId="1" fontId="50" fillId="0" borderId="0" xfId="0" applyNumberFormat="1" applyFont="1"/>
    <xf numFmtId="0" fontId="66" fillId="0" borderId="30" xfId="0" applyFont="1" applyBorder="1" applyProtection="1">
      <protection hidden="1"/>
    </xf>
    <xf numFmtId="0" fontId="21" fillId="0" borderId="24" xfId="0" applyFont="1" applyBorder="1" applyAlignment="1" applyProtection="1">
      <alignment vertical="center"/>
      <protection locked="0"/>
    </xf>
    <xf numFmtId="0" fontId="21" fillId="0" borderId="34" xfId="0" applyFont="1" applyBorder="1" applyAlignment="1" applyProtection="1">
      <alignment vertical="center"/>
      <protection locked="0"/>
    </xf>
    <xf numFmtId="0" fontId="21" fillId="0" borderId="0" xfId="0" applyFont="1" applyAlignment="1" applyProtection="1">
      <alignment vertical="center"/>
      <protection locked="0"/>
    </xf>
    <xf numFmtId="0" fontId="21" fillId="0" borderId="11" xfId="0" applyFont="1" applyBorder="1" applyAlignment="1" applyProtection="1">
      <alignment vertical="center"/>
      <protection locked="0"/>
    </xf>
    <xf numFmtId="0" fontId="21" fillId="0" borderId="32" xfId="0" applyFont="1" applyBorder="1" applyAlignment="1" applyProtection="1">
      <alignment vertical="center"/>
      <protection locked="0"/>
    </xf>
    <xf numFmtId="0" fontId="21" fillId="0" borderId="35" xfId="0" applyFont="1" applyBorder="1" applyAlignment="1" applyProtection="1">
      <alignment vertical="center"/>
      <protection locked="0"/>
    </xf>
    <xf numFmtId="0" fontId="101" fillId="0" borderId="24" xfId="52" applyBorder="1" applyAlignment="1" applyProtection="1">
      <alignment vertical="center"/>
      <protection locked="0"/>
    </xf>
    <xf numFmtId="0" fontId="33" fillId="0" borderId="10" xfId="0" applyFont="1" applyBorder="1" applyAlignment="1">
      <alignment horizontal="center" vertical="top" wrapText="1"/>
    </xf>
    <xf numFmtId="0" fontId="33" fillId="0" borderId="0" xfId="0" applyFont="1" applyAlignment="1">
      <alignment horizontal="center" vertical="top" wrapText="1"/>
    </xf>
    <xf numFmtId="0" fontId="33" fillId="0" borderId="11" xfId="0" applyFont="1" applyBorder="1" applyAlignment="1">
      <alignment horizontal="center" vertical="top" wrapText="1"/>
    </xf>
    <xf numFmtId="0" fontId="29" fillId="0" borderId="10" xfId="0" applyFont="1" applyBorder="1" applyAlignment="1">
      <alignment horizontal="center" vertical="top" wrapText="1"/>
    </xf>
    <xf numFmtId="0" fontId="29" fillId="0" borderId="0" xfId="0" applyFont="1" applyAlignment="1">
      <alignment horizontal="center" vertical="top" wrapText="1"/>
    </xf>
    <xf numFmtId="0" fontId="29" fillId="0" borderId="11" xfId="0" applyFont="1" applyBorder="1" applyAlignment="1">
      <alignment horizontal="center" vertical="top" wrapText="1"/>
    </xf>
    <xf numFmtId="0" fontId="30" fillId="0" borderId="10" xfId="0" applyFont="1" applyBorder="1" applyAlignment="1">
      <alignment horizontal="center" vertical="top" wrapText="1"/>
    </xf>
    <xf numFmtId="0" fontId="30" fillId="0" borderId="0" xfId="0" applyFont="1" applyAlignment="1">
      <alignment horizontal="center" vertical="top" wrapText="1"/>
    </xf>
    <xf numFmtId="0" fontId="30" fillId="0" borderId="11" xfId="0" applyFont="1" applyBorder="1" applyAlignment="1">
      <alignment horizontal="center" vertical="top" wrapText="1"/>
    </xf>
    <xf numFmtId="0" fontId="35" fillId="0" borderId="0" xfId="0" applyFont="1" applyAlignment="1">
      <alignment horizontal="left" vertical="top" wrapText="1"/>
    </xf>
    <xf numFmtId="0" fontId="29" fillId="0" borderId="0" xfId="0" applyFont="1" applyAlignment="1">
      <alignment wrapText="1"/>
    </xf>
    <xf numFmtId="0" fontId="34" fillId="0" borderId="22" xfId="0" applyFont="1" applyBorder="1" applyAlignment="1" applyProtection="1">
      <alignment horizontal="center" vertical="center"/>
      <protection locked="0"/>
    </xf>
    <xf numFmtId="0" fontId="97" fillId="0" borderId="23" xfId="0" applyFont="1" applyBorder="1" applyAlignment="1">
      <alignment horizontal="center" vertical="center"/>
    </xf>
    <xf numFmtId="0" fontId="34" fillId="0" borderId="40" xfId="0" applyFont="1" applyBorder="1" applyAlignment="1" applyProtection="1">
      <alignment horizontal="center" wrapText="1"/>
      <protection locked="0"/>
    </xf>
    <xf numFmtId="0" fontId="34" fillId="0" borderId="42" xfId="0" applyFont="1" applyBorder="1" applyAlignment="1" applyProtection="1">
      <alignment horizontal="center" wrapText="1"/>
      <protection locked="0"/>
    </xf>
    <xf numFmtId="0" fontId="22" fillId="0" borderId="24" xfId="0" applyFont="1" applyBorder="1" applyAlignment="1" applyProtection="1">
      <alignment horizontal="center" vertical="top"/>
      <protection locked="0"/>
    </xf>
    <xf numFmtId="0" fontId="0" fillId="0" borderId="24" xfId="0" applyBorder="1"/>
    <xf numFmtId="0" fontId="22" fillId="0" borderId="0" xfId="0" applyFont="1" applyAlignment="1" applyProtection="1">
      <alignment horizontal="center" vertical="top"/>
      <protection locked="0"/>
    </xf>
    <xf numFmtId="0" fontId="0" fillId="0" borderId="0" xfId="0"/>
    <xf numFmtId="0" fontId="23" fillId="0" borderId="0" xfId="0" applyFont="1" applyAlignment="1">
      <alignment horizontal="justify" vertical="top" wrapText="1"/>
    </xf>
    <xf numFmtId="0" fontId="34" fillId="0" borderId="22" xfId="0" applyFont="1" applyBorder="1" applyAlignment="1" applyProtection="1">
      <alignment horizontal="center" vertical="center" wrapText="1"/>
      <protection locked="0"/>
    </xf>
    <xf numFmtId="0" fontId="49" fillId="0" borderId="39" xfId="0" applyFont="1" applyBorder="1" applyAlignment="1">
      <alignment horizontal="center" vertical="center" wrapText="1"/>
    </xf>
    <xf numFmtId="0" fontId="49" fillId="0" borderId="23" xfId="0" applyFont="1" applyBorder="1" applyAlignment="1">
      <alignment horizontal="center" vertical="center" wrapText="1"/>
    </xf>
    <xf numFmtId="0" fontId="32" fillId="0" borderId="0" xfId="0" applyFont="1" applyAlignment="1">
      <alignment horizontal="left" vertical="top"/>
    </xf>
    <xf numFmtId="0" fontId="31" fillId="0" borderId="10" xfId="0" applyFont="1" applyBorder="1" applyAlignment="1">
      <alignment horizontal="center" vertical="top" wrapText="1"/>
    </xf>
    <xf numFmtId="0" fontId="31" fillId="0" borderId="0" xfId="0" applyFont="1" applyAlignment="1">
      <alignment horizontal="center" vertical="top" wrapText="1"/>
    </xf>
    <xf numFmtId="0" fontId="31" fillId="0" borderId="11" xfId="0" applyFont="1" applyBorder="1" applyAlignment="1">
      <alignment horizontal="center" vertical="top" wrapText="1"/>
    </xf>
    <xf numFmtId="0" fontId="14" fillId="0" borderId="10" xfId="0" applyFont="1" applyBorder="1" applyAlignment="1">
      <alignment horizontal="center" vertical="top" wrapText="1"/>
    </xf>
    <xf numFmtId="0" fontId="14" fillId="0" borderId="0" xfId="0" applyFont="1" applyAlignment="1">
      <alignment horizontal="center" vertical="top" wrapText="1"/>
    </xf>
    <xf numFmtId="0" fontId="14" fillId="0" borderId="11" xfId="0" applyFont="1" applyBorder="1" applyAlignment="1">
      <alignment horizontal="center" vertical="top" wrapText="1"/>
    </xf>
    <xf numFmtId="0" fontId="20" fillId="0" borderId="28" xfId="0" applyFont="1" applyBorder="1" applyAlignment="1" applyProtection="1">
      <alignment horizontal="center" vertical="center"/>
      <protection locked="0"/>
    </xf>
    <xf numFmtId="0" fontId="20" fillId="0" borderId="24" xfId="0" applyFont="1" applyBorder="1" applyAlignment="1" applyProtection="1">
      <alignment horizontal="center" vertical="center"/>
      <protection locked="0"/>
    </xf>
    <xf numFmtId="0" fontId="20" fillId="0" borderId="29" xfId="0" applyFont="1" applyBorder="1" applyAlignment="1" applyProtection="1">
      <alignment horizontal="center" vertical="center"/>
      <protection locked="0"/>
    </xf>
    <xf numFmtId="0" fontId="20" fillId="0" borderId="10" xfId="0" applyFont="1" applyBorder="1" applyAlignment="1" applyProtection="1">
      <alignment horizontal="center" vertical="center"/>
      <protection locked="0"/>
    </xf>
    <xf numFmtId="0" fontId="20" fillId="0" borderId="0" xfId="0" applyFont="1" applyAlignment="1" applyProtection="1">
      <alignment horizontal="center" vertical="center"/>
      <protection locked="0"/>
    </xf>
    <xf numFmtId="0" fontId="20" fillId="0" borderId="30" xfId="0" applyFont="1" applyBorder="1" applyAlignment="1" applyProtection="1">
      <alignment horizontal="center" vertical="center"/>
      <protection locked="0"/>
    </xf>
    <xf numFmtId="0" fontId="20" fillId="0" borderId="31" xfId="0" applyFont="1" applyBorder="1" applyAlignment="1" applyProtection="1">
      <alignment horizontal="center" vertical="center"/>
      <protection locked="0"/>
    </xf>
    <xf numFmtId="0" fontId="20" fillId="0" borderId="32" xfId="0" applyFont="1" applyBorder="1" applyAlignment="1" applyProtection="1">
      <alignment horizontal="center" vertical="center"/>
      <protection locked="0"/>
    </xf>
    <xf numFmtId="0" fontId="20" fillId="0" borderId="33" xfId="0" applyFont="1" applyBorder="1" applyAlignment="1" applyProtection="1">
      <alignment horizontal="center" vertical="center"/>
      <protection locked="0"/>
    </xf>
    <xf numFmtId="0" fontId="20" fillId="0" borderId="36" xfId="0" applyFont="1" applyBorder="1" applyAlignment="1" applyProtection="1">
      <alignment horizontal="center" vertical="center"/>
      <protection locked="0"/>
    </xf>
    <xf numFmtId="0" fontId="20" fillId="0" borderId="37" xfId="0" applyFont="1" applyBorder="1" applyAlignment="1" applyProtection="1">
      <alignment horizontal="center" vertical="center"/>
      <protection locked="0"/>
    </xf>
    <xf numFmtId="0" fontId="20" fillId="0" borderId="38" xfId="0" applyFont="1" applyBorder="1" applyAlignment="1" applyProtection="1">
      <alignment horizontal="center" vertical="center"/>
      <protection locked="0"/>
    </xf>
    <xf numFmtId="0" fontId="20" fillId="0" borderId="25" xfId="0" applyFont="1" applyBorder="1" applyAlignment="1" applyProtection="1">
      <alignment horizontal="center" vertical="center"/>
      <protection locked="0"/>
    </xf>
    <xf numFmtId="0" fontId="20" fillId="0" borderId="26" xfId="0" applyFont="1" applyBorder="1" applyAlignment="1" applyProtection="1">
      <alignment horizontal="center" vertical="center"/>
      <protection locked="0"/>
    </xf>
    <xf numFmtId="0" fontId="20" fillId="0" borderId="27" xfId="0" applyFont="1" applyBorder="1" applyAlignment="1" applyProtection="1">
      <alignment horizontal="center" vertical="center"/>
      <protection locked="0"/>
    </xf>
    <xf numFmtId="0" fontId="19" fillId="0" borderId="11" xfId="0" applyFont="1" applyBorder="1" applyAlignment="1" applyProtection="1">
      <alignment vertical="center" textRotation="90"/>
      <protection locked="0"/>
    </xf>
    <xf numFmtId="0" fontId="0" fillId="0" borderId="11" xfId="0" applyBorder="1" applyAlignment="1">
      <alignment vertical="center"/>
    </xf>
    <xf numFmtId="0" fontId="34" fillId="0" borderId="40" xfId="0" applyFont="1" applyBorder="1" applyAlignment="1" applyProtection="1">
      <alignment horizontal="center" vertical="center" wrapText="1"/>
      <protection locked="0"/>
    </xf>
    <xf numFmtId="0" fontId="49" fillId="0" borderId="41" xfId="0" applyFont="1" applyBorder="1" applyAlignment="1">
      <alignment horizontal="center" vertical="center"/>
    </xf>
    <xf numFmtId="0" fontId="49" fillId="0" borderId="42" xfId="0" applyFont="1" applyBorder="1" applyAlignment="1">
      <alignment horizontal="center" vertical="center"/>
    </xf>
    <xf numFmtId="0" fontId="34" fillId="0" borderId="43" xfId="0" applyFont="1" applyBorder="1" applyAlignment="1" applyProtection="1">
      <alignment horizontal="center" vertical="center" wrapText="1"/>
      <protection locked="0"/>
    </xf>
    <xf numFmtId="0" fontId="0" fillId="0" borderId="44" xfId="0" applyBorder="1" applyAlignment="1">
      <alignment vertical="center" wrapText="1"/>
    </xf>
    <xf numFmtId="0" fontId="0" fillId="0" borderId="45" xfId="0" applyBorder="1" applyAlignment="1">
      <alignment vertical="center" wrapText="1"/>
    </xf>
    <xf numFmtId="0" fontId="36" fillId="0" borderId="0" xfId="0" applyFont="1" applyAlignment="1" applyProtection="1">
      <alignment horizontal="left" vertical="center"/>
      <protection locked="0"/>
    </xf>
    <xf numFmtId="0" fontId="37" fillId="0" borderId="0" xfId="0" applyFont="1" applyAlignment="1">
      <alignment horizontal="center" vertical="center"/>
    </xf>
    <xf numFmtId="0" fontId="38" fillId="0" borderId="0" xfId="0" applyFont="1" applyAlignment="1">
      <alignment vertical="center"/>
    </xf>
    <xf numFmtId="0" fontId="38" fillId="0" borderId="46" xfId="0" applyFont="1" applyBorder="1" applyAlignment="1">
      <alignment vertical="center"/>
    </xf>
    <xf numFmtId="0" fontId="39" fillId="0" borderId="21" xfId="0" applyFont="1" applyBorder="1" applyAlignment="1" applyProtection="1">
      <alignment horizontal="left" vertical="center"/>
      <protection locked="0"/>
    </xf>
    <xf numFmtId="0" fontId="38" fillId="0" borderId="21" xfId="0" applyFont="1" applyBorder="1" applyAlignment="1">
      <alignment vertical="center"/>
    </xf>
    <xf numFmtId="0" fontId="41" fillId="0" borderId="19" xfId="0" applyFont="1" applyBorder="1" applyAlignment="1" applyProtection="1">
      <alignment horizontal="center"/>
      <protection locked="0"/>
    </xf>
    <xf numFmtId="0" fontId="41" fillId="0" borderId="47" xfId="0" applyFont="1" applyBorder="1" applyAlignment="1" applyProtection="1">
      <alignment horizontal="center"/>
      <protection locked="0"/>
    </xf>
    <xf numFmtId="0" fontId="41" fillId="0" borderId="48" xfId="0" applyFont="1" applyBorder="1" applyAlignment="1" applyProtection="1">
      <alignment horizontal="center"/>
      <protection locked="0"/>
    </xf>
    <xf numFmtId="0" fontId="42" fillId="0" borderId="19" xfId="0" applyFont="1" applyBorder="1" applyAlignment="1">
      <alignment horizontal="center"/>
    </xf>
    <xf numFmtId="0" fontId="42" fillId="0" borderId="47" xfId="0" applyFont="1" applyBorder="1" applyAlignment="1">
      <alignment horizontal="center"/>
    </xf>
    <xf numFmtId="0" fontId="42" fillId="0" borderId="48" xfId="0" applyFont="1" applyBorder="1" applyAlignment="1">
      <alignment horizontal="center"/>
    </xf>
    <xf numFmtId="0" fontId="1" fillId="0" borderId="19" xfId="0" applyFont="1" applyBorder="1" applyAlignment="1" applyProtection="1">
      <alignment horizontal="center"/>
      <protection locked="0"/>
    </xf>
    <xf numFmtId="0" fontId="32" fillId="0" borderId="0" xfId="0" applyFont="1" applyAlignment="1">
      <alignment horizontal="left" wrapText="1"/>
    </xf>
    <xf numFmtId="0" fontId="32" fillId="0" borderId="21" xfId="0" applyFont="1" applyBorder="1" applyAlignment="1">
      <alignment horizontal="left"/>
    </xf>
    <xf numFmtId="0" fontId="38" fillId="0" borderId="21" xfId="0" applyFont="1" applyBorder="1" applyAlignment="1">
      <alignment horizontal="left"/>
    </xf>
    <xf numFmtId="0" fontId="99" fillId="0" borderId="19" xfId="0" applyFont="1" applyBorder="1" applyAlignment="1">
      <alignment horizontal="left" vertical="center"/>
    </xf>
    <xf numFmtId="0" fontId="99" fillId="0" borderId="47" xfId="0" applyFont="1" applyBorder="1" applyAlignment="1">
      <alignment horizontal="left" vertical="center"/>
    </xf>
    <xf numFmtId="0" fontId="99" fillId="0" borderId="48" xfId="0" applyFont="1" applyBorder="1" applyAlignment="1">
      <alignment horizontal="left" vertical="center"/>
    </xf>
    <xf numFmtId="0" fontId="42" fillId="0" borderId="21" xfId="0" applyFont="1" applyBorder="1" applyAlignment="1">
      <alignment horizontal="left"/>
    </xf>
    <xf numFmtId="0" fontId="17" fillId="0" borderId="19" xfId="0" applyFont="1" applyBorder="1" applyAlignment="1" applyProtection="1">
      <alignment horizontal="center"/>
      <protection locked="0"/>
    </xf>
    <xf numFmtId="0" fontId="98" fillId="0" borderId="19" xfId="0" applyFont="1" applyBorder="1" applyAlignment="1" applyProtection="1">
      <alignment horizontal="left" vertical="center" wrapText="1"/>
      <protection locked="0"/>
    </xf>
    <xf numFmtId="0" fontId="99" fillId="0" borderId="48" xfId="0" applyFont="1" applyBorder="1" applyAlignment="1">
      <alignment horizontal="left" vertical="center" wrapText="1"/>
    </xf>
    <xf numFmtId="0" fontId="37" fillId="0" borderId="0" xfId="0" applyFont="1" applyAlignment="1">
      <alignment horizontal="center" vertical="center" wrapText="1"/>
    </xf>
    <xf numFmtId="0" fontId="38" fillId="0" borderId="0" xfId="0" applyFont="1" applyAlignment="1">
      <alignment vertical="center" wrapText="1"/>
    </xf>
    <xf numFmtId="0" fontId="40" fillId="0" borderId="19" xfId="0" applyFont="1" applyBorder="1" applyAlignment="1" applyProtection="1">
      <alignment horizontal="center"/>
      <protection locked="0"/>
    </xf>
    <xf numFmtId="0" fontId="43" fillId="0" borderId="19" xfId="0" applyFont="1" applyBorder="1" applyAlignment="1">
      <alignment horizontal="center"/>
    </xf>
    <xf numFmtId="0" fontId="32" fillId="0" borderId="0" xfId="0" applyFont="1" applyAlignment="1">
      <alignment horizontal="center" wrapText="1"/>
    </xf>
    <xf numFmtId="0" fontId="42" fillId="0" borderId="21" xfId="0" applyFont="1" applyBorder="1" applyAlignment="1">
      <alignment horizontal="center"/>
    </xf>
    <xf numFmtId="0" fontId="50" fillId="0" borderId="0" xfId="0" applyFont="1" applyAlignment="1" applyProtection="1">
      <alignment horizontal="center"/>
      <protection hidden="1"/>
    </xf>
    <xf numFmtId="0" fontId="19" fillId="0" borderId="19" xfId="0" applyFont="1" applyBorder="1" applyAlignment="1">
      <alignment horizontal="center"/>
    </xf>
    <xf numFmtId="0" fontId="19" fillId="0" borderId="47" xfId="0" applyFont="1" applyBorder="1" applyAlignment="1">
      <alignment horizontal="center"/>
    </xf>
    <xf numFmtId="0" fontId="19" fillId="0" borderId="48" xfId="0" applyFont="1" applyBorder="1" applyAlignment="1">
      <alignment horizontal="center"/>
    </xf>
    <xf numFmtId="0" fontId="50" fillId="0" borderId="0" xfId="0" applyFont="1" applyAlignment="1">
      <alignment horizontal="left"/>
    </xf>
    <xf numFmtId="0" fontId="19" fillId="0" borderId="20" xfId="0" applyFont="1" applyBorder="1" applyAlignment="1">
      <alignment horizontal="center"/>
    </xf>
    <xf numFmtId="0" fontId="54" fillId="0" borderId="0" xfId="0" applyFont="1" applyAlignment="1">
      <alignment horizontal="center"/>
    </xf>
    <xf numFmtId="0" fontId="50" fillId="0" borderId="19" xfId="0" applyFont="1" applyBorder="1" applyAlignment="1">
      <alignment horizontal="center"/>
    </xf>
    <xf numFmtId="0" fontId="50" fillId="0" borderId="47" xfId="0" applyFont="1" applyBorder="1" applyAlignment="1">
      <alignment horizontal="center"/>
    </xf>
    <xf numFmtId="0" fontId="50" fillId="0" borderId="48" xfId="0" applyFont="1" applyBorder="1" applyAlignment="1">
      <alignment horizontal="center"/>
    </xf>
    <xf numFmtId="0" fontId="55" fillId="26" borderId="0" xfId="0" applyFont="1" applyFill="1" applyAlignment="1" applyProtection="1">
      <alignment horizontal="center" vertical="center" textRotation="180"/>
      <protection hidden="1"/>
    </xf>
    <xf numFmtId="0" fontId="84" fillId="0" borderId="61" xfId="0" applyFont="1" applyBorder="1" applyAlignment="1" applyProtection="1">
      <alignment horizontal="center" vertical="center" textRotation="180"/>
      <protection hidden="1"/>
    </xf>
    <xf numFmtId="0" fontId="63" fillId="0" borderId="19" xfId="0" applyFont="1" applyBorder="1" applyAlignment="1">
      <alignment horizontal="center"/>
    </xf>
    <xf numFmtId="0" fontId="63" fillId="0" borderId="47" xfId="0" applyFont="1" applyBorder="1" applyAlignment="1">
      <alignment horizontal="center"/>
    </xf>
    <xf numFmtId="0" fontId="63" fillId="0" borderId="48" xfId="0" applyFont="1" applyBorder="1" applyAlignment="1">
      <alignment horizontal="center"/>
    </xf>
    <xf numFmtId="0" fontId="55" fillId="0" borderId="56" xfId="0" applyFont="1" applyBorder="1" applyAlignment="1">
      <alignment horizontal="center"/>
    </xf>
    <xf numFmtId="2" fontId="50" fillId="0" borderId="19" xfId="0" applyNumberFormat="1" applyFont="1" applyBorder="1" applyAlignment="1">
      <alignment horizontal="center"/>
    </xf>
    <xf numFmtId="0" fontId="19" fillId="0" borderId="0" xfId="0" applyFont="1" applyAlignment="1" applyProtection="1">
      <alignment horizontal="center"/>
      <protection hidden="1"/>
    </xf>
    <xf numFmtId="0" fontId="86" fillId="26" borderId="57" xfId="0" applyFont="1" applyFill="1" applyBorder="1" applyAlignment="1" applyProtection="1">
      <alignment horizontal="center" vertical="center" wrapText="1"/>
      <protection hidden="1"/>
    </xf>
    <xf numFmtId="0" fontId="86" fillId="26" borderId="58" xfId="0" applyFont="1" applyFill="1" applyBorder="1" applyAlignment="1" applyProtection="1">
      <alignment horizontal="center" vertical="center" wrapText="1"/>
      <protection hidden="1"/>
    </xf>
    <xf numFmtId="0" fontId="86" fillId="26" borderId="59" xfId="0" applyFont="1" applyFill="1" applyBorder="1" applyAlignment="1" applyProtection="1">
      <alignment horizontal="center" vertical="center" wrapText="1"/>
      <protection hidden="1"/>
    </xf>
    <xf numFmtId="0" fontId="86" fillId="26" borderId="60" xfId="0" applyFont="1" applyFill="1" applyBorder="1" applyAlignment="1" applyProtection="1">
      <alignment horizontal="center" vertical="center" wrapText="1"/>
      <protection hidden="1"/>
    </xf>
    <xf numFmtId="0" fontId="86" fillId="26" borderId="0" xfId="0" applyFont="1" applyFill="1" applyAlignment="1" applyProtection="1">
      <alignment horizontal="center" vertical="center" wrapText="1"/>
      <protection hidden="1"/>
    </xf>
    <xf numFmtId="0" fontId="86" fillId="26" borderId="61" xfId="0" applyFont="1" applyFill="1" applyBorder="1" applyAlignment="1" applyProtection="1">
      <alignment horizontal="center" vertical="center" wrapText="1"/>
      <protection hidden="1"/>
    </xf>
    <xf numFmtId="0" fontId="86" fillId="26" borderId="62" xfId="0" applyFont="1" applyFill="1" applyBorder="1" applyAlignment="1" applyProtection="1">
      <alignment horizontal="center" vertical="center" wrapText="1"/>
      <protection hidden="1"/>
    </xf>
    <xf numFmtId="0" fontId="86" fillId="26" borderId="56" xfId="0" applyFont="1" applyFill="1" applyBorder="1" applyAlignment="1" applyProtection="1">
      <alignment horizontal="center" vertical="center" wrapText="1"/>
      <protection hidden="1"/>
    </xf>
    <xf numFmtId="0" fontId="86" fillId="26" borderId="63" xfId="0" applyFont="1" applyFill="1" applyBorder="1" applyAlignment="1" applyProtection="1">
      <alignment horizontal="center" vertical="center" wrapText="1"/>
      <protection hidden="1"/>
    </xf>
    <xf numFmtId="0" fontId="55" fillId="26" borderId="0" xfId="0" applyFont="1" applyFill="1" applyAlignment="1" applyProtection="1">
      <alignment horizontal="center" vertical="center"/>
      <protection hidden="1"/>
    </xf>
    <xf numFmtId="0" fontId="55" fillId="0" borderId="0" xfId="0" applyFont="1" applyAlignment="1">
      <alignment horizontal="center"/>
    </xf>
    <xf numFmtId="0" fontId="86" fillId="26" borderId="62" xfId="0" applyFont="1" applyFill="1" applyBorder="1" applyAlignment="1" applyProtection="1">
      <alignment horizontal="right" vertical="center"/>
      <protection hidden="1"/>
    </xf>
    <xf numFmtId="0" fontId="0" fillId="0" borderId="56" xfId="0" applyBorder="1" applyAlignment="1">
      <alignment horizontal="right" vertical="center"/>
    </xf>
    <xf numFmtId="0" fontId="0" fillId="0" borderId="63" xfId="0" applyBorder="1" applyAlignment="1">
      <alignment horizontal="right" vertical="center"/>
    </xf>
    <xf numFmtId="0" fontId="84" fillId="0" borderId="60" xfId="0" applyFont="1" applyBorder="1" applyAlignment="1" applyProtection="1">
      <alignment horizontal="center" vertical="center" textRotation="180"/>
      <protection hidden="1"/>
    </xf>
    <xf numFmtId="2" fontId="50" fillId="25" borderId="0" xfId="0" applyNumberFormat="1" applyFont="1" applyFill="1" applyAlignment="1">
      <alignment horizontal="center"/>
    </xf>
    <xf numFmtId="0" fontId="47" fillId="0" borderId="21" xfId="0" applyFont="1" applyBorder="1" applyAlignment="1">
      <alignment horizontal="center"/>
    </xf>
    <xf numFmtId="0" fontId="50" fillId="0" borderId="0" xfId="0" applyFont="1" applyAlignment="1">
      <alignment horizontal="center"/>
    </xf>
    <xf numFmtId="0" fontId="19" fillId="0" borderId="0" xfId="0" applyFont="1" applyAlignment="1">
      <alignment horizontal="center"/>
    </xf>
    <xf numFmtId="0" fontId="47" fillId="0" borderId="0" xfId="0" applyFont="1" applyAlignment="1">
      <alignment horizontal="left" vertical="top"/>
    </xf>
    <xf numFmtId="166" fontId="50" fillId="25" borderId="0" xfId="0" applyNumberFormat="1" applyFont="1" applyFill="1" applyAlignment="1">
      <alignment horizontal="center"/>
    </xf>
    <xf numFmtId="2" fontId="50" fillId="0" borderId="0" xfId="0" applyNumberFormat="1" applyFont="1" applyAlignment="1">
      <alignment horizontal="center"/>
    </xf>
    <xf numFmtId="165" fontId="50" fillId="0" borderId="0" xfId="0" applyNumberFormat="1" applyFont="1" applyAlignment="1">
      <alignment horizontal="center"/>
    </xf>
    <xf numFmtId="0" fontId="79" fillId="0" borderId="0" xfId="0" applyFont="1" applyAlignment="1" applyProtection="1">
      <alignment horizontal="center"/>
      <protection hidden="1"/>
    </xf>
    <xf numFmtId="1" fontId="50" fillId="25" borderId="0" xfId="0" quotePrefix="1" applyNumberFormat="1" applyFont="1" applyFill="1" applyAlignment="1">
      <alignment horizontal="center"/>
    </xf>
    <xf numFmtId="165" fontId="50" fillId="25" borderId="0" xfId="0" applyNumberFormat="1" applyFont="1" applyFill="1" applyAlignment="1">
      <alignment horizontal="center"/>
    </xf>
    <xf numFmtId="166" fontId="50" fillId="25" borderId="0" xfId="0" quotePrefix="1" applyNumberFormat="1" applyFont="1" applyFill="1" applyAlignment="1">
      <alignment horizontal="center"/>
    </xf>
    <xf numFmtId="164" fontId="50" fillId="25" borderId="0" xfId="0" applyNumberFormat="1" applyFont="1" applyFill="1" applyAlignment="1">
      <alignment horizontal="center"/>
    </xf>
    <xf numFmtId="0" fontId="50" fillId="25" borderId="0" xfId="0" applyFont="1" applyFill="1" applyAlignment="1">
      <alignment horizontal="center"/>
    </xf>
    <xf numFmtId="2" fontId="50" fillId="25" borderId="0" xfId="0" quotePrefix="1" applyNumberFormat="1" applyFont="1" applyFill="1" applyAlignment="1">
      <alignment horizontal="center"/>
    </xf>
    <xf numFmtId="0" fontId="19" fillId="0" borderId="21" xfId="0" applyFont="1" applyBorder="1" applyAlignment="1">
      <alignment horizontal="center"/>
    </xf>
    <xf numFmtId="165" fontId="50" fillId="25" borderId="0" xfId="0" quotePrefix="1" applyNumberFormat="1" applyFont="1" applyFill="1" applyAlignment="1">
      <alignment horizontal="center"/>
    </xf>
    <xf numFmtId="0" fontId="14" fillId="0" borderId="0" xfId="0" quotePrefix="1"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9" fillId="0" borderId="0" xfId="0" applyFont="1" applyProtection="1">
      <protection hidden="1"/>
    </xf>
    <xf numFmtId="2" fontId="56" fillId="0" borderId="0" xfId="0" applyNumberFormat="1" applyFont="1" applyAlignment="1">
      <alignment horizontal="center"/>
    </xf>
    <xf numFmtId="0" fontId="19" fillId="0" borderId="0" xfId="0" applyFont="1" applyAlignment="1">
      <alignment horizontal="left" wrapText="1" indent="2"/>
    </xf>
    <xf numFmtId="0" fontId="19" fillId="0" borderId="0" xfId="0" applyFont="1" applyAlignment="1">
      <alignment horizontal="left" vertical="top" wrapText="1" indent="2"/>
    </xf>
    <xf numFmtId="168" fontId="47" fillId="0" borderId="0" xfId="0" applyNumberFormat="1" applyFont="1" applyAlignment="1" applyProtection="1">
      <alignment horizontal="left"/>
      <protection hidden="1"/>
    </xf>
    <xf numFmtId="49" fontId="47" fillId="0" borderId="0" xfId="0" applyNumberFormat="1" applyFont="1" applyAlignment="1" applyProtection="1">
      <alignment horizontal="center"/>
      <protection hidden="1"/>
    </xf>
    <xf numFmtId="0" fontId="47" fillId="0" borderId="21" xfId="0" applyFont="1" applyBorder="1" applyAlignment="1" applyProtection="1">
      <alignment horizontal="center"/>
      <protection hidden="1"/>
    </xf>
    <xf numFmtId="1" fontId="47" fillId="0" borderId="0" xfId="0" applyNumberFormat="1" applyFont="1" applyAlignment="1" applyProtection="1">
      <alignment horizontal="center"/>
      <protection hidden="1"/>
    </xf>
    <xf numFmtId="0" fontId="63" fillId="0" borderId="0" xfId="0" applyFont="1" applyAlignment="1">
      <alignment horizontal="center"/>
    </xf>
    <xf numFmtId="0" fontId="47" fillId="0" borderId="0" xfId="0" applyFont="1" applyAlignment="1" applyProtection="1">
      <alignment horizontal="center"/>
      <protection hidden="1"/>
    </xf>
    <xf numFmtId="1" fontId="47" fillId="0" borderId="46" xfId="0" applyNumberFormat="1" applyFont="1" applyBorder="1" applyAlignment="1" applyProtection="1">
      <alignment horizontal="center"/>
      <protection hidden="1"/>
    </xf>
    <xf numFmtId="0" fontId="47" fillId="0" borderId="0" xfId="0" applyFont="1" applyAlignment="1" applyProtection="1">
      <alignment horizontal="center" vertical="top"/>
      <protection hidden="1"/>
    </xf>
    <xf numFmtId="167" fontId="19" fillId="0" borderId="0" xfId="0" applyNumberFormat="1" applyFont="1" applyAlignment="1">
      <alignment horizontal="center"/>
    </xf>
    <xf numFmtId="0" fontId="47" fillId="0" borderId="0" xfId="0" applyFont="1" applyAlignment="1" applyProtection="1">
      <alignment horizontal="left"/>
      <protection hidden="1"/>
    </xf>
    <xf numFmtId="166" fontId="19" fillId="0" borderId="0" xfId="0" applyNumberFormat="1" applyFont="1" applyAlignment="1">
      <alignment horizontal="center"/>
    </xf>
    <xf numFmtId="2" fontId="50" fillId="0" borderId="0" xfId="0" applyNumberFormat="1" applyFont="1" applyAlignment="1">
      <alignment horizontal="left"/>
    </xf>
    <xf numFmtId="167" fontId="47" fillId="0" borderId="0" xfId="0" applyNumberFormat="1" applyFont="1" applyAlignment="1">
      <alignment horizontal="center"/>
    </xf>
    <xf numFmtId="164" fontId="47" fillId="0" borderId="0" xfId="0" applyNumberFormat="1" applyFont="1" applyAlignment="1" applyProtection="1">
      <alignment horizontal="left"/>
      <protection hidden="1"/>
    </xf>
    <xf numFmtId="166" fontId="47" fillId="0" borderId="0" xfId="0" applyNumberFormat="1" applyFont="1" applyAlignment="1" applyProtection="1">
      <alignment horizontal="center"/>
      <protection hidden="1"/>
    </xf>
    <xf numFmtId="2" fontId="19" fillId="0" borderId="0" xfId="0" applyNumberFormat="1" applyFont="1" applyAlignment="1">
      <alignment horizontal="center"/>
    </xf>
    <xf numFmtId="0" fontId="47" fillId="0" borderId="46" xfId="0" applyFont="1" applyBorder="1" applyAlignment="1" applyProtection="1">
      <alignment horizontal="center"/>
      <protection hidden="1"/>
    </xf>
    <xf numFmtId="166" fontId="19" fillId="0" borderId="0" xfId="0" applyNumberFormat="1" applyFont="1" applyAlignment="1" applyProtection="1">
      <alignment horizontal="center"/>
      <protection hidden="1"/>
    </xf>
    <xf numFmtId="0" fontId="19" fillId="27" borderId="0" xfId="0" applyFont="1" applyFill="1" applyAlignment="1">
      <alignment horizontal="center"/>
    </xf>
    <xf numFmtId="0" fontId="19" fillId="0" borderId="0" xfId="0" applyFont="1" applyAlignment="1">
      <alignment vertical="top" wrapText="1"/>
    </xf>
    <xf numFmtId="0" fontId="19" fillId="27" borderId="0" xfId="0" applyFont="1" applyFill="1"/>
    <xf numFmtId="1" fontId="19" fillId="0" borderId="0" xfId="0" applyNumberFormat="1" applyFont="1" applyAlignment="1" applyProtection="1">
      <alignment horizontal="left"/>
      <protection hidden="1"/>
    </xf>
    <xf numFmtId="0" fontId="19" fillId="27" borderId="0" xfId="0" applyFont="1" applyFill="1" applyAlignment="1">
      <alignment horizontal="left"/>
    </xf>
    <xf numFmtId="0" fontId="19" fillId="0" borderId="0" xfId="0" applyFont="1" applyAlignment="1">
      <alignment horizontal="left" vertical="top" wrapText="1"/>
    </xf>
    <xf numFmtId="1" fontId="47" fillId="24" borderId="0" xfId="0" applyNumberFormat="1" applyFont="1" applyFill="1" applyAlignment="1" applyProtection="1">
      <alignment horizontal="center"/>
      <protection hidden="1"/>
    </xf>
    <xf numFmtId="165" fontId="47" fillId="24" borderId="0" xfId="0" applyNumberFormat="1" applyFont="1" applyFill="1" applyAlignment="1" applyProtection="1">
      <alignment horizontal="center"/>
      <protection hidden="1"/>
    </xf>
    <xf numFmtId="164" fontId="47" fillId="24" borderId="0" xfId="0" applyNumberFormat="1" applyFont="1" applyFill="1" applyAlignment="1" applyProtection="1">
      <alignment horizontal="center"/>
      <protection hidden="1"/>
    </xf>
    <xf numFmtId="2" fontId="47" fillId="24" borderId="0" xfId="0" applyNumberFormat="1" applyFont="1" applyFill="1" applyAlignment="1" applyProtection="1">
      <alignment horizontal="center"/>
      <protection hidden="1"/>
    </xf>
    <xf numFmtId="164" fontId="19" fillId="24" borderId="0" xfId="0" applyNumberFormat="1" applyFont="1" applyFill="1" applyAlignment="1" applyProtection="1">
      <alignment horizontal="center"/>
      <protection hidden="1"/>
    </xf>
    <xf numFmtId="0" fontId="19" fillId="0" borderId="0" xfId="0" applyFont="1" applyAlignment="1" applyProtection="1">
      <alignment horizontal="center" wrapText="1"/>
      <protection hidden="1"/>
    </xf>
    <xf numFmtId="0" fontId="47" fillId="0" borderId="0" xfId="0" applyFont="1" applyAlignment="1" applyProtection="1">
      <alignment horizontal="center" wrapText="1"/>
      <protection hidden="1"/>
    </xf>
    <xf numFmtId="2" fontId="50" fillId="0" borderId="0" xfId="0" applyNumberFormat="1" applyFont="1" applyAlignment="1" applyProtection="1">
      <alignment horizontal="center"/>
      <protection hidden="1"/>
    </xf>
    <xf numFmtId="0" fontId="1" fillId="0" borderId="0" xfId="0" applyFont="1" applyAlignment="1" applyProtection="1">
      <alignment horizontal="left" vertical="center"/>
      <protection locked="0"/>
    </xf>
    <xf numFmtId="0" fontId="42" fillId="0" borderId="0" xfId="0" applyFont="1" applyAlignment="1">
      <alignment horizontal="center" wrapText="1"/>
    </xf>
    <xf numFmtId="0" fontId="65" fillId="0" borderId="0" xfId="0" applyFont="1" applyAlignment="1" applyProtection="1">
      <alignment horizontal="center"/>
      <protection hidden="1"/>
    </xf>
    <xf numFmtId="0" fontId="38" fillId="0" borderId="0" xfId="0" applyFont="1" applyAlignment="1">
      <alignment horizontal="left" vertical="center"/>
    </xf>
    <xf numFmtId="0" fontId="20" fillId="0" borderId="0" xfId="0" applyFont="1" applyAlignment="1" applyProtection="1">
      <alignment horizontal="left" vertical="center"/>
      <protection locked="0"/>
    </xf>
    <xf numFmtId="0" fontId="20" fillId="0" borderId="0" xfId="0" applyFont="1" applyAlignment="1" applyProtection="1">
      <alignment vertical="center"/>
      <protection locked="0"/>
    </xf>
    <xf numFmtId="0" fontId="44" fillId="0" borderId="46" xfId="0" applyFont="1" applyBorder="1"/>
    <xf numFmtId="0" fontId="44" fillId="0" borderId="0" xfId="0" applyFont="1"/>
  </cellXfs>
  <cellStyles count="5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RM" xfId="44" xr:uid="{00000000-0005-0000-0000-00001C000000}"/>
    <cellStyle name="Good" xfId="29" builtinId="26" customBuiltin="1"/>
    <cellStyle name="Grey" xfId="45" xr:uid="{00000000-0005-0000-0000-00001E000000}"/>
    <cellStyle name="Header1" xfId="46" xr:uid="{00000000-0005-0000-0000-00001F000000}"/>
    <cellStyle name="Header2" xfId="47" xr:uid="{00000000-0005-0000-0000-000020000000}"/>
    <cellStyle name="Heading 1" xfId="30" builtinId="16" customBuiltin="1"/>
    <cellStyle name="Heading 2" xfId="31" builtinId="17" customBuiltin="1"/>
    <cellStyle name="Heading 3" xfId="32" builtinId="18" customBuiltin="1"/>
    <cellStyle name="Heading 4" xfId="33" builtinId="19" customBuiltin="1"/>
    <cellStyle name="Hyperlink" xfId="52" builtinId="8"/>
    <cellStyle name="Hyperlink 2" xfId="43" xr:uid="{00000000-0005-0000-0000-000025000000}"/>
    <cellStyle name="Input" xfId="34" builtinId="20" customBuiltin="1"/>
    <cellStyle name="Input [yellow]" xfId="48" xr:uid="{00000000-0005-0000-0000-000027000000}"/>
    <cellStyle name="Linked Cell" xfId="35" builtinId="24" customBuiltin="1"/>
    <cellStyle name="Neutral" xfId="36" builtinId="28" customBuiltin="1"/>
    <cellStyle name="Normal" xfId="0" builtinId="0"/>
    <cellStyle name="Normal - Style1" xfId="49" xr:uid="{00000000-0005-0000-0000-00002B000000}"/>
    <cellStyle name="Normal 2" xfId="37" xr:uid="{00000000-0005-0000-0000-00002C000000}"/>
    <cellStyle name="Note" xfId="38" builtinId="10" customBuiltin="1"/>
    <cellStyle name="Output" xfId="39" builtinId="21" customBuiltin="1"/>
    <cellStyle name="Percent [2]" xfId="50" xr:uid="{00000000-0005-0000-0000-00002F000000}"/>
    <cellStyle name="Times New Roman" xfId="51" xr:uid="{00000000-0005-0000-0000-000030000000}"/>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colors>
    <mruColors>
      <color rgb="FFB957B2"/>
      <color rgb="FFFFFF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8</xdr:col>
      <xdr:colOff>238124</xdr:colOff>
      <xdr:row>2</xdr:row>
      <xdr:rowOff>9525</xdr:rowOff>
    </xdr:from>
    <xdr:to>
      <xdr:col>10</xdr:col>
      <xdr:colOff>733424</xdr:colOff>
      <xdr:row>3</xdr:row>
      <xdr:rowOff>342900</xdr:rowOff>
    </xdr:to>
    <xdr:sp macro="" textlink="">
      <xdr:nvSpPr>
        <xdr:cNvPr id="1040" name="Text Box 16">
          <a:extLst>
            <a:ext uri="{FF2B5EF4-FFF2-40B4-BE49-F238E27FC236}">
              <a16:creationId xmlns:a16="http://schemas.microsoft.com/office/drawing/2014/main" id="{00000000-0008-0000-0000-000010040000}"/>
            </a:ext>
          </a:extLst>
        </xdr:cNvPr>
        <xdr:cNvSpPr txBox="1">
          <a:spLocks noChangeArrowheads="1"/>
        </xdr:cNvSpPr>
      </xdr:nvSpPr>
      <xdr:spPr bwMode="auto">
        <a:xfrm>
          <a:off x="4505324" y="390525"/>
          <a:ext cx="2257425" cy="523875"/>
        </a:xfrm>
        <a:prstGeom prst="rect">
          <a:avLst/>
        </a:prstGeom>
        <a:solidFill>
          <a:srgbClr val="FFFFFF"/>
        </a:solidFill>
        <a:ln w="9525">
          <a:noFill/>
          <a:miter lim="800000"/>
          <a:headEnd/>
          <a:tailEnd/>
        </a:ln>
      </xdr:spPr>
      <xdr:txBody>
        <a:bodyPr vertOverflow="clip" wrap="square" lIns="91440" tIns="45720" rIns="91440" bIns="45720" anchor="ctr" anchorCtr="0" upright="1"/>
        <a:lstStyle/>
        <a:p>
          <a:pPr algn="l" rtl="0">
            <a:defRPr sz="1000"/>
          </a:pPr>
          <a:r>
            <a:rPr lang="en-GB" sz="1200" b="0" i="0" u="none" strike="noStrike" baseline="0">
              <a:solidFill>
                <a:srgbClr val="000000"/>
              </a:solidFill>
              <a:latin typeface="Calibri"/>
            </a:rPr>
            <a:t>Page :   1 of  9</a:t>
          </a:r>
          <a:endParaRPr lang="en-GB" sz="1100" b="1" i="0" u="none" strike="noStrike" baseline="0">
            <a:solidFill>
              <a:srgbClr val="000000"/>
            </a:solidFill>
            <a:latin typeface="Times New Roman"/>
            <a:cs typeface="Times New Roman"/>
          </a:endParaRPr>
        </a:p>
      </xdr:txBody>
    </xdr:sp>
    <xdr:clientData/>
  </xdr:twoCellAnchor>
  <xdr:twoCellAnchor editAs="oneCell">
    <xdr:from>
      <xdr:col>1</xdr:col>
      <xdr:colOff>158262</xdr:colOff>
      <xdr:row>1</xdr:row>
      <xdr:rowOff>76201</xdr:rowOff>
    </xdr:from>
    <xdr:to>
      <xdr:col>3</xdr:col>
      <xdr:colOff>216057</xdr:colOff>
      <xdr:row>3</xdr:row>
      <xdr:rowOff>41032</xdr:rowOff>
    </xdr:to>
    <xdr:pic>
      <xdr:nvPicPr>
        <xdr:cNvPr id="3" name="Picture 2">
          <a:extLst>
            <a:ext uri="{FF2B5EF4-FFF2-40B4-BE49-F238E27FC236}">
              <a16:creationId xmlns:a16="http://schemas.microsoft.com/office/drawing/2014/main" id="{81415CFE-5980-F102-96C1-B5C4ACC225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277" y="269632"/>
          <a:ext cx="1159765" cy="3516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29308</xdr:colOff>
      <xdr:row>0</xdr:row>
      <xdr:rowOff>140677</xdr:rowOff>
    </xdr:from>
    <xdr:to>
      <xdr:col>10</xdr:col>
      <xdr:colOff>402207</xdr:colOff>
      <xdr:row>2</xdr:row>
      <xdr:rowOff>35755</xdr:rowOff>
    </xdr:to>
    <xdr:pic>
      <xdr:nvPicPr>
        <xdr:cNvPr id="2" name="Picture 1">
          <a:extLst>
            <a:ext uri="{FF2B5EF4-FFF2-40B4-BE49-F238E27FC236}">
              <a16:creationId xmlns:a16="http://schemas.microsoft.com/office/drawing/2014/main" id="{2C84B765-FAA9-421F-A16C-DCDD9A33ED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14646" y="140677"/>
          <a:ext cx="929746" cy="2819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30</xdr:col>
      <xdr:colOff>45720</xdr:colOff>
      <xdr:row>0</xdr:row>
      <xdr:rowOff>45720</xdr:rowOff>
    </xdr:from>
    <xdr:to>
      <xdr:col>35</xdr:col>
      <xdr:colOff>99166</xdr:colOff>
      <xdr:row>1</xdr:row>
      <xdr:rowOff>137160</xdr:rowOff>
    </xdr:to>
    <xdr:pic>
      <xdr:nvPicPr>
        <xdr:cNvPr id="2" name="Picture 1">
          <a:extLst>
            <a:ext uri="{FF2B5EF4-FFF2-40B4-BE49-F238E27FC236}">
              <a16:creationId xmlns:a16="http://schemas.microsoft.com/office/drawing/2014/main" id="{5613774D-5D01-472A-9456-D41A0221D3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9720" y="45720"/>
          <a:ext cx="929746" cy="2819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32</xdr:col>
      <xdr:colOff>6626</xdr:colOff>
      <xdr:row>0</xdr:row>
      <xdr:rowOff>39757</xdr:rowOff>
    </xdr:from>
    <xdr:to>
      <xdr:col>37</xdr:col>
      <xdr:colOff>81607</xdr:colOff>
      <xdr:row>1</xdr:row>
      <xdr:rowOff>129540</xdr:rowOff>
    </xdr:to>
    <xdr:pic>
      <xdr:nvPicPr>
        <xdr:cNvPr id="2" name="Picture 1">
          <a:extLst>
            <a:ext uri="{FF2B5EF4-FFF2-40B4-BE49-F238E27FC236}">
              <a16:creationId xmlns:a16="http://schemas.microsoft.com/office/drawing/2014/main" id="{196A556D-F091-4DFB-ACF6-321735D885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59896" y="39757"/>
          <a:ext cx="929746" cy="2819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34</xdr:col>
      <xdr:colOff>50006</xdr:colOff>
      <xdr:row>36</xdr:row>
      <xdr:rowOff>59532</xdr:rowOff>
    </xdr:from>
    <xdr:to>
      <xdr:col>34</xdr:col>
      <xdr:colOff>53578</xdr:colOff>
      <xdr:row>38</xdr:row>
      <xdr:rowOff>98821</xdr:rowOff>
    </xdr:to>
    <xdr:sp macro="" textlink="">
      <xdr:nvSpPr>
        <xdr:cNvPr id="2" name="Line 3">
          <a:extLst>
            <a:ext uri="{FF2B5EF4-FFF2-40B4-BE49-F238E27FC236}">
              <a16:creationId xmlns:a16="http://schemas.microsoft.com/office/drawing/2014/main" id="{00000000-0008-0000-0400-000002000000}"/>
            </a:ext>
          </a:extLst>
        </xdr:cNvPr>
        <xdr:cNvSpPr>
          <a:spLocks noChangeShapeType="1"/>
        </xdr:cNvSpPr>
      </xdr:nvSpPr>
      <xdr:spPr bwMode="auto">
        <a:xfrm flipV="1">
          <a:off x="395287" y="5744766"/>
          <a:ext cx="3572" cy="36075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30679</xdr:colOff>
      <xdr:row>37</xdr:row>
      <xdr:rowOff>152400</xdr:rowOff>
    </xdr:from>
    <xdr:to>
      <xdr:col>29</xdr:col>
      <xdr:colOff>160751</xdr:colOff>
      <xdr:row>45</xdr:row>
      <xdr:rowOff>5443</xdr:rowOff>
    </xdr:to>
    <xdr:grpSp>
      <xdr:nvGrpSpPr>
        <xdr:cNvPr id="28" name="Group 27">
          <a:extLst>
            <a:ext uri="{FF2B5EF4-FFF2-40B4-BE49-F238E27FC236}">
              <a16:creationId xmlns:a16="http://schemas.microsoft.com/office/drawing/2014/main" id="{00000000-0008-0000-0400-00001C000000}"/>
            </a:ext>
          </a:extLst>
        </xdr:cNvPr>
        <xdr:cNvGrpSpPr/>
      </xdr:nvGrpSpPr>
      <xdr:grpSpPr>
        <a:xfrm>
          <a:off x="4534099" y="6134100"/>
          <a:ext cx="1006372" cy="1133203"/>
          <a:chOff x="4187043" y="6140161"/>
          <a:chExt cx="995981" cy="1134589"/>
        </a:xfrm>
      </xdr:grpSpPr>
      <xdr:cxnSp macro="">
        <xdr:nvCxnSpPr>
          <xdr:cNvPr id="4" name="Straight Connector 3">
            <a:extLst>
              <a:ext uri="{FF2B5EF4-FFF2-40B4-BE49-F238E27FC236}">
                <a16:creationId xmlns:a16="http://schemas.microsoft.com/office/drawing/2014/main" id="{00000000-0008-0000-0400-000004000000}"/>
              </a:ext>
            </a:extLst>
          </xdr:cNvPr>
          <xdr:cNvCxnSpPr/>
        </xdr:nvCxnSpPr>
        <xdr:spPr>
          <a:xfrm>
            <a:off x="4187043" y="6147955"/>
            <a:ext cx="5442" cy="112679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 name="Straight Connector 4">
            <a:extLst>
              <a:ext uri="{FF2B5EF4-FFF2-40B4-BE49-F238E27FC236}">
                <a16:creationId xmlns:a16="http://schemas.microsoft.com/office/drawing/2014/main" id="{00000000-0008-0000-0400-000005000000}"/>
              </a:ext>
            </a:extLst>
          </xdr:cNvPr>
          <xdr:cNvCxnSpPr/>
        </xdr:nvCxnSpPr>
        <xdr:spPr>
          <a:xfrm>
            <a:off x="5171705" y="6140161"/>
            <a:ext cx="5213" cy="63326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 name="Straight Connector 6">
            <a:extLst>
              <a:ext uri="{FF2B5EF4-FFF2-40B4-BE49-F238E27FC236}">
                <a16:creationId xmlns:a16="http://schemas.microsoft.com/office/drawing/2014/main" id="{00000000-0008-0000-0400-000007000000}"/>
              </a:ext>
            </a:extLst>
          </xdr:cNvPr>
          <xdr:cNvCxnSpPr/>
        </xdr:nvCxnSpPr>
        <xdr:spPr>
          <a:xfrm flipV="1">
            <a:off x="4194613" y="6468156"/>
            <a:ext cx="988411" cy="275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 name="Straight Connector 12">
            <a:extLst>
              <a:ext uri="{FF2B5EF4-FFF2-40B4-BE49-F238E27FC236}">
                <a16:creationId xmlns:a16="http://schemas.microsoft.com/office/drawing/2014/main" id="{00000000-0008-0000-0400-00000D000000}"/>
              </a:ext>
            </a:extLst>
          </xdr:cNvPr>
          <xdr:cNvCxnSpPr/>
        </xdr:nvCxnSpPr>
        <xdr:spPr>
          <a:xfrm flipV="1">
            <a:off x="4197209" y="6767693"/>
            <a:ext cx="973882" cy="203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7" name="Straight Connector 16">
            <a:extLst>
              <a:ext uri="{FF2B5EF4-FFF2-40B4-BE49-F238E27FC236}">
                <a16:creationId xmlns:a16="http://schemas.microsoft.com/office/drawing/2014/main" id="{00000000-0008-0000-0400-000011000000}"/>
              </a:ext>
            </a:extLst>
          </xdr:cNvPr>
          <xdr:cNvCxnSpPr/>
        </xdr:nvCxnSpPr>
        <xdr:spPr>
          <a:xfrm flipH="1">
            <a:off x="4654689" y="6776104"/>
            <a:ext cx="2683" cy="49399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15</xdr:col>
      <xdr:colOff>45983</xdr:colOff>
      <xdr:row>35</xdr:row>
      <xdr:rowOff>87923</xdr:rowOff>
    </xdr:from>
    <xdr:to>
      <xdr:col>33</xdr:col>
      <xdr:colOff>76347</xdr:colOff>
      <xdr:row>54</xdr:row>
      <xdr:rowOff>72015</xdr:rowOff>
    </xdr:to>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
        <a:stretch>
          <a:fillRect/>
        </a:stretch>
      </xdr:blipFill>
      <xdr:spPr>
        <a:xfrm>
          <a:off x="2691002" y="5788269"/>
          <a:ext cx="3444711" cy="3046746"/>
        </a:xfrm>
        <a:prstGeom prst="rect">
          <a:avLst/>
        </a:prstGeom>
      </xdr:spPr>
    </xdr:pic>
    <xdr:clientData/>
  </xdr:twoCellAnchor>
  <xdr:twoCellAnchor editAs="oneCell">
    <xdr:from>
      <xdr:col>2</xdr:col>
      <xdr:colOff>140526</xdr:colOff>
      <xdr:row>35</xdr:row>
      <xdr:rowOff>131379</xdr:rowOff>
    </xdr:from>
    <xdr:to>
      <xdr:col>14</xdr:col>
      <xdr:colOff>55460</xdr:colOff>
      <xdr:row>51</xdr:row>
      <xdr:rowOff>8468</xdr:rowOff>
    </xdr:to>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2"/>
        <a:stretch>
          <a:fillRect/>
        </a:stretch>
      </xdr:blipFill>
      <xdr:spPr>
        <a:xfrm>
          <a:off x="482112" y="5931776"/>
          <a:ext cx="1964451" cy="2504675"/>
        </a:xfrm>
        <a:prstGeom prst="rect">
          <a:avLst/>
        </a:prstGeom>
      </xdr:spPr>
    </xdr:pic>
    <xdr:clientData/>
  </xdr:twoCellAnchor>
  <xdr:twoCellAnchor editAs="oneCell">
    <xdr:from>
      <xdr:col>33</xdr:col>
      <xdr:colOff>99060</xdr:colOff>
      <xdr:row>0</xdr:row>
      <xdr:rowOff>60960</xdr:rowOff>
    </xdr:from>
    <xdr:to>
      <xdr:col>37</xdr:col>
      <xdr:colOff>61066</xdr:colOff>
      <xdr:row>1</xdr:row>
      <xdr:rowOff>152400</xdr:rowOff>
    </xdr:to>
    <xdr:pic>
      <xdr:nvPicPr>
        <xdr:cNvPr id="3" name="Picture 2">
          <a:extLst>
            <a:ext uri="{FF2B5EF4-FFF2-40B4-BE49-F238E27FC236}">
              <a16:creationId xmlns:a16="http://schemas.microsoft.com/office/drawing/2014/main" id="{6D088BFD-B6EF-4C38-AC6A-D2F6ADEEEDC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454140" y="60960"/>
          <a:ext cx="929746" cy="2819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24</xdr:col>
      <xdr:colOff>168165</xdr:colOff>
      <xdr:row>0</xdr:row>
      <xdr:rowOff>36787</xdr:rowOff>
    </xdr:from>
    <xdr:to>
      <xdr:col>30</xdr:col>
      <xdr:colOff>57387</xdr:colOff>
      <xdr:row>1</xdr:row>
      <xdr:rowOff>129541</xdr:rowOff>
    </xdr:to>
    <xdr:pic>
      <xdr:nvPicPr>
        <xdr:cNvPr id="2" name="Picture 1">
          <a:extLst>
            <a:ext uri="{FF2B5EF4-FFF2-40B4-BE49-F238E27FC236}">
              <a16:creationId xmlns:a16="http://schemas.microsoft.com/office/drawing/2014/main" id="{3646248D-8688-4ACA-B51E-DAD6035647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30262" y="36787"/>
          <a:ext cx="929746" cy="28194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19</xdr:col>
      <xdr:colOff>83634</xdr:colOff>
      <xdr:row>54</xdr:row>
      <xdr:rowOff>11284</xdr:rowOff>
    </xdr:from>
    <xdr:to>
      <xdr:col>19</xdr:col>
      <xdr:colOff>87194</xdr:colOff>
      <xdr:row>58</xdr:row>
      <xdr:rowOff>74342</xdr:rowOff>
    </xdr:to>
    <xdr:cxnSp macro="">
      <xdr:nvCxnSpPr>
        <xdr:cNvPr id="3" name="Straight Connector 2">
          <a:extLst>
            <a:ext uri="{FF2B5EF4-FFF2-40B4-BE49-F238E27FC236}">
              <a16:creationId xmlns:a16="http://schemas.microsoft.com/office/drawing/2014/main" id="{00000000-0008-0000-0600-000003000000}"/>
            </a:ext>
          </a:extLst>
        </xdr:cNvPr>
        <xdr:cNvCxnSpPr/>
      </xdr:nvCxnSpPr>
      <xdr:spPr>
        <a:xfrm flipH="1">
          <a:off x="3350012" y="8235308"/>
          <a:ext cx="3560" cy="713546"/>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31</xdr:col>
      <xdr:colOff>17585</xdr:colOff>
      <xdr:row>0</xdr:row>
      <xdr:rowOff>52754</xdr:rowOff>
    </xdr:from>
    <xdr:to>
      <xdr:col>36</xdr:col>
      <xdr:colOff>73962</xdr:colOff>
      <xdr:row>1</xdr:row>
      <xdr:rowOff>141263</xdr:rowOff>
    </xdr:to>
    <xdr:pic>
      <xdr:nvPicPr>
        <xdr:cNvPr id="2" name="Picture 1">
          <a:extLst>
            <a:ext uri="{FF2B5EF4-FFF2-40B4-BE49-F238E27FC236}">
              <a16:creationId xmlns:a16="http://schemas.microsoft.com/office/drawing/2014/main" id="{9DBC506C-8A20-4A85-950A-5D2957E08C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68816" y="52754"/>
          <a:ext cx="929746" cy="28194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18</xdr:col>
      <xdr:colOff>78629</xdr:colOff>
      <xdr:row>13</xdr:row>
      <xdr:rowOff>5953</xdr:rowOff>
    </xdr:from>
    <xdr:to>
      <xdr:col>18</xdr:col>
      <xdr:colOff>82261</xdr:colOff>
      <xdr:row>24</xdr:row>
      <xdr:rowOff>69273</xdr:rowOff>
    </xdr:to>
    <xdr:cxnSp macro="">
      <xdr:nvCxnSpPr>
        <xdr:cNvPr id="3" name="Straight Connector 2">
          <a:extLst>
            <a:ext uri="{FF2B5EF4-FFF2-40B4-BE49-F238E27FC236}">
              <a16:creationId xmlns:a16="http://schemas.microsoft.com/office/drawing/2014/main" id="{00000000-0008-0000-0700-000003000000}"/>
            </a:ext>
          </a:extLst>
        </xdr:cNvPr>
        <xdr:cNvCxnSpPr/>
      </xdr:nvCxnSpPr>
      <xdr:spPr>
        <a:xfrm>
          <a:off x="3195902" y="2149078"/>
          <a:ext cx="3632" cy="1985638"/>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35</xdr:col>
      <xdr:colOff>17585</xdr:colOff>
      <xdr:row>0</xdr:row>
      <xdr:rowOff>46892</xdr:rowOff>
    </xdr:from>
    <xdr:to>
      <xdr:col>40</xdr:col>
      <xdr:colOff>73961</xdr:colOff>
      <xdr:row>1</xdr:row>
      <xdr:rowOff>135401</xdr:rowOff>
    </xdr:to>
    <xdr:pic>
      <xdr:nvPicPr>
        <xdr:cNvPr id="2" name="Picture 1">
          <a:extLst>
            <a:ext uri="{FF2B5EF4-FFF2-40B4-BE49-F238E27FC236}">
              <a16:creationId xmlns:a16="http://schemas.microsoft.com/office/drawing/2014/main" id="{9C939BBF-6F9E-47B5-B604-10206B2127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72200" y="46892"/>
          <a:ext cx="929746" cy="28194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37</xdr:col>
      <xdr:colOff>31532</xdr:colOff>
      <xdr:row>0</xdr:row>
      <xdr:rowOff>26276</xdr:rowOff>
    </xdr:from>
    <xdr:to>
      <xdr:col>42</xdr:col>
      <xdr:colOff>94174</xdr:colOff>
      <xdr:row>1</xdr:row>
      <xdr:rowOff>119030</xdr:rowOff>
    </xdr:to>
    <xdr:pic>
      <xdr:nvPicPr>
        <xdr:cNvPr id="2" name="Picture 1">
          <a:extLst>
            <a:ext uri="{FF2B5EF4-FFF2-40B4-BE49-F238E27FC236}">
              <a16:creationId xmlns:a16="http://schemas.microsoft.com/office/drawing/2014/main" id="{6B114A11-9D28-47AF-BC2D-ED3D6638D9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53049" y="26276"/>
          <a:ext cx="929746" cy="28194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30480</xdr:colOff>
          <xdr:row>32</xdr:row>
          <xdr:rowOff>60960</xdr:rowOff>
        </xdr:from>
        <xdr:to>
          <xdr:col>12</xdr:col>
          <xdr:colOff>99060</xdr:colOff>
          <xdr:row>32</xdr:row>
          <xdr:rowOff>160020</xdr:rowOff>
        </xdr:to>
        <xdr:sp macro="" textlink="">
          <xdr:nvSpPr>
            <xdr:cNvPr id="10241" name="Object 1" hidden="1">
              <a:extLst>
                <a:ext uri="{63B3BB69-23CF-44E3-9099-C40C66FF867C}">
                  <a14:compatExt spid="_x0000_s10241"/>
                </a:ext>
                <a:ext uri="{FF2B5EF4-FFF2-40B4-BE49-F238E27FC236}">
                  <a16:creationId xmlns:a16="http://schemas.microsoft.com/office/drawing/2014/main" id="{00000000-0008-0000-0900-0000012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28</xdr:row>
          <xdr:rowOff>38100</xdr:rowOff>
        </xdr:from>
        <xdr:to>
          <xdr:col>8</xdr:col>
          <xdr:colOff>152400</xdr:colOff>
          <xdr:row>29</xdr:row>
          <xdr:rowOff>0</xdr:rowOff>
        </xdr:to>
        <xdr:sp macro="" textlink="">
          <xdr:nvSpPr>
            <xdr:cNvPr id="10242" name="Object 2" hidden="1">
              <a:extLst>
                <a:ext uri="{63B3BB69-23CF-44E3-9099-C40C66FF867C}">
                  <a14:compatExt spid="_x0000_s10242"/>
                </a:ext>
                <a:ext uri="{FF2B5EF4-FFF2-40B4-BE49-F238E27FC236}">
                  <a16:creationId xmlns:a16="http://schemas.microsoft.com/office/drawing/2014/main" id="{00000000-0008-0000-0900-0000022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32</xdr:col>
      <xdr:colOff>0</xdr:colOff>
      <xdr:row>0</xdr:row>
      <xdr:rowOff>59635</xdr:rowOff>
    </xdr:from>
    <xdr:to>
      <xdr:col>37</xdr:col>
      <xdr:colOff>74980</xdr:colOff>
      <xdr:row>1</xdr:row>
      <xdr:rowOff>149418</xdr:rowOff>
    </xdr:to>
    <xdr:pic>
      <xdr:nvPicPr>
        <xdr:cNvPr id="2" name="Picture 1">
          <a:extLst>
            <a:ext uri="{FF2B5EF4-FFF2-40B4-BE49-F238E27FC236}">
              <a16:creationId xmlns:a16="http://schemas.microsoft.com/office/drawing/2014/main" id="{E4C02CCD-B42E-4113-80BF-00B1853381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85791" y="59635"/>
          <a:ext cx="929746" cy="28194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32</xdr:col>
      <xdr:colOff>13252</xdr:colOff>
      <xdr:row>0</xdr:row>
      <xdr:rowOff>46383</xdr:rowOff>
    </xdr:from>
    <xdr:to>
      <xdr:col>37</xdr:col>
      <xdr:colOff>88232</xdr:colOff>
      <xdr:row>1</xdr:row>
      <xdr:rowOff>136166</xdr:rowOff>
    </xdr:to>
    <xdr:pic>
      <xdr:nvPicPr>
        <xdr:cNvPr id="2" name="Picture 1">
          <a:extLst>
            <a:ext uri="{FF2B5EF4-FFF2-40B4-BE49-F238E27FC236}">
              <a16:creationId xmlns:a16="http://schemas.microsoft.com/office/drawing/2014/main" id="{C3697A4E-2397-4B22-AA3C-1D9D5DF9B9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99043" y="46383"/>
          <a:ext cx="929746" cy="28194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32</xdr:col>
      <xdr:colOff>47297</xdr:colOff>
      <xdr:row>0</xdr:row>
      <xdr:rowOff>63062</xdr:rowOff>
    </xdr:from>
    <xdr:to>
      <xdr:col>37</xdr:col>
      <xdr:colOff>115194</xdr:colOff>
      <xdr:row>1</xdr:row>
      <xdr:rowOff>155816</xdr:rowOff>
    </xdr:to>
    <xdr:pic>
      <xdr:nvPicPr>
        <xdr:cNvPr id="2" name="Picture 1">
          <a:extLst>
            <a:ext uri="{FF2B5EF4-FFF2-40B4-BE49-F238E27FC236}">
              <a16:creationId xmlns:a16="http://schemas.microsoft.com/office/drawing/2014/main" id="{418B3D61-8885-474D-8203-4BBFEC29AF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65076" y="63062"/>
          <a:ext cx="929746" cy="28194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32</xdr:col>
      <xdr:colOff>168728</xdr:colOff>
      <xdr:row>0</xdr:row>
      <xdr:rowOff>59871</xdr:rowOff>
    </xdr:from>
    <xdr:to>
      <xdr:col>38</xdr:col>
      <xdr:colOff>58888</xdr:colOff>
      <xdr:row>1</xdr:row>
      <xdr:rowOff>151311</xdr:rowOff>
    </xdr:to>
    <xdr:pic>
      <xdr:nvPicPr>
        <xdr:cNvPr id="2" name="Picture 1">
          <a:extLst>
            <a:ext uri="{FF2B5EF4-FFF2-40B4-BE49-F238E27FC236}">
              <a16:creationId xmlns:a16="http://schemas.microsoft.com/office/drawing/2014/main" id="{03AE607E-51F7-4A16-93D0-5953E1F0B0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07528" y="59871"/>
          <a:ext cx="929746" cy="2819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31</xdr:col>
      <xdr:colOff>40640</xdr:colOff>
      <xdr:row>0</xdr:row>
      <xdr:rowOff>40640</xdr:rowOff>
    </xdr:from>
    <xdr:to>
      <xdr:col>36</xdr:col>
      <xdr:colOff>91546</xdr:colOff>
      <xdr:row>1</xdr:row>
      <xdr:rowOff>129540</xdr:rowOff>
    </xdr:to>
    <xdr:pic>
      <xdr:nvPicPr>
        <xdr:cNvPr id="2" name="Picture 1">
          <a:extLst>
            <a:ext uri="{FF2B5EF4-FFF2-40B4-BE49-F238E27FC236}">
              <a16:creationId xmlns:a16="http://schemas.microsoft.com/office/drawing/2014/main" id="{A723EC54-BBF9-4367-884F-22C90BEE71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08320" y="40640"/>
          <a:ext cx="929746" cy="28194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35</xdr:col>
      <xdr:colOff>26504</xdr:colOff>
      <xdr:row>0</xdr:row>
      <xdr:rowOff>72887</xdr:rowOff>
    </xdr:from>
    <xdr:to>
      <xdr:col>40</xdr:col>
      <xdr:colOff>101485</xdr:colOff>
      <xdr:row>1</xdr:row>
      <xdr:rowOff>162670</xdr:rowOff>
    </xdr:to>
    <xdr:pic>
      <xdr:nvPicPr>
        <xdr:cNvPr id="2" name="Picture 1">
          <a:extLst>
            <a:ext uri="{FF2B5EF4-FFF2-40B4-BE49-F238E27FC236}">
              <a16:creationId xmlns:a16="http://schemas.microsoft.com/office/drawing/2014/main" id="{6A4DA471-5C92-48B4-9F21-7F1DAEA829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2382" y="72887"/>
          <a:ext cx="929746" cy="28194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14</xdr:col>
      <xdr:colOff>61912</xdr:colOff>
      <xdr:row>0</xdr:row>
      <xdr:rowOff>52388</xdr:rowOff>
    </xdr:from>
    <xdr:to>
      <xdr:col>18</xdr:col>
      <xdr:colOff>129646</xdr:colOff>
      <xdr:row>1</xdr:row>
      <xdr:rowOff>143828</xdr:rowOff>
    </xdr:to>
    <xdr:pic>
      <xdr:nvPicPr>
        <xdr:cNvPr id="2" name="Picture 1">
          <a:extLst>
            <a:ext uri="{FF2B5EF4-FFF2-40B4-BE49-F238E27FC236}">
              <a16:creationId xmlns:a16="http://schemas.microsoft.com/office/drawing/2014/main" id="{3A59B2F5-5C39-4642-B350-145B0E36E3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09875" y="52388"/>
          <a:ext cx="929746" cy="28194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34</xdr:col>
      <xdr:colOff>133350</xdr:colOff>
      <xdr:row>0</xdr:row>
      <xdr:rowOff>33337</xdr:rowOff>
    </xdr:from>
    <xdr:to>
      <xdr:col>40</xdr:col>
      <xdr:colOff>15346</xdr:colOff>
      <xdr:row>1</xdr:row>
      <xdr:rowOff>153352</xdr:rowOff>
    </xdr:to>
    <xdr:pic>
      <xdr:nvPicPr>
        <xdr:cNvPr id="2" name="Picture 1">
          <a:extLst>
            <a:ext uri="{FF2B5EF4-FFF2-40B4-BE49-F238E27FC236}">
              <a16:creationId xmlns:a16="http://schemas.microsoft.com/office/drawing/2014/main" id="{9FD21A52-EFA3-4BA1-B2D6-2DCDC01960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1725" y="33337"/>
          <a:ext cx="929746" cy="2819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CALCFM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FMT"/>
    </sheetNames>
    <definedNames>
      <definedName name="AddPage"/>
      <definedName name="AddSheet"/>
    </defined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flasysdesign.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flasysdesign.com/"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flasysdesign.com/"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flasysdesign.com/" TargetMode="Externa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flasysdesign.com/" TargetMode="External"/><Relationship Id="rId4"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flasysdesign.com/" TargetMode="Externa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flasysdesign.com/" TargetMode="External"/><Relationship Id="rId4"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flasysdesign.com/" TargetMode="External"/><Relationship Id="rId4"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8" Type="http://schemas.openxmlformats.org/officeDocument/2006/relationships/oleObject" Target="../embeddings/oleObject2.bin"/><Relationship Id="rId3" Type="http://schemas.openxmlformats.org/officeDocument/2006/relationships/drawing" Target="../drawings/drawing10.xml"/><Relationship Id="rId7" Type="http://schemas.openxmlformats.org/officeDocument/2006/relationships/image" Target="../media/image6.emf"/><Relationship Id="rId2" Type="http://schemas.openxmlformats.org/officeDocument/2006/relationships/printerSettings" Target="../printerSettings/printerSettings10.bin"/><Relationship Id="rId1" Type="http://schemas.openxmlformats.org/officeDocument/2006/relationships/hyperlink" Target="https://www.flasysdesign.com/" TargetMode="External"/><Relationship Id="rId6" Type="http://schemas.openxmlformats.org/officeDocument/2006/relationships/oleObject" Target="../embeddings/oleObject1.bin"/><Relationship Id="rId5" Type="http://schemas.openxmlformats.org/officeDocument/2006/relationships/vmlDrawing" Target="../drawings/vmlDrawing7.vml"/><Relationship Id="rId4" Type="http://schemas.openxmlformats.org/officeDocument/2006/relationships/vmlDrawing" Target="../drawings/vmlDrawing6.vml"/><Relationship Id="rId9" Type="http://schemas.openxmlformats.org/officeDocument/2006/relationships/image" Target="../media/image7.emf"/></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flasysdesign.com/" TargetMode="External"/><Relationship Id="rId4"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flasysdesign.com/" TargetMode="External"/><Relationship Id="rId4"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lasysdesign.com/" TargetMode="External"/><Relationship Id="rId4"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flasysdesign.com/" TargetMode="External"/><Relationship Id="rId4"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flasysdesign.com/" TargetMode="External"/><Relationship Id="rId4"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flasysdesign.com/"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flasysdesign.com/"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zoomScaleNormal="100" zoomScaleSheetLayoutView="130" workbookViewId="0">
      <selection activeCell="B7" sqref="B7:K7"/>
    </sheetView>
  </sheetViews>
  <sheetFormatPr defaultColWidth="9.109375" defaultRowHeight="13.2" x14ac:dyDescent="0.25"/>
  <cols>
    <col min="1" max="1" width="3.109375" style="2" customWidth="1"/>
    <col min="2" max="2" width="6" style="2" customWidth="1"/>
    <col min="3" max="3" width="10.109375" style="2" customWidth="1"/>
    <col min="4" max="4" width="7.33203125" style="2" customWidth="1"/>
    <col min="5" max="5" width="26" style="2" customWidth="1"/>
    <col min="6" max="6" width="7.33203125" style="2" customWidth="1"/>
    <col min="7" max="7" width="6.33203125" style="2" customWidth="1"/>
    <col min="8" max="8" width="4.5546875" style="2" customWidth="1"/>
    <col min="9" max="9" width="9.88671875" style="2" customWidth="1"/>
    <col min="10" max="10" width="14.109375" style="2" customWidth="1"/>
    <col min="11" max="11" width="11.88671875" style="2" customWidth="1"/>
    <col min="12" max="16384" width="9.109375" style="2"/>
  </cols>
  <sheetData>
    <row r="1" spans="2:11" s="1" customFormat="1" ht="15" customHeight="1" thickTop="1" x14ac:dyDescent="0.25">
      <c r="B1" s="290"/>
      <c r="C1" s="291"/>
      <c r="D1" s="292"/>
      <c r="E1" s="299"/>
      <c r="F1" s="291"/>
      <c r="G1" s="291"/>
      <c r="H1" s="292"/>
      <c r="I1" s="259" t="s">
        <v>607</v>
      </c>
      <c r="J1" s="253"/>
      <c r="K1" s="254"/>
    </row>
    <row r="2" spans="2:11" s="1" customFormat="1" ht="15" customHeight="1" x14ac:dyDescent="0.25">
      <c r="B2" s="293"/>
      <c r="C2" s="294"/>
      <c r="D2" s="295"/>
      <c r="E2" s="300"/>
      <c r="F2" s="294"/>
      <c r="G2" s="294"/>
      <c r="H2" s="295"/>
      <c r="I2" s="255" t="s">
        <v>608</v>
      </c>
      <c r="J2" s="255"/>
      <c r="K2" s="256"/>
    </row>
    <row r="3" spans="2:11" s="1" customFormat="1" ht="15" customHeight="1" x14ac:dyDescent="0.25">
      <c r="B3" s="293"/>
      <c r="C3" s="294"/>
      <c r="D3" s="295"/>
      <c r="E3" s="300"/>
      <c r="F3" s="294"/>
      <c r="G3" s="294"/>
      <c r="H3" s="295"/>
      <c r="I3" s="255"/>
      <c r="J3" s="255"/>
      <c r="K3" s="256"/>
    </row>
    <row r="4" spans="2:11" s="1" customFormat="1" ht="30.75" customHeight="1" x14ac:dyDescent="0.25">
      <c r="B4" s="296"/>
      <c r="C4" s="297"/>
      <c r="D4" s="298"/>
      <c r="E4" s="301"/>
      <c r="F4" s="297"/>
      <c r="G4" s="297"/>
      <c r="H4" s="298"/>
      <c r="I4" s="257"/>
      <c r="J4" s="257"/>
      <c r="K4" s="258"/>
    </row>
    <row r="5" spans="2:11" s="1" customFormat="1" ht="30.75" customHeight="1" x14ac:dyDescent="0.25">
      <c r="B5" s="302"/>
      <c r="C5" s="303"/>
      <c r="D5" s="303"/>
      <c r="E5" s="303"/>
      <c r="F5" s="303"/>
      <c r="G5" s="303"/>
      <c r="H5" s="303"/>
      <c r="I5" s="303"/>
      <c r="J5" s="303"/>
      <c r="K5" s="304"/>
    </row>
    <row r="6" spans="2:11" s="1" customFormat="1" ht="24.75" customHeight="1" x14ac:dyDescent="0.25">
      <c r="B6" s="266"/>
      <c r="C6" s="267"/>
      <c r="D6" s="267"/>
      <c r="E6" s="267"/>
      <c r="F6" s="267"/>
      <c r="G6" s="267"/>
      <c r="H6" s="267"/>
      <c r="I6" s="267"/>
      <c r="J6" s="267"/>
      <c r="K6" s="268"/>
    </row>
    <row r="7" spans="2:11" s="1" customFormat="1" ht="26.25" customHeight="1" x14ac:dyDescent="0.25">
      <c r="B7" s="284"/>
      <c r="C7" s="285"/>
      <c r="D7" s="285"/>
      <c r="E7" s="285"/>
      <c r="F7" s="285"/>
      <c r="G7" s="285"/>
      <c r="H7" s="285"/>
      <c r="I7" s="285"/>
      <c r="J7" s="285"/>
      <c r="K7" s="286"/>
    </row>
    <row r="8" spans="2:11" s="1" customFormat="1" ht="25.5" customHeight="1" x14ac:dyDescent="0.25">
      <c r="B8" s="287"/>
      <c r="C8" s="288"/>
      <c r="D8" s="288"/>
      <c r="E8" s="288"/>
      <c r="F8" s="288"/>
      <c r="G8" s="288"/>
      <c r="H8" s="288"/>
      <c r="I8" s="288"/>
      <c r="J8" s="288"/>
      <c r="K8" s="289"/>
    </row>
    <row r="9" spans="2:11" s="1" customFormat="1" ht="15" customHeight="1" x14ac:dyDescent="0.25">
      <c r="B9" s="260"/>
      <c r="C9" s="261"/>
      <c r="D9" s="261"/>
      <c r="E9" s="261"/>
      <c r="F9" s="261"/>
      <c r="G9" s="261"/>
      <c r="H9" s="261"/>
      <c r="I9" s="261"/>
      <c r="J9" s="261"/>
      <c r="K9" s="262"/>
    </row>
    <row r="10" spans="2:11" ht="14.25" customHeight="1" x14ac:dyDescent="0.25">
      <c r="B10" s="263"/>
      <c r="C10" s="264"/>
      <c r="D10" s="264"/>
      <c r="E10" s="264"/>
      <c r="F10" s="264"/>
      <c r="G10" s="264"/>
      <c r="H10" s="264"/>
      <c r="I10" s="264"/>
      <c r="J10" s="264"/>
      <c r="K10" s="265"/>
    </row>
    <row r="11" spans="2:11" ht="24.9" customHeight="1" x14ac:dyDescent="0.25">
      <c r="B11" s="284" t="s">
        <v>22</v>
      </c>
      <c r="C11" s="285"/>
      <c r="D11" s="285"/>
      <c r="E11" s="285"/>
      <c r="F11" s="285"/>
      <c r="G11" s="285"/>
      <c r="H11" s="285"/>
      <c r="I11" s="285"/>
      <c r="J11" s="285"/>
      <c r="K11" s="286"/>
    </row>
    <row r="12" spans="2:11" ht="15.75" customHeight="1" x14ac:dyDescent="0.25">
      <c r="B12" s="263"/>
      <c r="C12" s="264"/>
      <c r="D12" s="264"/>
      <c r="E12" s="264"/>
      <c r="F12" s="264"/>
      <c r="G12" s="264"/>
      <c r="H12" s="264"/>
      <c r="I12" s="264"/>
      <c r="J12" s="264"/>
      <c r="K12" s="265"/>
    </row>
    <row r="13" spans="2:11" ht="14.25" customHeight="1" x14ac:dyDescent="0.25">
      <c r="B13" s="263"/>
      <c r="C13" s="264"/>
      <c r="D13" s="264"/>
      <c r="E13" s="264"/>
      <c r="F13" s="264"/>
      <c r="G13" s="264"/>
      <c r="H13" s="264"/>
      <c r="I13" s="264"/>
      <c r="J13" s="264"/>
      <c r="K13" s="265"/>
    </row>
    <row r="14" spans="2:11" ht="24.9" customHeight="1" x14ac:dyDescent="0.25">
      <c r="B14" s="284"/>
      <c r="C14" s="285"/>
      <c r="D14" s="285"/>
      <c r="E14" s="285"/>
      <c r="F14" s="285"/>
      <c r="G14" s="285"/>
      <c r="H14" s="285"/>
      <c r="I14" s="285"/>
      <c r="J14" s="285"/>
      <c r="K14" s="286"/>
    </row>
    <row r="15" spans="2:11" ht="24.9" customHeight="1" x14ac:dyDescent="0.25">
      <c r="B15" s="284"/>
      <c r="C15" s="285"/>
      <c r="D15" s="285"/>
      <c r="E15" s="285"/>
      <c r="F15" s="285"/>
      <c r="G15" s="285"/>
      <c r="H15" s="285"/>
      <c r="I15" s="285"/>
      <c r="J15" s="285"/>
      <c r="K15" s="286"/>
    </row>
    <row r="16" spans="2:11" ht="24.9" customHeight="1" x14ac:dyDescent="0.25">
      <c r="B16" s="284"/>
      <c r="C16" s="285"/>
      <c r="D16" s="285"/>
      <c r="E16" s="285"/>
      <c r="F16" s="285"/>
      <c r="G16" s="285"/>
      <c r="H16" s="285"/>
      <c r="I16" s="285"/>
      <c r="J16" s="285"/>
      <c r="K16" s="286"/>
    </row>
    <row r="17" spans="2:11" ht="24.9" customHeight="1" x14ac:dyDescent="0.25">
      <c r="B17" s="284"/>
      <c r="C17" s="285"/>
      <c r="D17" s="285"/>
      <c r="E17" s="285"/>
      <c r="F17" s="285"/>
      <c r="G17" s="285"/>
      <c r="H17" s="285"/>
      <c r="I17" s="285"/>
      <c r="J17" s="285"/>
      <c r="K17" s="286"/>
    </row>
    <row r="18" spans="2:11" ht="24.9" customHeight="1" x14ac:dyDescent="0.25">
      <c r="B18" s="287"/>
      <c r="C18" s="288"/>
      <c r="D18" s="288"/>
      <c r="E18" s="288"/>
      <c r="F18" s="288"/>
      <c r="G18" s="288"/>
      <c r="H18" s="288"/>
      <c r="I18" s="288"/>
      <c r="J18" s="288"/>
      <c r="K18" s="289"/>
    </row>
    <row r="19" spans="2:11" ht="19.5" customHeight="1" x14ac:dyDescent="0.25">
      <c r="B19" s="10"/>
      <c r="C19" s="11"/>
      <c r="D19" s="283" t="s">
        <v>12</v>
      </c>
      <c r="E19" s="283"/>
      <c r="F19" s="283"/>
      <c r="G19" s="283"/>
      <c r="H19" s="283"/>
      <c r="I19" s="283"/>
      <c r="J19" s="283"/>
      <c r="K19" s="12"/>
    </row>
    <row r="20" spans="2:11" ht="18" customHeight="1" x14ac:dyDescent="0.25">
      <c r="B20" s="10"/>
      <c r="C20" s="11"/>
      <c r="D20" s="283" t="s">
        <v>3</v>
      </c>
      <c r="E20" s="283"/>
      <c r="F20" s="283"/>
      <c r="G20" s="283"/>
      <c r="H20" s="283"/>
      <c r="I20" s="283"/>
      <c r="J20" s="283"/>
      <c r="K20" s="12"/>
    </row>
    <row r="21" spans="2:11" ht="18" customHeight="1" x14ac:dyDescent="0.25">
      <c r="B21" s="10"/>
      <c r="C21" s="11"/>
      <c r="D21" s="283" t="s">
        <v>13</v>
      </c>
      <c r="E21" s="283"/>
      <c r="F21" s="283"/>
      <c r="G21" s="283"/>
      <c r="H21" s="283"/>
      <c r="I21" s="283"/>
      <c r="J21" s="283"/>
      <c r="K21" s="12"/>
    </row>
    <row r="22" spans="2:11" ht="18.75" customHeight="1" x14ac:dyDescent="0.25">
      <c r="B22" s="10"/>
      <c r="C22" s="11"/>
      <c r="D22" s="283" t="s">
        <v>14</v>
      </c>
      <c r="E22" s="283"/>
      <c r="F22" s="283"/>
      <c r="G22" s="283"/>
      <c r="H22" s="283"/>
      <c r="I22" s="283"/>
      <c r="J22" s="283"/>
      <c r="K22" s="12"/>
    </row>
    <row r="23" spans="2:11" ht="15" customHeight="1" x14ac:dyDescent="0.25">
      <c r="B23" s="10"/>
      <c r="C23" s="11"/>
      <c r="D23" s="13" t="s">
        <v>21</v>
      </c>
      <c r="E23" s="13"/>
      <c r="F23" s="13"/>
      <c r="G23" s="283"/>
      <c r="H23" s="283"/>
      <c r="I23" s="283"/>
      <c r="J23" s="283"/>
      <c r="K23" s="12"/>
    </row>
    <row r="24" spans="2:11" ht="15" customHeight="1" x14ac:dyDescent="0.25">
      <c r="B24" s="10"/>
      <c r="C24" s="11"/>
      <c r="D24" s="11"/>
      <c r="E24" s="11"/>
      <c r="F24" s="11"/>
      <c r="G24" s="11"/>
      <c r="H24" s="11"/>
      <c r="I24" s="11"/>
      <c r="J24" s="11"/>
      <c r="K24" s="12"/>
    </row>
    <row r="25" spans="2:11" ht="15" customHeight="1" x14ac:dyDescent="0.25">
      <c r="B25" s="10"/>
      <c r="C25" s="11"/>
      <c r="D25" s="11"/>
      <c r="E25" s="11"/>
      <c r="F25" s="11"/>
      <c r="G25" s="11"/>
      <c r="H25" s="11"/>
      <c r="I25" s="11"/>
      <c r="J25" s="11"/>
      <c r="K25" s="12"/>
    </row>
    <row r="26" spans="2:11" ht="15" customHeight="1" x14ac:dyDescent="0.25">
      <c r="B26" s="10"/>
      <c r="C26" s="11"/>
      <c r="D26" s="11"/>
      <c r="E26" s="11"/>
      <c r="F26" s="11"/>
      <c r="G26" s="11"/>
      <c r="H26" s="11"/>
      <c r="I26" s="11"/>
      <c r="J26" s="11"/>
      <c r="K26" s="12"/>
    </row>
    <row r="27" spans="2:11" ht="15" customHeight="1" x14ac:dyDescent="0.25">
      <c r="B27" s="10"/>
      <c r="C27" s="11"/>
      <c r="D27" s="11"/>
      <c r="E27" s="11"/>
      <c r="F27" s="11"/>
      <c r="G27" s="11"/>
      <c r="H27" s="11"/>
      <c r="I27" s="11"/>
      <c r="J27" s="11"/>
      <c r="K27" s="12"/>
    </row>
    <row r="28" spans="2:11" ht="15" customHeight="1" x14ac:dyDescent="0.25">
      <c r="B28" s="10"/>
      <c r="C28" s="11"/>
      <c r="D28" s="11"/>
      <c r="E28" s="11"/>
      <c r="F28" s="11"/>
      <c r="G28" s="11"/>
      <c r="H28" s="11"/>
      <c r="I28" s="11"/>
      <c r="J28" s="11"/>
      <c r="K28" s="12"/>
    </row>
    <row r="29" spans="2:11" ht="15" customHeight="1" x14ac:dyDescent="0.25">
      <c r="B29" s="10"/>
      <c r="C29" s="11"/>
      <c r="D29" s="11"/>
      <c r="E29" s="11"/>
      <c r="F29" s="11"/>
      <c r="G29" s="11"/>
      <c r="H29" s="11"/>
      <c r="I29" s="11"/>
      <c r="J29" s="11"/>
      <c r="K29" s="12"/>
    </row>
    <row r="30" spans="2:11" ht="15" customHeight="1" x14ac:dyDescent="0.25">
      <c r="B30" s="10"/>
      <c r="C30" s="11"/>
      <c r="D30" s="11"/>
      <c r="E30" s="11"/>
      <c r="F30" s="11"/>
      <c r="G30" s="11"/>
      <c r="H30" s="11"/>
      <c r="I30" s="11"/>
      <c r="J30" s="11"/>
      <c r="K30" s="12"/>
    </row>
    <row r="31" spans="2:11" ht="15" customHeight="1" x14ac:dyDescent="0.25">
      <c r="B31" s="10"/>
      <c r="C31" s="11"/>
      <c r="D31" s="11"/>
      <c r="E31" s="11"/>
      <c r="F31" s="11"/>
      <c r="G31" s="11"/>
      <c r="H31" s="11"/>
      <c r="I31" s="11"/>
      <c r="J31" s="11"/>
      <c r="K31" s="12"/>
    </row>
    <row r="32" spans="2:11" ht="15" customHeight="1" x14ac:dyDescent="0.25">
      <c r="B32" s="10"/>
      <c r="C32" s="11"/>
      <c r="D32" s="11"/>
      <c r="E32" s="11"/>
      <c r="F32" s="11"/>
      <c r="G32" s="11"/>
      <c r="H32" s="11"/>
      <c r="I32" s="11"/>
      <c r="J32" s="11"/>
      <c r="K32" s="12"/>
    </row>
    <row r="33" spans="1:11" ht="15" customHeight="1" x14ac:dyDescent="0.25">
      <c r="B33" s="10"/>
      <c r="C33" s="11"/>
      <c r="D33" s="11"/>
      <c r="E33" s="11"/>
      <c r="F33" s="11"/>
      <c r="G33" s="11"/>
      <c r="H33" s="11"/>
      <c r="I33" s="11"/>
      <c r="J33" s="11"/>
      <c r="K33" s="12"/>
    </row>
    <row r="34" spans="1:11" s="1" customFormat="1" ht="28.5" customHeight="1" x14ac:dyDescent="0.25">
      <c r="B34" s="231"/>
      <c r="C34" s="247"/>
      <c r="D34" s="232"/>
      <c r="E34" s="280"/>
      <c r="F34" s="281"/>
      <c r="G34" s="282"/>
      <c r="H34" s="271"/>
      <c r="I34" s="272"/>
      <c r="J34" s="232"/>
      <c r="K34" s="233"/>
    </row>
    <row r="35" spans="1:11" s="1" customFormat="1" ht="28.5" customHeight="1" x14ac:dyDescent="0.25">
      <c r="A35" s="305"/>
      <c r="B35" s="231"/>
      <c r="C35" s="247"/>
      <c r="D35" s="232"/>
      <c r="E35" s="280"/>
      <c r="F35" s="281"/>
      <c r="G35" s="282"/>
      <c r="H35" s="271"/>
      <c r="I35" s="272"/>
      <c r="J35" s="232"/>
      <c r="K35" s="233"/>
    </row>
    <row r="36" spans="1:11" s="1" customFormat="1" ht="28.5" customHeight="1" thickBot="1" x14ac:dyDescent="0.3">
      <c r="A36" s="306"/>
      <c r="B36" s="234"/>
      <c r="C36" s="235"/>
      <c r="D36" s="236"/>
      <c r="E36" s="307"/>
      <c r="F36" s="308"/>
      <c r="G36" s="309"/>
      <c r="H36" s="273"/>
      <c r="I36" s="274"/>
      <c r="J36" s="237"/>
      <c r="K36" s="238"/>
    </row>
    <row r="37" spans="1:11" s="1" customFormat="1" ht="38.25" customHeight="1" thickTop="1" thickBot="1" x14ac:dyDescent="0.3">
      <c r="A37" s="306"/>
      <c r="B37" s="14" t="s">
        <v>0</v>
      </c>
      <c r="C37" s="15" t="s">
        <v>1</v>
      </c>
      <c r="D37" s="15" t="s">
        <v>606</v>
      </c>
      <c r="E37" s="310" t="s">
        <v>15</v>
      </c>
      <c r="F37" s="311"/>
      <c r="G37" s="312"/>
      <c r="H37" s="16" t="s">
        <v>4</v>
      </c>
      <c r="I37" s="16"/>
      <c r="J37" s="15" t="s">
        <v>5</v>
      </c>
      <c r="K37" s="226" t="s">
        <v>6</v>
      </c>
    </row>
    <row r="38" spans="1:11" ht="13.8" thickTop="1" x14ac:dyDescent="0.25">
      <c r="B38" s="275"/>
      <c r="C38" s="276"/>
      <c r="D38" s="276"/>
      <c r="E38" s="276"/>
      <c r="F38" s="276"/>
      <c r="G38" s="276"/>
      <c r="H38" s="276"/>
      <c r="I38" s="276"/>
      <c r="J38" s="276"/>
      <c r="K38" s="276"/>
    </row>
    <row r="39" spans="1:11" x14ac:dyDescent="0.25">
      <c r="B39" s="277"/>
      <c r="C39" s="278"/>
      <c r="D39" s="278"/>
      <c r="E39" s="278"/>
      <c r="F39" s="278"/>
      <c r="G39" s="278"/>
      <c r="H39" s="278"/>
      <c r="I39" s="278"/>
      <c r="J39" s="278"/>
      <c r="K39" s="278"/>
    </row>
    <row r="40" spans="1:11" x14ac:dyDescent="0.25">
      <c r="B40" s="277"/>
      <c r="C40" s="278"/>
      <c r="D40" s="278"/>
      <c r="E40" s="278"/>
      <c r="F40" s="278"/>
      <c r="G40" s="278"/>
      <c r="H40" s="278"/>
      <c r="I40" s="278"/>
      <c r="J40" s="278"/>
      <c r="K40" s="278"/>
    </row>
    <row r="41" spans="1:11" x14ac:dyDescent="0.25">
      <c r="B41" s="277"/>
      <c r="C41" s="278"/>
      <c r="D41" s="278"/>
      <c r="E41" s="278"/>
      <c r="F41" s="278"/>
      <c r="G41" s="278"/>
      <c r="H41" s="278"/>
      <c r="I41" s="278"/>
      <c r="J41" s="278"/>
      <c r="K41" s="278"/>
    </row>
    <row r="42" spans="1:11" x14ac:dyDescent="0.25">
      <c r="B42" s="277"/>
      <c r="C42" s="278"/>
      <c r="D42" s="278"/>
      <c r="E42" s="278"/>
      <c r="F42" s="278"/>
      <c r="G42" s="278"/>
      <c r="H42" s="278"/>
      <c r="I42" s="278"/>
      <c r="J42" s="278"/>
      <c r="K42" s="278"/>
    </row>
    <row r="43" spans="1:11" x14ac:dyDescent="0.25">
      <c r="B43" s="277"/>
      <c r="C43" s="278"/>
      <c r="D43" s="278"/>
      <c r="E43" s="278"/>
      <c r="F43" s="278"/>
      <c r="G43" s="278"/>
      <c r="H43" s="278"/>
      <c r="I43" s="278"/>
      <c r="J43" s="278"/>
      <c r="K43" s="278"/>
    </row>
    <row r="44" spans="1:11" x14ac:dyDescent="0.25">
      <c r="B44" s="277"/>
      <c r="C44" s="278"/>
      <c r="D44" s="278"/>
      <c r="E44" s="278"/>
      <c r="F44" s="278"/>
      <c r="G44" s="278"/>
      <c r="H44" s="278"/>
      <c r="I44" s="278"/>
      <c r="J44" s="278"/>
      <c r="K44" s="278"/>
    </row>
    <row r="45" spans="1:11" x14ac:dyDescent="0.25">
      <c r="B45" s="277"/>
      <c r="C45" s="278"/>
      <c r="D45" s="278"/>
      <c r="E45" s="278"/>
      <c r="F45" s="278"/>
      <c r="G45" s="278"/>
      <c r="H45" s="278"/>
      <c r="I45" s="278"/>
      <c r="J45" s="278"/>
      <c r="K45" s="278"/>
    </row>
    <row r="46" spans="1:11" x14ac:dyDescent="0.25">
      <c r="B46" s="278"/>
      <c r="C46" s="278"/>
      <c r="D46" s="278"/>
      <c r="E46" s="278"/>
      <c r="F46" s="278"/>
      <c r="G46" s="278"/>
      <c r="H46" s="278"/>
      <c r="I46" s="278"/>
      <c r="J46" s="278"/>
      <c r="K46" s="278"/>
    </row>
    <row r="47" spans="1:11" ht="12.75" customHeight="1" x14ac:dyDescent="0.25">
      <c r="B47" s="279"/>
      <c r="C47" s="279"/>
      <c r="D47" s="279"/>
      <c r="E47" s="279"/>
      <c r="F47" s="279"/>
      <c r="G47" s="279"/>
      <c r="H47" s="279"/>
      <c r="I47" s="279"/>
      <c r="J47" s="279"/>
      <c r="K47" s="279"/>
    </row>
    <row r="48" spans="1:11" ht="12.75" customHeight="1" x14ac:dyDescent="0.25">
      <c r="B48" s="269"/>
      <c r="C48" s="270"/>
      <c r="D48" s="270"/>
      <c r="E48" s="270"/>
      <c r="F48" s="270"/>
      <c r="G48" s="270"/>
      <c r="H48" s="270"/>
      <c r="I48" s="270"/>
      <c r="J48" s="270"/>
      <c r="K48" s="270"/>
    </row>
    <row r="49" spans="2:12" x14ac:dyDescent="0.25">
      <c r="B49" s="270"/>
      <c r="C49" s="270"/>
      <c r="D49" s="270"/>
      <c r="E49" s="270"/>
      <c r="F49" s="270"/>
      <c r="G49" s="270"/>
      <c r="H49" s="270"/>
      <c r="I49" s="270"/>
      <c r="J49" s="270"/>
      <c r="K49" s="270"/>
    </row>
    <row r="50" spans="2:12" ht="3" customHeight="1" x14ac:dyDescent="0.25">
      <c r="B50" s="270"/>
      <c r="C50" s="270"/>
      <c r="D50" s="270"/>
      <c r="E50" s="270"/>
      <c r="F50" s="270"/>
      <c r="G50" s="270"/>
      <c r="H50" s="270"/>
      <c r="I50" s="270"/>
      <c r="J50" s="270"/>
      <c r="K50" s="270"/>
    </row>
    <row r="51" spans="2:12" ht="0.75" customHeight="1" x14ac:dyDescent="0.25">
      <c r="B51" s="270"/>
      <c r="C51" s="270"/>
      <c r="D51" s="270"/>
      <c r="E51" s="270"/>
      <c r="F51" s="270"/>
      <c r="G51" s="270"/>
      <c r="H51" s="270"/>
      <c r="I51" s="270"/>
      <c r="J51" s="270"/>
      <c r="K51" s="270"/>
    </row>
    <row r="52" spans="2:12" ht="15" customHeight="1" x14ac:dyDescent="0.25">
      <c r="L52" s="3"/>
    </row>
  </sheetData>
  <mergeCells count="36">
    <mergeCell ref="B15:K15"/>
    <mergeCell ref="B16:K16"/>
    <mergeCell ref="B17:K17"/>
    <mergeCell ref="A35:A37"/>
    <mergeCell ref="G23:J23"/>
    <mergeCell ref="H34:I34"/>
    <mergeCell ref="D20:F20"/>
    <mergeCell ref="G20:J20"/>
    <mergeCell ref="D21:F21"/>
    <mergeCell ref="G21:J21"/>
    <mergeCell ref="E36:G36"/>
    <mergeCell ref="E37:G37"/>
    <mergeCell ref="E34:G34"/>
    <mergeCell ref="D22:F22"/>
    <mergeCell ref="G22:J22"/>
    <mergeCell ref="B1:D4"/>
    <mergeCell ref="E1:H4"/>
    <mergeCell ref="B7:K7"/>
    <mergeCell ref="B8:K8"/>
    <mergeCell ref="B5:K5"/>
    <mergeCell ref="B9:K9"/>
    <mergeCell ref="B10:K10"/>
    <mergeCell ref="B6:K6"/>
    <mergeCell ref="B12:K12"/>
    <mergeCell ref="B48:K51"/>
    <mergeCell ref="H35:I35"/>
    <mergeCell ref="H36:I36"/>
    <mergeCell ref="B38:K46"/>
    <mergeCell ref="B47:K47"/>
    <mergeCell ref="E35:G35"/>
    <mergeCell ref="D19:F19"/>
    <mergeCell ref="G19:J19"/>
    <mergeCell ref="B11:K11"/>
    <mergeCell ref="B13:K13"/>
    <mergeCell ref="B14:K14"/>
    <mergeCell ref="B18:K18"/>
  </mergeCells>
  <phoneticPr fontId="19" type="noConversion"/>
  <hyperlinks>
    <hyperlink ref="I1" r:id="rId1" xr:uid="{5FB35705-27A3-4461-8724-644CAF019759}"/>
  </hyperlinks>
  <pageMargins left="0.25" right="0.25" top="0.75" bottom="0.75" header="0.3" footer="0.3"/>
  <pageSetup paperSize="9" scale="82"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0"/>
  <sheetViews>
    <sheetView zoomScale="130" zoomScaleNormal="130" zoomScaleSheetLayoutView="100" workbookViewId="0">
      <selection activeCell="I4" sqref="I4"/>
    </sheetView>
  </sheetViews>
  <sheetFormatPr defaultColWidth="9.109375" defaultRowHeight="13.2" x14ac:dyDescent="0.25"/>
  <cols>
    <col min="1" max="1" width="6" style="2" customWidth="1"/>
    <col min="2" max="2" width="11.5546875" style="2" customWidth="1"/>
    <col min="3" max="3" width="5.88671875" style="2" customWidth="1"/>
    <col min="4" max="4" width="22.6640625" style="2" customWidth="1"/>
    <col min="5" max="6" width="7.33203125" style="2" customWidth="1"/>
    <col min="7" max="7" width="4.5546875" style="2" customWidth="1"/>
    <col min="8" max="8" width="11.33203125" style="2" customWidth="1"/>
    <col min="9" max="9" width="7.6640625" style="2" customWidth="1"/>
    <col min="10" max="10" width="8.109375" style="2" customWidth="1"/>
    <col min="11" max="11" width="11.88671875" style="2" customWidth="1"/>
    <col min="12" max="16384" width="9.109375" style="2"/>
  </cols>
  <sheetData>
    <row r="1" spans="1:11" s="1" customFormat="1" ht="15" customHeight="1" x14ac:dyDescent="0.25">
      <c r="A1" s="313"/>
      <c r="B1" s="313"/>
      <c r="C1" s="313"/>
      <c r="D1" s="313"/>
      <c r="E1" s="313"/>
      <c r="F1" s="313"/>
      <c r="G1" s="313"/>
      <c r="H1" s="313"/>
      <c r="I1" s="313"/>
      <c r="J1" s="313"/>
      <c r="K1" s="313"/>
    </row>
    <row r="2" spans="1:11" s="1" customFormat="1" ht="15" customHeight="1" x14ac:dyDescent="0.25">
      <c r="A2" s="313" t="s">
        <v>22</v>
      </c>
      <c r="B2" s="313"/>
      <c r="C2" s="313"/>
      <c r="D2" s="313"/>
      <c r="E2" s="313"/>
      <c r="F2" s="313"/>
      <c r="G2" s="313"/>
      <c r="H2" s="313"/>
      <c r="I2" s="313"/>
      <c r="J2" s="313"/>
      <c r="K2" s="313"/>
    </row>
    <row r="3" spans="1:11" s="1" customFormat="1" ht="15" customHeight="1" x14ac:dyDescent="0.25">
      <c r="A3" s="9"/>
      <c r="B3" s="9"/>
      <c r="C3" s="9"/>
      <c r="D3" s="9"/>
      <c r="E3" s="9"/>
      <c r="F3" s="9"/>
      <c r="G3" s="9"/>
      <c r="H3" s="9"/>
      <c r="I3" s="9"/>
      <c r="J3" s="9"/>
      <c r="K3" s="9"/>
    </row>
    <row r="4" spans="1:11" s="1" customFormat="1" ht="15" customHeight="1" x14ac:dyDescent="0.25">
      <c r="A4" s="9"/>
      <c r="B4" s="9"/>
      <c r="C4" s="9"/>
      <c r="D4" s="9"/>
      <c r="E4" s="9"/>
      <c r="F4" s="9"/>
      <c r="G4" s="9"/>
      <c r="H4" s="9"/>
      <c r="I4" s="9"/>
      <c r="J4" s="9"/>
      <c r="K4" s="9"/>
    </row>
    <row r="5" spans="1:11" s="1" customFormat="1" ht="15" customHeight="1" x14ac:dyDescent="0.25">
      <c r="A5" s="314" t="s">
        <v>18</v>
      </c>
      <c r="B5" s="315"/>
      <c r="C5" s="315"/>
      <c r="D5" s="315"/>
      <c r="E5" s="315"/>
      <c r="F5" s="315"/>
      <c r="G5" s="315"/>
      <c r="H5" s="315"/>
      <c r="I5" s="315"/>
      <c r="J5" s="315"/>
      <c r="K5" s="315"/>
    </row>
    <row r="6" spans="1:11" s="1" customFormat="1" ht="15" customHeight="1" x14ac:dyDescent="0.25">
      <c r="A6" s="315"/>
      <c r="B6" s="315"/>
      <c r="C6" s="315"/>
      <c r="D6" s="315"/>
      <c r="E6" s="315"/>
      <c r="F6" s="315"/>
      <c r="G6" s="315"/>
      <c r="H6" s="315"/>
      <c r="I6" s="315"/>
      <c r="J6" s="315"/>
      <c r="K6" s="315"/>
    </row>
    <row r="7" spans="1:11" s="1" customFormat="1" ht="15" customHeight="1" x14ac:dyDescent="0.25">
      <c r="A7" s="316"/>
      <c r="B7" s="316"/>
      <c r="C7" s="316"/>
      <c r="D7" s="316"/>
      <c r="E7" s="316"/>
      <c r="F7" s="316"/>
      <c r="G7" s="316"/>
      <c r="H7" s="316"/>
      <c r="I7" s="316"/>
      <c r="J7" s="316"/>
      <c r="K7" s="316"/>
    </row>
    <row r="8" spans="1:11" ht="24.9" customHeight="1" x14ac:dyDescent="0.3">
      <c r="A8" s="18" t="s">
        <v>19</v>
      </c>
      <c r="B8" s="19" t="s">
        <v>1</v>
      </c>
      <c r="C8" s="322" t="s">
        <v>20</v>
      </c>
      <c r="D8" s="323"/>
      <c r="E8" s="323"/>
      <c r="F8" s="323"/>
      <c r="G8" s="323"/>
      <c r="H8" s="323"/>
      <c r="I8" s="323"/>
      <c r="J8" s="323"/>
      <c r="K8" s="324"/>
    </row>
    <row r="9" spans="1:11" ht="24.9" customHeight="1" x14ac:dyDescent="0.3">
      <c r="A9" s="21"/>
      <c r="B9" s="224"/>
      <c r="C9" s="325"/>
      <c r="D9" s="320"/>
      <c r="E9" s="320"/>
      <c r="F9" s="320"/>
      <c r="G9" s="320"/>
      <c r="H9" s="320"/>
      <c r="I9" s="320"/>
      <c r="J9" s="320"/>
      <c r="K9" s="321"/>
    </row>
    <row r="10" spans="1:11" ht="24.9" customHeight="1" x14ac:dyDescent="0.3">
      <c r="A10" s="21"/>
      <c r="B10" s="224"/>
      <c r="C10" s="325"/>
      <c r="D10" s="320"/>
      <c r="E10" s="320"/>
      <c r="F10" s="320"/>
      <c r="G10" s="320"/>
      <c r="H10" s="320"/>
      <c r="I10" s="320"/>
      <c r="J10" s="320"/>
      <c r="K10" s="321"/>
    </row>
    <row r="11" spans="1:11" ht="24.9" customHeight="1" x14ac:dyDescent="0.3">
      <c r="A11" s="21"/>
      <c r="B11" s="224"/>
      <c r="C11" s="325"/>
      <c r="D11" s="320"/>
      <c r="E11" s="320"/>
      <c r="F11" s="320"/>
      <c r="G11" s="320"/>
      <c r="H11" s="320"/>
      <c r="I11" s="320"/>
      <c r="J11" s="320"/>
      <c r="K11" s="321"/>
    </row>
    <row r="12" spans="1:11" ht="24.9" customHeight="1" x14ac:dyDescent="0.3">
      <c r="A12" s="21"/>
      <c r="B12" s="20"/>
      <c r="C12" s="319"/>
      <c r="D12" s="320"/>
      <c r="E12" s="320"/>
      <c r="F12" s="320"/>
      <c r="G12" s="320"/>
      <c r="H12" s="320"/>
      <c r="I12" s="320"/>
      <c r="J12" s="320"/>
      <c r="K12" s="321"/>
    </row>
    <row r="13" spans="1:11" ht="24.9" customHeight="1" x14ac:dyDescent="0.3">
      <c r="A13" s="21"/>
      <c r="B13" s="20"/>
      <c r="C13" s="319"/>
      <c r="D13" s="320"/>
      <c r="E13" s="320"/>
      <c r="F13" s="320"/>
      <c r="G13" s="320"/>
      <c r="H13" s="320"/>
      <c r="I13" s="320"/>
      <c r="J13" s="320"/>
      <c r="K13" s="321"/>
    </row>
    <row r="14" spans="1:11" ht="24.9" customHeight="1" x14ac:dyDescent="0.3">
      <c r="A14" s="21"/>
      <c r="B14" s="20"/>
      <c r="C14" s="319"/>
      <c r="D14" s="320"/>
      <c r="E14" s="320"/>
      <c r="F14" s="320"/>
      <c r="G14" s="320"/>
      <c r="H14" s="320"/>
      <c r="I14" s="320"/>
      <c r="J14" s="320"/>
      <c r="K14" s="321"/>
    </row>
    <row r="15" spans="1:11" ht="24.9" customHeight="1" x14ac:dyDescent="0.3">
      <c r="A15" s="21"/>
      <c r="B15" s="20"/>
      <c r="C15" s="319"/>
      <c r="D15" s="320"/>
      <c r="E15" s="320"/>
      <c r="F15" s="320"/>
      <c r="G15" s="320"/>
      <c r="H15" s="320"/>
      <c r="I15" s="320"/>
      <c r="J15" s="320"/>
      <c r="K15" s="321"/>
    </row>
    <row r="16" spans="1:11" ht="24.9" customHeight="1" x14ac:dyDescent="0.3">
      <c r="A16" s="21"/>
      <c r="B16" s="20"/>
      <c r="C16" s="319"/>
      <c r="D16" s="320"/>
      <c r="E16" s="320"/>
      <c r="F16" s="320"/>
      <c r="G16" s="320"/>
      <c r="H16" s="320"/>
      <c r="I16" s="320"/>
      <c r="J16" s="320"/>
      <c r="K16" s="321"/>
    </row>
    <row r="17" spans="1:15" ht="24.9" customHeight="1" x14ac:dyDescent="0.3">
      <c r="A17" s="21"/>
      <c r="B17" s="20"/>
      <c r="C17" s="319"/>
      <c r="D17" s="320"/>
      <c r="E17" s="320"/>
      <c r="F17" s="320"/>
      <c r="G17" s="320"/>
      <c r="H17" s="320"/>
      <c r="I17" s="320"/>
      <c r="J17" s="320"/>
      <c r="K17" s="321"/>
    </row>
    <row r="18" spans="1:15" ht="24.9" customHeight="1" x14ac:dyDescent="0.3">
      <c r="A18" s="21"/>
      <c r="B18" s="20"/>
      <c r="C18" s="319"/>
      <c r="D18" s="320"/>
      <c r="E18" s="320"/>
      <c r="F18" s="320"/>
      <c r="G18" s="320"/>
      <c r="H18" s="320"/>
      <c r="I18" s="320"/>
      <c r="J18" s="320"/>
      <c r="K18" s="321"/>
    </row>
    <row r="19" spans="1:15" ht="12.75" customHeight="1" x14ac:dyDescent="0.25">
      <c r="A19" s="317"/>
      <c r="B19" s="318"/>
      <c r="C19" s="318"/>
      <c r="D19" s="318"/>
      <c r="E19" s="318"/>
      <c r="F19" s="318"/>
      <c r="G19" s="318"/>
      <c r="H19" s="318"/>
      <c r="I19" s="318"/>
      <c r="J19" s="318"/>
      <c r="K19" s="318"/>
      <c r="O19" s="4"/>
    </row>
    <row r="20" spans="1:15" ht="13.8" x14ac:dyDescent="0.25">
      <c r="A20" s="315"/>
      <c r="B20" s="315"/>
      <c r="C20" s="315"/>
      <c r="D20" s="315"/>
      <c r="E20" s="315"/>
      <c r="F20" s="315"/>
      <c r="G20" s="315"/>
      <c r="H20" s="315"/>
      <c r="I20" s="315"/>
      <c r="J20" s="315"/>
      <c r="K20" s="315"/>
      <c r="O20" s="4"/>
    </row>
    <row r="21" spans="1:15" ht="12.75" customHeight="1" x14ac:dyDescent="0.25">
      <c r="A21" s="315"/>
      <c r="B21" s="315"/>
      <c r="C21" s="315"/>
      <c r="D21" s="315"/>
      <c r="E21" s="315"/>
      <c r="F21" s="315"/>
      <c r="G21" s="315"/>
      <c r="H21" s="315"/>
      <c r="I21" s="315"/>
      <c r="J21" s="315"/>
      <c r="K21" s="315"/>
      <c r="O21" s="5"/>
    </row>
    <row r="22" spans="1:15" ht="12.75" customHeight="1" x14ac:dyDescent="0.25">
      <c r="A22" s="336" t="s">
        <v>8</v>
      </c>
      <c r="B22" s="337"/>
      <c r="C22" s="337"/>
      <c r="D22" s="337"/>
      <c r="E22" s="337"/>
      <c r="F22" s="337"/>
      <c r="G22" s="337"/>
      <c r="H22" s="337"/>
      <c r="I22" s="337"/>
      <c r="J22" s="337"/>
      <c r="K22" s="337"/>
      <c r="O22" s="6"/>
    </row>
    <row r="23" spans="1:15" ht="15" customHeight="1" x14ac:dyDescent="0.25">
      <c r="A23" s="337"/>
      <c r="B23" s="337"/>
      <c r="C23" s="337"/>
      <c r="D23" s="337"/>
      <c r="E23" s="337"/>
      <c r="F23" s="337"/>
      <c r="G23" s="337"/>
      <c r="H23" s="337"/>
      <c r="I23" s="337"/>
      <c r="J23" s="337"/>
      <c r="K23" s="337"/>
      <c r="O23" s="7"/>
    </row>
    <row r="24" spans="1:15" ht="12.75" customHeight="1" x14ac:dyDescent="0.25">
      <c r="A24" s="337"/>
      <c r="B24" s="337"/>
      <c r="C24" s="337"/>
      <c r="D24" s="337"/>
      <c r="E24" s="337"/>
      <c r="F24" s="337"/>
      <c r="G24" s="337"/>
      <c r="H24" s="337"/>
      <c r="I24" s="337"/>
      <c r="J24" s="337"/>
      <c r="K24" s="337"/>
      <c r="O24" s="7"/>
    </row>
    <row r="25" spans="1:15" ht="15" customHeight="1" x14ac:dyDescent="0.25">
      <c r="A25" s="315" t="s">
        <v>9</v>
      </c>
      <c r="B25" s="315"/>
      <c r="C25" s="315"/>
      <c r="D25" s="315"/>
      <c r="E25" s="315"/>
      <c r="F25" s="315"/>
      <c r="G25" s="315"/>
      <c r="H25" s="315"/>
      <c r="I25" s="315"/>
      <c r="J25" s="315"/>
      <c r="K25" s="315"/>
    </row>
    <row r="26" spans="1:15" s="1" customFormat="1" ht="12.75" customHeight="1" x14ac:dyDescent="0.25">
      <c r="A26" s="316"/>
      <c r="B26" s="316"/>
      <c r="C26" s="316"/>
      <c r="D26" s="316"/>
      <c r="E26" s="316"/>
      <c r="F26" s="316"/>
      <c r="G26" s="316"/>
      <c r="H26" s="316"/>
      <c r="I26" s="316"/>
      <c r="J26" s="316"/>
      <c r="K26" s="316"/>
    </row>
    <row r="27" spans="1:15" s="8" customFormat="1" ht="28.5" customHeight="1" x14ac:dyDescent="0.3">
      <c r="A27" s="338" t="s">
        <v>7</v>
      </c>
      <c r="B27" s="324"/>
      <c r="C27" s="339" t="s">
        <v>10</v>
      </c>
      <c r="D27" s="323"/>
      <c r="E27" s="323"/>
      <c r="F27" s="323"/>
      <c r="G27" s="323"/>
      <c r="H27" s="323"/>
      <c r="I27" s="324"/>
      <c r="J27" s="338" t="s">
        <v>11</v>
      </c>
      <c r="K27" s="324"/>
    </row>
    <row r="28" spans="1:15" s="1" customFormat="1" ht="35.25" customHeight="1" x14ac:dyDescent="0.3">
      <c r="A28" s="334"/>
      <c r="B28" s="335"/>
      <c r="C28" s="329"/>
      <c r="D28" s="330"/>
      <c r="E28" s="330"/>
      <c r="F28" s="330"/>
      <c r="G28" s="330"/>
      <c r="H28" s="330"/>
      <c r="I28" s="331"/>
      <c r="J28" s="333"/>
      <c r="K28" s="324"/>
    </row>
    <row r="29" spans="1:15" s="1" customFormat="1" ht="46.5" customHeight="1" x14ac:dyDescent="0.3">
      <c r="A29" s="334"/>
      <c r="B29" s="335"/>
      <c r="C29" s="329"/>
      <c r="D29" s="330"/>
      <c r="E29" s="330"/>
      <c r="F29" s="330"/>
      <c r="G29" s="330"/>
      <c r="H29" s="330"/>
      <c r="I29" s="331"/>
      <c r="J29" s="333"/>
      <c r="K29" s="324"/>
    </row>
    <row r="30" spans="1:15" s="1" customFormat="1" ht="28.5" customHeight="1" x14ac:dyDescent="0.3">
      <c r="A30" s="225"/>
      <c r="B30" s="220"/>
      <c r="C30" s="222"/>
      <c r="D30" s="221"/>
      <c r="E30" s="221"/>
      <c r="F30" s="221"/>
      <c r="G30" s="221"/>
      <c r="H30" s="221"/>
      <c r="I30" s="220"/>
      <c r="J30" s="222"/>
      <c r="K30" s="220"/>
    </row>
    <row r="31" spans="1:15" s="1" customFormat="1" ht="28.5" customHeight="1" x14ac:dyDescent="0.3">
      <c r="A31" s="325"/>
      <c r="B31" s="324"/>
      <c r="C31" s="322"/>
      <c r="D31" s="323"/>
      <c r="E31" s="323"/>
      <c r="F31" s="323"/>
      <c r="G31" s="323"/>
      <c r="H31" s="323"/>
      <c r="I31" s="324"/>
      <c r="J31" s="322"/>
      <c r="K31" s="324"/>
    </row>
    <row r="32" spans="1:15" s="1" customFormat="1" ht="28.5" customHeight="1" x14ac:dyDescent="0.3">
      <c r="A32" s="325"/>
      <c r="B32" s="324"/>
      <c r="C32" s="322"/>
      <c r="D32" s="323"/>
      <c r="E32" s="323"/>
      <c r="F32" s="323"/>
      <c r="G32" s="323"/>
      <c r="H32" s="323"/>
      <c r="I32" s="324"/>
      <c r="J32" s="322"/>
      <c r="K32" s="324"/>
    </row>
    <row r="33" spans="1:12" s="1" customFormat="1" ht="28.5" customHeight="1" x14ac:dyDescent="0.3">
      <c r="A33" s="325"/>
      <c r="B33" s="324"/>
      <c r="C33" s="322"/>
      <c r="D33" s="323"/>
      <c r="E33" s="323"/>
      <c r="F33" s="323"/>
      <c r="G33" s="323"/>
      <c r="H33" s="323"/>
      <c r="I33" s="324"/>
      <c r="J33" s="322"/>
      <c r="K33" s="324"/>
    </row>
    <row r="34" spans="1:12" s="1" customFormat="1" ht="28.5" customHeight="1" x14ac:dyDescent="0.3">
      <c r="A34" s="325"/>
      <c r="B34" s="324"/>
      <c r="C34" s="322"/>
      <c r="D34" s="323"/>
      <c r="E34" s="323"/>
      <c r="F34" s="323"/>
      <c r="G34" s="323"/>
      <c r="H34" s="323"/>
      <c r="I34" s="324"/>
      <c r="J34" s="322"/>
      <c r="K34" s="324"/>
    </row>
    <row r="35" spans="1:12" s="1" customFormat="1" ht="28.5" customHeight="1" x14ac:dyDescent="0.3">
      <c r="A35" s="24"/>
      <c r="B35" s="25"/>
      <c r="C35" s="26"/>
      <c r="D35" s="25"/>
      <c r="E35" s="25"/>
      <c r="F35" s="25"/>
      <c r="G35" s="25"/>
      <c r="H35" s="25"/>
      <c r="I35" s="25"/>
      <c r="J35" s="25"/>
      <c r="K35" s="25"/>
    </row>
    <row r="36" spans="1:12" ht="15" customHeight="1" x14ac:dyDescent="0.3">
      <c r="A36" s="23"/>
      <c r="B36" s="23"/>
      <c r="C36" s="23"/>
      <c r="D36" s="23"/>
      <c r="E36" s="23"/>
      <c r="F36" s="23"/>
      <c r="G36" s="23"/>
      <c r="H36" s="23"/>
      <c r="I36" s="23"/>
      <c r="J36" s="23"/>
      <c r="K36" s="23"/>
    </row>
    <row r="37" spans="1:12" ht="15.6" x14ac:dyDescent="0.3">
      <c r="A37" s="327"/>
      <c r="B37" s="328"/>
      <c r="C37" s="328"/>
      <c r="D37" s="328"/>
      <c r="E37" s="22"/>
      <c r="F37" s="22"/>
      <c r="G37" s="22"/>
      <c r="H37" s="22"/>
      <c r="I37" s="22"/>
      <c r="J37" s="332" t="s">
        <v>393</v>
      </c>
      <c r="K37" s="332"/>
    </row>
    <row r="38" spans="1:12" ht="15.6" x14ac:dyDescent="0.3">
      <c r="A38" s="326"/>
      <c r="B38" s="326"/>
      <c r="C38" s="326"/>
      <c r="D38" s="326"/>
      <c r="E38" s="23"/>
      <c r="F38" s="23"/>
      <c r="G38" s="23"/>
      <c r="H38" s="23"/>
      <c r="I38" s="23"/>
      <c r="J38" s="23"/>
      <c r="K38" s="23"/>
    </row>
    <row r="39" spans="1:12" ht="12.75" customHeight="1" x14ac:dyDescent="0.25">
      <c r="A39" s="269"/>
      <c r="B39" s="270"/>
      <c r="C39" s="270"/>
      <c r="D39" s="270"/>
      <c r="E39" s="270"/>
      <c r="F39" s="270"/>
      <c r="G39" s="270"/>
      <c r="H39" s="270"/>
      <c r="I39" s="270"/>
      <c r="J39" s="270"/>
      <c r="K39" s="269"/>
    </row>
    <row r="40" spans="1:12" ht="15" x14ac:dyDescent="0.25">
      <c r="A40" s="270"/>
      <c r="B40" s="270"/>
      <c r="C40" s="270"/>
      <c r="D40" s="270"/>
      <c r="E40" s="270"/>
      <c r="F40" s="270"/>
      <c r="G40" s="270"/>
      <c r="H40" s="270"/>
      <c r="I40" s="270"/>
      <c r="J40" s="270"/>
      <c r="K40" s="270"/>
      <c r="L40" s="3"/>
    </row>
  </sheetData>
  <mergeCells count="43">
    <mergeCell ref="A22:K24"/>
    <mergeCell ref="A25:K26"/>
    <mergeCell ref="A27:B27"/>
    <mergeCell ref="A28:B28"/>
    <mergeCell ref="C28:I28"/>
    <mergeCell ref="J27:K27"/>
    <mergeCell ref="J28:K28"/>
    <mergeCell ref="C27:I27"/>
    <mergeCell ref="C29:I29"/>
    <mergeCell ref="C31:I31"/>
    <mergeCell ref="A31:B31"/>
    <mergeCell ref="J37:K37"/>
    <mergeCell ref="J33:K33"/>
    <mergeCell ref="C32:I32"/>
    <mergeCell ref="J29:K29"/>
    <mergeCell ref="J31:K31"/>
    <mergeCell ref="A29:B29"/>
    <mergeCell ref="A39:J40"/>
    <mergeCell ref="K39:K40"/>
    <mergeCell ref="A32:B32"/>
    <mergeCell ref="A34:B34"/>
    <mergeCell ref="J34:K34"/>
    <mergeCell ref="J32:K32"/>
    <mergeCell ref="A38:D38"/>
    <mergeCell ref="C34:I34"/>
    <mergeCell ref="C33:I33"/>
    <mergeCell ref="A33:B33"/>
    <mergeCell ref="A37:D37"/>
    <mergeCell ref="A1:K1"/>
    <mergeCell ref="A2:K2"/>
    <mergeCell ref="A5:K7"/>
    <mergeCell ref="A19:K21"/>
    <mergeCell ref="C14:K14"/>
    <mergeCell ref="C15:K15"/>
    <mergeCell ref="C16:K16"/>
    <mergeCell ref="C17:K17"/>
    <mergeCell ref="C13:K13"/>
    <mergeCell ref="C8:K8"/>
    <mergeCell ref="C9:K9"/>
    <mergeCell ref="C10:K10"/>
    <mergeCell ref="C11:K11"/>
    <mergeCell ref="C12:K12"/>
    <mergeCell ref="C18:K18"/>
  </mergeCells>
  <phoneticPr fontId="19" type="noConversion"/>
  <pageMargins left="0.25" right="0.25" top="0.75" bottom="0.75" header="0.3" footer="0.3"/>
  <pageSetup paperSize="9" scale="84"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00B050"/>
  </sheetPr>
  <dimension ref="A1:AK48"/>
  <sheetViews>
    <sheetView zoomScaleNormal="100" zoomScaleSheetLayoutView="160" workbookViewId="0">
      <selection activeCell="AH8" sqref="AH8"/>
    </sheetView>
  </sheetViews>
  <sheetFormatPr defaultColWidth="2.5546875" defaultRowHeight="12.9" customHeight="1" x14ac:dyDescent="0.25"/>
  <cols>
    <col min="1" max="2" width="2.5546875" style="30" customWidth="1"/>
    <col min="3" max="3" width="3.109375" style="30" customWidth="1"/>
    <col min="4" max="28" width="2.5546875" style="30" customWidth="1"/>
    <col min="29" max="29" width="3.109375" style="30" customWidth="1"/>
    <col min="30" max="35" width="2.5546875" style="30" customWidth="1"/>
    <col min="36" max="36" width="2.44140625" style="30" customWidth="1"/>
    <col min="37" max="16384" width="2.5546875" style="30"/>
  </cols>
  <sheetData>
    <row r="1" spans="1:37" s="1" customFormat="1" ht="15" customHeight="1" thickTop="1" x14ac:dyDescent="0.25">
      <c r="A1" s="313"/>
      <c r="B1" s="313"/>
      <c r="C1" s="313"/>
      <c r="D1" s="313"/>
      <c r="E1" s="313"/>
      <c r="F1" s="313"/>
      <c r="G1" s="313"/>
      <c r="H1" s="313"/>
      <c r="I1" s="313"/>
      <c r="J1" s="313"/>
      <c r="K1" s="313"/>
      <c r="AK1" s="259" t="s">
        <v>607</v>
      </c>
    </row>
    <row r="2" spans="1:37" s="1" customFormat="1" ht="15" customHeight="1" x14ac:dyDescent="0.25">
      <c r="A2" s="313" t="s">
        <v>22</v>
      </c>
      <c r="B2" s="313"/>
      <c r="C2" s="313"/>
      <c r="D2" s="313"/>
      <c r="E2" s="313"/>
      <c r="F2" s="313"/>
      <c r="G2" s="313"/>
      <c r="H2" s="313"/>
      <c r="I2" s="313"/>
      <c r="J2" s="313"/>
      <c r="K2" s="313"/>
      <c r="L2" s="313"/>
      <c r="M2" s="313"/>
      <c r="N2" s="313"/>
      <c r="O2" s="313"/>
      <c r="P2" s="313"/>
      <c r="Q2" s="313"/>
      <c r="AK2" s="255" t="s">
        <v>608</v>
      </c>
    </row>
    <row r="3" spans="1:37" s="32" customFormat="1" ht="12.9" customHeight="1" x14ac:dyDescent="0.2"/>
    <row r="4" spans="1:37" s="32" customFormat="1" ht="12.9" customHeight="1" x14ac:dyDescent="0.2">
      <c r="B4" s="33"/>
      <c r="C4" s="34"/>
      <c r="D4" s="34"/>
      <c r="E4" s="34"/>
      <c r="F4" s="35"/>
      <c r="G4" s="35"/>
      <c r="H4" s="35"/>
      <c r="I4" s="34"/>
      <c r="J4" s="34"/>
      <c r="K4" s="35"/>
      <c r="L4" s="35"/>
      <c r="M4" s="35"/>
      <c r="N4" s="342"/>
      <c r="O4" s="342"/>
      <c r="P4" s="342"/>
      <c r="Q4" s="342"/>
      <c r="R4" s="342"/>
      <c r="S4" s="342"/>
      <c r="T4" s="342"/>
      <c r="U4" s="342"/>
      <c r="V4" s="342"/>
      <c r="W4" s="342"/>
      <c r="X4" s="342"/>
      <c r="Y4" s="35"/>
      <c r="Z4" s="35"/>
      <c r="AA4" s="35"/>
      <c r="AB4" s="35"/>
      <c r="AC4" s="35"/>
      <c r="AD4" s="35"/>
      <c r="AE4" s="35"/>
      <c r="AF4" s="35"/>
    </row>
    <row r="5" spans="1:37" s="32" customFormat="1" ht="12.9" customHeight="1" x14ac:dyDescent="0.25">
      <c r="B5" s="34"/>
      <c r="C5" s="35"/>
      <c r="D5" s="35"/>
      <c r="E5" s="35"/>
      <c r="F5" s="35"/>
      <c r="G5" s="35"/>
      <c r="H5" s="35"/>
      <c r="I5" s="35"/>
      <c r="J5" s="35"/>
      <c r="K5" s="35"/>
      <c r="L5" s="35"/>
      <c r="M5" s="35"/>
      <c r="N5" s="36" t="s">
        <v>23</v>
      </c>
      <c r="O5" s="35"/>
      <c r="P5" s="35"/>
      <c r="Q5" s="35"/>
      <c r="R5" s="35"/>
      <c r="S5" s="35"/>
      <c r="T5" s="35"/>
      <c r="U5" s="35"/>
      <c r="V5" s="35"/>
      <c r="W5" s="35"/>
      <c r="X5" s="35"/>
      <c r="Y5" s="35"/>
      <c r="Z5" s="35"/>
      <c r="AA5" s="35"/>
      <c r="AB5" s="35"/>
      <c r="AC5" s="35"/>
      <c r="AD5" s="35"/>
      <c r="AE5" s="35"/>
      <c r="AF5" s="35"/>
    </row>
    <row r="6" spans="1:37" s="32" customFormat="1" ht="12.9" customHeight="1" x14ac:dyDescent="0.2">
      <c r="B6" s="34"/>
      <c r="C6" s="34"/>
      <c r="D6" s="34"/>
      <c r="E6" s="34"/>
      <c r="F6" s="34"/>
      <c r="G6" s="35"/>
      <c r="H6" s="35"/>
      <c r="I6" s="35"/>
      <c r="J6" s="35"/>
      <c r="K6" s="35"/>
      <c r="L6" s="35"/>
      <c r="M6" s="35"/>
      <c r="N6" s="35"/>
      <c r="O6" s="35"/>
      <c r="P6" s="35"/>
      <c r="Q6" s="35"/>
      <c r="R6" s="35"/>
      <c r="S6" s="35"/>
      <c r="T6" s="35"/>
      <c r="U6" s="35"/>
      <c r="V6" s="35"/>
      <c r="W6" s="35"/>
      <c r="X6" s="35"/>
      <c r="Y6" s="35"/>
      <c r="Z6" s="35"/>
      <c r="AA6" s="35"/>
      <c r="AB6" s="35"/>
      <c r="AC6" s="35"/>
      <c r="AD6" s="35"/>
      <c r="AE6" s="35"/>
      <c r="AF6" s="35"/>
    </row>
    <row r="7" spans="1:37" s="32" customFormat="1" ht="12.9" customHeight="1" x14ac:dyDescent="0.2">
      <c r="B7" s="34"/>
      <c r="C7" s="34"/>
      <c r="D7" s="34"/>
      <c r="E7" s="34"/>
      <c r="F7" s="34"/>
      <c r="G7" s="35"/>
      <c r="H7" s="35"/>
      <c r="I7" s="35"/>
      <c r="J7" s="35"/>
      <c r="K7" s="35"/>
      <c r="L7" s="35"/>
      <c r="M7" s="35"/>
      <c r="N7" s="35"/>
      <c r="O7" s="35"/>
      <c r="P7" s="35"/>
      <c r="Q7" s="35"/>
      <c r="R7" s="35"/>
      <c r="S7" s="35"/>
      <c r="T7" s="35"/>
      <c r="U7" s="35"/>
      <c r="V7" s="35"/>
      <c r="W7" s="35"/>
      <c r="X7" s="35"/>
      <c r="Y7" s="35"/>
      <c r="Z7" s="35"/>
      <c r="AA7" s="35"/>
      <c r="AB7" s="35"/>
      <c r="AC7" s="35"/>
      <c r="AD7" s="35"/>
      <c r="AE7" s="35"/>
      <c r="AF7" s="35"/>
    </row>
    <row r="8" spans="1:37" s="32" customFormat="1" ht="24.9" customHeight="1" x14ac:dyDescent="0.25">
      <c r="B8" s="34"/>
      <c r="C8" s="37"/>
      <c r="D8" s="37" t="s">
        <v>391</v>
      </c>
      <c r="E8" s="37"/>
      <c r="F8" s="37"/>
      <c r="G8" s="36"/>
      <c r="H8" s="36"/>
      <c r="I8" s="36"/>
      <c r="J8" s="36"/>
      <c r="K8" s="36"/>
      <c r="L8" s="36"/>
      <c r="M8" s="36"/>
      <c r="N8" s="36"/>
      <c r="O8" s="36"/>
      <c r="P8" s="36"/>
      <c r="Q8" s="36"/>
      <c r="R8" s="36"/>
      <c r="S8" s="36"/>
      <c r="T8" s="35"/>
      <c r="U8" s="35"/>
      <c r="V8" s="35"/>
      <c r="W8" s="35"/>
      <c r="X8" s="35"/>
      <c r="Y8" s="35"/>
      <c r="Z8" s="35"/>
      <c r="AA8" s="35"/>
      <c r="AB8" s="35"/>
      <c r="AC8" s="35"/>
      <c r="AD8" s="35"/>
      <c r="AE8" s="35"/>
      <c r="AF8" s="35"/>
    </row>
    <row r="9" spans="1:37" s="32" customFormat="1" ht="20.100000000000001" customHeight="1" x14ac:dyDescent="0.25">
      <c r="B9" s="34"/>
      <c r="C9" s="38">
        <v>1</v>
      </c>
      <c r="D9" s="39" t="s">
        <v>24</v>
      </c>
      <c r="E9" s="37"/>
      <c r="F9" s="37"/>
      <c r="G9" s="40"/>
      <c r="H9" s="40"/>
      <c r="I9" s="40"/>
      <c r="J9" s="40"/>
      <c r="K9" s="40"/>
      <c r="L9" s="40"/>
      <c r="M9" s="40"/>
      <c r="N9" s="40"/>
      <c r="O9" s="40"/>
      <c r="P9" s="40"/>
      <c r="Q9" s="40"/>
      <c r="R9" s="40"/>
      <c r="S9" s="40"/>
      <c r="T9" s="41"/>
      <c r="U9" s="41"/>
      <c r="V9" s="41"/>
      <c r="W9" s="41"/>
      <c r="X9" s="41"/>
      <c r="Y9" s="41"/>
      <c r="Z9" s="41"/>
      <c r="AA9" s="41"/>
      <c r="AB9" s="41"/>
      <c r="AC9" s="42">
        <v>4</v>
      </c>
      <c r="AD9" s="35"/>
      <c r="AE9" s="35"/>
      <c r="AF9" s="35"/>
    </row>
    <row r="10" spans="1:37" s="32" customFormat="1" ht="20.100000000000001" customHeight="1" x14ac:dyDescent="0.25">
      <c r="B10" s="34"/>
      <c r="C10" s="38">
        <v>2</v>
      </c>
      <c r="D10" s="37" t="s">
        <v>25</v>
      </c>
      <c r="E10" s="37"/>
      <c r="F10" s="37"/>
      <c r="G10" s="36"/>
      <c r="H10" s="36"/>
      <c r="I10" s="36"/>
      <c r="J10" s="36"/>
      <c r="K10" s="43"/>
      <c r="L10" s="44"/>
      <c r="M10" s="44"/>
      <c r="N10" s="44"/>
      <c r="O10" s="44"/>
      <c r="P10" s="44"/>
      <c r="Q10" s="44"/>
      <c r="R10" s="44"/>
      <c r="S10" s="44"/>
      <c r="T10" s="45"/>
      <c r="U10" s="45"/>
      <c r="V10" s="45"/>
      <c r="W10" s="45"/>
      <c r="X10" s="45"/>
      <c r="Y10" s="45"/>
      <c r="Z10" s="45"/>
      <c r="AA10" s="45"/>
      <c r="AB10" s="45"/>
      <c r="AC10" s="42">
        <v>4</v>
      </c>
      <c r="AD10" s="35"/>
      <c r="AE10" s="35"/>
      <c r="AF10" s="35"/>
    </row>
    <row r="11" spans="1:37" s="32" customFormat="1" ht="20.100000000000001" customHeight="1" x14ac:dyDescent="0.25">
      <c r="B11" s="34"/>
      <c r="C11" s="38">
        <v>3</v>
      </c>
      <c r="D11" s="37" t="s">
        <v>26</v>
      </c>
      <c r="E11" s="37"/>
      <c r="F11" s="37"/>
      <c r="G11" s="36"/>
      <c r="H11" s="36"/>
      <c r="I11" s="40"/>
      <c r="J11" s="40"/>
      <c r="K11" s="40"/>
      <c r="L11" s="40"/>
      <c r="M11" s="40"/>
      <c r="N11" s="40"/>
      <c r="O11" s="40"/>
      <c r="P11" s="40"/>
      <c r="Q11" s="40"/>
      <c r="R11" s="40"/>
      <c r="S11" s="40"/>
      <c r="T11" s="41"/>
      <c r="U11" s="41"/>
      <c r="V11" s="41"/>
      <c r="W11" s="41"/>
      <c r="X11" s="41"/>
      <c r="Y11" s="41"/>
      <c r="Z11" s="41"/>
      <c r="AA11" s="41"/>
      <c r="AB11" s="41"/>
      <c r="AC11" s="42">
        <v>4</v>
      </c>
      <c r="AD11" s="35"/>
      <c r="AE11" s="35"/>
      <c r="AF11" s="35"/>
    </row>
    <row r="12" spans="1:37" s="32" customFormat="1" ht="20.100000000000001" customHeight="1" x14ac:dyDescent="0.25">
      <c r="B12" s="46"/>
      <c r="C12" s="38">
        <v>4</v>
      </c>
      <c r="D12" s="37" t="s">
        <v>27</v>
      </c>
      <c r="E12" s="37"/>
      <c r="F12" s="37"/>
      <c r="G12" s="36"/>
      <c r="H12" s="40"/>
      <c r="I12" s="40"/>
      <c r="J12" s="40"/>
      <c r="K12" s="40"/>
      <c r="L12" s="40"/>
      <c r="M12" s="40"/>
      <c r="N12" s="40"/>
      <c r="O12" s="40"/>
      <c r="P12" s="40"/>
      <c r="Q12" s="40"/>
      <c r="R12" s="40"/>
      <c r="S12" s="40"/>
      <c r="T12" s="41"/>
      <c r="U12" s="41"/>
      <c r="V12" s="41"/>
      <c r="W12" s="41"/>
      <c r="X12" s="41"/>
      <c r="Y12" s="41"/>
      <c r="Z12" s="41"/>
      <c r="AA12" s="41"/>
      <c r="AB12" s="41"/>
      <c r="AC12" s="42">
        <v>4</v>
      </c>
      <c r="AD12" s="35"/>
      <c r="AE12" s="35"/>
      <c r="AF12" s="35"/>
    </row>
    <row r="13" spans="1:37" s="32" customFormat="1" ht="20.100000000000001" customHeight="1" x14ac:dyDescent="0.25">
      <c r="B13" s="46"/>
      <c r="C13" s="38">
        <v>5</v>
      </c>
      <c r="D13" s="36" t="s">
        <v>402</v>
      </c>
      <c r="E13" s="36"/>
      <c r="F13" s="36"/>
      <c r="G13" s="36"/>
      <c r="H13" s="36"/>
      <c r="I13" s="40"/>
      <c r="J13" s="40"/>
      <c r="K13" s="40"/>
      <c r="L13" s="40"/>
      <c r="M13" s="40"/>
      <c r="N13" s="40"/>
      <c r="O13" s="40"/>
      <c r="P13" s="40"/>
      <c r="Q13" s="40"/>
      <c r="R13" s="40"/>
      <c r="S13" s="40"/>
      <c r="T13" s="41"/>
      <c r="U13" s="41"/>
      <c r="V13" s="41"/>
      <c r="W13" s="41"/>
      <c r="X13" s="41"/>
      <c r="Y13" s="41"/>
      <c r="Z13" s="41"/>
      <c r="AA13" s="41"/>
      <c r="AB13" s="41"/>
      <c r="AC13" s="42">
        <v>6</v>
      </c>
      <c r="AD13" s="35"/>
      <c r="AE13" s="35"/>
      <c r="AF13" s="35"/>
    </row>
    <row r="14" spans="1:37" s="32" customFormat="1" ht="20.100000000000001" customHeight="1" x14ac:dyDescent="0.25">
      <c r="B14" s="46"/>
      <c r="D14" s="87" t="s">
        <v>95</v>
      </c>
      <c r="E14" s="83" t="s">
        <v>29</v>
      </c>
      <c r="F14" s="83"/>
      <c r="G14" s="36"/>
      <c r="H14" s="36"/>
      <c r="I14" s="36"/>
      <c r="J14" s="36"/>
      <c r="K14" s="36"/>
      <c r="L14" s="36"/>
      <c r="M14" s="36"/>
      <c r="N14" s="36"/>
      <c r="O14" s="40"/>
      <c r="P14" s="40"/>
      <c r="Q14" s="40"/>
      <c r="R14" s="40"/>
      <c r="S14" s="40"/>
      <c r="T14" s="41"/>
      <c r="U14" s="41"/>
      <c r="V14" s="41"/>
      <c r="W14" s="41"/>
      <c r="X14" s="41"/>
      <c r="Y14" s="41"/>
      <c r="Z14" s="41"/>
      <c r="AA14" s="41"/>
      <c r="AB14" s="41"/>
      <c r="AC14" s="42">
        <v>6</v>
      </c>
      <c r="AD14" s="35"/>
      <c r="AE14" s="35"/>
      <c r="AF14" s="35"/>
    </row>
    <row r="15" spans="1:37" s="32" customFormat="1" ht="20.100000000000001" customHeight="1" x14ac:dyDescent="0.25">
      <c r="B15" s="46"/>
      <c r="D15" s="87" t="s">
        <v>269</v>
      </c>
      <c r="E15" s="83" t="s">
        <v>30</v>
      </c>
      <c r="F15" s="83"/>
      <c r="G15" s="36"/>
      <c r="H15" s="36"/>
      <c r="I15" s="36"/>
      <c r="J15" s="36"/>
      <c r="K15" s="36"/>
      <c r="L15" s="36"/>
      <c r="M15" s="36"/>
      <c r="N15" s="36"/>
      <c r="O15" s="36"/>
      <c r="P15" s="44"/>
      <c r="Q15" s="44"/>
      <c r="R15" s="44"/>
      <c r="S15" s="44"/>
      <c r="T15" s="45"/>
      <c r="U15" s="45"/>
      <c r="V15" s="45"/>
      <c r="W15" s="45"/>
      <c r="X15" s="45"/>
      <c r="Y15" s="45"/>
      <c r="Z15" s="45"/>
      <c r="AA15" s="45"/>
      <c r="AB15" s="45"/>
      <c r="AC15" s="42">
        <v>6</v>
      </c>
      <c r="AD15" s="35"/>
      <c r="AE15" s="35"/>
      <c r="AF15" s="35"/>
    </row>
    <row r="16" spans="1:37" s="32" customFormat="1" ht="20.100000000000001" customHeight="1" x14ac:dyDescent="0.25">
      <c r="B16" s="46"/>
      <c r="D16" s="87" t="s">
        <v>270</v>
      </c>
      <c r="E16" s="83" t="s">
        <v>28</v>
      </c>
      <c r="F16" s="83"/>
      <c r="G16" s="36"/>
      <c r="H16" s="36"/>
      <c r="I16" s="36"/>
      <c r="J16" s="36"/>
      <c r="K16" s="36"/>
      <c r="L16" s="36"/>
      <c r="M16" s="36"/>
      <c r="N16" s="36"/>
      <c r="O16" s="36"/>
      <c r="P16" s="36"/>
      <c r="Q16" s="36"/>
      <c r="R16" s="43"/>
      <c r="S16" s="41"/>
      <c r="T16" s="41"/>
      <c r="U16" s="41"/>
      <c r="V16" s="41"/>
      <c r="W16" s="41"/>
      <c r="X16" s="41"/>
      <c r="Y16" s="41"/>
      <c r="Z16" s="41"/>
      <c r="AA16" s="41"/>
      <c r="AB16" s="41"/>
      <c r="AC16" s="42">
        <v>7</v>
      </c>
      <c r="AD16" s="35"/>
      <c r="AE16" s="35"/>
      <c r="AF16" s="35"/>
    </row>
    <row r="17" spans="2:32" s="32" customFormat="1" ht="20.100000000000001" customHeight="1" x14ac:dyDescent="0.25">
      <c r="B17" s="46"/>
      <c r="D17" s="87" t="s">
        <v>403</v>
      </c>
      <c r="E17" s="83" t="s">
        <v>404</v>
      </c>
      <c r="F17" s="101"/>
      <c r="G17" s="36"/>
      <c r="H17" s="36"/>
      <c r="I17" s="36"/>
      <c r="J17" s="36"/>
      <c r="K17" s="36"/>
      <c r="L17" s="40"/>
      <c r="M17" s="40"/>
      <c r="N17" s="40"/>
      <c r="O17" s="40"/>
      <c r="P17" s="40"/>
      <c r="Q17" s="40"/>
      <c r="R17" s="40"/>
      <c r="S17" s="40"/>
      <c r="T17" s="41"/>
      <c r="U17" s="41"/>
      <c r="V17" s="41"/>
      <c r="W17" s="41"/>
      <c r="X17" s="41"/>
      <c r="Y17" s="41"/>
      <c r="Z17" s="41"/>
      <c r="AA17" s="41"/>
      <c r="AB17" s="41"/>
      <c r="AC17" s="42">
        <v>8</v>
      </c>
      <c r="AD17" s="35"/>
      <c r="AE17" s="35"/>
      <c r="AF17" s="35"/>
    </row>
    <row r="18" spans="2:32" s="32" customFormat="1" ht="20.100000000000001" customHeight="1" x14ac:dyDescent="0.25">
      <c r="B18" s="46"/>
      <c r="D18" s="87" t="s">
        <v>405</v>
      </c>
      <c r="E18" s="83" t="s">
        <v>406</v>
      </c>
      <c r="F18" s="101"/>
      <c r="G18" s="37"/>
      <c r="H18" s="36"/>
      <c r="I18" s="36"/>
      <c r="J18" s="36"/>
      <c r="K18" s="40"/>
      <c r="L18" s="40"/>
      <c r="M18" s="40"/>
      <c r="N18" s="40"/>
      <c r="O18" s="40"/>
      <c r="P18" s="40"/>
      <c r="Q18" s="40"/>
      <c r="R18" s="40"/>
      <c r="S18" s="40"/>
      <c r="T18" s="41"/>
      <c r="U18" s="41"/>
      <c r="V18" s="41"/>
      <c r="W18" s="41"/>
      <c r="X18" s="41"/>
      <c r="Y18" s="41"/>
      <c r="Z18" s="41"/>
      <c r="AA18" s="41"/>
      <c r="AB18" s="41"/>
      <c r="AC18" s="42">
        <v>8</v>
      </c>
      <c r="AD18" s="35"/>
      <c r="AE18" s="35"/>
      <c r="AF18" s="35"/>
    </row>
    <row r="19" spans="2:32" s="32" customFormat="1" ht="20.100000000000001" customHeight="1" x14ac:dyDescent="0.25">
      <c r="B19" s="46"/>
      <c r="C19" s="38">
        <v>6</v>
      </c>
      <c r="D19" s="36" t="s">
        <v>31</v>
      </c>
      <c r="E19" s="37"/>
      <c r="F19" s="37"/>
      <c r="G19" s="36"/>
      <c r="H19" s="36"/>
      <c r="I19" s="40"/>
      <c r="J19" s="40"/>
      <c r="K19" s="40"/>
      <c r="L19" s="40"/>
      <c r="M19" s="40"/>
      <c r="N19" s="40"/>
      <c r="O19" s="40"/>
      <c r="P19" s="40"/>
      <c r="Q19" s="40"/>
      <c r="R19" s="40"/>
      <c r="S19" s="40"/>
      <c r="T19" s="41"/>
      <c r="U19" s="41"/>
      <c r="V19" s="41"/>
      <c r="W19" s="41"/>
      <c r="X19" s="41"/>
      <c r="Y19" s="41"/>
      <c r="Z19" s="41"/>
      <c r="AA19" s="41"/>
      <c r="AB19" s="41"/>
      <c r="AC19" s="42">
        <v>8</v>
      </c>
      <c r="AD19" s="35"/>
      <c r="AE19" s="35"/>
      <c r="AF19" s="35"/>
    </row>
    <row r="20" spans="2:32" s="32" customFormat="1" ht="20.100000000000001" customHeight="1" x14ac:dyDescent="0.25">
      <c r="B20" s="35"/>
      <c r="C20" s="38">
        <v>7</v>
      </c>
      <c r="D20" s="36" t="s">
        <v>32</v>
      </c>
      <c r="E20" s="36"/>
      <c r="F20" s="36"/>
      <c r="G20" s="36"/>
      <c r="H20" s="36"/>
      <c r="I20" s="36"/>
      <c r="J20" s="43"/>
      <c r="K20" s="44"/>
      <c r="L20" s="44"/>
      <c r="M20" s="44"/>
      <c r="N20" s="44"/>
      <c r="O20" s="44"/>
      <c r="P20" s="44"/>
      <c r="Q20" s="44"/>
      <c r="R20" s="44"/>
      <c r="S20" s="44"/>
      <c r="T20" s="45"/>
      <c r="U20" s="45"/>
      <c r="V20" s="45"/>
      <c r="W20" s="45"/>
      <c r="X20" s="45"/>
      <c r="Y20" s="45"/>
      <c r="Z20" s="45"/>
      <c r="AA20" s="45"/>
      <c r="AB20" s="45"/>
      <c r="AC20" s="42">
        <v>8</v>
      </c>
      <c r="AD20" s="35"/>
      <c r="AE20" s="35"/>
      <c r="AF20" s="35"/>
    </row>
    <row r="21" spans="2:32" s="32" customFormat="1" ht="20.100000000000001" customHeight="1" x14ac:dyDescent="0.25">
      <c r="B21" s="34"/>
      <c r="C21" s="37"/>
      <c r="D21" s="37"/>
      <c r="E21" s="37"/>
      <c r="F21" s="37"/>
      <c r="G21" s="36"/>
      <c r="H21" s="36"/>
      <c r="I21" s="36"/>
      <c r="J21" s="36"/>
      <c r="K21" s="36"/>
      <c r="L21" s="36"/>
      <c r="M21" s="36"/>
      <c r="N21" s="36"/>
      <c r="O21" s="36"/>
      <c r="P21" s="36"/>
      <c r="Q21" s="36"/>
      <c r="R21" s="36"/>
      <c r="S21" s="36"/>
      <c r="T21" s="35"/>
      <c r="U21" s="35"/>
      <c r="V21" s="35"/>
      <c r="W21" s="35"/>
      <c r="X21" s="35"/>
      <c r="Y21" s="35"/>
      <c r="Z21" s="35"/>
      <c r="AA21" s="35"/>
      <c r="AB21" s="35"/>
      <c r="AC21" s="35"/>
      <c r="AD21" s="35"/>
      <c r="AE21" s="35"/>
      <c r="AF21" s="35"/>
    </row>
    <row r="22" spans="2:32" s="32" customFormat="1" ht="20.100000000000001" customHeight="1" x14ac:dyDescent="0.25">
      <c r="B22" s="34"/>
      <c r="C22" s="36"/>
      <c r="D22" s="37" t="s">
        <v>392</v>
      </c>
      <c r="E22" s="37"/>
      <c r="F22" s="37"/>
      <c r="G22" s="36"/>
      <c r="H22" s="36"/>
      <c r="I22" s="36"/>
      <c r="J22" s="36"/>
      <c r="K22" s="36"/>
      <c r="L22" s="36"/>
      <c r="M22" s="36"/>
      <c r="N22" s="36"/>
      <c r="O22" s="36"/>
      <c r="P22" s="36"/>
      <c r="Q22" s="36"/>
      <c r="R22" s="36"/>
      <c r="S22" s="36"/>
      <c r="T22" s="35"/>
      <c r="U22" s="35"/>
      <c r="V22" s="35"/>
      <c r="W22" s="35"/>
      <c r="X22" s="35"/>
      <c r="Y22" s="35"/>
      <c r="Z22" s="35"/>
      <c r="AA22" s="35"/>
      <c r="AB22" s="35"/>
      <c r="AC22" s="35"/>
      <c r="AD22" s="35"/>
      <c r="AE22" s="35"/>
      <c r="AF22" s="35"/>
    </row>
    <row r="23" spans="2:32" s="32" customFormat="1" ht="20.100000000000001" customHeight="1" x14ac:dyDescent="0.25">
      <c r="B23" s="34"/>
      <c r="C23" s="38">
        <v>1</v>
      </c>
      <c r="D23" s="39" t="s">
        <v>24</v>
      </c>
      <c r="E23" s="37"/>
      <c r="F23" s="37"/>
      <c r="G23" s="40"/>
      <c r="H23" s="40"/>
      <c r="I23" s="40"/>
      <c r="J23" s="40"/>
      <c r="K23" s="40"/>
      <c r="L23" s="40"/>
      <c r="M23" s="40"/>
      <c r="N23" s="40"/>
      <c r="O23" s="40"/>
      <c r="P23" s="40"/>
      <c r="Q23" s="40"/>
      <c r="R23" s="40"/>
      <c r="S23" s="40"/>
      <c r="T23" s="41"/>
      <c r="U23" s="41"/>
      <c r="V23" s="41"/>
      <c r="W23" s="41"/>
      <c r="X23" s="41"/>
      <c r="Y23" s="41"/>
      <c r="Z23" s="41"/>
      <c r="AA23" s="41"/>
      <c r="AB23" s="41"/>
      <c r="AC23" s="42">
        <v>1</v>
      </c>
      <c r="AD23" s="35"/>
      <c r="AE23" s="35"/>
      <c r="AF23" s="35"/>
    </row>
    <row r="24" spans="2:32" s="32" customFormat="1" ht="20.100000000000001" customHeight="1" x14ac:dyDescent="0.25">
      <c r="B24" s="34"/>
      <c r="C24" s="38">
        <v>2</v>
      </c>
      <c r="D24" s="37" t="s">
        <v>25</v>
      </c>
      <c r="E24" s="37"/>
      <c r="F24" s="37"/>
      <c r="G24" s="36"/>
      <c r="H24" s="36"/>
      <c r="I24" s="36"/>
      <c r="J24" s="36"/>
      <c r="K24" s="43"/>
      <c r="L24" s="44"/>
      <c r="M24" s="44"/>
      <c r="N24" s="44"/>
      <c r="O24" s="44"/>
      <c r="P24" s="44"/>
      <c r="Q24" s="44"/>
      <c r="R24" s="44"/>
      <c r="S24" s="44"/>
      <c r="T24" s="45"/>
      <c r="U24" s="45"/>
      <c r="V24" s="45"/>
      <c r="W24" s="45"/>
      <c r="X24" s="45"/>
      <c r="Y24" s="45"/>
      <c r="Z24" s="45"/>
      <c r="AA24" s="45"/>
      <c r="AB24" s="45"/>
      <c r="AC24" s="42">
        <v>1</v>
      </c>
      <c r="AD24" s="35"/>
      <c r="AE24" s="35"/>
      <c r="AF24" s="35"/>
    </row>
    <row r="25" spans="2:32" s="32" customFormat="1" ht="20.100000000000001" customHeight="1" x14ac:dyDescent="0.25">
      <c r="B25" s="34"/>
      <c r="C25" s="38">
        <v>3</v>
      </c>
      <c r="D25" s="37" t="s">
        <v>26</v>
      </c>
      <c r="E25" s="37"/>
      <c r="F25" s="37"/>
      <c r="G25" s="36"/>
      <c r="H25" s="36"/>
      <c r="I25" s="40"/>
      <c r="J25" s="40"/>
      <c r="K25" s="40"/>
      <c r="L25" s="40"/>
      <c r="M25" s="40"/>
      <c r="N25" s="40"/>
      <c r="O25" s="40"/>
      <c r="P25" s="40"/>
      <c r="Q25" s="40"/>
      <c r="R25" s="40"/>
      <c r="S25" s="40"/>
      <c r="T25" s="41"/>
      <c r="U25" s="41"/>
      <c r="V25" s="41"/>
      <c r="W25" s="41"/>
      <c r="X25" s="41"/>
      <c r="Y25" s="41"/>
      <c r="Z25" s="41"/>
      <c r="AA25" s="41"/>
      <c r="AB25" s="41"/>
      <c r="AC25" s="42">
        <v>1</v>
      </c>
      <c r="AD25" s="35"/>
      <c r="AE25" s="35"/>
      <c r="AF25" s="35"/>
    </row>
    <row r="26" spans="2:32" s="32" customFormat="1" ht="20.100000000000001" customHeight="1" x14ac:dyDescent="0.25">
      <c r="B26" s="34"/>
      <c r="C26" s="38">
        <v>4</v>
      </c>
      <c r="D26" s="39" t="s">
        <v>27</v>
      </c>
      <c r="E26" s="34"/>
      <c r="F26" s="34"/>
      <c r="G26" s="35"/>
      <c r="H26" s="41"/>
      <c r="I26" s="41"/>
      <c r="J26" s="41"/>
      <c r="K26" s="41"/>
      <c r="L26" s="41"/>
      <c r="M26" s="41"/>
      <c r="N26" s="41"/>
      <c r="O26" s="41"/>
      <c r="P26" s="41"/>
      <c r="Q26" s="41"/>
      <c r="R26" s="41"/>
      <c r="S26" s="41"/>
      <c r="T26" s="41"/>
      <c r="U26" s="41"/>
      <c r="V26" s="41"/>
      <c r="W26" s="41"/>
      <c r="X26" s="41"/>
      <c r="Y26" s="41"/>
      <c r="Z26" s="41"/>
      <c r="AA26" s="41"/>
      <c r="AB26" s="41"/>
      <c r="AC26" s="42">
        <v>1</v>
      </c>
      <c r="AD26" s="48"/>
      <c r="AE26" s="35"/>
      <c r="AF26" s="49"/>
    </row>
    <row r="27" spans="2:32" s="32" customFormat="1" ht="20.100000000000001" customHeight="1" x14ac:dyDescent="0.25">
      <c r="B27" s="34"/>
      <c r="C27" s="38">
        <v>5</v>
      </c>
      <c r="D27" s="39" t="s">
        <v>410</v>
      </c>
      <c r="E27" s="34"/>
      <c r="F27" s="34"/>
      <c r="G27" s="34"/>
      <c r="H27" s="34"/>
      <c r="I27" s="34"/>
      <c r="J27" s="34"/>
      <c r="K27" s="34"/>
      <c r="L27" s="34"/>
      <c r="M27" s="34"/>
      <c r="N27" s="34"/>
      <c r="O27" s="34"/>
      <c r="P27" s="41"/>
      <c r="Q27" s="41"/>
      <c r="R27" s="41"/>
      <c r="S27" s="41"/>
      <c r="T27" s="41"/>
      <c r="U27" s="41"/>
      <c r="V27" s="41"/>
      <c r="W27" s="41"/>
      <c r="X27" s="41"/>
      <c r="Y27" s="41"/>
      <c r="Z27" s="41"/>
      <c r="AA27" s="41"/>
      <c r="AB27" s="41"/>
      <c r="AC27" s="42">
        <v>2</v>
      </c>
      <c r="AD27" s="35"/>
      <c r="AE27" s="35"/>
      <c r="AF27" s="35"/>
    </row>
    <row r="28" spans="2:32" s="32" customFormat="1" ht="20.100000000000001" customHeight="1" x14ac:dyDescent="0.25">
      <c r="B28" s="46"/>
      <c r="D28" s="87" t="s">
        <v>95</v>
      </c>
      <c r="E28" s="83" t="s">
        <v>407</v>
      </c>
      <c r="F28" s="83"/>
      <c r="G28" s="36"/>
      <c r="H28" s="36"/>
      <c r="I28" s="36"/>
      <c r="J28" s="36"/>
      <c r="K28" s="36"/>
      <c r="L28" s="40"/>
      <c r="M28" s="40"/>
      <c r="N28" s="40"/>
      <c r="O28" s="40"/>
      <c r="P28" s="40"/>
      <c r="Q28" s="40"/>
      <c r="R28" s="40"/>
      <c r="S28" s="40"/>
      <c r="T28" s="41"/>
      <c r="U28" s="41"/>
      <c r="V28" s="41"/>
      <c r="W28" s="41"/>
      <c r="X28" s="41"/>
      <c r="Y28" s="41"/>
      <c r="Z28" s="41"/>
      <c r="AA28" s="41"/>
      <c r="AB28" s="41"/>
      <c r="AC28" s="42">
        <v>2</v>
      </c>
      <c r="AD28" s="35"/>
      <c r="AE28" s="35"/>
      <c r="AF28" s="35"/>
    </row>
    <row r="29" spans="2:32" s="32" customFormat="1" ht="20.100000000000001" customHeight="1" x14ac:dyDescent="0.25">
      <c r="B29" s="46"/>
      <c r="D29" s="87" t="s">
        <v>269</v>
      </c>
      <c r="E29" s="83" t="s">
        <v>383</v>
      </c>
      <c r="F29" s="83"/>
      <c r="G29" s="36"/>
      <c r="H29" s="36"/>
      <c r="I29" s="36"/>
      <c r="J29" s="36"/>
      <c r="K29" s="36"/>
      <c r="L29" s="36"/>
      <c r="M29" s="36"/>
      <c r="N29" s="36"/>
      <c r="O29" s="44"/>
      <c r="P29" s="44"/>
      <c r="Q29" s="44"/>
      <c r="R29" s="44"/>
      <c r="S29" s="44"/>
      <c r="T29" s="45"/>
      <c r="U29" s="45"/>
      <c r="V29" s="45"/>
      <c r="W29" s="45"/>
      <c r="X29" s="45"/>
      <c r="Y29" s="45"/>
      <c r="Z29" s="45"/>
      <c r="AA29" s="45"/>
      <c r="AB29" s="45"/>
      <c r="AC29" s="42">
        <v>3</v>
      </c>
      <c r="AD29" s="35"/>
      <c r="AE29" s="35"/>
      <c r="AF29" s="35"/>
    </row>
    <row r="30" spans="2:32" s="32" customFormat="1" ht="20.100000000000001" customHeight="1" x14ac:dyDescent="0.25">
      <c r="B30" s="46"/>
      <c r="D30" s="87" t="s">
        <v>270</v>
      </c>
      <c r="E30" s="83" t="s">
        <v>395</v>
      </c>
      <c r="F30" s="83"/>
      <c r="G30" s="36"/>
      <c r="H30" s="36"/>
      <c r="I30" s="36"/>
      <c r="J30" s="36"/>
      <c r="K30" s="36"/>
      <c r="L30" s="41"/>
      <c r="M30" s="41"/>
      <c r="N30" s="41"/>
      <c r="O30" s="41"/>
      <c r="P30" s="41"/>
      <c r="Q30" s="41"/>
      <c r="R30" s="41"/>
      <c r="S30" s="41"/>
      <c r="T30" s="41"/>
      <c r="U30" s="41"/>
      <c r="V30" s="41"/>
      <c r="W30" s="41"/>
      <c r="X30" s="41"/>
      <c r="Y30" s="41"/>
      <c r="Z30" s="41"/>
      <c r="AA30" s="41"/>
      <c r="AB30" s="41"/>
      <c r="AC30" s="42">
        <v>4</v>
      </c>
      <c r="AD30" s="35"/>
      <c r="AE30" s="35"/>
      <c r="AF30" s="35"/>
    </row>
    <row r="31" spans="2:32" s="32" customFormat="1" ht="20.100000000000001" customHeight="1" x14ac:dyDescent="0.25">
      <c r="B31" s="46"/>
      <c r="D31" s="87" t="s">
        <v>403</v>
      </c>
      <c r="E31" s="83" t="s">
        <v>525</v>
      </c>
      <c r="F31" s="101"/>
      <c r="G31" s="36"/>
      <c r="H31" s="36"/>
      <c r="I31" s="36"/>
      <c r="J31" s="36"/>
      <c r="K31" s="36"/>
      <c r="L31" s="36"/>
      <c r="M31" s="40"/>
      <c r="N31" s="40"/>
      <c r="O31" s="40"/>
      <c r="P31" s="40"/>
      <c r="Q31" s="40"/>
      <c r="R31" s="40"/>
      <c r="S31" s="40"/>
      <c r="T31" s="41"/>
      <c r="U31" s="41"/>
      <c r="V31" s="41"/>
      <c r="W31" s="41"/>
      <c r="X31" s="41"/>
      <c r="Y31" s="41"/>
      <c r="Z31" s="41"/>
      <c r="AA31" s="41"/>
      <c r="AB31" s="41"/>
      <c r="AC31" s="42">
        <v>5</v>
      </c>
      <c r="AD31" s="35"/>
      <c r="AE31" s="35"/>
      <c r="AF31" s="35"/>
    </row>
    <row r="32" spans="2:32" s="32" customFormat="1" ht="20.100000000000001" customHeight="1" x14ac:dyDescent="0.25">
      <c r="B32" s="46"/>
      <c r="D32" s="87" t="s">
        <v>405</v>
      </c>
      <c r="E32" s="83" t="s">
        <v>408</v>
      </c>
      <c r="F32" s="101"/>
      <c r="G32" s="36"/>
      <c r="H32" s="36"/>
      <c r="I32" s="36"/>
      <c r="J32" s="36"/>
      <c r="K32" s="36"/>
      <c r="L32" s="36"/>
      <c r="M32" s="36"/>
      <c r="N32" s="36"/>
      <c r="O32" s="36"/>
      <c r="P32" s="36"/>
      <c r="Q32" s="36"/>
      <c r="R32" s="40"/>
      <c r="S32" s="40"/>
      <c r="T32" s="41"/>
      <c r="U32" s="41"/>
      <c r="V32" s="41"/>
      <c r="W32" s="41"/>
      <c r="X32" s="41"/>
      <c r="Y32" s="41"/>
      <c r="Z32" s="41"/>
      <c r="AA32" s="41"/>
      <c r="AB32" s="41"/>
      <c r="AC32" s="42">
        <v>6</v>
      </c>
      <c r="AD32" s="35"/>
      <c r="AE32" s="35"/>
      <c r="AF32" s="35"/>
    </row>
    <row r="33" spans="1:37" s="32" customFormat="1" ht="20.100000000000001" customHeight="1" x14ac:dyDescent="0.25">
      <c r="B33" s="34"/>
      <c r="C33" s="38">
        <v>6</v>
      </c>
      <c r="D33" s="39" t="s">
        <v>409</v>
      </c>
      <c r="E33" s="34"/>
      <c r="F33" s="34"/>
      <c r="G33" s="35"/>
      <c r="H33" s="41"/>
      <c r="I33" s="41"/>
      <c r="J33" s="41"/>
      <c r="K33" s="41"/>
      <c r="L33" s="41"/>
      <c r="M33" s="41"/>
      <c r="N33" s="41"/>
      <c r="O33" s="41"/>
      <c r="P33" s="41"/>
      <c r="Q33" s="41"/>
      <c r="R33" s="41"/>
      <c r="S33" s="41"/>
      <c r="T33" s="41"/>
      <c r="U33" s="41"/>
      <c r="V33" s="41"/>
      <c r="W33" s="41"/>
      <c r="X33" s="41"/>
      <c r="Y33" s="41"/>
      <c r="Z33" s="41"/>
      <c r="AA33" s="41"/>
      <c r="AB33" s="41"/>
      <c r="AC33" s="42">
        <v>7</v>
      </c>
      <c r="AD33" s="48"/>
      <c r="AE33" s="35"/>
      <c r="AF33" s="49"/>
    </row>
    <row r="34" spans="1:37" s="32" customFormat="1" ht="20.100000000000001" customHeight="1" x14ac:dyDescent="0.25">
      <c r="B34" s="34"/>
      <c r="C34" s="38"/>
      <c r="D34" s="39"/>
      <c r="E34" s="34"/>
      <c r="F34" s="34"/>
      <c r="G34" s="35"/>
      <c r="H34" s="35"/>
      <c r="I34" s="35"/>
      <c r="J34" s="35"/>
      <c r="K34" s="35"/>
      <c r="L34" s="35"/>
      <c r="M34" s="35"/>
      <c r="N34" s="35"/>
      <c r="O34" s="35"/>
      <c r="P34" s="35"/>
      <c r="Q34" s="35"/>
      <c r="R34" s="47"/>
      <c r="S34" s="47"/>
      <c r="T34" s="47"/>
      <c r="U34" s="47"/>
      <c r="V34" s="47"/>
      <c r="W34" s="47"/>
      <c r="X34" s="47"/>
      <c r="Y34" s="47"/>
      <c r="Z34" s="47"/>
      <c r="AA34" s="47"/>
      <c r="AB34" s="47"/>
      <c r="AC34" s="42"/>
      <c r="AD34" s="35"/>
      <c r="AE34" s="35"/>
      <c r="AF34" s="35"/>
    </row>
    <row r="35" spans="1:37" s="32" customFormat="1" ht="20.100000000000001" customHeight="1" x14ac:dyDescent="0.25">
      <c r="B35" s="34"/>
      <c r="C35" s="38"/>
      <c r="D35" s="39" t="s">
        <v>33</v>
      </c>
      <c r="E35" s="34"/>
      <c r="F35" s="34"/>
      <c r="G35" s="35"/>
      <c r="H35" s="35"/>
      <c r="I35" s="35"/>
      <c r="J35" s="35"/>
      <c r="K35" s="35"/>
      <c r="L35" s="35"/>
      <c r="M35" s="35"/>
      <c r="N35" s="35"/>
      <c r="O35" s="35"/>
      <c r="P35" s="35"/>
      <c r="Q35" s="35"/>
      <c r="R35" s="41"/>
      <c r="S35" s="41"/>
      <c r="T35" s="41"/>
      <c r="U35" s="41"/>
      <c r="V35" s="41"/>
      <c r="W35" s="41"/>
      <c r="X35" s="41"/>
      <c r="Y35" s="41"/>
      <c r="Z35" s="41"/>
      <c r="AA35" s="41"/>
      <c r="AB35" s="41"/>
      <c r="AC35" s="42" t="s">
        <v>34</v>
      </c>
      <c r="AD35" s="35"/>
      <c r="AE35" s="35"/>
      <c r="AF35" s="35"/>
    </row>
    <row r="36" spans="1:37" s="32" customFormat="1" ht="12.9" customHeight="1" x14ac:dyDescent="0.25">
      <c r="B36" s="34"/>
      <c r="C36" s="50"/>
      <c r="D36" s="51"/>
      <c r="E36" s="50"/>
      <c r="F36" s="50"/>
      <c r="G36" s="48"/>
      <c r="H36" s="48"/>
      <c r="I36" s="48"/>
      <c r="J36" s="48"/>
      <c r="K36" s="48"/>
      <c r="L36" s="48"/>
      <c r="M36" s="48"/>
      <c r="N36" s="48"/>
      <c r="O36" s="48"/>
      <c r="P36" s="48"/>
      <c r="Q36" s="48"/>
      <c r="R36" s="48"/>
      <c r="S36" s="48"/>
      <c r="T36" s="48"/>
      <c r="U36" s="48"/>
      <c r="V36" s="48"/>
      <c r="W36" s="48"/>
      <c r="X36" s="48"/>
      <c r="Y36" s="48"/>
      <c r="Z36" s="48"/>
      <c r="AA36" s="48"/>
      <c r="AB36" s="48"/>
      <c r="AC36" s="48"/>
      <c r="AD36" s="48"/>
      <c r="AE36" s="35"/>
      <c r="AF36" s="35"/>
    </row>
    <row r="37" spans="1:37" s="32" customFormat="1" ht="12.9" customHeight="1" x14ac:dyDescent="0.2">
      <c r="B37" s="52"/>
      <c r="C37" s="53"/>
      <c r="D37" s="53"/>
      <c r="E37" s="53"/>
      <c r="F37" s="53"/>
    </row>
    <row r="38" spans="1:37" s="32" customFormat="1" ht="12.9" customHeight="1" x14ac:dyDescent="0.2">
      <c r="B38" s="53"/>
      <c r="C38" s="53"/>
      <c r="D38" s="53"/>
      <c r="E38" s="53"/>
      <c r="F38" s="54"/>
    </row>
    <row r="39" spans="1:37" s="32" customFormat="1" ht="12.9" customHeight="1" x14ac:dyDescent="0.2">
      <c r="B39" s="53"/>
      <c r="C39" s="53"/>
      <c r="D39" s="53"/>
      <c r="E39" s="53"/>
      <c r="F39" s="53"/>
    </row>
    <row r="40" spans="1:37" s="32" customFormat="1" ht="12.9" customHeight="1" x14ac:dyDescent="0.2">
      <c r="B40" s="53"/>
      <c r="C40" s="53"/>
      <c r="D40" s="53"/>
      <c r="E40" s="53"/>
      <c r="F40" s="53"/>
    </row>
    <row r="41" spans="1:37" s="32" customFormat="1" ht="12.9" customHeight="1" x14ac:dyDescent="0.2">
      <c r="B41" s="53"/>
      <c r="C41" s="53"/>
      <c r="D41" s="53"/>
      <c r="E41" s="53"/>
      <c r="F41" s="53"/>
    </row>
    <row r="42" spans="1:37" s="32" customFormat="1" ht="12.9" customHeight="1" x14ac:dyDescent="0.2">
      <c r="B42" s="53"/>
      <c r="C42" s="53"/>
      <c r="D42" s="53"/>
      <c r="E42" s="53"/>
      <c r="F42" s="53"/>
    </row>
    <row r="43" spans="1:37" s="32" customFormat="1" ht="12.9" customHeight="1" x14ac:dyDescent="0.2">
      <c r="B43" s="53"/>
      <c r="C43" s="53"/>
      <c r="D43" s="53"/>
      <c r="E43" s="53"/>
      <c r="F43" s="53"/>
    </row>
    <row r="44" spans="1:37" s="2" customFormat="1" ht="15.6" x14ac:dyDescent="0.3">
      <c r="A44" s="161"/>
      <c r="B44" s="158"/>
      <c r="C44" s="158"/>
      <c r="D44" s="158"/>
      <c r="E44" s="22"/>
      <c r="F44" s="22"/>
      <c r="G44" s="22"/>
      <c r="H44" s="22"/>
      <c r="I44" s="22"/>
      <c r="J44" s="159"/>
      <c r="K44" s="159"/>
      <c r="L44" s="159"/>
      <c r="M44" s="159"/>
      <c r="N44" s="159"/>
      <c r="O44" s="159"/>
      <c r="P44" s="159"/>
      <c r="Q44" s="159"/>
      <c r="R44" s="332"/>
      <c r="S44" s="332"/>
      <c r="T44" s="332"/>
      <c r="U44" s="332"/>
      <c r="V44" s="332"/>
      <c r="W44" s="332"/>
      <c r="X44" s="332"/>
      <c r="Y44" s="332"/>
      <c r="Z44" s="332"/>
      <c r="AA44" s="332"/>
      <c r="AB44" s="341" t="s">
        <v>2</v>
      </c>
      <c r="AC44" s="341"/>
      <c r="AD44" s="341">
        <v>3</v>
      </c>
      <c r="AE44" s="341"/>
      <c r="AF44" s="341" t="s">
        <v>177</v>
      </c>
      <c r="AG44" s="341"/>
      <c r="AH44" s="341">
        <v>9</v>
      </c>
      <c r="AI44" s="341"/>
      <c r="AJ44" s="332"/>
      <c r="AK44" s="332"/>
    </row>
    <row r="45" spans="1:37" s="2" customFormat="1" ht="15.75" customHeight="1" x14ac:dyDescent="0.3">
      <c r="A45" s="340"/>
      <c r="B45" s="340"/>
      <c r="C45" s="340"/>
      <c r="D45" s="340"/>
      <c r="E45" s="340"/>
      <c r="F45" s="23"/>
      <c r="G45" s="23"/>
      <c r="H45" s="23"/>
      <c r="I45" s="23"/>
      <c r="J45" s="23"/>
      <c r="K45" s="23"/>
    </row>
    <row r="46" spans="1:37" s="2" customFormat="1" ht="12.75" customHeight="1" x14ac:dyDescent="0.25">
      <c r="A46" s="269"/>
      <c r="B46" s="270"/>
      <c r="C46" s="270"/>
      <c r="D46" s="270"/>
      <c r="E46" s="270"/>
      <c r="F46" s="270"/>
      <c r="G46" s="270"/>
      <c r="H46" s="270"/>
      <c r="I46" s="270"/>
      <c r="J46" s="270"/>
      <c r="K46" s="269"/>
    </row>
    <row r="47" spans="1:37" s="2" customFormat="1" ht="15" x14ac:dyDescent="0.25">
      <c r="A47" s="270"/>
      <c r="B47" s="270"/>
      <c r="C47" s="270"/>
      <c r="D47" s="270"/>
      <c r="E47" s="270"/>
      <c r="F47" s="270"/>
      <c r="G47" s="270"/>
      <c r="H47" s="270"/>
      <c r="I47" s="270"/>
      <c r="J47" s="270"/>
      <c r="K47" s="270"/>
      <c r="L47" s="3"/>
    </row>
    <row r="48" spans="1:37" s="32" customFormat="1" ht="12.9" customHeight="1" x14ac:dyDescent="0.2">
      <c r="C48" s="55"/>
      <c r="D48" s="56"/>
      <c r="E48" s="56"/>
      <c r="F48" s="56"/>
    </row>
  </sheetData>
  <sheetProtection formatCells="0" formatColumns="0" formatRows="0"/>
  <protectedRanges>
    <protectedRange sqref="B37 B49:C1662 C38:C47 B26 D21:AC22 A3:AK3 B21:B24 D5:AK12 C6:C12 B38:B47 D45:AK1662 O38:AF43 D44:AG44 AJ44:AK44 A38:A1662 AG26:AK27 AD21:AK25 A21:A27 C19:C21 A5:B20 C13:AK13 D14:AK20 A34:N35 A36:C36 D38:N43 B27:AF27 AG38:AK43 A33:AC33 C23:AC26 A28:B32 D28:AK32 AG33:AK37 D36:N37 A37 C37" name="Range2"/>
    <protectedRange sqref="I4:L4 Q4 O4 A4:E4 S4:AK4" name="Range2_1"/>
    <protectedRange sqref="AH44:AI44" name="Range2_4"/>
  </protectedRanges>
  <mergeCells count="16">
    <mergeCell ref="N4:X4"/>
    <mergeCell ref="A1:K1"/>
    <mergeCell ref="T44:U44"/>
    <mergeCell ref="V44:W44"/>
    <mergeCell ref="X44:Y44"/>
    <mergeCell ref="A2:Q2"/>
    <mergeCell ref="AJ44:AK44"/>
    <mergeCell ref="A46:J47"/>
    <mergeCell ref="K46:K47"/>
    <mergeCell ref="R44:S44"/>
    <mergeCell ref="A45:E45"/>
    <mergeCell ref="Z44:AA44"/>
    <mergeCell ref="AB44:AC44"/>
    <mergeCell ref="AD44:AE44"/>
    <mergeCell ref="AF44:AG44"/>
    <mergeCell ref="AH44:AI44"/>
  </mergeCells>
  <hyperlinks>
    <hyperlink ref="AK1" r:id="rId1" xr:uid="{4F048A53-8204-4116-A878-7DAE8303EFB1}"/>
  </hyperlinks>
  <pageMargins left="0.75" right="0.42" top="0.75" bottom="0.5" header="0.25" footer="0.25"/>
  <pageSetup paperSize="9" scale="95" orientation="portrait" r:id="rId2"/>
  <headerFooter alignWithMargins="0">
    <oddHeader xml:space="preserve">&amp;R
</oddHead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rgb="FF00B050"/>
  </sheetPr>
  <dimension ref="A1:AM64"/>
  <sheetViews>
    <sheetView zoomScale="115" zoomScaleNormal="115" zoomScaleSheetLayoutView="115" workbookViewId="0">
      <selection activeCell="AQ14" sqref="AQ14"/>
    </sheetView>
  </sheetViews>
  <sheetFormatPr defaultColWidth="2.5546875" defaultRowHeight="12.9" customHeight="1" x14ac:dyDescent="0.25"/>
  <cols>
    <col min="1" max="1" width="1.6640625" style="30" customWidth="1"/>
    <col min="2" max="36" width="2.5546875" style="30" customWidth="1"/>
    <col min="37" max="37" width="2.44140625" style="30" customWidth="1"/>
    <col min="38" max="16384" width="2.5546875" style="30"/>
  </cols>
  <sheetData>
    <row r="1" spans="1:39" s="1" customFormat="1" ht="15" customHeight="1" thickTop="1" x14ac:dyDescent="0.25">
      <c r="A1" s="313"/>
      <c r="B1" s="313"/>
      <c r="C1" s="313"/>
      <c r="D1" s="313"/>
      <c r="E1" s="313"/>
      <c r="F1" s="313"/>
      <c r="G1" s="313"/>
      <c r="H1" s="313"/>
      <c r="I1" s="313"/>
      <c r="J1" s="313"/>
      <c r="K1" s="313"/>
      <c r="AM1" s="259" t="s">
        <v>607</v>
      </c>
    </row>
    <row r="2" spans="1:39" s="1" customFormat="1" ht="15" customHeight="1" x14ac:dyDescent="0.25">
      <c r="A2" s="313" t="s">
        <v>22</v>
      </c>
      <c r="B2" s="313"/>
      <c r="C2" s="313"/>
      <c r="D2" s="313"/>
      <c r="E2" s="313"/>
      <c r="F2" s="313"/>
      <c r="G2" s="313"/>
      <c r="H2" s="313"/>
      <c r="I2" s="313"/>
      <c r="J2" s="313"/>
      <c r="K2" s="313"/>
      <c r="L2" s="313"/>
      <c r="M2" s="313"/>
      <c r="N2" s="313"/>
      <c r="O2" s="313"/>
      <c r="P2" s="313"/>
      <c r="Q2" s="313"/>
      <c r="AM2" s="255" t="s">
        <v>608</v>
      </c>
    </row>
    <row r="3" spans="1:39" s="32" customFormat="1" ht="12.9" customHeight="1" x14ac:dyDescent="0.2"/>
    <row r="4" spans="1:39" s="32" customFormat="1" ht="12.9" customHeight="1" x14ac:dyDescent="0.2">
      <c r="C4" s="57"/>
      <c r="D4" s="34"/>
      <c r="E4" s="53"/>
      <c r="F4" s="54"/>
      <c r="J4" s="54"/>
      <c r="K4" s="54"/>
      <c r="O4" s="342" t="s">
        <v>391</v>
      </c>
      <c r="P4" s="342"/>
      <c r="Q4" s="342"/>
      <c r="R4" s="342"/>
      <c r="S4" s="342"/>
      <c r="T4" s="342"/>
      <c r="U4" s="342"/>
      <c r="V4" s="342"/>
      <c r="W4" s="342"/>
      <c r="X4" s="342"/>
      <c r="Y4" s="342"/>
    </row>
    <row r="5" spans="1:39" s="32" customFormat="1" ht="12.9" customHeight="1" x14ac:dyDescent="0.2">
      <c r="C5" s="58"/>
      <c r="D5" s="56"/>
      <c r="E5" s="56"/>
      <c r="F5" s="56"/>
      <c r="G5" s="56"/>
    </row>
    <row r="6" spans="1:39" s="32" customFormat="1" ht="12.9" customHeight="1" x14ac:dyDescent="0.2">
      <c r="B6" s="136">
        <v>1</v>
      </c>
      <c r="C6" s="52" t="s">
        <v>35</v>
      </c>
      <c r="D6" s="53"/>
      <c r="E6" s="53"/>
      <c r="F6" s="53"/>
      <c r="G6" s="53"/>
    </row>
    <row r="7" spans="1:39" s="32" customFormat="1" ht="12.9" customHeight="1" x14ac:dyDescent="0.2">
      <c r="B7" s="137"/>
      <c r="C7" s="53" t="s">
        <v>36</v>
      </c>
      <c r="D7" s="53"/>
      <c r="E7" s="53"/>
      <c r="F7" s="53"/>
      <c r="G7" s="53"/>
    </row>
    <row r="8" spans="1:39" s="32" customFormat="1" ht="12.9" customHeight="1" x14ac:dyDescent="0.2">
      <c r="B8" s="137"/>
      <c r="C8" s="53" t="s">
        <v>592</v>
      </c>
      <c r="D8" s="53"/>
      <c r="E8" s="53"/>
      <c r="F8" s="53"/>
      <c r="G8" s="53"/>
    </row>
    <row r="9" spans="1:39" s="32" customFormat="1" ht="12.9" customHeight="1" x14ac:dyDescent="0.2">
      <c r="B9" s="137"/>
      <c r="C9" s="53"/>
      <c r="D9" s="53"/>
      <c r="E9" s="53"/>
      <c r="F9" s="53"/>
      <c r="G9" s="53"/>
    </row>
    <row r="10" spans="1:39" s="32" customFormat="1" ht="12.9" customHeight="1" x14ac:dyDescent="0.2">
      <c r="B10" s="136">
        <v>2</v>
      </c>
      <c r="C10" s="52" t="s">
        <v>37</v>
      </c>
      <c r="D10" s="53"/>
      <c r="E10" s="54"/>
      <c r="F10" s="53"/>
      <c r="G10" s="53"/>
    </row>
    <row r="11" spans="1:39" s="32" customFormat="1" ht="12.9" customHeight="1" x14ac:dyDescent="0.2">
      <c r="B11" s="137"/>
      <c r="C11" s="53" t="s">
        <v>38</v>
      </c>
      <c r="D11" s="53"/>
      <c r="E11" s="53"/>
      <c r="F11" s="53"/>
      <c r="G11" s="53"/>
    </row>
    <row r="12" spans="1:39" s="32" customFormat="1" ht="12.9" customHeight="1" x14ac:dyDescent="0.3">
      <c r="B12" s="137"/>
      <c r="C12" s="46"/>
      <c r="D12" s="59"/>
      <c r="E12" s="60"/>
      <c r="F12" s="53"/>
      <c r="G12" s="54"/>
    </row>
    <row r="13" spans="1:39" s="32" customFormat="1" ht="12.9" customHeight="1" x14ac:dyDescent="0.2">
      <c r="B13" s="137"/>
      <c r="C13" s="46"/>
      <c r="D13" s="55"/>
      <c r="E13" s="56"/>
      <c r="F13" s="56"/>
      <c r="G13" s="56"/>
    </row>
    <row r="14" spans="1:39" s="32" customFormat="1" ht="12.9" customHeight="1" x14ac:dyDescent="0.2">
      <c r="B14" s="137"/>
      <c r="C14" s="46"/>
      <c r="D14" s="55"/>
      <c r="E14" s="56"/>
      <c r="F14" s="56"/>
      <c r="G14" s="56"/>
    </row>
    <row r="15" spans="1:39" s="32" customFormat="1" ht="12.9" customHeight="1" x14ac:dyDescent="0.2">
      <c r="B15" s="137"/>
      <c r="C15" s="46"/>
      <c r="D15" s="55"/>
      <c r="E15" s="56"/>
      <c r="F15" s="56"/>
      <c r="G15" s="56"/>
    </row>
    <row r="16" spans="1:39" s="32" customFormat="1" ht="12.9" customHeight="1" x14ac:dyDescent="0.2">
      <c r="B16" s="137"/>
      <c r="C16" s="46"/>
      <c r="D16" s="53"/>
      <c r="E16" s="53"/>
      <c r="F16" s="53"/>
      <c r="G16" s="53"/>
      <c r="H16" s="124"/>
      <c r="I16" s="124"/>
      <c r="J16" s="124"/>
      <c r="K16" s="124"/>
      <c r="L16" s="124"/>
      <c r="M16" s="124"/>
      <c r="N16" s="124"/>
      <c r="O16" s="124"/>
      <c r="P16" s="124"/>
      <c r="Q16" s="124"/>
      <c r="R16" s="124"/>
      <c r="S16" s="124"/>
      <c r="T16" s="124"/>
      <c r="U16" s="124"/>
      <c r="V16" s="124"/>
      <c r="W16" s="124"/>
      <c r="X16" s="124"/>
      <c r="Y16" s="124"/>
    </row>
    <row r="17" spans="2:33" s="32" customFormat="1" ht="12.9" customHeight="1" x14ac:dyDescent="0.2">
      <c r="B17" s="137"/>
      <c r="C17" s="61"/>
      <c r="D17" s="62"/>
      <c r="E17" s="60"/>
      <c r="F17" s="53"/>
      <c r="G17" s="54"/>
    </row>
    <row r="18" spans="2:33" s="32" customFormat="1" ht="12.9" customHeight="1" x14ac:dyDescent="0.2">
      <c r="B18" s="136">
        <v>3</v>
      </c>
      <c r="C18" s="52" t="s">
        <v>39</v>
      </c>
      <c r="D18" s="53"/>
      <c r="E18" s="53"/>
      <c r="F18" s="53"/>
      <c r="G18" s="53"/>
    </row>
    <row r="19" spans="2:33" s="32" customFormat="1" ht="12.9" customHeight="1" x14ac:dyDescent="0.2">
      <c r="B19" s="137"/>
      <c r="C19" s="34" t="s">
        <v>420</v>
      </c>
      <c r="E19" s="53"/>
      <c r="F19" s="53"/>
      <c r="G19" s="53"/>
    </row>
    <row r="20" spans="2:33" s="32" customFormat="1" ht="12.9" customHeight="1" x14ac:dyDescent="0.2">
      <c r="B20" s="137"/>
      <c r="C20" s="34" t="s">
        <v>180</v>
      </c>
      <c r="D20" s="53"/>
      <c r="E20" s="53"/>
      <c r="F20" s="53"/>
      <c r="G20" s="53"/>
    </row>
    <row r="21" spans="2:33" s="32" customFormat="1" ht="12.9" customHeight="1" x14ac:dyDescent="0.2">
      <c r="B21" s="137"/>
      <c r="C21" s="34" t="s">
        <v>209</v>
      </c>
      <c r="D21" s="53"/>
      <c r="E21" s="53"/>
      <c r="F21" s="53"/>
      <c r="G21" s="53"/>
    </row>
    <row r="22" spans="2:33" s="32" customFormat="1" ht="12.9" customHeight="1" x14ac:dyDescent="0.2">
      <c r="B22" s="137"/>
      <c r="C22" s="34" t="s">
        <v>181</v>
      </c>
      <c r="D22" s="53" t="s">
        <v>182</v>
      </c>
      <c r="E22" s="53"/>
      <c r="F22" s="53"/>
      <c r="G22" s="53"/>
    </row>
    <row r="23" spans="2:33" s="32" customFormat="1" ht="12.9" customHeight="1" x14ac:dyDescent="0.2">
      <c r="B23" s="137"/>
      <c r="C23" s="53"/>
      <c r="D23" s="53" t="s">
        <v>183</v>
      </c>
      <c r="E23" s="53"/>
      <c r="F23" s="53"/>
      <c r="G23" s="53"/>
    </row>
    <row r="24" spans="2:33" s="32" customFormat="1" ht="12.9" customHeight="1" x14ac:dyDescent="0.2">
      <c r="B24" s="137"/>
      <c r="C24" s="34"/>
      <c r="D24" s="53" t="s">
        <v>184</v>
      </c>
      <c r="E24" s="53"/>
      <c r="F24" s="53"/>
      <c r="G24" s="53"/>
    </row>
    <row r="25" spans="2:33" s="32" customFormat="1" ht="12.9" customHeight="1" x14ac:dyDescent="0.2">
      <c r="B25" s="137"/>
      <c r="C25" s="34" t="s">
        <v>185</v>
      </c>
      <c r="D25" s="53"/>
      <c r="E25" s="53"/>
      <c r="F25" s="53"/>
      <c r="G25" s="53"/>
      <c r="AG25" s="63"/>
    </row>
    <row r="26" spans="2:33" s="32" customFormat="1" ht="12.9" customHeight="1" x14ac:dyDescent="0.2">
      <c r="B26" s="137"/>
      <c r="C26" s="53"/>
      <c r="D26" s="53" t="s">
        <v>421</v>
      </c>
      <c r="E26" s="53"/>
      <c r="F26" s="53"/>
      <c r="G26" s="53"/>
    </row>
    <row r="27" spans="2:33" s="32" customFormat="1" ht="12.9" customHeight="1" x14ac:dyDescent="0.2">
      <c r="B27" s="137"/>
      <c r="D27" s="53"/>
      <c r="E27" s="53"/>
      <c r="F27" s="53"/>
      <c r="G27" s="53"/>
    </row>
    <row r="28" spans="2:33" s="32" customFormat="1" ht="12.9" customHeight="1" x14ac:dyDescent="0.2">
      <c r="B28" s="136">
        <v>4</v>
      </c>
      <c r="C28" s="52" t="s">
        <v>40</v>
      </c>
      <c r="D28" s="53"/>
      <c r="E28" s="53"/>
      <c r="F28" s="53"/>
      <c r="G28" s="53"/>
    </row>
    <row r="29" spans="2:33" s="32" customFormat="1" ht="12.9" customHeight="1" x14ac:dyDescent="0.2">
      <c r="C29" s="34" t="s">
        <v>211</v>
      </c>
      <c r="D29" s="53"/>
      <c r="E29" s="53"/>
      <c r="F29" s="53"/>
      <c r="G29" s="53"/>
    </row>
    <row r="30" spans="2:33" s="32" customFormat="1" ht="12.9" customHeight="1" x14ac:dyDescent="0.3">
      <c r="C30" s="53"/>
      <c r="D30" s="53" t="s">
        <v>41</v>
      </c>
      <c r="E30" s="53" t="s">
        <v>42</v>
      </c>
      <c r="F30" s="53" t="s">
        <v>210</v>
      </c>
      <c r="G30" s="54"/>
    </row>
    <row r="31" spans="2:33" s="32" customFormat="1" ht="12.9" customHeight="1" x14ac:dyDescent="0.2">
      <c r="C31" s="53"/>
      <c r="D31" s="53"/>
      <c r="E31" s="53"/>
      <c r="F31" s="53"/>
      <c r="G31" s="53"/>
    </row>
    <row r="32" spans="2:33" s="32" customFormat="1" ht="12.9" customHeight="1" x14ac:dyDescent="0.2">
      <c r="C32" s="53"/>
      <c r="D32" s="53" t="s">
        <v>43</v>
      </c>
      <c r="E32" s="53"/>
      <c r="F32" s="53" t="s">
        <v>44</v>
      </c>
      <c r="G32" s="53"/>
    </row>
    <row r="33" spans="2:26" s="32" customFormat="1" ht="12.9" customHeight="1" x14ac:dyDescent="0.2">
      <c r="C33" s="53"/>
      <c r="D33" s="53"/>
      <c r="E33" s="53"/>
      <c r="F33" s="53" t="s">
        <v>45</v>
      </c>
      <c r="G33" s="53"/>
    </row>
    <row r="34" spans="2:26" s="32" customFormat="1" ht="12.9" customHeight="1" x14ac:dyDescent="0.2">
      <c r="C34" s="53"/>
      <c r="D34" s="53"/>
      <c r="E34" s="53"/>
      <c r="F34" s="53" t="s">
        <v>46</v>
      </c>
      <c r="G34" s="53"/>
    </row>
    <row r="35" spans="2:26" s="169" customFormat="1" ht="12.9" customHeight="1" x14ac:dyDescent="0.25">
      <c r="B35" s="69"/>
      <c r="C35" s="69"/>
      <c r="D35" s="69"/>
      <c r="E35" s="69"/>
      <c r="F35" s="69"/>
    </row>
    <row r="36" spans="2:26" s="169" customFormat="1" ht="12.9" customHeight="1" x14ac:dyDescent="0.25">
      <c r="C36" s="34" t="s">
        <v>250</v>
      </c>
      <c r="D36" s="69"/>
      <c r="E36" s="69"/>
      <c r="F36" s="69"/>
    </row>
    <row r="37" spans="2:26" s="169" customFormat="1" ht="12.9" customHeight="1" x14ac:dyDescent="0.25">
      <c r="B37" s="69"/>
      <c r="E37" s="53" t="s">
        <v>291</v>
      </c>
      <c r="G37" s="172" t="s">
        <v>247</v>
      </c>
      <c r="H37" s="173"/>
      <c r="I37" s="173"/>
    </row>
    <row r="38" spans="2:26" s="169" customFormat="1" ht="12.9" customHeight="1" x14ac:dyDescent="0.25">
      <c r="B38" s="69"/>
      <c r="E38" s="69"/>
      <c r="H38" s="174" t="s">
        <v>248</v>
      </c>
      <c r="I38" s="173"/>
    </row>
    <row r="39" spans="2:26" s="169" customFormat="1" ht="12.9" customHeight="1" x14ac:dyDescent="0.25">
      <c r="B39" s="69"/>
      <c r="E39" s="53" t="s">
        <v>249</v>
      </c>
      <c r="F39" s="69"/>
      <c r="G39" s="69"/>
      <c r="H39" s="69"/>
    </row>
    <row r="40" spans="2:26" s="32" customFormat="1" ht="12.9" customHeight="1" x14ac:dyDescent="0.2">
      <c r="E40" s="53"/>
      <c r="F40" s="53"/>
      <c r="G40" s="53"/>
      <c r="H40" s="53"/>
      <c r="I40" s="53"/>
    </row>
    <row r="41" spans="2:26" s="32" customFormat="1" ht="12.9" customHeight="1" x14ac:dyDescent="0.2">
      <c r="C41" s="34" t="s">
        <v>251</v>
      </c>
      <c r="D41" s="53"/>
      <c r="E41" s="53"/>
      <c r="F41" s="53"/>
      <c r="G41" s="53"/>
    </row>
    <row r="42" spans="2:26" s="32" customFormat="1" ht="12.9" customHeight="1" x14ac:dyDescent="0.2">
      <c r="C42" s="34"/>
      <c r="D42" s="53"/>
      <c r="E42" s="53"/>
      <c r="F42" s="53"/>
      <c r="G42" s="53"/>
    </row>
    <row r="43" spans="2:26" s="32" customFormat="1" ht="12.9" customHeight="1" x14ac:dyDescent="0.2">
      <c r="E43" s="64" t="s">
        <v>47</v>
      </c>
      <c r="F43" s="57" t="s">
        <v>48</v>
      </c>
      <c r="G43" s="53" t="s">
        <v>49</v>
      </c>
      <c r="H43" s="61" t="s">
        <v>50</v>
      </c>
      <c r="I43" s="57"/>
    </row>
    <row r="44" spans="2:26" s="32" customFormat="1" ht="12.9" customHeight="1" x14ac:dyDescent="0.2">
      <c r="D44" s="64"/>
      <c r="F44" s="53"/>
      <c r="G44" s="53"/>
      <c r="H44" s="53"/>
    </row>
    <row r="45" spans="2:26" s="32" customFormat="1" ht="12.9" customHeight="1" x14ac:dyDescent="0.2">
      <c r="D45" s="54"/>
      <c r="E45" s="53" t="s">
        <v>43</v>
      </c>
      <c r="F45" s="53"/>
      <c r="G45" s="53"/>
      <c r="H45" s="53"/>
      <c r="T45" s="65"/>
    </row>
    <row r="46" spans="2:26" s="32" customFormat="1" ht="12.9" customHeight="1" x14ac:dyDescent="0.2">
      <c r="D46" s="54"/>
      <c r="E46" s="53" t="s">
        <v>51</v>
      </c>
      <c r="F46" s="53"/>
      <c r="G46" s="53"/>
      <c r="H46" s="53"/>
      <c r="T46" s="34"/>
      <c r="X46" s="53"/>
      <c r="Y46" s="53"/>
      <c r="Z46" s="53"/>
    </row>
    <row r="47" spans="2:26" s="32" customFormat="1" ht="12.9" customHeight="1" x14ac:dyDescent="0.2">
      <c r="D47" s="54"/>
      <c r="E47" s="53" t="s">
        <v>52</v>
      </c>
      <c r="F47" s="53"/>
      <c r="G47" s="53"/>
      <c r="H47" s="53"/>
      <c r="T47" s="34"/>
      <c r="U47" s="53"/>
      <c r="X47" s="53"/>
      <c r="Y47" s="53"/>
      <c r="Z47" s="53"/>
    </row>
    <row r="48" spans="2:26" s="32" customFormat="1" ht="12.9" customHeight="1" x14ac:dyDescent="0.2">
      <c r="D48" s="54"/>
      <c r="E48" s="53" t="s">
        <v>53</v>
      </c>
      <c r="F48" s="53"/>
      <c r="G48" s="53"/>
      <c r="H48" s="53"/>
      <c r="T48" s="34"/>
      <c r="X48" s="53"/>
      <c r="Y48" s="53"/>
      <c r="Z48" s="53"/>
    </row>
    <row r="49" spans="1:37" s="32" customFormat="1" ht="12.9" customHeight="1" x14ac:dyDescent="0.2">
      <c r="D49" s="34"/>
      <c r="E49" s="53"/>
      <c r="F49" s="53"/>
      <c r="G49" s="53"/>
      <c r="H49" s="53"/>
    </row>
    <row r="50" spans="1:37" s="32" customFormat="1" ht="12.9" customHeight="1" x14ac:dyDescent="0.2">
      <c r="C50" s="53"/>
      <c r="D50" s="65" t="s">
        <v>54</v>
      </c>
      <c r="T50" s="65" t="s">
        <v>55</v>
      </c>
    </row>
    <row r="51" spans="1:37" s="32" customFormat="1" ht="12.9" customHeight="1" x14ac:dyDescent="0.2">
      <c r="C51" s="53"/>
      <c r="D51" s="346" t="s">
        <v>56</v>
      </c>
      <c r="E51" s="346"/>
      <c r="F51" s="346"/>
      <c r="G51" s="346"/>
      <c r="H51" s="346"/>
      <c r="I51" s="346"/>
      <c r="J51" s="346"/>
      <c r="K51" s="346"/>
      <c r="L51" s="346"/>
      <c r="M51" s="346"/>
      <c r="N51" s="346"/>
      <c r="O51" s="346"/>
      <c r="P51" s="346"/>
      <c r="Q51" s="346"/>
      <c r="T51" s="34" t="s">
        <v>57</v>
      </c>
    </row>
    <row r="52" spans="1:37" s="32" customFormat="1" ht="12.9" customHeight="1" x14ac:dyDescent="0.2">
      <c r="C52" s="53"/>
      <c r="D52" s="346" t="s">
        <v>58</v>
      </c>
      <c r="E52" s="346"/>
      <c r="F52" s="346"/>
      <c r="G52" s="346"/>
      <c r="H52" s="346"/>
      <c r="I52" s="346"/>
      <c r="J52" s="346"/>
      <c r="K52" s="346"/>
      <c r="L52" s="346"/>
      <c r="M52" s="346"/>
      <c r="N52" s="346"/>
      <c r="O52" s="346"/>
      <c r="P52" s="346"/>
      <c r="Q52" s="346"/>
      <c r="T52" s="34" t="s">
        <v>59</v>
      </c>
    </row>
    <row r="53" spans="1:37" s="32" customFormat="1" ht="12.9" customHeight="1" x14ac:dyDescent="0.2">
      <c r="C53" s="55"/>
      <c r="D53" s="55"/>
      <c r="E53" s="56"/>
      <c r="F53" s="56"/>
      <c r="G53" s="56"/>
    </row>
    <row r="54" spans="1:37" s="32" customFormat="1" ht="12.9" customHeight="1" x14ac:dyDescent="0.2">
      <c r="C54" s="53"/>
      <c r="D54" s="34" t="s">
        <v>60</v>
      </c>
      <c r="H54" s="343">
        <v>205</v>
      </c>
      <c r="I54" s="344"/>
      <c r="J54" s="345"/>
      <c r="T54" s="34" t="s">
        <v>60</v>
      </c>
      <c r="X54" s="347">
        <v>153</v>
      </c>
      <c r="Y54" s="347"/>
      <c r="Z54" s="347"/>
    </row>
    <row r="55" spans="1:37" s="32" customFormat="1" ht="12.9" customHeight="1" x14ac:dyDescent="0.2">
      <c r="C55" s="53"/>
      <c r="D55" s="34" t="s">
        <v>61</v>
      </c>
      <c r="E55" s="53"/>
      <c r="H55" s="343">
        <v>126</v>
      </c>
      <c r="I55" s="344"/>
      <c r="J55" s="345"/>
      <c r="T55" s="34" t="s">
        <v>61</v>
      </c>
      <c r="U55" s="53"/>
      <c r="X55" s="347">
        <v>101</v>
      </c>
      <c r="Y55" s="347"/>
      <c r="Z55" s="347"/>
    </row>
    <row r="56" spans="1:37" s="32" customFormat="1" ht="12.9" customHeight="1" x14ac:dyDescent="0.2">
      <c r="C56" s="54"/>
      <c r="D56" s="34" t="s">
        <v>62</v>
      </c>
      <c r="H56" s="343">
        <v>80</v>
      </c>
      <c r="I56" s="344"/>
      <c r="J56" s="345"/>
      <c r="T56" s="34" t="s">
        <v>62</v>
      </c>
      <c r="X56" s="343">
        <v>56</v>
      </c>
      <c r="Y56" s="344"/>
      <c r="Z56" s="345"/>
    </row>
    <row r="57" spans="1:37" s="32" customFormat="1" ht="12.9" customHeight="1" x14ac:dyDescent="0.2">
      <c r="D57" s="55"/>
      <c r="E57" s="56"/>
      <c r="F57" s="56"/>
      <c r="G57" s="56"/>
    </row>
    <row r="58" spans="1:37" s="32" customFormat="1" ht="12.9" customHeight="1" x14ac:dyDescent="0.2">
      <c r="D58" s="55"/>
      <c r="E58" s="56"/>
      <c r="F58" s="56"/>
      <c r="G58" s="56"/>
    </row>
    <row r="60" spans="1:37" s="32" customFormat="1" ht="12.9" customHeight="1" x14ac:dyDescent="0.2">
      <c r="C60" s="55"/>
      <c r="D60" s="55"/>
      <c r="E60" s="56"/>
      <c r="F60" s="56"/>
      <c r="G60" s="56"/>
    </row>
    <row r="61" spans="1:37" s="2" customFormat="1" ht="15.6" x14ac:dyDescent="0.3">
      <c r="A61" s="158"/>
      <c r="B61" s="158"/>
      <c r="C61" s="158"/>
      <c r="D61" s="158"/>
      <c r="E61" s="22"/>
      <c r="F61" s="22"/>
      <c r="G61" s="22"/>
      <c r="H61" s="22"/>
      <c r="I61" s="22"/>
      <c r="J61" s="159"/>
      <c r="K61" s="159"/>
      <c r="L61" s="159"/>
      <c r="M61" s="159"/>
      <c r="N61" s="159"/>
      <c r="O61" s="159"/>
      <c r="P61" s="159"/>
      <c r="Q61" s="159"/>
      <c r="R61" s="332"/>
      <c r="S61" s="332"/>
      <c r="T61" s="332"/>
      <c r="U61" s="332"/>
      <c r="V61" s="332"/>
      <c r="W61" s="332"/>
      <c r="X61" s="332"/>
      <c r="Y61" s="332"/>
      <c r="Z61" s="332"/>
      <c r="AA61" s="332"/>
      <c r="AB61" s="341" t="s">
        <v>2</v>
      </c>
      <c r="AC61" s="341"/>
      <c r="AD61" s="341">
        <v>4</v>
      </c>
      <c r="AE61" s="341"/>
      <c r="AF61" s="341" t="s">
        <v>177</v>
      </c>
      <c r="AG61" s="341"/>
      <c r="AH61" s="341">
        <v>9</v>
      </c>
      <c r="AI61" s="341"/>
      <c r="AJ61" s="332"/>
      <c r="AK61" s="332"/>
    </row>
    <row r="62" spans="1:37" s="2" customFormat="1" ht="15.75" customHeight="1" x14ac:dyDescent="0.3">
      <c r="A62" s="340"/>
      <c r="B62" s="340"/>
      <c r="C62" s="340"/>
      <c r="D62" s="340"/>
      <c r="E62" s="340"/>
      <c r="F62" s="23"/>
      <c r="G62" s="23"/>
      <c r="H62" s="23"/>
      <c r="I62" s="23"/>
      <c r="J62" s="23"/>
      <c r="K62" s="23"/>
    </row>
    <row r="63" spans="1:37" s="2" customFormat="1" ht="12.75" customHeight="1" x14ac:dyDescent="0.3">
      <c r="A63" s="160"/>
      <c r="B63" s="29"/>
      <c r="C63" s="29"/>
      <c r="D63" s="29"/>
      <c r="E63" s="29"/>
      <c r="F63" s="29"/>
      <c r="G63" s="29"/>
      <c r="H63" s="29"/>
      <c r="I63" s="29"/>
      <c r="J63" s="29"/>
      <c r="K63" s="269"/>
    </row>
    <row r="64" spans="1:37" s="2" customFormat="1" ht="15.6" x14ac:dyDescent="0.3">
      <c r="A64" s="29"/>
      <c r="B64" s="29"/>
      <c r="C64" s="29"/>
      <c r="D64" s="29"/>
      <c r="E64" s="29"/>
      <c r="F64" s="29"/>
      <c r="G64" s="29"/>
      <c r="H64" s="29"/>
      <c r="I64" s="29"/>
      <c r="J64" s="29"/>
      <c r="K64" s="270"/>
      <c r="L64" s="3"/>
    </row>
  </sheetData>
  <sheetProtection formatCells="0" formatColumns="0" formatRows="0"/>
  <protectedRanges>
    <protectedRange sqref="C59:D59 E45:E49 B57:B59 E57:AL59 D50:J52 D44:D49 C18:D18 B3:AL3 B5:AL17 P30:AG34 B64:AL64 B25:O26 C20:O20 E18:AL19 C19 E24:AL24 P20:AG22 B27 B22:D24 D27:O27 B28:O34 B53:AL56 B60:AL60 B65:AL1677 E21:O23 AH20:AL23 P26:AG26 B40:B52 AH25:AL34 E43 C40:AL40 D41:AL42 K50:AL52 C41:C52 F43:AL49 B18:B21" name="Range2"/>
    <protectedRange sqref="J4:M4 R4 P4 B4:F4 T4:AL4" name="Range2_1"/>
    <protectedRange sqref="A62:AK63 A61:AG61 AJ61:AK61" name="Range2_2"/>
    <protectedRange sqref="C36 A35:A39 H38 B35:C35 F39:J39 I37:J38 G37:H37 D35:AK36 K37:AK39 B37:E39" name="Range2_3"/>
    <protectedRange sqref="AH61:AI61" name="Range2_4"/>
  </protectedRanges>
  <mergeCells count="23">
    <mergeCell ref="H56:J56"/>
    <mergeCell ref="X56:Z56"/>
    <mergeCell ref="A1:K1"/>
    <mergeCell ref="K63:K64"/>
    <mergeCell ref="R61:S61"/>
    <mergeCell ref="O4:Y4"/>
    <mergeCell ref="D51:Q51"/>
    <mergeCell ref="D52:Q52"/>
    <mergeCell ref="H54:J54"/>
    <mergeCell ref="X54:Z54"/>
    <mergeCell ref="H55:J55"/>
    <mergeCell ref="X55:Z55"/>
    <mergeCell ref="A2:Q2"/>
    <mergeCell ref="AF61:AG61"/>
    <mergeCell ref="AH61:AI61"/>
    <mergeCell ref="AJ61:AK61"/>
    <mergeCell ref="A62:E62"/>
    <mergeCell ref="T61:U61"/>
    <mergeCell ref="V61:W61"/>
    <mergeCell ref="X61:Y61"/>
    <mergeCell ref="Z61:AA61"/>
    <mergeCell ref="AB61:AC61"/>
    <mergeCell ref="AD61:AE61"/>
  </mergeCells>
  <hyperlinks>
    <hyperlink ref="AM1" r:id="rId1" xr:uid="{B93BB085-FCF6-4A1C-A3AC-7DD2972DC862}"/>
  </hyperlinks>
  <pageMargins left="0.25" right="0.25" top="0.75" bottom="0.75" header="0.3" footer="0.3"/>
  <pageSetup paperSize="9" scale="95" orientation="portrait" r:id="rId2"/>
  <headerFooter alignWithMargins="0">
    <oddHeader xml:space="preserve">&amp;R
</oddHead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rgb="FF00B050"/>
  </sheetPr>
  <dimension ref="A1:AS60"/>
  <sheetViews>
    <sheetView zoomScaleNormal="100" zoomScaleSheetLayoutView="130" workbookViewId="0">
      <selection activeCell="AI2" sqref="AI2"/>
    </sheetView>
  </sheetViews>
  <sheetFormatPr defaultColWidth="2.5546875" defaultRowHeight="12.9" customHeight="1" x14ac:dyDescent="0.25"/>
  <cols>
    <col min="1" max="14" width="2.5546875" style="30" customWidth="1"/>
    <col min="15" max="15" width="5.44140625" style="30" customWidth="1"/>
    <col min="16" max="16" width="3.109375" style="30" customWidth="1"/>
    <col min="17" max="17" width="2.5546875" style="30" customWidth="1"/>
    <col min="18" max="18" width="3.44140625" style="30" customWidth="1"/>
    <col min="19" max="29" width="2.5546875" style="30" customWidth="1"/>
    <col min="30" max="30" width="3.109375" style="30" customWidth="1"/>
    <col min="31" max="32" width="2.5546875" style="30" customWidth="1"/>
    <col min="33" max="33" width="6" style="30" customWidth="1"/>
    <col min="34" max="34" width="4.6640625" style="30" customWidth="1"/>
    <col min="35" max="35" width="2.5546875" style="30" customWidth="1"/>
    <col min="36" max="36" width="4.33203125" style="30" customWidth="1"/>
    <col min="37" max="43" width="2.5546875" style="30"/>
    <col min="44" max="44" width="4.109375" style="30" bestFit="1" customWidth="1"/>
    <col min="45" max="45" width="4" style="30" bestFit="1" customWidth="1"/>
    <col min="46" max="16384" width="2.5546875" style="30"/>
  </cols>
  <sheetData>
    <row r="1" spans="1:39" s="1" customFormat="1" ht="15" customHeight="1" thickTop="1" x14ac:dyDescent="0.25">
      <c r="A1" s="313"/>
      <c r="B1" s="313"/>
      <c r="C1" s="313"/>
      <c r="D1" s="313"/>
      <c r="E1" s="313"/>
      <c r="F1" s="313"/>
      <c r="G1" s="313"/>
      <c r="H1" s="313"/>
      <c r="I1" s="313"/>
      <c r="J1" s="313"/>
      <c r="K1" s="313"/>
      <c r="AM1" s="259" t="s">
        <v>607</v>
      </c>
    </row>
    <row r="2" spans="1:39" s="1" customFormat="1" ht="15" customHeight="1" x14ac:dyDescent="0.25">
      <c r="A2" s="313" t="s">
        <v>22</v>
      </c>
      <c r="B2" s="313"/>
      <c r="C2" s="313"/>
      <c r="D2" s="313"/>
      <c r="E2" s="313"/>
      <c r="F2" s="313"/>
      <c r="G2" s="313"/>
      <c r="H2" s="313"/>
      <c r="I2" s="313"/>
      <c r="J2" s="313"/>
      <c r="K2" s="313"/>
      <c r="L2" s="313"/>
      <c r="M2" s="313"/>
      <c r="N2" s="313"/>
      <c r="O2" s="313"/>
      <c r="P2" s="313"/>
      <c r="Q2" s="313"/>
      <c r="AM2" s="255" t="s">
        <v>608</v>
      </c>
    </row>
    <row r="4" spans="1:39" ht="12.9" customHeight="1" x14ac:dyDescent="0.25">
      <c r="B4" s="348">
        <v>4.4000000000000004</v>
      </c>
      <c r="C4" s="348"/>
      <c r="D4" s="52" t="s">
        <v>63</v>
      </c>
    </row>
    <row r="5" spans="1:39" ht="12.9" customHeight="1" x14ac:dyDescent="0.25">
      <c r="B5" s="66"/>
      <c r="C5" s="66"/>
    </row>
    <row r="6" spans="1:39" ht="12.9" customHeight="1" x14ac:dyDescent="0.25">
      <c r="B6" s="57">
        <v>1</v>
      </c>
      <c r="C6" s="53" t="s">
        <v>64</v>
      </c>
      <c r="S6" s="124" t="s">
        <v>186</v>
      </c>
      <c r="AE6" s="349">
        <v>65</v>
      </c>
      <c r="AF6" s="350"/>
      <c r="AG6" s="350"/>
      <c r="AH6" s="351"/>
      <c r="AI6" s="67" t="s">
        <v>65</v>
      </c>
    </row>
    <row r="7" spans="1:39" ht="12.9" customHeight="1" x14ac:dyDescent="0.25">
      <c r="B7" s="57"/>
      <c r="C7" s="53" t="s">
        <v>66</v>
      </c>
      <c r="S7" s="124" t="s">
        <v>485</v>
      </c>
      <c r="T7" s="32"/>
      <c r="U7" s="32"/>
      <c r="V7" s="32"/>
      <c r="AE7" s="358">
        <f>'Annex-1'!O30</f>
        <v>15.445091974913707</v>
      </c>
      <c r="AF7" s="350"/>
      <c r="AG7" s="350"/>
      <c r="AH7" s="351"/>
      <c r="AI7" s="67" t="s">
        <v>65</v>
      </c>
    </row>
    <row r="8" spans="1:39" ht="12.9" customHeight="1" x14ac:dyDescent="0.25">
      <c r="B8" s="57">
        <v>2</v>
      </c>
      <c r="C8" s="53" t="s">
        <v>212</v>
      </c>
      <c r="AE8" s="349">
        <v>0.5</v>
      </c>
      <c r="AF8" s="350"/>
      <c r="AG8" s="350"/>
      <c r="AH8" s="351"/>
      <c r="AI8" s="67" t="s">
        <v>67</v>
      </c>
    </row>
    <row r="9" spans="1:39" ht="12.9" customHeight="1" x14ac:dyDescent="0.25">
      <c r="B9" s="57">
        <v>3</v>
      </c>
      <c r="C9" s="53" t="s">
        <v>213</v>
      </c>
      <c r="Q9" s="32"/>
      <c r="AE9" s="349">
        <v>45</v>
      </c>
      <c r="AF9" s="350"/>
      <c r="AG9" s="350"/>
      <c r="AH9" s="351"/>
      <c r="AI9" s="67" t="s">
        <v>68</v>
      </c>
    </row>
    <row r="10" spans="1:39" ht="12.9" customHeight="1" x14ac:dyDescent="0.25">
      <c r="B10" s="57">
        <v>4</v>
      </c>
      <c r="C10" s="53" t="s">
        <v>69</v>
      </c>
      <c r="AE10" s="349">
        <v>300</v>
      </c>
      <c r="AF10" s="350"/>
      <c r="AG10" s="350"/>
      <c r="AH10" s="351"/>
      <c r="AI10" s="67" t="s">
        <v>70</v>
      </c>
    </row>
    <row r="11" spans="1:39" ht="12.9" customHeight="1" x14ac:dyDescent="0.25">
      <c r="B11" s="57">
        <v>5</v>
      </c>
      <c r="C11" s="53" t="s">
        <v>71</v>
      </c>
      <c r="AE11" s="349">
        <f>AE10</f>
        <v>300</v>
      </c>
      <c r="AF11" s="350"/>
      <c r="AG11" s="350"/>
      <c r="AH11" s="351"/>
      <c r="AI11" s="67" t="s">
        <v>70</v>
      </c>
    </row>
    <row r="12" spans="1:39" ht="12.9" customHeight="1" x14ac:dyDescent="0.25">
      <c r="B12" s="57">
        <v>6</v>
      </c>
      <c r="C12" s="53" t="s">
        <v>72</v>
      </c>
      <c r="AE12" s="349">
        <v>10</v>
      </c>
      <c r="AF12" s="350"/>
      <c r="AG12" s="350"/>
      <c r="AH12" s="351"/>
      <c r="AI12" s="67" t="s">
        <v>70</v>
      </c>
    </row>
    <row r="13" spans="1:39" ht="12.9" customHeight="1" x14ac:dyDescent="0.25">
      <c r="B13" s="57">
        <v>7</v>
      </c>
      <c r="C13" s="53" t="s">
        <v>422</v>
      </c>
      <c r="S13" s="124" t="s">
        <v>423</v>
      </c>
      <c r="AE13" s="349">
        <v>30</v>
      </c>
      <c r="AF13" s="350"/>
      <c r="AG13" s="350"/>
      <c r="AH13" s="351"/>
      <c r="AI13" s="67" t="s">
        <v>73</v>
      </c>
    </row>
    <row r="14" spans="1:39" ht="12.9" customHeight="1" x14ac:dyDescent="0.25">
      <c r="C14" s="53" t="s">
        <v>486</v>
      </c>
    </row>
    <row r="15" spans="1:39" ht="12.9" customHeight="1" x14ac:dyDescent="0.25">
      <c r="C15" s="53" t="s">
        <v>554</v>
      </c>
    </row>
    <row r="16" spans="1:39" ht="12.9" customHeight="1" x14ac:dyDescent="0.25">
      <c r="B16" s="34"/>
      <c r="C16" s="53"/>
    </row>
    <row r="17" spans="2:37" ht="12.9" customHeight="1" x14ac:dyDescent="0.25">
      <c r="B17" s="348">
        <v>4.5</v>
      </c>
      <c r="C17" s="348"/>
      <c r="D17" s="52" t="s">
        <v>74</v>
      </c>
    </row>
    <row r="18" spans="2:37" ht="12.9" customHeight="1" x14ac:dyDescent="0.25">
      <c r="B18" s="34"/>
      <c r="C18" s="53"/>
    </row>
    <row r="19" spans="2:37" ht="12.9" customHeight="1" x14ac:dyDescent="0.25">
      <c r="B19" s="34" t="s">
        <v>75</v>
      </c>
      <c r="C19" s="53" t="s">
        <v>76</v>
      </c>
      <c r="AE19" s="349">
        <f>AE6</f>
        <v>65</v>
      </c>
      <c r="AF19" s="350"/>
      <c r="AG19" s="350"/>
      <c r="AH19" s="351"/>
    </row>
    <row r="20" spans="2:37" ht="12.9" customHeight="1" x14ac:dyDescent="0.25">
      <c r="B20" s="34"/>
      <c r="C20" s="53"/>
    </row>
    <row r="21" spans="2:37" ht="12.9" customHeight="1" x14ac:dyDescent="0.25">
      <c r="B21" s="34" t="s">
        <v>77</v>
      </c>
      <c r="C21" s="53" t="s">
        <v>78</v>
      </c>
      <c r="AE21" s="349">
        <f>AE8</f>
        <v>0.5</v>
      </c>
      <c r="AF21" s="350"/>
      <c r="AG21" s="350"/>
      <c r="AH21" s="351"/>
    </row>
    <row r="22" spans="2:37" ht="12.9" customHeight="1" x14ac:dyDescent="0.25">
      <c r="B22" s="34"/>
      <c r="C22" s="53"/>
    </row>
    <row r="23" spans="2:37" ht="12.9" customHeight="1" x14ac:dyDescent="0.25">
      <c r="B23" s="34" t="s">
        <v>48</v>
      </c>
      <c r="C23" s="53" t="s">
        <v>79</v>
      </c>
      <c r="P23" s="34" t="s">
        <v>80</v>
      </c>
      <c r="AE23" s="354">
        <f>'Sheet 1'!H56</f>
        <v>80</v>
      </c>
      <c r="AF23" s="355"/>
      <c r="AG23" s="355"/>
      <c r="AH23" s="356"/>
    </row>
    <row r="24" spans="2:37" ht="12.9" customHeight="1" x14ac:dyDescent="0.25">
      <c r="B24" s="34"/>
      <c r="C24" s="53"/>
      <c r="AE24" s="68"/>
      <c r="AF24" s="68"/>
      <c r="AG24" s="68"/>
      <c r="AH24" s="68"/>
    </row>
    <row r="25" spans="2:37" ht="12.9" customHeight="1" x14ac:dyDescent="0.25">
      <c r="B25" s="34"/>
      <c r="C25" s="32" t="s">
        <v>81</v>
      </c>
      <c r="P25" s="34" t="s">
        <v>82</v>
      </c>
      <c r="AE25" s="354">
        <f>'Sheet 1'!X56</f>
        <v>56</v>
      </c>
      <c r="AF25" s="355"/>
      <c r="AG25" s="355"/>
      <c r="AH25" s="356"/>
    </row>
    <row r="26" spans="2:37" ht="12.9" customHeight="1" x14ac:dyDescent="0.25">
      <c r="B26" s="34"/>
      <c r="C26" s="53"/>
      <c r="L26" s="69"/>
      <c r="O26" s="36"/>
    </row>
    <row r="27" spans="2:37" ht="12.9" customHeight="1" x14ac:dyDescent="0.25">
      <c r="B27" s="34" t="s">
        <v>83</v>
      </c>
      <c r="C27" s="53" t="s">
        <v>84</v>
      </c>
      <c r="L27" s="53"/>
      <c r="O27" s="70"/>
      <c r="P27" s="34" t="s">
        <v>214</v>
      </c>
      <c r="AE27" s="354">
        <v>60</v>
      </c>
      <c r="AF27" s="355"/>
      <c r="AG27" s="355"/>
      <c r="AH27" s="356"/>
    </row>
    <row r="28" spans="2:37" ht="12.9" customHeight="1" x14ac:dyDescent="0.25">
      <c r="B28" s="71"/>
      <c r="C28" s="53"/>
      <c r="L28" s="66"/>
      <c r="O28" s="36"/>
    </row>
    <row r="29" spans="2:37" ht="12.9" customHeight="1" x14ac:dyDescent="0.25">
      <c r="B29" s="72" t="s">
        <v>77</v>
      </c>
      <c r="C29" s="53" t="s">
        <v>85</v>
      </c>
      <c r="O29" s="34"/>
      <c r="Z29" s="53"/>
      <c r="AE29" s="349">
        <v>7.5</v>
      </c>
      <c r="AF29" s="350"/>
      <c r="AG29" s="350"/>
      <c r="AH29" s="351"/>
    </row>
    <row r="30" spans="2:37" ht="12.9" customHeight="1" x14ac:dyDescent="0.25">
      <c r="B30" s="72"/>
      <c r="C30" s="53"/>
      <c r="Z30" s="53"/>
    </row>
    <row r="32" spans="2:37" s="169" customFormat="1" ht="12.9" customHeight="1" x14ac:dyDescent="0.25">
      <c r="B32" s="348">
        <v>4.5999999999999996</v>
      </c>
      <c r="C32" s="348"/>
      <c r="D32" s="52" t="s">
        <v>271</v>
      </c>
      <c r="E32" s="57"/>
      <c r="F32" s="101"/>
      <c r="G32" s="101"/>
      <c r="H32" s="101"/>
      <c r="I32" s="83"/>
      <c r="J32" s="83"/>
      <c r="K32" s="83"/>
      <c r="L32" s="83"/>
      <c r="M32" s="83"/>
      <c r="N32" s="83"/>
      <c r="O32" s="83"/>
      <c r="P32" s="83"/>
      <c r="Q32" s="83"/>
      <c r="R32" s="83"/>
      <c r="S32" s="83"/>
      <c r="T32" s="83"/>
      <c r="U32" s="52" t="s">
        <v>272</v>
      </c>
      <c r="V32" s="69"/>
      <c r="W32" s="69"/>
      <c r="X32" s="57"/>
      <c r="Y32" s="101"/>
      <c r="Z32" s="101"/>
      <c r="AA32" s="101"/>
      <c r="AB32" s="83"/>
      <c r="AC32" s="83"/>
      <c r="AD32" s="83"/>
      <c r="AE32" s="83"/>
      <c r="AF32" s="83"/>
      <c r="AG32" s="83"/>
      <c r="AH32" s="83"/>
      <c r="AI32" s="83"/>
      <c r="AJ32" s="83"/>
      <c r="AK32" s="83"/>
    </row>
    <row r="33" spans="2:45" s="169" customFormat="1" ht="12.9" customHeight="1" x14ac:dyDescent="0.25">
      <c r="B33" s="95"/>
      <c r="C33" s="69"/>
      <c r="D33" s="69"/>
      <c r="E33" s="69"/>
      <c r="F33" s="101"/>
      <c r="G33" s="101"/>
      <c r="H33" s="101"/>
      <c r="I33" s="83"/>
      <c r="J33" s="83"/>
      <c r="K33" s="83"/>
      <c r="L33" s="83"/>
      <c r="M33" s="83"/>
      <c r="N33" s="83"/>
      <c r="O33" s="83"/>
      <c r="P33" s="83"/>
      <c r="Q33" s="83"/>
      <c r="R33" s="83"/>
      <c r="S33" s="83"/>
      <c r="T33" s="83"/>
      <c r="U33" s="95"/>
      <c r="V33" s="69"/>
      <c r="W33" s="69"/>
      <c r="X33" s="69"/>
      <c r="Y33" s="101"/>
      <c r="Z33" s="101"/>
      <c r="AA33" s="101"/>
      <c r="AB33" s="83"/>
      <c r="AC33" s="83"/>
      <c r="AD33" s="83"/>
      <c r="AE33" s="83"/>
      <c r="AF33" s="83"/>
      <c r="AG33" s="83"/>
      <c r="AH33" s="83"/>
      <c r="AI33" s="83"/>
      <c r="AJ33" s="83"/>
      <c r="AK33" s="83"/>
    </row>
    <row r="34" spans="2:45" s="169" customFormat="1" ht="12.9" customHeight="1" x14ac:dyDescent="0.25">
      <c r="C34" s="34" t="s">
        <v>563</v>
      </c>
      <c r="E34" s="69"/>
      <c r="F34" s="101"/>
      <c r="G34" s="101"/>
      <c r="H34" s="101"/>
      <c r="I34" s="83"/>
      <c r="J34" s="83"/>
      <c r="K34" s="83"/>
      <c r="L34" s="83"/>
      <c r="M34" s="83"/>
      <c r="N34" s="83"/>
      <c r="P34" s="251">
        <v>250</v>
      </c>
      <c r="Q34" s="251" t="s">
        <v>604</v>
      </c>
      <c r="R34" s="53"/>
      <c r="S34" s="83"/>
      <c r="T34" s="83"/>
      <c r="U34" s="34" t="s">
        <v>563</v>
      </c>
      <c r="V34" s="83"/>
      <c r="W34" s="53"/>
      <c r="X34" s="69"/>
      <c r="Y34" s="101"/>
      <c r="Z34" s="101"/>
      <c r="AA34" s="101"/>
      <c r="AB34" s="83"/>
      <c r="AC34" s="83"/>
      <c r="AD34" s="83"/>
      <c r="AE34" s="83"/>
      <c r="AF34" s="83"/>
      <c r="AG34" s="83"/>
      <c r="AH34" s="251">
        <v>2260</v>
      </c>
      <c r="AI34" s="251" t="s">
        <v>605</v>
      </c>
      <c r="AJ34" s="251"/>
      <c r="AK34" s="53"/>
    </row>
    <row r="35" spans="2:45" s="169" customFormat="1" ht="12.9" customHeight="1" x14ac:dyDescent="0.25">
      <c r="C35" s="83"/>
      <c r="D35" s="83"/>
      <c r="E35" s="83"/>
      <c r="F35" s="83"/>
      <c r="G35" s="83"/>
      <c r="H35" s="83"/>
      <c r="I35" s="83"/>
      <c r="J35" s="83"/>
      <c r="K35" s="83"/>
      <c r="L35" s="83"/>
      <c r="M35" s="83"/>
      <c r="N35" s="83"/>
      <c r="O35" s="84"/>
      <c r="P35" s="84"/>
      <c r="Q35" s="84"/>
      <c r="R35" s="84"/>
      <c r="S35" s="83"/>
      <c r="T35" s="83"/>
      <c r="V35" s="83"/>
      <c r="W35" s="83"/>
      <c r="X35" s="83"/>
      <c r="Y35" s="83"/>
      <c r="Z35" s="83"/>
      <c r="AA35" s="83"/>
      <c r="AB35" s="83"/>
      <c r="AC35" s="83"/>
      <c r="AD35" s="83"/>
      <c r="AE35" s="83"/>
      <c r="AF35" s="83"/>
      <c r="AG35" s="83"/>
      <c r="AH35" s="84"/>
      <c r="AI35" s="84"/>
      <c r="AJ35" s="84"/>
      <c r="AK35" s="84"/>
    </row>
    <row r="36" spans="2:45" s="169" customFormat="1" ht="12.9" customHeight="1" x14ac:dyDescent="0.25">
      <c r="S36" s="84"/>
    </row>
    <row r="37" spans="2:45" s="169" customFormat="1" ht="12.9" customHeight="1" x14ac:dyDescent="0.25">
      <c r="E37" s="97"/>
      <c r="F37" s="97"/>
      <c r="G37" s="97"/>
      <c r="H37" s="97"/>
      <c r="I37" s="97"/>
      <c r="J37" s="97"/>
      <c r="K37" s="97"/>
      <c r="L37" s="97"/>
      <c r="M37" s="97"/>
      <c r="N37" s="84"/>
      <c r="O37" s="84"/>
      <c r="P37" s="84"/>
      <c r="Q37" s="84"/>
      <c r="R37" s="84"/>
      <c r="S37" s="84"/>
      <c r="U37" s="85"/>
      <c r="V37" s="85"/>
      <c r="W37" s="85"/>
      <c r="X37" s="86"/>
      <c r="Y37" s="98"/>
      <c r="Z37" s="97"/>
      <c r="AA37" s="98"/>
      <c r="AB37" s="98"/>
      <c r="AC37" s="98"/>
      <c r="AD37" s="98"/>
      <c r="AE37" s="98"/>
      <c r="AF37" s="98"/>
      <c r="AG37" s="98"/>
      <c r="AH37" s="36" t="s">
        <v>273</v>
      </c>
      <c r="AJ37" s="84"/>
      <c r="AK37" s="84"/>
    </row>
    <row r="38" spans="2:45" s="169" customFormat="1" ht="12.9" customHeight="1" thickBot="1" x14ac:dyDescent="0.3">
      <c r="D38" s="178"/>
      <c r="F38" s="357">
        <v>32</v>
      </c>
      <c r="G38" s="357"/>
      <c r="H38" s="357"/>
      <c r="I38" s="357"/>
      <c r="J38" s="357"/>
      <c r="K38" s="178"/>
      <c r="L38" s="178"/>
      <c r="M38" s="178"/>
      <c r="S38" s="84"/>
      <c r="U38" s="177"/>
      <c r="AH38" s="85"/>
      <c r="AI38" s="85"/>
      <c r="AR38" s="169">
        <v>530</v>
      </c>
    </row>
    <row r="39" spans="2:45" s="169" customFormat="1" ht="12.9" customHeight="1" x14ac:dyDescent="0.25">
      <c r="D39" s="178"/>
      <c r="F39" s="360" t="s">
        <v>602</v>
      </c>
      <c r="G39" s="361"/>
      <c r="H39" s="361"/>
      <c r="I39" s="361"/>
      <c r="J39" s="362"/>
      <c r="K39" s="374">
        <v>80</v>
      </c>
      <c r="L39" s="178"/>
      <c r="M39" s="178"/>
      <c r="V39" s="210"/>
      <c r="W39" s="181"/>
      <c r="X39" s="182"/>
      <c r="Y39" s="182"/>
      <c r="Z39" s="182"/>
      <c r="AA39" s="182"/>
      <c r="AB39" s="182"/>
      <c r="AC39" s="182"/>
      <c r="AD39" s="182"/>
      <c r="AE39" s="182"/>
      <c r="AF39" s="183"/>
      <c r="AG39" s="178"/>
      <c r="AH39" s="177"/>
      <c r="AR39" s="169">
        <f>195*2</f>
        <v>390</v>
      </c>
    </row>
    <row r="40" spans="2:45" s="169" customFormat="1" ht="12.9" customHeight="1" x14ac:dyDescent="0.25">
      <c r="D40" s="178"/>
      <c r="E40" s="30"/>
      <c r="F40" s="363"/>
      <c r="G40" s="364"/>
      <c r="H40" s="364"/>
      <c r="I40" s="364"/>
      <c r="J40" s="365"/>
      <c r="K40" s="374"/>
      <c r="L40" s="178"/>
      <c r="M40" s="178"/>
      <c r="V40" s="210"/>
      <c r="W40" s="184"/>
      <c r="X40" s="185"/>
      <c r="Y40" s="185"/>
      <c r="Z40" s="185"/>
      <c r="AA40" s="369">
        <v>150</v>
      </c>
      <c r="AB40" s="369"/>
      <c r="AC40" s="185"/>
      <c r="AD40" s="185"/>
      <c r="AE40" s="352">
        <v>130</v>
      </c>
      <c r="AF40" s="186"/>
      <c r="AG40" s="178"/>
      <c r="AH40" s="178"/>
      <c r="AI40" s="178"/>
      <c r="AR40" s="169">
        <v>195</v>
      </c>
    </row>
    <row r="41" spans="2:45" s="169" customFormat="1" ht="12.9" customHeight="1" x14ac:dyDescent="0.25">
      <c r="D41" s="178"/>
      <c r="E41" s="30"/>
      <c r="F41" s="363"/>
      <c r="G41" s="364"/>
      <c r="H41" s="364"/>
      <c r="I41" s="364"/>
      <c r="J41" s="365"/>
      <c r="K41" s="374"/>
      <c r="L41" s="178"/>
      <c r="M41" s="178"/>
      <c r="V41" s="353">
        <v>269</v>
      </c>
      <c r="W41" s="184"/>
      <c r="X41" s="352">
        <v>269</v>
      </c>
      <c r="Y41" s="185"/>
      <c r="Z41" s="185"/>
      <c r="AA41" s="185"/>
      <c r="AB41" s="185"/>
      <c r="AC41" s="185"/>
      <c r="AD41" s="185"/>
      <c r="AE41" s="352"/>
      <c r="AF41" s="186"/>
      <c r="AG41" s="178"/>
      <c r="AH41" s="178"/>
      <c r="AI41" s="178"/>
      <c r="AR41" s="169">
        <v>385</v>
      </c>
    </row>
    <row r="42" spans="2:45" s="169" customFormat="1" ht="12.9" customHeight="1" x14ac:dyDescent="0.25">
      <c r="E42" s="30"/>
      <c r="F42" s="363"/>
      <c r="G42" s="364"/>
      <c r="H42" s="364"/>
      <c r="I42" s="364"/>
      <c r="J42" s="365"/>
      <c r="K42" s="374"/>
      <c r="L42" s="178"/>
      <c r="M42" s="178"/>
      <c r="V42" s="353"/>
      <c r="W42" s="184"/>
      <c r="X42" s="352"/>
      <c r="Y42" s="185"/>
      <c r="Z42" s="185"/>
      <c r="AA42" s="369">
        <v>150</v>
      </c>
      <c r="AB42" s="369"/>
      <c r="AC42" s="185"/>
      <c r="AD42" s="185"/>
      <c r="AE42" s="185"/>
      <c r="AF42" s="186"/>
      <c r="AG42" s="178"/>
      <c r="AH42" s="178"/>
      <c r="AI42" s="178"/>
      <c r="AR42" s="169">
        <v>120</v>
      </c>
    </row>
    <row r="43" spans="2:45" s="169" customFormat="1" ht="12.9" customHeight="1" x14ac:dyDescent="0.25">
      <c r="E43" s="30"/>
      <c r="F43" s="363"/>
      <c r="G43" s="364"/>
      <c r="H43" s="364"/>
      <c r="I43" s="364"/>
      <c r="J43" s="365"/>
      <c r="K43" s="374"/>
      <c r="V43" s="210"/>
      <c r="W43" s="184"/>
      <c r="X43" s="185"/>
      <c r="Y43" s="185"/>
      <c r="Z43" s="185"/>
      <c r="AA43" s="185"/>
      <c r="AB43" s="352">
        <v>195</v>
      </c>
      <c r="AC43" s="185"/>
      <c r="AD43" s="185"/>
      <c r="AE43" s="185"/>
      <c r="AF43" s="186"/>
      <c r="AG43" s="178"/>
      <c r="AH43" s="178"/>
      <c r="AI43" s="178"/>
      <c r="AR43" s="169">
        <v>120</v>
      </c>
    </row>
    <row r="44" spans="2:45" s="169" customFormat="1" ht="12.9" customHeight="1" x14ac:dyDescent="0.25">
      <c r="C44" s="30"/>
      <c r="D44" s="30"/>
      <c r="E44" s="30"/>
      <c r="F44" s="363"/>
      <c r="G44" s="364"/>
      <c r="H44" s="364"/>
      <c r="I44" s="364"/>
      <c r="J44" s="365"/>
      <c r="K44" s="374"/>
      <c r="L44" s="30"/>
      <c r="M44" s="30"/>
      <c r="N44" s="30"/>
      <c r="V44" s="210"/>
      <c r="W44" s="184"/>
      <c r="X44" s="185"/>
      <c r="Y44" s="185"/>
      <c r="Z44" s="185"/>
      <c r="AA44" s="185"/>
      <c r="AB44" s="352"/>
      <c r="AC44" s="185"/>
      <c r="AD44" s="185"/>
      <c r="AE44" s="185"/>
      <c r="AF44" s="186"/>
      <c r="AR44" s="169">
        <v>175</v>
      </c>
    </row>
    <row r="45" spans="2:45" ht="12.9" customHeight="1" thickBot="1" x14ac:dyDescent="0.3">
      <c r="F45" s="363"/>
      <c r="G45" s="364"/>
      <c r="H45" s="364"/>
      <c r="I45" s="364"/>
      <c r="J45" s="365"/>
      <c r="K45" s="374"/>
      <c r="V45" s="210"/>
      <c r="W45" s="371" t="s">
        <v>603</v>
      </c>
      <c r="X45" s="372"/>
      <c r="Y45" s="372"/>
      <c r="Z45" s="372"/>
      <c r="AA45" s="372"/>
      <c r="AB45" s="372"/>
      <c r="AC45" s="372"/>
      <c r="AD45" s="372"/>
      <c r="AE45" s="372"/>
      <c r="AF45" s="373"/>
      <c r="AJ45" s="169"/>
      <c r="AR45" s="30">
        <v>170</v>
      </c>
      <c r="AS45" s="169"/>
    </row>
    <row r="46" spans="2:45" ht="12.9" customHeight="1" x14ac:dyDescent="0.25">
      <c r="F46" s="363"/>
      <c r="G46" s="364"/>
      <c r="H46" s="364"/>
      <c r="I46" s="364"/>
      <c r="J46" s="365"/>
      <c r="K46" s="374"/>
      <c r="W46" s="370">
        <v>296</v>
      </c>
      <c r="X46" s="370"/>
      <c r="Y46" s="370"/>
      <c r="Z46" s="370"/>
      <c r="AA46" s="370"/>
      <c r="AB46" s="370"/>
      <c r="AC46" s="370"/>
      <c r="AD46" s="370"/>
      <c r="AE46" s="370"/>
      <c r="AF46" s="370"/>
      <c r="AG46" s="359" t="s">
        <v>349</v>
      </c>
      <c r="AH46" s="359"/>
      <c r="AJ46" s="169"/>
      <c r="AR46" s="30">
        <v>175</v>
      </c>
      <c r="AS46" s="169"/>
    </row>
    <row r="47" spans="2:45" ht="12.9" customHeight="1" x14ac:dyDescent="0.25">
      <c r="F47" s="363"/>
      <c r="G47" s="364"/>
      <c r="H47" s="364"/>
      <c r="I47" s="364"/>
      <c r="J47" s="365"/>
      <c r="K47" s="374"/>
      <c r="AS47" s="169"/>
    </row>
    <row r="48" spans="2:45" ht="12.9" customHeight="1" thickBot="1" x14ac:dyDescent="0.3">
      <c r="E48" s="53"/>
      <c r="F48" s="366"/>
      <c r="G48" s="367"/>
      <c r="H48" s="367"/>
      <c r="I48" s="367"/>
      <c r="J48" s="368"/>
      <c r="K48" s="374"/>
    </row>
    <row r="49" spans="1:37" ht="12.9" customHeight="1" x14ac:dyDescent="0.25">
      <c r="K49" s="359" t="s">
        <v>349</v>
      </c>
      <c r="L49" s="359"/>
    </row>
    <row r="53" spans="1:37" ht="12.9" customHeight="1" x14ac:dyDescent="0.25">
      <c r="B53" s="34"/>
      <c r="L53" s="66"/>
    </row>
    <row r="56" spans="1:37" ht="12.9" customHeight="1" x14ac:dyDescent="0.25">
      <c r="C56" s="359" t="s">
        <v>348</v>
      </c>
      <c r="D56" s="359"/>
      <c r="E56" s="359"/>
      <c r="F56" s="359"/>
      <c r="G56" s="359"/>
      <c r="H56" s="359"/>
      <c r="I56" s="359"/>
      <c r="J56" s="359"/>
      <c r="K56" s="359"/>
      <c r="L56" s="359"/>
      <c r="M56" s="359"/>
      <c r="N56" s="359"/>
      <c r="V56" s="359" t="s">
        <v>350</v>
      </c>
      <c r="W56" s="359"/>
      <c r="X56" s="359"/>
      <c r="Y56" s="359"/>
      <c r="Z56" s="359"/>
      <c r="AA56" s="359"/>
      <c r="AB56" s="359"/>
      <c r="AC56" s="359"/>
      <c r="AD56" s="359"/>
      <c r="AE56" s="359"/>
      <c r="AF56" s="359"/>
      <c r="AG56" s="359"/>
    </row>
    <row r="57" spans="1:37" ht="12.9" customHeight="1" x14ac:dyDescent="0.25">
      <c r="C57" s="359" t="s">
        <v>347</v>
      </c>
      <c r="D57" s="359"/>
      <c r="E57" s="359"/>
      <c r="F57" s="359"/>
      <c r="G57" s="359"/>
      <c r="H57" s="359"/>
      <c r="I57" s="359"/>
      <c r="J57" s="359"/>
      <c r="K57" s="359"/>
      <c r="L57" s="359"/>
      <c r="M57" s="359"/>
      <c r="N57" s="359"/>
      <c r="V57" s="359" t="s">
        <v>347</v>
      </c>
      <c r="W57" s="359"/>
      <c r="X57" s="359"/>
      <c r="Y57" s="359"/>
      <c r="Z57" s="359"/>
      <c r="AA57" s="359"/>
      <c r="AB57" s="359"/>
      <c r="AC57" s="359"/>
      <c r="AD57" s="359"/>
      <c r="AE57" s="359"/>
      <c r="AF57" s="359"/>
      <c r="AG57" s="359"/>
    </row>
    <row r="59" spans="1:37" s="2" customFormat="1" ht="15.6" x14ac:dyDescent="0.3">
      <c r="A59" s="158"/>
      <c r="B59" s="158"/>
      <c r="C59" s="158"/>
      <c r="D59" s="158"/>
      <c r="E59" s="22"/>
      <c r="F59" s="22"/>
      <c r="G59" s="22"/>
      <c r="H59" s="22"/>
      <c r="I59" s="22"/>
      <c r="J59" s="159"/>
      <c r="K59" s="159"/>
      <c r="L59" s="159"/>
      <c r="M59" s="159"/>
      <c r="N59" s="159"/>
      <c r="O59" s="159"/>
      <c r="P59" s="159"/>
      <c r="Q59" s="159"/>
      <c r="R59" s="332"/>
      <c r="S59" s="332"/>
      <c r="T59" s="332"/>
      <c r="U59" s="332"/>
      <c r="V59" s="332"/>
      <c r="W59" s="332"/>
      <c r="X59" s="332"/>
      <c r="Y59" s="332"/>
      <c r="Z59" s="332"/>
      <c r="AA59" s="332"/>
      <c r="AB59" s="341" t="s">
        <v>2</v>
      </c>
      <c r="AC59" s="341"/>
      <c r="AD59" s="341">
        <v>5</v>
      </c>
      <c r="AE59" s="341"/>
      <c r="AF59" s="341" t="s">
        <v>177</v>
      </c>
      <c r="AG59" s="341"/>
      <c r="AH59" s="341">
        <v>9</v>
      </c>
      <c r="AI59" s="341"/>
      <c r="AJ59" s="332"/>
      <c r="AK59" s="332"/>
    </row>
    <row r="60" spans="1:37" s="2" customFormat="1" ht="15.75" customHeight="1" x14ac:dyDescent="0.3">
      <c r="A60" s="340"/>
      <c r="B60" s="340"/>
      <c r="C60" s="340"/>
      <c r="D60" s="340"/>
      <c r="E60" s="340"/>
      <c r="F60" s="23"/>
      <c r="G60" s="23"/>
      <c r="H60" s="23"/>
      <c r="I60" s="23"/>
      <c r="J60" s="23"/>
      <c r="K60" s="23"/>
    </row>
  </sheetData>
  <sheetProtection formatCells="0" formatColumns="0" formatRows="0"/>
  <protectedRanges>
    <protectedRange sqref="AE8:AF13 AE3:AH7 L26:L28 A61:AK1676 AE25:AH26 AE21:AF24 Q21:AD26 O21:O22 P21:P25 O26:P26 C14 B4 A3:D3 B5:C10 A5:A15 A18:C26 A16:C16 F26 M27:AK29 A27:K31 W45:AF45 B32:C32 L30:AK31 E40:E48 A45:B58 K44:N48 V56:AG58 E49:N49 O3:O13 T3:AD13 P3:S12 Q13:S13 B17:C17 E3:E26 D4:D26 AG8:AH24 F3:F23 G3:K26 AI3:AK26 M3:N26 L3:L22 B12:C13 V45:V47 V50:AG53 W47:AF47 AG45:AG47 O45:U58 J53:N55 C55:I55 C56:N58 AK50:AK58 AK45:AK46 AH45:AI58 AJ49:AJ58" name="Range2"/>
    <protectedRange sqref="A60:AK60 A59:AG59 AJ59:AK59" name="Range2_1"/>
    <protectedRange sqref="W46:AF46 AG39 E38:E39 O41:V44 L43:N43 AH41:AI44 AG42:AG44 W42:Z42 I39:J48 L41:M42 C40:C41 K42:K43 D43:E44 A41:B44 G38:K38 W43:AA43 AC43:AF43 AB44 AE41 AB40 AB42:AF42 AK41:AK44" name="Range2_2"/>
    <protectedRange sqref="O40:T40 Z35:AG35 AH39 G35:N35 H43:H48 S39 U38 AG40:AI40 AA41:AD41 A33 A35:A40 K41 L40:M40 AF41 AK40" name="Range2_1_1"/>
    <protectedRange sqref="F38 B33:D33 S32:S38 R34:R38 D32 U32:AK33 AH35:AJ35 AK34:AK38 O35:Q37 D36:N36 E37:N37 W34:AJ34 E32:R33 E34:N34 P34:Q34 U36:AG37 AJ36:AJ37 AH36:AI38" name="Range2_9"/>
    <protectedRange sqref="A34" name="Range2_2_1"/>
    <protectedRange sqref="AH59:AI59" name="Range2_4"/>
  </protectedRanges>
  <mergeCells count="47">
    <mergeCell ref="C57:N57"/>
    <mergeCell ref="C56:N56"/>
    <mergeCell ref="F39:J48"/>
    <mergeCell ref="AG46:AH46"/>
    <mergeCell ref="K49:L49"/>
    <mergeCell ref="AB43:AB44"/>
    <mergeCell ref="AE40:AE41"/>
    <mergeCell ref="AA40:AB40"/>
    <mergeCell ref="AA42:AB42"/>
    <mergeCell ref="V56:AG56"/>
    <mergeCell ref="V57:AG57"/>
    <mergeCell ref="W46:AF46"/>
    <mergeCell ref="W45:AF45"/>
    <mergeCell ref="K39:K48"/>
    <mergeCell ref="A1:K1"/>
    <mergeCell ref="AE11:AH11"/>
    <mergeCell ref="AE12:AH12"/>
    <mergeCell ref="AE13:AH13"/>
    <mergeCell ref="A2:Q2"/>
    <mergeCell ref="B4:C4"/>
    <mergeCell ref="AE6:AH6"/>
    <mergeCell ref="AE7:AH7"/>
    <mergeCell ref="AE8:AH8"/>
    <mergeCell ref="AE9:AH9"/>
    <mergeCell ref="B32:C32"/>
    <mergeCell ref="AE10:AH10"/>
    <mergeCell ref="X41:X42"/>
    <mergeCell ref="V41:V42"/>
    <mergeCell ref="B17:C17"/>
    <mergeCell ref="AE19:AH19"/>
    <mergeCell ref="AE21:AH21"/>
    <mergeCell ref="AE23:AH23"/>
    <mergeCell ref="AE25:AH25"/>
    <mergeCell ref="AE27:AH27"/>
    <mergeCell ref="AE29:AH29"/>
    <mergeCell ref="F38:J38"/>
    <mergeCell ref="AJ59:AK59"/>
    <mergeCell ref="A60:E60"/>
    <mergeCell ref="T59:U59"/>
    <mergeCell ref="V59:W59"/>
    <mergeCell ref="X59:Y59"/>
    <mergeCell ref="Z59:AA59"/>
    <mergeCell ref="AB59:AC59"/>
    <mergeCell ref="AD59:AE59"/>
    <mergeCell ref="R59:S59"/>
    <mergeCell ref="AF59:AG59"/>
    <mergeCell ref="AH59:AI59"/>
  </mergeCells>
  <hyperlinks>
    <hyperlink ref="AM1" r:id="rId1" xr:uid="{C92B71BE-579B-408F-9FFA-70A363354242}"/>
  </hyperlinks>
  <pageMargins left="0.25" right="0.25" top="0.75" bottom="0.75" header="0.3" footer="0.3"/>
  <pageSetup paperSize="9" scale="86" orientation="portrait" r:id="rId2"/>
  <headerFooter alignWithMargins="0">
    <oddHeader xml:space="preserve">&amp;R
</oddHeader>
  </headerFooter>
  <colBreaks count="2" manualBreakCount="2">
    <brk id="38" max="60" man="1"/>
    <brk id="39" max="60" man="1"/>
  </colBreaks>
  <drawing r:id="rId3"/>
  <legacyDrawingHF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00B050"/>
  </sheetPr>
  <dimension ref="A1:AN61"/>
  <sheetViews>
    <sheetView zoomScale="145" zoomScaleNormal="145" zoomScaleSheetLayoutView="160" workbookViewId="0">
      <selection activeCell="AA1" sqref="AA1"/>
    </sheetView>
  </sheetViews>
  <sheetFormatPr defaultColWidth="2.5546875" defaultRowHeight="12.9" customHeight="1" x14ac:dyDescent="0.25"/>
  <cols>
    <col min="1" max="36" width="2.5546875" style="30" customWidth="1"/>
    <col min="37" max="37" width="2.44140625" style="30" customWidth="1"/>
    <col min="38" max="16384" width="2.5546875" style="30"/>
  </cols>
  <sheetData>
    <row r="1" spans="1:32" s="1" customFormat="1" ht="15" customHeight="1" thickTop="1" x14ac:dyDescent="0.25">
      <c r="A1" s="313"/>
      <c r="B1" s="313"/>
      <c r="C1" s="313"/>
      <c r="D1" s="313"/>
      <c r="E1" s="313"/>
      <c r="F1" s="313"/>
      <c r="G1" s="313"/>
      <c r="H1" s="313"/>
      <c r="I1" s="313"/>
      <c r="J1" s="313"/>
      <c r="K1" s="313"/>
      <c r="AF1" s="259" t="s">
        <v>607</v>
      </c>
    </row>
    <row r="2" spans="1:32" s="1" customFormat="1" ht="15" customHeight="1" x14ac:dyDescent="0.25">
      <c r="A2" s="313" t="s">
        <v>22</v>
      </c>
      <c r="B2" s="313"/>
      <c r="C2" s="313"/>
      <c r="D2" s="313"/>
      <c r="E2" s="313"/>
      <c r="F2" s="313"/>
      <c r="G2" s="313"/>
      <c r="H2" s="313"/>
      <c r="I2" s="313"/>
      <c r="J2" s="313"/>
      <c r="K2" s="313"/>
      <c r="L2" s="313"/>
      <c r="M2" s="313"/>
      <c r="N2" s="313"/>
      <c r="O2" s="313"/>
      <c r="P2" s="313"/>
      <c r="Q2" s="313"/>
      <c r="AF2" s="255" t="s">
        <v>608</v>
      </c>
    </row>
    <row r="4" spans="1:32" ht="12.9" customHeight="1" x14ac:dyDescent="0.25">
      <c r="B4" s="136">
        <v>5</v>
      </c>
      <c r="C4" s="52" t="s">
        <v>293</v>
      </c>
    </row>
    <row r="6" spans="1:32" ht="12.9" customHeight="1" x14ac:dyDescent="0.25">
      <c r="B6" s="73" t="s">
        <v>95</v>
      </c>
      <c r="C6" s="52" t="s">
        <v>267</v>
      </c>
      <c r="D6" s="53"/>
      <c r="E6" s="53"/>
      <c r="F6" s="53"/>
      <c r="G6" s="53"/>
      <c r="H6" s="53"/>
      <c r="I6" s="53"/>
      <c r="J6" s="53"/>
    </row>
    <row r="7" spans="1:32" ht="12.9" customHeight="1" x14ac:dyDescent="0.25">
      <c r="B7" s="53"/>
      <c r="C7" s="53"/>
      <c r="D7" s="53"/>
      <c r="E7" s="53"/>
      <c r="F7" s="53"/>
      <c r="G7" s="53"/>
      <c r="H7" s="53"/>
      <c r="I7" s="53"/>
      <c r="J7" s="53"/>
    </row>
    <row r="8" spans="1:32" ht="12.9" customHeight="1" x14ac:dyDescent="0.25">
      <c r="C8" s="34" t="s">
        <v>280</v>
      </c>
      <c r="D8" s="66"/>
      <c r="E8" s="66"/>
      <c r="F8" s="69"/>
      <c r="G8" s="69"/>
      <c r="H8" s="69"/>
      <c r="I8" s="69"/>
      <c r="J8" s="69"/>
    </row>
    <row r="9" spans="1:32" ht="12.9" customHeight="1" x14ac:dyDescent="0.25">
      <c r="B9" s="53"/>
      <c r="C9" s="53" t="s">
        <v>216</v>
      </c>
      <c r="D9" s="66"/>
      <c r="E9" s="69"/>
      <c r="F9" s="69"/>
      <c r="G9" s="69"/>
      <c r="H9" s="69"/>
      <c r="I9" s="69"/>
      <c r="J9" s="69"/>
    </row>
    <row r="10" spans="1:32" ht="12.9" customHeight="1" x14ac:dyDescent="0.25">
      <c r="B10" s="53"/>
      <c r="C10" s="53" t="s">
        <v>104</v>
      </c>
      <c r="D10" s="53"/>
      <c r="E10" s="53"/>
      <c r="F10" s="53"/>
      <c r="G10" s="53"/>
      <c r="H10" s="53"/>
      <c r="I10" s="53"/>
      <c r="J10" s="53"/>
    </row>
    <row r="11" spans="1:32" ht="12.9" customHeight="1" x14ac:dyDescent="0.25">
      <c r="B11" s="53"/>
      <c r="D11" s="64" t="s">
        <v>47</v>
      </c>
      <c r="E11" s="57" t="s">
        <v>48</v>
      </c>
      <c r="F11" s="53" t="s">
        <v>49</v>
      </c>
      <c r="G11" s="378" t="s">
        <v>50</v>
      </c>
      <c r="H11" s="378"/>
      <c r="I11" s="69"/>
      <c r="J11" s="69"/>
    </row>
    <row r="12" spans="1:32" ht="12.9" customHeight="1" x14ac:dyDescent="0.25">
      <c r="B12" s="53"/>
      <c r="C12"/>
      <c r="D12" s="87"/>
      <c r="E12" s="87"/>
      <c r="F12" s="87"/>
      <c r="G12" s="87"/>
      <c r="H12" s="69"/>
      <c r="I12" s="69"/>
      <c r="J12" s="69"/>
    </row>
    <row r="13" spans="1:32" ht="12.9" customHeight="1" x14ac:dyDescent="0.25">
      <c r="B13" s="53"/>
      <c r="C13" s="57" t="s">
        <v>105</v>
      </c>
      <c r="D13" s="375">
        <f>'Sheet 2'!AE23</f>
        <v>80</v>
      </c>
      <c r="E13" s="375"/>
      <c r="F13" s="375"/>
      <c r="G13" s="87"/>
      <c r="H13" s="53" t="s">
        <v>215</v>
      </c>
      <c r="I13" s="69"/>
      <c r="J13" s="69"/>
    </row>
    <row r="14" spans="1:32" ht="12.9" customHeight="1" x14ac:dyDescent="0.25">
      <c r="B14" s="53"/>
      <c r="C14" s="88"/>
      <c r="D14" s="87"/>
      <c r="E14" s="87"/>
      <c r="F14" s="87"/>
      <c r="G14" s="87"/>
      <c r="H14" s="69"/>
      <c r="I14" s="69"/>
      <c r="J14" s="69"/>
    </row>
    <row r="15" spans="1:32" ht="12.9" customHeight="1" x14ac:dyDescent="0.25">
      <c r="B15" s="53"/>
      <c r="C15" s="64" t="s">
        <v>106</v>
      </c>
      <c r="D15" s="57" t="s">
        <v>107</v>
      </c>
      <c r="E15" s="87" t="s">
        <v>49</v>
      </c>
      <c r="F15" s="62" t="s">
        <v>108</v>
      </c>
      <c r="G15" s="87"/>
      <c r="H15" s="89" t="s">
        <v>42</v>
      </c>
      <c r="I15" s="90" t="s">
        <v>217</v>
      </c>
      <c r="J15" s="54"/>
      <c r="K15" s="54"/>
      <c r="L15" s="54"/>
      <c r="M15" s="62" t="s">
        <v>218</v>
      </c>
      <c r="N15" s="54"/>
    </row>
    <row r="16" spans="1:32" ht="12.9" customHeight="1" x14ac:dyDescent="0.25">
      <c r="B16" s="53"/>
      <c r="C16" s="88"/>
      <c r="D16" s="57"/>
      <c r="E16" s="87"/>
      <c r="F16" s="87"/>
      <c r="G16" s="87"/>
      <c r="H16" s="54"/>
      <c r="I16" s="54"/>
      <c r="J16" s="379">
        <v>80</v>
      </c>
      <c r="K16" s="379"/>
      <c r="L16" s="32"/>
      <c r="M16" s="32"/>
      <c r="N16" s="32"/>
    </row>
    <row r="17" spans="1:40" ht="12.9" customHeight="1" x14ac:dyDescent="0.25">
      <c r="B17" s="53"/>
      <c r="C17" s="57" t="s">
        <v>42</v>
      </c>
      <c r="D17" s="375">
        <f>'Sheet 2'!AE19*1000*SQRT('Sheet 2'!AE8)/D13</f>
        <v>574.5242597140699</v>
      </c>
      <c r="E17" s="375"/>
      <c r="F17" s="375"/>
      <c r="G17" s="91"/>
      <c r="H17" s="69"/>
      <c r="I17" s="69"/>
      <c r="J17" s="69"/>
    </row>
    <row r="18" spans="1:40" ht="12.9" customHeight="1" x14ac:dyDescent="0.25">
      <c r="B18" s="53"/>
      <c r="C18" s="53" t="s">
        <v>109</v>
      </c>
      <c r="D18"/>
      <c r="F18" s="69"/>
      <c r="G18" s="69"/>
      <c r="H18"/>
      <c r="O18" s="375">
        <f>ROUNDUP(D17,0)</f>
        <v>575</v>
      </c>
      <c r="P18" s="375"/>
      <c r="Q18" s="375"/>
      <c r="S18" s="54" t="s">
        <v>110</v>
      </c>
    </row>
    <row r="19" spans="1:40" ht="12.9" customHeight="1" x14ac:dyDescent="0.25">
      <c r="B19" s="53"/>
      <c r="C19" s="66"/>
      <c r="D19" s="66"/>
      <c r="E19" s="69"/>
      <c r="F19" s="69"/>
      <c r="G19" s="69"/>
      <c r="H19" s="69"/>
      <c r="I19" s="69"/>
      <c r="J19" s="69"/>
    </row>
    <row r="20" spans="1:40" ht="12.9" customHeight="1" x14ac:dyDescent="0.25">
      <c r="B20" s="34"/>
      <c r="C20" s="34" t="s">
        <v>219</v>
      </c>
      <c r="D20" s="66"/>
      <c r="E20"/>
      <c r="I20"/>
      <c r="J20"/>
      <c r="O20" s="375">
        <f>O18*(100+'Sheet 2'!AE13)/100</f>
        <v>747.5</v>
      </c>
      <c r="P20" s="375"/>
      <c r="Q20" s="375"/>
      <c r="S20" s="53" t="s">
        <v>110</v>
      </c>
    </row>
    <row r="21" spans="1:40" ht="12.9" customHeight="1" x14ac:dyDescent="0.25">
      <c r="B21" s="53"/>
      <c r="C21" s="34"/>
      <c r="D21" s="66"/>
      <c r="E21"/>
      <c r="I21"/>
      <c r="J21"/>
      <c r="O21" s="53"/>
      <c r="Q21"/>
      <c r="S21" s="53"/>
    </row>
    <row r="22" spans="1:40" ht="12.9" customHeight="1" x14ac:dyDescent="0.25">
      <c r="B22" s="53"/>
      <c r="C22" s="53" t="s">
        <v>223</v>
      </c>
      <c r="D22" s="66"/>
      <c r="E22"/>
      <c r="I22"/>
      <c r="J22"/>
      <c r="O22" s="375">
        <v>750</v>
      </c>
      <c r="P22" s="375"/>
      <c r="Q22" s="375"/>
      <c r="S22" s="53" t="s">
        <v>110</v>
      </c>
      <c r="V22" s="53"/>
    </row>
    <row r="23" spans="1:40" ht="12.9" customHeight="1" x14ac:dyDescent="0.25">
      <c r="B23" s="53"/>
      <c r="C23" s="34"/>
      <c r="D23" s="66"/>
      <c r="E23"/>
      <c r="I23"/>
      <c r="J23"/>
      <c r="O23" s="53"/>
      <c r="Q23"/>
      <c r="S23" s="53"/>
    </row>
    <row r="24" spans="1:40" ht="12.9" customHeight="1" x14ac:dyDescent="0.25">
      <c r="B24" s="53"/>
      <c r="C24" s="66"/>
      <c r="D24" s="66"/>
      <c r="E24"/>
      <c r="I24"/>
      <c r="J24"/>
      <c r="O24" s="375" t="s">
        <v>111</v>
      </c>
      <c r="P24" s="375"/>
      <c r="Q24" s="375"/>
      <c r="S24" s="53" t="s">
        <v>112</v>
      </c>
      <c r="V24" s="34"/>
    </row>
    <row r="25" spans="1:40" ht="12.9" customHeight="1" x14ac:dyDescent="0.25">
      <c r="B25" s="53"/>
      <c r="C25" s="34"/>
      <c r="D25" s="66"/>
      <c r="E25"/>
      <c r="F25"/>
      <c r="G25"/>
      <c r="H25"/>
      <c r="I25"/>
    </row>
    <row r="26" spans="1:40" ht="12.9" customHeight="1" x14ac:dyDescent="0.25">
      <c r="B26" s="66"/>
      <c r="C26" s="34" t="s">
        <v>113</v>
      </c>
      <c r="D26" s="66"/>
      <c r="E26" s="66"/>
      <c r="F26" s="66"/>
      <c r="G26" s="66"/>
      <c r="H26" s="66"/>
      <c r="I26" s="66"/>
      <c r="J26"/>
    </row>
    <row r="27" spans="1:40" ht="12.9" customHeight="1" x14ac:dyDescent="0.25">
      <c r="B27" s="57"/>
      <c r="C27" s="53"/>
      <c r="D27" s="66"/>
      <c r="E27" s="66"/>
      <c r="F27" s="66"/>
      <c r="O27" s="66"/>
      <c r="P27" s="377"/>
      <c r="Q27" s="377"/>
      <c r="R27" s="377"/>
      <c r="S27" s="53"/>
    </row>
    <row r="28" spans="1:40" ht="12.9" customHeight="1" x14ac:dyDescent="0.25">
      <c r="A28" s="73"/>
      <c r="B28" s="73" t="s">
        <v>269</v>
      </c>
      <c r="C28" s="52" t="s">
        <v>114</v>
      </c>
      <c r="D28" s="53"/>
      <c r="E28" s="53"/>
      <c r="F28" s="53"/>
      <c r="G28" s="53"/>
      <c r="H28" s="53"/>
      <c r="I28" s="53"/>
      <c r="J28" s="53"/>
      <c r="K28" s="53"/>
    </row>
    <row r="29" spans="1:40" ht="12.9" customHeight="1" x14ac:dyDescent="0.25">
      <c r="C29" s="53"/>
      <c r="D29" s="53" t="s">
        <v>281</v>
      </c>
      <c r="E29" s="53"/>
      <c r="F29" s="53"/>
      <c r="G29" s="53"/>
      <c r="H29" s="53"/>
      <c r="I29" s="53"/>
      <c r="J29" s="53"/>
      <c r="K29" s="53"/>
    </row>
    <row r="30" spans="1:40" ht="12.9" customHeight="1" x14ac:dyDescent="0.25">
      <c r="C30" s="53"/>
      <c r="D30" s="53" t="s">
        <v>562</v>
      </c>
      <c r="E30" s="53"/>
      <c r="F30" s="53"/>
      <c r="G30" s="53"/>
      <c r="H30" s="53"/>
      <c r="I30" s="53"/>
      <c r="J30" s="53"/>
      <c r="K30" s="53"/>
      <c r="AN30" s="53"/>
    </row>
    <row r="31" spans="1:40" ht="12.9" customHeight="1" x14ac:dyDescent="0.25">
      <c r="C31" s="53"/>
      <c r="D31" s="53" t="s">
        <v>561</v>
      </c>
      <c r="E31" s="53"/>
      <c r="F31" s="53"/>
      <c r="G31" s="53"/>
      <c r="H31" s="53"/>
      <c r="I31" s="53"/>
      <c r="J31" s="53"/>
      <c r="K31" s="53"/>
      <c r="AN31" s="53"/>
    </row>
    <row r="32" spans="1:40" ht="12.9" customHeight="1" x14ac:dyDescent="0.25">
      <c r="C32" s="53"/>
      <c r="D32" s="53" t="s">
        <v>555</v>
      </c>
      <c r="E32" s="53"/>
      <c r="F32" s="53"/>
      <c r="G32" s="53"/>
      <c r="H32" s="53"/>
      <c r="I32" s="53"/>
      <c r="J32" s="53"/>
      <c r="K32" s="53"/>
      <c r="L32" s="53"/>
      <c r="M32" s="53"/>
    </row>
    <row r="34" spans="3:22" ht="12.9" customHeight="1" x14ac:dyDescent="0.25">
      <c r="C34" s="53"/>
      <c r="D34" s="53" t="s">
        <v>556</v>
      </c>
      <c r="E34" s="66"/>
      <c r="F34" s="69"/>
      <c r="G34" s="69"/>
      <c r="H34" s="69"/>
      <c r="I34" s="69"/>
      <c r="J34" s="69"/>
      <c r="K34" s="69"/>
    </row>
    <row r="35" spans="3:22" ht="12.9" customHeight="1" x14ac:dyDescent="0.25">
      <c r="C35" s="53"/>
      <c r="E35" s="64" t="s">
        <v>47</v>
      </c>
      <c r="F35" s="57" t="s">
        <v>48</v>
      </c>
      <c r="G35" s="53" t="s">
        <v>49</v>
      </c>
      <c r="H35" s="61" t="s">
        <v>115</v>
      </c>
      <c r="I35" s="69"/>
      <c r="J35" s="69"/>
      <c r="K35" s="69"/>
    </row>
    <row r="36" spans="3:22" ht="12.9" customHeight="1" x14ac:dyDescent="0.25">
      <c r="C36" s="53"/>
      <c r="D36"/>
      <c r="E36" s="87"/>
      <c r="F36" s="87"/>
      <c r="G36" s="87"/>
      <c r="H36" s="87"/>
      <c r="I36" s="69"/>
      <c r="J36" s="69"/>
      <c r="K36" s="69"/>
    </row>
    <row r="37" spans="3:22" ht="12.9" customHeight="1" x14ac:dyDescent="0.25">
      <c r="C37" s="53"/>
      <c r="D37" s="57" t="s">
        <v>105</v>
      </c>
      <c r="E37" s="375">
        <f>'Sheet 1'!X56</f>
        <v>56</v>
      </c>
      <c r="F37" s="375"/>
      <c r="G37" s="375"/>
      <c r="H37" s="87"/>
      <c r="I37" s="54" t="s">
        <v>116</v>
      </c>
      <c r="J37" s="69"/>
      <c r="K37" s="69"/>
    </row>
    <row r="38" spans="3:22" ht="12.9" customHeight="1" x14ac:dyDescent="0.25">
      <c r="C38" s="53"/>
      <c r="D38" s="88"/>
      <c r="E38" s="87"/>
      <c r="F38" s="87"/>
      <c r="G38" s="87"/>
      <c r="H38" s="87"/>
      <c r="I38" s="69"/>
      <c r="J38" s="69"/>
      <c r="K38" s="69"/>
    </row>
    <row r="39" spans="3:22" ht="12.9" customHeight="1" x14ac:dyDescent="0.25">
      <c r="C39" s="53"/>
      <c r="D39" s="64" t="s">
        <v>106</v>
      </c>
      <c r="E39" s="57" t="s">
        <v>107</v>
      </c>
      <c r="F39" s="87" t="s">
        <v>49</v>
      </c>
      <c r="G39" s="62" t="s">
        <v>108</v>
      </c>
      <c r="H39" s="87"/>
      <c r="I39" s="69"/>
      <c r="J39" s="69"/>
      <c r="K39" s="69"/>
      <c r="L39" s="89" t="s">
        <v>42</v>
      </c>
      <c r="M39" s="53" t="s">
        <v>489</v>
      </c>
      <c r="N39" s="54"/>
      <c r="O39" s="54"/>
      <c r="P39" s="54"/>
      <c r="Q39" s="62" t="s">
        <v>220</v>
      </c>
      <c r="R39" s="54"/>
    </row>
    <row r="40" spans="3:22" ht="12.9" customHeight="1" x14ac:dyDescent="0.25">
      <c r="C40" s="53"/>
      <c r="D40" s="88"/>
      <c r="E40" s="57"/>
      <c r="F40" s="87"/>
      <c r="G40" s="87"/>
      <c r="H40" s="87"/>
      <c r="I40" s="69"/>
      <c r="J40" s="69"/>
      <c r="K40" s="69"/>
      <c r="L40" s="54"/>
      <c r="M40" s="376">
        <v>56</v>
      </c>
      <c r="N40" s="376"/>
      <c r="O40" s="376"/>
      <c r="P40" s="376"/>
      <c r="Q40" s="376"/>
      <c r="R40" s="376"/>
    </row>
    <row r="41" spans="3:22" ht="12.9" customHeight="1" x14ac:dyDescent="0.25">
      <c r="C41" s="53"/>
      <c r="D41" s="57" t="s">
        <v>42</v>
      </c>
      <c r="E41" s="375">
        <f>('Sheet 2'!AE7*1000*SQRT('Sheet 2'!AE21))/E37</f>
        <v>195.02373699127514</v>
      </c>
      <c r="F41" s="375"/>
      <c r="G41" s="375"/>
      <c r="H41" s="91"/>
      <c r="I41" s="69"/>
      <c r="J41" s="69"/>
      <c r="K41" s="69"/>
    </row>
    <row r="42" spans="3:22" ht="12.9" customHeight="1" x14ac:dyDescent="0.25">
      <c r="C42" s="53"/>
      <c r="D42" s="82"/>
      <c r="E42" s="93"/>
      <c r="F42" s="94"/>
      <c r="G42" s="69"/>
      <c r="H42" s="95"/>
      <c r="I42" s="69"/>
      <c r="J42" s="69"/>
      <c r="K42" s="69"/>
    </row>
    <row r="43" spans="3:22" ht="12.9" customHeight="1" x14ac:dyDescent="0.25">
      <c r="C43" s="53"/>
      <c r="D43" s="53" t="s">
        <v>109</v>
      </c>
      <c r="E43"/>
      <c r="G43" s="69"/>
      <c r="H43" s="69"/>
      <c r="I43"/>
      <c r="R43" s="375">
        <f>ROUNDUP(E41,0)</f>
        <v>196</v>
      </c>
      <c r="S43" s="375"/>
      <c r="T43" s="375"/>
      <c r="U43" s="54" t="s">
        <v>110</v>
      </c>
    </row>
    <row r="44" spans="3:22" ht="12.9" customHeight="1" x14ac:dyDescent="0.25">
      <c r="C44" s="53"/>
      <c r="D44" s="66"/>
      <c r="E44" s="66"/>
      <c r="F44" s="69"/>
      <c r="G44" s="69"/>
      <c r="H44" s="69"/>
      <c r="I44" s="69"/>
      <c r="J44" s="69"/>
      <c r="K44" s="69"/>
    </row>
    <row r="45" spans="3:22" ht="12.9" customHeight="1" x14ac:dyDescent="0.25">
      <c r="C45" s="34"/>
      <c r="D45" s="34" t="s">
        <v>221</v>
      </c>
      <c r="E45" s="66"/>
      <c r="F45" s="96"/>
      <c r="I45" s="96"/>
      <c r="J45" s="96"/>
      <c r="K45" s="96"/>
      <c r="R45" s="375">
        <f>R43*(100+'Sheet 2'!AE13)/100</f>
        <v>254.8</v>
      </c>
      <c r="S45" s="375"/>
      <c r="T45" s="375"/>
      <c r="U45" s="53" t="s">
        <v>110</v>
      </c>
    </row>
    <row r="46" spans="3:22" ht="12.9" customHeight="1" x14ac:dyDescent="0.25">
      <c r="C46" s="53"/>
      <c r="D46" s="34"/>
      <c r="E46" s="66"/>
      <c r="F46" s="96"/>
      <c r="I46" s="96"/>
      <c r="J46" s="96"/>
      <c r="K46" s="96"/>
      <c r="R46" s="53"/>
      <c r="U46" s="53"/>
    </row>
    <row r="47" spans="3:22" ht="12.9" customHeight="1" x14ac:dyDescent="0.25">
      <c r="C47" s="57"/>
      <c r="D47" s="53" t="s">
        <v>222</v>
      </c>
      <c r="E47" s="66"/>
      <c r="F47"/>
      <c r="J47"/>
      <c r="K47"/>
      <c r="P47" s="53"/>
      <c r="R47" s="375">
        <v>300</v>
      </c>
      <c r="S47" s="375"/>
      <c r="T47" s="375"/>
      <c r="V47" s="53" t="s">
        <v>110</v>
      </c>
    </row>
    <row r="48" spans="3:22" ht="13.5" customHeight="1" x14ac:dyDescent="0.25">
      <c r="C48" s="53"/>
      <c r="D48" s="66"/>
      <c r="E48" s="66"/>
      <c r="F48" s="96"/>
      <c r="I48" s="96"/>
      <c r="J48" s="96"/>
      <c r="K48" s="96"/>
      <c r="R48" s="53"/>
      <c r="U48" s="53"/>
    </row>
    <row r="49" spans="1:37" ht="12.9" customHeight="1" x14ac:dyDescent="0.25">
      <c r="C49" s="34"/>
      <c r="D49" s="66"/>
      <c r="E49" s="66"/>
      <c r="F49" s="66"/>
      <c r="I49" s="53"/>
      <c r="J49" s="66"/>
      <c r="K49" s="96"/>
      <c r="R49" s="375" t="s">
        <v>117</v>
      </c>
      <c r="S49" s="375"/>
      <c r="T49" s="375"/>
      <c r="U49" s="53" t="s">
        <v>268</v>
      </c>
      <c r="W49" s="34"/>
    </row>
    <row r="50" spans="1:37" ht="12.9" customHeight="1" x14ac:dyDescent="0.25">
      <c r="C50" s="34"/>
      <c r="D50" s="66"/>
      <c r="E50" s="66"/>
      <c r="F50" s="66"/>
      <c r="I50" s="53"/>
      <c r="J50" s="66"/>
      <c r="K50" s="96"/>
      <c r="R50" s="80"/>
      <c r="S50" s="80"/>
      <c r="T50" s="80"/>
      <c r="U50" s="53"/>
      <c r="W50" s="34"/>
    </row>
    <row r="51" spans="1:37" ht="12.9" customHeight="1" x14ac:dyDescent="0.25">
      <c r="B51" s="66"/>
      <c r="C51" s="34" t="s">
        <v>424</v>
      </c>
      <c r="D51" s="66"/>
      <c r="E51" s="66"/>
      <c r="F51" s="66"/>
      <c r="G51" s="66"/>
      <c r="H51" s="66"/>
      <c r="I51" s="66"/>
      <c r="J51"/>
    </row>
    <row r="56" spans="1:37" ht="12.9" customHeight="1" x14ac:dyDescent="0.25">
      <c r="C56" s="55"/>
      <c r="D56" s="86"/>
      <c r="E56" s="86"/>
      <c r="F56" s="86"/>
      <c r="G56" s="98"/>
      <c r="H56" s="98"/>
      <c r="I56" s="98"/>
      <c r="J56" s="84"/>
      <c r="K56" s="84"/>
      <c r="L56" s="84"/>
      <c r="M56" s="84"/>
      <c r="N56" s="84"/>
      <c r="O56" s="84"/>
      <c r="P56" s="84"/>
      <c r="Q56" s="84"/>
      <c r="R56" s="84"/>
      <c r="S56" s="84"/>
      <c r="V56" s="84"/>
    </row>
    <row r="59" spans="1:37" s="2" customFormat="1" ht="15.6" x14ac:dyDescent="0.3">
      <c r="A59" s="158"/>
      <c r="B59" s="158"/>
      <c r="C59" s="158"/>
      <c r="D59" s="158"/>
      <c r="E59" s="22"/>
      <c r="F59" s="22"/>
      <c r="G59" s="22"/>
      <c r="H59" s="22"/>
      <c r="I59" s="22"/>
      <c r="J59" s="159"/>
      <c r="K59" s="159"/>
      <c r="L59" s="159"/>
      <c r="M59" s="159"/>
      <c r="N59" s="159"/>
      <c r="O59" s="159"/>
      <c r="P59" s="159"/>
      <c r="Q59" s="159"/>
      <c r="R59" s="332"/>
      <c r="S59" s="332"/>
      <c r="T59" s="332"/>
      <c r="U59" s="332"/>
      <c r="V59" s="332"/>
      <c r="W59" s="332"/>
      <c r="X59" s="332"/>
      <c r="Y59" s="332"/>
      <c r="Z59" s="332"/>
      <c r="AA59" s="332"/>
      <c r="AB59" s="341" t="s">
        <v>2</v>
      </c>
      <c r="AC59" s="341"/>
      <c r="AD59" s="341">
        <v>6</v>
      </c>
      <c r="AE59" s="341"/>
      <c r="AF59" s="341" t="s">
        <v>177</v>
      </c>
      <c r="AG59" s="341"/>
      <c r="AH59" s="341">
        <v>9</v>
      </c>
      <c r="AI59" s="341"/>
      <c r="AJ59" s="332"/>
      <c r="AK59" s="332"/>
    </row>
    <row r="60" spans="1:37" s="2" customFormat="1" ht="15.75" customHeight="1" x14ac:dyDescent="0.3">
      <c r="A60" s="340"/>
      <c r="B60" s="340"/>
      <c r="C60" s="340"/>
      <c r="D60" s="340"/>
      <c r="E60" s="340"/>
      <c r="F60" s="23"/>
      <c r="G60" s="23"/>
      <c r="H60" s="23"/>
      <c r="I60" s="23"/>
      <c r="J60" s="23"/>
      <c r="K60" s="23"/>
    </row>
    <row r="61" spans="1:37" s="2" customFormat="1" ht="12.75" customHeight="1" x14ac:dyDescent="0.25">
      <c r="A61" s="30"/>
      <c r="B61" s="66"/>
      <c r="C61" s="34"/>
      <c r="D61" s="66"/>
      <c r="E61" s="66"/>
      <c r="F61" s="66"/>
      <c r="G61" s="66"/>
      <c r="H61" s="66"/>
      <c r="I61" s="66"/>
      <c r="J61"/>
      <c r="K61" s="30"/>
    </row>
  </sheetData>
  <sheetProtection formatCells="0" formatColumns="0" formatRows="0"/>
  <protectedRanges>
    <protectedRange sqref="C29:C31 G44:H44 AC34:AL40 A62:AL1676 T49:AL50 AD57:AL58 AH41:AL42 A49:F50 AI43:AM43 C44:F46 R45:R46 T48:AG48 I44:O46 U45:U46 D28:D29 W56:AL56 A56:B56 E28:AL31 A58:B58 C48:F48 C47 AB32:AK32 A53:AL55 I48:R50 AH44:AL48 A33:AL33 A5:AL5 A4 D4:AL4 A3:AL3 A52:AL52 A29:B32 A34:B48" name="Range2"/>
    <protectedRange sqref="C56:S56 V56" name="Range2_9"/>
    <protectedRange sqref="R43 J42:K42 F42 C42:E43 G42:I43 G36:G38 P42:AB42 P36:R38 C34:C40 L42:O43 H36:H40 J34:K40 G40 S36:AB40 U43:AC43 D36:F40 C41:AB41 I34:I36 D34:H34 I38:I40 P43 C32 E32:O32 L34:O38" name="Range2_7"/>
    <protectedRange sqref="E35:H35 G39" name="Range2_3_2"/>
    <protectedRange sqref="A28:C28" name="Range2_5_1"/>
    <protectedRange sqref="M40 R39:R40 Q40 L39:L40 O39:P40 M39:N39" name="Range2_3"/>
    <protectedRange sqref="Q39" name="Range2_3_2_1"/>
    <protectedRange sqref="AN30:AN31" name="Range2_1_2"/>
    <protectedRange sqref="I37" name="Range2_3_1"/>
    <protectedRange sqref="A60:AK61 A59:AG59 AJ59:AK59" name="Range2_4_1"/>
    <protectedRange sqref="J47:M47 P47 D47:F47 R47 V47:X47 T47" name="Range2_3_3"/>
    <protectedRange sqref="A51:AK51" name="Range2_3_4"/>
    <protectedRange sqref="A27:F27 R27:AK27 A25:AK25 O27:P27" name="Range2_2"/>
    <protectedRange sqref="AG10:AK10 A10:N10" name="Range2_1_1"/>
    <protectedRange sqref="I17:J17 O19:S19 E17 I19:J19 H17:H19 S18 F12:F14 K17:L19 A26:AK26 P17:T17 O12:O14 M11:M14 C8 D6:N9 AG6:AK9 M16:M19 N11:N19 G12:G19 F16:F19 H11:L16 O16:O18 P12:AF16 C12:E16 C17:D23 U17:AF21 T19:T21 AG11:AK21 A11:B23 I20:L24 A24:D24 E19:E24 B9:C9 A7:A9 B7:C7 S22:V22 X22:AK22 O20:O24 Q20:Q24 S20:S21 S23:AK24" name="Range2_3_5"/>
    <protectedRange sqref="D11:G11 F15 M15" name="Range2_3_2_2"/>
    <protectedRange sqref="B6:C6" name="Range2_5_2"/>
    <protectedRange sqref="B4:C4" name="Range2_4"/>
    <protectedRange sqref="AH59:AI59" name="Range2_4_2"/>
  </protectedRanges>
  <mergeCells count="29">
    <mergeCell ref="AH59:AI59"/>
    <mergeCell ref="AJ59:AK59"/>
    <mergeCell ref="A60:E60"/>
    <mergeCell ref="A2:Q2"/>
    <mergeCell ref="V59:W59"/>
    <mergeCell ref="X59:Y59"/>
    <mergeCell ref="Z59:AA59"/>
    <mergeCell ref="AB59:AC59"/>
    <mergeCell ref="AD59:AE59"/>
    <mergeCell ref="R59:S59"/>
    <mergeCell ref="R49:T49"/>
    <mergeCell ref="D17:F17"/>
    <mergeCell ref="J16:K16"/>
    <mergeCell ref="O24:Q24"/>
    <mergeCell ref="O22:Q22"/>
    <mergeCell ref="T59:U59"/>
    <mergeCell ref="AF59:AG59"/>
    <mergeCell ref="A1:K1"/>
    <mergeCell ref="E37:G37"/>
    <mergeCell ref="M40:R40"/>
    <mergeCell ref="E41:G41"/>
    <mergeCell ref="R43:T43"/>
    <mergeCell ref="O20:Q20"/>
    <mergeCell ref="O18:Q18"/>
    <mergeCell ref="D13:F13"/>
    <mergeCell ref="P27:R27"/>
    <mergeCell ref="G11:H11"/>
    <mergeCell ref="R45:T45"/>
    <mergeCell ref="R47:T47"/>
  </mergeCells>
  <hyperlinks>
    <hyperlink ref="AF1" r:id="rId1" xr:uid="{4DB340CD-1607-4710-8B97-7C9AAC0BF18F}"/>
  </hyperlinks>
  <pageMargins left="0.25" right="0.25" top="0.75" bottom="0.75" header="0.3" footer="0.3"/>
  <pageSetup paperSize="9" scale="95" orientation="portrait" r:id="rId2"/>
  <headerFooter alignWithMargins="0">
    <oddHeader xml:space="preserve">&amp;R
</oddHeader>
  </headerFooter>
  <drawing r:id="rId3"/>
  <legacyDrawingHF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tabColor rgb="FF00B050"/>
  </sheetPr>
  <dimension ref="A1:AL66"/>
  <sheetViews>
    <sheetView tabSelected="1" zoomScale="130" zoomScaleNormal="130" zoomScaleSheetLayoutView="145" workbookViewId="0">
      <selection activeCell="W10" sqref="W10"/>
    </sheetView>
  </sheetViews>
  <sheetFormatPr defaultColWidth="2.5546875" defaultRowHeight="12.9" customHeight="1" x14ac:dyDescent="0.25"/>
  <cols>
    <col min="1" max="35" width="2.5546875" style="30" customWidth="1"/>
    <col min="36" max="36" width="2.44140625" style="30" customWidth="1"/>
    <col min="37" max="16384" width="2.5546875" style="30"/>
  </cols>
  <sheetData>
    <row r="1" spans="1:38" s="1" customFormat="1" ht="15" customHeight="1" thickTop="1" x14ac:dyDescent="0.25">
      <c r="A1" s="313"/>
      <c r="B1" s="313"/>
      <c r="C1" s="313"/>
      <c r="D1" s="313"/>
      <c r="E1" s="313"/>
      <c r="F1" s="313"/>
      <c r="G1" s="313"/>
      <c r="H1" s="313"/>
      <c r="I1" s="313"/>
      <c r="J1" s="313"/>
      <c r="K1" s="313"/>
      <c r="AL1" s="259" t="s">
        <v>607</v>
      </c>
    </row>
    <row r="2" spans="1:38" s="1" customFormat="1" ht="15" customHeight="1" x14ac:dyDescent="0.25">
      <c r="A2" s="313" t="s">
        <v>22</v>
      </c>
      <c r="B2" s="313"/>
      <c r="C2" s="313"/>
      <c r="D2" s="313"/>
      <c r="E2" s="313"/>
      <c r="F2" s="313"/>
      <c r="G2" s="313"/>
      <c r="H2" s="313"/>
      <c r="I2" s="313"/>
      <c r="J2" s="313"/>
      <c r="K2" s="313"/>
      <c r="L2" s="313"/>
      <c r="M2" s="313"/>
      <c r="N2" s="313"/>
      <c r="O2" s="313"/>
      <c r="P2" s="313"/>
      <c r="Q2" s="313"/>
      <c r="AL2" s="255" t="s">
        <v>608</v>
      </c>
    </row>
    <row r="4" spans="1:38" ht="12.9" customHeight="1" x14ac:dyDescent="0.25">
      <c r="A4" s="73" t="s">
        <v>270</v>
      </c>
      <c r="B4" s="52" t="s">
        <v>86</v>
      </c>
      <c r="C4" s="53"/>
      <c r="D4" s="53"/>
      <c r="E4" s="53"/>
      <c r="F4" s="53"/>
      <c r="G4" s="53"/>
      <c r="H4" s="53"/>
      <c r="I4" s="53"/>
    </row>
    <row r="5" spans="1:38" ht="12.9" customHeight="1" x14ac:dyDescent="0.25">
      <c r="B5" s="53"/>
      <c r="C5" s="34" t="s">
        <v>265</v>
      </c>
      <c r="D5" s="53"/>
      <c r="E5" s="53"/>
      <c r="F5" s="53"/>
      <c r="G5" s="53"/>
      <c r="H5" s="53"/>
      <c r="I5" s="53"/>
    </row>
    <row r="6" spans="1:38" ht="4.5" customHeight="1" x14ac:dyDescent="0.25">
      <c r="B6" s="53"/>
      <c r="C6" s="53"/>
      <c r="D6" s="53"/>
      <c r="E6" s="53"/>
      <c r="F6" s="53"/>
      <c r="G6" s="53"/>
      <c r="H6" s="53"/>
      <c r="I6" s="53"/>
    </row>
    <row r="7" spans="1:38" ht="12.9" customHeight="1" x14ac:dyDescent="0.25">
      <c r="B7" s="53"/>
      <c r="C7" s="53"/>
      <c r="D7" s="62" t="s">
        <v>87</v>
      </c>
      <c r="E7" s="60" t="s">
        <v>42</v>
      </c>
      <c r="F7" s="388">
        <f>'Sheet 2'!AE9</f>
        <v>45</v>
      </c>
      <c r="G7" s="388"/>
      <c r="H7" s="388"/>
      <c r="I7"/>
      <c r="J7" s="53" t="s">
        <v>88</v>
      </c>
    </row>
    <row r="8" spans="1:38" ht="12.9" customHeight="1" x14ac:dyDescent="0.25">
      <c r="B8" s="53"/>
      <c r="C8" s="53"/>
      <c r="D8" s="57" t="s">
        <v>89</v>
      </c>
      <c r="E8" s="60" t="s">
        <v>42</v>
      </c>
      <c r="F8" s="388">
        <f>'Sheet 2'!AE11</f>
        <v>300</v>
      </c>
      <c r="G8" s="388"/>
      <c r="H8" s="388"/>
      <c r="I8"/>
      <c r="J8" s="53" t="s">
        <v>90</v>
      </c>
    </row>
    <row r="9" spans="1:38" ht="12.9" customHeight="1" x14ac:dyDescent="0.25">
      <c r="B9" s="53"/>
      <c r="C9" s="53"/>
      <c r="D9" s="57" t="s">
        <v>91</v>
      </c>
      <c r="E9" s="60" t="s">
        <v>42</v>
      </c>
      <c r="F9" s="388">
        <f>'Sheet 2'!AE12</f>
        <v>10</v>
      </c>
      <c r="G9" s="388"/>
      <c r="H9" s="388"/>
      <c r="I9"/>
      <c r="J9" s="53" t="s">
        <v>70</v>
      </c>
    </row>
    <row r="10" spans="1:38" ht="6" customHeight="1" x14ac:dyDescent="0.25">
      <c r="B10" s="53"/>
      <c r="C10" s="53"/>
      <c r="D10" s="53"/>
      <c r="E10" s="53"/>
      <c r="F10" s="53"/>
      <c r="G10" s="53"/>
      <c r="H10"/>
      <c r="I10"/>
    </row>
    <row r="11" spans="1:38" ht="12.9" customHeight="1" x14ac:dyDescent="0.3">
      <c r="B11" s="53"/>
      <c r="C11"/>
      <c r="D11" s="57" t="s">
        <v>41</v>
      </c>
      <c r="E11" s="53" t="s">
        <v>42</v>
      </c>
      <c r="F11" s="53" t="s">
        <v>210</v>
      </c>
      <c r="G11" s="53"/>
      <c r="H11"/>
      <c r="I11"/>
    </row>
    <row r="12" spans="1:38" ht="5.25" customHeight="1" x14ac:dyDescent="0.25">
      <c r="B12" s="53"/>
      <c r="C12" s="53"/>
      <c r="D12" s="53"/>
      <c r="E12" s="60"/>
      <c r="F12" s="53"/>
      <c r="G12" s="53"/>
      <c r="H12"/>
      <c r="I12"/>
    </row>
    <row r="13" spans="1:38" ht="12.9" customHeight="1" x14ac:dyDescent="0.25">
      <c r="B13" s="53"/>
      <c r="C13" s="53"/>
      <c r="D13" s="53"/>
      <c r="E13" s="53" t="s">
        <v>42</v>
      </c>
      <c r="F13" s="389">
        <f>((100*F7)/(2*PI()*F8))*(LN((2*F8)/F9))</f>
        <v>9.7745276369860434</v>
      </c>
      <c r="G13" s="389"/>
      <c r="H13" s="389"/>
      <c r="I13"/>
      <c r="J13" s="53" t="s">
        <v>92</v>
      </c>
    </row>
    <row r="14" spans="1:38" ht="5.25" customHeight="1" x14ac:dyDescent="0.25">
      <c r="B14" s="53"/>
      <c r="C14" s="66"/>
      <c r="D14" s="57"/>
      <c r="E14" s="60"/>
      <c r="F14" s="74"/>
      <c r="G14" s="74"/>
      <c r="H14" s="74"/>
      <c r="I14" s="53"/>
    </row>
    <row r="15" spans="1:38" ht="12.9" customHeight="1" x14ac:dyDescent="0.25">
      <c r="B15" s="53"/>
      <c r="C15" s="53" t="s">
        <v>93</v>
      </c>
      <c r="D15" s="53"/>
      <c r="E15" s="53"/>
      <c r="F15" s="53"/>
      <c r="G15" s="75"/>
      <c r="I15"/>
      <c r="T15" s="384">
        <f>ROUNDUP(F13,0)</f>
        <v>10</v>
      </c>
      <c r="U15" s="384"/>
      <c r="V15" s="384"/>
      <c r="W15" s="53" t="s">
        <v>94</v>
      </c>
    </row>
    <row r="16" spans="1:38" s="169" customFormat="1" ht="12.9" customHeight="1" x14ac:dyDescent="0.25">
      <c r="B16" s="53"/>
      <c r="C16" s="50"/>
      <c r="D16" s="69"/>
      <c r="E16"/>
      <c r="F16"/>
      <c r="G16"/>
      <c r="H16"/>
      <c r="I16"/>
    </row>
    <row r="17" spans="2:30" s="169" customFormat="1" ht="12.9" customHeight="1" x14ac:dyDescent="0.25">
      <c r="B17" s="53"/>
      <c r="C17" s="34" t="s">
        <v>425</v>
      </c>
      <c r="D17" s="53"/>
      <c r="E17" s="53"/>
      <c r="F17"/>
      <c r="G17" s="33"/>
      <c r="I17"/>
      <c r="AA17" s="386">
        <f>'Sheet 2'!AE8</f>
        <v>0.5</v>
      </c>
      <c r="AB17" s="386"/>
      <c r="AC17" s="386"/>
      <c r="AD17" s="170" t="s">
        <v>240</v>
      </c>
    </row>
    <row r="18" spans="2:30" s="169" customFormat="1" ht="12.9" customHeight="1" x14ac:dyDescent="0.25">
      <c r="B18" s="34"/>
      <c r="C18" s="69"/>
      <c r="D18" s="69"/>
      <c r="E18"/>
      <c r="F18"/>
      <c r="G18"/>
      <c r="H18"/>
      <c r="I18"/>
    </row>
    <row r="19" spans="2:30" s="169" customFormat="1" ht="12.9" customHeight="1" x14ac:dyDescent="0.25">
      <c r="B19" s="53"/>
      <c r="C19"/>
      <c r="D19" s="57" t="s">
        <v>241</v>
      </c>
      <c r="E19" s="60" t="s">
        <v>42</v>
      </c>
      <c r="F19" s="171" t="s">
        <v>242</v>
      </c>
      <c r="H19" s="53"/>
      <c r="J19" s="53" t="s">
        <v>243</v>
      </c>
    </row>
    <row r="20" spans="2:30" s="169" customFormat="1" ht="12.9" customHeight="1" x14ac:dyDescent="0.25">
      <c r="B20" s="57"/>
      <c r="C20" s="53"/>
      <c r="D20" s="53"/>
      <c r="E20" s="53"/>
      <c r="G20" s="62" t="s">
        <v>244</v>
      </c>
      <c r="H20" s="53"/>
      <c r="I20" s="53"/>
    </row>
    <row r="21" spans="2:30" s="169" customFormat="1" ht="12.9" customHeight="1" x14ac:dyDescent="0.25">
      <c r="B21" s="53"/>
      <c r="C21" s="69"/>
      <c r="D21" s="62" t="s">
        <v>87</v>
      </c>
      <c r="E21" s="76" t="s">
        <v>42</v>
      </c>
      <c r="F21" s="384">
        <f>'Sheet 2'!AE9</f>
        <v>45</v>
      </c>
      <c r="G21" s="384"/>
      <c r="H21" s="384"/>
      <c r="J21" s="61" t="s">
        <v>245</v>
      </c>
    </row>
    <row r="22" spans="2:30" s="169" customFormat="1" ht="12.9" customHeight="1" x14ac:dyDescent="0.25">
      <c r="B22" s="53"/>
      <c r="C22" s="69"/>
      <c r="D22" s="57" t="s">
        <v>77</v>
      </c>
      <c r="E22" s="76" t="s">
        <v>42</v>
      </c>
      <c r="F22" s="386">
        <f>AA17</f>
        <v>0.5</v>
      </c>
      <c r="G22" s="386"/>
      <c r="H22" s="386"/>
      <c r="J22" s="61" t="s">
        <v>246</v>
      </c>
    </row>
    <row r="23" spans="2:30" s="169" customFormat="1" ht="12.9" customHeight="1" x14ac:dyDescent="0.25">
      <c r="B23" s="53"/>
      <c r="C23" s="69"/>
      <c r="D23" s="69"/>
      <c r="E23"/>
      <c r="F23"/>
      <c r="G23"/>
      <c r="H23"/>
      <c r="I23"/>
    </row>
    <row r="24" spans="2:30" s="169" customFormat="1" ht="12.9" customHeight="1" x14ac:dyDescent="0.25">
      <c r="B24" s="53"/>
      <c r="C24" s="69"/>
      <c r="D24" s="57" t="s">
        <v>241</v>
      </c>
      <c r="E24" s="60" t="s">
        <v>42</v>
      </c>
      <c r="F24" s="386">
        <f>(7.57*1000)/(SQRT(F21*F22))</f>
        <v>1595.8961258316422</v>
      </c>
      <c r="G24" s="386"/>
      <c r="H24" s="386"/>
      <c r="I24" s="53" t="s">
        <v>243</v>
      </c>
    </row>
    <row r="25" spans="2:30" ht="12.9" customHeight="1" x14ac:dyDescent="0.25">
      <c r="B25" s="57"/>
      <c r="C25" s="53"/>
      <c r="D25" s="66"/>
      <c r="E25"/>
      <c r="F25"/>
      <c r="G25"/>
      <c r="H25"/>
      <c r="I25"/>
    </row>
    <row r="26" spans="2:30" ht="12.9" customHeight="1" x14ac:dyDescent="0.25">
      <c r="B26" s="57"/>
      <c r="C26" s="34" t="s">
        <v>266</v>
      </c>
      <c r="D26" s="66"/>
      <c r="E26"/>
      <c r="F26"/>
      <c r="G26"/>
      <c r="H26"/>
      <c r="I26"/>
    </row>
    <row r="27" spans="2:30" ht="12.9" customHeight="1" x14ac:dyDescent="0.25">
      <c r="B27" s="53"/>
      <c r="C27" s="34"/>
      <c r="D27" s="53"/>
      <c r="E27" s="53"/>
      <c r="F27" s="53" t="s">
        <v>95</v>
      </c>
      <c r="G27" s="57" t="s">
        <v>42</v>
      </c>
      <c r="H27" s="62" t="s">
        <v>96</v>
      </c>
      <c r="I27" s="53"/>
      <c r="S27" s="34"/>
    </row>
    <row r="28" spans="2:30" ht="12.9" customHeight="1" x14ac:dyDescent="0.25">
      <c r="B28" s="53"/>
      <c r="C28" s="53"/>
      <c r="D28" s="53"/>
      <c r="E28" s="53"/>
      <c r="F28" s="53"/>
      <c r="G28" s="76" t="s">
        <v>42</v>
      </c>
      <c r="H28" s="387">
        <f>PI()*'Sheet 2'!AE12*'Sheet 2'!AE11/(100*100)</f>
        <v>0.94247779607693793</v>
      </c>
      <c r="I28" s="387"/>
      <c r="J28" s="387"/>
      <c r="K28" s="53" t="s">
        <v>97</v>
      </c>
      <c r="Q28" s="77"/>
      <c r="R28" s="77"/>
      <c r="S28" s="77"/>
      <c r="T28" s="77"/>
    </row>
    <row r="29" spans="2:30" ht="12.9" customHeight="1" x14ac:dyDescent="0.25">
      <c r="B29" s="53"/>
      <c r="C29" s="53"/>
      <c r="D29" s="53"/>
      <c r="E29" s="53"/>
      <c r="F29" s="53"/>
      <c r="G29" s="76"/>
      <c r="H29" s="78"/>
      <c r="I29" s="78"/>
      <c r="J29" s="78"/>
      <c r="K29" s="53"/>
      <c r="Q29" s="77"/>
      <c r="R29" s="77"/>
      <c r="S29" s="77"/>
      <c r="T29" s="77"/>
    </row>
    <row r="30" spans="2:30" ht="12.9" customHeight="1" x14ac:dyDescent="0.25">
      <c r="B30" s="57"/>
      <c r="C30" s="53" t="s">
        <v>98</v>
      </c>
      <c r="D30" s="66"/>
      <c r="E30"/>
      <c r="F30"/>
      <c r="G30"/>
      <c r="H30"/>
      <c r="I30"/>
    </row>
    <row r="31" spans="2:30" ht="12.9" customHeight="1" x14ac:dyDescent="0.25">
      <c r="B31" s="57"/>
      <c r="C31" s="53" t="s">
        <v>99</v>
      </c>
      <c r="D31" s="66"/>
      <c r="E31"/>
      <c r="F31"/>
      <c r="G31"/>
      <c r="H31" s="79"/>
      <c r="I31" s="79"/>
      <c r="J31" s="79"/>
      <c r="N31" s="385">
        <f>H28*0.95</f>
        <v>0.89535390627309097</v>
      </c>
      <c r="O31" s="385"/>
      <c r="P31" s="385"/>
      <c r="Q31" s="53" t="s">
        <v>100</v>
      </c>
    </row>
    <row r="32" spans="2:30" s="169" customFormat="1" ht="12.9" customHeight="1" x14ac:dyDescent="0.25">
      <c r="B32" s="53"/>
      <c r="C32" s="69"/>
      <c r="D32" s="69"/>
      <c r="E32"/>
      <c r="F32"/>
      <c r="G32"/>
      <c r="H32"/>
      <c r="I32"/>
    </row>
    <row r="33" spans="2:31" s="169" customFormat="1" ht="12.9" customHeight="1" x14ac:dyDescent="0.25">
      <c r="B33" s="53"/>
      <c r="C33" s="58" t="s">
        <v>252</v>
      </c>
      <c r="D33" s="69"/>
      <c r="E33"/>
      <c r="F33"/>
      <c r="G33"/>
      <c r="H33" s="175"/>
      <c r="I33"/>
    </row>
    <row r="34" spans="2:31" s="169" customFormat="1" ht="12.9" customHeight="1" x14ac:dyDescent="0.25">
      <c r="B34" s="53"/>
      <c r="C34" s="69"/>
      <c r="D34" s="69"/>
      <c r="E34"/>
      <c r="F34" s="113" t="s">
        <v>253</v>
      </c>
      <c r="G34" s="187"/>
      <c r="H34" s="187"/>
      <c r="I34" s="187"/>
      <c r="J34" s="188"/>
      <c r="K34" s="188"/>
      <c r="L34" s="188"/>
      <c r="M34" s="188"/>
      <c r="N34" s="188"/>
      <c r="O34" s="188"/>
      <c r="P34" s="188"/>
      <c r="Q34" s="188"/>
      <c r="R34" s="188"/>
      <c r="S34" s="188"/>
      <c r="T34" s="188"/>
      <c r="U34" s="188"/>
      <c r="V34" s="188"/>
      <c r="W34" s="188"/>
      <c r="X34" s="188"/>
    </row>
    <row r="35" spans="2:31" s="169" customFormat="1" ht="12.9" customHeight="1" x14ac:dyDescent="0.25">
      <c r="B35" s="53"/>
      <c r="C35" s="69"/>
      <c r="D35" s="69"/>
      <c r="E35"/>
      <c r="F35" s="69"/>
      <c r="H35" s="69"/>
      <c r="K35" s="53" t="s">
        <v>254</v>
      </c>
    </row>
    <row r="36" spans="2:31" s="169" customFormat="1" ht="12.9" customHeight="1" x14ac:dyDescent="0.25">
      <c r="B36" s="53"/>
      <c r="C36"/>
      <c r="D36"/>
      <c r="E36"/>
      <c r="F36" s="69"/>
      <c r="G36" s="69"/>
      <c r="H36" s="69"/>
      <c r="I36" s="69"/>
      <c r="S36" s="34" t="s">
        <v>255</v>
      </c>
      <c r="AE36" s="34" t="s">
        <v>256</v>
      </c>
    </row>
    <row r="37" spans="2:31" s="169" customFormat="1" ht="12.9" customHeight="1" x14ac:dyDescent="0.25">
      <c r="B37" s="57"/>
      <c r="C37" s="53" t="s">
        <v>257</v>
      </c>
      <c r="D37" s="69"/>
      <c r="E37" s="69"/>
      <c r="F37" s="69"/>
      <c r="O37" s="69" t="s">
        <v>42</v>
      </c>
      <c r="P37" s="380">
        <f>'Sheet 2'!AE6</f>
        <v>65</v>
      </c>
      <c r="Q37" s="380"/>
      <c r="R37" s="380"/>
      <c r="S37" s="53" t="s">
        <v>65</v>
      </c>
      <c r="AB37" s="375">
        <f>'Sheet 2'!AE7</f>
        <v>15.445091974913707</v>
      </c>
      <c r="AC37" s="375"/>
      <c r="AD37" s="375"/>
      <c r="AE37" s="53" t="s">
        <v>65</v>
      </c>
    </row>
    <row r="38" spans="2:31" s="169" customFormat="1" ht="12.9" customHeight="1" x14ac:dyDescent="0.25">
      <c r="B38" s="57"/>
      <c r="C38" s="53" t="s">
        <v>258</v>
      </c>
      <c r="D38" s="69"/>
      <c r="E38" s="69"/>
      <c r="F38" s="69"/>
      <c r="O38" s="69" t="s">
        <v>42</v>
      </c>
      <c r="P38" s="380">
        <f>F24</f>
        <v>1595.8961258316422</v>
      </c>
      <c r="Q38" s="380"/>
      <c r="R38" s="380"/>
      <c r="S38" s="53" t="s">
        <v>243</v>
      </c>
      <c r="AB38" s="380">
        <f>F24</f>
        <v>1595.8961258316422</v>
      </c>
      <c r="AC38" s="380"/>
      <c r="AD38" s="380"/>
      <c r="AE38" s="53" t="s">
        <v>243</v>
      </c>
    </row>
    <row r="39" spans="2:31" s="169" customFormat="1" ht="12.9" customHeight="1" x14ac:dyDescent="0.25">
      <c r="B39" s="57"/>
      <c r="C39" s="53" t="s">
        <v>259</v>
      </c>
      <c r="D39" s="69"/>
      <c r="E39" s="69"/>
      <c r="F39" s="69"/>
      <c r="O39" s="69" t="s">
        <v>42</v>
      </c>
      <c r="P39" s="380">
        <f>P37*1000/P38</f>
        <v>40.729467881957326</v>
      </c>
      <c r="Q39" s="380"/>
      <c r="R39" s="380"/>
      <c r="S39" s="53" t="s">
        <v>260</v>
      </c>
      <c r="AB39" s="380">
        <f>AB37*1000/AB38</f>
        <v>9.6780058080942251</v>
      </c>
      <c r="AC39" s="380"/>
      <c r="AD39" s="380"/>
      <c r="AE39" s="53" t="s">
        <v>260</v>
      </c>
    </row>
    <row r="40" spans="2:31" s="169" customFormat="1" ht="12.75" customHeight="1" x14ac:dyDescent="0.25">
      <c r="B40" s="57"/>
      <c r="C40"/>
      <c r="D40" s="69"/>
      <c r="E40" s="69"/>
      <c r="F40" s="69"/>
      <c r="G40" s="69"/>
      <c r="H40"/>
      <c r="I40"/>
    </row>
    <row r="41" spans="2:31" s="169" customFormat="1" ht="12.9" customHeight="1" x14ac:dyDescent="0.25">
      <c r="B41" s="57"/>
      <c r="C41" s="58" t="s">
        <v>261</v>
      </c>
      <c r="D41" s="69"/>
      <c r="E41" s="69"/>
      <c r="F41" s="69"/>
      <c r="G41" s="69"/>
      <c r="H41"/>
      <c r="I41"/>
      <c r="J41"/>
    </row>
    <row r="42" spans="2:31" s="169" customFormat="1" ht="12.9" customHeight="1" x14ac:dyDescent="0.25">
      <c r="B42" s="57"/>
      <c r="C42" s="69"/>
      <c r="D42" s="69"/>
      <c r="E42" s="69"/>
      <c r="F42" s="69"/>
      <c r="G42" s="69"/>
      <c r="H42" s="53"/>
      <c r="I42"/>
      <c r="J42" s="69"/>
    </row>
    <row r="43" spans="2:31" s="169" customFormat="1" ht="12.9" customHeight="1" x14ac:dyDescent="0.25">
      <c r="B43" s="57"/>
      <c r="C43" s="53" t="s">
        <v>102</v>
      </c>
      <c r="D43" s="69"/>
      <c r="E43" s="69"/>
      <c r="F43" s="81"/>
      <c r="G43" s="69"/>
      <c r="N43" s="69" t="s">
        <v>42</v>
      </c>
      <c r="O43" s="380">
        <f>MAX(P39,AB39)</f>
        <v>40.729467881957326</v>
      </c>
      <c r="P43" s="380"/>
      <c r="Q43" s="380"/>
      <c r="S43" s="53" t="s">
        <v>262</v>
      </c>
      <c r="U43" s="53" t="s">
        <v>292</v>
      </c>
    </row>
    <row r="44" spans="2:31" s="169" customFormat="1" ht="8.25" customHeight="1" x14ac:dyDescent="0.25">
      <c r="B44" s="53"/>
      <c r="C44" s="69"/>
      <c r="D44" s="69"/>
      <c r="E44" s="69"/>
      <c r="F44" s="69"/>
      <c r="G44" s="69"/>
      <c r="N44" s="69"/>
      <c r="O44" s="69"/>
      <c r="P44" s="69"/>
      <c r="S44" s="53"/>
      <c r="U44" s="34"/>
    </row>
    <row r="45" spans="2:31" s="169" customFormat="1" ht="12.9" customHeight="1" x14ac:dyDescent="0.25">
      <c r="B45" s="53"/>
      <c r="C45" s="53" t="s">
        <v>354</v>
      </c>
      <c r="D45" s="69"/>
      <c r="E45" s="69"/>
      <c r="F45" s="81"/>
      <c r="G45" s="69"/>
      <c r="N45" s="69" t="s">
        <v>42</v>
      </c>
      <c r="O45" s="381">
        <f>O43*((100+'Sheet 2'!AE13)/100)</f>
        <v>52.948308246544528</v>
      </c>
      <c r="P45" s="381"/>
      <c r="Q45" s="381"/>
      <c r="S45" s="53" t="s">
        <v>262</v>
      </c>
    </row>
    <row r="46" spans="2:31" s="169" customFormat="1" ht="8.25" customHeight="1" x14ac:dyDescent="0.25">
      <c r="B46" s="53"/>
      <c r="C46" s="69"/>
      <c r="D46" s="69"/>
      <c r="E46" s="69"/>
      <c r="F46" s="69"/>
      <c r="G46" s="69"/>
      <c r="N46" s="69"/>
      <c r="O46" s="69"/>
      <c r="P46" s="69"/>
      <c r="S46" s="53"/>
      <c r="U46" s="34"/>
    </row>
    <row r="47" spans="2:31" s="169" customFormat="1" ht="12.9" customHeight="1" x14ac:dyDescent="0.25">
      <c r="B47" s="53"/>
      <c r="C47" s="53" t="s">
        <v>101</v>
      </c>
      <c r="D47"/>
      <c r="E47"/>
      <c r="F47" s="81"/>
      <c r="G47"/>
      <c r="N47" s="69" t="s">
        <v>42</v>
      </c>
      <c r="O47" s="382">
        <f>N31</f>
        <v>0.89535390627309097</v>
      </c>
      <c r="P47" s="382"/>
      <c r="Q47" s="382"/>
      <c r="S47" s="53" t="s">
        <v>262</v>
      </c>
    </row>
    <row r="48" spans="2:31" s="169" customFormat="1" ht="8.25" customHeight="1" x14ac:dyDescent="0.25">
      <c r="B48" s="53"/>
      <c r="C48" s="69"/>
      <c r="D48" s="69"/>
      <c r="E48" s="69"/>
      <c r="F48" s="69"/>
      <c r="G48" s="69"/>
      <c r="N48" s="69"/>
      <c r="O48" s="69"/>
      <c r="P48" s="69"/>
      <c r="S48" s="53"/>
      <c r="U48" s="34"/>
    </row>
    <row r="49" spans="1:37" s="169" customFormat="1" ht="12.9" customHeight="1" x14ac:dyDescent="0.25">
      <c r="B49" s="53"/>
      <c r="C49" s="53" t="s">
        <v>263</v>
      </c>
      <c r="D49" s="53"/>
      <c r="E49" s="53"/>
      <c r="F49" s="81"/>
      <c r="G49" s="53"/>
      <c r="N49" s="69" t="s">
        <v>42</v>
      </c>
      <c r="O49" s="381">
        <f>O45/O47</f>
        <v>59.136736742392479</v>
      </c>
      <c r="P49" s="381"/>
      <c r="Q49" s="381"/>
      <c r="S49" s="53" t="s">
        <v>264</v>
      </c>
      <c r="X49" s="383"/>
      <c r="Y49" s="383"/>
      <c r="Z49" s="383"/>
      <c r="AA49" s="383"/>
    </row>
    <row r="50" spans="1:37" s="169" customFormat="1" ht="8.25" customHeight="1" x14ac:dyDescent="0.25">
      <c r="B50" s="53"/>
      <c r="C50" s="69"/>
      <c r="D50" s="69"/>
      <c r="E50" s="69"/>
      <c r="F50" s="69"/>
      <c r="G50" s="69"/>
      <c r="N50" s="69"/>
      <c r="O50" s="69"/>
      <c r="P50" s="69"/>
      <c r="S50" s="53"/>
      <c r="U50" s="34"/>
    </row>
    <row r="51" spans="1:37" s="169" customFormat="1" ht="12.9" customHeight="1" x14ac:dyDescent="0.25">
      <c r="C51" s="53" t="s">
        <v>315</v>
      </c>
      <c r="D51" s="53"/>
      <c r="E51" s="53"/>
      <c r="F51" s="53"/>
      <c r="G51" s="53"/>
      <c r="H51" s="53"/>
      <c r="I51" s="53"/>
      <c r="J51" s="53"/>
      <c r="AF51" s="380">
        <f>ROUNDUP(O49,0)</f>
        <v>60</v>
      </c>
      <c r="AG51" s="380"/>
      <c r="AH51" s="380"/>
      <c r="AI51" s="53" t="s">
        <v>264</v>
      </c>
    </row>
    <row r="52" spans="1:37" s="83" customFormat="1" ht="12.9" customHeight="1" x14ac:dyDescent="0.25">
      <c r="C52" s="53" t="s">
        <v>316</v>
      </c>
      <c r="D52" s="53"/>
      <c r="E52" s="53"/>
      <c r="F52" s="53"/>
      <c r="G52" s="53"/>
      <c r="H52" s="53"/>
      <c r="I52" s="53"/>
      <c r="J52" s="53"/>
      <c r="AH52" s="176"/>
      <c r="AI52" s="176"/>
      <c r="AJ52" s="176"/>
    </row>
    <row r="53" spans="1:37" s="83" customFormat="1" ht="12.9" customHeight="1" x14ac:dyDescent="0.25">
      <c r="C53" s="53"/>
      <c r="D53" s="53"/>
      <c r="E53" s="53"/>
      <c r="F53" s="53"/>
      <c r="G53" s="53"/>
      <c r="H53" s="53"/>
      <c r="I53" s="53"/>
      <c r="J53" s="53"/>
      <c r="AH53" s="176"/>
      <c r="AI53" s="176"/>
      <c r="AJ53" s="176"/>
    </row>
    <row r="54" spans="1:37" s="83" customFormat="1" ht="12.75" customHeight="1" x14ac:dyDescent="0.25">
      <c r="B54" s="57"/>
      <c r="C54" s="58" t="s">
        <v>274</v>
      </c>
      <c r="D54" s="69"/>
      <c r="E54" s="69"/>
      <c r="F54" s="69"/>
      <c r="G54" s="69"/>
      <c r="H54"/>
      <c r="I54"/>
    </row>
    <row r="55" spans="1:37" s="83" customFormat="1" ht="12.75" customHeight="1" x14ac:dyDescent="0.25">
      <c r="B55" s="57"/>
      <c r="C55" s="34" t="s">
        <v>255</v>
      </c>
      <c r="D55" s="69"/>
      <c r="E55" s="69"/>
      <c r="F55" s="69"/>
      <c r="G55" s="69"/>
      <c r="H55"/>
      <c r="I55"/>
      <c r="U55" s="34" t="s">
        <v>256</v>
      </c>
    </row>
    <row r="56" spans="1:37" s="83" customFormat="1" ht="12.75" customHeight="1" x14ac:dyDescent="0.25">
      <c r="B56" s="57"/>
      <c r="C56" s="53" t="s">
        <v>275</v>
      </c>
      <c r="M56" s="53" t="s">
        <v>564</v>
      </c>
      <c r="O56" s="115"/>
      <c r="P56" s="115"/>
      <c r="Q56" s="115"/>
      <c r="R56" s="115"/>
      <c r="S56" s="115"/>
      <c r="U56" s="53" t="s">
        <v>275</v>
      </c>
      <c r="AE56" s="53" t="s">
        <v>565</v>
      </c>
      <c r="AG56" s="115"/>
      <c r="AH56" s="115"/>
      <c r="AI56" s="115"/>
      <c r="AJ56" s="115"/>
      <c r="AK56" s="115"/>
    </row>
    <row r="57" spans="1:37" s="83" customFormat="1" ht="12.75" customHeight="1" x14ac:dyDescent="0.25">
      <c r="B57" s="57"/>
      <c r="C57" s="53" t="s">
        <v>276</v>
      </c>
      <c r="O57" s="390">
        <v>1000</v>
      </c>
      <c r="P57" s="390"/>
      <c r="Q57" s="390"/>
      <c r="U57" s="53" t="s">
        <v>277</v>
      </c>
      <c r="AG57" s="390">
        <v>1000</v>
      </c>
      <c r="AH57" s="390"/>
      <c r="AI57" s="390"/>
    </row>
    <row r="58" spans="1:37" s="83" customFormat="1" ht="12.9" customHeight="1" x14ac:dyDescent="0.25">
      <c r="B58" s="57"/>
      <c r="C58" s="53" t="s">
        <v>278</v>
      </c>
      <c r="N58" s="380">
        <f>'Sheet 2'!P34*((75*2)+(10*2))/1000</f>
        <v>42.5</v>
      </c>
      <c r="O58" s="380"/>
      <c r="P58" s="380"/>
      <c r="Q58" s="53" t="s">
        <v>260</v>
      </c>
      <c r="U58" s="53" t="s">
        <v>279</v>
      </c>
      <c r="AF58" s="380">
        <f>'Sheet 2'!AH34*((75*2)+(10*2))/1000</f>
        <v>384.2</v>
      </c>
      <c r="AG58" s="380"/>
      <c r="AH58" s="380"/>
      <c r="AI58" s="53" t="s">
        <v>260</v>
      </c>
    </row>
    <row r="59" spans="1:37" ht="12.9" customHeight="1" x14ac:dyDescent="0.25">
      <c r="B59" s="53"/>
      <c r="C59" s="53"/>
      <c r="D59" s="53"/>
      <c r="E59" s="53"/>
      <c r="F59" s="53"/>
      <c r="G59" s="53"/>
      <c r="H59" s="53"/>
      <c r="I59" s="53"/>
    </row>
    <row r="60" spans="1:37" s="83" customFormat="1" ht="12.9" customHeight="1" x14ac:dyDescent="0.25">
      <c r="B60" s="57"/>
      <c r="C60" s="53" t="s">
        <v>351</v>
      </c>
      <c r="S60" s="380">
        <f>N58+AF58</f>
        <v>426.7</v>
      </c>
      <c r="T60" s="380"/>
      <c r="U60" s="380"/>
      <c r="V60" s="53" t="s">
        <v>260</v>
      </c>
    </row>
    <row r="61" spans="1:37" s="83" customFormat="1" ht="12.9" customHeight="1" x14ac:dyDescent="0.25">
      <c r="C61" s="53" t="s">
        <v>352</v>
      </c>
    </row>
    <row r="62" spans="1:37" s="83" customFormat="1" ht="12.9" customHeight="1" x14ac:dyDescent="0.25">
      <c r="C62" s="53" t="s">
        <v>353</v>
      </c>
    </row>
    <row r="63" spans="1:37" ht="12.9" customHeight="1" x14ac:dyDescent="0.25">
      <c r="B63" s="57"/>
      <c r="C63" s="53"/>
      <c r="D63" s="66"/>
      <c r="E63"/>
      <c r="F63"/>
      <c r="G63"/>
      <c r="H63"/>
      <c r="I63"/>
    </row>
    <row r="64" spans="1:37" s="2" customFormat="1" ht="15.6" x14ac:dyDescent="0.3">
      <c r="A64" s="158"/>
      <c r="B64" s="158"/>
      <c r="C64" s="158"/>
      <c r="D64" s="158"/>
      <c r="E64" s="22"/>
      <c r="F64" s="22"/>
      <c r="G64" s="22"/>
      <c r="H64" s="22"/>
      <c r="I64" s="22"/>
      <c r="J64" s="159"/>
      <c r="K64" s="159"/>
      <c r="L64" s="159"/>
      <c r="M64" s="159"/>
      <c r="N64" s="159"/>
      <c r="O64" s="159"/>
      <c r="P64" s="159"/>
      <c r="Q64" s="159"/>
      <c r="R64" s="332"/>
      <c r="S64" s="332"/>
      <c r="T64" s="332"/>
      <c r="U64" s="332"/>
      <c r="V64" s="332"/>
      <c r="W64" s="332"/>
      <c r="X64" s="332"/>
      <c r="Y64" s="332"/>
      <c r="Z64" s="332"/>
      <c r="AA64" s="332"/>
      <c r="AB64" s="341" t="s">
        <v>2</v>
      </c>
      <c r="AC64" s="341"/>
      <c r="AD64" s="341">
        <v>7</v>
      </c>
      <c r="AE64" s="341"/>
      <c r="AF64" s="341" t="s">
        <v>177</v>
      </c>
      <c r="AG64" s="341"/>
      <c r="AH64" s="341">
        <v>9</v>
      </c>
      <c r="AI64" s="341"/>
      <c r="AJ64" s="166"/>
      <c r="AK64" s="166"/>
    </row>
    <row r="65" spans="1:11" s="2" customFormat="1" ht="15.75" customHeight="1" x14ac:dyDescent="0.3">
      <c r="A65" s="340"/>
      <c r="B65" s="340"/>
      <c r="C65" s="340"/>
      <c r="D65" s="340"/>
      <c r="E65" s="340"/>
      <c r="F65" s="23"/>
      <c r="G65" s="23"/>
      <c r="H65" s="23"/>
      <c r="I65" s="23"/>
      <c r="J65" s="23"/>
      <c r="K65" s="23"/>
    </row>
    <row r="66" spans="1:11" s="2" customFormat="1" ht="12.75" customHeight="1" x14ac:dyDescent="0.25">
      <c r="A66" s="30"/>
      <c r="B66" s="66"/>
      <c r="C66" s="34"/>
      <c r="D66" s="66"/>
      <c r="E66" s="66"/>
      <c r="F66" s="66"/>
      <c r="G66" s="66"/>
      <c r="H66" s="66"/>
      <c r="I66" s="66"/>
      <c r="J66"/>
      <c r="K66" s="30"/>
    </row>
  </sheetData>
  <sheetProtection formatCells="0" formatColumns="0" formatRows="0"/>
  <protectedRanges>
    <protectedRange sqref="H7:J9 G10:J12 W15 P30 I30 A14:F14 A25:H31 H14:AK14 L30:O31 B11:C13 I15:N15 AG15:AK15 A59:AK59 A15:G15 H13:J13 J25:AK29 J30:J31 Q30:AK31 I25:I27 K30 A63:AK63 A67:AK1678 D5:F13 AG5:AK13 A5:A13 K5:N13 G5:J6 B5:C9 A3:AK4 O5:AF12" name="Range2"/>
    <protectedRange sqref="A64:AK66" name="Range2_4"/>
    <protectedRange sqref="AD17 H16 I16:I18 K16:L18 I20 G23 J16:J24 O21:AF24 M16:N24 G16:G18 G20 AG16:AK24 K20:L24 H18:H24 I23:I24 A16:E24 F16:F19 F21:F24" name="Range2_2"/>
    <protectedRange sqref="G32:G34 R37:T39 G36 O37:P39 I36 O33:T36 AB33:AE36 AB37:AB39 AD37:AE39 I32:I34 U33:AA40 AF33:AK40 AB40:AE40 G40:T40 O32:AK32 A32:F40 H32:H36 J32:N36" name="Range2_6"/>
    <protectedRange sqref="AK41:AK51 A41:B51" name="Range2_7"/>
    <protectedRange sqref="AJ51 AF51:AH51 AE41:AJ50" name="Range2_2_2"/>
    <protectedRange sqref="O50:T50 D41:G51 L43:R49 T43:T49 C49:C50 S43:S47 U44:W50 C41:C47 X41:AD50 H41:W42 U43:V43 H50:N51" name="Range2_1_2"/>
    <protectedRange sqref="C51" name="Range2_3_1"/>
    <protectedRange sqref="AA60:AK60 A60:B60 C54:AJ55 A52:B58 AK52:AK58 S56:T58" name="Range2_8"/>
    <protectedRange sqref="AG52:AJ53" name="Range2_2_3"/>
    <protectedRange sqref="D52:N53" name="Range2_1_2_1"/>
    <protectedRange sqref="C52:C53 C61" name="Range2_3_1_1"/>
    <protectedRange sqref="D57:M58 N56:R57 C57 U57 AE57 AF56:AJ57 Q58 V60" name="Range2_3_3"/>
    <protectedRange sqref="AJ58" name="Range2_4_1"/>
    <protectedRange sqref="V57:AD57 V58:AE58" name="Range2_7_1"/>
    <protectedRange sqref="AI58" name="Range2_1_1_1"/>
  </protectedRanges>
  <mergeCells count="40">
    <mergeCell ref="AG57:AI57"/>
    <mergeCell ref="AF58:AH58"/>
    <mergeCell ref="N58:P58"/>
    <mergeCell ref="O57:Q57"/>
    <mergeCell ref="AF51:AH51"/>
    <mergeCell ref="H28:J28"/>
    <mergeCell ref="A1:K1"/>
    <mergeCell ref="A2:Q2"/>
    <mergeCell ref="F7:H7"/>
    <mergeCell ref="F8:H8"/>
    <mergeCell ref="F9:H9"/>
    <mergeCell ref="F13:H13"/>
    <mergeCell ref="F21:H21"/>
    <mergeCell ref="F22:H22"/>
    <mergeCell ref="F24:H24"/>
    <mergeCell ref="T15:V15"/>
    <mergeCell ref="N31:P31"/>
    <mergeCell ref="AA17:AC17"/>
    <mergeCell ref="P37:R37"/>
    <mergeCell ref="AB37:AD37"/>
    <mergeCell ref="P38:R38"/>
    <mergeCell ref="AB38:AD38"/>
    <mergeCell ref="P39:R39"/>
    <mergeCell ref="AB39:AD39"/>
    <mergeCell ref="Z64:AA64"/>
    <mergeCell ref="AB64:AC64"/>
    <mergeCell ref="AD64:AE64"/>
    <mergeCell ref="O43:Q43"/>
    <mergeCell ref="O45:Q45"/>
    <mergeCell ref="O47:Q47"/>
    <mergeCell ref="O49:Q49"/>
    <mergeCell ref="X49:AA49"/>
    <mergeCell ref="S60:U60"/>
    <mergeCell ref="AF64:AG64"/>
    <mergeCell ref="AH64:AI64"/>
    <mergeCell ref="A65:E65"/>
    <mergeCell ref="R64:S64"/>
    <mergeCell ref="T64:U64"/>
    <mergeCell ref="V64:W64"/>
    <mergeCell ref="X64:Y64"/>
  </mergeCells>
  <hyperlinks>
    <hyperlink ref="AL1" r:id="rId1" xr:uid="{BDF7DAAE-D472-4F97-A185-3F488A386189}"/>
  </hyperlinks>
  <pageMargins left="0.25" right="0.25" top="0.75" bottom="0.75" header="0.3" footer="0.3"/>
  <pageSetup paperSize="9" scale="95" orientation="portrait" r:id="rId2"/>
  <headerFooter alignWithMargins="0">
    <oddHeader xml:space="preserve">&amp;R
</oddHeader>
  </headerFooter>
  <drawing r:id="rId3"/>
  <legacyDrawingHF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P63"/>
  <sheetViews>
    <sheetView zoomScale="130" zoomScaleNormal="130" zoomScaleSheetLayoutView="145" workbookViewId="0">
      <selection activeCell="AK4" sqref="AK4"/>
    </sheetView>
  </sheetViews>
  <sheetFormatPr defaultColWidth="2.5546875" defaultRowHeight="12.9" customHeight="1" x14ac:dyDescent="0.25"/>
  <cols>
    <col min="1" max="36" width="2.5546875" style="30" customWidth="1"/>
    <col min="37" max="37" width="2.44140625" style="30" customWidth="1"/>
    <col min="38" max="16384" width="2.5546875" style="30"/>
  </cols>
  <sheetData>
    <row r="1" spans="1:42" s="1" customFormat="1" ht="15" customHeight="1" thickTop="1" x14ac:dyDescent="0.25">
      <c r="A1" s="313"/>
      <c r="B1" s="313"/>
      <c r="C1" s="313"/>
      <c r="D1" s="313"/>
      <c r="E1" s="313"/>
      <c r="F1" s="313"/>
      <c r="G1" s="313"/>
      <c r="H1" s="313"/>
      <c r="I1" s="313"/>
      <c r="J1" s="313"/>
      <c r="K1" s="313"/>
      <c r="AP1" s="259" t="s">
        <v>607</v>
      </c>
    </row>
    <row r="2" spans="1:42" s="1" customFormat="1" ht="15" customHeight="1" x14ac:dyDescent="0.25">
      <c r="A2" s="313" t="s">
        <v>22</v>
      </c>
      <c r="B2" s="313"/>
      <c r="C2" s="313"/>
      <c r="D2" s="313"/>
      <c r="E2" s="313"/>
      <c r="F2" s="313"/>
      <c r="G2" s="313"/>
      <c r="H2" s="313"/>
      <c r="I2" s="313"/>
      <c r="J2" s="313"/>
      <c r="K2" s="313"/>
      <c r="L2" s="313"/>
      <c r="M2" s="313"/>
      <c r="N2" s="313"/>
      <c r="O2" s="313"/>
      <c r="P2" s="313"/>
      <c r="Q2" s="313"/>
      <c r="AP2" s="255" t="s">
        <v>608</v>
      </c>
    </row>
    <row r="4" spans="1:42" s="83" customFormat="1" ht="12.9" customHeight="1" x14ac:dyDescent="0.25">
      <c r="A4" s="73" t="s">
        <v>282</v>
      </c>
      <c r="B4" s="52" t="s">
        <v>283</v>
      </c>
      <c r="C4" s="69"/>
      <c r="D4" s="69"/>
      <c r="E4" s="69"/>
      <c r="F4" s="69"/>
      <c r="G4" s="69"/>
      <c r="H4" s="69"/>
      <c r="I4" s="69"/>
      <c r="J4"/>
    </row>
    <row r="5" spans="1:42" s="83" customFormat="1" ht="12.9" customHeight="1" x14ac:dyDescent="0.25">
      <c r="B5" s="69"/>
      <c r="C5" s="69"/>
      <c r="D5" s="69"/>
      <c r="E5" s="69"/>
      <c r="F5" s="69"/>
      <c r="G5" s="69"/>
      <c r="H5" s="69"/>
      <c r="I5" s="69"/>
      <c r="J5"/>
    </row>
    <row r="6" spans="1:42" s="83" customFormat="1" ht="12.9" customHeight="1" x14ac:dyDescent="0.25">
      <c r="B6" s="57"/>
      <c r="C6" s="53" t="s">
        <v>284</v>
      </c>
      <c r="D6" s="69"/>
      <c r="E6"/>
      <c r="H6" s="81"/>
      <c r="I6"/>
      <c r="J6"/>
      <c r="O6" s="389">
        <f>'Sheet 4'!F13</f>
        <v>9.7745276369860434</v>
      </c>
      <c r="P6" s="389"/>
      <c r="Q6" s="389"/>
      <c r="S6" s="53" t="s">
        <v>92</v>
      </c>
    </row>
    <row r="7" spans="1:42" s="83" customFormat="1" ht="12.9" customHeight="1" x14ac:dyDescent="0.25">
      <c r="B7" s="53"/>
      <c r="C7" s="69"/>
      <c r="D7" s="69"/>
      <c r="E7"/>
      <c r="H7" s="81"/>
      <c r="I7" s="53"/>
      <c r="J7" s="53"/>
      <c r="O7" s="179"/>
      <c r="S7" s="69"/>
    </row>
    <row r="8" spans="1:42" s="83" customFormat="1" ht="12.9" customHeight="1" x14ac:dyDescent="0.25">
      <c r="B8" s="53"/>
      <c r="C8" s="53" t="s">
        <v>285</v>
      </c>
      <c r="D8" s="69"/>
      <c r="E8"/>
      <c r="H8" s="81"/>
      <c r="I8" s="53"/>
      <c r="J8" s="53"/>
      <c r="O8" s="384">
        <f>'Sheet 4'!AF51</f>
        <v>60</v>
      </c>
      <c r="P8" s="384"/>
      <c r="Q8" s="384"/>
      <c r="S8" s="69"/>
    </row>
    <row r="9" spans="1:42" s="83" customFormat="1" ht="12.9" customHeight="1" x14ac:dyDescent="0.25">
      <c r="B9" s="53"/>
      <c r="C9" s="69"/>
      <c r="D9" s="69"/>
      <c r="E9"/>
      <c r="H9" s="81"/>
      <c r="I9"/>
      <c r="J9"/>
      <c r="O9"/>
      <c r="S9" s="69"/>
    </row>
    <row r="10" spans="1:42" s="83" customFormat="1" ht="12.9" customHeight="1" x14ac:dyDescent="0.25">
      <c r="B10" s="57"/>
      <c r="C10" s="53" t="s">
        <v>286</v>
      </c>
      <c r="D10" s="69"/>
      <c r="E10"/>
      <c r="H10" s="81"/>
      <c r="I10"/>
      <c r="J10"/>
      <c r="M10" s="34" t="s">
        <v>428</v>
      </c>
      <c r="O10" s="391">
        <f>O6/O8</f>
        <v>0.1629087939497674</v>
      </c>
      <c r="P10" s="391"/>
      <c r="Q10" s="391"/>
      <c r="S10" s="53" t="s">
        <v>92</v>
      </c>
    </row>
    <row r="11" spans="1:42" s="83" customFormat="1" ht="12.9" customHeight="1" x14ac:dyDescent="0.25">
      <c r="B11" s="57"/>
      <c r="C11" s="53"/>
      <c r="D11" s="69"/>
      <c r="E11"/>
      <c r="F11"/>
      <c r="G11"/>
      <c r="H11" s="125"/>
      <c r="I11" s="53"/>
      <c r="J11"/>
    </row>
    <row r="12" spans="1:42" s="83" customFormat="1" ht="12.9" customHeight="1" x14ac:dyDescent="0.25">
      <c r="A12" s="73" t="s">
        <v>287</v>
      </c>
      <c r="B12" s="52" t="s">
        <v>288</v>
      </c>
    </row>
    <row r="13" spans="1:42" s="83" customFormat="1" ht="12.9" customHeight="1" x14ac:dyDescent="0.25">
      <c r="A13" s="73"/>
      <c r="B13" s="52"/>
    </row>
    <row r="14" spans="1:42" s="83" customFormat="1" ht="12.9" customHeight="1" x14ac:dyDescent="0.25">
      <c r="B14" s="58" t="s">
        <v>255</v>
      </c>
      <c r="U14" s="58" t="s">
        <v>256</v>
      </c>
    </row>
    <row r="15" spans="1:42" s="83" customFormat="1" ht="12.9" customHeight="1" x14ac:dyDescent="0.25">
      <c r="B15" s="34" t="s">
        <v>290</v>
      </c>
      <c r="U15" s="34" t="s">
        <v>290</v>
      </c>
    </row>
    <row r="16" spans="1:42" s="83" customFormat="1" ht="12.9" customHeight="1" x14ac:dyDescent="0.25">
      <c r="B16" s="53" t="s">
        <v>119</v>
      </c>
      <c r="C16" s="53" t="s">
        <v>42</v>
      </c>
      <c r="D16" s="53" t="s">
        <v>289</v>
      </c>
      <c r="U16" s="53" t="s">
        <v>119</v>
      </c>
      <c r="V16" s="53" t="s">
        <v>42</v>
      </c>
      <c r="W16" s="53" t="s">
        <v>289</v>
      </c>
    </row>
    <row r="17" spans="2:37" s="83" customFormat="1" ht="12.9" customHeight="1" x14ac:dyDescent="0.25">
      <c r="B17" s="34"/>
      <c r="J17" s="99"/>
      <c r="P17" s="99"/>
      <c r="Q17" s="99"/>
      <c r="U17" s="34"/>
      <c r="AC17" s="99"/>
      <c r="AI17" s="99"/>
      <c r="AJ17" s="99"/>
    </row>
    <row r="18" spans="2:37" s="83" customFormat="1" ht="12.9" customHeight="1" x14ac:dyDescent="0.25">
      <c r="B18" s="53" t="s">
        <v>43</v>
      </c>
      <c r="F18" s="99"/>
      <c r="G18" s="99"/>
      <c r="U18" s="53" t="s">
        <v>43</v>
      </c>
      <c r="Y18" s="99"/>
      <c r="Z18" s="99"/>
    </row>
    <row r="19" spans="2:37" s="83" customFormat="1" ht="12.9" customHeight="1" x14ac:dyDescent="0.25">
      <c r="B19" s="100" t="s">
        <v>87</v>
      </c>
      <c r="C19" s="60" t="s">
        <v>42</v>
      </c>
      <c r="D19" s="384">
        <f>'Sheet 2'!AE9</f>
        <v>45</v>
      </c>
      <c r="E19" s="384"/>
      <c r="F19" s="384"/>
      <c r="G19" s="167"/>
      <c r="H19" s="53" t="s">
        <v>120</v>
      </c>
      <c r="U19" s="100" t="s">
        <v>87</v>
      </c>
      <c r="V19" s="60" t="s">
        <v>42</v>
      </c>
      <c r="W19" s="384">
        <f>D19</f>
        <v>45</v>
      </c>
      <c r="X19" s="384"/>
      <c r="Y19" s="384"/>
      <c r="Z19" s="167"/>
      <c r="AA19" s="53" t="s">
        <v>120</v>
      </c>
    </row>
    <row r="20" spans="2:37" s="83" customFormat="1" ht="12.9" customHeight="1" x14ac:dyDescent="0.25">
      <c r="B20" s="53" t="s">
        <v>89</v>
      </c>
      <c r="C20" s="60" t="s">
        <v>42</v>
      </c>
      <c r="D20" s="384">
        <f>'Sheet 2'!P34*100</f>
        <v>25000</v>
      </c>
      <c r="E20" s="384"/>
      <c r="F20" s="384"/>
      <c r="G20" s="167"/>
      <c r="H20" s="53" t="s">
        <v>121</v>
      </c>
      <c r="U20" s="53" t="s">
        <v>89</v>
      </c>
      <c r="V20" s="60" t="s">
        <v>42</v>
      </c>
      <c r="W20" s="384">
        <f>'Sheet 2'!AH34*100</f>
        <v>226000</v>
      </c>
      <c r="X20" s="384"/>
      <c r="Y20" s="384"/>
      <c r="Z20" s="167"/>
      <c r="AA20" s="53" t="s">
        <v>121</v>
      </c>
    </row>
    <row r="21" spans="2:37" s="83" customFormat="1" ht="12.9" customHeight="1" x14ac:dyDescent="0.25">
      <c r="B21" s="53" t="s">
        <v>83</v>
      </c>
      <c r="C21" s="60" t="s">
        <v>42</v>
      </c>
      <c r="D21" s="384">
        <f>'Sheet 2'!AE27</f>
        <v>60</v>
      </c>
      <c r="E21" s="384"/>
      <c r="F21" s="384"/>
      <c r="G21" s="167"/>
      <c r="H21" s="53" t="s">
        <v>122</v>
      </c>
      <c r="U21" s="53" t="s">
        <v>83</v>
      </c>
      <c r="V21" s="60" t="s">
        <v>42</v>
      </c>
      <c r="W21" s="384">
        <f>D21</f>
        <v>60</v>
      </c>
      <c r="X21" s="384"/>
      <c r="Y21" s="384"/>
      <c r="Z21" s="167"/>
      <c r="AA21" s="53" t="s">
        <v>122</v>
      </c>
    </row>
    <row r="22" spans="2:37" s="83" customFormat="1" ht="12.9" customHeight="1" x14ac:dyDescent="0.25">
      <c r="B22" s="53" t="s">
        <v>77</v>
      </c>
      <c r="C22" s="60" t="s">
        <v>42</v>
      </c>
      <c r="D22" s="389">
        <f>'Sheet 2'!AE29</f>
        <v>7.5</v>
      </c>
      <c r="E22" s="389"/>
      <c r="F22" s="389"/>
      <c r="G22" s="167"/>
      <c r="H22" s="53" t="s">
        <v>123</v>
      </c>
      <c r="U22" s="53" t="s">
        <v>77</v>
      </c>
      <c r="V22" s="60" t="s">
        <v>42</v>
      </c>
      <c r="W22" s="389">
        <f>D22</f>
        <v>7.5</v>
      </c>
      <c r="X22" s="389"/>
      <c r="Y22" s="389"/>
      <c r="Z22" s="167"/>
      <c r="AA22" s="53" t="s">
        <v>123</v>
      </c>
    </row>
    <row r="23" spans="2:37" s="83" customFormat="1" ht="12.9" customHeight="1" x14ac:dyDescent="0.25">
      <c r="F23" s="99"/>
      <c r="G23" s="99"/>
      <c r="Y23" s="99"/>
      <c r="Z23" s="99"/>
    </row>
    <row r="24" spans="2:37" s="83" customFormat="1" ht="12.9" customHeight="1" x14ac:dyDescent="0.25">
      <c r="B24" s="34" t="s">
        <v>119</v>
      </c>
      <c r="D24" s="389">
        <f>((100*D19)/(2*PI()*D20))*(LN((4*D20)/(D22)))</f>
        <v>0.27209829989312589</v>
      </c>
      <c r="E24" s="389"/>
      <c r="F24" s="389"/>
      <c r="G24" s="167"/>
      <c r="H24" s="53" t="s">
        <v>92</v>
      </c>
      <c r="J24" s="99"/>
      <c r="P24" s="99"/>
      <c r="Q24" s="99"/>
      <c r="U24" s="34" t="s">
        <v>119</v>
      </c>
      <c r="W24" s="391">
        <f>((100*W19)/(2*PI()*W20))*(LN((4*W20)/(W22)))</f>
        <v>3.7076458982625175E-2</v>
      </c>
      <c r="X24" s="391"/>
      <c r="Y24" s="391"/>
      <c r="Z24" s="167"/>
      <c r="AA24" s="53" t="s">
        <v>92</v>
      </c>
      <c r="AC24" s="99"/>
    </row>
    <row r="25" spans="2:37" s="83" customFormat="1" ht="12.9" customHeight="1" x14ac:dyDescent="0.25"/>
    <row r="26" spans="2:37" s="83" customFormat="1" ht="12.9" customHeight="1" x14ac:dyDescent="0.3">
      <c r="B26" s="34" t="s">
        <v>426</v>
      </c>
      <c r="T26" s="392" t="s">
        <v>42</v>
      </c>
      <c r="U26" s="199" t="s">
        <v>430</v>
      </c>
      <c r="V26" s="200"/>
      <c r="W26" s="200"/>
      <c r="X26" s="200"/>
      <c r="Y26" s="200"/>
      <c r="Z26" s="200"/>
      <c r="AA26" s="200"/>
      <c r="AB26" s="200"/>
      <c r="AC26" s="200"/>
      <c r="AD26" s="200"/>
      <c r="AE26" s="200"/>
    </row>
    <row r="27" spans="2:37" s="83" customFormat="1" ht="12.9" customHeight="1" x14ac:dyDescent="0.3">
      <c r="T27" s="393"/>
      <c r="U27" s="155" t="s">
        <v>476</v>
      </c>
      <c r="AK27" s="34"/>
    </row>
    <row r="28" spans="2:37" s="83" customFormat="1" ht="12.9" customHeight="1" x14ac:dyDescent="0.25">
      <c r="F28" s="99"/>
      <c r="G28" s="99"/>
      <c r="Y28" s="99"/>
      <c r="Z28" s="99"/>
    </row>
    <row r="29" spans="2:37" s="83" customFormat="1" ht="12.9" customHeight="1" x14ac:dyDescent="0.25">
      <c r="B29" s="34"/>
      <c r="T29" s="227" t="s">
        <v>42</v>
      </c>
      <c r="U29" s="391">
        <f>D24*W24/(D24+W24)</f>
        <v>3.2630223411231951E-2</v>
      </c>
      <c r="V29" s="391"/>
      <c r="W29" s="391"/>
      <c r="Y29" s="34" t="s">
        <v>103</v>
      </c>
    </row>
    <row r="30" spans="2:37" s="83" customFormat="1" ht="12.9" customHeight="1" x14ac:dyDescent="0.25">
      <c r="B30" s="34"/>
      <c r="T30" s="227"/>
      <c r="U30" s="227"/>
      <c r="V30" s="227"/>
      <c r="W30" s="227"/>
      <c r="X30" s="227"/>
      <c r="Y30" s="227"/>
      <c r="Z30" s="227"/>
    </row>
    <row r="31" spans="2:37" s="83" customFormat="1" ht="12.9" customHeight="1" x14ac:dyDescent="0.3">
      <c r="B31" s="34" t="s">
        <v>427</v>
      </c>
      <c r="M31" s="392" t="s">
        <v>42</v>
      </c>
      <c r="N31" s="199" t="s">
        <v>429</v>
      </c>
      <c r="O31" s="200"/>
      <c r="P31" s="200"/>
      <c r="Q31" s="200"/>
      <c r="R31" s="200"/>
      <c r="S31" s="200"/>
      <c r="T31" s="200"/>
      <c r="U31" s="200"/>
      <c r="AE31" s="180"/>
      <c r="AF31" s="180"/>
      <c r="AG31" s="180"/>
      <c r="AI31" s="34"/>
      <c r="AK31" s="34"/>
    </row>
    <row r="32" spans="2:37" s="83" customFormat="1" ht="12.9" customHeight="1" x14ac:dyDescent="0.3">
      <c r="M32" s="393"/>
      <c r="N32" s="155" t="s">
        <v>429</v>
      </c>
      <c r="AA32" s="53"/>
    </row>
    <row r="33" spans="1:28" s="83" customFormat="1" ht="12.9" customHeight="1" x14ac:dyDescent="0.25">
      <c r="B33" s="34"/>
      <c r="AA33" s="53"/>
    </row>
    <row r="34" spans="1:28" s="83" customFormat="1" ht="12.9" customHeight="1" x14ac:dyDescent="0.25">
      <c r="M34" s="227" t="s">
        <v>42</v>
      </c>
      <c r="O34" s="391">
        <f>O10*U29/(O10+U29)</f>
        <v>2.7185113303609652E-2</v>
      </c>
      <c r="P34" s="391"/>
      <c r="Q34" s="391"/>
      <c r="S34" s="34" t="s">
        <v>103</v>
      </c>
      <c r="U34" s="34"/>
      <c r="AA34" s="53"/>
    </row>
    <row r="35" spans="1:28" s="83" customFormat="1" ht="12.9" customHeight="1" x14ac:dyDescent="0.25"/>
    <row r="36" spans="1:28" ht="12.9" customHeight="1" x14ac:dyDescent="0.25">
      <c r="A36" s="73"/>
      <c r="B36" s="154">
        <v>6</v>
      </c>
      <c r="C36" s="52" t="s">
        <v>125</v>
      </c>
      <c r="D36" s="85"/>
      <c r="E36" s="85"/>
      <c r="F36" s="86"/>
      <c r="G36" s="98"/>
      <c r="H36" s="97"/>
      <c r="I36" s="98"/>
      <c r="J36" s="84"/>
      <c r="K36" s="84"/>
      <c r="L36" s="84"/>
      <c r="M36" s="84"/>
      <c r="N36" s="84"/>
      <c r="O36" s="84"/>
      <c r="P36" s="84"/>
      <c r="Q36" s="84"/>
      <c r="R36" s="84"/>
      <c r="S36" s="84"/>
      <c r="T36" s="84"/>
      <c r="V36" s="84"/>
    </row>
    <row r="37" spans="1:28" ht="12.9" customHeight="1" x14ac:dyDescent="0.25">
      <c r="C37" s="53" t="s">
        <v>355</v>
      </c>
    </row>
    <row r="38" spans="1:28" s="83" customFormat="1" ht="12.9" customHeight="1" x14ac:dyDescent="0.25"/>
    <row r="39" spans="1:28" ht="12.9" customHeight="1" x14ac:dyDescent="0.25">
      <c r="A39" s="73"/>
      <c r="B39" s="154">
        <v>7</v>
      </c>
      <c r="C39" s="52" t="s">
        <v>126</v>
      </c>
      <c r="E39" s="85"/>
      <c r="F39" s="86"/>
      <c r="G39" s="98"/>
      <c r="H39" s="97"/>
      <c r="I39" s="98"/>
      <c r="J39" s="84"/>
      <c r="K39" s="84"/>
      <c r="L39" s="84"/>
      <c r="M39" s="84"/>
      <c r="N39" s="84"/>
      <c r="O39" s="84"/>
      <c r="P39" s="84"/>
      <c r="Q39" s="84"/>
      <c r="R39" s="84"/>
      <c r="S39" s="84"/>
      <c r="T39" s="84"/>
      <c r="V39" s="84"/>
    </row>
    <row r="40" spans="1:28" ht="12.9" customHeight="1" x14ac:dyDescent="0.25">
      <c r="B40" s="66"/>
      <c r="C40" s="66"/>
      <c r="D40" s="101"/>
      <c r="E40" s="101"/>
      <c r="F40" s="101"/>
      <c r="G40" s="101"/>
      <c r="H40" s="101"/>
      <c r="I40" s="101"/>
      <c r="J40" s="83"/>
      <c r="K40" s="83"/>
      <c r="L40" s="83"/>
      <c r="M40" s="83"/>
      <c r="N40" s="83"/>
      <c r="O40" s="83"/>
      <c r="P40" s="83"/>
      <c r="Q40" s="83"/>
      <c r="R40" s="83"/>
      <c r="S40" s="83"/>
      <c r="T40" s="83"/>
      <c r="U40" s="83"/>
      <c r="W40" s="83"/>
      <c r="X40" s="83"/>
      <c r="Y40" s="83"/>
      <c r="Z40" s="83"/>
      <c r="AA40" s="83"/>
      <c r="AB40" s="83"/>
    </row>
    <row r="41" spans="1:28" ht="12.9" customHeight="1" x14ac:dyDescent="0.25">
      <c r="B41" s="34" t="s">
        <v>127</v>
      </c>
      <c r="C41" s="83"/>
      <c r="D41" s="83"/>
      <c r="E41" s="83"/>
      <c r="F41" s="83"/>
      <c r="G41" s="380">
        <v>60</v>
      </c>
      <c r="H41" s="380"/>
      <c r="I41" s="380"/>
      <c r="J41" s="53" t="s">
        <v>128</v>
      </c>
      <c r="K41" s="83"/>
      <c r="L41" s="380">
        <v>3</v>
      </c>
      <c r="M41" s="380"/>
      <c r="N41" s="380"/>
      <c r="O41" s="53" t="s">
        <v>129</v>
      </c>
      <c r="P41" s="83"/>
      <c r="Q41" s="83"/>
      <c r="R41" s="380">
        <f>'Sheet 2'!AE12*10</f>
        <v>100</v>
      </c>
      <c r="S41" s="380"/>
      <c r="T41" s="380"/>
      <c r="U41" s="53" t="s">
        <v>431</v>
      </c>
      <c r="W41" s="83"/>
      <c r="X41" s="83"/>
      <c r="Y41" s="83"/>
      <c r="Z41" s="83"/>
      <c r="AA41" s="83"/>
      <c r="AB41" s="83"/>
    </row>
    <row r="42" spans="1:28" ht="12.9" customHeight="1" x14ac:dyDescent="0.25">
      <c r="B42" s="34" t="s">
        <v>130</v>
      </c>
      <c r="C42" s="53"/>
      <c r="D42" s="53"/>
      <c r="E42" s="53"/>
      <c r="F42" s="83"/>
      <c r="G42" s="83"/>
      <c r="H42" s="53"/>
      <c r="I42" s="66"/>
      <c r="J42" s="83"/>
      <c r="K42" s="83"/>
      <c r="L42" s="83"/>
      <c r="M42" s="83"/>
      <c r="N42" s="83"/>
      <c r="O42" s="83"/>
      <c r="P42" s="83"/>
      <c r="Q42" s="83"/>
      <c r="R42" s="46"/>
      <c r="S42" s="46"/>
      <c r="T42" s="46"/>
      <c r="U42" s="53"/>
      <c r="W42" s="83"/>
      <c r="X42" s="83"/>
      <c r="Y42" s="83"/>
      <c r="Z42" s="83"/>
      <c r="AA42" s="83"/>
      <c r="AB42" s="53"/>
    </row>
    <row r="43" spans="1:28" ht="12.9" customHeight="1" x14ac:dyDescent="0.25">
      <c r="B43" s="34" t="s">
        <v>131</v>
      </c>
      <c r="C43" s="53"/>
      <c r="D43" s="53"/>
      <c r="E43" s="53"/>
      <c r="F43" s="83"/>
      <c r="G43" s="83"/>
      <c r="H43" s="53"/>
      <c r="I43" s="66"/>
      <c r="J43" s="83"/>
      <c r="K43" s="83"/>
      <c r="L43" s="83"/>
      <c r="M43" s="83"/>
      <c r="N43" s="83"/>
      <c r="O43" s="380" t="s">
        <v>132</v>
      </c>
      <c r="P43" s="380"/>
      <c r="Q43" s="380"/>
      <c r="R43" s="53" t="s">
        <v>133</v>
      </c>
      <c r="S43" s="83"/>
      <c r="T43" s="83"/>
      <c r="U43" s="83"/>
      <c r="W43" s="83"/>
      <c r="X43" s="53" t="s">
        <v>224</v>
      </c>
      <c r="Y43" s="83"/>
      <c r="Z43" s="83"/>
    </row>
    <row r="44" spans="1:28" ht="12.9" customHeight="1" x14ac:dyDescent="0.25">
      <c r="B44" s="34" t="s">
        <v>226</v>
      </c>
      <c r="C44" s="53"/>
      <c r="D44" s="53"/>
      <c r="E44" s="53"/>
      <c r="F44" s="83"/>
      <c r="G44" s="83"/>
      <c r="H44" s="53"/>
      <c r="I44" s="66"/>
      <c r="J44" s="83"/>
      <c r="K44" s="83"/>
      <c r="L44" s="83"/>
      <c r="M44" s="83"/>
      <c r="N44" s="83"/>
      <c r="O44" s="380" t="s">
        <v>132</v>
      </c>
      <c r="P44" s="380"/>
      <c r="Q44" s="380"/>
      <c r="R44" s="53" t="s">
        <v>133</v>
      </c>
      <c r="S44" s="83"/>
      <c r="T44" s="83"/>
      <c r="U44" s="83"/>
      <c r="W44" s="83"/>
      <c r="X44" s="53" t="s">
        <v>225</v>
      </c>
      <c r="Y44" s="83"/>
      <c r="Z44" s="83"/>
    </row>
    <row r="45" spans="1:28" ht="12.9" customHeight="1" x14ac:dyDescent="0.25">
      <c r="B45" s="34" t="s">
        <v>432</v>
      </c>
      <c r="C45" s="53"/>
      <c r="D45" s="53"/>
      <c r="E45" s="53"/>
      <c r="F45" s="83"/>
      <c r="G45" s="83"/>
      <c r="H45" s="53"/>
      <c r="I45" s="66"/>
      <c r="J45" s="83"/>
      <c r="K45" s="83"/>
      <c r="L45" s="83"/>
      <c r="M45" s="83"/>
      <c r="N45" s="83"/>
      <c r="O45" s="83"/>
      <c r="P45" s="83"/>
      <c r="Q45" s="83"/>
      <c r="R45" s="46"/>
      <c r="S45" s="46"/>
      <c r="T45" s="46"/>
      <c r="U45" s="53"/>
      <c r="W45" s="83"/>
      <c r="X45" s="83"/>
      <c r="Y45" s="83"/>
      <c r="Z45" s="83"/>
      <c r="AA45" s="83"/>
      <c r="AB45" s="53"/>
    </row>
    <row r="46" spans="1:28" ht="12.9" customHeight="1" x14ac:dyDescent="0.25">
      <c r="B46" s="34" t="s">
        <v>593</v>
      </c>
      <c r="C46" s="53"/>
      <c r="D46" s="53"/>
      <c r="E46" s="53"/>
      <c r="F46" s="83"/>
      <c r="G46" s="83"/>
      <c r="H46" s="66"/>
      <c r="J46" s="83"/>
      <c r="K46" s="83"/>
      <c r="L46" s="83"/>
      <c r="M46" s="83"/>
      <c r="N46" s="83"/>
      <c r="O46" s="83"/>
      <c r="P46" s="83"/>
      <c r="Q46" s="83"/>
      <c r="R46" s="46"/>
      <c r="S46" s="46"/>
      <c r="T46" s="46"/>
      <c r="U46" s="53"/>
      <c r="W46" s="83"/>
      <c r="X46" s="83"/>
      <c r="Y46" s="83"/>
      <c r="Z46" s="83"/>
      <c r="AA46" s="83"/>
      <c r="AB46" s="53"/>
    </row>
    <row r="47" spans="1:28" ht="12.9" customHeight="1" x14ac:dyDescent="0.25">
      <c r="B47" s="34" t="s">
        <v>317</v>
      </c>
      <c r="C47" s="53"/>
      <c r="D47" s="53"/>
      <c r="E47" s="53"/>
      <c r="F47" s="83"/>
      <c r="G47" s="83"/>
      <c r="H47" s="53"/>
      <c r="I47" s="66"/>
      <c r="J47" s="83"/>
      <c r="K47" s="83"/>
      <c r="L47" s="83"/>
      <c r="M47" s="83"/>
      <c r="N47" s="83"/>
      <c r="O47" s="83"/>
      <c r="P47" s="83"/>
      <c r="Q47" s="83"/>
      <c r="R47" s="34"/>
      <c r="S47" s="34"/>
      <c r="T47" s="34"/>
      <c r="U47" s="53"/>
      <c r="W47" s="83"/>
      <c r="X47" s="83"/>
      <c r="Y47" s="83"/>
      <c r="Z47" s="83"/>
      <c r="AA47" s="83"/>
      <c r="AB47" s="83"/>
    </row>
    <row r="49" spans="1:37" ht="12.9" customHeight="1" x14ac:dyDescent="0.25">
      <c r="B49" s="92"/>
      <c r="C49" s="102"/>
      <c r="D49" s="103"/>
      <c r="E49" s="103" t="s">
        <v>134</v>
      </c>
      <c r="F49" s="103"/>
      <c r="G49" s="103"/>
      <c r="H49" s="103"/>
      <c r="I49" s="103"/>
      <c r="J49" s="104"/>
      <c r="K49" s="105"/>
      <c r="L49" s="105"/>
      <c r="M49" s="105"/>
      <c r="N49" s="105"/>
      <c r="O49" s="105"/>
      <c r="P49" s="105"/>
      <c r="Q49" s="105"/>
      <c r="R49" s="105"/>
      <c r="S49" s="105"/>
      <c r="T49" s="105"/>
      <c r="U49" s="105"/>
      <c r="V49" s="109"/>
      <c r="W49" s="106"/>
      <c r="X49" s="107"/>
      <c r="Y49" s="108" t="s">
        <v>433</v>
      </c>
      <c r="Z49" s="108"/>
      <c r="AA49" s="105"/>
      <c r="AB49" s="105"/>
      <c r="AC49" s="105"/>
      <c r="AD49" s="105"/>
      <c r="AE49" s="105"/>
      <c r="AF49" s="105"/>
      <c r="AG49" s="109"/>
      <c r="AH49" s="109"/>
      <c r="AI49" s="109"/>
      <c r="AJ49" s="110"/>
    </row>
    <row r="50" spans="1:37" ht="12.9" customHeight="1" x14ac:dyDescent="0.25">
      <c r="B50" s="92"/>
      <c r="C50" s="111"/>
      <c r="D50" s="112"/>
      <c r="E50" s="112"/>
      <c r="F50" s="112"/>
      <c r="G50" s="112"/>
      <c r="H50" s="112"/>
      <c r="I50" s="113"/>
      <c r="J50" s="114"/>
      <c r="K50" s="115"/>
      <c r="L50" s="115"/>
      <c r="M50" s="115"/>
      <c r="N50" s="115"/>
      <c r="O50" s="115"/>
      <c r="P50" s="115"/>
      <c r="Q50" s="115"/>
      <c r="R50" s="115"/>
      <c r="S50" s="115"/>
      <c r="T50" s="115"/>
      <c r="U50" s="115"/>
      <c r="V50" s="112"/>
      <c r="W50" s="116"/>
      <c r="X50" s="117"/>
      <c r="Y50" s="118"/>
      <c r="Z50" s="118"/>
      <c r="AA50" s="119"/>
      <c r="AB50" s="119"/>
      <c r="AC50" s="119"/>
      <c r="AD50" s="119"/>
      <c r="AE50" s="115"/>
      <c r="AF50" s="115"/>
      <c r="AG50" s="112"/>
      <c r="AH50" s="112"/>
      <c r="AI50" s="112"/>
      <c r="AJ50" s="120"/>
    </row>
    <row r="51" spans="1:37" ht="4.5" customHeight="1" x14ac:dyDescent="0.25">
      <c r="B51" s="92"/>
      <c r="C51" s="121"/>
      <c r="D51" s="53"/>
      <c r="E51" s="53"/>
      <c r="F51" s="53"/>
      <c r="G51" s="53"/>
      <c r="H51" s="53"/>
      <c r="I51" s="53"/>
      <c r="J51" s="66"/>
      <c r="K51" s="83"/>
      <c r="L51" s="83"/>
      <c r="M51" s="83"/>
      <c r="N51" s="83"/>
      <c r="O51" s="83"/>
      <c r="P51" s="83"/>
      <c r="Q51" s="83"/>
      <c r="R51" s="83"/>
      <c r="S51" s="83"/>
      <c r="T51" s="83"/>
      <c r="U51" s="83"/>
      <c r="W51" s="122"/>
      <c r="X51" s="123"/>
      <c r="Y51" s="83"/>
      <c r="Z51" s="83"/>
      <c r="AA51" s="83"/>
      <c r="AB51" s="83"/>
      <c r="AC51" s="83"/>
      <c r="AD51" s="83"/>
      <c r="AE51" s="83"/>
      <c r="AF51" s="83"/>
      <c r="AJ51" s="92"/>
    </row>
    <row r="52" spans="1:37" ht="12.9" customHeight="1" x14ac:dyDescent="0.25">
      <c r="B52" s="92"/>
      <c r="C52" s="201" t="s">
        <v>590</v>
      </c>
      <c r="D52" s="66"/>
      <c r="E52"/>
      <c r="F52" s="91"/>
      <c r="G52" s="69"/>
      <c r="H52" s="125"/>
      <c r="I52" s="53"/>
      <c r="J52"/>
      <c r="Q52" s="124" t="s">
        <v>239</v>
      </c>
      <c r="V52" s="124"/>
      <c r="W52" s="92"/>
      <c r="X52" s="31"/>
      <c r="Y52" s="124" t="s">
        <v>228</v>
      </c>
      <c r="Z52" s="124"/>
      <c r="AA52" s="124"/>
      <c r="AB52" s="124"/>
      <c r="AC52" s="124"/>
      <c r="AD52" s="124"/>
      <c r="AE52" s="124"/>
      <c r="AF52" s="124"/>
      <c r="AG52" s="124"/>
      <c r="AH52" s="124" t="s">
        <v>434</v>
      </c>
      <c r="AI52" s="124"/>
      <c r="AJ52" s="92"/>
    </row>
    <row r="53" spans="1:37" ht="12.9" customHeight="1" x14ac:dyDescent="0.25">
      <c r="B53" s="92"/>
      <c r="C53" s="201" t="s">
        <v>229</v>
      </c>
      <c r="D53" s="66"/>
      <c r="E53"/>
      <c r="F53" s="91"/>
      <c r="G53" s="69"/>
      <c r="H53" s="125"/>
      <c r="I53" s="53"/>
      <c r="J53"/>
      <c r="Q53" s="124" t="s">
        <v>239</v>
      </c>
      <c r="V53" s="124"/>
      <c r="W53" s="92"/>
      <c r="X53" s="31"/>
      <c r="Y53" s="124" t="s">
        <v>227</v>
      </c>
      <c r="Z53" s="124"/>
      <c r="AA53" s="124"/>
      <c r="AB53" s="124"/>
      <c r="AC53" s="124"/>
      <c r="AD53" s="124"/>
      <c r="AE53" s="124"/>
      <c r="AF53" s="124"/>
      <c r="AG53" s="124"/>
      <c r="AH53" s="124" t="s">
        <v>434</v>
      </c>
      <c r="AI53" s="124"/>
      <c r="AJ53" s="92"/>
    </row>
    <row r="54" spans="1:37" ht="12.9" customHeight="1" x14ac:dyDescent="0.25">
      <c r="B54" s="92"/>
      <c r="C54" s="201" t="s">
        <v>320</v>
      </c>
      <c r="D54" s="53"/>
      <c r="E54" s="53"/>
      <c r="F54" s="53"/>
      <c r="G54" s="53"/>
      <c r="H54" s="53"/>
      <c r="I54" s="53"/>
      <c r="J54" s="53"/>
      <c r="R54" s="124"/>
      <c r="V54" s="124"/>
      <c r="W54" s="92"/>
      <c r="X54" s="31"/>
      <c r="Y54" s="124" t="s">
        <v>136</v>
      </c>
      <c r="Z54" s="124"/>
      <c r="AA54" s="124"/>
      <c r="AB54" s="124"/>
      <c r="AC54" s="124"/>
      <c r="AD54" s="124"/>
      <c r="AE54" s="124"/>
      <c r="AF54" s="124"/>
      <c r="AG54" s="124"/>
      <c r="AH54" s="124"/>
      <c r="AI54" s="124"/>
      <c r="AJ54" s="92"/>
    </row>
    <row r="55" spans="1:37" ht="12.9" customHeight="1" x14ac:dyDescent="0.25">
      <c r="B55" s="92"/>
      <c r="C55" s="201" t="s">
        <v>435</v>
      </c>
      <c r="D55" s="53"/>
      <c r="E55" s="53"/>
      <c r="F55" s="53"/>
      <c r="G55" s="53"/>
      <c r="H55" s="53"/>
      <c r="I55" s="53"/>
      <c r="J55" s="53"/>
      <c r="Q55" s="124" t="s">
        <v>436</v>
      </c>
      <c r="R55" s="124"/>
      <c r="V55" s="124"/>
      <c r="W55" s="92"/>
      <c r="X55" s="31"/>
      <c r="Y55" s="124" t="s">
        <v>136</v>
      </c>
      <c r="Z55" s="124"/>
      <c r="AA55" s="124"/>
      <c r="AB55" s="124"/>
      <c r="AC55" s="124"/>
      <c r="AD55" s="124"/>
      <c r="AE55" s="124"/>
      <c r="AF55" s="124"/>
      <c r="AG55" s="124"/>
      <c r="AH55" s="124" t="s">
        <v>434</v>
      </c>
      <c r="AI55" s="124"/>
      <c r="AJ55" s="92"/>
    </row>
    <row r="56" spans="1:37" ht="12.9" customHeight="1" x14ac:dyDescent="0.25">
      <c r="B56" s="92"/>
      <c r="C56" s="201" t="s">
        <v>437</v>
      </c>
      <c r="D56" s="66"/>
      <c r="E56"/>
      <c r="F56" s="91"/>
      <c r="G56" s="69"/>
      <c r="H56" s="125"/>
      <c r="I56" s="53"/>
      <c r="J56"/>
      <c r="Q56" s="124" t="s">
        <v>438</v>
      </c>
      <c r="S56" s="124"/>
      <c r="V56" s="124"/>
      <c r="W56" s="92"/>
      <c r="X56" s="31"/>
      <c r="Y56" s="124" t="s">
        <v>136</v>
      </c>
      <c r="Z56" s="124"/>
      <c r="AA56" s="124"/>
      <c r="AB56" s="124"/>
      <c r="AC56" s="124"/>
      <c r="AD56" s="124"/>
      <c r="AE56" s="124"/>
      <c r="AF56" s="124"/>
      <c r="AG56" s="124"/>
      <c r="AH56" s="124" t="s">
        <v>434</v>
      </c>
      <c r="AI56" s="124"/>
      <c r="AJ56" s="92"/>
    </row>
    <row r="57" spans="1:37" ht="12.9" customHeight="1" x14ac:dyDescent="0.25">
      <c r="B57" s="92"/>
      <c r="C57" s="168" t="s">
        <v>439</v>
      </c>
      <c r="D57" s="53"/>
      <c r="E57"/>
      <c r="F57" s="91"/>
      <c r="G57" s="69"/>
      <c r="H57" s="125"/>
      <c r="I57" s="53"/>
      <c r="J57"/>
      <c r="Q57" s="124" t="s">
        <v>231</v>
      </c>
      <c r="V57" s="124"/>
      <c r="W57" s="92"/>
      <c r="X57" s="31"/>
      <c r="Y57" s="124" t="s">
        <v>136</v>
      </c>
      <c r="Z57" s="124"/>
      <c r="AA57" s="124"/>
      <c r="AB57" s="124"/>
      <c r="AC57" s="124"/>
      <c r="AD57" s="124"/>
      <c r="AE57" s="124"/>
      <c r="AF57" s="124"/>
      <c r="AG57" s="124"/>
      <c r="AH57" s="124" t="s">
        <v>434</v>
      </c>
      <c r="AI57" s="124"/>
      <c r="AJ57" s="92"/>
    </row>
    <row r="58" spans="1:37" ht="12.9" customHeight="1" x14ac:dyDescent="0.25">
      <c r="B58" s="92"/>
      <c r="C58" s="168" t="s">
        <v>440</v>
      </c>
      <c r="D58" s="53"/>
      <c r="E58"/>
      <c r="F58" s="91"/>
      <c r="G58" s="69"/>
      <c r="H58" s="125"/>
      <c r="I58" s="53"/>
      <c r="J58"/>
      <c r="Q58" s="124" t="s">
        <v>231</v>
      </c>
      <c r="V58" s="124"/>
      <c r="W58" s="92"/>
      <c r="X58" s="31"/>
      <c r="Y58" s="124" t="s">
        <v>136</v>
      </c>
      <c r="Z58" s="124"/>
      <c r="AA58" s="124"/>
      <c r="AB58" s="124"/>
      <c r="AC58" s="124"/>
      <c r="AD58" s="124"/>
      <c r="AE58" s="124"/>
      <c r="AF58" s="124"/>
      <c r="AG58" s="124"/>
      <c r="AH58" s="124" t="s">
        <v>434</v>
      </c>
      <c r="AI58" s="124"/>
      <c r="AJ58" s="92"/>
    </row>
    <row r="59" spans="1:37" ht="12.9" customHeight="1" x14ac:dyDescent="0.25">
      <c r="B59" s="92"/>
      <c r="C59" s="228" t="s">
        <v>444</v>
      </c>
      <c r="D59" s="113"/>
      <c r="E59" s="113"/>
      <c r="F59" s="113"/>
      <c r="G59" s="113"/>
      <c r="H59" s="113"/>
      <c r="I59" s="113"/>
      <c r="J59" s="187"/>
      <c r="K59" s="112"/>
      <c r="L59" s="112"/>
      <c r="M59" s="112"/>
      <c r="N59" s="112"/>
      <c r="O59" s="112"/>
      <c r="P59" s="112"/>
      <c r="Q59" s="206" t="s">
        <v>438</v>
      </c>
      <c r="R59" s="112"/>
      <c r="S59" s="112"/>
      <c r="T59" s="112"/>
      <c r="U59" s="112"/>
      <c r="V59" s="206"/>
      <c r="W59" s="120"/>
      <c r="X59" s="111"/>
      <c r="Y59" s="206" t="s">
        <v>227</v>
      </c>
      <c r="Z59" s="206"/>
      <c r="AA59" s="206"/>
      <c r="AB59" s="206"/>
      <c r="AC59" s="206"/>
      <c r="AD59" s="206"/>
      <c r="AE59" s="206"/>
      <c r="AF59" s="206"/>
      <c r="AG59" s="206"/>
      <c r="AH59" s="206" t="s">
        <v>434</v>
      </c>
      <c r="AI59" s="206"/>
      <c r="AJ59" s="120"/>
    </row>
    <row r="60" spans="1:37" ht="12.9" customHeight="1" x14ac:dyDescent="0.25">
      <c r="AD60" s="124" t="s">
        <v>321</v>
      </c>
      <c r="AG60" s="124"/>
    </row>
    <row r="61" spans="1:37" s="2" customFormat="1" ht="15.6" x14ac:dyDescent="0.3">
      <c r="A61" s="158"/>
      <c r="B61" s="158"/>
      <c r="C61" s="158"/>
      <c r="D61" s="158"/>
      <c r="E61" s="22"/>
      <c r="F61" s="22"/>
      <c r="G61" s="22"/>
      <c r="H61" s="22"/>
      <c r="I61" s="22"/>
      <c r="J61" s="159"/>
      <c r="K61" s="159"/>
      <c r="L61" s="159"/>
      <c r="M61" s="159"/>
      <c r="N61" s="159"/>
      <c r="O61" s="159"/>
      <c r="P61" s="159"/>
      <c r="Q61" s="159"/>
      <c r="R61" s="332"/>
      <c r="S61" s="332"/>
      <c r="T61" s="332"/>
      <c r="U61" s="332"/>
      <c r="V61" s="332"/>
      <c r="W61" s="332"/>
      <c r="X61" s="332"/>
      <c r="Y61" s="332"/>
      <c r="Z61" s="332"/>
      <c r="AA61" s="332"/>
      <c r="AB61" s="341" t="s">
        <v>2</v>
      </c>
      <c r="AC61" s="341"/>
      <c r="AD61" s="341">
        <v>8</v>
      </c>
      <c r="AE61" s="341"/>
      <c r="AF61" s="341" t="s">
        <v>177</v>
      </c>
      <c r="AG61" s="341"/>
      <c r="AH61" s="341">
        <v>9</v>
      </c>
      <c r="AI61" s="341"/>
      <c r="AJ61" s="332"/>
      <c r="AK61" s="332"/>
    </row>
    <row r="62" spans="1:37" s="2" customFormat="1" ht="15.75" customHeight="1" x14ac:dyDescent="0.3">
      <c r="A62" s="340"/>
      <c r="B62" s="340"/>
      <c r="C62" s="340"/>
      <c r="D62" s="340"/>
      <c r="E62" s="340"/>
      <c r="F62" s="23"/>
      <c r="G62" s="23"/>
      <c r="H62" s="23"/>
      <c r="I62" s="23"/>
      <c r="J62" s="23"/>
      <c r="K62" s="23"/>
    </row>
    <row r="63" spans="1:37" s="2" customFormat="1" ht="12.75" customHeight="1" x14ac:dyDescent="0.25">
      <c r="A63" s="30"/>
      <c r="B63" s="66"/>
      <c r="C63" s="34"/>
      <c r="D63" s="66"/>
      <c r="E63" s="66"/>
      <c r="F63" s="66"/>
      <c r="G63" s="66"/>
      <c r="H63" s="66"/>
      <c r="I63" s="66"/>
      <c r="J63"/>
      <c r="K63" s="30"/>
    </row>
  </sheetData>
  <sheetProtection formatCells="0" formatColumns="0" formatRows="0"/>
  <protectedRanges>
    <protectedRange sqref="A60:B60 AD37:AL37 A64:AL1678 AD60:AL60 W36:AL36 A48:AL48 A3:AL3 A37:B37" name="Range2"/>
    <protectedRange sqref="D36:T36 V36" name="Range2_9"/>
    <protectedRange sqref="A36:C36" name="Range2_1"/>
    <protectedRange sqref="A61:AK63" name="Range2_4_1"/>
    <protectedRange sqref="AA15:AK17 C26:P26 B23:K23 B17:F17 B14:B15 B28:K28 H15:T17 U25:Z25 U15 U17:Y17 AB28:AD28 A38 I24:T25 D24 B24:B25 C25:H25 F24:H24 AB23:AD24 U23:U24 V23:AA23 W24 Y24:AA24 AG25:AJ25 C29:P30 C12:AD14 AK12:AK14 AE14:AJ14 AC29:AK30 C38:AK38 C33:N34 M31:U31 C31:L32 S32:T32 M32:Q32 T27:X27 X31:AK31 X32:Y34 AC32:AK35 O34:W34 Z27:AA28 A14:A35 AA19:AD21 X19:Y22 U19:V21 V18:AC18 H19:K21 E19:F22 B19:C21 C18:J18 AK24:AK25 AK27 U28:Y28 T26:AE26 T29:AA30" name="Range2_6"/>
    <protectedRange sqref="C16 V16" name="Range2_4_2"/>
    <protectedRange sqref="B18 U18" name="Range2_5_3"/>
    <protectedRange sqref="A12:B13" name="Range2_5_1_1"/>
    <protectedRange sqref="F4:L5 H6:J10 P4:S5 Q6:S10 A4:E11 F11:L11 M4:O11 P11:S11 T4:AK11" name="Range2_1_3"/>
    <protectedRange sqref="S39:U40 C43:E43 X43:X44 C39 E39:Q40 C40:D40 AB45:AB46 H47:R47 G41:G42 Y43:Z43 A39:A43 R39:R42 L41:L42 J41:J42 B40:B43 Q43:U43 O41:O42 H43:O43 T41:U42 A47:E47 W43 V39:V43 T47:AK47 W39:AK42 AC43:AK43 Q44 O44" name="Range2_2"/>
    <protectedRange sqref="A44:E46 T45:U46 H46 N44 N45:R46 R44:U44 Y44:Z44 W45:AA46 W44 V44:V46 AC44:AK46 J44:M46 H44:I45" name="Range2_1_1"/>
    <protectedRange sqref="C49:H49 P52 R52:U52 P49:U51 Y52:Y53 W52:X52 V49:V52 Z52:AJ52 V56:X58 T56:U56 W49:AJ51 AK49:AN55 I49:O53 E51:H53 A49:B59 C52:D53 C59:P59 AH53 C54:O55 Q55 AH55 C56:R56 Z56:AN56 C57:U58 R59:AN59 Z57:AK58" name="Range2_3"/>
  </protectedRanges>
  <mergeCells count="35">
    <mergeCell ref="W19:Y19"/>
    <mergeCell ref="O6:Q6"/>
    <mergeCell ref="O10:Q10"/>
    <mergeCell ref="D20:F20"/>
    <mergeCell ref="D21:F21"/>
    <mergeCell ref="W20:Y20"/>
    <mergeCell ref="W21:Y21"/>
    <mergeCell ref="AH61:AI61"/>
    <mergeCell ref="AJ61:AK61"/>
    <mergeCell ref="U29:W29"/>
    <mergeCell ref="D22:F22"/>
    <mergeCell ref="W22:Y22"/>
    <mergeCell ref="W24:Y24"/>
    <mergeCell ref="D24:F24"/>
    <mergeCell ref="O34:Q34"/>
    <mergeCell ref="O43:Q43"/>
    <mergeCell ref="O44:Q44"/>
    <mergeCell ref="T26:T27"/>
    <mergeCell ref="M31:M32"/>
    <mergeCell ref="A62:E62"/>
    <mergeCell ref="Z61:AA61"/>
    <mergeCell ref="AB61:AC61"/>
    <mergeCell ref="AD61:AE61"/>
    <mergeCell ref="AF61:AG61"/>
    <mergeCell ref="R61:S61"/>
    <mergeCell ref="T61:U61"/>
    <mergeCell ref="V61:W61"/>
    <mergeCell ref="X61:Y61"/>
    <mergeCell ref="A1:K1"/>
    <mergeCell ref="A2:Q2"/>
    <mergeCell ref="G41:I41"/>
    <mergeCell ref="L41:N41"/>
    <mergeCell ref="R41:T41"/>
    <mergeCell ref="O8:Q8"/>
    <mergeCell ref="D19:F19"/>
  </mergeCells>
  <hyperlinks>
    <hyperlink ref="AP1" r:id="rId1" xr:uid="{063C8859-E826-4937-ADD1-F305FE4C2EF2}"/>
  </hyperlinks>
  <pageMargins left="0.25" right="0.25" top="0.75" bottom="0.75" header="0.3" footer="0.3"/>
  <pageSetup paperSize="9" scale="95" orientation="portrait" r:id="rId2"/>
  <headerFooter alignWithMargins="0">
    <oddHeader xml:space="preserve">&amp;R
</oddHeader>
  </headerFooter>
  <ignoredErrors>
    <ignoredError sqref="W20" formula="1"/>
  </ignoredErrors>
  <drawing r:id="rId3"/>
  <legacyDrawingHF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tabColor rgb="FF00B050"/>
  </sheetPr>
  <dimension ref="A1:AR63"/>
  <sheetViews>
    <sheetView zoomScale="145" zoomScaleNormal="145" zoomScaleSheetLayoutView="130" workbookViewId="0">
      <selection activeCell="AK19" sqref="AK19"/>
    </sheetView>
  </sheetViews>
  <sheetFormatPr defaultColWidth="2.5546875" defaultRowHeight="12.9" customHeight="1" x14ac:dyDescent="0.25"/>
  <cols>
    <col min="1" max="33" width="2.5546875" style="30" customWidth="1"/>
    <col min="34" max="34" width="5.44140625" style="30" customWidth="1"/>
    <col min="35" max="35" width="2.5546875" style="30" customWidth="1"/>
    <col min="36" max="36" width="3.6640625" style="30" customWidth="1"/>
    <col min="37" max="37" width="1.44140625" style="30" customWidth="1"/>
    <col min="38" max="16384" width="2.5546875" style="30"/>
  </cols>
  <sheetData>
    <row r="1" spans="1:44" s="1" customFormat="1" ht="15" customHeight="1" thickTop="1" x14ac:dyDescent="0.25">
      <c r="A1" s="313"/>
      <c r="B1" s="313"/>
      <c r="C1" s="313"/>
      <c r="D1" s="313"/>
      <c r="E1" s="313"/>
      <c r="F1" s="313"/>
      <c r="G1" s="313"/>
      <c r="H1" s="313"/>
      <c r="I1" s="313"/>
      <c r="J1" s="313"/>
      <c r="K1" s="313"/>
      <c r="AR1" s="259" t="s">
        <v>607</v>
      </c>
    </row>
    <row r="2" spans="1:44" s="1" customFormat="1" ht="15" customHeight="1" x14ac:dyDescent="0.25">
      <c r="A2" s="313" t="s">
        <v>22</v>
      </c>
      <c r="B2" s="313"/>
      <c r="C2" s="313"/>
      <c r="D2" s="313"/>
      <c r="E2" s="313"/>
      <c r="F2" s="313"/>
      <c r="G2" s="313"/>
      <c r="H2" s="313"/>
      <c r="I2" s="313"/>
      <c r="J2" s="313"/>
      <c r="K2" s="313"/>
      <c r="L2" s="313"/>
      <c r="M2" s="313"/>
      <c r="N2" s="313"/>
      <c r="O2" s="313"/>
      <c r="P2" s="313"/>
      <c r="Q2" s="313"/>
      <c r="AR2" s="255" t="s">
        <v>608</v>
      </c>
    </row>
    <row r="4" spans="1:44" ht="12.9" customHeight="1" x14ac:dyDescent="0.25">
      <c r="B4" s="34"/>
      <c r="C4" s="53"/>
      <c r="D4" s="53"/>
      <c r="E4" s="53"/>
      <c r="F4" s="53"/>
      <c r="G4" s="53"/>
      <c r="H4" s="53"/>
      <c r="I4" s="66"/>
      <c r="J4" s="83"/>
      <c r="K4" s="83"/>
      <c r="L4" s="83"/>
      <c r="M4" s="83"/>
      <c r="N4" s="83"/>
      <c r="O4" s="83"/>
      <c r="P4" s="83"/>
      <c r="Q4" s="83"/>
      <c r="R4" s="83"/>
      <c r="S4" s="83"/>
      <c r="T4" s="83"/>
      <c r="U4" s="83"/>
      <c r="W4" s="83"/>
      <c r="X4" s="83"/>
      <c r="Y4" s="83"/>
      <c r="Z4" s="83"/>
      <c r="AA4" s="83"/>
      <c r="AB4" s="83"/>
    </row>
    <row r="5" spans="1:44" ht="12.9" customHeight="1" x14ac:dyDescent="0.25">
      <c r="C5" s="102"/>
      <c r="D5" s="103"/>
      <c r="E5" s="103" t="s">
        <v>134</v>
      </c>
      <c r="F5" s="103"/>
      <c r="G5" s="103"/>
      <c r="H5" s="103"/>
      <c r="I5" s="103"/>
      <c r="J5" s="104"/>
      <c r="K5" s="105"/>
      <c r="L5" s="105"/>
      <c r="M5" s="105"/>
      <c r="N5" s="105"/>
      <c r="O5" s="105"/>
      <c r="P5" s="105"/>
      <c r="Q5" s="105"/>
      <c r="R5" s="105"/>
      <c r="S5" s="105"/>
      <c r="T5" s="105"/>
      <c r="U5" s="105"/>
      <c r="V5" s="110"/>
      <c r="W5" s="105"/>
      <c r="X5" s="105"/>
      <c r="Y5" s="108" t="s">
        <v>135</v>
      </c>
      <c r="Z5" s="108"/>
      <c r="AA5" s="105"/>
      <c r="AB5" s="105"/>
      <c r="AC5" s="105"/>
      <c r="AD5" s="105"/>
      <c r="AE5" s="105"/>
      <c r="AF5" s="105"/>
      <c r="AG5" s="109"/>
      <c r="AH5" s="109"/>
      <c r="AI5" s="109"/>
      <c r="AJ5" s="109"/>
      <c r="AK5" s="109"/>
      <c r="AL5" s="110"/>
    </row>
    <row r="6" spans="1:44" ht="12.9" customHeight="1" x14ac:dyDescent="0.25">
      <c r="C6" s="111"/>
      <c r="D6" s="112"/>
      <c r="E6" s="112"/>
      <c r="F6" s="112"/>
      <c r="G6" s="112"/>
      <c r="H6" s="112"/>
      <c r="I6" s="113"/>
      <c r="J6" s="114"/>
      <c r="K6" s="115"/>
      <c r="L6" s="115"/>
      <c r="M6" s="115"/>
      <c r="N6" s="115"/>
      <c r="O6" s="115"/>
      <c r="P6" s="115"/>
      <c r="Q6" s="115"/>
      <c r="R6" s="115"/>
      <c r="S6" s="115"/>
      <c r="T6" s="115"/>
      <c r="U6" s="115"/>
      <c r="V6" s="120"/>
      <c r="W6" s="115"/>
      <c r="X6" s="115"/>
      <c r="Y6" s="118"/>
      <c r="Z6" s="118"/>
      <c r="AA6" s="119"/>
      <c r="AB6" s="119"/>
      <c r="AC6" s="119"/>
      <c r="AD6" s="119"/>
      <c r="AE6" s="115"/>
      <c r="AF6" s="115"/>
      <c r="AG6" s="112"/>
      <c r="AH6" s="112"/>
      <c r="AI6" s="112"/>
      <c r="AJ6" s="112"/>
      <c r="AK6" s="112"/>
      <c r="AL6" s="120"/>
    </row>
    <row r="7" spans="1:44" ht="4.5" customHeight="1" x14ac:dyDescent="0.25">
      <c r="C7" s="121"/>
      <c r="D7" s="53"/>
      <c r="E7" s="53"/>
      <c r="F7" s="53"/>
      <c r="G7" s="53"/>
      <c r="H7" s="53"/>
      <c r="I7" s="53"/>
      <c r="J7" s="66"/>
      <c r="K7" s="83"/>
      <c r="L7" s="83"/>
      <c r="M7" s="83"/>
      <c r="N7" s="83"/>
      <c r="O7" s="83"/>
      <c r="P7" s="83"/>
      <c r="Q7" s="83"/>
      <c r="R7" s="83"/>
      <c r="S7" s="83"/>
      <c r="T7" s="83"/>
      <c r="U7" s="83"/>
      <c r="V7" s="92"/>
      <c r="W7" s="83"/>
      <c r="X7" s="83"/>
      <c r="Y7" s="83"/>
      <c r="Z7" s="83"/>
      <c r="AA7" s="83"/>
      <c r="AB7" s="83"/>
      <c r="AC7" s="83"/>
      <c r="AD7" s="83"/>
      <c r="AE7" s="83"/>
      <c r="AF7" s="83"/>
      <c r="AL7" s="92"/>
    </row>
    <row r="8" spans="1:44" ht="12.9" customHeight="1" x14ac:dyDescent="0.25">
      <c r="C8" s="168"/>
      <c r="D8" s="53" t="s">
        <v>322</v>
      </c>
      <c r="E8" s="53"/>
      <c r="F8" s="53"/>
      <c r="G8" s="53"/>
      <c r="H8" s="53"/>
      <c r="I8" s="53"/>
      <c r="J8"/>
      <c r="V8" s="205"/>
      <c r="Y8" s="124"/>
      <c r="Z8" s="124"/>
      <c r="AA8" s="124"/>
      <c r="AB8" s="124"/>
      <c r="AC8" s="124"/>
      <c r="AD8" s="124"/>
      <c r="AE8" s="124"/>
      <c r="AF8" s="124"/>
      <c r="AG8" s="124"/>
      <c r="AH8" s="124"/>
      <c r="AI8" s="124"/>
      <c r="AL8" s="92"/>
    </row>
    <row r="9" spans="1:44" ht="5.25" customHeight="1" x14ac:dyDescent="0.25">
      <c r="C9" s="168"/>
      <c r="D9" s="53"/>
      <c r="E9" s="53"/>
      <c r="F9" s="53"/>
      <c r="G9" s="53"/>
      <c r="H9" s="53"/>
      <c r="I9" s="53"/>
      <c r="J9"/>
      <c r="V9" s="205"/>
      <c r="Y9" s="124"/>
      <c r="Z9" s="124"/>
      <c r="AA9" s="124"/>
      <c r="AB9" s="124"/>
      <c r="AC9" s="124"/>
      <c r="AD9" s="124"/>
      <c r="AE9" s="124"/>
      <c r="AF9" s="124"/>
      <c r="AG9" s="124"/>
      <c r="AH9" s="124"/>
      <c r="AI9" s="124"/>
      <c r="AL9" s="92"/>
    </row>
    <row r="10" spans="1:44" ht="12.9" customHeight="1" x14ac:dyDescent="0.25">
      <c r="C10" s="201" t="s">
        <v>479</v>
      </c>
      <c r="D10" s="53"/>
      <c r="E10" s="53"/>
      <c r="F10" s="53"/>
      <c r="G10" s="53"/>
      <c r="H10" s="53"/>
      <c r="I10" s="53"/>
      <c r="J10"/>
      <c r="Q10" s="124"/>
      <c r="V10" s="205"/>
      <c r="Y10" s="124" t="s">
        <v>566</v>
      </c>
      <c r="Z10" s="124"/>
      <c r="AA10" s="124"/>
      <c r="AB10" s="124"/>
      <c r="AC10" s="124"/>
      <c r="AD10" s="124"/>
      <c r="AE10" s="124"/>
      <c r="AF10" s="124"/>
      <c r="AG10" s="124"/>
      <c r="AH10" s="124" t="s">
        <v>441</v>
      </c>
      <c r="AI10" s="124"/>
      <c r="AL10" s="92"/>
    </row>
    <row r="11" spans="1:44" ht="12.9" customHeight="1" x14ac:dyDescent="0.25">
      <c r="C11" s="168" t="s">
        <v>443</v>
      </c>
      <c r="D11" s="53"/>
      <c r="E11" s="53"/>
      <c r="F11" s="53"/>
      <c r="G11" s="53"/>
      <c r="H11" s="53"/>
      <c r="I11" s="53"/>
      <c r="J11"/>
      <c r="V11" s="205"/>
      <c r="Y11" s="124" t="s">
        <v>228</v>
      </c>
      <c r="Z11" s="124"/>
      <c r="AA11" s="124"/>
      <c r="AB11" s="124"/>
      <c r="AC11" s="124"/>
      <c r="AD11" s="124"/>
      <c r="AE11" s="124"/>
      <c r="AF11" s="124"/>
      <c r="AG11" s="124"/>
      <c r="AH11" s="124" t="s">
        <v>434</v>
      </c>
      <c r="AI11" s="124"/>
      <c r="AL11" s="92"/>
      <c r="AR11" s="112"/>
    </row>
    <row r="12" spans="1:44" ht="12.9" customHeight="1" x14ac:dyDescent="0.25">
      <c r="C12" s="168" t="s">
        <v>446</v>
      </c>
      <c r="D12" s="53"/>
      <c r="E12" s="53"/>
      <c r="F12" s="53"/>
      <c r="G12" s="53"/>
      <c r="H12" s="53"/>
      <c r="I12" s="53"/>
      <c r="J12"/>
      <c r="V12" s="205"/>
      <c r="Y12" s="124" t="s">
        <v>319</v>
      </c>
      <c r="Z12" s="124"/>
      <c r="AA12" s="124"/>
      <c r="AB12" s="124"/>
      <c r="AC12" s="124"/>
      <c r="AD12" s="124"/>
      <c r="AE12" s="124"/>
      <c r="AF12" s="124"/>
      <c r="AG12" s="124"/>
      <c r="AH12" s="124" t="s">
        <v>434</v>
      </c>
      <c r="AI12" s="124"/>
      <c r="AL12" s="92"/>
    </row>
    <row r="13" spans="1:44" ht="12.9" customHeight="1" x14ac:dyDescent="0.25">
      <c r="C13" s="168" t="s">
        <v>447</v>
      </c>
      <c r="D13" s="53"/>
      <c r="E13" s="53"/>
      <c r="F13" s="53"/>
      <c r="G13" s="53"/>
      <c r="H13" s="53"/>
      <c r="I13" s="53"/>
      <c r="J13"/>
      <c r="V13" s="205"/>
      <c r="Y13" s="124" t="s">
        <v>227</v>
      </c>
      <c r="Z13" s="124"/>
      <c r="AA13" s="124"/>
      <c r="AB13" s="124"/>
      <c r="AC13" s="124"/>
      <c r="AD13" s="124"/>
      <c r="AE13" s="124"/>
      <c r="AF13" s="124"/>
      <c r="AG13" s="124"/>
      <c r="AH13" s="124" t="s">
        <v>434</v>
      </c>
      <c r="AI13" s="124"/>
      <c r="AL13" s="92"/>
    </row>
    <row r="14" spans="1:44" ht="12.9" customHeight="1" x14ac:dyDescent="0.25">
      <c r="C14" s="201" t="s">
        <v>448</v>
      </c>
      <c r="D14" s="53"/>
      <c r="E14" s="53"/>
      <c r="F14" s="53"/>
      <c r="G14" s="53"/>
      <c r="H14" s="53"/>
      <c r="I14" s="53"/>
      <c r="J14"/>
      <c r="Q14" s="124" t="s">
        <v>323</v>
      </c>
      <c r="T14" s="124"/>
      <c r="V14" s="205"/>
      <c r="Y14" s="124" t="s">
        <v>228</v>
      </c>
      <c r="Z14" s="124"/>
      <c r="AA14" s="124"/>
      <c r="AB14" s="124"/>
      <c r="AC14" s="124"/>
      <c r="AD14" s="124"/>
      <c r="AE14" s="124"/>
      <c r="AF14" s="124"/>
      <c r="AG14" s="124"/>
      <c r="AH14" s="124" t="s">
        <v>434</v>
      </c>
      <c r="AI14" s="124"/>
      <c r="AL14" s="92"/>
    </row>
    <row r="15" spans="1:44" ht="12.9" customHeight="1" x14ac:dyDescent="0.25">
      <c r="C15" s="201" t="s">
        <v>449</v>
      </c>
      <c r="D15" s="53"/>
      <c r="E15" s="53"/>
      <c r="F15" s="53"/>
      <c r="G15" s="53"/>
      <c r="H15" s="53"/>
      <c r="I15" s="53"/>
      <c r="J15" s="66"/>
      <c r="K15" s="83"/>
      <c r="L15" s="83"/>
      <c r="M15" s="83"/>
      <c r="N15" s="83"/>
      <c r="O15" s="83"/>
      <c r="P15" s="83"/>
      <c r="Q15" s="124" t="s">
        <v>230</v>
      </c>
      <c r="R15" s="83"/>
      <c r="S15" s="83"/>
      <c r="T15" s="83"/>
      <c r="U15" s="83"/>
      <c r="V15" s="205"/>
      <c r="W15" s="83"/>
      <c r="X15" s="83"/>
      <c r="Y15" s="394" t="s">
        <v>318</v>
      </c>
      <c r="Z15" s="394"/>
      <c r="AA15" s="394"/>
      <c r="AB15" s="394"/>
      <c r="AC15" s="394"/>
      <c r="AD15" s="394"/>
      <c r="AE15" s="394"/>
      <c r="AF15" s="394"/>
      <c r="AG15" s="394"/>
      <c r="AH15" s="394"/>
      <c r="AI15" s="124" t="s">
        <v>441</v>
      </c>
      <c r="AL15" s="92"/>
    </row>
    <row r="16" spans="1:44" ht="12.9" customHeight="1" x14ac:dyDescent="0.25">
      <c r="C16" s="168" t="s">
        <v>450</v>
      </c>
      <c r="D16" s="53"/>
      <c r="E16" s="53"/>
      <c r="F16" s="53"/>
      <c r="G16" s="53"/>
      <c r="H16" s="53"/>
      <c r="I16" s="53"/>
      <c r="J16"/>
      <c r="Q16" s="124" t="s">
        <v>238</v>
      </c>
      <c r="V16" s="205"/>
      <c r="Y16" s="124" t="s">
        <v>228</v>
      </c>
      <c r="Z16" s="124"/>
      <c r="AA16" s="124"/>
      <c r="AB16" s="124"/>
      <c r="AC16" s="124"/>
      <c r="AD16" s="124"/>
      <c r="AE16" s="124"/>
      <c r="AF16" s="124"/>
      <c r="AG16" s="124"/>
      <c r="AH16" s="124" t="s">
        <v>441</v>
      </c>
      <c r="AI16" s="124"/>
      <c r="AL16" s="92"/>
    </row>
    <row r="17" spans="2:38" ht="12.9" customHeight="1" x14ac:dyDescent="0.25">
      <c r="B17" s="53"/>
      <c r="C17" s="201"/>
      <c r="D17" s="53" t="s">
        <v>567</v>
      </c>
      <c r="V17" s="92"/>
      <c r="X17" s="83"/>
      <c r="AL17" s="92"/>
    </row>
    <row r="18" spans="2:38" ht="12.9" customHeight="1" x14ac:dyDescent="0.25">
      <c r="C18" s="201" t="s">
        <v>451</v>
      </c>
      <c r="D18" s="53"/>
      <c r="E18" s="53"/>
      <c r="F18" s="53"/>
      <c r="G18" s="53"/>
      <c r="H18" s="53"/>
      <c r="I18" s="53"/>
      <c r="J18" s="69"/>
      <c r="V18" s="205"/>
      <c r="Y18" s="124" t="s">
        <v>318</v>
      </c>
      <c r="Z18" s="124"/>
      <c r="AA18" s="124"/>
      <c r="AB18" s="124"/>
      <c r="AC18" s="124"/>
      <c r="AD18" s="124"/>
      <c r="AE18" s="124"/>
      <c r="AF18" s="124"/>
      <c r="AG18" s="124"/>
      <c r="AH18" s="124"/>
      <c r="AI18" s="124"/>
      <c r="AL18" s="92"/>
    </row>
    <row r="19" spans="2:38" ht="12.9" customHeight="1" x14ac:dyDescent="0.25">
      <c r="C19" s="201" t="s">
        <v>452</v>
      </c>
      <c r="D19" s="53"/>
      <c r="E19" s="53"/>
      <c r="F19" s="53"/>
      <c r="G19" s="53"/>
      <c r="H19" s="53"/>
      <c r="I19" s="53"/>
      <c r="J19" s="69"/>
      <c r="V19" s="205"/>
      <c r="Y19" s="124" t="s">
        <v>319</v>
      </c>
      <c r="Z19" s="124"/>
      <c r="AA19" s="124"/>
      <c r="AB19" s="124"/>
      <c r="AC19" s="124"/>
      <c r="AD19" s="124"/>
      <c r="AE19" s="124"/>
      <c r="AF19" s="124"/>
      <c r="AG19" s="124"/>
      <c r="AH19" s="124" t="s">
        <v>434</v>
      </c>
      <c r="AI19" s="124"/>
      <c r="AL19" s="92"/>
    </row>
    <row r="20" spans="2:38" ht="12.9" customHeight="1" x14ac:dyDescent="0.25">
      <c r="C20" s="201" t="s">
        <v>453</v>
      </c>
      <c r="D20" s="53"/>
      <c r="E20" s="53"/>
      <c r="F20" s="53"/>
      <c r="G20" s="53"/>
      <c r="H20" s="53"/>
      <c r="I20" s="53"/>
      <c r="J20" s="69"/>
      <c r="Q20" s="124" t="s">
        <v>237</v>
      </c>
      <c r="V20" s="205"/>
      <c r="Y20" s="124" t="s">
        <v>228</v>
      </c>
      <c r="Z20" s="124"/>
      <c r="AA20" s="124"/>
      <c r="AB20" s="124"/>
      <c r="AC20" s="124"/>
      <c r="AD20" s="124"/>
      <c r="AE20" s="124"/>
      <c r="AF20" s="124"/>
      <c r="AG20" s="124"/>
      <c r="AH20" s="124" t="s">
        <v>441</v>
      </c>
      <c r="AI20" s="124"/>
      <c r="AL20" s="92"/>
    </row>
    <row r="21" spans="2:38" ht="12.9" customHeight="1" x14ac:dyDescent="0.25">
      <c r="C21" s="201" t="s">
        <v>454</v>
      </c>
      <c r="D21" s="202"/>
      <c r="E21" s="202"/>
      <c r="F21" s="202"/>
      <c r="G21" s="202"/>
      <c r="H21" s="202"/>
      <c r="I21" s="202"/>
      <c r="J21" s="203"/>
      <c r="K21" s="204"/>
      <c r="L21" s="204"/>
      <c r="M21" s="204"/>
      <c r="N21" s="204"/>
      <c r="O21" s="204"/>
      <c r="P21" s="204"/>
      <c r="Q21" s="124" t="s">
        <v>230</v>
      </c>
      <c r="R21" s="204"/>
      <c r="S21" s="204"/>
      <c r="T21" s="204"/>
      <c r="U21" s="204"/>
      <c r="V21" s="252"/>
      <c r="W21" s="204"/>
      <c r="X21" s="204"/>
      <c r="Y21" s="124" t="s">
        <v>228</v>
      </c>
      <c r="Z21" s="189"/>
      <c r="AA21" s="189"/>
      <c r="AB21" s="189"/>
      <c r="AC21" s="189"/>
      <c r="AD21" s="189"/>
      <c r="AE21" s="189"/>
      <c r="AF21" s="189"/>
      <c r="AG21" s="189"/>
      <c r="AH21" s="124" t="s">
        <v>434</v>
      </c>
      <c r="AI21" s="189"/>
      <c r="AL21" s="92"/>
    </row>
    <row r="22" spans="2:38" ht="12.9" customHeight="1" x14ac:dyDescent="0.25">
      <c r="C22" s="201" t="s">
        <v>583</v>
      </c>
      <c r="D22" s="53"/>
      <c r="E22" s="53"/>
      <c r="F22" s="53"/>
      <c r="G22" s="53"/>
      <c r="H22" s="53"/>
      <c r="I22" s="53"/>
      <c r="J22" s="69"/>
      <c r="V22" s="205"/>
      <c r="Y22" s="124" t="s">
        <v>442</v>
      </c>
      <c r="Z22" s="124"/>
      <c r="AA22" s="124"/>
      <c r="AB22" s="124"/>
      <c r="AC22" s="124"/>
      <c r="AD22" s="124"/>
      <c r="AE22" s="124"/>
      <c r="AF22" s="124"/>
      <c r="AG22" s="124"/>
      <c r="AH22" s="124" t="s">
        <v>441</v>
      </c>
      <c r="AI22" s="124"/>
      <c r="AL22" s="92"/>
    </row>
    <row r="23" spans="2:38" ht="12.9" customHeight="1" x14ac:dyDescent="0.25">
      <c r="C23" s="168" t="s">
        <v>455</v>
      </c>
      <c r="D23" s="53" t="s">
        <v>236</v>
      </c>
      <c r="E23" s="53"/>
      <c r="F23" s="53"/>
      <c r="G23" s="53"/>
      <c r="H23" s="53"/>
      <c r="I23" s="53"/>
      <c r="J23" s="53"/>
      <c r="R23" s="124" t="s">
        <v>235</v>
      </c>
      <c r="V23" s="205"/>
      <c r="Y23" s="124" t="s">
        <v>232</v>
      </c>
      <c r="Z23" s="124"/>
      <c r="AA23" s="124"/>
      <c r="AB23" s="124"/>
      <c r="AC23" s="124"/>
      <c r="AD23" s="124"/>
      <c r="AE23" s="124"/>
      <c r="AF23" s="124"/>
      <c r="AG23" s="124"/>
      <c r="AH23" s="124"/>
      <c r="AI23" s="124"/>
      <c r="AJ23" s="124"/>
      <c r="AL23" s="92"/>
    </row>
    <row r="24" spans="2:38" ht="12.9" customHeight="1" x14ac:dyDescent="0.25">
      <c r="C24" s="201"/>
      <c r="D24" s="53"/>
      <c r="E24" s="53"/>
      <c r="F24" s="53"/>
      <c r="G24" s="53"/>
      <c r="H24" s="53"/>
      <c r="I24" s="53"/>
      <c r="J24" s="53"/>
      <c r="Q24" s="124"/>
      <c r="V24" s="205"/>
      <c r="Y24" s="124" t="s">
        <v>234</v>
      </c>
      <c r="Z24" s="124"/>
      <c r="AA24" s="124"/>
      <c r="AB24" s="124"/>
      <c r="AC24" s="124"/>
      <c r="AD24" s="124"/>
      <c r="AE24" s="124"/>
      <c r="AF24" s="124"/>
      <c r="AG24" s="124"/>
      <c r="AH24" s="124"/>
      <c r="AI24" s="124"/>
      <c r="AJ24" s="124"/>
      <c r="AL24" s="92"/>
    </row>
    <row r="25" spans="2:38" ht="12.9" customHeight="1" x14ac:dyDescent="0.25">
      <c r="C25" s="201"/>
      <c r="D25" s="53"/>
      <c r="E25" s="53"/>
      <c r="F25" s="53"/>
      <c r="G25" s="53"/>
      <c r="H25" s="53"/>
      <c r="I25" s="53"/>
      <c r="J25" s="53"/>
      <c r="Q25" s="124"/>
      <c r="V25" s="205"/>
      <c r="Y25" s="124" t="s">
        <v>233</v>
      </c>
      <c r="Z25" s="124"/>
      <c r="AA25" s="124"/>
      <c r="AB25" s="124"/>
      <c r="AC25" s="124"/>
      <c r="AD25" s="124"/>
      <c r="AE25" s="124"/>
      <c r="AF25" s="124"/>
      <c r="AG25" s="124"/>
      <c r="AH25" s="124"/>
      <c r="AI25" s="124"/>
      <c r="AJ25" s="124"/>
      <c r="AL25" s="92"/>
    </row>
    <row r="26" spans="2:38" ht="12.9" customHeight="1" x14ac:dyDescent="0.25">
      <c r="C26" s="168" t="s">
        <v>456</v>
      </c>
      <c r="D26" s="53"/>
      <c r="E26" s="53"/>
      <c r="F26" s="53"/>
      <c r="G26" s="53"/>
      <c r="H26" s="53"/>
      <c r="I26" s="53"/>
      <c r="J26"/>
      <c r="V26" s="205"/>
      <c r="Y26" s="124" t="s">
        <v>457</v>
      </c>
      <c r="Z26" s="124"/>
      <c r="AA26" s="124"/>
      <c r="AB26" s="124"/>
      <c r="AC26" s="124"/>
      <c r="AD26" s="124"/>
      <c r="AE26" s="124" t="s">
        <v>458</v>
      </c>
      <c r="AG26" s="124"/>
      <c r="AH26" s="124"/>
      <c r="AI26" s="124"/>
      <c r="AL26" s="92"/>
    </row>
    <row r="27" spans="2:38" ht="12.9" customHeight="1" x14ac:dyDescent="0.25">
      <c r="C27" s="168" t="s">
        <v>568</v>
      </c>
      <c r="D27" s="53"/>
      <c r="E27" s="53"/>
      <c r="F27" s="53"/>
      <c r="G27" s="53"/>
      <c r="H27" s="53"/>
      <c r="I27" s="53"/>
      <c r="J27"/>
      <c r="V27" s="205"/>
      <c r="Y27" s="124" t="s">
        <v>457</v>
      </c>
      <c r="Z27" s="124"/>
      <c r="AA27" s="124"/>
      <c r="AB27" s="124"/>
      <c r="AC27" s="124"/>
      <c r="AD27" s="124"/>
      <c r="AE27" s="124" t="s">
        <v>445</v>
      </c>
      <c r="AG27" s="124"/>
      <c r="AH27" s="124"/>
      <c r="AI27" s="124"/>
      <c r="AL27" s="92"/>
    </row>
    <row r="28" spans="2:38" ht="12.9" customHeight="1" x14ac:dyDescent="0.25">
      <c r="C28" s="250" t="s">
        <v>584</v>
      </c>
      <c r="D28" s="32"/>
      <c r="V28" s="92"/>
      <c r="Y28" s="124" t="s">
        <v>228</v>
      </c>
      <c r="AH28" s="124" t="s">
        <v>434</v>
      </c>
      <c r="AI28" s="124"/>
      <c r="AL28" s="92"/>
    </row>
    <row r="29" spans="2:38" ht="12.9" customHeight="1" x14ac:dyDescent="0.25">
      <c r="C29" s="250" t="s">
        <v>591</v>
      </c>
      <c r="D29" s="53"/>
      <c r="H29" s="53"/>
      <c r="I29" s="53"/>
      <c r="J29"/>
      <c r="V29" s="205"/>
      <c r="Y29" s="124" t="s">
        <v>566</v>
      </c>
      <c r="AH29" s="124" t="s">
        <v>434</v>
      </c>
      <c r="AI29" s="124"/>
      <c r="AL29" s="92"/>
    </row>
    <row r="30" spans="2:38" ht="12.9" customHeight="1" x14ac:dyDescent="0.25">
      <c r="C30" s="248"/>
      <c r="D30" s="249"/>
      <c r="E30" s="112"/>
      <c r="F30" s="112"/>
      <c r="G30" s="112"/>
      <c r="H30" s="112"/>
      <c r="I30" s="112"/>
      <c r="J30" s="112"/>
      <c r="K30" s="112"/>
      <c r="L30" s="112"/>
      <c r="M30" s="112"/>
      <c r="N30" s="112"/>
      <c r="O30" s="112"/>
      <c r="P30" s="112"/>
      <c r="Q30" s="112"/>
      <c r="R30" s="112"/>
      <c r="S30" s="112"/>
      <c r="T30" s="112"/>
      <c r="U30" s="112"/>
      <c r="V30" s="120"/>
      <c r="W30" s="112"/>
      <c r="X30" s="112"/>
      <c r="Y30" s="206"/>
      <c r="Z30" s="112"/>
      <c r="AA30" s="112"/>
      <c r="AB30" s="112"/>
      <c r="AC30" s="112"/>
      <c r="AD30" s="112"/>
      <c r="AE30" s="112"/>
      <c r="AF30" s="112"/>
      <c r="AG30" s="112"/>
      <c r="AH30" s="206"/>
      <c r="AI30" s="206"/>
      <c r="AJ30" s="112"/>
      <c r="AK30" s="112"/>
      <c r="AL30" s="120"/>
    </row>
    <row r="31" spans="2:38" ht="12.9" customHeight="1" x14ac:dyDescent="0.25">
      <c r="B31" s="46"/>
      <c r="C31" s="124" t="s">
        <v>594</v>
      </c>
    </row>
    <row r="32" spans="2:38" ht="12.9" customHeight="1" x14ac:dyDescent="0.25">
      <c r="C32" s="53" t="s">
        <v>595</v>
      </c>
    </row>
    <row r="33" spans="2:30" ht="12.9" customHeight="1" x14ac:dyDescent="0.25">
      <c r="C33" s="53" t="s">
        <v>596</v>
      </c>
    </row>
    <row r="34" spans="2:30" ht="12.9" customHeight="1" x14ac:dyDescent="0.25">
      <c r="B34" s="53"/>
      <c r="C34" s="34"/>
    </row>
    <row r="35" spans="2:30" ht="12.9" customHeight="1" x14ac:dyDescent="0.25">
      <c r="B35" s="34" t="s">
        <v>480</v>
      </c>
    </row>
    <row r="36" spans="2:30" ht="12.9" customHeight="1" x14ac:dyDescent="0.25">
      <c r="B36" s="53"/>
      <c r="C36" s="34"/>
    </row>
    <row r="37" spans="2:30" ht="12.9" customHeight="1" x14ac:dyDescent="0.25">
      <c r="B37" s="60" t="s">
        <v>481</v>
      </c>
      <c r="C37" s="53" t="s">
        <v>495</v>
      </c>
      <c r="D37" s="83"/>
      <c r="E37" s="83"/>
      <c r="F37" s="83"/>
      <c r="G37" s="83"/>
      <c r="H37" s="83"/>
      <c r="I37" s="83"/>
      <c r="J37" s="83"/>
      <c r="K37" s="83"/>
      <c r="L37" s="83"/>
      <c r="M37" s="83"/>
      <c r="N37" s="83"/>
      <c r="O37" s="83"/>
      <c r="P37" s="83"/>
      <c r="Q37" s="83"/>
      <c r="R37" s="83"/>
      <c r="S37" s="83"/>
      <c r="T37" s="83"/>
      <c r="U37" s="83"/>
      <c r="AB37" s="83" t="s">
        <v>483</v>
      </c>
      <c r="AC37" s="57">
        <v>8</v>
      </c>
      <c r="AD37" s="57" t="s">
        <v>490</v>
      </c>
    </row>
    <row r="38" spans="2:30" ht="12.9" customHeight="1" x14ac:dyDescent="0.25">
      <c r="B38" s="60" t="s">
        <v>482</v>
      </c>
      <c r="C38" s="53" t="s">
        <v>496</v>
      </c>
      <c r="D38" s="83"/>
      <c r="E38" s="83"/>
      <c r="F38" s="83"/>
      <c r="G38" s="83"/>
      <c r="H38" s="83"/>
      <c r="I38" s="83"/>
      <c r="J38" s="83"/>
      <c r="K38" s="83"/>
      <c r="L38" s="83"/>
      <c r="M38" s="83"/>
      <c r="N38" s="83"/>
      <c r="O38" s="83"/>
      <c r="P38" s="83"/>
      <c r="Q38" s="83"/>
      <c r="R38" s="83"/>
      <c r="S38" s="83"/>
      <c r="T38" s="83"/>
      <c r="U38" s="83"/>
      <c r="AB38" s="83" t="s">
        <v>483</v>
      </c>
      <c r="AC38" s="57">
        <v>16</v>
      </c>
      <c r="AD38" s="57" t="s">
        <v>490</v>
      </c>
    </row>
    <row r="39" spans="2:30" ht="12.9" customHeight="1" x14ac:dyDescent="0.25">
      <c r="B39" s="60" t="s">
        <v>484</v>
      </c>
      <c r="C39" s="53" t="s">
        <v>524</v>
      </c>
      <c r="AB39" s="83" t="s">
        <v>483</v>
      </c>
      <c r="AC39" s="57">
        <v>30</v>
      </c>
      <c r="AD39" s="57" t="s">
        <v>490</v>
      </c>
    </row>
    <row r="40" spans="2:30" ht="12.9" customHeight="1" x14ac:dyDescent="0.25">
      <c r="B40" s="60" t="s">
        <v>491</v>
      </c>
      <c r="C40" s="53" t="s">
        <v>492</v>
      </c>
      <c r="AB40" s="83" t="s">
        <v>483</v>
      </c>
      <c r="AC40" s="57">
        <f>81-AC39-AC38-AC37</f>
        <v>27</v>
      </c>
      <c r="AD40" s="57" t="s">
        <v>490</v>
      </c>
    </row>
    <row r="41" spans="2:30" ht="12.9" customHeight="1" x14ac:dyDescent="0.25">
      <c r="B41" s="60" t="s">
        <v>493</v>
      </c>
      <c r="C41" s="53" t="s">
        <v>540</v>
      </c>
      <c r="AB41" s="83" t="s">
        <v>483</v>
      </c>
      <c r="AC41" s="57">
        <v>3</v>
      </c>
      <c r="AD41" s="57" t="s">
        <v>490</v>
      </c>
    </row>
    <row r="42" spans="2:30" ht="12.9" customHeight="1" x14ac:dyDescent="0.25">
      <c r="B42" s="60" t="s">
        <v>494</v>
      </c>
      <c r="C42" s="53" t="s">
        <v>543</v>
      </c>
      <c r="AB42" s="83" t="s">
        <v>483</v>
      </c>
      <c r="AC42" s="57">
        <v>3</v>
      </c>
      <c r="AD42" s="57" t="s">
        <v>490</v>
      </c>
    </row>
    <row r="43" spans="2:30" ht="12.9" customHeight="1" x14ac:dyDescent="0.25">
      <c r="B43" s="60" t="s">
        <v>541</v>
      </c>
      <c r="C43" s="53" t="s">
        <v>544</v>
      </c>
      <c r="AB43" s="83" t="s">
        <v>483</v>
      </c>
      <c r="AC43" s="57">
        <v>3</v>
      </c>
      <c r="AD43" s="57" t="s">
        <v>490</v>
      </c>
    </row>
    <row r="44" spans="2:30" ht="12.9" customHeight="1" x14ac:dyDescent="0.25">
      <c r="B44" s="60" t="s">
        <v>542</v>
      </c>
      <c r="C44" s="53" t="s">
        <v>570</v>
      </c>
      <c r="AB44" s="83" t="s">
        <v>483</v>
      </c>
      <c r="AC44" s="57">
        <v>3</v>
      </c>
      <c r="AD44" s="57" t="s">
        <v>490</v>
      </c>
    </row>
    <row r="45" spans="2:30" ht="12.9" customHeight="1" x14ac:dyDescent="0.25">
      <c r="B45" s="60" t="s">
        <v>569</v>
      </c>
      <c r="C45" s="53" t="s">
        <v>548</v>
      </c>
      <c r="D45" s="83"/>
      <c r="E45" s="83"/>
      <c r="F45" s="83"/>
      <c r="G45" s="83"/>
      <c r="H45" s="83"/>
      <c r="I45" s="83"/>
      <c r="J45" s="83"/>
      <c r="K45" s="83"/>
      <c r="L45" s="83"/>
      <c r="M45" s="83"/>
      <c r="N45" s="83"/>
      <c r="O45" s="83"/>
      <c r="P45" s="83"/>
      <c r="Q45" s="83"/>
      <c r="R45" s="83"/>
      <c r="S45" s="83"/>
      <c r="T45" s="83"/>
      <c r="U45" s="83"/>
      <c r="AB45" s="83" t="s">
        <v>483</v>
      </c>
      <c r="AC45" s="57">
        <v>26</v>
      </c>
      <c r="AD45" s="57" t="s">
        <v>490</v>
      </c>
    </row>
    <row r="46" spans="2:30" ht="12.9" customHeight="1" x14ac:dyDescent="0.25">
      <c r="B46" s="53"/>
      <c r="C46" s="34"/>
    </row>
    <row r="47" spans="2:30" ht="12.9" customHeight="1" x14ac:dyDescent="0.25">
      <c r="B47" s="53"/>
      <c r="C47" s="34" t="s">
        <v>585</v>
      </c>
    </row>
    <row r="48" spans="2:30" ht="12.9" customHeight="1" x14ac:dyDescent="0.25">
      <c r="B48" s="53"/>
    </row>
    <row r="49" spans="1:37" ht="12.9" customHeight="1" x14ac:dyDescent="0.25">
      <c r="B49" s="53"/>
      <c r="C49" s="34"/>
    </row>
    <row r="50" spans="1:37" ht="12.9" customHeight="1" x14ac:dyDescent="0.25">
      <c r="B50" s="53"/>
      <c r="C50" s="34"/>
    </row>
    <row r="51" spans="1:37" ht="12.9" customHeight="1" x14ac:dyDescent="0.25">
      <c r="B51" s="53"/>
      <c r="C51" s="34"/>
    </row>
    <row r="52" spans="1:37" ht="12.9" customHeight="1" x14ac:dyDescent="0.25">
      <c r="B52" s="53"/>
      <c r="C52" s="34"/>
    </row>
    <row r="53" spans="1:37" ht="12.9" customHeight="1" x14ac:dyDescent="0.25">
      <c r="C53" s="53"/>
    </row>
    <row r="54" spans="1:37" ht="12.9" customHeight="1" x14ac:dyDescent="0.25">
      <c r="C54" s="34"/>
    </row>
    <row r="55" spans="1:37" ht="12.9" customHeight="1" x14ac:dyDescent="0.25">
      <c r="C55" s="34"/>
    </row>
    <row r="56" spans="1:37" ht="12.9" customHeight="1" x14ac:dyDescent="0.25">
      <c r="C56" s="34"/>
    </row>
    <row r="61" spans="1:37" s="2" customFormat="1" ht="15.6" x14ac:dyDescent="0.3">
      <c r="A61" s="158"/>
      <c r="B61" s="158"/>
      <c r="C61" s="158"/>
      <c r="D61" s="158"/>
      <c r="E61" s="22"/>
      <c r="F61" s="22"/>
      <c r="G61" s="22"/>
      <c r="H61" s="22"/>
      <c r="I61" s="22"/>
      <c r="J61" s="159"/>
      <c r="K61" s="159"/>
      <c r="L61" s="159"/>
      <c r="M61" s="159"/>
      <c r="N61" s="159"/>
      <c r="O61" s="159"/>
      <c r="P61" s="159"/>
      <c r="Q61" s="159"/>
      <c r="R61" s="332"/>
      <c r="S61" s="332"/>
      <c r="T61" s="332"/>
      <c r="U61" s="332"/>
      <c r="V61" s="166"/>
      <c r="W61" s="332"/>
      <c r="X61" s="332"/>
      <c r="Y61" s="332"/>
      <c r="Z61" s="332"/>
      <c r="AA61" s="332"/>
      <c r="AB61" s="332"/>
      <c r="AC61" s="341" t="s">
        <v>2</v>
      </c>
      <c r="AD61" s="341"/>
      <c r="AE61" s="341">
        <v>9</v>
      </c>
      <c r="AF61" s="341"/>
      <c r="AG61" s="341" t="s">
        <v>177</v>
      </c>
      <c r="AH61" s="341"/>
      <c r="AI61" s="341">
        <v>9</v>
      </c>
      <c r="AJ61" s="341"/>
      <c r="AK61" s="159"/>
    </row>
    <row r="62" spans="1:37" s="2" customFormat="1" ht="15.75" customHeight="1" x14ac:dyDescent="0.3">
      <c r="A62" s="340"/>
      <c r="B62" s="340"/>
      <c r="C62" s="340"/>
      <c r="D62" s="340"/>
      <c r="E62" s="340"/>
      <c r="F62" s="23"/>
      <c r="G62" s="23"/>
      <c r="H62" s="23"/>
      <c r="I62" s="23"/>
      <c r="J62" s="23"/>
      <c r="K62" s="23"/>
    </row>
    <row r="63" spans="1:37" s="2" customFormat="1" ht="12.75" customHeight="1" x14ac:dyDescent="0.3">
      <c r="A63" s="160"/>
      <c r="B63" s="29"/>
      <c r="C63" s="29"/>
      <c r="D63" s="29"/>
      <c r="E63" s="29"/>
      <c r="F63" s="29"/>
      <c r="G63" s="29"/>
      <c r="H63" s="29"/>
      <c r="I63" s="29"/>
      <c r="J63" s="29"/>
      <c r="K63" s="30"/>
    </row>
  </sheetData>
  <sheetProtection formatCells="0" formatColumns="0" formatRows="0"/>
  <protectedRanges>
    <protectedRange sqref="W31:AK31 C5:H5 AJ4:AK4 C56:D60 C16:P16 B4:U4 C32:D32 C31:U31 V30:V31 C23:P25 Y20:Y22 AK15:AN15 A3:AK3 A64:AK1684 C18:O22 C51:C55 Q23 AK18:AN22 A8:AN9 S23:AK23 V4:AI7 W30:AN30 G30:U30 B5:B7 AI16:AN16 AJ5:AN7 I5:U7 E7:H7 A4:A7 R14:AG14 AI14:AN14 A14:P14 V23:V25 R24:AK25 D35:D37 Z37 V35:AK36 C36:C37 C38:U38 Y46:Y47 C46:X46 C41:U41 C45:U45 C17:AK17 AA37:AA43 C42:V43 Z40:Z43 E51:AK60 D51:D54 C34:AK34 A35:B43 AB41:AD43 AE37:AK43 AC37:AD40 Z44:AK48 A44:V44 A51:B60 A15:O15 A16:B25 R16:AG16 A26:AE27 AG26:AN27 A49:B50 G28:AN29 A34:B34 D49:D50 E49:AK50 C49:C50 A45:B48 A28:B33 V32:AK33 E32:U33 E35:U37" name="Range2"/>
    <protectedRange sqref="A61:AK63" name="Range2_4_1"/>
    <protectedRange sqref="W12:AG12 A12:B12 AD13:AG13 AI12:AL13" name="Range2_1"/>
    <protectedRange sqref="C12:S12 V12" name="Range2_9"/>
    <protectedRange sqref="A11:AN11 AH12:AH14 AH19 AH21" name="Range2_3"/>
    <protectedRange sqref="A10:P10 R10:AN10 AH22 AI15 AH20 AH16" name="Range2_3_1"/>
    <protectedRange sqref="D29" name="Range2_3_2"/>
  </protectedRanges>
  <mergeCells count="13">
    <mergeCell ref="A62:E62"/>
    <mergeCell ref="A2:Q2"/>
    <mergeCell ref="Y61:Z61"/>
    <mergeCell ref="AA61:AB61"/>
    <mergeCell ref="AC61:AD61"/>
    <mergeCell ref="Y15:AH15"/>
    <mergeCell ref="A1:K1"/>
    <mergeCell ref="R61:S61"/>
    <mergeCell ref="T61:U61"/>
    <mergeCell ref="W61:X61"/>
    <mergeCell ref="AI61:AJ61"/>
    <mergeCell ref="AE61:AF61"/>
    <mergeCell ref="AG61:AH61"/>
  </mergeCells>
  <hyperlinks>
    <hyperlink ref="AR1" r:id="rId1" xr:uid="{40421B7B-4B11-4C63-A26C-2BD75197DECB}"/>
  </hyperlinks>
  <pageMargins left="0.25" right="0.25" top="0.75" bottom="0.75" header="0.3" footer="0.3"/>
  <pageSetup paperSize="9" scale="90" orientation="portrait" r:id="rId2"/>
  <headerFooter alignWithMargins="0">
    <oddHeader xml:space="preserve">&amp;R
</oddHeader>
  </headerFooter>
  <drawing r:id="rId3"/>
  <legacyDrawingHF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indexed="45"/>
  </sheetPr>
  <dimension ref="A1:BE59"/>
  <sheetViews>
    <sheetView zoomScale="115" zoomScaleNormal="115" zoomScaleSheetLayoutView="115" workbookViewId="0">
      <selection activeCell="AG2" sqref="AG2"/>
    </sheetView>
  </sheetViews>
  <sheetFormatPr defaultColWidth="2.5546875" defaultRowHeight="12.9" customHeight="1" x14ac:dyDescent="0.25"/>
  <cols>
    <col min="1" max="3" width="2.5546875" style="30" customWidth="1"/>
    <col min="4" max="4" width="3.33203125" style="30" customWidth="1"/>
    <col min="5" max="5" width="2.6640625" style="30" customWidth="1"/>
    <col min="6" max="35" width="2.5546875" style="30" customWidth="1"/>
    <col min="36" max="36" width="2.44140625" style="30" customWidth="1"/>
    <col min="37" max="16384" width="2.5546875" style="30"/>
  </cols>
  <sheetData>
    <row r="1" spans="1:57" s="1" customFormat="1" ht="15" customHeight="1" thickTop="1" x14ac:dyDescent="0.25">
      <c r="A1" s="313"/>
      <c r="B1" s="313"/>
      <c r="C1" s="313"/>
      <c r="D1" s="313"/>
      <c r="E1" s="313"/>
      <c r="F1" s="313"/>
      <c r="G1" s="313"/>
      <c r="H1" s="313"/>
      <c r="I1" s="313"/>
      <c r="J1" s="313"/>
      <c r="K1" s="313"/>
      <c r="AM1" s="259" t="s">
        <v>607</v>
      </c>
    </row>
    <row r="2" spans="1:57" s="1" customFormat="1" ht="15" customHeight="1" x14ac:dyDescent="0.25">
      <c r="A2" s="313" t="s">
        <v>22</v>
      </c>
      <c r="B2" s="313"/>
      <c r="C2" s="313"/>
      <c r="D2" s="313"/>
      <c r="E2" s="313"/>
      <c r="F2" s="313"/>
      <c r="G2" s="313"/>
      <c r="H2" s="313"/>
      <c r="I2" s="313"/>
      <c r="J2" s="313"/>
      <c r="K2" s="313"/>
      <c r="L2" s="313"/>
      <c r="M2" s="313"/>
      <c r="N2" s="313"/>
      <c r="O2" s="313"/>
      <c r="P2" s="313"/>
      <c r="Q2" s="313"/>
      <c r="AM2" s="255" t="s">
        <v>608</v>
      </c>
    </row>
    <row r="3" spans="1:57" s="32" customFormat="1" ht="12.9" customHeight="1" x14ac:dyDescent="0.2"/>
    <row r="4" spans="1:57" s="32" customFormat="1" ht="12.9" customHeight="1" x14ac:dyDescent="0.2">
      <c r="B4" s="57"/>
      <c r="C4" s="34"/>
      <c r="D4" s="53"/>
      <c r="E4" s="54"/>
      <c r="I4" s="54"/>
      <c r="J4" s="54"/>
      <c r="N4" s="342" t="s">
        <v>392</v>
      </c>
      <c r="O4" s="342"/>
      <c r="P4" s="342"/>
      <c r="Q4" s="342"/>
      <c r="R4" s="342"/>
      <c r="S4" s="342"/>
      <c r="T4" s="342"/>
      <c r="U4" s="342"/>
      <c r="V4" s="342"/>
      <c r="W4" s="342"/>
      <c r="X4" s="342"/>
    </row>
    <row r="5" spans="1:57" s="32" customFormat="1" ht="12.9" customHeight="1" x14ac:dyDescent="0.2">
      <c r="A5" s="126"/>
      <c r="B5" s="127">
        <v>1</v>
      </c>
      <c r="C5" s="52" t="s">
        <v>35</v>
      </c>
      <c r="D5" s="53"/>
      <c r="E5" s="53"/>
      <c r="F5" s="53"/>
      <c r="G5" s="53"/>
      <c r="H5" s="54"/>
      <c r="I5" s="54"/>
      <c r="J5" s="54"/>
    </row>
    <row r="6" spans="1:57" s="32" customFormat="1" ht="12.9" customHeight="1" x14ac:dyDescent="0.2">
      <c r="A6" s="126"/>
      <c r="B6" s="57"/>
      <c r="C6" s="53" t="s">
        <v>394</v>
      </c>
      <c r="D6" s="53"/>
      <c r="E6" s="53"/>
      <c r="F6" s="53"/>
      <c r="G6" s="53"/>
      <c r="H6" s="54"/>
      <c r="I6" s="54"/>
      <c r="J6" s="54"/>
    </row>
    <row r="7" spans="1:57" s="32" customFormat="1" ht="12.9" customHeight="1" x14ac:dyDescent="0.2">
      <c r="A7" s="126"/>
      <c r="B7" s="57"/>
      <c r="C7" s="53" t="s">
        <v>597</v>
      </c>
      <c r="D7" s="53"/>
      <c r="E7" s="53"/>
      <c r="F7" s="53"/>
      <c r="G7" s="53"/>
      <c r="H7" s="54"/>
      <c r="I7" s="54"/>
      <c r="J7" s="54"/>
    </row>
    <row r="8" spans="1:57" s="32" customFormat="1" ht="12.9" customHeight="1" x14ac:dyDescent="0.2">
      <c r="A8" s="126"/>
      <c r="B8" s="57"/>
      <c r="C8" s="53"/>
      <c r="D8" s="53"/>
      <c r="E8" s="53"/>
      <c r="F8" s="53"/>
      <c r="G8" s="53"/>
      <c r="H8" s="53"/>
      <c r="I8" s="54"/>
      <c r="J8" s="53"/>
    </row>
    <row r="9" spans="1:57" s="32" customFormat="1" ht="12.9" customHeight="1" x14ac:dyDescent="0.2">
      <c r="A9" s="126"/>
      <c r="B9" s="127">
        <v>2</v>
      </c>
      <c r="C9" s="52" t="s">
        <v>37</v>
      </c>
      <c r="D9" s="53"/>
      <c r="E9" s="53"/>
      <c r="F9" s="81"/>
      <c r="G9" s="53"/>
      <c r="N9" s="53"/>
      <c r="O9" s="128"/>
      <c r="P9" s="128"/>
      <c r="Q9" s="128"/>
      <c r="S9" s="58"/>
      <c r="AN9" s="53"/>
      <c r="AO9" s="53"/>
      <c r="AP9" s="53"/>
      <c r="AQ9" s="81"/>
      <c r="AR9" s="53"/>
      <c r="AY9" s="53"/>
      <c r="AZ9" s="381"/>
      <c r="BA9" s="381"/>
      <c r="BB9" s="381"/>
      <c r="BD9" s="58"/>
    </row>
    <row r="10" spans="1:57" s="32" customFormat="1" ht="12.9" customHeight="1" x14ac:dyDescent="0.2">
      <c r="A10" s="126"/>
      <c r="B10" s="57"/>
      <c r="C10" s="53" t="s">
        <v>137</v>
      </c>
      <c r="D10" s="53"/>
      <c r="E10" s="53"/>
      <c r="F10" s="53"/>
      <c r="G10" s="53"/>
      <c r="N10" s="53"/>
      <c r="O10" s="54"/>
      <c r="P10" s="54"/>
      <c r="AN10" s="53"/>
      <c r="AO10" s="53"/>
      <c r="AP10" s="53"/>
      <c r="AQ10" s="53"/>
      <c r="AR10" s="53"/>
      <c r="AY10" s="53"/>
      <c r="AZ10" s="53"/>
      <c r="BA10" s="53"/>
    </row>
    <row r="11" spans="1:57" s="32" customFormat="1" ht="12.9" customHeight="1" x14ac:dyDescent="0.2">
      <c r="A11" s="126"/>
      <c r="B11" s="57"/>
      <c r="C11" s="53" t="s">
        <v>598</v>
      </c>
      <c r="D11" s="53"/>
      <c r="E11" s="53"/>
      <c r="F11" s="81"/>
      <c r="G11" s="53"/>
      <c r="N11" s="53"/>
      <c r="O11" s="129"/>
      <c r="P11" s="129"/>
      <c r="Q11" s="129"/>
      <c r="AN11" s="53"/>
      <c r="AO11" s="53"/>
      <c r="AP11" s="53"/>
      <c r="AQ11" s="81"/>
      <c r="AR11" s="53"/>
      <c r="AY11" s="53"/>
      <c r="AZ11" s="381"/>
      <c r="BA11" s="381"/>
      <c r="BB11" s="381"/>
    </row>
    <row r="12" spans="1:57" s="32" customFormat="1" ht="12.9" customHeight="1" x14ac:dyDescent="0.2">
      <c r="A12" s="126"/>
      <c r="B12" s="57"/>
      <c r="C12" s="53"/>
      <c r="D12" s="53"/>
      <c r="E12" s="54"/>
      <c r="F12" s="54"/>
      <c r="G12" s="54"/>
      <c r="N12" s="53"/>
      <c r="O12" s="130"/>
      <c r="P12" s="54"/>
      <c r="AN12" s="53"/>
      <c r="AO12" s="53"/>
      <c r="AP12" s="54"/>
      <c r="AQ12" s="54"/>
      <c r="AR12" s="54"/>
      <c r="AY12" s="53"/>
      <c r="AZ12" s="57"/>
      <c r="BA12" s="53"/>
    </row>
    <row r="13" spans="1:57" s="32" customFormat="1" ht="12.9" customHeight="1" x14ac:dyDescent="0.2">
      <c r="A13" s="126"/>
      <c r="B13" s="127">
        <v>3</v>
      </c>
      <c r="C13" s="52" t="s">
        <v>39</v>
      </c>
      <c r="D13" s="34"/>
      <c r="E13" s="53"/>
      <c r="F13" s="53"/>
      <c r="G13" s="53"/>
      <c r="H13" s="53"/>
      <c r="I13" s="53"/>
      <c r="J13" s="53"/>
      <c r="K13" s="53"/>
      <c r="L13" s="124"/>
      <c r="M13" s="124"/>
      <c r="N13" s="53"/>
      <c r="O13" s="132"/>
      <c r="P13" s="132"/>
      <c r="Q13" s="132"/>
      <c r="R13" s="124"/>
      <c r="S13" s="34"/>
      <c r="T13" s="124"/>
      <c r="AH13" s="74"/>
      <c r="AI13" s="74"/>
      <c r="AJ13" s="74"/>
      <c r="AN13" s="85"/>
      <c r="AO13" s="58"/>
      <c r="AP13" s="85"/>
      <c r="AQ13" s="85"/>
      <c r="AR13" s="85"/>
      <c r="AS13" s="85"/>
      <c r="AT13" s="85"/>
      <c r="AU13" s="85"/>
      <c r="AV13" s="85"/>
      <c r="AW13" s="56"/>
      <c r="AX13" s="56"/>
      <c r="AY13" s="85"/>
      <c r="AZ13" s="395"/>
      <c r="BA13" s="395"/>
      <c r="BB13" s="395"/>
      <c r="BC13" s="56"/>
      <c r="BD13" s="58"/>
      <c r="BE13" s="56"/>
    </row>
    <row r="14" spans="1:57" s="32" customFormat="1" ht="12.9" customHeight="1" x14ac:dyDescent="0.2">
      <c r="A14" s="126"/>
      <c r="B14" s="57"/>
      <c r="C14" s="53" t="s">
        <v>599</v>
      </c>
      <c r="D14" s="53"/>
      <c r="E14" s="53"/>
      <c r="F14" s="53"/>
      <c r="G14" s="53"/>
      <c r="H14" s="53"/>
      <c r="I14" s="53"/>
      <c r="J14" s="53"/>
      <c r="T14" s="124" t="s">
        <v>138</v>
      </c>
    </row>
    <row r="15" spans="1:57" s="32" customFormat="1" ht="12.9" customHeight="1" x14ac:dyDescent="0.2">
      <c r="A15" s="133"/>
      <c r="B15" s="127"/>
      <c r="C15" s="124" t="s">
        <v>546</v>
      </c>
      <c r="D15" s="53"/>
      <c r="E15" s="53"/>
      <c r="F15" s="53"/>
      <c r="G15" s="53"/>
      <c r="H15" s="53"/>
      <c r="I15" s="53"/>
      <c r="J15" s="53"/>
      <c r="O15" s="132"/>
      <c r="P15" s="132"/>
      <c r="Q15" s="132"/>
      <c r="T15" s="124" t="s">
        <v>547</v>
      </c>
    </row>
    <row r="16" spans="1:57" s="83" customFormat="1" ht="12.9" customHeight="1" x14ac:dyDescent="0.25">
      <c r="B16" s="33"/>
      <c r="C16" s="53" t="s">
        <v>345</v>
      </c>
      <c r="E16" s="53"/>
      <c r="F16" s="53"/>
    </row>
    <row r="17" spans="1:37" s="83" customFormat="1" ht="12.9" customHeight="1" x14ac:dyDescent="0.25">
      <c r="B17" s="33"/>
      <c r="C17" s="53" t="s">
        <v>346</v>
      </c>
      <c r="D17" s="53"/>
      <c r="E17" s="53"/>
      <c r="F17" s="53"/>
      <c r="AD17" s="189"/>
    </row>
    <row r="18" spans="1:37" s="32" customFormat="1" ht="12.9" customHeight="1" x14ac:dyDescent="0.2">
      <c r="A18" s="126"/>
      <c r="B18" s="57"/>
      <c r="D18" s="53"/>
      <c r="E18" s="53"/>
      <c r="F18" s="53"/>
      <c r="G18" s="53"/>
      <c r="H18" s="53"/>
      <c r="I18" s="53"/>
      <c r="J18" s="53"/>
    </row>
    <row r="19" spans="1:37" s="83" customFormat="1" ht="12.9" customHeight="1" x14ac:dyDescent="0.25">
      <c r="A19" s="52"/>
      <c r="C19" s="52" t="s">
        <v>313</v>
      </c>
      <c r="D19" s="53"/>
      <c r="E19" s="53"/>
      <c r="F19" s="53"/>
    </row>
    <row r="20" spans="1:37" s="124" customFormat="1" ht="12.9" customHeight="1" x14ac:dyDescent="0.2">
      <c r="B20" s="192" t="s">
        <v>296</v>
      </c>
      <c r="C20" s="53"/>
      <c r="D20" s="53"/>
      <c r="E20" s="53"/>
      <c r="F20" s="53"/>
    </row>
    <row r="21" spans="1:37" s="83" customFormat="1" ht="12.9" customHeight="1" x14ac:dyDescent="0.25">
      <c r="B21" s="52"/>
      <c r="C21" s="53"/>
      <c r="D21" s="53"/>
      <c r="E21" s="53"/>
      <c r="F21" s="53"/>
    </row>
    <row r="22" spans="1:37" s="35" customFormat="1" ht="49.5" customHeight="1" x14ac:dyDescent="0.2">
      <c r="B22" s="396" t="s">
        <v>459</v>
      </c>
      <c r="C22" s="396"/>
      <c r="D22" s="396"/>
      <c r="E22" s="396"/>
      <c r="F22" s="396"/>
      <c r="G22" s="396"/>
      <c r="H22" s="396"/>
      <c r="I22" s="396"/>
      <c r="J22" s="396"/>
      <c r="K22" s="396"/>
      <c r="L22" s="396"/>
      <c r="M22" s="396"/>
      <c r="N22" s="396"/>
      <c r="O22" s="396"/>
      <c r="P22" s="396"/>
      <c r="Q22" s="396"/>
      <c r="R22" s="396"/>
      <c r="S22" s="396"/>
      <c r="T22" s="396"/>
      <c r="U22" s="396"/>
      <c r="V22" s="396"/>
      <c r="W22" s="396"/>
      <c r="X22" s="396"/>
      <c r="Y22" s="396"/>
      <c r="Z22" s="396"/>
      <c r="AA22" s="396"/>
      <c r="AB22" s="396"/>
      <c r="AC22" s="396"/>
      <c r="AD22" s="396"/>
      <c r="AE22" s="396"/>
      <c r="AF22" s="396"/>
      <c r="AG22" s="396"/>
      <c r="AH22" s="396"/>
      <c r="AI22" s="396"/>
      <c r="AJ22" s="396"/>
      <c r="AK22" s="396"/>
    </row>
    <row r="23" spans="1:37" s="83" customFormat="1" ht="12.9" customHeight="1" x14ac:dyDescent="0.25">
      <c r="A23" s="52"/>
      <c r="B23" s="52"/>
      <c r="C23" s="52" t="s">
        <v>600</v>
      </c>
      <c r="D23" s="53"/>
      <c r="E23" s="53"/>
      <c r="F23" s="53"/>
    </row>
    <row r="24" spans="1:37" s="83" customFormat="1" ht="12.9" customHeight="1" x14ac:dyDescent="0.25">
      <c r="B24" s="192" t="s">
        <v>314</v>
      </c>
      <c r="C24" s="192"/>
      <c r="D24" s="192"/>
      <c r="E24" s="192"/>
      <c r="F24" s="192"/>
      <c r="G24" s="193"/>
      <c r="H24" s="193"/>
      <c r="I24" s="193"/>
      <c r="J24" s="193"/>
      <c r="K24" s="193"/>
      <c r="L24" s="193"/>
      <c r="M24" s="193"/>
      <c r="N24" s="193"/>
      <c r="O24" s="193"/>
      <c r="P24" s="193"/>
      <c r="Q24" s="193"/>
      <c r="R24" s="193"/>
      <c r="S24" s="193"/>
      <c r="T24" s="193"/>
      <c r="U24" s="193"/>
      <c r="V24" s="193"/>
      <c r="W24" s="193"/>
      <c r="X24" s="193"/>
      <c r="Y24" s="193"/>
      <c r="Z24" s="193"/>
      <c r="AA24" s="193"/>
      <c r="AB24" s="193"/>
      <c r="AC24" s="193"/>
      <c r="AD24" s="193"/>
      <c r="AE24" s="193"/>
      <c r="AF24" s="193"/>
      <c r="AG24" s="193"/>
      <c r="AH24" s="193"/>
      <c r="AI24" s="193"/>
      <c r="AJ24" s="193"/>
      <c r="AK24" s="193"/>
    </row>
    <row r="25" spans="1:37" s="83" customFormat="1" ht="6" customHeight="1" x14ac:dyDescent="0.25">
      <c r="B25" s="194"/>
      <c r="C25" s="192"/>
      <c r="D25" s="192"/>
      <c r="E25" s="192"/>
      <c r="F25" s="192"/>
      <c r="G25" s="193"/>
      <c r="H25" s="193"/>
      <c r="I25" s="193"/>
      <c r="J25" s="193"/>
      <c r="K25" s="193"/>
      <c r="L25" s="193"/>
      <c r="M25" s="193"/>
      <c r="N25" s="193"/>
      <c r="O25" s="193"/>
      <c r="P25" s="193"/>
      <c r="Q25" s="193"/>
      <c r="R25" s="193"/>
      <c r="S25" s="193"/>
      <c r="T25" s="193"/>
      <c r="U25" s="193"/>
      <c r="V25" s="193"/>
      <c r="W25" s="193"/>
      <c r="X25" s="193"/>
      <c r="Y25" s="193"/>
      <c r="Z25" s="193"/>
      <c r="AA25" s="193"/>
      <c r="AB25" s="193"/>
      <c r="AC25" s="193"/>
      <c r="AD25" s="193"/>
      <c r="AE25" s="193"/>
      <c r="AF25" s="193"/>
      <c r="AG25" s="193"/>
      <c r="AH25" s="193"/>
      <c r="AI25" s="193"/>
      <c r="AJ25" s="193"/>
      <c r="AK25" s="193"/>
    </row>
    <row r="26" spans="1:37" s="83" customFormat="1" ht="12.9" customHeight="1" x14ac:dyDescent="0.25">
      <c r="B26" s="192" t="s">
        <v>396</v>
      </c>
      <c r="C26" s="192"/>
      <c r="D26" s="192"/>
      <c r="E26" s="192"/>
      <c r="F26" s="192"/>
      <c r="G26" s="193"/>
      <c r="H26" s="193"/>
      <c r="I26" s="193"/>
      <c r="J26" s="193"/>
      <c r="K26" s="193"/>
      <c r="L26" s="193"/>
      <c r="M26" s="193"/>
      <c r="N26" s="193"/>
      <c r="O26" s="193"/>
      <c r="P26" s="193"/>
      <c r="Q26" s="193"/>
      <c r="R26" s="193"/>
      <c r="S26" s="193"/>
      <c r="T26" s="193"/>
      <c r="U26" s="193"/>
      <c r="V26" s="193"/>
      <c r="W26" s="193"/>
      <c r="X26" s="193"/>
      <c r="Y26" s="193"/>
      <c r="Z26" s="193"/>
      <c r="AA26" s="193"/>
      <c r="AB26" s="193"/>
      <c r="AC26" s="193"/>
      <c r="AD26" s="193"/>
      <c r="AE26" s="193"/>
      <c r="AF26" s="193"/>
      <c r="AG26" s="193"/>
      <c r="AH26" s="193"/>
      <c r="AI26" s="193"/>
      <c r="AJ26" s="193"/>
      <c r="AK26" s="193"/>
    </row>
    <row r="27" spans="1:37" s="83" customFormat="1" ht="23.25" customHeight="1" x14ac:dyDescent="0.25">
      <c r="B27" s="397" t="s">
        <v>400</v>
      </c>
      <c r="C27" s="397"/>
      <c r="D27" s="397"/>
      <c r="E27" s="397"/>
      <c r="F27" s="397"/>
      <c r="G27" s="397"/>
      <c r="H27" s="397"/>
      <c r="I27" s="397"/>
      <c r="J27" s="397"/>
      <c r="K27" s="397"/>
      <c r="L27" s="397"/>
      <c r="M27" s="397"/>
      <c r="N27" s="397"/>
      <c r="O27" s="397"/>
      <c r="P27" s="397"/>
      <c r="Q27" s="397"/>
      <c r="R27" s="397"/>
      <c r="S27" s="397"/>
      <c r="T27" s="397"/>
      <c r="U27" s="397"/>
      <c r="V27" s="397"/>
      <c r="W27" s="397"/>
      <c r="X27" s="397"/>
      <c r="Y27" s="397"/>
      <c r="Z27" s="397"/>
      <c r="AA27" s="397"/>
      <c r="AB27" s="397"/>
      <c r="AC27" s="397"/>
      <c r="AD27" s="397"/>
      <c r="AE27" s="397"/>
      <c r="AF27" s="397"/>
      <c r="AG27" s="397"/>
      <c r="AH27" s="397"/>
      <c r="AI27" s="397"/>
      <c r="AJ27" s="397"/>
      <c r="AK27" s="397"/>
    </row>
    <row r="28" spans="1:37" s="83" customFormat="1" ht="12.9" customHeight="1" x14ac:dyDescent="0.25">
      <c r="B28" s="52"/>
      <c r="C28" s="53"/>
      <c r="D28" s="53"/>
      <c r="E28" s="53"/>
      <c r="F28" s="53"/>
    </row>
    <row r="29" spans="1:37" s="83" customFormat="1" ht="12.9" customHeight="1" x14ac:dyDescent="0.25">
      <c r="B29" s="52">
        <v>4</v>
      </c>
      <c r="C29" s="52" t="s">
        <v>40</v>
      </c>
      <c r="D29" s="53"/>
      <c r="E29" s="53"/>
      <c r="F29" s="53"/>
    </row>
    <row r="30" spans="1:37" s="124" customFormat="1" ht="12.9" customHeight="1" x14ac:dyDescent="0.2">
      <c r="C30" s="58" t="s">
        <v>297</v>
      </c>
      <c r="D30" s="85"/>
      <c r="E30" s="53"/>
      <c r="F30" s="53"/>
      <c r="G30" s="53"/>
    </row>
    <row r="31" spans="1:37" s="124" customFormat="1" ht="12.9" customHeight="1" x14ac:dyDescent="0.2">
      <c r="A31" s="190"/>
      <c r="C31" s="53"/>
      <c r="D31" s="53" t="s">
        <v>298</v>
      </c>
      <c r="E31" s="53" t="s">
        <v>42</v>
      </c>
      <c r="F31" s="53"/>
      <c r="G31" s="53"/>
    </row>
    <row r="32" spans="1:37" s="124" customFormat="1" ht="12.9" customHeight="1" x14ac:dyDescent="0.3">
      <c r="C32" s="53"/>
      <c r="D32" s="53" t="s">
        <v>43</v>
      </c>
      <c r="E32" s="53"/>
      <c r="F32" s="53" t="s">
        <v>299</v>
      </c>
      <c r="G32" s="53"/>
    </row>
    <row r="33" spans="2:53" s="124" customFormat="1" ht="12.9" customHeight="1" x14ac:dyDescent="0.2">
      <c r="C33" s="53"/>
      <c r="D33" s="53"/>
      <c r="E33" s="53"/>
      <c r="F33" s="53" t="s">
        <v>300</v>
      </c>
      <c r="G33" s="53"/>
    </row>
    <row r="34" spans="2:53" s="124" customFormat="1" ht="12.9" customHeight="1" x14ac:dyDescent="0.2">
      <c r="C34" s="53"/>
      <c r="D34" s="53"/>
      <c r="E34" s="53"/>
      <c r="F34" s="53" t="s">
        <v>301</v>
      </c>
      <c r="G34" s="53"/>
    </row>
    <row r="35" spans="2:53" s="124" customFormat="1" ht="12.9" customHeight="1" x14ac:dyDescent="0.2">
      <c r="C35" s="53"/>
      <c r="D35" s="53"/>
      <c r="E35" s="53"/>
      <c r="F35" s="53" t="s">
        <v>302</v>
      </c>
      <c r="G35" s="53"/>
    </row>
    <row r="36" spans="2:53" s="124" customFormat="1" ht="12.9" customHeight="1" x14ac:dyDescent="0.2">
      <c r="C36" s="53"/>
      <c r="D36" s="53"/>
      <c r="E36" s="53"/>
      <c r="F36" s="53"/>
      <c r="G36" s="53"/>
    </row>
    <row r="37" spans="2:53" s="124" customFormat="1" ht="12.9" customHeight="1" x14ac:dyDescent="0.2">
      <c r="C37" s="58" t="s">
        <v>303</v>
      </c>
      <c r="D37" s="85"/>
      <c r="E37" s="53"/>
      <c r="F37" s="53"/>
      <c r="G37" s="53"/>
    </row>
    <row r="38" spans="2:53" s="124" customFormat="1" ht="12.9" customHeight="1" x14ac:dyDescent="0.2">
      <c r="C38" s="53"/>
      <c r="D38" s="53"/>
      <c r="E38" s="90"/>
      <c r="F38" s="53"/>
      <c r="G38" s="53"/>
      <c r="AT38" s="191"/>
      <c r="AU38" s="195"/>
      <c r="AV38" s="191"/>
      <c r="AW38" s="191"/>
    </row>
    <row r="39" spans="2:53" s="124" customFormat="1" ht="12.9" customHeight="1" x14ac:dyDescent="0.2">
      <c r="C39" s="53"/>
      <c r="D39" s="53" t="s">
        <v>304</v>
      </c>
      <c r="E39" s="196" t="s">
        <v>42</v>
      </c>
      <c r="F39" s="53"/>
      <c r="G39" s="53"/>
      <c r="AT39" s="191"/>
      <c r="AU39" s="195"/>
      <c r="AV39" s="191"/>
      <c r="AW39" s="191"/>
    </row>
    <row r="40" spans="2:53" s="124" customFormat="1" ht="12.9" customHeight="1" x14ac:dyDescent="0.2">
      <c r="C40" s="53"/>
      <c r="D40" s="53" t="s">
        <v>43</v>
      </c>
      <c r="E40" s="53"/>
      <c r="F40" s="53" t="s">
        <v>305</v>
      </c>
      <c r="G40" s="53"/>
      <c r="AT40" s="191"/>
      <c r="AU40" s="195"/>
      <c r="AV40" s="191"/>
      <c r="AW40" s="191"/>
    </row>
    <row r="41" spans="2:53" s="124" customFormat="1" ht="12.9" customHeight="1" x14ac:dyDescent="0.3">
      <c r="C41" s="53"/>
      <c r="D41" s="53"/>
      <c r="E41" s="53"/>
      <c r="F41" s="53" t="s">
        <v>299</v>
      </c>
      <c r="G41" s="53"/>
      <c r="AT41" s="191"/>
      <c r="AU41" s="195"/>
      <c r="AV41" s="191"/>
      <c r="AW41" s="191"/>
    </row>
    <row r="42" spans="2:53" s="124" customFormat="1" ht="12.9" customHeight="1" x14ac:dyDescent="0.3">
      <c r="C42" s="53"/>
      <c r="D42" s="53"/>
      <c r="E42" s="53"/>
      <c r="F42" s="53" t="s">
        <v>306</v>
      </c>
      <c r="G42" s="53"/>
      <c r="AT42" s="191"/>
      <c r="AU42" s="195"/>
      <c r="AV42" s="191"/>
      <c r="AW42" s="195"/>
    </row>
    <row r="43" spans="2:53" s="124" customFormat="1" ht="12.9" customHeight="1" x14ac:dyDescent="0.2">
      <c r="C43" s="53"/>
      <c r="D43" s="53"/>
      <c r="E43" s="53"/>
      <c r="F43" s="53"/>
      <c r="G43" s="53"/>
      <c r="AT43" s="191"/>
      <c r="AU43" s="195"/>
      <c r="AV43" s="191"/>
      <c r="AW43" s="195"/>
    </row>
    <row r="44" spans="2:53" s="124" customFormat="1" ht="12.9" customHeight="1" x14ac:dyDescent="0.2">
      <c r="C44" s="58" t="s">
        <v>307</v>
      </c>
      <c r="D44" s="53"/>
      <c r="E44" s="53"/>
      <c r="F44" s="53"/>
    </row>
    <row r="45" spans="2:53" s="124" customFormat="1" ht="12.9" customHeight="1" x14ac:dyDescent="0.2">
      <c r="B45" s="34"/>
      <c r="C45" s="53"/>
      <c r="D45" s="53"/>
      <c r="E45" s="53"/>
      <c r="F45" s="53"/>
    </row>
    <row r="46" spans="2:53" s="124" customFormat="1" ht="12.9" customHeight="1" x14ac:dyDescent="0.2">
      <c r="C46" s="191" t="s">
        <v>308</v>
      </c>
      <c r="D46" s="57"/>
      <c r="E46" s="53"/>
      <c r="F46" s="57"/>
      <c r="G46" s="57"/>
    </row>
    <row r="47" spans="2:53" s="124" customFormat="1" ht="12.9" customHeight="1" x14ac:dyDescent="0.2">
      <c r="B47" s="195"/>
      <c r="C47" s="191" t="s">
        <v>309</v>
      </c>
      <c r="D47" s="53"/>
      <c r="E47" s="53"/>
      <c r="F47" s="53"/>
    </row>
    <row r="48" spans="2:53" s="124" customFormat="1" ht="12.9" customHeight="1" x14ac:dyDescent="0.2">
      <c r="B48" s="53"/>
      <c r="C48" s="53"/>
      <c r="D48" s="53"/>
      <c r="E48" s="53"/>
      <c r="F48" s="53"/>
      <c r="S48" s="65"/>
      <c r="AC48" s="65"/>
      <c r="AU48" s="191"/>
      <c r="AV48" s="195"/>
      <c r="AW48" s="191"/>
      <c r="AX48" s="191"/>
      <c r="AY48" s="191"/>
      <c r="AZ48" s="191"/>
      <c r="BA48" s="53"/>
    </row>
    <row r="49" spans="1:53" s="124" customFormat="1" ht="12.9" customHeight="1" x14ac:dyDescent="0.2">
      <c r="C49" s="53" t="s">
        <v>310</v>
      </c>
      <c r="D49" s="53" t="s">
        <v>419</v>
      </c>
      <c r="E49" s="53"/>
      <c r="F49" s="53"/>
      <c r="S49" s="34"/>
      <c r="AU49" s="197"/>
      <c r="AV49" s="195"/>
      <c r="AW49" s="191"/>
      <c r="AX49" s="191"/>
      <c r="AY49" s="191"/>
      <c r="AZ49" s="191"/>
      <c r="BA49" s="53"/>
    </row>
    <row r="50" spans="1:53" s="124" customFormat="1" ht="12.9" customHeight="1" x14ac:dyDescent="0.2">
      <c r="C50" s="53"/>
      <c r="D50" s="53"/>
      <c r="E50" s="53"/>
      <c r="F50" s="53"/>
      <c r="S50" s="34"/>
      <c r="T50" s="53"/>
      <c r="AU50" s="197"/>
      <c r="AV50" s="195"/>
      <c r="AW50" s="198"/>
      <c r="AX50" s="197"/>
      <c r="AY50" s="197"/>
      <c r="AZ50" s="191"/>
      <c r="BA50" s="53"/>
    </row>
    <row r="51" spans="1:53" s="124" customFormat="1" ht="12.9" customHeight="1" x14ac:dyDescent="0.2">
      <c r="C51" s="53" t="s">
        <v>311</v>
      </c>
      <c r="D51" s="53" t="s">
        <v>312</v>
      </c>
      <c r="E51" s="53"/>
      <c r="F51" s="53"/>
      <c r="S51" s="34"/>
    </row>
    <row r="52" spans="1:53" s="32" customFormat="1" ht="12.9" customHeight="1" x14ac:dyDescent="0.2">
      <c r="A52" s="126"/>
      <c r="B52" s="33"/>
      <c r="C52" s="53"/>
      <c r="D52" s="53"/>
      <c r="E52" s="53"/>
      <c r="F52" s="54"/>
      <c r="G52" s="54"/>
      <c r="H52" s="54"/>
      <c r="I52" s="54"/>
      <c r="J52" s="54"/>
      <c r="O52" s="129"/>
      <c r="P52" s="129"/>
      <c r="Q52" s="129"/>
    </row>
    <row r="53" spans="1:53" s="32" customFormat="1" ht="12.9" customHeight="1" x14ac:dyDescent="0.2">
      <c r="A53" s="126"/>
      <c r="B53" s="33"/>
      <c r="C53" s="53"/>
      <c r="D53" s="53"/>
      <c r="E53" s="53"/>
      <c r="F53" s="54"/>
      <c r="G53" s="54"/>
      <c r="H53" s="54"/>
      <c r="I53" s="54"/>
      <c r="J53" s="54"/>
      <c r="O53" s="129"/>
      <c r="P53" s="129"/>
      <c r="Q53" s="129"/>
    </row>
    <row r="54" spans="1:53" s="124" customFormat="1" ht="12.9" customHeight="1" x14ac:dyDescent="0.2">
      <c r="C54" s="53"/>
      <c r="D54" s="53"/>
      <c r="E54" s="53"/>
      <c r="F54" s="53"/>
      <c r="G54" s="53"/>
      <c r="AT54" s="191"/>
      <c r="AU54" s="195"/>
      <c r="AV54" s="191"/>
      <c r="AW54" s="195"/>
    </row>
    <row r="55" spans="1:53" s="124" customFormat="1" ht="12.9" customHeight="1" x14ac:dyDescent="0.2">
      <c r="C55" s="53"/>
      <c r="D55" s="53"/>
      <c r="E55" s="53"/>
      <c r="F55" s="53"/>
      <c r="G55" s="53"/>
      <c r="AT55" s="191"/>
      <c r="AU55" s="195"/>
      <c r="AV55" s="191"/>
      <c r="AW55" s="195"/>
    </row>
    <row r="56" spans="1:53" s="32" customFormat="1" ht="12.9" customHeight="1" x14ac:dyDescent="0.2">
      <c r="B56" s="53"/>
    </row>
    <row r="57" spans="1:53" s="2" customFormat="1" ht="15.6" x14ac:dyDescent="0.3">
      <c r="A57" s="158"/>
      <c r="B57" s="158"/>
      <c r="C57" s="158"/>
      <c r="D57" s="158"/>
      <c r="E57" s="22"/>
      <c r="F57" s="22"/>
      <c r="G57" s="22"/>
      <c r="H57" s="22"/>
      <c r="I57" s="22"/>
      <c r="J57" s="159"/>
      <c r="K57" s="159"/>
      <c r="L57" s="159"/>
      <c r="M57" s="159"/>
      <c r="N57" s="159"/>
      <c r="O57" s="159"/>
      <c r="P57" s="159"/>
      <c r="Q57" s="159"/>
      <c r="R57" s="332"/>
      <c r="S57" s="332"/>
      <c r="T57" s="332"/>
      <c r="U57" s="332"/>
      <c r="V57" s="332"/>
      <c r="W57" s="332"/>
      <c r="X57" s="332"/>
      <c r="Y57" s="332"/>
      <c r="Z57" s="332"/>
      <c r="AA57" s="332"/>
      <c r="AB57" s="341" t="s">
        <v>2</v>
      </c>
      <c r="AC57" s="341"/>
      <c r="AD57" s="341">
        <v>1</v>
      </c>
      <c r="AE57" s="341"/>
      <c r="AF57" s="341" t="s">
        <v>177</v>
      </c>
      <c r="AG57" s="341"/>
      <c r="AH57" s="341">
        <v>7</v>
      </c>
      <c r="AI57" s="341"/>
      <c r="AJ57" s="332"/>
      <c r="AK57" s="332"/>
    </row>
    <row r="58" spans="1:53" s="2" customFormat="1" ht="15.75" customHeight="1" x14ac:dyDescent="0.3">
      <c r="A58" s="340"/>
      <c r="B58" s="340"/>
      <c r="C58" s="340"/>
      <c r="D58" s="340"/>
      <c r="E58" s="340"/>
      <c r="F58" s="23"/>
      <c r="G58" s="23"/>
      <c r="H58" s="23"/>
      <c r="I58" s="23"/>
      <c r="J58" s="23"/>
      <c r="K58" s="23"/>
    </row>
    <row r="59" spans="1:53" s="2" customFormat="1" ht="12.75" customHeight="1" x14ac:dyDescent="0.25">
      <c r="A59" s="30"/>
      <c r="B59" s="66"/>
      <c r="C59" s="34"/>
      <c r="D59" s="66"/>
      <c r="E59" s="66"/>
      <c r="F59" s="66"/>
      <c r="G59" s="66"/>
      <c r="H59" s="66"/>
      <c r="I59" s="66"/>
      <c r="J59"/>
      <c r="K59" s="30"/>
    </row>
  </sheetData>
  <sheetProtection formatCells="0" formatColumns="0" formatRows="0"/>
  <protectedRanges>
    <protectedRange sqref="C14 Q4 C4:E4 O4 A214:AK1810 S4:AF4 D18:N18 AE5:AF12 A3:B4 A18:B18 C3:AF3 BQ9:BW12 BS13:BW13 A5:B14 AG5:AK12 I4:L4 AG3:AK4 D14:N15 AG13:AK15 AG18:AK18" name="Range2"/>
    <protectedRange sqref="D5:T8 C6:C8 BH9:BP12 AO13:AX13 U5:AD12 D13:M13" name="Range2_1"/>
    <protectedRange sqref="AN9:AR12 L9:T12 D9:G12 AN13 AY13:BB13 N13:Q13 AW9:BG12 C10:C12" name="Range2_2"/>
    <protectedRange sqref="A15:B15" name="Range2_5"/>
    <protectedRange sqref="C5" name="Range2_6"/>
    <protectedRange sqref="C9" name="Range2_7"/>
    <protectedRange sqref="C13" name="Range2_8"/>
    <protectedRange sqref="AG56:AK56 A56:B56" name="Range2_10"/>
    <protectedRange sqref="C56:AC56" name="Range2_7_2"/>
    <protectedRange sqref="A58:AK59 A57:AG57 AJ57:AK57" name="Range2_4_1_2"/>
    <protectedRange sqref="B27 D29:N29 B20:N23 C19:N19 F38:AE39 D30:E39 P31:AE37 F30:O37 AG27:AK28 AG19:AK26 B24:N26 A19:A28 A16:A17 B29 C16:AK17 E27:N28 B28:C28 D27:D28 C29:C43 AF31:AF43 A30:A43 AG29:AK43 D40:AE43 C54:C55 AF54:AF55 A54:A55 AG54:AK55 D54:AE55" name="Range2_11"/>
    <protectedRange sqref="AH57:AI57" name="Range2_4_1_2_1"/>
    <protectedRange sqref="A52:N53 AG52:AK53" name="Range2_4"/>
    <protectedRange sqref="AC48:AL51 AC44:AK47 C44 B45:C45 A44:A51 D44:AB51 C48:C51 B47:B48" name="Range2_11_1"/>
  </protectedRanges>
  <mergeCells count="19">
    <mergeCell ref="A1:K1"/>
    <mergeCell ref="B22:AK22"/>
    <mergeCell ref="B27:AK27"/>
    <mergeCell ref="AZ11:BB11"/>
    <mergeCell ref="A58:E58"/>
    <mergeCell ref="A2:Q2"/>
    <mergeCell ref="AZ13:BB13"/>
    <mergeCell ref="R57:S57"/>
    <mergeCell ref="T57:U57"/>
    <mergeCell ref="V57:W57"/>
    <mergeCell ref="X57:Y57"/>
    <mergeCell ref="Z57:AA57"/>
    <mergeCell ref="AB57:AC57"/>
    <mergeCell ref="AD57:AE57"/>
    <mergeCell ref="AF57:AG57"/>
    <mergeCell ref="AH57:AI57"/>
    <mergeCell ref="AJ57:AK57"/>
    <mergeCell ref="N4:X4"/>
    <mergeCell ref="AZ9:BB9"/>
  </mergeCells>
  <hyperlinks>
    <hyperlink ref="AM1" r:id="rId1" xr:uid="{DB59E8DE-F6EC-49BD-AA27-564815CA97A4}"/>
  </hyperlinks>
  <pageMargins left="0.25" right="0.25" top="0.75" bottom="0.75" header="0.3" footer="0.3"/>
  <pageSetup paperSize="9" scale="95" orientation="portrait" r:id="rId2"/>
  <headerFooter alignWithMargins="0">
    <oddHeader xml:space="preserve">&amp;R
</oddHeader>
  </headerFooter>
  <drawing r:id="rId3"/>
  <legacyDrawing r:id="rId4"/>
  <legacyDrawingHF r:id="rId5"/>
  <oleObjects>
    <mc:AlternateContent xmlns:mc="http://schemas.openxmlformats.org/markup-compatibility/2006">
      <mc:Choice Requires="x14">
        <oleObject progId="Equation.3" shapeId="10241" r:id="rId6">
          <objectPr defaultSize="0" autoPict="0" r:id="rId7">
            <anchor moveWithCells="1">
              <from>
                <xdr:col>4</xdr:col>
                <xdr:colOff>30480</xdr:colOff>
                <xdr:row>32</xdr:row>
                <xdr:rowOff>60960</xdr:rowOff>
              </from>
              <to>
                <xdr:col>12</xdr:col>
                <xdr:colOff>99060</xdr:colOff>
                <xdr:row>32</xdr:row>
                <xdr:rowOff>160020</xdr:rowOff>
              </to>
            </anchor>
          </objectPr>
        </oleObject>
      </mc:Choice>
      <mc:Fallback>
        <oleObject progId="Equation.3" shapeId="10241" r:id="rId6"/>
      </mc:Fallback>
    </mc:AlternateContent>
    <mc:AlternateContent xmlns:mc="http://schemas.openxmlformats.org/markup-compatibility/2006">
      <mc:Choice Requires="x14">
        <oleObject progId="Equation.3" shapeId="10242" r:id="rId8">
          <objectPr defaultSize="0" autoPict="0" r:id="rId9">
            <anchor moveWithCells="1">
              <from>
                <xdr:col>5</xdr:col>
                <xdr:colOff>22860</xdr:colOff>
                <xdr:row>28</xdr:row>
                <xdr:rowOff>38100</xdr:rowOff>
              </from>
              <to>
                <xdr:col>8</xdr:col>
                <xdr:colOff>152400</xdr:colOff>
                <xdr:row>29</xdr:row>
                <xdr:rowOff>0</xdr:rowOff>
              </to>
            </anchor>
          </objectPr>
        </oleObject>
      </mc:Choice>
      <mc:Fallback>
        <oleObject progId="Equation.3" shapeId="10242" r:id="rId8"/>
      </mc:Fallback>
    </mc:AlternateContent>
  </oleObjec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indexed="45"/>
  </sheetPr>
  <dimension ref="A1:BM63"/>
  <sheetViews>
    <sheetView zoomScale="115" zoomScaleNormal="115" zoomScaleSheetLayoutView="115" workbookViewId="0">
      <selection activeCell="AG2" sqref="AG2"/>
    </sheetView>
  </sheetViews>
  <sheetFormatPr defaultColWidth="2.5546875" defaultRowHeight="12.9" customHeight="1" x14ac:dyDescent="0.25"/>
  <cols>
    <col min="1" max="3" width="2.5546875" style="30" customWidth="1"/>
    <col min="4" max="4" width="3.33203125" style="30" customWidth="1"/>
    <col min="5" max="5" width="2.6640625" style="30" customWidth="1"/>
    <col min="6" max="35" width="2.5546875" style="30" customWidth="1"/>
    <col min="36" max="36" width="2.44140625" style="30" customWidth="1"/>
    <col min="37" max="16384" width="2.5546875" style="30"/>
  </cols>
  <sheetData>
    <row r="1" spans="1:39" s="1" customFormat="1" ht="15" customHeight="1" thickTop="1" x14ac:dyDescent="0.25">
      <c r="A1" s="313"/>
      <c r="B1" s="313"/>
      <c r="C1" s="313"/>
      <c r="D1" s="313"/>
      <c r="E1" s="313"/>
      <c r="F1" s="313"/>
      <c r="G1" s="313"/>
      <c r="H1" s="313"/>
      <c r="I1" s="313"/>
      <c r="J1" s="313"/>
      <c r="K1" s="313"/>
      <c r="AM1" s="259" t="s">
        <v>607</v>
      </c>
    </row>
    <row r="2" spans="1:39" s="1" customFormat="1" ht="15" customHeight="1" x14ac:dyDescent="0.25">
      <c r="A2" s="313" t="s">
        <v>22</v>
      </c>
      <c r="B2" s="313"/>
      <c r="C2" s="313"/>
      <c r="D2" s="313"/>
      <c r="E2" s="313"/>
      <c r="F2" s="313"/>
      <c r="G2" s="313"/>
      <c r="H2" s="313"/>
      <c r="I2" s="313"/>
      <c r="J2" s="313"/>
      <c r="K2" s="313"/>
      <c r="L2" s="313"/>
      <c r="M2" s="313"/>
      <c r="N2" s="313"/>
      <c r="O2" s="313"/>
      <c r="P2" s="313"/>
      <c r="Q2" s="313"/>
      <c r="AM2" s="255" t="s">
        <v>608</v>
      </c>
    </row>
    <row r="3" spans="1:39" s="32" customFormat="1" ht="12.9" customHeight="1" x14ac:dyDescent="0.2"/>
    <row r="4" spans="1:39" s="32" customFormat="1" ht="12.9" customHeight="1" x14ac:dyDescent="0.2">
      <c r="A4" s="126"/>
      <c r="B4" s="127">
        <v>5</v>
      </c>
      <c r="C4" s="52" t="s">
        <v>139</v>
      </c>
      <c r="D4" s="53"/>
      <c r="E4" s="54"/>
      <c r="F4" s="54"/>
      <c r="G4" s="54"/>
      <c r="H4" s="54"/>
      <c r="I4" s="54"/>
      <c r="J4" s="54"/>
    </row>
    <row r="5" spans="1:39" s="32" customFormat="1" ht="12.9" customHeight="1" x14ac:dyDescent="0.2">
      <c r="B5" s="134"/>
      <c r="D5" s="64"/>
      <c r="E5" s="57"/>
      <c r="F5" s="53"/>
      <c r="G5" s="53"/>
      <c r="H5" s="53"/>
      <c r="I5" s="54"/>
      <c r="J5" s="54"/>
      <c r="O5" s="129"/>
      <c r="P5" s="129"/>
      <c r="Q5" s="129"/>
    </row>
    <row r="6" spans="1:39" s="32" customFormat="1" ht="12.9" customHeight="1" x14ac:dyDescent="0.2">
      <c r="B6" s="135" t="s">
        <v>140</v>
      </c>
      <c r="C6" s="136" t="s">
        <v>295</v>
      </c>
      <c r="D6" s="53"/>
      <c r="E6" s="54"/>
      <c r="H6" s="81"/>
      <c r="I6" s="54"/>
      <c r="J6" s="54"/>
      <c r="O6" s="74"/>
      <c r="P6" s="74"/>
      <c r="Q6" s="74"/>
      <c r="S6" s="53"/>
    </row>
    <row r="7" spans="1:39" s="32" customFormat="1" ht="12.9" customHeight="1" x14ac:dyDescent="0.2">
      <c r="B7" s="53"/>
      <c r="C7" s="53"/>
      <c r="D7" s="53"/>
      <c r="E7" s="54"/>
      <c r="H7" s="81"/>
      <c r="I7" s="53"/>
      <c r="J7" s="53"/>
      <c r="O7" s="130"/>
      <c r="S7" s="54"/>
    </row>
    <row r="8" spans="1:39" s="32" customFormat="1" ht="12.9" customHeight="1" x14ac:dyDescent="0.2">
      <c r="C8" s="61" t="s">
        <v>141</v>
      </c>
      <c r="D8" s="61"/>
      <c r="E8" s="61"/>
      <c r="F8" s="61"/>
      <c r="G8" s="67"/>
      <c r="H8" s="67"/>
      <c r="I8" s="67"/>
      <c r="J8" s="137"/>
      <c r="K8" s="137"/>
      <c r="L8" s="137"/>
      <c r="M8" s="137"/>
      <c r="N8" s="138"/>
      <c r="O8" s="138"/>
      <c r="P8" s="138"/>
      <c r="Q8" s="137"/>
      <c r="R8" s="137"/>
      <c r="S8" s="137"/>
      <c r="T8" s="137"/>
      <c r="U8" s="137"/>
      <c r="V8" s="137"/>
      <c r="W8" s="137"/>
      <c r="X8" s="137"/>
      <c r="Y8" s="137"/>
      <c r="Z8" s="137"/>
      <c r="AA8" s="137"/>
      <c r="AB8" s="137"/>
      <c r="AC8" s="137"/>
      <c r="AD8" s="137"/>
      <c r="AE8" s="137"/>
      <c r="AF8" s="137"/>
      <c r="AG8" s="137"/>
      <c r="AH8" s="137"/>
    </row>
    <row r="9" spans="1:39" s="32" customFormat="1" ht="12.9" customHeight="1" x14ac:dyDescent="0.2">
      <c r="C9" s="61" t="s">
        <v>142</v>
      </c>
      <c r="D9" s="61"/>
      <c r="E9" s="139"/>
      <c r="F9" s="61"/>
      <c r="G9" s="67"/>
      <c r="H9" s="67"/>
      <c r="I9" s="67"/>
      <c r="J9" s="137"/>
      <c r="K9" s="137"/>
      <c r="L9" s="137"/>
      <c r="M9" s="137"/>
      <c r="N9" s="140"/>
      <c r="O9" s="140"/>
      <c r="P9" s="140"/>
      <c r="Q9" s="137"/>
      <c r="R9" s="137"/>
      <c r="S9" s="137"/>
      <c r="T9" s="137"/>
      <c r="U9" s="137"/>
      <c r="V9" s="137"/>
      <c r="W9" s="137"/>
      <c r="X9" s="137"/>
      <c r="Y9" s="137"/>
      <c r="Z9" s="137"/>
      <c r="AA9" s="137"/>
      <c r="AB9" s="137"/>
      <c r="AC9" s="137"/>
      <c r="AD9" s="137"/>
      <c r="AE9" s="137"/>
      <c r="AF9" s="137"/>
      <c r="AG9" s="137"/>
      <c r="AH9" s="137"/>
    </row>
    <row r="10" spans="1:39" s="32" customFormat="1" ht="12.9" customHeight="1" x14ac:dyDescent="0.2">
      <c r="C10" s="61"/>
      <c r="D10" s="61"/>
      <c r="E10" s="61"/>
      <c r="F10" s="61"/>
      <c r="G10" s="67"/>
      <c r="H10" s="67"/>
      <c r="I10" s="67"/>
      <c r="J10" s="137"/>
      <c r="K10" s="137"/>
      <c r="L10" s="137"/>
      <c r="M10" s="137"/>
      <c r="N10" s="138"/>
      <c r="O10" s="138"/>
      <c r="P10" s="138"/>
      <c r="Q10" s="137"/>
      <c r="R10" s="137"/>
      <c r="S10" s="137"/>
      <c r="T10" s="137"/>
      <c r="U10" s="137"/>
      <c r="V10" s="137"/>
      <c r="W10" s="137"/>
      <c r="X10" s="137"/>
      <c r="Y10" s="137"/>
      <c r="Z10" s="137"/>
      <c r="AA10" s="137"/>
      <c r="AB10" s="137"/>
      <c r="AC10" s="137"/>
      <c r="AD10" s="137"/>
      <c r="AE10" s="137"/>
      <c r="AF10" s="137"/>
      <c r="AG10" s="137"/>
      <c r="AH10" s="137"/>
    </row>
    <row r="11" spans="1:39" s="32" customFormat="1" ht="12.9" customHeight="1" x14ac:dyDescent="0.25">
      <c r="C11" s="61" t="s">
        <v>143</v>
      </c>
      <c r="D11" s="141"/>
      <c r="E11" s="403">
        <v>0.5</v>
      </c>
      <c r="F11" s="403"/>
      <c r="G11" s="67"/>
      <c r="H11" s="67"/>
      <c r="I11" s="67"/>
      <c r="J11" s="137"/>
      <c r="K11" s="137"/>
      <c r="L11" s="54"/>
      <c r="M11" s="54"/>
      <c r="N11" s="140"/>
      <c r="O11" s="140"/>
      <c r="P11" s="140"/>
      <c r="Q11" s="137"/>
      <c r="R11" s="137"/>
      <c r="S11" s="137"/>
      <c r="T11" s="137"/>
      <c r="U11" s="137"/>
      <c r="V11" s="137"/>
      <c r="W11" s="137"/>
      <c r="X11" s="137"/>
      <c r="Y11" s="137"/>
      <c r="Z11" s="137"/>
      <c r="AA11" s="137"/>
      <c r="AB11" s="137"/>
      <c r="AC11" s="137"/>
      <c r="AD11" s="137"/>
      <c r="AE11" s="137"/>
      <c r="AF11" s="137"/>
      <c r="AG11" s="137"/>
      <c r="AH11" s="137"/>
    </row>
    <row r="12" spans="1:39" s="32" customFormat="1" ht="12.9" customHeight="1" x14ac:dyDescent="0.2">
      <c r="C12" s="142"/>
      <c r="D12" s="142"/>
      <c r="E12" s="142"/>
      <c r="F12" s="67"/>
      <c r="G12" s="67"/>
      <c r="H12" s="67"/>
      <c r="I12" s="67"/>
      <c r="J12" s="137"/>
      <c r="K12" s="137"/>
      <c r="L12" s="137"/>
      <c r="M12" s="137"/>
      <c r="N12" s="138"/>
      <c r="O12" s="138"/>
      <c r="P12" s="138"/>
      <c r="Q12" s="137"/>
      <c r="R12" s="137"/>
      <c r="S12" s="137"/>
      <c r="T12" s="137"/>
      <c r="U12" s="137"/>
      <c r="V12" s="137"/>
      <c r="W12" s="137"/>
      <c r="X12" s="137"/>
      <c r="Y12" s="137"/>
      <c r="Z12" s="137"/>
      <c r="AA12" s="137"/>
      <c r="AB12" s="137"/>
      <c r="AC12" s="137"/>
      <c r="AD12" s="137"/>
      <c r="AE12" s="137"/>
      <c r="AF12" s="137"/>
      <c r="AG12" s="137"/>
      <c r="AH12" s="137"/>
    </row>
    <row r="13" spans="1:39" s="32" customFormat="1" ht="12.9" customHeight="1" x14ac:dyDescent="0.2">
      <c r="A13" s="73"/>
      <c r="C13" s="67" t="s">
        <v>144</v>
      </c>
      <c r="D13" s="137"/>
      <c r="E13" s="67"/>
      <c r="F13" s="67"/>
      <c r="G13" s="67"/>
      <c r="H13" s="137"/>
      <c r="I13" s="137"/>
      <c r="J13" s="137"/>
      <c r="K13" s="137"/>
      <c r="L13" s="137"/>
      <c r="M13" s="137"/>
      <c r="N13" s="143"/>
      <c r="O13" s="143"/>
      <c r="P13" s="143"/>
      <c r="Q13" s="67"/>
      <c r="R13" s="137"/>
      <c r="S13" s="137"/>
      <c r="T13" s="137"/>
      <c r="U13" s="137"/>
      <c r="V13" s="137"/>
      <c r="W13" s="137"/>
      <c r="X13" s="137"/>
      <c r="Y13" s="137"/>
      <c r="Z13" s="137"/>
      <c r="AA13" s="137"/>
      <c r="AB13" s="137"/>
      <c r="AC13" s="137"/>
      <c r="AD13" s="137"/>
      <c r="AE13" s="137"/>
      <c r="AF13" s="137"/>
      <c r="AG13" s="137"/>
      <c r="AH13" s="137"/>
    </row>
    <row r="14" spans="1:39" s="32" customFormat="1" ht="12.9" customHeight="1" x14ac:dyDescent="0.2">
      <c r="C14" s="61" t="s">
        <v>145</v>
      </c>
      <c r="D14" s="67"/>
      <c r="E14" s="67"/>
      <c r="F14" s="67"/>
      <c r="G14" s="67"/>
      <c r="H14" s="67"/>
      <c r="I14" s="67"/>
      <c r="J14" s="137"/>
      <c r="K14" s="137"/>
      <c r="L14" s="137"/>
      <c r="M14" s="137"/>
      <c r="N14" s="137"/>
      <c r="O14" s="137"/>
      <c r="P14" s="137"/>
      <c r="Q14" s="137"/>
      <c r="R14" s="137"/>
      <c r="S14" s="137"/>
      <c r="T14" s="137"/>
      <c r="U14" s="137"/>
      <c r="V14" s="137"/>
      <c r="W14" s="137"/>
      <c r="X14" s="137"/>
      <c r="Y14" s="137"/>
      <c r="Z14" s="137"/>
      <c r="AA14" s="137"/>
      <c r="AB14" s="137"/>
      <c r="AC14" s="137"/>
      <c r="AD14" s="137"/>
      <c r="AE14" s="137"/>
      <c r="AF14" s="137"/>
      <c r="AG14" s="137"/>
      <c r="AH14" s="137"/>
    </row>
    <row r="15" spans="1:39" s="32" customFormat="1" ht="12.9" customHeight="1" x14ac:dyDescent="0.2">
      <c r="C15" s="61"/>
      <c r="D15" s="67"/>
      <c r="E15" s="137"/>
      <c r="F15" s="137"/>
      <c r="G15" s="137"/>
      <c r="H15" s="67"/>
      <c r="I15" s="67"/>
      <c r="J15" s="137"/>
      <c r="K15" s="137"/>
      <c r="L15" s="137"/>
      <c r="M15" s="137"/>
      <c r="N15" s="142"/>
      <c r="O15" s="142"/>
      <c r="P15" s="142"/>
      <c r="Q15" s="137"/>
      <c r="R15" s="61"/>
      <c r="S15" s="137"/>
      <c r="T15" s="137"/>
      <c r="U15" s="137"/>
      <c r="V15" s="137"/>
      <c r="W15" s="137"/>
      <c r="X15" s="137"/>
      <c r="Y15" s="137"/>
      <c r="Z15" s="137"/>
      <c r="AA15" s="137"/>
      <c r="AB15" s="137"/>
      <c r="AC15" s="137"/>
      <c r="AD15" s="137"/>
      <c r="AE15" s="137"/>
      <c r="AF15" s="137"/>
      <c r="AG15" s="137"/>
      <c r="AH15" s="137"/>
    </row>
    <row r="16" spans="1:39" s="32" customFormat="1" ht="12.9" customHeight="1" x14ac:dyDescent="0.2">
      <c r="B16" s="34"/>
      <c r="C16" s="53" t="s">
        <v>460</v>
      </c>
      <c r="D16" s="53"/>
      <c r="E16" s="53"/>
      <c r="F16" s="53"/>
      <c r="G16" s="53"/>
      <c r="H16" s="53"/>
      <c r="I16" s="53"/>
      <c r="J16" s="53"/>
    </row>
    <row r="17" spans="1:56" s="32" customFormat="1" ht="12.9" customHeight="1" x14ac:dyDescent="0.2">
      <c r="C17" s="61" t="s">
        <v>146</v>
      </c>
      <c r="E17" s="137"/>
      <c r="F17" s="137"/>
      <c r="G17" s="137"/>
      <c r="H17" s="67"/>
      <c r="I17" s="67"/>
      <c r="J17" s="137"/>
      <c r="K17" s="137"/>
      <c r="M17" s="137"/>
      <c r="N17" s="61"/>
      <c r="O17" s="137"/>
      <c r="P17" s="67"/>
      <c r="Q17" s="137"/>
      <c r="R17" s="61"/>
      <c r="S17" s="137"/>
      <c r="T17" s="137"/>
      <c r="U17" s="67" t="s">
        <v>147</v>
      </c>
      <c r="V17" s="137"/>
      <c r="W17" s="137"/>
      <c r="X17" s="137"/>
      <c r="Y17" s="137"/>
      <c r="Z17" s="137"/>
      <c r="AA17" s="137"/>
      <c r="AB17" s="137"/>
      <c r="AC17" s="137"/>
      <c r="AD17" s="137"/>
      <c r="AE17" s="137"/>
      <c r="AF17" s="137"/>
      <c r="AG17" s="137"/>
      <c r="AH17" s="137"/>
    </row>
    <row r="18" spans="1:56" s="32" customFormat="1" ht="12.9" customHeight="1" x14ac:dyDescent="0.2">
      <c r="C18" s="61" t="s">
        <v>461</v>
      </c>
      <c r="D18" s="67"/>
      <c r="E18" s="137"/>
      <c r="F18" s="137"/>
      <c r="G18" s="137"/>
      <c r="H18" s="67"/>
      <c r="I18" s="54"/>
      <c r="J18" s="54"/>
      <c r="K18" s="137"/>
      <c r="L18" s="137"/>
      <c r="M18" s="137"/>
      <c r="N18" s="144"/>
      <c r="O18" s="144"/>
      <c r="P18" s="144"/>
      <c r="Q18" s="137"/>
      <c r="R18" s="61"/>
      <c r="S18" s="137"/>
      <c r="T18" s="137"/>
      <c r="U18" s="46"/>
      <c r="V18" s="137"/>
      <c r="W18" s="137"/>
      <c r="X18" s="137"/>
      <c r="Y18" s="137"/>
      <c r="Z18" s="137"/>
      <c r="AA18" s="137"/>
      <c r="AB18" s="137"/>
      <c r="AC18" s="137"/>
      <c r="AD18" s="137"/>
      <c r="AE18" s="137"/>
      <c r="AF18" s="137"/>
      <c r="AG18" s="137"/>
      <c r="AH18" s="137"/>
    </row>
    <row r="19" spans="1:56" s="32" customFormat="1" ht="12.9" customHeight="1" x14ac:dyDescent="0.2">
      <c r="A19" s="73"/>
      <c r="B19" s="52"/>
      <c r="C19" s="61" t="s">
        <v>148</v>
      </c>
      <c r="D19" s="53"/>
      <c r="E19" s="408">
        <f>(78*18)+2*(78*11)+2*(18*11)+(PI()*11^2)</f>
        <v>3896.1327110843649</v>
      </c>
      <c r="F19" s="408"/>
      <c r="G19" s="408"/>
      <c r="H19" s="137" t="s">
        <v>149</v>
      </c>
      <c r="I19" s="53"/>
      <c r="J19" s="54"/>
    </row>
    <row r="20" spans="1:56" s="32" customFormat="1" ht="12.9" customHeight="1" x14ac:dyDescent="0.2"/>
    <row r="21" spans="1:56" s="32" customFormat="1" ht="12.9" customHeight="1" x14ac:dyDescent="0.2">
      <c r="B21" s="57"/>
      <c r="C21" s="61" t="s">
        <v>150</v>
      </c>
      <c r="D21" s="61"/>
      <c r="E21" s="61"/>
      <c r="F21" s="61"/>
      <c r="G21" s="61"/>
      <c r="H21" s="61"/>
      <c r="I21" s="67"/>
      <c r="J21" s="137"/>
      <c r="K21" s="137"/>
      <c r="L21" s="137"/>
      <c r="M21" s="137"/>
      <c r="N21" s="137"/>
      <c r="O21" s="137"/>
      <c r="P21" s="137"/>
      <c r="Q21" s="137"/>
      <c r="R21" s="137"/>
      <c r="S21" s="137"/>
      <c r="T21" s="137"/>
      <c r="U21" s="137"/>
      <c r="V21" s="137"/>
      <c r="W21" s="137"/>
      <c r="X21" s="137"/>
      <c r="Y21" s="137"/>
      <c r="Z21" s="137"/>
      <c r="AA21" s="137"/>
      <c r="AB21" s="137"/>
      <c r="AC21" s="137"/>
    </row>
    <row r="22" spans="1:56" s="32" customFormat="1" ht="12.9" customHeight="1" x14ac:dyDescent="0.2">
      <c r="B22" s="53"/>
      <c r="C22" s="61" t="s">
        <v>151</v>
      </c>
      <c r="E22" s="61"/>
      <c r="F22" s="61"/>
      <c r="G22" s="61"/>
      <c r="H22" s="61"/>
      <c r="I22" s="67"/>
      <c r="J22" s="137"/>
      <c r="K22" s="137"/>
      <c r="L22" s="67" t="s">
        <v>152</v>
      </c>
      <c r="M22" s="137"/>
      <c r="N22" s="137"/>
      <c r="O22" s="137"/>
      <c r="P22" s="137"/>
      <c r="Q22" s="137"/>
      <c r="R22" s="137"/>
      <c r="S22" s="137"/>
      <c r="T22" s="137"/>
      <c r="U22" s="137"/>
      <c r="V22" s="137"/>
      <c r="W22" s="137"/>
      <c r="X22" s="137"/>
      <c r="Y22" s="137"/>
      <c r="Z22" s="137"/>
      <c r="AA22" s="137"/>
      <c r="AB22" s="137"/>
      <c r="AC22" s="137"/>
    </row>
    <row r="23" spans="1:56" s="32" customFormat="1" ht="12.9" customHeight="1" x14ac:dyDescent="0.2">
      <c r="B23" s="57"/>
      <c r="C23" s="61" t="s">
        <v>462</v>
      </c>
      <c r="D23" s="67"/>
      <c r="E23" s="137"/>
      <c r="F23" s="137"/>
      <c r="G23" s="145"/>
      <c r="H23" s="67"/>
      <c r="I23" s="67"/>
      <c r="J23" s="137"/>
      <c r="K23" s="137"/>
      <c r="L23" s="137"/>
      <c r="M23" s="137"/>
      <c r="N23" s="409"/>
      <c r="O23" s="409"/>
      <c r="P23" s="409"/>
      <c r="Q23" s="137"/>
      <c r="R23" s="61"/>
      <c r="S23" s="137"/>
      <c r="T23" s="137"/>
      <c r="U23" s="137"/>
      <c r="V23" s="137"/>
      <c r="W23" s="137"/>
      <c r="X23" s="137"/>
      <c r="Y23" s="137"/>
      <c r="Z23" s="137"/>
      <c r="AA23" s="137"/>
      <c r="AB23" s="137"/>
      <c r="AC23" s="137"/>
    </row>
    <row r="24" spans="1:56" s="32" customFormat="1" ht="12.9" customHeight="1" x14ac:dyDescent="0.2">
      <c r="B24" s="57"/>
      <c r="C24" s="61" t="s">
        <v>153</v>
      </c>
      <c r="D24" s="410">
        <f>E19*E11*10^-6</f>
        <v>1.9480663555421823E-3</v>
      </c>
      <c r="E24" s="410"/>
      <c r="F24" s="410"/>
      <c r="G24" s="145"/>
      <c r="H24" s="151" t="s">
        <v>463</v>
      </c>
      <c r="I24" s="61"/>
      <c r="J24" s="137"/>
      <c r="K24" s="137"/>
      <c r="L24" s="137"/>
      <c r="M24" s="137"/>
      <c r="N24" s="67"/>
      <c r="O24" s="137"/>
      <c r="P24" s="137"/>
      <c r="Q24" s="137"/>
      <c r="R24" s="67"/>
      <c r="S24" s="137"/>
      <c r="T24" s="137"/>
      <c r="U24" s="137"/>
      <c r="V24" s="137"/>
      <c r="W24" s="137"/>
      <c r="X24" s="137"/>
      <c r="Y24" s="137"/>
      <c r="Z24" s="137"/>
      <c r="AA24" s="137"/>
      <c r="AB24" s="137"/>
      <c r="AC24" s="137"/>
    </row>
    <row r="25" spans="1:56" s="32" customFormat="1" ht="12.9" customHeight="1" x14ac:dyDescent="0.2">
      <c r="B25" s="57"/>
      <c r="C25" s="53"/>
      <c r="D25" s="54"/>
      <c r="G25" s="81"/>
      <c r="H25" s="53"/>
      <c r="I25" s="53"/>
      <c r="N25" s="381"/>
      <c r="O25" s="381"/>
      <c r="P25" s="381"/>
      <c r="R25" s="54"/>
    </row>
    <row r="26" spans="1:56" s="32" customFormat="1" ht="12.9" customHeight="1" x14ac:dyDescent="0.2">
      <c r="B26" s="53"/>
      <c r="C26" s="53" t="s">
        <v>154</v>
      </c>
      <c r="D26" s="54"/>
      <c r="G26" s="81"/>
      <c r="H26" s="54"/>
      <c r="I26" s="54"/>
      <c r="N26" s="54"/>
      <c r="R26" s="54"/>
    </row>
    <row r="27" spans="1:56" s="32" customFormat="1" ht="12.9" customHeight="1" x14ac:dyDescent="0.2">
      <c r="B27" s="53"/>
      <c r="C27" s="53"/>
      <c r="D27" s="54"/>
      <c r="G27" s="81"/>
      <c r="H27" s="54"/>
      <c r="I27" s="54"/>
      <c r="N27" s="381"/>
      <c r="O27" s="381"/>
      <c r="P27" s="381"/>
      <c r="R27" s="53"/>
      <c r="AN27" s="53"/>
      <c r="AO27" s="53"/>
      <c r="AP27" s="53"/>
      <c r="AQ27" s="81"/>
      <c r="AR27" s="53"/>
      <c r="AY27" s="53"/>
      <c r="AZ27" s="381"/>
      <c r="BA27" s="381"/>
      <c r="BB27" s="381"/>
      <c r="BD27" s="58"/>
    </row>
    <row r="28" spans="1:56" s="32" customFormat="1" ht="12.9" customHeight="1" x14ac:dyDescent="0.2">
      <c r="B28" s="53"/>
      <c r="C28" s="53" t="s">
        <v>324</v>
      </c>
      <c r="D28" s="54"/>
      <c r="E28" s="54"/>
      <c r="F28" s="54"/>
      <c r="G28" s="125"/>
      <c r="H28" s="53"/>
      <c r="I28" s="54"/>
      <c r="AN28" s="53"/>
      <c r="AO28" s="53"/>
      <c r="AP28" s="53"/>
      <c r="AQ28" s="53"/>
      <c r="AR28" s="53"/>
      <c r="AY28" s="53"/>
      <c r="AZ28" s="53"/>
      <c r="BA28" s="53"/>
    </row>
    <row r="29" spans="1:56" s="32" customFormat="1" ht="12.9" customHeight="1" x14ac:dyDescent="0.2">
      <c r="B29" s="53"/>
      <c r="C29" s="53"/>
      <c r="D29" s="54"/>
      <c r="E29" s="54"/>
      <c r="F29" s="54"/>
      <c r="G29" s="54"/>
      <c r="H29" s="54"/>
      <c r="I29" s="60" t="s">
        <v>325</v>
      </c>
      <c r="AN29" s="53"/>
      <c r="AO29" s="53"/>
      <c r="AP29" s="53"/>
      <c r="AQ29" s="81"/>
      <c r="AR29" s="53"/>
      <c r="AY29" s="53"/>
      <c r="AZ29" s="381"/>
      <c r="BA29" s="381"/>
      <c r="BB29" s="381"/>
    </row>
    <row r="30" spans="1:56" s="32" customFormat="1" ht="12.9" customHeight="1" x14ac:dyDescent="0.2">
      <c r="B30" s="53"/>
      <c r="C30" s="53"/>
      <c r="D30" s="54"/>
      <c r="E30" s="54"/>
      <c r="F30" s="54"/>
      <c r="G30" s="54"/>
      <c r="H30" s="54"/>
      <c r="I30" s="146" t="s">
        <v>155</v>
      </c>
      <c r="J30" s="411">
        <f>0.7*0.4*0.8*1*0.3</f>
        <v>6.7199999999999996E-2</v>
      </c>
      <c r="K30" s="411"/>
      <c r="L30" s="411"/>
      <c r="AN30" s="53"/>
      <c r="AO30" s="53"/>
      <c r="AP30" s="54"/>
      <c r="AQ30" s="54"/>
      <c r="AR30" s="54"/>
      <c r="AY30" s="53"/>
      <c r="AZ30" s="57"/>
      <c r="BA30" s="53"/>
    </row>
    <row r="31" spans="1:56" s="32" customFormat="1" ht="12.9" customHeight="1" x14ac:dyDescent="0.2">
      <c r="B31" s="53"/>
      <c r="C31" s="53" t="s">
        <v>156</v>
      </c>
      <c r="D31" s="54"/>
      <c r="E31" s="54"/>
      <c r="F31" s="54"/>
      <c r="G31" s="54"/>
      <c r="H31" s="54"/>
      <c r="I31" s="54"/>
      <c r="AN31" s="53"/>
      <c r="AO31" s="54"/>
      <c r="AP31" s="54"/>
      <c r="AQ31" s="81"/>
      <c r="AR31" s="54"/>
      <c r="AY31" s="53"/>
      <c r="AZ31" s="381"/>
      <c r="BA31" s="381"/>
      <c r="BB31" s="381"/>
    </row>
    <row r="32" spans="1:56" s="32" customFormat="1" ht="12.9" customHeight="1" x14ac:dyDescent="0.2">
      <c r="B32" s="53"/>
      <c r="C32" s="53" t="s">
        <v>157</v>
      </c>
      <c r="D32" s="54"/>
      <c r="G32" s="54"/>
      <c r="H32" s="54"/>
      <c r="I32" s="54"/>
      <c r="O32" s="381"/>
      <c r="P32" s="381"/>
      <c r="Q32" s="381"/>
      <c r="R32" s="53"/>
      <c r="AN32" s="53"/>
      <c r="AO32" s="53"/>
      <c r="AP32" s="53"/>
      <c r="AQ32" s="53"/>
      <c r="AR32" s="53"/>
      <c r="AY32" s="53"/>
      <c r="AZ32" s="53"/>
      <c r="BA32" s="53"/>
    </row>
    <row r="33" spans="1:65" s="32" customFormat="1" ht="12.9" customHeight="1" x14ac:dyDescent="0.2">
      <c r="B33" s="53"/>
      <c r="C33" s="53"/>
      <c r="D33" s="54"/>
      <c r="E33" s="54"/>
      <c r="F33" s="54"/>
      <c r="G33" s="54"/>
      <c r="H33" s="54"/>
      <c r="I33" s="54"/>
      <c r="AN33" s="53"/>
      <c r="AO33" s="53"/>
      <c r="AP33" s="53"/>
      <c r="AQ33" s="81"/>
      <c r="AR33" s="53"/>
      <c r="AY33" s="53"/>
      <c r="AZ33" s="381"/>
      <c r="BA33" s="381"/>
      <c r="BB33" s="381"/>
      <c r="BJ33" s="403"/>
      <c r="BK33" s="403"/>
      <c r="BL33" s="403"/>
      <c r="BM33" s="403"/>
    </row>
    <row r="34" spans="1:65" s="32" customFormat="1" ht="12.9" customHeight="1" x14ac:dyDescent="0.2">
      <c r="B34" s="53"/>
      <c r="C34" s="34" t="s">
        <v>158</v>
      </c>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O34" s="53"/>
      <c r="AP34" s="53"/>
      <c r="AQ34" s="53"/>
      <c r="AR34" s="81"/>
      <c r="AS34" s="53"/>
      <c r="AT34" s="53"/>
      <c r="AU34" s="53"/>
      <c r="AV34" s="53"/>
    </row>
    <row r="35" spans="1:65" s="32" customFormat="1" ht="12.9" customHeight="1" x14ac:dyDescent="0.2">
      <c r="B35" s="53"/>
      <c r="C35" s="53"/>
      <c r="D35" s="53"/>
      <c r="E35" s="53"/>
      <c r="F35" s="53" t="s">
        <v>159</v>
      </c>
      <c r="G35" s="406">
        <f>D24</f>
        <v>1.9480663555421823E-3</v>
      </c>
      <c r="H35" s="406"/>
      <c r="I35" s="406"/>
      <c r="J35" s="126" t="s">
        <v>160</v>
      </c>
      <c r="K35" s="407">
        <f>J30</f>
        <v>6.7199999999999996E-2</v>
      </c>
      <c r="L35" s="407"/>
      <c r="M35" s="407"/>
      <c r="AH35" s="381"/>
      <c r="AI35" s="381"/>
      <c r="AJ35" s="381"/>
      <c r="AN35" s="85"/>
      <c r="AO35" s="58"/>
      <c r="AP35" s="85"/>
      <c r="AQ35" s="85"/>
      <c r="AR35" s="85"/>
      <c r="AS35" s="85"/>
      <c r="AT35" s="85"/>
      <c r="AU35" s="85"/>
      <c r="AV35" s="85"/>
      <c r="AW35" s="56"/>
      <c r="AX35" s="56"/>
      <c r="AY35" s="85"/>
      <c r="AZ35" s="395"/>
      <c r="BA35" s="395"/>
      <c r="BB35" s="395"/>
      <c r="BC35" s="56"/>
      <c r="BD35" s="58"/>
      <c r="BE35" s="56"/>
    </row>
    <row r="36" spans="1:65" s="32" customFormat="1" ht="12.9" customHeight="1" x14ac:dyDescent="0.2">
      <c r="B36" s="53"/>
      <c r="F36" s="126" t="s">
        <v>42</v>
      </c>
      <c r="G36" s="398">
        <f>G35*K35</f>
        <v>1.3091005909243465E-4</v>
      </c>
      <c r="H36" s="398"/>
      <c r="I36" s="398"/>
      <c r="J36" s="398"/>
      <c r="M36" s="151" t="s">
        <v>464</v>
      </c>
    </row>
    <row r="37" spans="1:65" s="32" customFormat="1" ht="12.9" customHeight="1" x14ac:dyDescent="0.2">
      <c r="A37" s="73"/>
      <c r="B37" s="52"/>
      <c r="F37" s="147"/>
      <c r="G37" s="124" t="s">
        <v>465</v>
      </c>
      <c r="K37" s="32" t="s">
        <v>161</v>
      </c>
      <c r="L37" s="399" t="s">
        <v>162</v>
      </c>
      <c r="M37" s="399"/>
    </row>
    <row r="38" spans="1:65" s="32" customFormat="1" ht="12.9" customHeight="1" x14ac:dyDescent="0.2">
      <c r="B38" s="34"/>
      <c r="C38" s="32" t="s">
        <v>163</v>
      </c>
    </row>
    <row r="39" spans="1:65" s="32" customFormat="1" ht="6.75" customHeight="1" x14ac:dyDescent="0.2">
      <c r="B39" s="53"/>
      <c r="D39" s="64"/>
      <c r="E39" s="57"/>
      <c r="F39" s="53"/>
      <c r="G39" s="53"/>
      <c r="H39" s="53"/>
      <c r="I39" s="54"/>
      <c r="J39" s="54"/>
      <c r="O39" s="129"/>
      <c r="P39" s="129"/>
      <c r="Q39" s="129"/>
    </row>
    <row r="40" spans="1:65" s="32" customFormat="1" ht="12.9" customHeight="1" x14ac:dyDescent="0.2">
      <c r="B40" s="53"/>
      <c r="C40" s="35" t="s">
        <v>466</v>
      </c>
    </row>
    <row r="41" spans="1:65" s="32" customFormat="1" ht="6.75" customHeight="1" x14ac:dyDescent="0.2">
      <c r="B41" s="53"/>
      <c r="D41" s="64"/>
      <c r="E41" s="57"/>
      <c r="F41" s="53"/>
      <c r="G41" s="53"/>
      <c r="H41" s="53"/>
      <c r="I41" s="54"/>
      <c r="J41" s="54"/>
      <c r="O41" s="129"/>
      <c r="P41" s="129"/>
      <c r="Q41" s="129"/>
    </row>
    <row r="42" spans="1:65" s="32" customFormat="1" ht="12.9" customHeight="1" x14ac:dyDescent="0.2">
      <c r="B42" s="53"/>
      <c r="C42" s="124" t="s">
        <v>164</v>
      </c>
      <c r="D42" s="64"/>
      <c r="E42" s="57"/>
      <c r="F42" s="53"/>
      <c r="G42" s="53"/>
      <c r="H42" s="53"/>
      <c r="I42" s="54"/>
      <c r="J42" s="54"/>
      <c r="O42" s="129"/>
      <c r="P42" s="129"/>
      <c r="Q42" s="129"/>
    </row>
    <row r="43" spans="1:65" s="32" customFormat="1" ht="12.9" customHeight="1" x14ac:dyDescent="0.2">
      <c r="B43" s="53"/>
      <c r="C43" s="53" t="s">
        <v>165</v>
      </c>
      <c r="D43" s="57"/>
      <c r="E43" s="57"/>
      <c r="F43" s="57"/>
      <c r="G43" s="57"/>
      <c r="H43" s="54"/>
      <c r="I43" s="54"/>
      <c r="J43" s="54"/>
    </row>
    <row r="44" spans="1:65" s="32" customFormat="1" ht="12.9" customHeight="1" x14ac:dyDescent="0.2">
      <c r="B44" s="53"/>
      <c r="C44" s="53"/>
      <c r="D44" s="74"/>
      <c r="E44" s="74"/>
      <c r="F44" s="74"/>
      <c r="G44" s="57"/>
      <c r="H44" s="54"/>
      <c r="I44" s="54"/>
      <c r="J44" s="54"/>
      <c r="O44" s="129"/>
      <c r="P44" s="129"/>
      <c r="Q44" s="129"/>
      <c r="R44" s="148"/>
      <c r="T44" s="148"/>
    </row>
    <row r="45" spans="1:65" s="32" customFormat="1" ht="12.9" customHeight="1" x14ac:dyDescent="0.2">
      <c r="B45" s="53"/>
      <c r="C45" s="61"/>
      <c r="D45" s="61"/>
      <c r="E45" s="61" t="s">
        <v>328</v>
      </c>
      <c r="F45" s="67"/>
      <c r="G45" s="67"/>
      <c r="H45" s="67"/>
      <c r="I45" s="67"/>
      <c r="J45" s="67"/>
      <c r="K45" s="137"/>
      <c r="L45" s="137"/>
      <c r="M45" s="137"/>
      <c r="N45" s="137"/>
      <c r="O45" s="137"/>
      <c r="P45" s="137"/>
      <c r="Q45" s="137"/>
      <c r="R45" s="137"/>
      <c r="S45" s="137"/>
      <c r="T45" s="137"/>
      <c r="U45" s="137"/>
      <c r="V45" s="137"/>
      <c r="W45" s="137"/>
      <c r="X45" s="137"/>
      <c r="Y45" s="137"/>
      <c r="Z45" s="137"/>
      <c r="AA45" s="137"/>
    </row>
    <row r="46" spans="1:65" s="32" customFormat="1" ht="12.9" customHeight="1" x14ac:dyDescent="0.2">
      <c r="B46" s="53"/>
      <c r="C46" s="64"/>
      <c r="D46" s="57"/>
      <c r="E46" s="61" t="s">
        <v>329</v>
      </c>
      <c r="F46" s="57"/>
      <c r="G46" s="57"/>
      <c r="H46" s="54"/>
      <c r="I46" s="54"/>
      <c r="J46" s="54"/>
      <c r="O46" s="149"/>
      <c r="P46" s="149"/>
      <c r="Q46" s="149"/>
      <c r="X46" s="403">
        <f>(78*12)+(6*24)+3*(6*6)</f>
        <v>1188</v>
      </c>
      <c r="Y46" s="403"/>
      <c r="Z46" s="403"/>
      <c r="AA46" s="403"/>
      <c r="AB46" s="124" t="s">
        <v>330</v>
      </c>
      <c r="AC46" s="208" t="s">
        <v>331</v>
      </c>
    </row>
    <row r="47" spans="1:65" s="32" customFormat="1" ht="12.9" customHeight="1" x14ac:dyDescent="0.2">
      <c r="B47" s="53"/>
      <c r="C47" s="61"/>
      <c r="D47" s="57"/>
      <c r="E47" s="61" t="s">
        <v>166</v>
      </c>
      <c r="F47" s="62"/>
      <c r="G47" s="57"/>
      <c r="H47" s="54"/>
      <c r="I47" s="54"/>
      <c r="J47" s="54"/>
      <c r="O47" s="131"/>
      <c r="P47" s="131"/>
      <c r="Q47" s="131"/>
    </row>
    <row r="48" spans="1:65" s="32" customFormat="1" ht="10.5" customHeight="1" x14ac:dyDescent="0.2">
      <c r="B48" s="53"/>
      <c r="C48" s="61"/>
      <c r="D48" s="57"/>
      <c r="E48" s="61"/>
      <c r="F48" s="62"/>
      <c r="G48" s="57"/>
      <c r="H48" s="54"/>
      <c r="I48" s="54"/>
      <c r="J48" s="54"/>
      <c r="O48" s="131"/>
      <c r="P48" s="131"/>
      <c r="Q48" s="131"/>
    </row>
    <row r="49" spans="1:37" s="32" customFormat="1" ht="12.9" customHeight="1" x14ac:dyDescent="0.2">
      <c r="B49" s="53"/>
      <c r="C49" s="150"/>
      <c r="D49" s="61"/>
      <c r="E49" s="61" t="s">
        <v>167</v>
      </c>
      <c r="F49" s="61"/>
      <c r="G49" s="61"/>
      <c r="H49" s="67"/>
      <c r="I49" s="67"/>
      <c r="J49" s="67"/>
      <c r="K49" s="137"/>
      <c r="L49" s="137"/>
      <c r="M49" s="137"/>
      <c r="N49" s="137"/>
      <c r="O49" s="138"/>
      <c r="P49" s="138"/>
      <c r="Q49" s="138"/>
      <c r="R49" s="137"/>
      <c r="S49" s="137"/>
      <c r="T49" s="137"/>
      <c r="U49" s="137"/>
      <c r="V49" s="137"/>
      <c r="W49" s="137"/>
      <c r="X49" s="137"/>
      <c r="Y49" s="137"/>
      <c r="Z49" s="137"/>
      <c r="AA49" s="137"/>
    </row>
    <row r="50" spans="1:37" s="32" customFormat="1" ht="12.9" customHeight="1" x14ac:dyDescent="0.25">
      <c r="B50" s="53"/>
      <c r="C50" s="61"/>
      <c r="D50" s="151"/>
      <c r="E50" s="141"/>
      <c r="F50" s="137"/>
      <c r="G50" s="67"/>
      <c r="H50" s="67"/>
      <c r="I50" s="67"/>
      <c r="J50" s="67"/>
      <c r="K50" s="137"/>
      <c r="L50" s="137"/>
      <c r="M50" s="137"/>
      <c r="N50" s="137"/>
      <c r="O50" s="140"/>
      <c r="P50" s="140"/>
      <c r="Q50" s="140"/>
      <c r="R50" s="137"/>
      <c r="S50" s="137"/>
      <c r="T50" s="137"/>
      <c r="U50" s="137"/>
      <c r="V50" s="137"/>
      <c r="W50" s="137"/>
      <c r="X50" s="137"/>
      <c r="Y50" s="137"/>
      <c r="Z50" s="137"/>
      <c r="AA50" s="137"/>
    </row>
    <row r="51" spans="1:37" s="32" customFormat="1" ht="12.9" customHeight="1" x14ac:dyDescent="0.2">
      <c r="B51" s="53"/>
      <c r="C51" s="61"/>
      <c r="D51" s="142"/>
      <c r="E51" s="145" t="s">
        <v>168</v>
      </c>
      <c r="G51" s="67"/>
      <c r="H51" s="67"/>
      <c r="M51" s="151" t="s">
        <v>332</v>
      </c>
      <c r="N51" s="67"/>
      <c r="O51" s="137"/>
      <c r="P51" s="137"/>
      <c r="Q51" s="137"/>
      <c r="R51" s="137"/>
      <c r="S51" s="138"/>
      <c r="T51" s="152" t="s">
        <v>124</v>
      </c>
      <c r="U51" s="218">
        <f>1+(X46-100)/300</f>
        <v>4.6266666666666669</v>
      </c>
      <c r="V51" s="218"/>
      <c r="W51" s="153" t="s">
        <v>327</v>
      </c>
      <c r="X51" s="137"/>
      <c r="Y51" s="137"/>
      <c r="Z51" s="137"/>
      <c r="AA51" s="137"/>
    </row>
    <row r="52" spans="1:37" s="32" customFormat="1" ht="12.9" customHeight="1" x14ac:dyDescent="0.2">
      <c r="B52" s="53"/>
      <c r="C52" s="61"/>
      <c r="D52" s="67"/>
      <c r="E52" s="137"/>
      <c r="F52" s="67"/>
      <c r="G52" s="67"/>
      <c r="H52" s="67"/>
      <c r="I52" s="137"/>
      <c r="O52" s="405">
        <v>300</v>
      </c>
      <c r="P52" s="405"/>
      <c r="Q52" s="219"/>
      <c r="R52" s="143"/>
      <c r="S52" s="67"/>
      <c r="T52" s="137"/>
      <c r="U52" s="137"/>
      <c r="V52" s="137"/>
      <c r="W52" s="137"/>
      <c r="X52" s="137"/>
      <c r="Y52" s="137"/>
      <c r="Z52" s="137"/>
      <c r="AA52" s="137"/>
    </row>
    <row r="53" spans="1:37" s="32" customFormat="1" ht="12.9" customHeight="1" x14ac:dyDescent="0.2">
      <c r="B53" s="34"/>
      <c r="C53" s="46"/>
      <c r="D53" s="61"/>
      <c r="E53" s="61" t="s">
        <v>169</v>
      </c>
      <c r="F53" s="137"/>
      <c r="G53" s="137"/>
      <c r="H53" s="137"/>
      <c r="I53" s="67"/>
      <c r="J53" s="67"/>
      <c r="K53" s="137"/>
      <c r="L53" s="137"/>
      <c r="M53" s="137"/>
      <c r="N53" s="137"/>
      <c r="O53" s="142"/>
      <c r="P53" s="142"/>
      <c r="Q53" s="142"/>
      <c r="R53" s="137"/>
      <c r="S53" s="61"/>
      <c r="T53" s="137"/>
      <c r="U53" s="137"/>
      <c r="V53" s="137"/>
      <c r="W53" s="137"/>
      <c r="X53" s="137"/>
      <c r="Y53" s="137"/>
      <c r="Z53" s="137"/>
      <c r="AA53" s="137"/>
    </row>
    <row r="54" spans="1:37" s="32" customFormat="1" ht="12.9" customHeight="1" x14ac:dyDescent="0.2">
      <c r="B54" s="53"/>
      <c r="C54" s="46"/>
      <c r="D54" s="61"/>
      <c r="E54" s="67"/>
      <c r="F54" s="137"/>
      <c r="G54" s="207" t="s">
        <v>333</v>
      </c>
      <c r="H54" s="137"/>
      <c r="I54" s="67"/>
      <c r="J54" s="67"/>
      <c r="K54" s="137"/>
      <c r="L54" s="137"/>
      <c r="M54" s="137"/>
      <c r="N54" s="137"/>
      <c r="O54" s="61"/>
      <c r="P54" s="137"/>
      <c r="Q54" s="67"/>
      <c r="R54" s="137"/>
      <c r="S54" s="61"/>
      <c r="T54" s="137"/>
      <c r="U54" s="137"/>
      <c r="V54" s="401">
        <f>2*(78+12)+(8*6)</f>
        <v>228</v>
      </c>
      <c r="W54" s="401"/>
      <c r="X54" s="401"/>
      <c r="Y54" s="207" t="s">
        <v>118</v>
      </c>
      <c r="Z54" s="137"/>
      <c r="AA54" s="137"/>
    </row>
    <row r="55" spans="1:37" s="32" customFormat="1" ht="12.9" customHeight="1" x14ac:dyDescent="0.2">
      <c r="B55" s="53"/>
      <c r="C55" s="53"/>
      <c r="D55" s="53"/>
      <c r="E55" s="54"/>
      <c r="I55" s="54"/>
      <c r="J55" s="54"/>
      <c r="O55" s="402"/>
      <c r="P55" s="402"/>
      <c r="Q55" s="402"/>
      <c r="S55" s="53"/>
      <c r="V55" s="34"/>
    </row>
    <row r="56" spans="1:37" s="32" customFormat="1" ht="12.9" customHeight="1" x14ac:dyDescent="0.2">
      <c r="B56" s="53"/>
      <c r="C56" s="53"/>
      <c r="D56" s="53"/>
      <c r="E56" s="53"/>
      <c r="F56" s="145" t="s">
        <v>170</v>
      </c>
      <c r="G56" s="53"/>
      <c r="H56" s="53"/>
      <c r="I56" s="53"/>
      <c r="J56" s="54"/>
      <c r="O56" s="404">
        <f>V54</f>
        <v>228</v>
      </c>
      <c r="P56" s="404"/>
      <c r="Q56" s="404"/>
      <c r="T56" s="63" t="s">
        <v>42</v>
      </c>
      <c r="U56" s="403">
        <f>V54/30</f>
        <v>7.6</v>
      </c>
      <c r="V56" s="403"/>
      <c r="W56" s="153" t="s">
        <v>326</v>
      </c>
    </row>
    <row r="57" spans="1:37" s="32" customFormat="1" ht="12.9" customHeight="1" x14ac:dyDescent="0.2">
      <c r="A57" s="73"/>
      <c r="B57" s="52"/>
      <c r="C57" s="53"/>
      <c r="D57" s="53"/>
      <c r="E57" s="53"/>
      <c r="F57" s="53"/>
      <c r="G57" s="53"/>
      <c r="H57" s="53"/>
      <c r="I57" s="53"/>
      <c r="J57" s="54"/>
      <c r="O57" s="400">
        <v>30</v>
      </c>
      <c r="P57" s="400"/>
      <c r="Q57" s="400"/>
    </row>
    <row r="58" spans="1:37" s="32" customFormat="1" ht="12.9" customHeight="1" x14ac:dyDescent="0.2">
      <c r="B58" s="53"/>
      <c r="C58" s="53"/>
      <c r="D58" s="34" t="s">
        <v>571</v>
      </c>
      <c r="E58" s="53"/>
      <c r="F58" s="53"/>
      <c r="G58" s="53"/>
      <c r="H58" s="53"/>
      <c r="I58" s="53"/>
      <c r="J58" s="54"/>
    </row>
    <row r="59" spans="1:37" s="32" customFormat="1" ht="12.9" customHeight="1" x14ac:dyDescent="0.2">
      <c r="B59" s="57"/>
      <c r="C59" s="53"/>
      <c r="D59" s="34" t="s">
        <v>334</v>
      </c>
      <c r="E59" s="54"/>
      <c r="H59" s="81"/>
      <c r="I59" s="54"/>
      <c r="J59" s="54"/>
      <c r="O59" s="74"/>
      <c r="P59" s="74"/>
      <c r="Q59" s="74"/>
      <c r="S59" s="53"/>
    </row>
    <row r="60" spans="1:37" s="32" customFormat="1" ht="12.9" customHeight="1" x14ac:dyDescent="0.2">
      <c r="B60" s="53"/>
    </row>
    <row r="61" spans="1:37" s="2" customFormat="1" ht="15.6" x14ac:dyDescent="0.3">
      <c r="A61" s="158"/>
      <c r="B61" s="158"/>
      <c r="C61" s="158"/>
      <c r="D61" s="158"/>
      <c r="E61" s="22"/>
      <c r="F61" s="22"/>
      <c r="G61" s="22"/>
      <c r="H61" s="22"/>
      <c r="I61" s="22"/>
      <c r="J61" s="159"/>
      <c r="K61" s="159"/>
      <c r="L61" s="159"/>
      <c r="M61" s="159"/>
      <c r="N61" s="159"/>
      <c r="O61" s="159"/>
      <c r="P61" s="159"/>
      <c r="Q61" s="159"/>
      <c r="R61" s="332"/>
      <c r="S61" s="332"/>
      <c r="T61" s="332"/>
      <c r="U61" s="332"/>
      <c r="V61" s="332"/>
      <c r="W61" s="332"/>
      <c r="X61" s="332"/>
      <c r="Y61" s="332"/>
      <c r="Z61" s="332"/>
      <c r="AA61" s="332"/>
      <c r="AB61" s="341" t="s">
        <v>2</v>
      </c>
      <c r="AC61" s="341"/>
      <c r="AD61" s="341">
        <v>2</v>
      </c>
      <c r="AE61" s="341"/>
      <c r="AF61" s="341" t="s">
        <v>177</v>
      </c>
      <c r="AG61" s="341"/>
      <c r="AH61" s="341">
        <v>7</v>
      </c>
      <c r="AI61" s="341"/>
      <c r="AJ61" s="332"/>
      <c r="AK61" s="332"/>
    </row>
    <row r="62" spans="1:37" s="2" customFormat="1" ht="15.75" customHeight="1" x14ac:dyDescent="0.3">
      <c r="A62" s="340"/>
      <c r="B62" s="340"/>
      <c r="C62" s="340"/>
      <c r="D62" s="340"/>
      <c r="E62" s="340"/>
      <c r="F62" s="23"/>
      <c r="G62" s="23"/>
      <c r="H62" s="23"/>
      <c r="I62" s="23"/>
      <c r="J62" s="23"/>
      <c r="K62" s="23"/>
    </row>
    <row r="63" spans="1:37" s="2" customFormat="1" ht="12.75" customHeight="1" x14ac:dyDescent="0.25">
      <c r="A63" s="30"/>
      <c r="B63" s="66"/>
      <c r="C63" s="34"/>
      <c r="D63" s="66"/>
      <c r="E63" s="66"/>
      <c r="F63" s="66"/>
      <c r="G63" s="66"/>
      <c r="H63" s="66"/>
      <c r="I63" s="66"/>
      <c r="J63"/>
      <c r="K63" s="30"/>
    </row>
  </sheetData>
  <sheetProtection formatCells="0" formatColumns="0" formatRows="0"/>
  <protectedRanges>
    <protectedRange sqref="D4:G4 H4:N5 A218:AK1814 A3:AK3 AG4:AK5 A4:B5" name="Range2"/>
    <protectedRange sqref="D5:G5" name="Range2_3"/>
    <protectedRange sqref="C4" name="Range2_5_1"/>
    <protectedRange sqref="H6:J7 B7 B16:AH16 AI6:AK19 A6:A20 I19:AH19 Q6:AH7 M6:O7 C6:E7 B19 D19:G19 C20:AK20" name="Range2_9"/>
    <protectedRange sqref="B6" name="Range2_3_1"/>
    <protectedRange sqref="N14:R14 N13 E10 H8:I12 H14:I14 G8:G14 E8 N9 N8:O8 N10:O12 Q8:Q13 P8:P10 P12 H17:K18 D14:D15 L11 D8:D10 D12 D18 N17:N18 F8:F10 E12:F14 J8:K14 L8:M10 L12:M14 R17:AH18 S8:AH15 N15 C8:C15 H15:K15 P15 R15 P17:P18 C17:C19" name="Range2_4_1"/>
    <protectedRange sqref="E9" name="Range2_3_1_1"/>
    <protectedRange sqref="D11" name="Range2_4_1_1"/>
    <protectedRange sqref="H19" name="Range2_7_1"/>
    <protectedRange sqref="AD22:AF22 BS27:BW35 AD21:AK21 AE23:AF34 BQ27:BR34 B22:B31 A22:A36 B33:B36 A21:B21 AG22:AK37" name="Range2_10"/>
    <protectedRange sqref="AD23:AD34 BH27:BP34 AO34:AX35 AY34:BG34" name="Range2_1_1"/>
    <protectedRange sqref="AN27:AN31 AW27:BG33 AO27:AR33 AN33 AN35 AY35:BB35" name="Range2_2_1"/>
    <protectedRange sqref="A37:B37" name="Range2_5_2"/>
    <protectedRange sqref="G23:I27 E22:K22 P23:R27 O22:R22 E28:F31 R28:R32 P28:P31 S22:S31 L22:M31 C21:AC21 L33:M37 C22:C37 D23:D37 P33:P37 T22:AC37 N22:N37 Q28:Q37 O28:O37 R33:S37 E33:F37 G28:K37" name="Range2_7_2"/>
    <protectedRange sqref="A62:AK63 A61:AG61 AJ61:AK61" name="Range2_4_1_2"/>
    <protectedRange sqref="AH61:AI61" name="Range2_4_1_2_1"/>
    <protectedRange sqref="M56:N59 P56:S58 X55:AK59 W57:W59 T55:V59 H59:J59 E51 Q46:Q49 O43:P43 O47:O48 O46:P46 R43:S43 Q53:Q55 I53:L55 G45:S45 F49 F56:L58 C45:D45 M51:V51 X51:Y51 R46:R50 P52:Q52 S52:S55 O49:P50 W55 A53:E59 O53:O59 R44 U52:Y52 T43:Y50 Z43:AF52 A60:B60 Q43:Q44 F45:F46 D43:G44 AG60:AK60 T53:AK54 O44 H41:N44 G46:H52 A46:D52 F52 E45:E49 Q59:S59 A38:B45 H39:N39 AG38:AK52 I46:N50" name="Range2_10_1"/>
    <protectedRange sqref="D41:G42 F47:F48 D39:G39" name="Range2_3_2_1"/>
    <protectedRange sqref="E50" name="Range2_4_2_1"/>
    <protectedRange sqref="C60:AC60 C38:AC38 D40:AC40" name="Range2_7_2_1"/>
    <protectedRange sqref="C43:C44" name="Range2_6_1"/>
  </protectedRanges>
  <mergeCells count="39">
    <mergeCell ref="A1:K1"/>
    <mergeCell ref="A2:Q2"/>
    <mergeCell ref="AZ31:BB31"/>
    <mergeCell ref="E11:F11"/>
    <mergeCell ref="E19:G19"/>
    <mergeCell ref="N23:P23"/>
    <mergeCell ref="D24:F24"/>
    <mergeCell ref="N25:P25"/>
    <mergeCell ref="N27:P27"/>
    <mergeCell ref="AZ27:BB27"/>
    <mergeCell ref="AZ29:BB29"/>
    <mergeCell ref="J30:L30"/>
    <mergeCell ref="O32:Q32"/>
    <mergeCell ref="AZ33:BB33"/>
    <mergeCell ref="BJ33:BM33"/>
    <mergeCell ref="G35:I35"/>
    <mergeCell ref="K35:M35"/>
    <mergeCell ref="AH35:AJ35"/>
    <mergeCell ref="AZ35:BB35"/>
    <mergeCell ref="AH61:AI61"/>
    <mergeCell ref="AJ61:AK61"/>
    <mergeCell ref="G36:J36"/>
    <mergeCell ref="L37:M37"/>
    <mergeCell ref="R61:S61"/>
    <mergeCell ref="T61:U61"/>
    <mergeCell ref="V61:W61"/>
    <mergeCell ref="X61:Y61"/>
    <mergeCell ref="O57:Q57"/>
    <mergeCell ref="V54:X54"/>
    <mergeCell ref="O55:Q55"/>
    <mergeCell ref="X46:AA46"/>
    <mergeCell ref="O56:Q56"/>
    <mergeCell ref="U56:V56"/>
    <mergeCell ref="O52:P52"/>
    <mergeCell ref="A62:E62"/>
    <mergeCell ref="Z61:AA61"/>
    <mergeCell ref="AB61:AC61"/>
    <mergeCell ref="AD61:AE61"/>
    <mergeCell ref="AF61:AG61"/>
  </mergeCells>
  <hyperlinks>
    <hyperlink ref="AM1" r:id="rId1" xr:uid="{C3EBF287-5EEB-49F6-B740-BF5ABBFB84AD}"/>
  </hyperlinks>
  <pageMargins left="0.25" right="0.25" top="0.75" bottom="0.75" header="0.3" footer="0.3"/>
  <pageSetup paperSize="9" scale="95" orientation="portrait" r:id="rId2"/>
  <headerFooter alignWithMargins="0">
    <oddHeader xml:space="preserve">&amp;R
</oddHeader>
  </headerFooter>
  <drawing r:id="rId3"/>
  <legacyDrawingHF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tabColor indexed="45"/>
  </sheetPr>
  <dimension ref="A1:BM62"/>
  <sheetViews>
    <sheetView zoomScale="145" zoomScaleNormal="145" zoomScaleSheetLayoutView="115" workbookViewId="0">
      <selection activeCell="AI2" sqref="AI2"/>
    </sheetView>
  </sheetViews>
  <sheetFormatPr defaultColWidth="2.5546875" defaultRowHeight="12.9" customHeight="1" x14ac:dyDescent="0.25"/>
  <cols>
    <col min="1" max="3" width="2.5546875" style="30" customWidth="1"/>
    <col min="4" max="4" width="3.33203125" style="30" customWidth="1"/>
    <col min="5" max="5" width="2.6640625" style="30" customWidth="1"/>
    <col min="6" max="35" width="2.5546875" style="30" customWidth="1"/>
    <col min="36" max="36" width="2.44140625" style="30" customWidth="1"/>
    <col min="37" max="16384" width="2.5546875" style="30"/>
  </cols>
  <sheetData>
    <row r="1" spans="1:39" s="1" customFormat="1" ht="15" customHeight="1" thickTop="1" x14ac:dyDescent="0.25">
      <c r="A1" s="313"/>
      <c r="B1" s="313"/>
      <c r="C1" s="313"/>
      <c r="D1" s="313"/>
      <c r="E1" s="313"/>
      <c r="F1" s="313"/>
      <c r="G1" s="313"/>
      <c r="H1" s="313"/>
      <c r="I1" s="313"/>
      <c r="J1" s="313"/>
      <c r="K1" s="313"/>
      <c r="AM1" s="259" t="s">
        <v>607</v>
      </c>
    </row>
    <row r="2" spans="1:39" s="1" customFormat="1" ht="15" customHeight="1" x14ac:dyDescent="0.25">
      <c r="A2" s="313" t="s">
        <v>22</v>
      </c>
      <c r="B2" s="313"/>
      <c r="C2" s="313"/>
      <c r="D2" s="313"/>
      <c r="E2" s="313"/>
      <c r="F2" s="313"/>
      <c r="G2" s="313"/>
      <c r="H2" s="313"/>
      <c r="I2" s="313"/>
      <c r="J2" s="313"/>
      <c r="K2" s="313"/>
      <c r="L2" s="313"/>
      <c r="M2" s="313"/>
      <c r="N2" s="313"/>
      <c r="O2" s="313"/>
      <c r="P2" s="313"/>
      <c r="Q2" s="313"/>
      <c r="AM2" s="255" t="s">
        <v>608</v>
      </c>
    </row>
    <row r="3" spans="1:39" s="32" customFormat="1" ht="12.9" customHeight="1" x14ac:dyDescent="0.2"/>
    <row r="4" spans="1:39" s="32" customFormat="1" ht="12.9" customHeight="1" x14ac:dyDescent="0.2">
      <c r="B4" s="53"/>
      <c r="C4" s="52" t="s">
        <v>171</v>
      </c>
      <c r="D4" s="136" t="s">
        <v>335</v>
      </c>
      <c r="E4" s="53"/>
      <c r="F4" s="54"/>
      <c r="I4" s="81"/>
      <c r="J4" s="54"/>
      <c r="K4" s="54"/>
      <c r="P4" s="74"/>
      <c r="Q4" s="74"/>
      <c r="R4" s="74"/>
      <c r="T4" s="53"/>
    </row>
    <row r="5" spans="1:39" s="32" customFormat="1" ht="12.9" customHeight="1" x14ac:dyDescent="0.2">
      <c r="B5" s="53"/>
      <c r="C5" s="53"/>
      <c r="D5" s="53"/>
      <c r="E5" s="53"/>
      <c r="F5" s="54"/>
      <c r="I5" s="81"/>
      <c r="J5" s="53"/>
      <c r="K5" s="53"/>
      <c r="P5" s="130"/>
      <c r="T5" s="54"/>
    </row>
    <row r="6" spans="1:39" s="32" customFormat="1" ht="12.9" customHeight="1" x14ac:dyDescent="0.2">
      <c r="B6" s="57"/>
      <c r="D6" s="61" t="s">
        <v>141</v>
      </c>
      <c r="E6" s="61"/>
      <c r="F6" s="61"/>
      <c r="G6" s="61"/>
      <c r="H6" s="67"/>
      <c r="I6" s="67"/>
      <c r="J6" s="67"/>
      <c r="K6" s="137"/>
      <c r="L6" s="137"/>
      <c r="M6" s="137"/>
      <c r="N6" s="137"/>
      <c r="O6" s="138"/>
      <c r="P6" s="138"/>
      <c r="Q6" s="138"/>
      <c r="R6" s="137"/>
      <c r="S6" s="137"/>
      <c r="T6" s="137"/>
      <c r="U6" s="137"/>
      <c r="V6" s="137"/>
      <c r="W6" s="137"/>
      <c r="X6" s="137"/>
      <c r="Y6" s="137"/>
      <c r="Z6" s="137"/>
      <c r="AA6" s="137"/>
      <c r="AB6" s="137"/>
      <c r="AC6" s="137"/>
      <c r="AD6" s="137"/>
      <c r="AE6" s="137"/>
      <c r="AF6" s="137"/>
      <c r="AG6" s="137"/>
      <c r="AH6" s="137"/>
      <c r="AI6" s="137"/>
    </row>
    <row r="7" spans="1:39" s="32" customFormat="1" ht="12.9" customHeight="1" x14ac:dyDescent="0.2">
      <c r="B7" s="57"/>
      <c r="D7" s="61" t="s">
        <v>142</v>
      </c>
      <c r="E7" s="61"/>
      <c r="F7" s="139"/>
      <c r="G7" s="61"/>
      <c r="H7" s="67"/>
      <c r="I7" s="67"/>
      <c r="J7" s="67"/>
      <c r="K7" s="137"/>
      <c r="L7" s="137"/>
      <c r="M7" s="137"/>
      <c r="N7" s="137"/>
      <c r="O7" s="140"/>
      <c r="P7" s="140"/>
      <c r="Q7" s="140"/>
      <c r="R7" s="137"/>
      <c r="S7" s="137"/>
      <c r="T7" s="137"/>
      <c r="U7" s="137"/>
      <c r="V7" s="137"/>
      <c r="W7" s="137"/>
      <c r="X7" s="137"/>
      <c r="Y7" s="137"/>
      <c r="Z7" s="137"/>
      <c r="AA7" s="137"/>
      <c r="AB7" s="137"/>
      <c r="AC7" s="137"/>
      <c r="AD7" s="137"/>
      <c r="AE7" s="137"/>
      <c r="AF7" s="137"/>
      <c r="AG7" s="137"/>
      <c r="AH7" s="137"/>
      <c r="AI7" s="137"/>
    </row>
    <row r="8" spans="1:39" s="32" customFormat="1" ht="12.9" customHeight="1" x14ac:dyDescent="0.2">
      <c r="B8" s="53"/>
      <c r="D8" s="61"/>
      <c r="E8" s="61"/>
      <c r="F8" s="61"/>
      <c r="G8" s="61"/>
      <c r="H8" s="67"/>
      <c r="I8" s="67"/>
      <c r="J8" s="67"/>
      <c r="K8" s="137"/>
      <c r="L8" s="137"/>
      <c r="M8" s="137"/>
      <c r="N8" s="137"/>
      <c r="O8" s="138"/>
      <c r="P8" s="138"/>
      <c r="Q8" s="138"/>
      <c r="R8" s="137"/>
      <c r="S8" s="137"/>
      <c r="T8" s="137"/>
      <c r="U8" s="137"/>
      <c r="V8" s="137"/>
      <c r="W8" s="137"/>
      <c r="X8" s="137"/>
      <c r="Y8" s="137"/>
      <c r="Z8" s="137"/>
      <c r="AA8" s="137"/>
      <c r="AB8" s="137"/>
      <c r="AC8" s="137"/>
      <c r="AD8" s="137"/>
      <c r="AE8" s="137"/>
      <c r="AF8" s="137"/>
      <c r="AG8" s="137"/>
      <c r="AH8" s="137"/>
      <c r="AI8" s="137"/>
    </row>
    <row r="9" spans="1:39" s="32" customFormat="1" ht="12.9" customHeight="1" x14ac:dyDescent="0.25">
      <c r="A9" s="73"/>
      <c r="B9" s="52"/>
      <c r="D9" s="61" t="s">
        <v>143</v>
      </c>
      <c r="E9" s="141"/>
      <c r="F9" s="412">
        <f>'Sheet 8'!E11</f>
        <v>0.5</v>
      </c>
      <c r="G9" s="412"/>
      <c r="H9" s="67"/>
      <c r="I9" s="67"/>
      <c r="J9" s="67"/>
      <c r="K9" s="137"/>
      <c r="L9" s="137"/>
      <c r="M9" s="54" t="s">
        <v>172</v>
      </c>
      <c r="N9" s="54"/>
      <c r="O9" s="140"/>
      <c r="P9" s="140"/>
      <c r="Q9" s="140"/>
      <c r="R9" s="137"/>
      <c r="S9" s="137"/>
      <c r="T9" s="137"/>
      <c r="U9" s="137"/>
      <c r="V9" s="137"/>
      <c r="W9" s="137"/>
      <c r="X9" s="137"/>
      <c r="Y9" s="137"/>
      <c r="Z9" s="137"/>
      <c r="AA9" s="137"/>
      <c r="AB9" s="137"/>
      <c r="AC9" s="137"/>
      <c r="AD9" s="137"/>
      <c r="AE9" s="137"/>
      <c r="AF9" s="137"/>
      <c r="AG9" s="137"/>
      <c r="AH9" s="137"/>
      <c r="AI9" s="137"/>
    </row>
    <row r="10" spans="1:39" s="32" customFormat="1" ht="12.9" customHeight="1" x14ac:dyDescent="0.2">
      <c r="B10" s="53"/>
      <c r="D10" s="142"/>
      <c r="E10" s="142"/>
      <c r="F10" s="142"/>
      <c r="G10" s="67"/>
      <c r="H10" s="67"/>
      <c r="I10" s="67"/>
      <c r="J10" s="67"/>
      <c r="K10" s="137"/>
      <c r="L10" s="137"/>
      <c r="M10" s="137"/>
      <c r="N10" s="137"/>
      <c r="O10" s="138"/>
      <c r="P10" s="138"/>
      <c r="Q10" s="138"/>
      <c r="R10" s="137"/>
      <c r="S10" s="137"/>
      <c r="T10" s="137"/>
      <c r="U10" s="137"/>
      <c r="V10" s="137"/>
      <c r="W10" s="137"/>
      <c r="X10" s="137"/>
      <c r="Y10" s="137"/>
      <c r="Z10" s="137"/>
      <c r="AA10" s="137"/>
      <c r="AB10" s="137"/>
      <c r="AC10" s="137"/>
      <c r="AD10" s="137"/>
      <c r="AE10" s="137"/>
      <c r="AF10" s="137"/>
      <c r="AG10" s="137"/>
      <c r="AH10" s="137"/>
      <c r="AI10" s="137"/>
    </row>
    <row r="11" spans="1:39" s="32" customFormat="1" ht="12.9" customHeight="1" x14ac:dyDescent="0.2">
      <c r="B11" s="53"/>
      <c r="D11" s="67" t="s">
        <v>144</v>
      </c>
      <c r="E11" s="137"/>
      <c r="F11" s="67"/>
      <c r="G11" s="67"/>
      <c r="H11" s="67"/>
      <c r="I11" s="137"/>
      <c r="J11" s="137"/>
      <c r="K11" s="137"/>
      <c r="L11" s="137"/>
      <c r="M11" s="137"/>
      <c r="N11" s="137"/>
      <c r="O11" s="143"/>
      <c r="P11" s="143"/>
      <c r="Q11" s="143"/>
      <c r="R11" s="67"/>
      <c r="S11" s="137"/>
      <c r="T11" s="137"/>
      <c r="U11" s="137"/>
      <c r="V11" s="137"/>
      <c r="W11" s="137"/>
      <c r="X11" s="137"/>
      <c r="Y11" s="137"/>
      <c r="Z11" s="137"/>
      <c r="AA11" s="137"/>
      <c r="AB11" s="137"/>
      <c r="AC11" s="137"/>
      <c r="AD11" s="137"/>
      <c r="AE11" s="137"/>
      <c r="AF11" s="137"/>
      <c r="AG11" s="137"/>
      <c r="AH11" s="137"/>
      <c r="AI11" s="137"/>
    </row>
    <row r="12" spans="1:39" s="32" customFormat="1" ht="12.9" customHeight="1" x14ac:dyDescent="0.2">
      <c r="B12" s="53"/>
      <c r="D12" s="61" t="s">
        <v>145</v>
      </c>
      <c r="E12" s="67"/>
      <c r="F12" s="67"/>
      <c r="G12" s="67"/>
      <c r="H12" s="67"/>
      <c r="I12" s="67"/>
      <c r="J12" s="67"/>
      <c r="K12" s="137"/>
      <c r="L12" s="137"/>
      <c r="M12" s="137"/>
      <c r="N12" s="137"/>
      <c r="O12" s="137"/>
      <c r="P12" s="137"/>
      <c r="Q12" s="137"/>
      <c r="R12" s="137"/>
      <c r="S12" s="137"/>
      <c r="T12" s="137"/>
      <c r="U12" s="137"/>
      <c r="V12" s="137"/>
      <c r="W12" s="137"/>
      <c r="X12" s="137"/>
      <c r="Y12" s="137"/>
      <c r="Z12" s="137"/>
      <c r="AA12" s="137"/>
      <c r="AB12" s="137"/>
      <c r="AC12" s="137"/>
      <c r="AD12" s="137"/>
      <c r="AE12" s="137"/>
      <c r="AF12" s="137"/>
      <c r="AG12" s="137"/>
      <c r="AH12" s="137"/>
      <c r="AI12" s="137"/>
    </row>
    <row r="13" spans="1:39" s="32" customFormat="1" ht="12.9" customHeight="1" x14ac:dyDescent="0.2">
      <c r="B13" s="34"/>
      <c r="D13" s="61"/>
      <c r="E13" s="67"/>
      <c r="F13" s="137"/>
      <c r="G13" s="137"/>
      <c r="H13" s="137"/>
      <c r="I13" s="67"/>
      <c r="J13" s="67"/>
      <c r="K13" s="137"/>
      <c r="L13" s="137"/>
      <c r="M13" s="137"/>
      <c r="N13" s="137"/>
      <c r="O13" s="142"/>
      <c r="P13" s="142"/>
      <c r="Q13" s="142"/>
      <c r="R13" s="137"/>
      <c r="S13" s="61"/>
      <c r="T13" s="137"/>
      <c r="U13" s="137"/>
      <c r="V13" s="137"/>
      <c r="W13" s="137"/>
      <c r="X13" s="137"/>
      <c r="Y13" s="137"/>
      <c r="Z13" s="137"/>
      <c r="AA13" s="137"/>
      <c r="AB13" s="137"/>
      <c r="AC13" s="137"/>
      <c r="AD13" s="137"/>
      <c r="AE13" s="137"/>
      <c r="AF13" s="137"/>
      <c r="AG13" s="137"/>
      <c r="AH13" s="137"/>
      <c r="AI13" s="137"/>
    </row>
    <row r="14" spans="1:39" s="32" customFormat="1" ht="12.9" customHeight="1" x14ac:dyDescent="0.2">
      <c r="B14" s="34"/>
      <c r="C14" s="34"/>
      <c r="D14" s="53" t="s">
        <v>336</v>
      </c>
      <c r="E14" s="53"/>
      <c r="F14" s="53"/>
      <c r="G14" s="53"/>
      <c r="H14" s="53"/>
      <c r="I14" s="53"/>
      <c r="J14" s="53"/>
      <c r="K14" s="53"/>
    </row>
    <row r="15" spans="1:39" s="32" customFormat="1" ht="12.9" customHeight="1" x14ac:dyDescent="0.2">
      <c r="D15" s="61"/>
      <c r="F15" s="137"/>
      <c r="G15" s="137"/>
      <c r="H15" s="137"/>
      <c r="I15" s="67"/>
      <c r="J15" s="67"/>
      <c r="K15" s="137"/>
      <c r="L15" s="137"/>
      <c r="N15" s="137"/>
      <c r="O15" s="61"/>
      <c r="P15" s="137"/>
      <c r="Q15" s="67"/>
      <c r="R15" s="137"/>
      <c r="S15" s="61"/>
      <c r="T15" s="137"/>
      <c r="U15" s="137"/>
      <c r="V15" s="67"/>
      <c r="W15" s="137"/>
      <c r="X15" s="137"/>
      <c r="Y15" s="137"/>
      <c r="Z15" s="137"/>
      <c r="AA15" s="137"/>
      <c r="AB15" s="137"/>
      <c r="AC15" s="137"/>
      <c r="AD15" s="137"/>
      <c r="AE15" s="137"/>
      <c r="AF15" s="137"/>
      <c r="AG15" s="137"/>
      <c r="AH15" s="137"/>
      <c r="AI15" s="137"/>
    </row>
    <row r="16" spans="1:39" s="32" customFormat="1" ht="12.9" customHeight="1" x14ac:dyDescent="0.2">
      <c r="B16" s="57"/>
      <c r="D16" s="61" t="s">
        <v>146</v>
      </c>
      <c r="F16" s="137"/>
      <c r="G16" s="137"/>
      <c r="H16" s="137"/>
      <c r="I16" s="67"/>
      <c r="J16" s="67"/>
      <c r="K16" s="137"/>
      <c r="L16" s="137"/>
      <c r="N16" s="137"/>
      <c r="O16" s="61"/>
      <c r="P16" s="137"/>
      <c r="Q16" s="67"/>
      <c r="R16" s="137"/>
      <c r="S16" s="61"/>
      <c r="T16" s="137"/>
      <c r="U16" s="137"/>
      <c r="V16" s="67" t="s">
        <v>147</v>
      </c>
      <c r="W16" s="137"/>
      <c r="X16" s="137"/>
      <c r="Y16" s="137"/>
      <c r="Z16" s="137"/>
      <c r="AA16" s="137"/>
      <c r="AB16" s="137"/>
      <c r="AC16" s="137"/>
      <c r="AD16" s="137"/>
      <c r="AE16" s="137"/>
    </row>
    <row r="17" spans="1:65" s="32" customFormat="1" ht="12.9" customHeight="1" x14ac:dyDescent="0.2">
      <c r="B17" s="53"/>
      <c r="D17" s="61" t="s">
        <v>337</v>
      </c>
      <c r="E17" s="67"/>
      <c r="F17" s="137"/>
      <c r="G17" s="137"/>
      <c r="H17" s="137"/>
      <c r="I17" s="67"/>
      <c r="J17" s="54"/>
      <c r="K17" s="54"/>
      <c r="L17" s="137"/>
      <c r="M17" s="137"/>
      <c r="N17" s="137"/>
      <c r="O17" s="144"/>
      <c r="P17" s="144"/>
      <c r="Q17" s="144"/>
      <c r="R17" s="137"/>
      <c r="S17" s="61"/>
      <c r="T17" s="137"/>
      <c r="U17" s="137"/>
      <c r="V17" s="46"/>
      <c r="W17" s="137"/>
      <c r="X17" s="137"/>
      <c r="Y17" s="137"/>
      <c r="Z17" s="137"/>
      <c r="AA17" s="137"/>
      <c r="AB17" s="137"/>
      <c r="AC17" s="137"/>
      <c r="AD17" s="137"/>
      <c r="AE17" s="137"/>
    </row>
    <row r="18" spans="1:65" s="32" customFormat="1" ht="12.9" customHeight="1" x14ac:dyDescent="0.2">
      <c r="B18" s="57"/>
      <c r="D18" s="61" t="s">
        <v>148</v>
      </c>
      <c r="E18" s="53"/>
      <c r="F18" s="413">
        <f>(37*10)+2*(37*5.65)+2*(10*5.65)+(3.14*5.65*5.65)</f>
        <v>1001.3366500000001</v>
      </c>
      <c r="G18" s="413"/>
      <c r="H18" s="413"/>
      <c r="I18" s="137" t="s">
        <v>149</v>
      </c>
      <c r="J18" s="53"/>
      <c r="K18" s="54"/>
    </row>
    <row r="19" spans="1:65" s="32" customFormat="1" ht="12.9" customHeight="1" x14ac:dyDescent="0.2">
      <c r="B19" s="57"/>
      <c r="D19" s="53"/>
      <c r="E19" s="53"/>
      <c r="F19" s="53"/>
      <c r="G19" s="53"/>
      <c r="H19" s="53"/>
      <c r="I19" s="54"/>
      <c r="J19" s="54"/>
      <c r="K19" s="54"/>
    </row>
    <row r="20" spans="1:65" s="32" customFormat="1" ht="12.9" customHeight="1" x14ac:dyDescent="0.2">
      <c r="B20" s="57"/>
      <c r="D20" s="61" t="s">
        <v>150</v>
      </c>
      <c r="E20" s="61"/>
      <c r="F20" s="61"/>
      <c r="G20" s="61"/>
      <c r="H20" s="61"/>
      <c r="I20" s="61"/>
      <c r="J20" s="67"/>
      <c r="K20" s="137"/>
      <c r="L20" s="137"/>
      <c r="M20" s="137"/>
      <c r="N20" s="137"/>
      <c r="O20" s="137"/>
      <c r="P20" s="137"/>
      <c r="Q20" s="137"/>
      <c r="R20" s="137"/>
      <c r="S20" s="137"/>
      <c r="T20" s="137"/>
      <c r="U20" s="137"/>
      <c r="V20" s="137"/>
      <c r="W20" s="137"/>
      <c r="X20" s="137"/>
      <c r="Y20" s="137"/>
      <c r="Z20" s="137"/>
      <c r="AA20" s="137"/>
      <c r="AB20" s="137"/>
      <c r="AC20" s="137"/>
      <c r="AD20" s="137"/>
    </row>
    <row r="21" spans="1:65" s="32" customFormat="1" ht="12.9" customHeight="1" x14ac:dyDescent="0.2">
      <c r="B21" s="53"/>
      <c r="D21" s="61" t="s">
        <v>151</v>
      </c>
      <c r="F21" s="61"/>
      <c r="G21" s="61"/>
      <c r="H21" s="61"/>
      <c r="I21" s="61"/>
      <c r="J21" s="67"/>
      <c r="K21" s="137"/>
      <c r="L21" s="137"/>
      <c r="M21" s="67" t="s">
        <v>152</v>
      </c>
      <c r="N21" s="137"/>
      <c r="O21" s="137"/>
      <c r="P21" s="137"/>
      <c r="Q21" s="137"/>
      <c r="R21" s="137"/>
      <c r="S21" s="137"/>
      <c r="T21" s="137"/>
      <c r="U21" s="137"/>
      <c r="V21" s="137"/>
      <c r="W21" s="137"/>
      <c r="X21" s="137"/>
      <c r="Y21" s="137"/>
      <c r="Z21" s="137"/>
      <c r="AA21" s="137"/>
      <c r="AB21" s="137"/>
      <c r="AC21" s="137"/>
      <c r="AD21" s="137"/>
    </row>
    <row r="22" spans="1:65" s="32" customFormat="1" ht="12.9" customHeight="1" x14ac:dyDescent="0.2">
      <c r="B22" s="53"/>
      <c r="D22" s="61" t="s">
        <v>338</v>
      </c>
      <c r="E22" s="67"/>
      <c r="F22" s="137"/>
      <c r="G22" s="137"/>
      <c r="H22" s="145"/>
      <c r="I22" s="67"/>
      <c r="J22" s="67"/>
      <c r="K22" s="137"/>
      <c r="L22" s="137"/>
      <c r="M22" s="137"/>
      <c r="N22" s="137"/>
      <c r="O22" s="142"/>
      <c r="P22" s="142"/>
      <c r="Q22" s="142"/>
      <c r="R22" s="137"/>
      <c r="S22" s="61"/>
      <c r="T22" s="137"/>
      <c r="U22" s="137"/>
      <c r="V22" s="137"/>
      <c r="W22" s="137"/>
      <c r="X22" s="137"/>
      <c r="Y22" s="137"/>
      <c r="Z22" s="137"/>
      <c r="AA22" s="137"/>
      <c r="AB22" s="137"/>
      <c r="AC22" s="137"/>
      <c r="AD22" s="137"/>
      <c r="AN22" s="53"/>
      <c r="AO22" s="53"/>
      <c r="AP22" s="53"/>
      <c r="AQ22" s="81"/>
      <c r="AR22" s="53"/>
      <c r="AY22" s="53"/>
      <c r="AZ22" s="381"/>
      <c r="BA22" s="381"/>
      <c r="BB22" s="381"/>
      <c r="BD22" s="58"/>
    </row>
    <row r="23" spans="1:65" s="32" customFormat="1" ht="12.9" customHeight="1" x14ac:dyDescent="0.2">
      <c r="B23" s="53"/>
      <c r="D23" s="61" t="s">
        <v>153</v>
      </c>
      <c r="E23" s="410">
        <f>F18*F9*10^-6</f>
        <v>5.0066832500000001E-4</v>
      </c>
      <c r="F23" s="410"/>
      <c r="G23" s="410"/>
      <c r="H23" s="145"/>
      <c r="I23" s="151" t="s">
        <v>339</v>
      </c>
      <c r="J23" s="61"/>
      <c r="K23" s="137"/>
      <c r="L23" s="137"/>
      <c r="M23" s="137"/>
      <c r="N23" s="137"/>
      <c r="O23" s="67"/>
      <c r="P23" s="137"/>
      <c r="Q23" s="137"/>
      <c r="R23" s="137"/>
      <c r="S23" s="67"/>
      <c r="T23" s="137"/>
      <c r="U23" s="137"/>
      <c r="V23" s="137"/>
      <c r="W23" s="137"/>
      <c r="X23" s="137"/>
      <c r="Y23" s="137"/>
      <c r="Z23" s="137"/>
      <c r="AA23" s="137"/>
      <c r="AB23" s="137"/>
      <c r="AC23" s="137"/>
      <c r="AD23" s="137"/>
      <c r="AN23" s="53"/>
      <c r="AO23" s="53"/>
      <c r="AP23" s="53"/>
      <c r="AQ23" s="53"/>
      <c r="AR23" s="53"/>
      <c r="AY23" s="53"/>
      <c r="AZ23" s="53"/>
      <c r="BA23" s="53"/>
    </row>
    <row r="24" spans="1:65" s="32" customFormat="1" ht="12.9" customHeight="1" x14ac:dyDescent="0.2">
      <c r="B24" s="53"/>
      <c r="D24" s="53"/>
      <c r="E24" s="54"/>
      <c r="H24" s="81"/>
      <c r="I24" s="53"/>
      <c r="J24" s="53"/>
      <c r="O24" s="80"/>
      <c r="P24" s="80"/>
      <c r="Q24" s="80"/>
      <c r="S24" s="54"/>
      <c r="AN24" s="53"/>
      <c r="AO24" s="53"/>
      <c r="AP24" s="53"/>
      <c r="AQ24" s="81"/>
      <c r="AR24" s="53"/>
      <c r="AY24" s="53"/>
      <c r="AZ24" s="381"/>
      <c r="BA24" s="381"/>
      <c r="BB24" s="381"/>
    </row>
    <row r="25" spans="1:65" s="32" customFormat="1" ht="12.9" customHeight="1" x14ac:dyDescent="0.2">
      <c r="B25" s="53"/>
      <c r="D25" s="53" t="s">
        <v>154</v>
      </c>
      <c r="E25" s="54"/>
      <c r="H25" s="81"/>
      <c r="I25" s="54"/>
      <c r="J25" s="54"/>
      <c r="O25" s="54"/>
      <c r="S25" s="54"/>
      <c r="AN25" s="53"/>
      <c r="AO25" s="53"/>
      <c r="AP25" s="54"/>
      <c r="AQ25" s="54"/>
      <c r="AR25" s="54"/>
      <c r="AY25" s="53"/>
      <c r="AZ25" s="57"/>
      <c r="BA25" s="53"/>
    </row>
    <row r="26" spans="1:65" s="32" customFormat="1" ht="12.9" customHeight="1" x14ac:dyDescent="0.2">
      <c r="B26" s="53"/>
      <c r="D26" s="53"/>
      <c r="E26" s="54"/>
      <c r="H26" s="81"/>
      <c r="I26" s="54"/>
      <c r="J26" s="54"/>
      <c r="O26" s="80"/>
      <c r="P26" s="80"/>
      <c r="Q26" s="80"/>
      <c r="S26" s="53"/>
      <c r="AN26" s="53"/>
      <c r="AO26" s="53"/>
      <c r="AP26" s="53"/>
      <c r="AQ26" s="53"/>
      <c r="AR26" s="53"/>
      <c r="AY26" s="53"/>
      <c r="AZ26" s="53"/>
      <c r="BA26" s="53"/>
    </row>
    <row r="27" spans="1:65" s="32" customFormat="1" ht="12.9" customHeight="1" x14ac:dyDescent="0.2">
      <c r="B27" s="53"/>
      <c r="D27" s="53" t="s">
        <v>324</v>
      </c>
      <c r="E27" s="54"/>
      <c r="F27" s="54"/>
      <c r="G27" s="54"/>
      <c r="H27" s="125"/>
      <c r="I27" s="53"/>
      <c r="J27" s="54"/>
      <c r="AN27" s="53"/>
      <c r="AO27" s="53"/>
      <c r="AP27" s="53"/>
      <c r="AQ27" s="81"/>
      <c r="AR27" s="53"/>
      <c r="AY27" s="53"/>
      <c r="AZ27" s="381"/>
      <c r="BA27" s="381"/>
      <c r="BB27" s="381"/>
      <c r="BJ27" s="403"/>
      <c r="BK27" s="403"/>
      <c r="BL27" s="403"/>
      <c r="BM27" s="403"/>
    </row>
    <row r="28" spans="1:65" s="32" customFormat="1" ht="12.9" customHeight="1" x14ac:dyDescent="0.2">
      <c r="B28" s="53"/>
      <c r="D28" s="53"/>
      <c r="E28" s="54"/>
      <c r="F28" s="54"/>
      <c r="G28" s="54"/>
      <c r="H28" s="54"/>
      <c r="I28" s="54"/>
      <c r="J28" s="60" t="s">
        <v>325</v>
      </c>
      <c r="AO28" s="53"/>
      <c r="AP28" s="53"/>
      <c r="AQ28" s="53"/>
      <c r="AR28" s="81"/>
      <c r="AS28" s="53"/>
      <c r="AT28" s="53"/>
      <c r="AU28" s="53"/>
      <c r="AV28" s="53"/>
    </row>
    <row r="29" spans="1:65" s="32" customFormat="1" ht="12.9" customHeight="1" x14ac:dyDescent="0.2">
      <c r="B29" s="53"/>
      <c r="D29" s="53"/>
      <c r="E29" s="54"/>
      <c r="F29" s="54"/>
      <c r="G29" s="54"/>
      <c r="H29" s="54"/>
      <c r="I29" s="54"/>
      <c r="J29" s="146" t="s">
        <v>155</v>
      </c>
      <c r="K29" s="411">
        <f>0.7*0.4*0.8*1*0.3</f>
        <v>6.7199999999999996E-2</v>
      </c>
      <c r="L29" s="411"/>
      <c r="M29" s="411"/>
      <c r="AN29" s="85"/>
      <c r="AO29" s="58"/>
      <c r="AP29" s="85"/>
      <c r="AQ29" s="85"/>
      <c r="AR29" s="85"/>
      <c r="AS29" s="85"/>
      <c r="AT29" s="85"/>
      <c r="AU29" s="85"/>
      <c r="AV29" s="85"/>
      <c r="AW29" s="56"/>
      <c r="AX29" s="56"/>
      <c r="AY29" s="85"/>
      <c r="AZ29" s="395"/>
      <c r="BA29" s="395"/>
      <c r="BB29" s="395"/>
      <c r="BC29" s="56"/>
      <c r="BD29" s="58"/>
      <c r="BE29" s="56"/>
    </row>
    <row r="30" spans="1:65" s="32" customFormat="1" ht="12.9" customHeight="1" x14ac:dyDescent="0.2">
      <c r="B30" s="53"/>
      <c r="D30" s="53" t="s">
        <v>156</v>
      </c>
      <c r="E30" s="54"/>
      <c r="F30" s="54"/>
      <c r="G30" s="54"/>
      <c r="H30" s="54"/>
      <c r="I30" s="54"/>
      <c r="J30" s="54"/>
    </row>
    <row r="31" spans="1:65" s="32" customFormat="1" ht="12.9" customHeight="1" x14ac:dyDescent="0.2">
      <c r="A31" s="73"/>
      <c r="B31" s="52"/>
      <c r="D31" s="53" t="s">
        <v>157</v>
      </c>
      <c r="E31" s="54"/>
      <c r="H31" s="54"/>
      <c r="I31" s="54"/>
      <c r="J31" s="54"/>
      <c r="P31" s="80"/>
      <c r="Q31" s="80"/>
      <c r="R31" s="80"/>
      <c r="S31" s="53"/>
    </row>
    <row r="32" spans="1:65" s="32" customFormat="1" ht="12.9" customHeight="1" x14ac:dyDescent="0.2">
      <c r="B32" s="34"/>
      <c r="C32" s="34" t="s">
        <v>158</v>
      </c>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row>
    <row r="33" spans="1:36" s="32" customFormat="1" ht="12.9" customHeight="1" x14ac:dyDescent="0.2">
      <c r="B33" s="53"/>
      <c r="C33" s="53"/>
      <c r="D33" s="53"/>
      <c r="E33" s="53"/>
      <c r="F33" s="53" t="s">
        <v>159</v>
      </c>
      <c r="G33" s="406">
        <f>'Sheet 9'!E23</f>
        <v>5.0066832500000001E-4</v>
      </c>
      <c r="H33" s="406"/>
      <c r="I33" s="406"/>
      <c r="J33" s="126" t="s">
        <v>160</v>
      </c>
      <c r="K33" s="407">
        <f>'Sheet 9'!K29</f>
        <v>6.7199999999999996E-2</v>
      </c>
      <c r="L33" s="407"/>
      <c r="M33" s="407"/>
      <c r="AH33" s="381"/>
      <c r="AI33" s="381"/>
      <c r="AJ33" s="381"/>
    </row>
    <row r="34" spans="1:36" s="32" customFormat="1" ht="12.9" customHeight="1" x14ac:dyDescent="0.2">
      <c r="B34" s="53"/>
      <c r="F34" s="126" t="s">
        <v>42</v>
      </c>
      <c r="G34" s="398">
        <f>G33*K33</f>
        <v>3.3644911439999996E-5</v>
      </c>
      <c r="H34" s="398"/>
      <c r="I34" s="398"/>
      <c r="J34" s="398"/>
      <c r="K34" s="151" t="s">
        <v>340</v>
      </c>
    </row>
    <row r="35" spans="1:36" s="32" customFormat="1" ht="12.9" customHeight="1" x14ac:dyDescent="0.2">
      <c r="B35" s="53"/>
      <c r="F35" s="147" t="s">
        <v>42</v>
      </c>
      <c r="G35" s="124" t="s">
        <v>341</v>
      </c>
      <c r="K35" s="32" t="s">
        <v>161</v>
      </c>
      <c r="L35" s="399" t="s">
        <v>162</v>
      </c>
      <c r="M35" s="399"/>
    </row>
    <row r="36" spans="1:36" s="32" customFormat="1" ht="12.9" customHeight="1" x14ac:dyDescent="0.2">
      <c r="A36" s="137"/>
      <c r="B36" s="61"/>
    </row>
    <row r="37" spans="1:36" s="32" customFormat="1" ht="12.9" customHeight="1" x14ac:dyDescent="0.2">
      <c r="A37" s="137"/>
      <c r="B37" s="61"/>
      <c r="C37" s="32" t="s">
        <v>163</v>
      </c>
    </row>
    <row r="38" spans="1:36" s="32" customFormat="1" ht="12.9" customHeight="1" x14ac:dyDescent="0.2">
      <c r="A38" s="137"/>
      <c r="B38" s="61"/>
    </row>
    <row r="39" spans="1:36" s="32" customFormat="1" ht="12.9" customHeight="1" x14ac:dyDescent="0.2">
      <c r="A39" s="137"/>
      <c r="B39" s="61"/>
      <c r="C39" s="35" t="s">
        <v>466</v>
      </c>
    </row>
    <row r="40" spans="1:36" s="32" customFormat="1" ht="12.9" customHeight="1" x14ac:dyDescent="0.2">
      <c r="A40" s="137"/>
      <c r="B40" s="61"/>
      <c r="D40" s="64"/>
      <c r="E40" s="57"/>
      <c r="F40" s="53"/>
      <c r="G40" s="53"/>
      <c r="H40" s="53"/>
      <c r="I40" s="54"/>
      <c r="J40" s="54"/>
      <c r="O40" s="129"/>
      <c r="P40" s="129"/>
      <c r="Q40" s="129"/>
    </row>
    <row r="41" spans="1:36" s="32" customFormat="1" ht="12.9" customHeight="1" x14ac:dyDescent="0.2">
      <c r="A41" s="137"/>
      <c r="B41" s="61"/>
      <c r="C41" s="124" t="s">
        <v>164</v>
      </c>
      <c r="D41" s="64"/>
      <c r="E41" s="57"/>
      <c r="F41" s="53"/>
      <c r="G41" s="53"/>
      <c r="H41" s="53"/>
      <c r="I41" s="54"/>
      <c r="J41" s="54"/>
      <c r="O41" s="129"/>
      <c r="P41" s="129"/>
      <c r="Q41" s="129"/>
    </row>
    <row r="42" spans="1:36" s="32" customFormat="1" ht="12.9" customHeight="1" x14ac:dyDescent="0.2">
      <c r="A42" s="137"/>
      <c r="B42" s="61"/>
      <c r="C42" s="53" t="s">
        <v>165</v>
      </c>
      <c r="D42" s="57"/>
      <c r="E42" s="57"/>
      <c r="F42" s="57"/>
      <c r="G42" s="57"/>
      <c r="H42" s="54"/>
      <c r="I42" s="54"/>
      <c r="J42" s="54"/>
    </row>
    <row r="43" spans="1:36" s="32" customFormat="1" ht="12.9" customHeight="1" x14ac:dyDescent="0.2">
      <c r="A43" s="137"/>
      <c r="B43" s="61"/>
      <c r="C43" s="53"/>
      <c r="D43" s="74"/>
      <c r="E43" s="74"/>
      <c r="F43" s="74"/>
      <c r="G43" s="57"/>
      <c r="H43" s="54"/>
      <c r="I43" s="54"/>
      <c r="J43" s="54"/>
      <c r="O43" s="129"/>
      <c r="P43" s="129"/>
      <c r="Q43" s="129"/>
      <c r="R43" s="148"/>
      <c r="T43" s="148"/>
    </row>
    <row r="44" spans="1:36" s="32" customFormat="1" ht="12.9" customHeight="1" x14ac:dyDescent="0.2">
      <c r="A44" s="137"/>
      <c r="B44" s="46"/>
      <c r="C44" s="64"/>
      <c r="D44" s="57"/>
      <c r="E44" s="61" t="s">
        <v>342</v>
      </c>
      <c r="F44" s="57"/>
      <c r="G44" s="57"/>
      <c r="H44" s="54"/>
      <c r="I44" s="54"/>
      <c r="J44" s="54"/>
      <c r="O44" s="149"/>
      <c r="P44" s="149"/>
      <c r="Q44" s="149"/>
    </row>
    <row r="45" spans="1:36" s="32" customFormat="1" ht="12.9" customHeight="1" x14ac:dyDescent="0.2">
      <c r="A45" s="137"/>
      <c r="B45" s="61"/>
      <c r="C45" s="61"/>
      <c r="D45" s="57"/>
      <c r="E45" s="61" t="s">
        <v>166</v>
      </c>
      <c r="F45" s="62"/>
      <c r="G45" s="57"/>
      <c r="H45" s="54"/>
      <c r="I45" s="54"/>
      <c r="J45" s="54"/>
      <c r="O45" s="131"/>
      <c r="P45" s="131"/>
      <c r="Q45" s="131"/>
    </row>
    <row r="46" spans="1:36" s="32" customFormat="1" ht="12.9" customHeight="1" x14ac:dyDescent="0.2">
      <c r="A46" s="137"/>
      <c r="B46" s="61"/>
      <c r="C46" s="61"/>
      <c r="D46" s="57"/>
      <c r="E46" s="61"/>
      <c r="F46" s="62"/>
      <c r="G46" s="57"/>
      <c r="H46" s="54"/>
      <c r="I46" s="54"/>
      <c r="J46" s="54"/>
      <c r="O46" s="131"/>
      <c r="P46" s="131"/>
      <c r="Q46" s="131"/>
    </row>
    <row r="47" spans="1:36" s="32" customFormat="1" ht="12.9" customHeight="1" x14ac:dyDescent="0.2">
      <c r="A47" s="137"/>
      <c r="B47" s="61"/>
      <c r="C47" s="150"/>
      <c r="D47" s="61"/>
      <c r="E47" s="61" t="s">
        <v>167</v>
      </c>
      <c r="F47" s="61"/>
      <c r="G47" s="61"/>
      <c r="H47" s="67"/>
      <c r="I47" s="67"/>
      <c r="J47" s="67"/>
      <c r="K47" s="137"/>
      <c r="L47" s="137"/>
      <c r="M47" s="137"/>
      <c r="N47" s="137"/>
      <c r="O47" s="138"/>
      <c r="P47" s="138"/>
      <c r="Q47" s="138"/>
      <c r="R47" s="137"/>
      <c r="S47" s="137"/>
      <c r="T47" s="137"/>
      <c r="U47" s="137"/>
      <c r="V47" s="137"/>
      <c r="W47" s="137"/>
      <c r="X47" s="137"/>
      <c r="Y47" s="137"/>
      <c r="Z47" s="137"/>
      <c r="AA47" s="137"/>
    </row>
    <row r="48" spans="1:36" s="32" customFormat="1" ht="12.9" customHeight="1" x14ac:dyDescent="0.25">
      <c r="A48" s="154"/>
      <c r="B48" s="136"/>
      <c r="C48" s="61"/>
      <c r="D48" s="151"/>
      <c r="E48" s="141"/>
      <c r="F48" s="137"/>
      <c r="G48" s="67"/>
      <c r="H48" s="67"/>
      <c r="I48" s="67"/>
      <c r="J48" s="67"/>
      <c r="K48" s="137"/>
      <c r="L48" s="137"/>
      <c r="M48" s="137"/>
      <c r="N48" s="137"/>
      <c r="O48" s="140"/>
      <c r="P48" s="140"/>
      <c r="Q48" s="140"/>
      <c r="R48" s="137"/>
      <c r="S48" s="137"/>
      <c r="T48" s="137"/>
      <c r="U48" s="137"/>
      <c r="V48" s="137"/>
      <c r="W48" s="137"/>
      <c r="X48" s="137"/>
      <c r="Y48" s="137"/>
      <c r="Z48" s="137"/>
      <c r="AA48" s="137"/>
    </row>
    <row r="49" spans="1:50" s="32" customFormat="1" ht="12.9" customHeight="1" x14ac:dyDescent="0.2">
      <c r="A49" s="137"/>
      <c r="B49" s="61"/>
      <c r="C49" s="61"/>
      <c r="D49" s="142"/>
      <c r="E49" s="145" t="s">
        <v>168</v>
      </c>
      <c r="G49" s="67"/>
      <c r="H49" s="67"/>
      <c r="L49" s="151" t="s">
        <v>343</v>
      </c>
      <c r="M49" s="67"/>
      <c r="N49" s="137"/>
      <c r="O49" s="137"/>
      <c r="P49" s="137"/>
      <c r="Q49" s="137"/>
      <c r="R49" s="138"/>
      <c r="S49" s="152" t="s">
        <v>124</v>
      </c>
      <c r="T49" s="359">
        <f>1+(370-100)/300</f>
        <v>1.9</v>
      </c>
      <c r="U49" s="359"/>
      <c r="V49" s="153" t="s">
        <v>173</v>
      </c>
      <c r="W49" s="137"/>
      <c r="X49" s="137"/>
      <c r="Y49" s="137"/>
      <c r="Z49" s="137"/>
      <c r="AA49" s="137"/>
      <c r="AX49" s="32" t="s">
        <v>174</v>
      </c>
    </row>
    <row r="50" spans="1:50" s="32" customFormat="1" ht="12.9" customHeight="1" x14ac:dyDescent="0.2">
      <c r="A50" s="137"/>
      <c r="B50" s="61"/>
      <c r="C50" s="61"/>
      <c r="D50" s="67"/>
      <c r="E50" s="137"/>
      <c r="F50" s="67"/>
      <c r="G50" s="67"/>
      <c r="H50" s="67"/>
      <c r="I50" s="137"/>
      <c r="M50" s="405">
        <v>300</v>
      </c>
      <c r="N50" s="405"/>
      <c r="O50" s="405"/>
      <c r="P50" s="405"/>
      <c r="Q50" s="143"/>
      <c r="R50" s="67"/>
      <c r="S50" s="137"/>
      <c r="T50" s="137"/>
      <c r="U50" s="137"/>
      <c r="V50" s="137"/>
      <c r="W50" s="137"/>
      <c r="X50" s="137"/>
      <c r="Y50" s="137"/>
      <c r="Z50" s="137"/>
      <c r="AA50" s="137"/>
    </row>
    <row r="51" spans="1:50" s="32" customFormat="1" ht="12.9" customHeight="1" x14ac:dyDescent="0.2">
      <c r="A51" s="137"/>
      <c r="B51" s="61"/>
      <c r="C51" s="61"/>
      <c r="D51" s="61"/>
      <c r="E51" s="67"/>
      <c r="F51" s="67"/>
      <c r="G51" s="67"/>
      <c r="H51" s="67"/>
      <c r="I51" s="67"/>
      <c r="J51" s="67"/>
      <c r="K51" s="137"/>
      <c r="L51" s="137"/>
      <c r="M51" s="137"/>
      <c r="N51" s="137"/>
      <c r="O51" s="137"/>
      <c r="P51" s="137"/>
      <c r="Q51" s="137"/>
      <c r="R51" s="137"/>
      <c r="S51" s="137"/>
      <c r="T51" s="137"/>
      <c r="U51" s="137"/>
      <c r="V51" s="137"/>
      <c r="W51" s="137"/>
      <c r="X51" s="137"/>
      <c r="Y51" s="137"/>
      <c r="Z51" s="137"/>
      <c r="AA51" s="137"/>
    </row>
    <row r="52" spans="1:50" s="32" customFormat="1" ht="12.9" customHeight="1" x14ac:dyDescent="0.2">
      <c r="B52" s="53"/>
      <c r="C52" s="46"/>
      <c r="D52" s="61"/>
      <c r="E52" s="61" t="s">
        <v>169</v>
      </c>
      <c r="F52" s="137"/>
      <c r="G52" s="137"/>
      <c r="H52" s="137"/>
      <c r="I52" s="67"/>
      <c r="J52" s="67"/>
      <c r="K52" s="137"/>
      <c r="L52" s="137"/>
      <c r="M52" s="137"/>
      <c r="N52" s="137"/>
      <c r="O52" s="142"/>
      <c r="P52" s="142"/>
      <c r="Q52" s="142"/>
      <c r="R52" s="137"/>
      <c r="S52" s="61"/>
      <c r="T52" s="137"/>
      <c r="U52" s="137"/>
      <c r="V52" s="137"/>
      <c r="W52" s="137"/>
      <c r="X52" s="137"/>
      <c r="Y52" s="137"/>
      <c r="Z52" s="137"/>
      <c r="AA52" s="137"/>
    </row>
    <row r="53" spans="1:50" s="32" customFormat="1" ht="12.9" customHeight="1" x14ac:dyDescent="0.2">
      <c r="B53" s="53"/>
      <c r="C53" s="46"/>
      <c r="D53" s="61"/>
      <c r="E53" s="67"/>
      <c r="F53" s="137"/>
      <c r="G53" s="207" t="s">
        <v>344</v>
      </c>
      <c r="H53" s="137"/>
      <c r="I53" s="67"/>
      <c r="J53" s="67"/>
      <c r="K53" s="137"/>
      <c r="L53" s="137"/>
      <c r="M53" s="137"/>
      <c r="N53" s="137"/>
      <c r="O53" s="61"/>
      <c r="P53" s="137"/>
      <c r="Q53" s="67"/>
      <c r="R53" s="137"/>
      <c r="S53" s="61"/>
      <c r="T53" s="403">
        <f>(2*30)+(2*10)</f>
        <v>80</v>
      </c>
      <c r="U53" s="403"/>
      <c r="V53" s="403"/>
      <c r="W53" s="128"/>
      <c r="X53" s="128"/>
      <c r="Y53" s="137"/>
      <c r="Z53" s="137"/>
      <c r="AA53" s="137"/>
    </row>
    <row r="54" spans="1:50" s="32" customFormat="1" ht="12.9" customHeight="1" x14ac:dyDescent="0.2">
      <c r="B54" s="57"/>
      <c r="C54" s="53"/>
      <c r="D54" s="53"/>
      <c r="E54" s="54"/>
      <c r="I54" s="54"/>
      <c r="J54" s="54"/>
      <c r="O54" s="402"/>
      <c r="P54" s="402"/>
      <c r="Q54" s="402"/>
      <c r="S54" s="53"/>
      <c r="V54" s="34"/>
    </row>
    <row r="55" spans="1:50" s="32" customFormat="1" ht="12.9" customHeight="1" x14ac:dyDescent="0.2">
      <c r="B55" s="57"/>
      <c r="C55" s="53"/>
      <c r="D55" s="53"/>
      <c r="E55" s="53"/>
      <c r="F55" s="145" t="s">
        <v>170</v>
      </c>
      <c r="G55" s="53"/>
      <c r="H55" s="53"/>
      <c r="I55" s="53"/>
      <c r="J55" s="54"/>
      <c r="O55" s="414">
        <f>T53</f>
        <v>80</v>
      </c>
      <c r="P55" s="414"/>
      <c r="Q55" s="414"/>
      <c r="T55" s="63" t="s">
        <v>42</v>
      </c>
      <c r="U55" s="403">
        <f>O55/30</f>
        <v>2.6666666666666665</v>
      </c>
      <c r="V55" s="403"/>
      <c r="W55" s="153" t="s">
        <v>175</v>
      </c>
    </row>
    <row r="56" spans="1:50" s="32" customFormat="1" ht="12.9" customHeight="1" x14ac:dyDescent="0.2">
      <c r="B56" s="53"/>
      <c r="C56" s="53"/>
      <c r="D56" s="53"/>
      <c r="E56" s="53"/>
      <c r="F56" s="53"/>
      <c r="G56" s="53"/>
      <c r="H56" s="53"/>
      <c r="I56" s="53"/>
      <c r="J56" s="54"/>
      <c r="O56" s="400">
        <v>30</v>
      </c>
      <c r="P56" s="400"/>
      <c r="Q56" s="400"/>
    </row>
    <row r="57" spans="1:50" s="32" customFormat="1" ht="12.9" customHeight="1" x14ac:dyDescent="0.2">
      <c r="A57" s="73"/>
      <c r="B57" s="52"/>
      <c r="C57" s="53"/>
      <c r="D57" s="34" t="s">
        <v>572</v>
      </c>
      <c r="E57" s="53"/>
      <c r="F57" s="53"/>
      <c r="G57" s="53"/>
      <c r="H57" s="53"/>
      <c r="I57" s="53"/>
      <c r="J57" s="54"/>
    </row>
    <row r="58" spans="1:50" s="32" customFormat="1" ht="12.9" customHeight="1" x14ac:dyDescent="0.2">
      <c r="B58" s="53"/>
      <c r="C58" s="53"/>
      <c r="D58" s="34" t="s">
        <v>477</v>
      </c>
      <c r="E58" s="54"/>
      <c r="H58" s="81"/>
      <c r="I58" s="54"/>
      <c r="J58" s="54"/>
      <c r="O58" s="74"/>
      <c r="P58" s="74"/>
      <c r="Q58" s="74"/>
      <c r="S58" s="53"/>
    </row>
    <row r="59" spans="1:50" s="32" customFormat="1" ht="12.9" customHeight="1" x14ac:dyDescent="0.2">
      <c r="B59" s="53"/>
      <c r="C59" s="53"/>
      <c r="D59" s="54"/>
      <c r="E59" s="54"/>
      <c r="F59" s="54"/>
      <c r="G59" s="54"/>
      <c r="H59" s="54"/>
      <c r="I59" s="54"/>
    </row>
    <row r="60" spans="1:50" s="2" customFormat="1" ht="15.6" x14ac:dyDescent="0.3">
      <c r="A60" s="158"/>
      <c r="B60" s="158"/>
      <c r="C60" s="158"/>
      <c r="D60" s="158"/>
      <c r="E60" s="22"/>
      <c r="F60" s="22"/>
      <c r="G60" s="22"/>
      <c r="H60" s="22"/>
      <c r="I60" s="22"/>
      <c r="J60" s="159"/>
      <c r="K60" s="159"/>
      <c r="L60" s="159"/>
      <c r="M60" s="159"/>
      <c r="N60" s="159"/>
      <c r="O60" s="159"/>
      <c r="P60" s="159"/>
      <c r="Q60" s="159"/>
      <c r="R60" s="332"/>
      <c r="S60" s="332"/>
      <c r="T60" s="332"/>
      <c r="U60" s="332"/>
      <c r="V60" s="332"/>
      <c r="W60" s="332"/>
      <c r="X60" s="332"/>
      <c r="Y60" s="332"/>
      <c r="Z60" s="332"/>
      <c r="AA60" s="332"/>
      <c r="AB60" s="341" t="s">
        <v>2</v>
      </c>
      <c r="AC60" s="341"/>
      <c r="AD60" s="341">
        <v>3</v>
      </c>
      <c r="AE60" s="341"/>
      <c r="AF60" s="341" t="s">
        <v>177</v>
      </c>
      <c r="AG60" s="341"/>
      <c r="AH60" s="341">
        <v>7</v>
      </c>
      <c r="AI60" s="341"/>
      <c r="AJ60" s="332"/>
      <c r="AK60" s="332"/>
    </row>
    <row r="61" spans="1:50" s="2" customFormat="1" ht="15.75" customHeight="1" x14ac:dyDescent="0.3">
      <c r="A61" s="340"/>
      <c r="B61" s="340"/>
      <c r="C61" s="340"/>
      <c r="D61" s="340"/>
      <c r="E61" s="340"/>
      <c r="F61" s="23"/>
      <c r="G61" s="23"/>
      <c r="H61" s="23"/>
      <c r="I61" s="23"/>
      <c r="J61" s="23"/>
      <c r="K61" s="23"/>
    </row>
    <row r="62" spans="1:50" s="2" customFormat="1" ht="12.75" customHeight="1" x14ac:dyDescent="0.25">
      <c r="A62" s="30"/>
      <c r="B62" s="66"/>
      <c r="C62" s="34"/>
      <c r="D62" s="66"/>
      <c r="E62" s="66"/>
      <c r="F62" s="66"/>
      <c r="G62" s="66"/>
      <c r="H62" s="66"/>
      <c r="I62" s="66"/>
      <c r="J62"/>
      <c r="K62" s="30"/>
    </row>
  </sheetData>
  <sheetProtection formatCells="0" formatColumns="0" formatRows="0"/>
  <protectedRanges>
    <protectedRange sqref="A223:AK1836 A3:AK3" name="Range2"/>
    <protectedRange sqref="A4:A15 B4:B14" name="Range2_10"/>
    <protectedRange sqref="I4:K5 C5 E14:AI14 R4:AI5 N4:P5 D4:F5 C14 AJ4:AK15" name="Range2_8_1"/>
    <protectedRange sqref="C4" name="Range2_3_1_2"/>
    <protectedRange sqref="O12:S12 O11 F8 I6:J10 I12:J12 H6:H12 F6 O7 O6:P6 O8:P10 R6:R11 Q6:Q8 Q10 O15 E12:E13 M9 E6:E8 E10 S15:AI15 G6:G8 F10:G12 K6:L12 M6:N8 M10:N12 Q15 T6:AI13 O13 D6:D13 I13:L13 Q13 S13 D15 I15:L15" name="Range2_4_1_2"/>
    <protectedRange sqref="F7" name="Range2_3_1_1_1"/>
    <protectedRange sqref="E9" name="Range2_4_1_1_1"/>
    <protectedRange sqref="D14" name="Range2_9_1"/>
    <protectedRange sqref="BS26:BW29 BQ22:BW25 AF16:AK16 B27:B30 A59:B59 BQ26:BR28 A26:A30 AF17:AJ19 A16:B25 AK17:AK31 AK59" name="Range2_11"/>
    <protectedRange sqref="BH22:BP28 AO28:AX29 AY28:BG28 D19:AE19" name="Range2_1_2"/>
    <protectedRange sqref="AN27 AN29 AY29:BB29 AW22:BG27 AN22:AR25 AO26:AR27" name="Range2_2_2"/>
    <protectedRange sqref="A31:B31" name="Range2_5_3"/>
    <protectedRange sqref="E18:H18 J18:AE18" name="Range2_9_2"/>
    <protectedRange sqref="E17 D16:D18 Q16:Q17 S16:AE17 O16:O17 I16:L17" name="Range2_4_1_3"/>
    <protectedRange sqref="I18" name="Range2_7_1_1"/>
    <protectedRange sqref="AF22:AF31 AE20:AF21 AG20:AJ31 AE59:AJ59" name="Range2_10_1"/>
    <protectedRange sqref="AD59 AE22:AE31" name="Range2_1_1_1"/>
    <protectedRange sqref="H22:J22 F20:L21 Q22:S26 P20:S21 F30:G30 Q30 E20 R30:S31 O30:P31 M20:O26 T20:AD26 E22:E26 D20:D26 C59:AC59 H24:J26 H23 J23 T30 M30:N30 U30:AD31 D30:E31 Z27:AD29 H30:L31" name="Range2_7_2_1"/>
    <protectedRange sqref="A61:AK62 A60:AG60 AJ60:AK60" name="Range2_4_1_2_1"/>
    <protectedRange sqref="I23" name="Range2_7_2_2"/>
    <protectedRange sqref="D27:Y29" name="Range2_7_2_3"/>
    <protectedRange sqref="AH60:AI60" name="Range2_4_1_2_1_1"/>
    <protectedRange sqref="A32:B58 AK32:AK58" name="Range2_11_1"/>
    <protectedRange sqref="F50:F51 P55:S57 W56:W58 H40:H51 E49 O43 AG32:AJ53 AE32:AF32 G42:G51 F42:F44 O42:P42 O45:O46 O44:P44 Q42:Q47 R42:S42 S52:S54 Q52:Q54 I52:L54 I51:S51 F47 E42:E47 L40:N49 F55:L57 O49:U49 W49:Y49 Z42:AF53 T42:Y48 T50:Y53 I40:K48 O50:P50 R43:R48 R50 O47:P48 W54 X54:AJ58 M55:N58 Q58:S58 D42:D56 E51:E58 C44:C58 O52:O58 H58:J58 T54:V58" name="Range2_10_1_1"/>
    <protectedRange sqref="AD32" name="Range2_1_1_1_1"/>
    <protectedRange sqref="D40:G41 F45:F46" name="Range2_3_1_3"/>
    <protectedRange sqref="E48" name="Range2_4_2_1_1"/>
    <protectedRange sqref="D32:AC33 C32:C38 D35:AC39 D34:J34 L34:AC34" name="Range2_7_2_1_1"/>
    <protectedRange sqref="C42:C43" name="Range2_6_1_1"/>
    <protectedRange sqref="K34" name="Range2_7_2_4"/>
    <protectedRange sqref="D57:D58" name="Range2_10_2"/>
  </protectedRanges>
  <mergeCells count="34">
    <mergeCell ref="AH60:AI60"/>
    <mergeCell ref="AJ60:AK60"/>
    <mergeCell ref="A61:E61"/>
    <mergeCell ref="A2:Q2"/>
    <mergeCell ref="X60:Y60"/>
    <mergeCell ref="Z60:AA60"/>
    <mergeCell ref="AB60:AC60"/>
    <mergeCell ref="AD60:AE60"/>
    <mergeCell ref="AF60:AG60"/>
    <mergeCell ref="R60:S60"/>
    <mergeCell ref="T60:U60"/>
    <mergeCell ref="V60:W60"/>
    <mergeCell ref="K29:M29"/>
    <mergeCell ref="AH33:AJ33"/>
    <mergeCell ref="O55:Q55"/>
    <mergeCell ref="U55:V55"/>
    <mergeCell ref="AZ27:BB27"/>
    <mergeCell ref="BJ27:BM27"/>
    <mergeCell ref="AZ29:BB29"/>
    <mergeCell ref="A1:K1"/>
    <mergeCell ref="F9:G9"/>
    <mergeCell ref="F18:H18"/>
    <mergeCell ref="AZ22:BB22"/>
    <mergeCell ref="E23:G23"/>
    <mergeCell ref="AZ24:BB24"/>
    <mergeCell ref="O56:Q56"/>
    <mergeCell ref="G33:I33"/>
    <mergeCell ref="K33:M33"/>
    <mergeCell ref="T49:U49"/>
    <mergeCell ref="G34:J34"/>
    <mergeCell ref="L35:M35"/>
    <mergeCell ref="M50:P50"/>
    <mergeCell ref="T53:V53"/>
    <mergeCell ref="O54:Q54"/>
  </mergeCells>
  <hyperlinks>
    <hyperlink ref="AM1" r:id="rId1" xr:uid="{95ECE758-BA71-4D71-AD41-E82E1F96096B}"/>
  </hyperlinks>
  <pageMargins left="0.25" right="0.25" top="0.75" bottom="0.75" header="0.3" footer="0.3"/>
  <pageSetup paperSize="9" scale="95" orientation="portrait" r:id="rId2"/>
  <headerFooter alignWithMargins="0">
    <oddHeader xml:space="preserve">&amp;R
</oddHeader>
  </headerFooter>
  <rowBreaks count="1" manualBreakCount="1">
    <brk id="81" max="36" man="1"/>
  </rowBreaks>
  <drawing r:id="rId3"/>
  <legacyDrawingHF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tabColor indexed="45"/>
  </sheetPr>
  <dimension ref="A1:BM62"/>
  <sheetViews>
    <sheetView zoomScale="140" zoomScaleNormal="140" zoomScaleSheetLayoutView="145" workbookViewId="0">
      <selection activeCell="AH2" sqref="AH2"/>
    </sheetView>
  </sheetViews>
  <sheetFormatPr defaultColWidth="2.5546875" defaultRowHeight="12.9" customHeight="1" x14ac:dyDescent="0.25"/>
  <cols>
    <col min="1" max="3" width="2.5546875" style="30" customWidth="1"/>
    <col min="4" max="4" width="3.33203125" style="30" customWidth="1"/>
    <col min="5" max="5" width="2.6640625" style="30" customWidth="1"/>
    <col min="6" max="35" width="2.5546875" style="30" customWidth="1"/>
    <col min="36" max="36" width="2.44140625" style="30" customWidth="1"/>
    <col min="37" max="16384" width="2.5546875" style="30"/>
  </cols>
  <sheetData>
    <row r="1" spans="1:40" s="1" customFormat="1" ht="15" customHeight="1" thickTop="1" x14ac:dyDescent="0.25">
      <c r="A1" s="313"/>
      <c r="B1" s="313"/>
      <c r="C1" s="313"/>
      <c r="D1" s="313"/>
      <c r="E1" s="313"/>
      <c r="F1" s="313"/>
      <c r="G1" s="313"/>
      <c r="H1" s="313"/>
      <c r="I1" s="313"/>
      <c r="J1" s="313"/>
      <c r="K1" s="313"/>
      <c r="AN1" s="259" t="s">
        <v>607</v>
      </c>
    </row>
    <row r="2" spans="1:40" s="1" customFormat="1" ht="15" customHeight="1" x14ac:dyDescent="0.25">
      <c r="A2" s="313" t="s">
        <v>22</v>
      </c>
      <c r="B2" s="313"/>
      <c r="C2" s="313"/>
      <c r="D2" s="313"/>
      <c r="E2" s="313"/>
      <c r="F2" s="313"/>
      <c r="G2" s="313"/>
      <c r="H2" s="313"/>
      <c r="I2" s="313"/>
      <c r="J2" s="313"/>
      <c r="K2" s="313"/>
      <c r="L2" s="313"/>
      <c r="M2" s="313"/>
      <c r="N2" s="313"/>
      <c r="O2" s="313"/>
      <c r="P2" s="313"/>
      <c r="Q2" s="313"/>
      <c r="AN2" s="255" t="s">
        <v>608</v>
      </c>
    </row>
    <row r="3" spans="1:40" s="32" customFormat="1" ht="12.9" customHeight="1" x14ac:dyDescent="0.2"/>
    <row r="4" spans="1:40" s="32" customFormat="1" ht="12.9" customHeight="1" x14ac:dyDescent="0.2">
      <c r="B4" s="53"/>
      <c r="C4" s="52" t="s">
        <v>357</v>
      </c>
      <c r="D4" s="136" t="s">
        <v>356</v>
      </c>
      <c r="E4" s="53"/>
      <c r="F4" s="54"/>
      <c r="I4" s="81"/>
      <c r="J4" s="54"/>
      <c r="K4" s="54"/>
      <c r="P4" s="74"/>
      <c r="Q4" s="74"/>
      <c r="R4" s="74"/>
      <c r="T4" s="53"/>
    </row>
    <row r="5" spans="1:40" s="32" customFormat="1" ht="12.9" customHeight="1" x14ac:dyDescent="0.2">
      <c r="B5" s="57"/>
      <c r="D5" s="61"/>
      <c r="E5" s="61"/>
      <c r="F5" s="61"/>
      <c r="G5" s="61"/>
      <c r="H5" s="67"/>
      <c r="I5" s="67"/>
      <c r="J5" s="67"/>
      <c r="K5" s="137"/>
      <c r="L5" s="137"/>
      <c r="M5" s="137"/>
      <c r="N5" s="137"/>
      <c r="O5" s="138"/>
      <c r="P5" s="138"/>
      <c r="Q5" s="138"/>
      <c r="R5" s="137"/>
      <c r="S5" s="137"/>
      <c r="T5" s="137"/>
      <c r="U5" s="137"/>
      <c r="V5" s="137"/>
      <c r="W5" s="137"/>
      <c r="X5" s="137"/>
      <c r="Y5" s="137"/>
      <c r="Z5" s="137"/>
      <c r="AA5" s="137"/>
      <c r="AB5" s="137"/>
      <c r="AC5" s="137"/>
      <c r="AD5" s="137"/>
      <c r="AE5" s="137"/>
      <c r="AF5" s="137"/>
      <c r="AG5" s="137"/>
      <c r="AH5" s="137"/>
      <c r="AI5" s="137"/>
    </row>
    <row r="6" spans="1:40" s="32" customFormat="1" ht="12.9" customHeight="1" x14ac:dyDescent="0.2">
      <c r="B6" s="57"/>
      <c r="D6" s="61" t="s">
        <v>141</v>
      </c>
      <c r="E6" s="61"/>
      <c r="F6" s="61"/>
      <c r="G6" s="61"/>
      <c r="H6" s="67"/>
      <c r="I6" s="67"/>
      <c r="J6" s="67"/>
      <c r="K6" s="137"/>
      <c r="L6" s="137"/>
      <c r="M6" s="137"/>
      <c r="N6" s="137"/>
      <c r="O6" s="138"/>
      <c r="P6" s="138"/>
      <c r="Q6" s="138"/>
      <c r="R6" s="137"/>
      <c r="S6" s="137"/>
      <c r="T6" s="137"/>
      <c r="U6" s="137"/>
      <c r="V6" s="137"/>
      <c r="W6" s="137"/>
      <c r="X6" s="137"/>
      <c r="Y6" s="137"/>
      <c r="Z6" s="137"/>
      <c r="AA6" s="137"/>
      <c r="AB6" s="137"/>
      <c r="AC6" s="137"/>
      <c r="AD6" s="137"/>
      <c r="AE6" s="137"/>
      <c r="AF6" s="137"/>
      <c r="AG6" s="137"/>
      <c r="AH6" s="137"/>
      <c r="AI6" s="137"/>
    </row>
    <row r="7" spans="1:40" s="32" customFormat="1" ht="12.9" customHeight="1" x14ac:dyDescent="0.2">
      <c r="B7" s="57"/>
      <c r="D7" s="61" t="s">
        <v>142</v>
      </c>
      <c r="E7" s="61"/>
      <c r="F7" s="139"/>
      <c r="G7" s="61"/>
      <c r="H7" s="67"/>
      <c r="I7" s="67"/>
      <c r="J7" s="67"/>
      <c r="K7" s="137"/>
      <c r="L7" s="137"/>
      <c r="M7" s="137"/>
      <c r="N7" s="137"/>
      <c r="O7" s="140"/>
      <c r="P7" s="140"/>
      <c r="Q7" s="140"/>
      <c r="R7" s="137"/>
      <c r="S7" s="137"/>
      <c r="T7" s="137"/>
      <c r="U7" s="137"/>
      <c r="V7" s="137"/>
      <c r="W7" s="137"/>
      <c r="X7" s="137"/>
      <c r="Y7" s="137"/>
      <c r="Z7" s="137"/>
      <c r="AA7" s="137"/>
      <c r="AB7" s="137"/>
      <c r="AC7" s="137"/>
      <c r="AD7" s="137"/>
      <c r="AE7" s="137"/>
      <c r="AF7" s="137"/>
      <c r="AG7" s="137"/>
      <c r="AH7" s="137"/>
      <c r="AI7" s="137"/>
    </row>
    <row r="8" spans="1:40" s="32" customFormat="1" ht="12.9" customHeight="1" x14ac:dyDescent="0.2">
      <c r="B8" s="53"/>
      <c r="D8" s="61"/>
      <c r="E8" s="61"/>
      <c r="F8" s="61"/>
      <c r="G8" s="61"/>
      <c r="H8" s="67"/>
      <c r="I8" s="67"/>
      <c r="J8" s="67"/>
      <c r="K8" s="137"/>
      <c r="L8" s="137"/>
      <c r="M8" s="137"/>
      <c r="N8" s="137"/>
      <c r="O8" s="138"/>
      <c r="P8" s="138"/>
      <c r="Q8" s="138"/>
      <c r="R8" s="137"/>
      <c r="S8" s="137"/>
      <c r="T8" s="137"/>
      <c r="U8" s="137"/>
      <c r="V8" s="137"/>
      <c r="W8" s="137"/>
      <c r="X8" s="137"/>
      <c r="Y8" s="137"/>
      <c r="Z8" s="137"/>
      <c r="AA8" s="137"/>
      <c r="AB8" s="137"/>
      <c r="AC8" s="137"/>
      <c r="AD8" s="137"/>
      <c r="AE8" s="137"/>
      <c r="AF8" s="137"/>
      <c r="AG8" s="137"/>
      <c r="AH8" s="137"/>
      <c r="AI8" s="137"/>
    </row>
    <row r="9" spans="1:40" s="32" customFormat="1" ht="12.9" customHeight="1" x14ac:dyDescent="0.25">
      <c r="A9" s="73"/>
      <c r="B9" s="52"/>
      <c r="D9" s="61" t="s">
        <v>143</v>
      </c>
      <c r="E9" s="141"/>
      <c r="F9" s="412">
        <f>'Sheet 9'!F9:G9</f>
        <v>0.5</v>
      </c>
      <c r="G9" s="412"/>
      <c r="H9" s="67"/>
      <c r="I9" s="67"/>
      <c r="J9" s="67"/>
      <c r="K9" s="137"/>
      <c r="L9" s="137"/>
      <c r="M9" s="54" t="s">
        <v>172</v>
      </c>
      <c r="N9" s="54"/>
      <c r="O9" s="140"/>
      <c r="P9" s="140"/>
      <c r="Q9" s="140"/>
      <c r="R9" s="137"/>
      <c r="S9" s="137"/>
      <c r="T9" s="137"/>
      <c r="U9" s="137"/>
      <c r="V9" s="137"/>
      <c r="W9" s="137"/>
      <c r="X9" s="137"/>
      <c r="Y9" s="137"/>
      <c r="Z9" s="137"/>
      <c r="AA9" s="137"/>
      <c r="AB9" s="137"/>
      <c r="AC9" s="137"/>
      <c r="AD9" s="137"/>
      <c r="AE9" s="137"/>
      <c r="AF9" s="137"/>
      <c r="AG9" s="137"/>
      <c r="AH9" s="137"/>
      <c r="AI9" s="137"/>
    </row>
    <row r="10" spans="1:40" s="32" customFormat="1" ht="12.9" customHeight="1" x14ac:dyDescent="0.2">
      <c r="B10" s="53"/>
      <c r="D10" s="142"/>
      <c r="E10" s="142"/>
      <c r="F10" s="142"/>
      <c r="G10" s="67"/>
      <c r="H10" s="67"/>
      <c r="I10" s="67"/>
      <c r="J10" s="67"/>
      <c r="K10" s="137"/>
      <c r="L10" s="137"/>
      <c r="M10" s="137"/>
      <c r="N10" s="137"/>
      <c r="O10" s="138"/>
      <c r="P10" s="138"/>
      <c r="Q10" s="138"/>
      <c r="R10" s="137"/>
      <c r="S10" s="137"/>
      <c r="T10" s="137"/>
      <c r="U10" s="137"/>
      <c r="V10" s="137"/>
      <c r="W10" s="137"/>
      <c r="X10" s="137"/>
      <c r="Y10" s="137"/>
      <c r="Z10" s="137"/>
      <c r="AA10" s="137"/>
      <c r="AB10" s="137"/>
      <c r="AC10" s="137"/>
      <c r="AD10" s="137"/>
      <c r="AE10" s="137"/>
      <c r="AF10" s="137"/>
      <c r="AG10" s="137"/>
      <c r="AH10" s="137"/>
      <c r="AI10" s="137"/>
    </row>
    <row r="11" spans="1:40" s="32" customFormat="1" ht="12.9" customHeight="1" x14ac:dyDescent="0.2">
      <c r="B11" s="53"/>
      <c r="D11" s="67" t="s">
        <v>144</v>
      </c>
      <c r="E11" s="137"/>
      <c r="F11" s="67"/>
      <c r="G11" s="67"/>
      <c r="H11" s="67"/>
      <c r="I11" s="137"/>
      <c r="J11" s="137"/>
      <c r="K11" s="137"/>
      <c r="L11" s="137"/>
      <c r="M11" s="137"/>
      <c r="N11" s="137"/>
      <c r="O11" s="143"/>
      <c r="P11" s="143"/>
      <c r="Q11" s="143"/>
      <c r="R11" s="67"/>
      <c r="S11" s="137"/>
      <c r="T11" s="137"/>
      <c r="U11" s="137"/>
      <c r="V11" s="137"/>
      <c r="W11" s="137"/>
      <c r="X11" s="137"/>
      <c r="Y11" s="137"/>
      <c r="Z11" s="137"/>
      <c r="AA11" s="137"/>
      <c r="AB11" s="137"/>
      <c r="AC11" s="137"/>
      <c r="AD11" s="137"/>
      <c r="AE11" s="137"/>
      <c r="AF11" s="137"/>
      <c r="AG11" s="137"/>
      <c r="AH11" s="137"/>
      <c r="AI11" s="137"/>
    </row>
    <row r="12" spans="1:40" s="32" customFormat="1" ht="12.9" customHeight="1" x14ac:dyDescent="0.2">
      <c r="B12" s="53"/>
      <c r="D12" s="61" t="s">
        <v>145</v>
      </c>
      <c r="E12" s="67"/>
      <c r="F12" s="67"/>
      <c r="G12" s="67"/>
      <c r="H12" s="67"/>
      <c r="I12" s="67"/>
      <c r="J12" s="67"/>
      <c r="K12" s="137"/>
      <c r="L12" s="137"/>
      <c r="M12" s="137"/>
      <c r="N12" s="137"/>
      <c r="O12" s="137"/>
      <c r="P12" s="137"/>
      <c r="Q12" s="137"/>
      <c r="R12" s="137"/>
      <c r="S12" s="137"/>
      <c r="T12" s="137"/>
      <c r="U12" s="137"/>
      <c r="V12" s="137"/>
      <c r="W12" s="137"/>
      <c r="X12" s="137"/>
      <c r="Y12" s="137"/>
      <c r="Z12" s="137"/>
      <c r="AA12" s="137"/>
      <c r="AB12" s="137"/>
      <c r="AC12" s="137"/>
      <c r="AD12" s="137"/>
      <c r="AE12" s="137"/>
      <c r="AF12" s="137"/>
      <c r="AG12" s="137"/>
      <c r="AH12" s="137"/>
      <c r="AI12" s="137"/>
    </row>
    <row r="13" spans="1:40" s="32" customFormat="1" ht="12.9" customHeight="1" x14ac:dyDescent="0.2">
      <c r="B13" s="34"/>
      <c r="D13" s="61"/>
      <c r="E13" s="67"/>
      <c r="F13" s="137"/>
      <c r="G13" s="137"/>
      <c r="H13" s="137"/>
      <c r="I13" s="67"/>
      <c r="J13" s="67"/>
      <c r="K13" s="137"/>
      <c r="L13" s="137"/>
      <c r="M13" s="137"/>
      <c r="N13" s="137"/>
      <c r="O13" s="142"/>
      <c r="P13" s="142"/>
      <c r="Q13" s="142"/>
      <c r="R13" s="137"/>
      <c r="S13" s="61"/>
      <c r="T13" s="137"/>
      <c r="U13" s="137"/>
      <c r="V13" s="137"/>
      <c r="W13" s="137"/>
      <c r="X13" s="137"/>
      <c r="Y13" s="137"/>
      <c r="Z13" s="137"/>
      <c r="AA13" s="137"/>
      <c r="AB13" s="137"/>
      <c r="AC13" s="137"/>
      <c r="AD13" s="137"/>
      <c r="AE13" s="137"/>
      <c r="AF13" s="137"/>
      <c r="AG13" s="137"/>
      <c r="AH13" s="137"/>
      <c r="AI13" s="137"/>
    </row>
    <row r="14" spans="1:40" s="32" customFormat="1" ht="12.9" customHeight="1" x14ac:dyDescent="0.2">
      <c r="B14" s="34"/>
      <c r="C14" s="34"/>
      <c r="D14" s="53" t="s">
        <v>497</v>
      </c>
      <c r="E14" s="53"/>
      <c r="F14" s="53"/>
      <c r="G14" s="53"/>
      <c r="H14" s="53"/>
      <c r="I14" s="53"/>
      <c r="J14" s="53"/>
      <c r="K14" s="53"/>
    </row>
    <row r="15" spans="1:40" s="32" customFormat="1" ht="12.9" customHeight="1" x14ac:dyDescent="0.2">
      <c r="D15" s="61"/>
      <c r="F15" s="137"/>
      <c r="G15" s="137"/>
      <c r="H15" s="137"/>
      <c r="I15" s="67"/>
      <c r="J15" s="67"/>
      <c r="K15" s="137"/>
      <c r="L15" s="137"/>
      <c r="N15" s="137"/>
      <c r="O15" s="61"/>
      <c r="P15" s="137"/>
      <c r="Q15" s="67"/>
      <c r="R15" s="137"/>
      <c r="S15" s="61"/>
      <c r="T15" s="137"/>
      <c r="U15" s="137"/>
      <c r="V15" s="67"/>
      <c r="W15" s="137"/>
      <c r="X15" s="137"/>
      <c r="Y15" s="137"/>
      <c r="Z15" s="137"/>
      <c r="AA15" s="137"/>
      <c r="AB15" s="137"/>
      <c r="AC15" s="137"/>
      <c r="AD15" s="137"/>
      <c r="AE15" s="137"/>
      <c r="AF15" s="137"/>
      <c r="AG15" s="137"/>
      <c r="AH15" s="137"/>
      <c r="AI15" s="137"/>
    </row>
    <row r="16" spans="1:40" s="32" customFormat="1" ht="12.9" customHeight="1" x14ac:dyDescent="0.2">
      <c r="B16" s="57"/>
      <c r="D16" s="61" t="s">
        <v>146</v>
      </c>
      <c r="F16" s="137"/>
      <c r="G16" s="137"/>
      <c r="H16" s="137"/>
      <c r="I16" s="67"/>
      <c r="J16" s="67"/>
      <c r="K16" s="137"/>
      <c r="L16" s="137"/>
      <c r="N16" s="137"/>
      <c r="O16" s="61"/>
      <c r="P16" s="137"/>
      <c r="Q16" s="67"/>
      <c r="R16" s="137"/>
      <c r="S16" s="61"/>
      <c r="T16" s="137"/>
      <c r="U16" s="137"/>
      <c r="V16" s="67" t="s">
        <v>147</v>
      </c>
      <c r="W16" s="137"/>
      <c r="X16" s="137"/>
      <c r="Y16" s="137"/>
      <c r="Z16" s="137"/>
      <c r="AA16" s="137"/>
      <c r="AB16" s="137"/>
      <c r="AC16" s="137"/>
      <c r="AD16" s="137"/>
      <c r="AE16" s="137"/>
    </row>
    <row r="17" spans="1:65" s="32" customFormat="1" ht="12.9" customHeight="1" x14ac:dyDescent="0.2">
      <c r="B17" s="53"/>
      <c r="D17" s="61" t="s">
        <v>498</v>
      </c>
      <c r="E17" s="67"/>
      <c r="F17" s="137"/>
      <c r="G17" s="137"/>
      <c r="H17" s="137"/>
      <c r="I17" s="67"/>
      <c r="J17" s="54"/>
      <c r="K17" s="54"/>
      <c r="L17" s="137"/>
      <c r="M17" s="137"/>
      <c r="N17" s="137"/>
      <c r="O17" s="144"/>
      <c r="P17" s="144"/>
      <c r="Q17" s="144"/>
      <c r="R17" s="137"/>
      <c r="S17" s="61"/>
      <c r="T17" s="137"/>
      <c r="U17" s="137"/>
      <c r="V17" s="46"/>
      <c r="W17" s="137"/>
      <c r="X17" s="137"/>
      <c r="Y17" s="137"/>
      <c r="Z17" s="137"/>
      <c r="AA17" s="137"/>
      <c r="AB17" s="137"/>
      <c r="AC17" s="137"/>
      <c r="AD17" s="137"/>
      <c r="AE17" s="137"/>
    </row>
    <row r="18" spans="1:65" s="32" customFormat="1" ht="12.9" customHeight="1" x14ac:dyDescent="0.2">
      <c r="B18" s="57"/>
      <c r="D18" s="61" t="s">
        <v>148</v>
      </c>
      <c r="E18" s="53"/>
      <c r="F18" s="413">
        <f>(34.5*23.5)+2*(34.5*7.7)+2*(23.5*7.7)+(3.14*7.7*7.7)</f>
        <v>1890.1206000000002</v>
      </c>
      <c r="G18" s="413"/>
      <c r="H18" s="413"/>
      <c r="I18" s="137" t="s">
        <v>149</v>
      </c>
      <c r="J18" s="53"/>
      <c r="K18" s="54"/>
    </row>
    <row r="19" spans="1:65" s="32" customFormat="1" ht="12.9" customHeight="1" x14ac:dyDescent="0.2">
      <c r="B19" s="57"/>
      <c r="D19" s="53"/>
      <c r="E19" s="53"/>
      <c r="F19" s="53"/>
      <c r="G19" s="53"/>
      <c r="H19" s="53"/>
      <c r="I19" s="54"/>
      <c r="J19" s="54"/>
      <c r="K19" s="54"/>
    </row>
    <row r="20" spans="1:65" s="32" customFormat="1" ht="12.9" customHeight="1" x14ac:dyDescent="0.2">
      <c r="B20" s="57"/>
      <c r="D20" s="61" t="s">
        <v>150</v>
      </c>
      <c r="E20" s="61"/>
      <c r="F20" s="61"/>
      <c r="G20" s="61"/>
      <c r="H20" s="61"/>
      <c r="I20" s="61"/>
      <c r="J20" s="67"/>
      <c r="K20" s="137"/>
      <c r="L20" s="137"/>
      <c r="M20" s="137"/>
      <c r="N20" s="137"/>
      <c r="O20" s="137"/>
      <c r="P20" s="137"/>
      <c r="Q20" s="137"/>
      <c r="R20" s="137"/>
      <c r="S20" s="137"/>
      <c r="T20" s="137"/>
      <c r="U20" s="137"/>
      <c r="V20" s="137"/>
      <c r="W20" s="137"/>
      <c r="X20" s="137"/>
      <c r="Y20" s="137"/>
      <c r="Z20" s="137"/>
      <c r="AA20" s="137"/>
      <c r="AB20" s="137"/>
      <c r="AC20" s="137"/>
      <c r="AD20" s="137"/>
    </row>
    <row r="21" spans="1:65" s="32" customFormat="1" ht="12.9" customHeight="1" x14ac:dyDescent="0.2">
      <c r="B21" s="53"/>
      <c r="D21" s="61" t="s">
        <v>151</v>
      </c>
      <c r="F21" s="61"/>
      <c r="G21" s="61"/>
      <c r="H21" s="61"/>
      <c r="I21" s="61"/>
      <c r="J21" s="67"/>
      <c r="K21" s="137"/>
      <c r="L21" s="137"/>
      <c r="M21" s="67" t="s">
        <v>152</v>
      </c>
      <c r="N21" s="137"/>
      <c r="O21" s="137"/>
      <c r="P21" s="137"/>
      <c r="Q21" s="137"/>
      <c r="R21" s="137"/>
      <c r="S21" s="137"/>
      <c r="T21" s="137"/>
      <c r="U21" s="137"/>
      <c r="V21" s="137"/>
      <c r="W21" s="137"/>
      <c r="X21" s="137"/>
      <c r="Y21" s="137"/>
      <c r="Z21" s="137"/>
      <c r="AA21" s="137"/>
      <c r="AB21" s="137"/>
      <c r="AC21" s="137"/>
      <c r="AD21" s="137"/>
    </row>
    <row r="22" spans="1:65" s="32" customFormat="1" ht="12.9" customHeight="1" x14ac:dyDescent="0.2">
      <c r="B22" s="53"/>
      <c r="D22" s="61" t="s">
        <v>499</v>
      </c>
      <c r="E22" s="67"/>
      <c r="F22" s="137"/>
      <c r="G22" s="137"/>
      <c r="H22" s="145"/>
      <c r="I22" s="67"/>
      <c r="J22" s="67"/>
      <c r="K22" s="137"/>
      <c r="L22" s="137"/>
      <c r="M22" s="137"/>
      <c r="N22" s="137"/>
      <c r="O22" s="142"/>
      <c r="P22" s="142"/>
      <c r="Q22" s="142"/>
      <c r="R22" s="137"/>
      <c r="S22" s="61"/>
      <c r="T22" s="137"/>
      <c r="U22" s="137"/>
      <c r="V22" s="137"/>
      <c r="W22" s="137"/>
      <c r="X22" s="137"/>
      <c r="Y22" s="137"/>
      <c r="Z22" s="137"/>
      <c r="AA22" s="137"/>
      <c r="AB22" s="137"/>
      <c r="AC22" s="137"/>
      <c r="AD22" s="137"/>
      <c r="AN22" s="53"/>
      <c r="AO22" s="53"/>
      <c r="AP22" s="53"/>
      <c r="AQ22" s="81"/>
      <c r="AR22" s="53"/>
      <c r="AY22" s="53"/>
      <c r="AZ22" s="381"/>
      <c r="BA22" s="381"/>
      <c r="BB22" s="381"/>
      <c r="BD22" s="58"/>
    </row>
    <row r="23" spans="1:65" s="32" customFormat="1" ht="12.9" customHeight="1" x14ac:dyDescent="0.2">
      <c r="B23" s="53"/>
      <c r="D23" s="61" t="s">
        <v>153</v>
      </c>
      <c r="E23" s="410">
        <f>F18*F9*10^-6</f>
        <v>9.4506030000000006E-4</v>
      </c>
      <c r="F23" s="410"/>
      <c r="G23" s="410"/>
      <c r="H23" s="145"/>
      <c r="I23" s="151" t="s">
        <v>500</v>
      </c>
      <c r="J23" s="61"/>
      <c r="K23" s="137"/>
      <c r="L23" s="137"/>
      <c r="M23" s="137"/>
      <c r="N23" s="137"/>
      <c r="O23" s="67"/>
      <c r="P23" s="137"/>
      <c r="Q23" s="137"/>
      <c r="R23" s="137"/>
      <c r="S23" s="67"/>
      <c r="T23" s="137"/>
      <c r="U23" s="137"/>
      <c r="V23" s="137"/>
      <c r="W23" s="137"/>
      <c r="X23" s="137"/>
      <c r="Y23" s="137"/>
      <c r="Z23" s="137"/>
      <c r="AA23" s="137"/>
      <c r="AB23" s="137"/>
      <c r="AC23" s="137"/>
      <c r="AD23" s="137"/>
      <c r="AN23" s="53"/>
      <c r="AO23" s="53"/>
      <c r="AP23" s="53"/>
      <c r="AQ23" s="53"/>
      <c r="AR23" s="53"/>
      <c r="AY23" s="53"/>
      <c r="AZ23" s="53"/>
      <c r="BA23" s="53"/>
    </row>
    <row r="24" spans="1:65" s="32" customFormat="1" ht="12.9" customHeight="1" x14ac:dyDescent="0.2">
      <c r="B24" s="57"/>
      <c r="D24" s="61"/>
      <c r="E24" s="61"/>
      <c r="F24" s="61"/>
      <c r="G24" s="61"/>
      <c r="H24" s="67"/>
      <c r="I24" s="67"/>
      <c r="J24" s="67"/>
      <c r="K24" s="137"/>
      <c r="L24" s="137"/>
      <c r="M24" s="137"/>
      <c r="N24" s="137"/>
      <c r="O24" s="138"/>
      <c r="P24" s="138"/>
      <c r="Q24" s="138"/>
      <c r="R24" s="137"/>
      <c r="S24" s="137"/>
      <c r="T24" s="137"/>
      <c r="U24" s="137"/>
      <c r="V24" s="137"/>
      <c r="W24" s="137"/>
      <c r="X24" s="137"/>
      <c r="Y24" s="137"/>
      <c r="Z24" s="137"/>
      <c r="AA24" s="137"/>
      <c r="AB24" s="137"/>
      <c r="AC24" s="137"/>
      <c r="AD24" s="137"/>
      <c r="AE24" s="137"/>
      <c r="AF24" s="137"/>
      <c r="AG24" s="137"/>
      <c r="AH24" s="137"/>
      <c r="AI24" s="137"/>
    </row>
    <row r="25" spans="1:65" s="32" customFormat="1" ht="12.9" customHeight="1" x14ac:dyDescent="0.2">
      <c r="B25" s="53"/>
      <c r="D25" s="53" t="s">
        <v>154</v>
      </c>
      <c r="E25" s="54"/>
      <c r="H25" s="81"/>
      <c r="I25" s="54"/>
      <c r="J25" s="54"/>
      <c r="O25" s="54"/>
      <c r="S25" s="54"/>
      <c r="AN25" s="53"/>
      <c r="AO25" s="53"/>
      <c r="AP25" s="54"/>
      <c r="AQ25" s="54"/>
      <c r="AR25" s="54"/>
      <c r="AY25" s="53"/>
      <c r="AZ25" s="57"/>
      <c r="BA25" s="53"/>
    </row>
    <row r="26" spans="1:65" s="32" customFormat="1" ht="12.9" customHeight="1" x14ac:dyDescent="0.2">
      <c r="B26" s="53"/>
      <c r="D26" s="53"/>
      <c r="E26" s="54"/>
      <c r="H26" s="81"/>
      <c r="I26" s="54"/>
      <c r="J26" s="54"/>
      <c r="O26" s="80"/>
      <c r="P26" s="80"/>
      <c r="Q26" s="80"/>
      <c r="S26" s="53"/>
      <c r="AN26" s="53"/>
      <c r="AO26" s="53"/>
      <c r="AP26" s="53"/>
      <c r="AQ26" s="53"/>
      <c r="AR26" s="53"/>
      <c r="AY26" s="53"/>
      <c r="AZ26" s="53"/>
      <c r="BA26" s="53"/>
    </row>
    <row r="27" spans="1:65" s="32" customFormat="1" ht="12.9" customHeight="1" x14ac:dyDescent="0.2">
      <c r="B27" s="53"/>
      <c r="D27" s="53" t="s">
        <v>324</v>
      </c>
      <c r="E27" s="54"/>
      <c r="F27" s="54"/>
      <c r="G27" s="54"/>
      <c r="H27" s="125"/>
      <c r="I27" s="53"/>
      <c r="J27" s="54"/>
      <c r="AN27" s="53"/>
      <c r="AO27" s="53"/>
      <c r="AP27" s="53"/>
      <c r="AQ27" s="81"/>
      <c r="AR27" s="53"/>
      <c r="AY27" s="53"/>
      <c r="AZ27" s="381"/>
      <c r="BA27" s="381"/>
      <c r="BB27" s="381"/>
      <c r="BJ27" s="403"/>
      <c r="BK27" s="403"/>
      <c r="BL27" s="403"/>
      <c r="BM27" s="403"/>
    </row>
    <row r="28" spans="1:65" s="32" customFormat="1" ht="12.9" customHeight="1" x14ac:dyDescent="0.2">
      <c r="B28" s="53"/>
      <c r="D28" s="53"/>
      <c r="E28" s="54"/>
      <c r="F28" s="54"/>
      <c r="G28" s="54"/>
      <c r="H28" s="54"/>
      <c r="I28" s="54"/>
      <c r="J28" s="60" t="s">
        <v>325</v>
      </c>
      <c r="AO28" s="53"/>
      <c r="AP28" s="53"/>
      <c r="AQ28" s="53"/>
      <c r="AR28" s="81"/>
      <c r="AS28" s="53"/>
      <c r="AT28" s="53"/>
      <c r="AU28" s="53"/>
      <c r="AV28" s="53"/>
    </row>
    <row r="29" spans="1:65" s="32" customFormat="1" ht="12.9" customHeight="1" x14ac:dyDescent="0.2">
      <c r="B29" s="53"/>
      <c r="D29" s="53"/>
      <c r="E29" s="54"/>
      <c r="F29" s="54"/>
      <c r="G29" s="54"/>
      <c r="H29" s="54"/>
      <c r="I29" s="54"/>
      <c r="J29" s="146" t="s">
        <v>155</v>
      </c>
      <c r="K29" s="411">
        <f>0.7*0.4*0.8*1*0.3</f>
        <v>6.7199999999999996E-2</v>
      </c>
      <c r="L29" s="411"/>
      <c r="M29" s="411"/>
      <c r="AN29" s="85"/>
      <c r="AO29" s="58"/>
      <c r="AP29" s="85"/>
      <c r="AQ29" s="85"/>
      <c r="AR29" s="85"/>
      <c r="AS29" s="85"/>
      <c r="AT29" s="85"/>
      <c r="AU29" s="85"/>
      <c r="AV29" s="85"/>
      <c r="AW29" s="56"/>
      <c r="AX29" s="56"/>
      <c r="AY29" s="85"/>
      <c r="AZ29" s="395"/>
      <c r="BA29" s="395"/>
      <c r="BB29" s="395"/>
      <c r="BC29" s="56"/>
      <c r="BD29" s="58"/>
      <c r="BE29" s="56"/>
    </row>
    <row r="30" spans="1:65" s="32" customFormat="1" ht="12.9" customHeight="1" x14ac:dyDescent="0.2">
      <c r="A30" s="73"/>
      <c r="B30" s="52"/>
      <c r="D30" s="53" t="s">
        <v>157</v>
      </c>
      <c r="E30" s="54"/>
      <c r="H30" s="54"/>
      <c r="I30" s="54"/>
      <c r="J30" s="54"/>
      <c r="P30" s="80"/>
      <c r="Q30" s="80"/>
      <c r="R30" s="80"/>
      <c r="S30" s="53"/>
    </row>
    <row r="31" spans="1:65" s="32" customFormat="1" ht="12.9" customHeight="1" x14ac:dyDescent="0.2"/>
    <row r="32" spans="1:65" s="32" customFormat="1" ht="12.9" customHeight="1" x14ac:dyDescent="0.2">
      <c r="B32" s="34"/>
      <c r="C32" s="34" t="s">
        <v>158</v>
      </c>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row>
    <row r="33" spans="1:36" s="32" customFormat="1" ht="12.9" customHeight="1" x14ac:dyDescent="0.2">
      <c r="B33" s="53"/>
      <c r="C33" s="53"/>
      <c r="D33" s="53"/>
      <c r="E33" s="53"/>
      <c r="F33" s="53" t="s">
        <v>159</v>
      </c>
      <c r="G33" s="406">
        <f>'Sheet 10'!$E$23</f>
        <v>9.4506030000000006E-4</v>
      </c>
      <c r="H33" s="406"/>
      <c r="I33" s="406"/>
      <c r="J33" s="126" t="s">
        <v>160</v>
      </c>
      <c r="K33" s="411">
        <f>'Sheet 10'!K29</f>
        <v>6.7199999999999996E-2</v>
      </c>
      <c r="L33" s="407"/>
      <c r="M33" s="407"/>
      <c r="AH33" s="381"/>
      <c r="AI33" s="381"/>
      <c r="AJ33" s="381"/>
    </row>
    <row r="34" spans="1:36" s="32" customFormat="1" ht="12.9" customHeight="1" x14ac:dyDescent="0.2">
      <c r="B34" s="53"/>
      <c r="F34" s="126" t="s">
        <v>42</v>
      </c>
      <c r="G34" s="398">
        <f>G33*K33</f>
        <v>6.3508052159999995E-5</v>
      </c>
      <c r="H34" s="398"/>
      <c r="I34" s="398"/>
      <c r="J34" s="398"/>
      <c r="K34" s="151" t="s">
        <v>501</v>
      </c>
    </row>
    <row r="35" spans="1:36" s="32" customFormat="1" ht="12.9" customHeight="1" x14ac:dyDescent="0.2">
      <c r="B35" s="53"/>
      <c r="F35" s="147" t="s">
        <v>42</v>
      </c>
      <c r="G35" s="124" t="s">
        <v>502</v>
      </c>
      <c r="K35" s="32" t="s">
        <v>161</v>
      </c>
      <c r="L35" s="399" t="s">
        <v>162</v>
      </c>
      <c r="M35" s="399"/>
    </row>
    <row r="36" spans="1:36" s="32" customFormat="1" ht="12.9" customHeight="1" x14ac:dyDescent="0.2">
      <c r="A36" s="137"/>
      <c r="B36" s="61"/>
    </row>
    <row r="37" spans="1:36" s="32" customFormat="1" ht="12.9" customHeight="1" x14ac:dyDescent="0.2">
      <c r="A37" s="137"/>
      <c r="B37" s="61"/>
      <c r="C37" s="32" t="s">
        <v>163</v>
      </c>
    </row>
    <row r="38" spans="1:36" s="32" customFormat="1" ht="12.9" customHeight="1" x14ac:dyDescent="0.2">
      <c r="A38" s="137"/>
      <c r="B38" s="61"/>
      <c r="C38" s="124"/>
      <c r="D38" s="64"/>
      <c r="E38" s="57"/>
      <c r="F38" s="53"/>
      <c r="G38" s="53"/>
      <c r="H38" s="53"/>
      <c r="I38" s="54"/>
      <c r="J38" s="54"/>
      <c r="O38" s="129"/>
      <c r="P38" s="129"/>
      <c r="Q38" s="129"/>
    </row>
    <row r="39" spans="1:36" s="32" customFormat="1" ht="12.9" customHeight="1" x14ac:dyDescent="0.2">
      <c r="A39" s="137"/>
      <c r="B39" s="61"/>
      <c r="C39" s="35" t="s">
        <v>504</v>
      </c>
    </row>
    <row r="40" spans="1:36" s="32" customFormat="1" ht="12.9" customHeight="1" x14ac:dyDescent="0.2">
      <c r="A40" s="137"/>
      <c r="B40" s="61"/>
      <c r="C40" s="124"/>
      <c r="D40" s="64"/>
      <c r="E40" s="57"/>
      <c r="F40" s="53"/>
      <c r="G40" s="53"/>
      <c r="H40" s="53"/>
      <c r="I40" s="54"/>
      <c r="J40" s="54"/>
      <c r="O40" s="129"/>
      <c r="P40" s="129"/>
      <c r="Q40" s="129"/>
    </row>
    <row r="41" spans="1:36" s="32" customFormat="1" ht="12.9" customHeight="1" x14ac:dyDescent="0.2">
      <c r="A41" s="137"/>
      <c r="B41" s="61"/>
      <c r="C41" s="124" t="s">
        <v>164</v>
      </c>
      <c r="D41" s="64"/>
      <c r="E41" s="57"/>
      <c r="F41" s="53"/>
      <c r="G41" s="53"/>
      <c r="H41" s="53"/>
      <c r="I41" s="54"/>
      <c r="J41" s="54"/>
      <c r="O41" s="129"/>
      <c r="P41" s="129"/>
      <c r="Q41" s="129"/>
    </row>
    <row r="42" spans="1:36" s="32" customFormat="1" ht="12.9" customHeight="1" x14ac:dyDescent="0.2">
      <c r="A42" s="137"/>
      <c r="B42" s="61"/>
      <c r="C42" s="53" t="s">
        <v>165</v>
      </c>
      <c r="D42" s="57"/>
      <c r="E42" s="57"/>
      <c r="F42" s="57"/>
      <c r="G42" s="57"/>
      <c r="H42" s="54"/>
      <c r="I42" s="54"/>
      <c r="J42" s="54"/>
    </row>
    <row r="43" spans="1:36" s="32" customFormat="1" ht="12.9" customHeight="1" x14ac:dyDescent="0.2">
      <c r="A43" s="137"/>
      <c r="B43" s="61"/>
      <c r="C43" s="53"/>
      <c r="D43" s="74"/>
      <c r="E43" s="74"/>
      <c r="F43" s="74"/>
      <c r="G43" s="57"/>
      <c r="H43" s="54"/>
      <c r="I43" s="54"/>
      <c r="J43" s="54"/>
      <c r="O43" s="129"/>
      <c r="P43" s="129"/>
      <c r="Q43" s="129"/>
      <c r="R43" s="148"/>
      <c r="T43" s="148"/>
    </row>
    <row r="44" spans="1:36" s="32" customFormat="1" ht="12.9" customHeight="1" x14ac:dyDescent="0.2">
      <c r="A44" s="137"/>
      <c r="B44" s="46"/>
      <c r="C44" s="64"/>
      <c r="D44" s="57"/>
      <c r="E44" s="61" t="s">
        <v>538</v>
      </c>
      <c r="F44" s="57"/>
      <c r="G44" s="57"/>
      <c r="H44" s="54"/>
      <c r="I44" s="54"/>
      <c r="J44" s="54"/>
      <c r="O44" s="149"/>
      <c r="P44" s="149"/>
      <c r="Q44" s="149"/>
    </row>
    <row r="45" spans="1:36" s="32" customFormat="1" ht="12.9" customHeight="1" x14ac:dyDescent="0.2">
      <c r="A45" s="137"/>
      <c r="B45" s="61"/>
      <c r="C45" s="61"/>
      <c r="D45" s="57"/>
      <c r="E45" s="61" t="s">
        <v>166</v>
      </c>
      <c r="F45" s="62"/>
      <c r="G45" s="57"/>
      <c r="H45" s="54"/>
      <c r="I45" s="54"/>
      <c r="J45" s="54"/>
      <c r="O45" s="131"/>
      <c r="P45" s="131"/>
      <c r="Q45" s="131"/>
    </row>
    <row r="46" spans="1:36" s="32" customFormat="1" ht="12.9" customHeight="1" x14ac:dyDescent="0.2">
      <c r="A46" s="137"/>
      <c r="B46" s="61"/>
      <c r="C46" s="61"/>
      <c r="D46" s="57"/>
      <c r="E46" s="61"/>
      <c r="F46" s="62"/>
      <c r="G46" s="57"/>
      <c r="H46" s="54"/>
      <c r="I46" s="54"/>
      <c r="J46" s="54"/>
      <c r="O46" s="131"/>
      <c r="P46" s="131"/>
      <c r="Q46" s="131"/>
    </row>
    <row r="47" spans="1:36" s="32" customFormat="1" ht="12.9" customHeight="1" x14ac:dyDescent="0.2">
      <c r="A47" s="137"/>
      <c r="B47" s="61"/>
      <c r="C47" s="150"/>
      <c r="D47" s="61"/>
      <c r="E47" s="61" t="s">
        <v>167</v>
      </c>
      <c r="F47" s="61"/>
      <c r="G47" s="61"/>
      <c r="H47" s="67"/>
      <c r="I47" s="67"/>
      <c r="J47" s="67"/>
      <c r="K47" s="137"/>
      <c r="L47" s="137"/>
      <c r="M47" s="137"/>
      <c r="N47" s="137"/>
      <c r="O47" s="138"/>
      <c r="P47" s="138"/>
      <c r="Q47" s="138"/>
      <c r="R47" s="137"/>
      <c r="S47" s="137"/>
      <c r="T47" s="137"/>
      <c r="U47" s="137"/>
      <c r="V47" s="137"/>
      <c r="W47" s="137"/>
      <c r="X47" s="137"/>
      <c r="Y47" s="137"/>
      <c r="Z47" s="137"/>
      <c r="AA47" s="137"/>
    </row>
    <row r="48" spans="1:36" s="32" customFormat="1" ht="12.9" customHeight="1" x14ac:dyDescent="0.25">
      <c r="A48" s="154"/>
      <c r="B48" s="136"/>
      <c r="C48" s="61"/>
      <c r="D48" s="151"/>
      <c r="E48" s="141"/>
      <c r="F48" s="137"/>
      <c r="G48" s="67"/>
      <c r="H48" s="67"/>
      <c r="I48" s="67"/>
      <c r="J48" s="67"/>
      <c r="K48" s="137"/>
      <c r="L48" s="137"/>
      <c r="M48" s="137"/>
      <c r="N48" s="137"/>
      <c r="O48" s="140"/>
      <c r="P48" s="140"/>
      <c r="Q48" s="140"/>
      <c r="R48" s="137"/>
      <c r="S48" s="137"/>
      <c r="T48" s="137"/>
      <c r="U48" s="137"/>
      <c r="V48" s="137"/>
      <c r="W48" s="137"/>
      <c r="X48" s="137"/>
      <c r="Y48" s="137"/>
      <c r="Z48" s="137"/>
      <c r="AA48" s="137"/>
    </row>
    <row r="49" spans="1:50" s="32" customFormat="1" ht="12.9" customHeight="1" x14ac:dyDescent="0.2">
      <c r="A49" s="137"/>
      <c r="B49" s="61"/>
      <c r="C49" s="61"/>
      <c r="D49" s="142"/>
      <c r="E49" s="145" t="s">
        <v>168</v>
      </c>
      <c r="G49" s="67"/>
      <c r="H49" s="67"/>
      <c r="L49" s="151" t="s">
        <v>503</v>
      </c>
      <c r="M49" s="67"/>
      <c r="N49" s="137"/>
      <c r="O49" s="137"/>
      <c r="P49" s="137"/>
      <c r="Q49" s="137"/>
      <c r="R49" s="138"/>
      <c r="S49" s="152" t="s">
        <v>124</v>
      </c>
      <c r="T49" s="415">
        <f>1+(810.75-100)/300</f>
        <v>3.3691666666666666</v>
      </c>
      <c r="U49" s="415"/>
      <c r="V49" s="153" t="s">
        <v>366</v>
      </c>
      <c r="W49" s="137"/>
      <c r="X49" s="137"/>
      <c r="Y49" s="137"/>
      <c r="Z49" s="137"/>
      <c r="AA49" s="137"/>
      <c r="AX49" s="32" t="s">
        <v>174</v>
      </c>
    </row>
    <row r="50" spans="1:50" s="32" customFormat="1" ht="12.9" customHeight="1" x14ac:dyDescent="0.2">
      <c r="A50" s="137"/>
      <c r="B50" s="61"/>
      <c r="C50" s="61"/>
      <c r="D50" s="67"/>
      <c r="E50" s="137"/>
      <c r="F50" s="67"/>
      <c r="G50" s="67"/>
      <c r="H50" s="67"/>
      <c r="I50" s="137"/>
      <c r="M50" s="405">
        <v>300</v>
      </c>
      <c r="N50" s="405"/>
      <c r="O50" s="405"/>
      <c r="P50" s="405"/>
      <c r="Q50" s="143"/>
      <c r="R50" s="67"/>
      <c r="S50" s="137"/>
      <c r="T50" s="137"/>
      <c r="U50" s="137"/>
      <c r="V50" s="137"/>
      <c r="W50" s="137"/>
      <c r="X50" s="137"/>
      <c r="Y50" s="137"/>
      <c r="Z50" s="137"/>
      <c r="AA50" s="137"/>
    </row>
    <row r="51" spans="1:50" s="32" customFormat="1" ht="12.9" customHeight="1" x14ac:dyDescent="0.2">
      <c r="A51" s="137"/>
      <c r="B51" s="61"/>
      <c r="C51" s="61"/>
      <c r="D51" s="61"/>
      <c r="E51" s="67"/>
      <c r="F51" s="67"/>
      <c r="G51" s="67"/>
      <c r="H51" s="67"/>
      <c r="I51" s="67"/>
      <c r="J51" s="67"/>
      <c r="K51" s="137"/>
      <c r="L51" s="137"/>
      <c r="M51" s="137"/>
      <c r="N51" s="137"/>
      <c r="O51" s="137"/>
      <c r="P51" s="137"/>
      <c r="Q51" s="137"/>
      <c r="R51" s="137"/>
      <c r="S51" s="137"/>
      <c r="T51" s="137"/>
      <c r="U51" s="137"/>
      <c r="V51" s="137"/>
      <c r="W51" s="137"/>
      <c r="X51" s="137"/>
      <c r="Y51" s="137"/>
      <c r="Z51" s="137"/>
      <c r="AA51" s="137"/>
    </row>
    <row r="52" spans="1:50" s="32" customFormat="1" ht="12.9" customHeight="1" x14ac:dyDescent="0.2">
      <c r="B52" s="53"/>
      <c r="C52" s="46"/>
      <c r="D52" s="61"/>
      <c r="E52" s="61" t="s">
        <v>169</v>
      </c>
      <c r="F52" s="137"/>
      <c r="G52" s="137"/>
      <c r="H52" s="137"/>
      <c r="I52" s="67"/>
      <c r="J52" s="67"/>
      <c r="K52" s="137"/>
      <c r="L52" s="137"/>
      <c r="M52" s="137"/>
      <c r="N52" s="137"/>
      <c r="O52" s="142"/>
      <c r="P52" s="142"/>
      <c r="Q52" s="142"/>
      <c r="R52" s="137"/>
      <c r="S52" s="61"/>
      <c r="T52" s="137"/>
      <c r="U52" s="137"/>
      <c r="V52" s="137"/>
      <c r="W52" s="137"/>
      <c r="X52" s="137"/>
      <c r="Y52" s="137"/>
      <c r="Z52" s="137"/>
      <c r="AA52" s="137"/>
    </row>
    <row r="53" spans="1:50" s="32" customFormat="1" ht="12.9" customHeight="1" x14ac:dyDescent="0.2">
      <c r="B53" s="53"/>
      <c r="C53" s="46"/>
      <c r="D53" s="61"/>
      <c r="E53" s="67"/>
      <c r="F53" s="137"/>
      <c r="G53" s="207" t="s">
        <v>535</v>
      </c>
      <c r="H53" s="137"/>
      <c r="I53" s="67"/>
      <c r="J53" s="67"/>
      <c r="K53" s="137"/>
      <c r="L53" s="137"/>
      <c r="M53" s="137"/>
      <c r="N53" s="137"/>
      <c r="O53" s="61"/>
      <c r="P53" s="137"/>
      <c r="Q53" s="67"/>
      <c r="R53" s="137"/>
      <c r="S53" s="61"/>
      <c r="T53" s="403">
        <f>(2*34.5)+(2*23.5)</f>
        <v>116</v>
      </c>
      <c r="U53" s="403"/>
      <c r="V53" s="403"/>
      <c r="W53" s="128"/>
      <c r="X53" s="128"/>
      <c r="Y53" s="137"/>
      <c r="Z53" s="137"/>
      <c r="AA53" s="137"/>
    </row>
    <row r="54" spans="1:50" s="32" customFormat="1" ht="12.9" customHeight="1" x14ac:dyDescent="0.2">
      <c r="B54" s="57"/>
      <c r="C54" s="53"/>
      <c r="D54" s="53"/>
      <c r="E54" s="54"/>
      <c r="I54" s="54"/>
      <c r="J54" s="54"/>
      <c r="O54" s="402"/>
      <c r="P54" s="402"/>
      <c r="Q54" s="402"/>
      <c r="S54" s="53"/>
      <c r="V54" s="34"/>
    </row>
    <row r="55" spans="1:50" s="32" customFormat="1" ht="12.9" customHeight="1" x14ac:dyDescent="0.2">
      <c r="B55" s="57"/>
      <c r="C55" s="53"/>
      <c r="D55" s="53"/>
      <c r="E55" s="53"/>
      <c r="F55" s="145" t="s">
        <v>170</v>
      </c>
      <c r="G55" s="53"/>
      <c r="H55" s="53"/>
      <c r="I55" s="53"/>
      <c r="J55" s="54"/>
      <c r="O55" s="414">
        <f>T53</f>
        <v>116</v>
      </c>
      <c r="P55" s="414"/>
      <c r="Q55" s="414"/>
      <c r="T55" s="63" t="s">
        <v>42</v>
      </c>
      <c r="U55" s="412">
        <f>O55/30</f>
        <v>3.8666666666666667</v>
      </c>
      <c r="V55" s="412"/>
      <c r="W55" s="153" t="s">
        <v>366</v>
      </c>
    </row>
    <row r="56" spans="1:50" s="32" customFormat="1" ht="12.9" customHeight="1" x14ac:dyDescent="0.2">
      <c r="B56" s="53"/>
      <c r="C56" s="53"/>
      <c r="D56" s="53"/>
      <c r="E56" s="53"/>
      <c r="F56" s="53"/>
      <c r="G56" s="53"/>
      <c r="H56" s="53"/>
      <c r="I56" s="53"/>
      <c r="J56" s="54"/>
      <c r="O56" s="400">
        <v>30</v>
      </c>
      <c r="P56" s="400"/>
      <c r="Q56" s="400"/>
    </row>
    <row r="57" spans="1:50" s="32" customFormat="1" ht="12.9" customHeight="1" x14ac:dyDescent="0.2">
      <c r="A57" s="73"/>
      <c r="B57" s="52"/>
      <c r="C57" s="53"/>
      <c r="D57" s="34" t="s">
        <v>573</v>
      </c>
      <c r="E57" s="53"/>
      <c r="F57" s="53"/>
      <c r="G57" s="53"/>
      <c r="H57" s="53"/>
      <c r="I57" s="53"/>
      <c r="J57" s="54"/>
    </row>
    <row r="58" spans="1:50" s="32" customFormat="1" ht="12.9" customHeight="1" x14ac:dyDescent="0.2">
      <c r="B58" s="53"/>
      <c r="C58" s="53"/>
      <c r="D58" s="34" t="s">
        <v>545</v>
      </c>
      <c r="E58" s="54"/>
      <c r="H58" s="81"/>
      <c r="I58" s="54"/>
      <c r="J58" s="54"/>
      <c r="O58" s="74"/>
      <c r="P58" s="74"/>
      <c r="Q58" s="74"/>
      <c r="S58" s="53"/>
    </row>
    <row r="59" spans="1:50" s="32" customFormat="1" ht="12.9" customHeight="1" x14ac:dyDescent="0.2">
      <c r="A59" s="137"/>
      <c r="B59" s="61"/>
    </row>
    <row r="60" spans="1:50" s="2" customFormat="1" ht="15.6" x14ac:dyDescent="0.3">
      <c r="A60" s="158"/>
      <c r="B60" s="158"/>
      <c r="C60" s="158"/>
      <c r="D60" s="158"/>
      <c r="E60" s="22"/>
      <c r="F60" s="22"/>
      <c r="G60" s="22"/>
      <c r="H60" s="22"/>
      <c r="I60" s="22"/>
      <c r="J60" s="159"/>
      <c r="K60" s="159"/>
      <c r="L60" s="159"/>
      <c r="M60" s="159"/>
      <c r="N60" s="159"/>
      <c r="O60" s="159"/>
      <c r="P60" s="159"/>
      <c r="Q60" s="159"/>
      <c r="R60" s="332"/>
      <c r="S60" s="332"/>
      <c r="T60" s="332"/>
      <c r="U60" s="332"/>
      <c r="V60" s="332"/>
      <c r="W60" s="332"/>
      <c r="X60" s="332"/>
      <c r="Y60" s="332"/>
      <c r="Z60" s="332"/>
      <c r="AA60" s="332"/>
      <c r="AB60" s="341" t="s">
        <v>2</v>
      </c>
      <c r="AC60" s="341"/>
      <c r="AD60" s="341">
        <v>4</v>
      </c>
      <c r="AE60" s="341"/>
      <c r="AF60" s="341" t="s">
        <v>177</v>
      </c>
      <c r="AG60" s="341"/>
      <c r="AH60" s="341">
        <v>7</v>
      </c>
      <c r="AI60" s="341"/>
      <c r="AJ60" s="332"/>
      <c r="AK60" s="332"/>
    </row>
    <row r="61" spans="1:50" s="2" customFormat="1" ht="15.75" customHeight="1" x14ac:dyDescent="0.3">
      <c r="A61" s="340"/>
      <c r="B61" s="340"/>
      <c r="C61" s="340"/>
      <c r="D61" s="340"/>
      <c r="E61" s="340"/>
      <c r="F61" s="23"/>
      <c r="G61" s="23"/>
      <c r="H61" s="23"/>
      <c r="I61" s="23"/>
      <c r="J61" s="23"/>
      <c r="K61" s="23"/>
    </row>
    <row r="62" spans="1:50" s="2" customFormat="1" ht="12.75" customHeight="1" x14ac:dyDescent="0.25">
      <c r="A62" s="30"/>
      <c r="B62" s="66"/>
      <c r="C62" s="34"/>
      <c r="D62" s="66"/>
      <c r="E62" s="66"/>
      <c r="F62" s="66"/>
      <c r="G62" s="66"/>
      <c r="H62" s="66"/>
      <c r="I62" s="66"/>
      <c r="J62"/>
      <c r="K62" s="30"/>
    </row>
  </sheetData>
  <sheetProtection formatCells="0" formatColumns="0" formatRows="0"/>
  <protectedRanges>
    <protectedRange sqref="A3:AK3 A80:AK1550" name="Range2"/>
    <protectedRange sqref="A63:AK79 T5:AK5 Q5:R5 A5:O5" name="Range2_8_1"/>
    <protectedRange sqref="A61:AK62 A60:AG60 AJ60:AK60" name="Range2_4_1_2_1"/>
    <protectedRange sqref="B6:B14 A4:B4 A24:B24 A6:A15" name="Range2_10_3"/>
    <protectedRange sqref="N24:P24 E14:AI14 C24:F24 AJ6:AK15 I24:K24 C14 D4:F4 N4:P4 R4:AK4 I4:K4 R24:AK24" name="Range2_8_1_1"/>
    <protectedRange sqref="C4" name="Range2_3_1_2"/>
    <protectedRange sqref="O12:S12 O11 F8 I6:J10 I12:J12 H6:H12 F6 O7 O6:P6 O8:P10 R6:R11 Q6:Q8 Q10 O15 E12:E13 M9 E6:E8 E10 S15:AI15 G6:G8 F10:G12 K6:L12 M6:N8 M10:N12 Q15 T6:AI13 O13 D6:D13 I13:L13 Q13 S13 D15 I15:L15" name="Range2_4_1_2"/>
    <protectedRange sqref="F7" name="Range2_3_1_1_1"/>
    <protectedRange sqref="E9" name="Range2_4_1_1_1"/>
    <protectedRange sqref="D14" name="Range2_9_1"/>
    <protectedRange sqref="A16:B23 BQ22:BW23 AF17:AJ19 AF16:AK16 AK17:AK23" name="Range2_11_1"/>
    <protectedRange sqref="D19:AE19 BH22:BP23" name="Range2_1_2"/>
    <protectedRange sqref="AW22:BG23 AN22:AR23" name="Range2_2_2"/>
    <protectedRange sqref="E18:H18 J18:AE18" name="Range2_9_2"/>
    <protectedRange sqref="E17 D16:D18 Q16:Q17 S16:AE17 O16:O17 I16:L17" name="Range2_4_1_3"/>
    <protectedRange sqref="I18" name="Range2_7_1_1"/>
    <protectedRange sqref="AG20:AJ23 AE20:AF21 AF22:AF23" name="Range2_10_1_1"/>
    <protectedRange sqref="AE22:AE23" name="Range2_1_1_1"/>
    <protectedRange sqref="H22:J22 F20:L21 T20:AD23 P20:S21 E20 E22:E23 D20:D23 H23 J23 Q22:S23 M20:O23" name="Range2_7_2_1_1"/>
    <protectedRange sqref="I23" name="Range2_7_2_2"/>
    <protectedRange sqref="AH60:AI60" name="Range2_4_1_2_1_1"/>
    <protectedRange sqref="B27:B29 A26:A29 BQ26:BR28 AK25:AK29 A25:B25 BQ25:BW25 BS26:BW29" name="Range2_11_2"/>
    <protectedRange sqref="BH25:BP28 AY28:BG28 AO28:AX29" name="Range2_1_2_1"/>
    <protectedRange sqref="AN27 AY29:BB29 AW25:BG27 AO26:AR27 AN25:AR25 AN29" name="Range2_2_2_1"/>
    <protectedRange sqref="AF25:AJ29" name="Range2_10_1_2"/>
    <protectedRange sqref="AE25:AE29" name="Range2_1_1_1_2"/>
    <protectedRange sqref="M25:O26 H25:J26 D25:E26 Q25:AD26 Z27:AD29" name="Range2_7_2_1_2"/>
    <protectedRange sqref="D27:Y29" name="Range2_7_2_3"/>
    <protectedRange sqref="A31:AK31" name="Range2_1"/>
    <protectedRange sqref="AK30" name="Range2_11_2_1"/>
    <protectedRange sqref="A30:B30" name="Range2_5_3"/>
    <protectedRange sqref="AF30:AJ30" name="Range2_10_1_2_1"/>
    <protectedRange sqref="AE30" name="Range2_1_1_1_2_1"/>
    <protectedRange sqref="D30:E30 U30:AD30 O30:P30 R30:S30 H30:L30" name="Range2_7_2_1_2_1"/>
    <protectedRange sqref="A59:B59 AK59 AK32:AK58 A32:B58" name="Range2_11_3"/>
    <protectedRange sqref="F50:F51 P55:S57 H40:H51 E49 O43 AG59:AJ59 AE32:AF32 G42:G51 F42:F44 O42:P42 O45:O46 O44:P44 Q42:Q47 R42:S42 S52:S54 Q52:Q54 I52:L54 I51:S51 F47 E42:E47 L40:N49 F55:L57 O49:U49 W49:Y49 Z42:AF53 T42:Y48 T50:Y53 I40:K48 O50:P50 R43:R48 R50 O47:P48 W54 D42:D56 O52:O58 H58:J58 T54:V58 W56:W58 X54:AJ58 M55:N58 Q58:S58 E51:E58 AG32:AJ53 H38:N38 C44:C58" name="Range2_10_1_3"/>
    <protectedRange sqref="AD32" name="Range2_1_1_1_1_1"/>
    <protectedRange sqref="D40:G41 F45:F46 D38:G38" name="Range2_3_1_3_1"/>
    <protectedRange sqref="E48" name="Range2_4_2_1_1_1"/>
    <protectedRange sqref="D32:AC33 C59:AC59 D34:J34 L34:AC34 D35:AC37 D39:AC39 C32:C37" name="Range2_7_2_1_3"/>
    <protectedRange sqref="C42:C43" name="Range2_6_1_1_1"/>
    <protectedRange sqref="K34" name="Range2_7_2_4"/>
    <protectedRange sqref="D57:D58" name="Range2_10_4"/>
  </protectedRanges>
  <mergeCells count="33">
    <mergeCell ref="BJ27:BM27"/>
    <mergeCell ref="K29:M29"/>
    <mergeCell ref="AZ29:BB29"/>
    <mergeCell ref="AZ22:BB22"/>
    <mergeCell ref="E23:G23"/>
    <mergeCell ref="AZ27:BB27"/>
    <mergeCell ref="AH60:AI60"/>
    <mergeCell ref="AJ60:AK60"/>
    <mergeCell ref="AB60:AC60"/>
    <mergeCell ref="AD60:AE60"/>
    <mergeCell ref="X60:Y60"/>
    <mergeCell ref="Z60:AA60"/>
    <mergeCell ref="A61:E61"/>
    <mergeCell ref="A1:K1"/>
    <mergeCell ref="A2:Q2"/>
    <mergeCell ref="R60:S60"/>
    <mergeCell ref="AF60:AG60"/>
    <mergeCell ref="T60:U60"/>
    <mergeCell ref="V60:W60"/>
    <mergeCell ref="F9:G9"/>
    <mergeCell ref="F18:H18"/>
    <mergeCell ref="G33:I33"/>
    <mergeCell ref="K33:M33"/>
    <mergeCell ref="AH33:AJ33"/>
    <mergeCell ref="G34:J34"/>
    <mergeCell ref="O55:Q55"/>
    <mergeCell ref="U55:V55"/>
    <mergeCell ref="O56:Q56"/>
    <mergeCell ref="L35:M35"/>
    <mergeCell ref="T49:U49"/>
    <mergeCell ref="M50:P50"/>
    <mergeCell ref="T53:V53"/>
    <mergeCell ref="O54:Q54"/>
  </mergeCells>
  <hyperlinks>
    <hyperlink ref="AN1" r:id="rId1" xr:uid="{59D16A19-DC43-4988-9B5E-6FCE8D3E05F9}"/>
  </hyperlinks>
  <pageMargins left="0.25" right="0.25" top="0.75" bottom="0.75" header="0.3" footer="0.3"/>
  <pageSetup paperSize="9" scale="95" orientation="portrait" r:id="rId2"/>
  <headerFooter alignWithMargins="0">
    <oddHeader xml:space="preserve">&amp;R
</oddHeader>
  </headerFooter>
  <drawing r:id="rId3"/>
  <legacyDrawingHF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indexed="45"/>
  </sheetPr>
  <dimension ref="A1:BM62"/>
  <sheetViews>
    <sheetView zoomScale="150" zoomScaleNormal="150" zoomScaleSheetLayoutView="160" workbookViewId="0">
      <selection activeCell="AD1" sqref="AD1"/>
    </sheetView>
  </sheetViews>
  <sheetFormatPr defaultColWidth="2.5546875" defaultRowHeight="12.9" customHeight="1" x14ac:dyDescent="0.25"/>
  <cols>
    <col min="1" max="3" width="2.5546875" style="30" customWidth="1"/>
    <col min="4" max="4" width="3.33203125" style="30" customWidth="1"/>
    <col min="5" max="5" width="2.6640625" style="30" customWidth="1"/>
    <col min="6" max="35" width="2.5546875" style="30" customWidth="1"/>
    <col min="36" max="36" width="2.44140625" style="30" customWidth="1"/>
    <col min="37" max="16384" width="2.5546875" style="30"/>
  </cols>
  <sheetData>
    <row r="1" spans="1:38" s="1" customFormat="1" ht="15" customHeight="1" thickTop="1" x14ac:dyDescent="0.25">
      <c r="A1" s="313"/>
      <c r="B1" s="313"/>
      <c r="C1" s="313"/>
      <c r="D1" s="313"/>
      <c r="E1" s="313"/>
      <c r="F1" s="313"/>
      <c r="G1" s="313"/>
      <c r="H1" s="313"/>
      <c r="I1" s="313"/>
      <c r="J1" s="313"/>
      <c r="K1" s="313"/>
      <c r="AL1" s="259" t="s">
        <v>607</v>
      </c>
    </row>
    <row r="2" spans="1:38" s="1" customFormat="1" ht="15" customHeight="1" x14ac:dyDescent="0.25">
      <c r="A2" s="313" t="s">
        <v>22</v>
      </c>
      <c r="B2" s="313"/>
      <c r="C2" s="313"/>
      <c r="D2" s="313"/>
      <c r="E2" s="313"/>
      <c r="F2" s="313"/>
      <c r="G2" s="313"/>
      <c r="H2" s="313"/>
      <c r="I2" s="313"/>
      <c r="J2" s="313"/>
      <c r="K2" s="313"/>
      <c r="L2" s="313"/>
      <c r="M2" s="313"/>
      <c r="N2" s="313"/>
      <c r="O2" s="313"/>
      <c r="P2" s="313"/>
      <c r="Q2" s="313"/>
      <c r="AL2" s="255" t="s">
        <v>608</v>
      </c>
    </row>
    <row r="3" spans="1:38" s="32" customFormat="1" ht="12.9" customHeight="1" x14ac:dyDescent="0.2"/>
    <row r="4" spans="1:38" s="32" customFormat="1" ht="12.9" customHeight="1" x14ac:dyDescent="0.2">
      <c r="B4" s="53"/>
      <c r="C4" s="52" t="s">
        <v>282</v>
      </c>
      <c r="D4" s="136" t="s">
        <v>526</v>
      </c>
      <c r="E4" s="53"/>
      <c r="F4" s="54"/>
      <c r="I4" s="81"/>
      <c r="J4" s="54"/>
      <c r="K4" s="54"/>
      <c r="P4" s="74"/>
      <c r="Q4" s="74"/>
      <c r="R4" s="74"/>
      <c r="T4" s="53"/>
    </row>
    <row r="5" spans="1:38" s="32" customFormat="1" ht="12.9" customHeight="1" x14ac:dyDescent="0.2">
      <c r="B5" s="57"/>
      <c r="D5" s="61"/>
      <c r="E5" s="61"/>
      <c r="F5" s="61"/>
      <c r="G5" s="61"/>
      <c r="H5" s="67"/>
      <c r="I5" s="67"/>
      <c r="J5" s="67"/>
      <c r="K5" s="137"/>
      <c r="L5" s="137"/>
      <c r="M5" s="137"/>
      <c r="N5" s="137"/>
      <c r="O5" s="138"/>
      <c r="P5" s="138"/>
      <c r="Q5" s="138"/>
      <c r="R5" s="137"/>
      <c r="S5" s="137"/>
      <c r="T5" s="137"/>
      <c r="U5" s="137"/>
      <c r="V5" s="137"/>
      <c r="W5" s="137"/>
      <c r="X5" s="137"/>
      <c r="Y5" s="137"/>
      <c r="Z5" s="137"/>
      <c r="AA5" s="137"/>
      <c r="AB5" s="137"/>
      <c r="AC5" s="137"/>
      <c r="AD5" s="137"/>
      <c r="AE5" s="137"/>
      <c r="AF5" s="137"/>
      <c r="AG5" s="137"/>
      <c r="AH5" s="137"/>
      <c r="AI5" s="137"/>
    </row>
    <row r="6" spans="1:38" s="32" customFormat="1" ht="12.9" customHeight="1" x14ac:dyDescent="0.2">
      <c r="B6" s="57"/>
      <c r="D6" s="61" t="s">
        <v>141</v>
      </c>
      <c r="E6" s="61"/>
      <c r="F6" s="61"/>
      <c r="G6" s="61"/>
      <c r="H6" s="67"/>
      <c r="I6" s="67"/>
      <c r="J6" s="67"/>
      <c r="K6" s="137"/>
      <c r="L6" s="137"/>
      <c r="M6" s="137"/>
      <c r="N6" s="137"/>
      <c r="O6" s="138"/>
      <c r="P6" s="138"/>
      <c r="Q6" s="138"/>
      <c r="R6" s="137"/>
      <c r="S6" s="137"/>
      <c r="T6" s="137"/>
      <c r="U6" s="137"/>
      <c r="V6" s="137"/>
      <c r="W6" s="137"/>
      <c r="X6" s="137"/>
      <c r="Y6" s="137"/>
      <c r="Z6" s="137"/>
      <c r="AA6" s="137"/>
      <c r="AB6" s="137"/>
      <c r="AC6" s="137"/>
      <c r="AD6" s="137"/>
      <c r="AE6" s="137"/>
      <c r="AF6" s="137"/>
      <c r="AG6" s="137"/>
      <c r="AH6" s="137"/>
      <c r="AI6" s="137"/>
    </row>
    <row r="7" spans="1:38" s="32" customFormat="1" ht="12.9" customHeight="1" x14ac:dyDescent="0.2">
      <c r="B7" s="57"/>
      <c r="D7" s="61" t="s">
        <v>142</v>
      </c>
      <c r="E7" s="61"/>
      <c r="F7" s="139"/>
      <c r="G7" s="61"/>
      <c r="H7" s="67"/>
      <c r="I7" s="67"/>
      <c r="J7" s="67"/>
      <c r="K7" s="137"/>
      <c r="L7" s="137"/>
      <c r="M7" s="137"/>
      <c r="N7" s="137"/>
      <c r="O7" s="140"/>
      <c r="P7" s="140"/>
      <c r="Q7" s="140"/>
      <c r="R7" s="137"/>
      <c r="S7" s="137"/>
      <c r="T7" s="137"/>
      <c r="U7" s="137"/>
      <c r="V7" s="137"/>
      <c r="W7" s="137"/>
      <c r="X7" s="137"/>
      <c r="Y7" s="137"/>
      <c r="Z7" s="137"/>
      <c r="AA7" s="137"/>
      <c r="AB7" s="137"/>
      <c r="AC7" s="137"/>
      <c r="AD7" s="137"/>
      <c r="AE7" s="137"/>
      <c r="AF7" s="137"/>
      <c r="AG7" s="137"/>
      <c r="AH7" s="137"/>
      <c r="AI7" s="137"/>
    </row>
    <row r="8" spans="1:38" s="32" customFormat="1" ht="12.9" customHeight="1" x14ac:dyDescent="0.2">
      <c r="B8" s="53"/>
      <c r="D8" s="61"/>
      <c r="E8" s="61"/>
      <c r="F8" s="61"/>
      <c r="G8" s="61"/>
      <c r="H8" s="67"/>
      <c r="I8" s="67"/>
      <c r="J8" s="67"/>
      <c r="K8" s="137"/>
      <c r="L8" s="137"/>
      <c r="M8" s="137"/>
      <c r="N8" s="137"/>
      <c r="O8" s="138"/>
      <c r="P8" s="138"/>
      <c r="Q8" s="138"/>
      <c r="R8" s="137"/>
      <c r="S8" s="137"/>
      <c r="T8" s="137"/>
      <c r="U8" s="137"/>
      <c r="V8" s="137"/>
      <c r="W8" s="137"/>
      <c r="X8" s="137"/>
      <c r="Y8" s="137"/>
      <c r="Z8" s="137"/>
      <c r="AA8" s="137"/>
      <c r="AB8" s="137"/>
      <c r="AC8" s="137"/>
      <c r="AD8" s="137"/>
      <c r="AE8" s="137"/>
      <c r="AF8" s="137"/>
      <c r="AG8" s="137"/>
      <c r="AH8" s="137"/>
      <c r="AI8" s="137"/>
    </row>
    <row r="9" spans="1:38" s="32" customFormat="1" ht="12.9" customHeight="1" x14ac:dyDescent="0.25">
      <c r="A9" s="73"/>
      <c r="B9" s="52"/>
      <c r="D9" s="61" t="s">
        <v>143</v>
      </c>
      <c r="E9" s="141"/>
      <c r="F9" s="412">
        <f>'Sheet 9'!F9:G9</f>
        <v>0.5</v>
      </c>
      <c r="G9" s="412"/>
      <c r="H9" s="67"/>
      <c r="I9" s="67"/>
      <c r="J9" s="67"/>
      <c r="K9" s="137"/>
      <c r="L9" s="137"/>
      <c r="M9" s="54" t="s">
        <v>172</v>
      </c>
      <c r="N9" s="54"/>
      <c r="O9" s="140"/>
      <c r="P9" s="140"/>
      <c r="Q9" s="140"/>
      <c r="R9" s="137"/>
      <c r="S9" s="137"/>
      <c r="T9" s="137"/>
      <c r="U9" s="137"/>
      <c r="V9" s="137"/>
      <c r="W9" s="137"/>
      <c r="X9" s="137"/>
      <c r="Y9" s="137"/>
      <c r="Z9" s="137"/>
      <c r="AA9" s="137"/>
      <c r="AB9" s="137"/>
      <c r="AC9" s="137"/>
      <c r="AD9" s="137"/>
      <c r="AE9" s="137"/>
      <c r="AF9" s="137"/>
      <c r="AG9" s="137"/>
      <c r="AH9" s="137"/>
      <c r="AI9" s="137"/>
    </row>
    <row r="10" spans="1:38" s="32" customFormat="1" ht="12.9" customHeight="1" x14ac:dyDescent="0.2">
      <c r="B10" s="53"/>
      <c r="D10" s="142"/>
      <c r="E10" s="142"/>
      <c r="F10" s="142"/>
      <c r="G10" s="67"/>
      <c r="H10" s="67"/>
      <c r="I10" s="67"/>
      <c r="J10" s="67"/>
      <c r="K10" s="137"/>
      <c r="L10" s="137"/>
      <c r="M10" s="137"/>
      <c r="N10" s="137"/>
      <c r="O10" s="138"/>
      <c r="P10" s="138"/>
      <c r="Q10" s="138"/>
      <c r="R10" s="137"/>
      <c r="S10" s="137"/>
      <c r="T10" s="137"/>
      <c r="U10" s="137"/>
      <c r="V10" s="137"/>
      <c r="W10" s="137"/>
      <c r="X10" s="137"/>
      <c r="Y10" s="137"/>
      <c r="Z10" s="137"/>
      <c r="AA10" s="137"/>
      <c r="AB10" s="137"/>
      <c r="AC10" s="137"/>
      <c r="AD10" s="137"/>
      <c r="AE10" s="137"/>
      <c r="AF10" s="137"/>
      <c r="AG10" s="137"/>
      <c r="AH10" s="137"/>
      <c r="AI10" s="137"/>
    </row>
    <row r="11" spans="1:38" s="32" customFormat="1" ht="12.9" customHeight="1" x14ac:dyDescent="0.2">
      <c r="B11" s="53"/>
      <c r="D11" s="67" t="s">
        <v>144</v>
      </c>
      <c r="E11" s="137"/>
      <c r="F11" s="67"/>
      <c r="G11" s="67"/>
      <c r="H11" s="67"/>
      <c r="I11" s="137"/>
      <c r="J11" s="137"/>
      <c r="K11" s="137"/>
      <c r="L11" s="137"/>
      <c r="M11" s="137"/>
      <c r="N11" s="137"/>
      <c r="O11" s="143"/>
      <c r="P11" s="143"/>
      <c r="Q11" s="143"/>
      <c r="R11" s="67"/>
      <c r="S11" s="137"/>
      <c r="T11" s="137"/>
      <c r="U11" s="137"/>
      <c r="V11" s="137"/>
      <c r="W11" s="137"/>
      <c r="X11" s="137"/>
      <c r="Y11" s="137"/>
      <c r="Z11" s="137"/>
      <c r="AA11" s="137"/>
      <c r="AB11" s="137"/>
      <c r="AC11" s="137"/>
      <c r="AD11" s="137"/>
      <c r="AE11" s="137"/>
      <c r="AF11" s="137"/>
      <c r="AG11" s="137"/>
      <c r="AH11" s="137"/>
      <c r="AI11" s="137"/>
    </row>
    <row r="12" spans="1:38" s="32" customFormat="1" ht="12.9" customHeight="1" x14ac:dyDescent="0.2">
      <c r="B12" s="53"/>
      <c r="D12" s="61" t="s">
        <v>145</v>
      </c>
      <c r="E12" s="67"/>
      <c r="F12" s="67"/>
      <c r="G12" s="67"/>
      <c r="H12" s="67"/>
      <c r="I12" s="67"/>
      <c r="J12" s="67"/>
      <c r="K12" s="137"/>
      <c r="L12" s="137"/>
      <c r="M12" s="137"/>
      <c r="N12" s="137"/>
      <c r="O12" s="137"/>
      <c r="P12" s="137"/>
      <c r="Q12" s="137"/>
      <c r="R12" s="137"/>
      <c r="S12" s="137"/>
      <c r="T12" s="137"/>
      <c r="U12" s="137"/>
      <c r="V12" s="137"/>
      <c r="W12" s="137"/>
      <c r="X12" s="137"/>
      <c r="Y12" s="137"/>
      <c r="Z12" s="137"/>
      <c r="AA12" s="137"/>
      <c r="AB12" s="137"/>
      <c r="AC12" s="137"/>
      <c r="AD12" s="137"/>
      <c r="AE12" s="137"/>
      <c r="AF12" s="137"/>
      <c r="AG12" s="137"/>
      <c r="AH12" s="137"/>
      <c r="AI12" s="137"/>
    </row>
    <row r="13" spans="1:38" s="32" customFormat="1" ht="12.9" customHeight="1" x14ac:dyDescent="0.2">
      <c r="B13" s="34"/>
      <c r="D13" s="61"/>
      <c r="E13" s="67"/>
      <c r="F13" s="137"/>
      <c r="G13" s="137"/>
      <c r="H13" s="137"/>
      <c r="I13" s="67"/>
      <c r="J13" s="67"/>
      <c r="K13" s="137"/>
      <c r="L13" s="137"/>
      <c r="M13" s="137"/>
      <c r="N13" s="137"/>
      <c r="O13" s="142"/>
      <c r="P13" s="142"/>
      <c r="Q13" s="142"/>
      <c r="R13" s="137"/>
      <c r="S13" s="61"/>
      <c r="T13" s="137"/>
      <c r="U13" s="137"/>
      <c r="V13" s="137"/>
      <c r="W13" s="137"/>
      <c r="X13" s="137"/>
      <c r="Y13" s="137"/>
      <c r="Z13" s="137"/>
      <c r="AA13" s="137"/>
      <c r="AB13" s="137"/>
      <c r="AC13" s="137"/>
      <c r="AD13" s="137"/>
      <c r="AE13" s="137"/>
      <c r="AF13" s="137"/>
      <c r="AG13" s="137"/>
      <c r="AH13" s="137"/>
      <c r="AI13" s="137"/>
    </row>
    <row r="14" spans="1:38" s="32" customFormat="1" ht="12.9" customHeight="1" x14ac:dyDescent="0.2">
      <c r="B14" s="34"/>
      <c r="C14" s="34"/>
      <c r="D14" s="53" t="s">
        <v>527</v>
      </c>
      <c r="E14" s="53"/>
      <c r="F14" s="53"/>
      <c r="G14" s="53"/>
      <c r="H14" s="53"/>
      <c r="I14" s="53"/>
      <c r="J14" s="53"/>
      <c r="K14" s="53"/>
    </row>
    <row r="15" spans="1:38" s="32" customFormat="1" ht="12.9" customHeight="1" x14ac:dyDescent="0.2">
      <c r="D15" s="61"/>
      <c r="F15" s="137"/>
      <c r="G15" s="137"/>
      <c r="H15" s="137"/>
      <c r="I15" s="67"/>
      <c r="J15" s="67"/>
      <c r="K15" s="137"/>
      <c r="L15" s="137"/>
      <c r="N15" s="137"/>
      <c r="O15" s="61"/>
      <c r="P15" s="137"/>
      <c r="Q15" s="67"/>
      <c r="R15" s="137"/>
      <c r="S15" s="61"/>
      <c r="T15" s="137"/>
      <c r="U15" s="137"/>
      <c r="V15" s="67"/>
      <c r="W15" s="137"/>
      <c r="X15" s="137"/>
      <c r="Y15" s="137"/>
      <c r="Z15" s="137"/>
      <c r="AA15" s="137"/>
      <c r="AB15" s="137"/>
      <c r="AC15" s="137"/>
      <c r="AD15" s="137"/>
      <c r="AE15" s="137"/>
      <c r="AF15" s="137"/>
      <c r="AG15" s="137"/>
      <c r="AH15" s="137"/>
      <c r="AI15" s="137"/>
    </row>
    <row r="16" spans="1:38" s="32" customFormat="1" ht="12.9" customHeight="1" x14ac:dyDescent="0.2">
      <c r="B16" s="57"/>
      <c r="D16" s="61" t="s">
        <v>146</v>
      </c>
      <c r="F16" s="137"/>
      <c r="G16" s="137"/>
      <c r="H16" s="137"/>
      <c r="I16" s="67"/>
      <c r="J16" s="67"/>
      <c r="K16" s="137"/>
      <c r="L16" s="137"/>
      <c r="N16" s="137"/>
      <c r="O16" s="61"/>
      <c r="P16" s="137"/>
      <c r="Q16" s="67"/>
      <c r="R16" s="137"/>
      <c r="S16" s="61"/>
      <c r="T16" s="137"/>
      <c r="U16" s="137"/>
      <c r="V16" s="67" t="s">
        <v>147</v>
      </c>
      <c r="W16" s="137"/>
      <c r="X16" s="137"/>
      <c r="Y16" s="137"/>
      <c r="Z16" s="137"/>
      <c r="AA16" s="137"/>
      <c r="AB16" s="137"/>
      <c r="AC16" s="137"/>
      <c r="AD16" s="137"/>
      <c r="AE16" s="137"/>
    </row>
    <row r="17" spans="1:65" s="32" customFormat="1" ht="12.9" customHeight="1" x14ac:dyDescent="0.2">
      <c r="B17" s="53"/>
      <c r="D17" s="61" t="s">
        <v>528</v>
      </c>
      <c r="E17" s="67"/>
      <c r="F17" s="137"/>
      <c r="G17" s="137"/>
      <c r="H17" s="137"/>
      <c r="I17" s="67"/>
      <c r="J17" s="54"/>
      <c r="K17" s="54"/>
      <c r="L17" s="137"/>
      <c r="M17" s="137"/>
      <c r="N17" s="137"/>
      <c r="O17" s="144"/>
      <c r="P17" s="144"/>
      <c r="Q17" s="144"/>
      <c r="R17" s="137"/>
      <c r="S17" s="61"/>
      <c r="T17" s="137"/>
      <c r="U17" s="137"/>
      <c r="V17" s="46"/>
      <c r="W17" s="137"/>
      <c r="X17" s="137"/>
      <c r="Y17" s="137"/>
      <c r="Z17" s="137"/>
      <c r="AA17" s="137"/>
      <c r="AB17" s="137"/>
      <c r="AC17" s="137"/>
      <c r="AD17" s="137"/>
      <c r="AE17" s="137"/>
    </row>
    <row r="18" spans="1:65" s="32" customFormat="1" ht="12.9" customHeight="1" x14ac:dyDescent="0.2">
      <c r="B18" s="57"/>
      <c r="D18" s="61" t="s">
        <v>148</v>
      </c>
      <c r="E18" s="53"/>
      <c r="F18" s="413">
        <f>(40*40)+2*(40*8.7)+2*(40*8.7)+(3.14*8.7*8.7)</f>
        <v>3229.6666</v>
      </c>
      <c r="G18" s="413"/>
      <c r="H18" s="413"/>
      <c r="I18" s="137" t="s">
        <v>149</v>
      </c>
      <c r="J18" s="53"/>
      <c r="K18" s="54"/>
    </row>
    <row r="19" spans="1:65" s="32" customFormat="1" ht="12.9" customHeight="1" x14ac:dyDescent="0.2">
      <c r="B19" s="57"/>
      <c r="D19" s="53"/>
      <c r="E19" s="53"/>
      <c r="F19" s="53"/>
      <c r="G19" s="53"/>
      <c r="H19" s="53"/>
      <c r="I19" s="54"/>
      <c r="J19" s="54"/>
      <c r="K19" s="54"/>
    </row>
    <row r="20" spans="1:65" s="32" customFormat="1" ht="12.9" customHeight="1" x14ac:dyDescent="0.2">
      <c r="B20" s="57"/>
      <c r="D20" s="61" t="s">
        <v>150</v>
      </c>
      <c r="E20" s="61"/>
      <c r="F20" s="61"/>
      <c r="G20" s="61"/>
      <c r="H20" s="61"/>
      <c r="I20" s="61"/>
      <c r="J20" s="67"/>
      <c r="K20" s="137"/>
      <c r="L20" s="137"/>
      <c r="M20" s="137"/>
      <c r="N20" s="137"/>
      <c r="O20" s="137"/>
      <c r="P20" s="137"/>
      <c r="Q20" s="137"/>
      <c r="R20" s="137"/>
      <c r="S20" s="137"/>
      <c r="T20" s="137"/>
      <c r="U20" s="137"/>
      <c r="V20" s="137"/>
      <c r="W20" s="137"/>
      <c r="X20" s="137"/>
      <c r="Y20" s="137"/>
      <c r="Z20" s="137"/>
      <c r="AA20" s="137"/>
      <c r="AB20" s="137"/>
      <c r="AC20" s="137"/>
      <c r="AD20" s="137"/>
    </row>
    <row r="21" spans="1:65" s="32" customFormat="1" ht="12.9" customHeight="1" x14ac:dyDescent="0.2">
      <c r="B21" s="53"/>
      <c r="D21" s="61" t="s">
        <v>151</v>
      </c>
      <c r="F21" s="61"/>
      <c r="G21" s="61"/>
      <c r="H21" s="61"/>
      <c r="I21" s="61"/>
      <c r="J21" s="67"/>
      <c r="K21" s="137"/>
      <c r="L21" s="137"/>
      <c r="M21" s="67" t="s">
        <v>152</v>
      </c>
      <c r="N21" s="137"/>
      <c r="O21" s="137"/>
      <c r="P21" s="137"/>
      <c r="Q21" s="137"/>
      <c r="R21" s="137"/>
      <c r="S21" s="137"/>
      <c r="T21" s="137"/>
      <c r="U21" s="137"/>
      <c r="V21" s="137"/>
      <c r="W21" s="137"/>
      <c r="X21" s="137"/>
      <c r="Y21" s="137"/>
      <c r="Z21" s="137"/>
      <c r="AA21" s="137"/>
      <c r="AB21" s="137"/>
      <c r="AC21" s="137"/>
      <c r="AD21" s="137"/>
    </row>
    <row r="22" spans="1:65" s="32" customFormat="1" ht="12.9" customHeight="1" x14ac:dyDescent="0.2">
      <c r="B22" s="53"/>
      <c r="D22" s="61" t="s">
        <v>529</v>
      </c>
      <c r="E22" s="67"/>
      <c r="F22" s="137"/>
      <c r="G22" s="137"/>
      <c r="H22" s="145"/>
      <c r="I22" s="67"/>
      <c r="J22" s="67"/>
      <c r="K22" s="137"/>
      <c r="L22" s="137"/>
      <c r="M22" s="137"/>
      <c r="N22" s="137"/>
      <c r="O22" s="142"/>
      <c r="P22" s="142"/>
      <c r="Q22" s="142"/>
      <c r="R22" s="137"/>
      <c r="S22" s="61"/>
      <c r="T22" s="137"/>
      <c r="U22" s="137"/>
      <c r="V22" s="137"/>
      <c r="W22" s="137"/>
      <c r="X22" s="137"/>
      <c r="Y22" s="137"/>
      <c r="Z22" s="137"/>
      <c r="AA22" s="137"/>
      <c r="AB22" s="137"/>
      <c r="AC22" s="137"/>
      <c r="AD22" s="137"/>
      <c r="AN22" s="53"/>
      <c r="AO22" s="53"/>
      <c r="AP22" s="53"/>
      <c r="AQ22" s="81"/>
      <c r="AR22" s="53"/>
      <c r="AY22" s="53"/>
      <c r="AZ22" s="381"/>
      <c r="BA22" s="381"/>
      <c r="BB22" s="381"/>
      <c r="BD22" s="58"/>
    </row>
    <row r="23" spans="1:65" s="32" customFormat="1" ht="12.9" customHeight="1" x14ac:dyDescent="0.2">
      <c r="B23" s="53"/>
      <c r="D23" s="61" t="s">
        <v>153</v>
      </c>
      <c r="E23" s="410">
        <f>F18*F9*10^-6</f>
        <v>1.6148332999999999E-3</v>
      </c>
      <c r="F23" s="410"/>
      <c r="G23" s="410"/>
      <c r="H23" s="145"/>
      <c r="I23" s="151" t="s">
        <v>530</v>
      </c>
      <c r="J23" s="61"/>
      <c r="K23" s="137"/>
      <c r="L23" s="137"/>
      <c r="M23" s="137"/>
      <c r="N23" s="137"/>
      <c r="O23" s="67"/>
      <c r="P23" s="137"/>
      <c r="Q23" s="137"/>
      <c r="R23" s="137"/>
      <c r="S23" s="67"/>
      <c r="T23" s="137"/>
      <c r="U23" s="137"/>
      <c r="V23" s="137"/>
      <c r="W23" s="137"/>
      <c r="X23" s="137"/>
      <c r="Y23" s="137"/>
      <c r="Z23" s="137"/>
      <c r="AA23" s="137"/>
      <c r="AB23" s="137"/>
      <c r="AC23" s="137"/>
      <c r="AD23" s="137"/>
      <c r="AN23" s="53"/>
      <c r="AO23" s="53"/>
      <c r="AP23" s="53"/>
      <c r="AQ23" s="53"/>
      <c r="AR23" s="53"/>
      <c r="AY23" s="53"/>
      <c r="AZ23" s="53"/>
      <c r="BA23" s="53"/>
    </row>
    <row r="24" spans="1:65" s="32" customFormat="1" ht="12.9" customHeight="1" x14ac:dyDescent="0.2">
      <c r="B24" s="57"/>
      <c r="D24" s="61"/>
      <c r="E24" s="61"/>
      <c r="F24" s="61"/>
      <c r="G24" s="61"/>
      <c r="H24" s="67"/>
      <c r="I24" s="67"/>
      <c r="J24" s="67"/>
      <c r="K24" s="137"/>
      <c r="L24" s="137"/>
      <c r="M24" s="137"/>
      <c r="N24" s="137"/>
      <c r="O24" s="138"/>
      <c r="P24" s="138"/>
      <c r="Q24" s="138"/>
      <c r="R24" s="137"/>
      <c r="S24" s="137"/>
      <c r="T24" s="137"/>
      <c r="U24" s="137"/>
      <c r="V24" s="137"/>
      <c r="W24" s="137"/>
      <c r="X24" s="137"/>
      <c r="Y24" s="137"/>
      <c r="Z24" s="137"/>
      <c r="AA24" s="137"/>
      <c r="AB24" s="137"/>
      <c r="AC24" s="137"/>
      <c r="AD24" s="137"/>
      <c r="AE24" s="137"/>
      <c r="AF24" s="137"/>
      <c r="AG24" s="137"/>
      <c r="AH24" s="137"/>
      <c r="AI24" s="137"/>
    </row>
    <row r="25" spans="1:65" s="32" customFormat="1" ht="12.9" customHeight="1" x14ac:dyDescent="0.2">
      <c r="B25" s="53"/>
      <c r="D25" s="53" t="s">
        <v>154</v>
      </c>
      <c r="E25" s="54"/>
      <c r="H25" s="81"/>
      <c r="I25" s="54"/>
      <c r="J25" s="54"/>
      <c r="O25" s="54"/>
      <c r="S25" s="54"/>
      <c r="AN25" s="53"/>
      <c r="AO25" s="53"/>
      <c r="AP25" s="54"/>
      <c r="AQ25" s="54"/>
      <c r="AR25" s="54"/>
      <c r="AY25" s="53"/>
      <c r="AZ25" s="57"/>
      <c r="BA25" s="53"/>
    </row>
    <row r="26" spans="1:65" s="32" customFormat="1" ht="12.9" customHeight="1" x14ac:dyDescent="0.2">
      <c r="B26" s="53"/>
      <c r="D26" s="53"/>
      <c r="E26" s="54"/>
      <c r="H26" s="81"/>
      <c r="I26" s="54"/>
      <c r="J26" s="54"/>
      <c r="O26" s="80"/>
      <c r="P26" s="80"/>
      <c r="Q26" s="80"/>
      <c r="S26" s="53"/>
      <c r="AN26" s="53"/>
      <c r="AO26" s="53"/>
      <c r="AP26" s="53"/>
      <c r="AQ26" s="53"/>
      <c r="AR26" s="53"/>
      <c r="AY26" s="53"/>
      <c r="AZ26" s="53"/>
      <c r="BA26" s="53"/>
    </row>
    <row r="27" spans="1:65" s="32" customFormat="1" ht="12.9" customHeight="1" x14ac:dyDescent="0.2">
      <c r="B27" s="53"/>
      <c r="D27" s="53" t="s">
        <v>324</v>
      </c>
      <c r="E27" s="54"/>
      <c r="F27" s="54"/>
      <c r="G27" s="54"/>
      <c r="H27" s="125"/>
      <c r="I27" s="53"/>
      <c r="J27" s="54"/>
      <c r="AN27" s="53"/>
      <c r="AO27" s="53"/>
      <c r="AP27" s="53"/>
      <c r="AQ27" s="81"/>
      <c r="AR27" s="53"/>
      <c r="AY27" s="53"/>
      <c r="AZ27" s="381"/>
      <c r="BA27" s="381"/>
      <c r="BB27" s="381"/>
      <c r="BJ27" s="403"/>
      <c r="BK27" s="403"/>
      <c r="BL27" s="403"/>
      <c r="BM27" s="403"/>
    </row>
    <row r="28" spans="1:65" s="32" customFormat="1" ht="12.9" customHeight="1" x14ac:dyDescent="0.2">
      <c r="B28" s="53"/>
      <c r="D28" s="53"/>
      <c r="E28" s="54"/>
      <c r="F28" s="54"/>
      <c r="G28" s="54"/>
      <c r="H28" s="54"/>
      <c r="I28" s="54"/>
      <c r="J28" s="60" t="s">
        <v>325</v>
      </c>
      <c r="AO28" s="53"/>
      <c r="AP28" s="53"/>
      <c r="AQ28" s="53"/>
      <c r="AR28" s="81"/>
      <c r="AS28" s="53"/>
      <c r="AT28" s="53"/>
      <c r="AU28" s="53"/>
      <c r="AV28" s="53"/>
    </row>
    <row r="29" spans="1:65" s="32" customFormat="1" ht="12.9" customHeight="1" x14ac:dyDescent="0.2">
      <c r="B29" s="53"/>
      <c r="D29" s="53"/>
      <c r="E29" s="54"/>
      <c r="F29" s="54"/>
      <c r="G29" s="54"/>
      <c r="H29" s="54"/>
      <c r="I29" s="54"/>
      <c r="J29" s="146" t="s">
        <v>155</v>
      </c>
      <c r="K29" s="411">
        <f>0.7*0.4*0.8*1*0.3</f>
        <v>6.7199999999999996E-2</v>
      </c>
      <c r="L29" s="411"/>
      <c r="M29" s="411"/>
      <c r="AN29" s="85"/>
      <c r="AO29" s="58"/>
      <c r="AP29" s="85"/>
      <c r="AQ29" s="85"/>
      <c r="AR29" s="85"/>
      <c r="AS29" s="85"/>
      <c r="AT29" s="85"/>
      <c r="AU29" s="85"/>
      <c r="AV29" s="85"/>
      <c r="AW29" s="56"/>
      <c r="AX29" s="56"/>
      <c r="AY29" s="85"/>
      <c r="AZ29" s="395"/>
      <c r="BA29" s="395"/>
      <c r="BB29" s="395"/>
      <c r="BC29" s="56"/>
      <c r="BD29" s="58"/>
      <c r="BE29" s="56"/>
    </row>
    <row r="30" spans="1:65" s="32" customFormat="1" ht="12.9" customHeight="1" x14ac:dyDescent="0.2">
      <c r="A30" s="73"/>
      <c r="B30" s="52"/>
      <c r="D30" s="53" t="s">
        <v>157</v>
      </c>
      <c r="E30" s="54"/>
      <c r="H30" s="54"/>
      <c r="I30" s="54"/>
      <c r="J30" s="54"/>
      <c r="P30" s="80"/>
      <c r="Q30" s="80"/>
      <c r="R30" s="80"/>
      <c r="S30" s="53"/>
    </row>
    <row r="31" spans="1:65" s="32" customFormat="1" ht="12.9" customHeight="1" x14ac:dyDescent="0.2"/>
    <row r="32" spans="1:65" s="32" customFormat="1" ht="12.9" customHeight="1" x14ac:dyDescent="0.2">
      <c r="B32" s="34"/>
      <c r="C32" s="34" t="s">
        <v>158</v>
      </c>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row>
    <row r="33" spans="1:36" s="32" customFormat="1" ht="12.9" customHeight="1" x14ac:dyDescent="0.2">
      <c r="B33" s="53"/>
      <c r="C33" s="53"/>
      <c r="D33" s="53"/>
      <c r="E33" s="53"/>
      <c r="F33" s="53" t="s">
        <v>159</v>
      </c>
      <c r="G33" s="406">
        <f>'Sheet 11'!$E$23</f>
        <v>1.6148332999999999E-3</v>
      </c>
      <c r="H33" s="406"/>
      <c r="I33" s="406"/>
      <c r="J33" s="126" t="s">
        <v>160</v>
      </c>
      <c r="K33" s="411">
        <f>'Sheet 11'!K29</f>
        <v>6.7199999999999996E-2</v>
      </c>
      <c r="L33" s="407"/>
      <c r="M33" s="407"/>
      <c r="AH33" s="381"/>
      <c r="AI33" s="381"/>
      <c r="AJ33" s="381"/>
    </row>
    <row r="34" spans="1:36" s="32" customFormat="1" ht="12.9" customHeight="1" x14ac:dyDescent="0.2">
      <c r="B34" s="53"/>
      <c r="F34" s="126" t="s">
        <v>42</v>
      </c>
      <c r="G34" s="398">
        <f>G33*K33</f>
        <v>1.0851679775999999E-4</v>
      </c>
      <c r="H34" s="398"/>
      <c r="I34" s="398"/>
      <c r="J34" s="398"/>
      <c r="K34" s="151" t="s">
        <v>532</v>
      </c>
    </row>
    <row r="35" spans="1:36" s="32" customFormat="1" ht="12.9" customHeight="1" x14ac:dyDescent="0.2">
      <c r="B35" s="53"/>
      <c r="F35" s="147" t="s">
        <v>42</v>
      </c>
      <c r="G35" s="124" t="s">
        <v>531</v>
      </c>
      <c r="K35" s="32" t="s">
        <v>161</v>
      </c>
      <c r="L35" s="399" t="s">
        <v>162</v>
      </c>
      <c r="M35" s="399"/>
    </row>
    <row r="36" spans="1:36" s="32" customFormat="1" ht="12.9" customHeight="1" x14ac:dyDescent="0.2">
      <c r="A36" s="137"/>
      <c r="B36" s="61"/>
    </row>
    <row r="37" spans="1:36" s="32" customFormat="1" ht="12.9" customHeight="1" x14ac:dyDescent="0.2">
      <c r="A37" s="137"/>
      <c r="B37" s="61"/>
      <c r="C37" s="32" t="s">
        <v>163</v>
      </c>
    </row>
    <row r="38" spans="1:36" s="32" customFormat="1" ht="12.9" customHeight="1" x14ac:dyDescent="0.2">
      <c r="A38" s="137"/>
      <c r="B38" s="61"/>
      <c r="C38" s="124"/>
      <c r="D38" s="64"/>
      <c r="E38" s="57"/>
      <c r="F38" s="53"/>
      <c r="G38" s="53"/>
      <c r="H38" s="53"/>
      <c r="I38" s="54"/>
      <c r="J38" s="54"/>
      <c r="O38" s="129"/>
      <c r="P38" s="129"/>
      <c r="Q38" s="129"/>
    </row>
    <row r="39" spans="1:36" s="32" customFormat="1" ht="12.9" customHeight="1" x14ac:dyDescent="0.2">
      <c r="A39" s="137"/>
      <c r="B39" s="61"/>
      <c r="C39" s="35" t="s">
        <v>504</v>
      </c>
    </row>
    <row r="40" spans="1:36" s="32" customFormat="1" ht="12.9" customHeight="1" x14ac:dyDescent="0.2">
      <c r="A40" s="137"/>
      <c r="B40" s="61"/>
      <c r="C40" s="124"/>
      <c r="D40" s="64"/>
      <c r="E40" s="57"/>
      <c r="F40" s="53"/>
      <c r="G40" s="53"/>
      <c r="H40" s="53"/>
      <c r="I40" s="54"/>
      <c r="J40" s="54"/>
      <c r="O40" s="129"/>
      <c r="P40" s="129"/>
      <c r="Q40" s="129"/>
    </row>
    <row r="41" spans="1:36" s="32" customFormat="1" ht="12.9" customHeight="1" x14ac:dyDescent="0.2">
      <c r="A41" s="137"/>
      <c r="B41" s="61"/>
      <c r="C41" s="124" t="s">
        <v>164</v>
      </c>
      <c r="D41" s="64"/>
      <c r="E41" s="57"/>
      <c r="F41" s="53"/>
      <c r="G41" s="53"/>
      <c r="H41" s="53"/>
      <c r="I41" s="54"/>
      <c r="J41" s="54"/>
      <c r="O41" s="129"/>
      <c r="P41" s="129"/>
      <c r="Q41" s="129"/>
    </row>
    <row r="42" spans="1:36" s="32" customFormat="1" ht="12.9" customHeight="1" x14ac:dyDescent="0.2">
      <c r="A42" s="137"/>
      <c r="B42" s="61"/>
      <c r="C42" s="53" t="s">
        <v>165</v>
      </c>
      <c r="D42" s="57"/>
      <c r="E42" s="57"/>
      <c r="F42" s="57"/>
      <c r="G42" s="57"/>
      <c r="H42" s="54"/>
      <c r="I42" s="54"/>
      <c r="J42" s="54"/>
    </row>
    <row r="43" spans="1:36" s="32" customFormat="1" ht="12.9" customHeight="1" x14ac:dyDescent="0.2">
      <c r="A43" s="137"/>
      <c r="B43" s="61"/>
      <c r="C43" s="53"/>
      <c r="D43" s="74"/>
      <c r="E43" s="74"/>
      <c r="F43" s="74"/>
      <c r="G43" s="57"/>
      <c r="H43" s="54"/>
      <c r="I43" s="54"/>
      <c r="J43" s="54"/>
      <c r="O43" s="129"/>
      <c r="P43" s="129"/>
      <c r="Q43" s="129"/>
      <c r="R43" s="148"/>
      <c r="T43" s="148"/>
    </row>
    <row r="44" spans="1:36" s="32" customFormat="1" ht="12.9" customHeight="1" x14ac:dyDescent="0.2">
      <c r="A44" s="137"/>
      <c r="B44" s="46"/>
      <c r="C44" s="64"/>
      <c r="D44" s="57"/>
      <c r="E44" s="61" t="s">
        <v>534</v>
      </c>
      <c r="F44" s="57"/>
      <c r="G44" s="57"/>
      <c r="H44" s="54"/>
      <c r="I44" s="54"/>
      <c r="J44" s="54"/>
      <c r="O44" s="149"/>
      <c r="P44" s="149"/>
      <c r="Q44" s="149"/>
    </row>
    <row r="45" spans="1:36" s="32" customFormat="1" ht="12.9" customHeight="1" x14ac:dyDescent="0.2">
      <c r="A45" s="137"/>
      <c r="B45" s="61"/>
      <c r="C45" s="61"/>
      <c r="D45" s="57"/>
      <c r="E45" s="61" t="s">
        <v>166</v>
      </c>
      <c r="F45" s="62"/>
      <c r="G45" s="57"/>
      <c r="H45" s="54"/>
      <c r="I45" s="54"/>
      <c r="J45" s="54"/>
      <c r="O45" s="131"/>
      <c r="P45" s="131"/>
      <c r="Q45" s="131"/>
    </row>
    <row r="46" spans="1:36" s="32" customFormat="1" ht="12.9" customHeight="1" x14ac:dyDescent="0.2">
      <c r="A46" s="137"/>
      <c r="B46" s="61"/>
      <c r="C46" s="61"/>
      <c r="D46" s="57"/>
      <c r="E46" s="61"/>
      <c r="F46" s="62"/>
      <c r="G46" s="57"/>
      <c r="H46" s="54"/>
      <c r="I46" s="54"/>
      <c r="J46" s="54"/>
      <c r="O46" s="131"/>
      <c r="P46" s="131"/>
      <c r="Q46" s="131"/>
    </row>
    <row r="47" spans="1:36" s="32" customFormat="1" ht="12.9" customHeight="1" x14ac:dyDescent="0.2">
      <c r="A47" s="137"/>
      <c r="B47" s="61"/>
      <c r="C47" s="150"/>
      <c r="D47" s="61"/>
      <c r="E47" s="61" t="s">
        <v>167</v>
      </c>
      <c r="F47" s="61"/>
      <c r="G47" s="61"/>
      <c r="H47" s="67"/>
      <c r="I47" s="67"/>
      <c r="J47" s="67"/>
      <c r="K47" s="137"/>
      <c r="L47" s="137"/>
      <c r="M47" s="137"/>
      <c r="N47" s="137"/>
      <c r="O47" s="138"/>
      <c r="P47" s="138"/>
      <c r="Q47" s="138"/>
      <c r="R47" s="137"/>
      <c r="S47" s="137"/>
      <c r="T47" s="137"/>
      <c r="U47" s="137"/>
      <c r="V47" s="137"/>
      <c r="W47" s="137"/>
      <c r="X47" s="137"/>
      <c r="Y47" s="137"/>
      <c r="Z47" s="137"/>
      <c r="AA47" s="137"/>
    </row>
    <row r="48" spans="1:36" s="32" customFormat="1" ht="12.9" customHeight="1" x14ac:dyDescent="0.25">
      <c r="A48" s="154"/>
      <c r="B48" s="136"/>
      <c r="C48" s="61"/>
      <c r="D48" s="151"/>
      <c r="E48" s="141"/>
      <c r="F48" s="137"/>
      <c r="G48" s="67"/>
      <c r="H48" s="67"/>
      <c r="I48" s="67"/>
      <c r="J48" s="67"/>
      <c r="K48" s="137"/>
      <c r="L48" s="137"/>
      <c r="M48" s="137"/>
      <c r="N48" s="137"/>
      <c r="O48" s="140"/>
      <c r="P48" s="140"/>
      <c r="Q48" s="140"/>
      <c r="R48" s="137"/>
      <c r="S48" s="137"/>
      <c r="T48" s="137"/>
      <c r="U48" s="137"/>
      <c r="V48" s="137"/>
      <c r="W48" s="137"/>
      <c r="X48" s="137"/>
      <c r="Y48" s="137"/>
      <c r="Z48" s="137"/>
      <c r="AA48" s="137"/>
    </row>
    <row r="49" spans="1:50" s="32" customFormat="1" ht="12.9" customHeight="1" x14ac:dyDescent="0.2">
      <c r="A49" s="137"/>
      <c r="B49" s="61"/>
      <c r="C49" s="61"/>
      <c r="D49" s="142"/>
      <c r="E49" s="145" t="s">
        <v>168</v>
      </c>
      <c r="G49" s="67"/>
      <c r="H49" s="67"/>
      <c r="L49" s="151" t="s">
        <v>533</v>
      </c>
      <c r="M49" s="67"/>
      <c r="N49" s="137"/>
      <c r="O49" s="137"/>
      <c r="P49" s="137"/>
      <c r="Q49" s="137"/>
      <c r="R49" s="138"/>
      <c r="S49" s="152" t="s">
        <v>124</v>
      </c>
      <c r="T49" s="415">
        <f>1+(1600-100)/300</f>
        <v>6</v>
      </c>
      <c r="U49" s="415"/>
      <c r="V49" s="153"/>
      <c r="W49" s="137"/>
      <c r="X49" s="137"/>
      <c r="Y49" s="137"/>
      <c r="Z49" s="137"/>
      <c r="AA49" s="137"/>
      <c r="AX49" s="32" t="s">
        <v>174</v>
      </c>
    </row>
    <row r="50" spans="1:50" s="32" customFormat="1" ht="12.9" customHeight="1" x14ac:dyDescent="0.2">
      <c r="A50" s="137"/>
      <c r="B50" s="61"/>
      <c r="C50" s="61"/>
      <c r="D50" s="67"/>
      <c r="E50" s="137"/>
      <c r="F50" s="67"/>
      <c r="G50" s="67"/>
      <c r="H50" s="67"/>
      <c r="I50" s="137"/>
      <c r="M50" s="405">
        <v>300</v>
      </c>
      <c r="N50" s="405"/>
      <c r="O50" s="405"/>
      <c r="P50" s="405"/>
      <c r="Q50" s="143"/>
      <c r="R50" s="67"/>
      <c r="S50" s="137"/>
      <c r="T50" s="137"/>
      <c r="U50" s="137"/>
      <c r="V50" s="137"/>
      <c r="W50" s="137"/>
      <c r="X50" s="137"/>
      <c r="Y50" s="137"/>
      <c r="Z50" s="137"/>
      <c r="AA50" s="137"/>
    </row>
    <row r="51" spans="1:50" s="32" customFormat="1" ht="12.9" customHeight="1" x14ac:dyDescent="0.2">
      <c r="A51" s="137"/>
      <c r="B51" s="61"/>
      <c r="C51" s="61"/>
      <c r="D51" s="61"/>
      <c r="E51" s="67"/>
      <c r="F51" s="67"/>
      <c r="G51" s="67"/>
      <c r="H51" s="67"/>
      <c r="I51" s="67"/>
      <c r="J51" s="67"/>
      <c r="K51" s="137"/>
      <c r="L51" s="137"/>
      <c r="M51" s="137"/>
      <c r="N51" s="137"/>
      <c r="O51" s="137"/>
      <c r="P51" s="137"/>
      <c r="Q51" s="137"/>
      <c r="R51" s="137"/>
      <c r="S51" s="137"/>
      <c r="T51" s="137"/>
      <c r="U51" s="137"/>
      <c r="V51" s="137"/>
      <c r="W51" s="137"/>
      <c r="X51" s="137"/>
      <c r="Y51" s="137"/>
      <c r="Z51" s="137"/>
      <c r="AA51" s="137"/>
    </row>
    <row r="52" spans="1:50" s="32" customFormat="1" ht="12.9" customHeight="1" x14ac:dyDescent="0.2">
      <c r="B52" s="53"/>
      <c r="C52" s="46"/>
      <c r="D52" s="61"/>
      <c r="E52" s="61" t="s">
        <v>169</v>
      </c>
      <c r="F52" s="137"/>
      <c r="G52" s="137"/>
      <c r="H52" s="137"/>
      <c r="I52" s="67"/>
      <c r="J52" s="67"/>
      <c r="K52" s="137"/>
      <c r="L52" s="137"/>
      <c r="M52" s="137"/>
      <c r="N52" s="137"/>
      <c r="O52" s="142"/>
      <c r="P52" s="142"/>
      <c r="Q52" s="142"/>
      <c r="R52" s="137"/>
      <c r="S52" s="61"/>
      <c r="T52" s="137"/>
      <c r="U52" s="137"/>
      <c r="V52" s="137"/>
      <c r="W52" s="137"/>
      <c r="X52" s="137"/>
      <c r="Y52" s="137"/>
      <c r="Z52" s="137"/>
      <c r="AA52" s="137"/>
    </row>
    <row r="53" spans="1:50" s="32" customFormat="1" ht="12.9" customHeight="1" x14ac:dyDescent="0.2">
      <c r="B53" s="53"/>
      <c r="C53" s="46"/>
      <c r="D53" s="61"/>
      <c r="E53" s="67"/>
      <c r="F53" s="137"/>
      <c r="G53" s="207" t="s">
        <v>536</v>
      </c>
      <c r="H53" s="137"/>
      <c r="I53" s="67"/>
      <c r="J53" s="67"/>
      <c r="K53" s="137"/>
      <c r="L53" s="137"/>
      <c r="M53" s="137"/>
      <c r="N53" s="137"/>
      <c r="O53" s="61"/>
      <c r="P53" s="137"/>
      <c r="Q53" s="67"/>
      <c r="R53" s="137"/>
      <c r="S53" s="61"/>
      <c r="T53" s="403">
        <f>(2*40)+(2*40)</f>
        <v>160</v>
      </c>
      <c r="U53" s="403"/>
      <c r="V53" s="403"/>
      <c r="W53" s="128"/>
      <c r="X53" s="128"/>
      <c r="Y53" s="137"/>
      <c r="Z53" s="137"/>
      <c r="AA53" s="137"/>
    </row>
    <row r="54" spans="1:50" s="32" customFormat="1" ht="12.9" customHeight="1" x14ac:dyDescent="0.2">
      <c r="B54" s="57"/>
      <c r="C54" s="53"/>
      <c r="D54" s="53"/>
      <c r="E54" s="54"/>
      <c r="I54" s="54"/>
      <c r="J54" s="54"/>
      <c r="O54" s="402"/>
      <c r="P54" s="402"/>
      <c r="Q54" s="402"/>
      <c r="S54" s="53"/>
      <c r="V54" s="34"/>
    </row>
    <row r="55" spans="1:50" s="32" customFormat="1" ht="12.9" customHeight="1" x14ac:dyDescent="0.2">
      <c r="B55" s="57"/>
      <c r="C55" s="53"/>
      <c r="D55" s="53"/>
      <c r="E55" s="53"/>
      <c r="F55" s="145" t="s">
        <v>170</v>
      </c>
      <c r="G55" s="53"/>
      <c r="H55" s="53"/>
      <c r="I55" s="53"/>
      <c r="J55" s="54"/>
      <c r="O55" s="414">
        <f>T53</f>
        <v>160</v>
      </c>
      <c r="P55" s="414"/>
      <c r="Q55" s="414"/>
      <c r="T55" s="63" t="s">
        <v>42</v>
      </c>
      <c r="U55" s="412">
        <f>O55/30</f>
        <v>5.333333333333333</v>
      </c>
      <c r="V55" s="412"/>
      <c r="W55" s="153" t="s">
        <v>537</v>
      </c>
    </row>
    <row r="56" spans="1:50" s="32" customFormat="1" ht="12.9" customHeight="1" x14ac:dyDescent="0.2">
      <c r="B56" s="53"/>
      <c r="C56" s="53"/>
      <c r="D56" s="53"/>
      <c r="E56" s="53"/>
      <c r="F56" s="53"/>
      <c r="G56" s="53"/>
      <c r="H56" s="53"/>
      <c r="I56" s="53"/>
      <c r="J56" s="54"/>
      <c r="O56" s="400">
        <v>30</v>
      </c>
      <c r="P56" s="400"/>
      <c r="Q56" s="400"/>
    </row>
    <row r="57" spans="1:50" s="32" customFormat="1" ht="12.9" customHeight="1" x14ac:dyDescent="0.2">
      <c r="A57" s="73"/>
      <c r="B57" s="52"/>
      <c r="C57" s="53"/>
      <c r="D57" s="34" t="s">
        <v>574</v>
      </c>
      <c r="E57" s="53"/>
      <c r="F57" s="53"/>
      <c r="G57" s="53"/>
      <c r="H57" s="53"/>
      <c r="I57" s="53"/>
      <c r="J57" s="54"/>
    </row>
    <row r="58" spans="1:50" s="32" customFormat="1" ht="12.9" customHeight="1" x14ac:dyDescent="0.2">
      <c r="B58" s="53"/>
      <c r="C58" s="53"/>
      <c r="D58" s="34" t="s">
        <v>539</v>
      </c>
      <c r="E58" s="54"/>
      <c r="H58" s="81"/>
      <c r="I58" s="54"/>
      <c r="J58" s="54"/>
      <c r="O58" s="74"/>
      <c r="P58" s="74"/>
      <c r="Q58" s="74"/>
      <c r="S58" s="53"/>
    </row>
    <row r="59" spans="1:50" s="32" customFormat="1" ht="12.9" customHeight="1" x14ac:dyDescent="0.2">
      <c r="A59" s="137"/>
      <c r="B59" s="61"/>
    </row>
    <row r="60" spans="1:50" s="2" customFormat="1" ht="15.6" x14ac:dyDescent="0.3">
      <c r="A60" s="158"/>
      <c r="B60" s="158"/>
      <c r="C60" s="158"/>
      <c r="D60" s="158"/>
      <c r="E60" s="22"/>
      <c r="F60" s="22"/>
      <c r="G60" s="22"/>
      <c r="H60" s="22"/>
      <c r="I60" s="22"/>
      <c r="J60" s="159"/>
      <c r="K60" s="159"/>
      <c r="L60" s="159"/>
      <c r="M60" s="159"/>
      <c r="N60" s="159"/>
      <c r="O60" s="159"/>
      <c r="P60" s="159"/>
      <c r="Q60" s="159"/>
      <c r="R60" s="332"/>
      <c r="S60" s="332"/>
      <c r="T60" s="332"/>
      <c r="U60" s="332"/>
      <c r="V60" s="332"/>
      <c r="W60" s="332"/>
      <c r="X60" s="332"/>
      <c r="Y60" s="332"/>
      <c r="Z60" s="332"/>
      <c r="AA60" s="332"/>
      <c r="AB60" s="341" t="s">
        <v>2</v>
      </c>
      <c r="AC60" s="341"/>
      <c r="AD60" s="341">
        <v>5</v>
      </c>
      <c r="AE60" s="341"/>
      <c r="AF60" s="341" t="s">
        <v>177</v>
      </c>
      <c r="AG60" s="341"/>
      <c r="AH60" s="341">
        <v>7</v>
      </c>
      <c r="AI60" s="341"/>
      <c r="AJ60" s="332"/>
      <c r="AK60" s="332"/>
    </row>
    <row r="61" spans="1:50" s="2" customFormat="1" ht="15.75" customHeight="1" x14ac:dyDescent="0.3">
      <c r="A61" s="340"/>
      <c r="B61" s="340"/>
      <c r="C61" s="340"/>
      <c r="D61" s="340"/>
      <c r="E61" s="340"/>
      <c r="F61" s="23"/>
      <c r="G61" s="23"/>
      <c r="H61" s="23"/>
      <c r="I61" s="23"/>
      <c r="J61" s="23"/>
      <c r="K61" s="23"/>
    </row>
    <row r="62" spans="1:50" s="2" customFormat="1" ht="12.75" customHeight="1" x14ac:dyDescent="0.25">
      <c r="A62" s="30"/>
      <c r="B62" s="66"/>
      <c r="C62" s="34"/>
      <c r="D62" s="66"/>
      <c r="E62" s="66"/>
      <c r="F62" s="66"/>
      <c r="G62" s="66"/>
      <c r="H62" s="66"/>
      <c r="I62" s="66"/>
      <c r="J62"/>
      <c r="K62" s="30"/>
    </row>
  </sheetData>
  <sheetProtection formatCells="0" formatColumns="0" formatRows="0"/>
  <protectedRanges>
    <protectedRange sqref="A3:AK3 A80:AK1550" name="Range2"/>
    <protectedRange sqref="A63:AK79 T5:AK5 Q5:R5 A5:O5" name="Range2_8_1"/>
    <protectedRange sqref="A61:AK62 A60:AG60 AJ60:AK60" name="Range2_4_1_2_1"/>
    <protectedRange sqref="B6:B14 A4:B4 A24:B24 A6:A15" name="Range2_10_3"/>
    <protectedRange sqref="N24:P24 E14:AI14 C24:F24 AJ6:AK15 I24:K24 C14 D4:F4 N4:P4 R4:AK4 I4:K4 R24:AK24" name="Range2_8_1_1"/>
    <protectedRange sqref="C4" name="Range2_3_1_2"/>
    <protectedRange sqref="O12:S12 O11 F8 I6:J10 I12:J12 H6:H12 F6 O7 O6:P6 O8:P10 R6:R11 Q6:Q8 Q10 O15 E12:E13 M9 E6:E8 E10 S15:AI15 G6:G8 F10:G12 K6:L12 M6:N8 M10:N12 Q15 T6:AI13 O13 D6:D13 I13:L13 Q13 S13 D15 I15:L15" name="Range2_4_1_2"/>
    <protectedRange sqref="F7" name="Range2_3_1_1_1"/>
    <protectedRange sqref="E9" name="Range2_4_1_1_1"/>
    <protectedRange sqref="D14" name="Range2_9_1"/>
    <protectedRange sqref="A16:B23 BQ22:BW23 AF17:AJ19 AF16:AK16 AK17:AK23" name="Range2_11_1"/>
    <protectedRange sqref="D19:AE19 BH22:BP23" name="Range2_1_2"/>
    <protectedRange sqref="AW22:BG23 AN22:AR23" name="Range2_2_2"/>
    <protectedRange sqref="E18:H18 J18:AE18" name="Range2_9_2"/>
    <protectedRange sqref="E17 D16:D18 Q16:Q17 S16:AE17 O16:O17 I16:L17" name="Range2_4_1_3"/>
    <protectedRange sqref="I18" name="Range2_7_1_1"/>
    <protectedRange sqref="AG20:AJ23 AE20:AF21 AF22:AF23" name="Range2_10_1_1"/>
    <protectedRange sqref="AE22:AE23" name="Range2_1_1_1"/>
    <protectedRange sqref="H22:J22 F20:L21 T20:AD23 P20:S21 E20 E22:E23 D20:D23 H23 J23 Q22:S23 M20:O23" name="Range2_7_2_1_1"/>
    <protectedRange sqref="I23" name="Range2_7_2_2"/>
    <protectedRange sqref="AH60:AI60" name="Range2_4_1_2_1_1"/>
    <protectedRange sqref="B27:B29 A26:A29 BQ26:BR28 AK25:AK29 A25:B25 BQ25:BW25 BS26:BW29" name="Range2_11_2"/>
    <protectedRange sqref="BH25:BP28 AY28:BG28 AO28:AX29" name="Range2_1_2_1"/>
    <protectedRange sqref="AN27 AY29:BB29 AW25:BG27 AO26:AR27 AN25:AR25 AN29" name="Range2_2_2_1"/>
    <protectedRange sqref="AF25:AJ29" name="Range2_10_1_2"/>
    <protectedRange sqref="AE25:AE29" name="Range2_1_1_1_2"/>
    <protectedRange sqref="M25:O26 H25:J26 D25:E26 Q25:AD26 Z27:AD29" name="Range2_7_2_1_2"/>
    <protectedRange sqref="D27:Y29" name="Range2_7_2_3"/>
    <protectedRange sqref="A31:AK31" name="Range2_1"/>
    <protectedRange sqref="AK30" name="Range2_11_2_1"/>
    <protectedRange sqref="A30:B30" name="Range2_5_3"/>
    <protectedRange sqref="AF30:AJ30" name="Range2_10_1_2_1"/>
    <protectedRange sqref="AE30" name="Range2_1_1_1_2_1"/>
    <protectedRange sqref="D30:E30 U30:AD30 O30:P30 R30:S30 H30:L30" name="Range2_7_2_1_2_1"/>
    <protectedRange sqref="AK32:AK59 A32:B59" name="Range2_11_3"/>
    <protectedRange sqref="F50:F51 P55:S57 H40:H51 E49 O43 AG59:AJ59 AE32:AF32 G42:G51 F42:F44 O42:P42 O45:O46 O44:P44 Q42:Q47 R42:S42 S52:S54 Q52:Q54 I52:L54 I51:S51 F47 E42:E47 L40:N49 F55:L57 O49:U49 W49:Y49 Z42:AF53 T42:Y48 T50:Y53 I40:K48 O50:P50 R43:R48 R50 O47:P48 W54 D42:D56 O52:O58 H58:J58 T54:V58 W56:W58 X54:AJ58 M55:N58 Q58:S58 E51:E58 AG32:AJ53 H38:N38 C44:C58" name="Range2_10_1_3"/>
    <protectedRange sqref="AD32" name="Range2_1_1_1_1_1"/>
    <protectedRange sqref="D40:G41 F45:F46 D38:G38" name="Range2_3_1_3_1"/>
    <protectedRange sqref="E48" name="Range2_4_2_1_1_1"/>
    <protectedRange sqref="D32:AC33 C59:AC59 D34:J34 L34:AC34 D35:AC37 D39:AC39 C32:C37" name="Range2_7_2_1_3"/>
    <protectedRange sqref="C42:C43" name="Range2_6_1_1_1"/>
    <protectedRange sqref="K34" name="Range2_7_2_4"/>
    <protectedRange sqref="D57:D58" name="Range2_10_4"/>
  </protectedRanges>
  <mergeCells count="33">
    <mergeCell ref="A61:E61"/>
    <mergeCell ref="X60:Y60"/>
    <mergeCell ref="Z60:AA60"/>
    <mergeCell ref="AB60:AC60"/>
    <mergeCell ref="AD60:AE60"/>
    <mergeCell ref="O56:Q56"/>
    <mergeCell ref="R60:S60"/>
    <mergeCell ref="T60:U60"/>
    <mergeCell ref="V60:W60"/>
    <mergeCell ref="AJ60:AK60"/>
    <mergeCell ref="AF60:AG60"/>
    <mergeCell ref="AH60:AI60"/>
    <mergeCell ref="T49:U49"/>
    <mergeCell ref="M50:P50"/>
    <mergeCell ref="T53:V53"/>
    <mergeCell ref="O55:Q55"/>
    <mergeCell ref="U55:V55"/>
    <mergeCell ref="BJ27:BM27"/>
    <mergeCell ref="K29:M29"/>
    <mergeCell ref="AZ29:BB29"/>
    <mergeCell ref="G34:J34"/>
    <mergeCell ref="L35:M35"/>
    <mergeCell ref="A1:K1"/>
    <mergeCell ref="A2:Q2"/>
    <mergeCell ref="F9:G9"/>
    <mergeCell ref="F18:H18"/>
    <mergeCell ref="O54:Q54"/>
    <mergeCell ref="AZ22:BB22"/>
    <mergeCell ref="E23:G23"/>
    <mergeCell ref="G33:I33"/>
    <mergeCell ref="K33:M33"/>
    <mergeCell ref="AH33:AJ33"/>
    <mergeCell ref="AZ27:BB27"/>
  </mergeCells>
  <hyperlinks>
    <hyperlink ref="AL1" r:id="rId1" xr:uid="{2662A4BB-AFA2-4708-8877-12C650632AFC}"/>
  </hyperlinks>
  <pageMargins left="0.25" right="0.25" top="0.75" bottom="0.75" header="0.3" footer="0.3"/>
  <pageSetup paperSize="9" scale="95" orientation="portrait" r:id="rId2"/>
  <headerFooter alignWithMargins="0">
    <oddHeader xml:space="preserve">&amp;R
</oddHeader>
  </headerFooter>
  <drawing r:id="rId3"/>
  <legacyDrawingHF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indexed="45"/>
  </sheetPr>
  <dimension ref="A1:AX53"/>
  <sheetViews>
    <sheetView zoomScale="115" zoomScaleNormal="115" zoomScaleSheetLayoutView="130" workbookViewId="0">
      <selection activeCell="AI2" sqref="AI2"/>
    </sheetView>
  </sheetViews>
  <sheetFormatPr defaultColWidth="2.5546875" defaultRowHeight="12.9" customHeight="1" x14ac:dyDescent="0.25"/>
  <cols>
    <col min="1" max="1" width="2.6640625" style="30" customWidth="1"/>
    <col min="2" max="3" width="2.5546875" style="30" customWidth="1"/>
    <col min="4" max="4" width="3.33203125" style="30" customWidth="1"/>
    <col min="5" max="5" width="2.6640625" style="30" customWidth="1"/>
    <col min="6" max="35" width="2.5546875" style="30" customWidth="1"/>
    <col min="36" max="36" width="2.44140625" style="30" customWidth="1"/>
    <col min="37" max="16384" width="2.5546875" style="30"/>
  </cols>
  <sheetData>
    <row r="1" spans="1:42" s="1" customFormat="1" ht="15" customHeight="1" thickTop="1" x14ac:dyDescent="0.25">
      <c r="A1" s="313"/>
      <c r="B1" s="313"/>
      <c r="C1" s="313"/>
      <c r="D1" s="313"/>
      <c r="E1" s="313"/>
      <c r="F1" s="313"/>
      <c r="G1" s="313"/>
      <c r="H1" s="313"/>
      <c r="I1" s="313"/>
      <c r="J1" s="313"/>
      <c r="K1" s="313"/>
      <c r="AP1" s="259" t="s">
        <v>607</v>
      </c>
    </row>
    <row r="2" spans="1:42" s="1" customFormat="1" ht="15" customHeight="1" x14ac:dyDescent="0.25">
      <c r="A2" s="313" t="s">
        <v>22</v>
      </c>
      <c r="B2" s="313"/>
      <c r="C2" s="313"/>
      <c r="D2" s="313"/>
      <c r="E2" s="313"/>
      <c r="F2" s="313"/>
      <c r="G2" s="313"/>
      <c r="H2" s="313"/>
      <c r="I2" s="313"/>
      <c r="J2" s="313"/>
      <c r="K2" s="313"/>
      <c r="L2" s="313"/>
      <c r="M2" s="313"/>
      <c r="N2" s="313"/>
      <c r="O2" s="313"/>
      <c r="P2" s="313"/>
      <c r="Q2" s="313"/>
      <c r="AP2" s="255" t="s">
        <v>608</v>
      </c>
    </row>
    <row r="3" spans="1:42" s="32" customFormat="1" ht="12.9" customHeight="1" x14ac:dyDescent="0.2"/>
    <row r="4" spans="1:42" s="169" customFormat="1" ht="13.5" customHeight="1" x14ac:dyDescent="0.25">
      <c r="A4" s="136" t="s">
        <v>287</v>
      </c>
      <c r="B4" s="52" t="s">
        <v>475</v>
      </c>
      <c r="C4" s="211"/>
      <c r="D4" s="211"/>
      <c r="E4" s="211"/>
      <c r="F4" s="211"/>
      <c r="G4" s="211"/>
      <c r="H4" s="211"/>
      <c r="I4" s="211"/>
      <c r="J4" s="211"/>
      <c r="K4" s="211"/>
      <c r="L4" s="211"/>
      <c r="M4" s="211"/>
      <c r="N4" s="211"/>
      <c r="Q4" s="88"/>
      <c r="R4" s="88"/>
      <c r="S4" s="88"/>
      <c r="T4" s="88"/>
      <c r="U4" s="88"/>
      <c r="V4" s="88"/>
      <c r="W4" s="88"/>
      <c r="X4" s="88"/>
      <c r="Y4" s="88"/>
      <c r="Z4" s="88"/>
      <c r="AA4" s="88"/>
      <c r="AB4" s="88"/>
      <c r="AC4" s="88"/>
      <c r="AD4" s="88"/>
      <c r="AE4" s="88"/>
      <c r="AF4" s="209"/>
      <c r="AG4" s="209"/>
      <c r="AH4" s="209"/>
      <c r="AI4" s="209"/>
      <c r="AJ4" s="209"/>
      <c r="AK4" s="209"/>
    </row>
    <row r="5" spans="1:42" s="169" customFormat="1" ht="14.25" customHeight="1" x14ac:dyDescent="0.25">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row>
    <row r="6" spans="1:42" s="169" customFormat="1" ht="12.9" customHeight="1" x14ac:dyDescent="0.25">
      <c r="A6" s="73" t="s">
        <v>360</v>
      </c>
      <c r="B6" s="52" t="s">
        <v>370</v>
      </c>
      <c r="C6" s="53"/>
      <c r="D6" s="53"/>
      <c r="E6" s="53"/>
      <c r="F6" s="53"/>
      <c r="G6" s="53"/>
      <c r="H6" s="53"/>
      <c r="I6" s="53"/>
    </row>
    <row r="7" spans="1:42" s="169" customFormat="1" ht="12.9" customHeight="1" x14ac:dyDescent="0.25">
      <c r="A7" s="73"/>
      <c r="B7" s="416" t="s">
        <v>367</v>
      </c>
      <c r="C7" s="416"/>
      <c r="D7" s="416"/>
      <c r="E7" s="416"/>
      <c r="F7" s="416"/>
      <c r="G7" s="416"/>
      <c r="H7" s="416"/>
      <c r="I7" s="416"/>
      <c r="J7" s="416"/>
      <c r="K7" s="416"/>
      <c r="L7" s="416"/>
      <c r="M7" s="124" t="s">
        <v>368</v>
      </c>
    </row>
    <row r="8" spans="1:42" s="169" customFormat="1" ht="12.9" customHeight="1" x14ac:dyDescent="0.25">
      <c r="A8" s="73"/>
      <c r="B8" s="418" t="s">
        <v>369</v>
      </c>
      <c r="C8" s="418"/>
      <c r="D8" s="418"/>
      <c r="E8" s="418"/>
      <c r="F8" s="418"/>
      <c r="G8" s="418"/>
      <c r="H8" s="418"/>
      <c r="I8" s="418"/>
      <c r="J8" s="418"/>
      <c r="AL8" s="83"/>
    </row>
    <row r="9" spans="1:42" s="169" customFormat="1" ht="12.9" customHeight="1" x14ac:dyDescent="0.25">
      <c r="A9" s="73"/>
      <c r="B9" s="53"/>
      <c r="C9" s="53"/>
      <c r="D9" s="53"/>
      <c r="E9" s="53"/>
      <c r="F9" s="53"/>
      <c r="G9" s="53"/>
      <c r="H9" s="53"/>
      <c r="I9" s="53"/>
      <c r="J9" s="53"/>
      <c r="AL9" s="83"/>
    </row>
    <row r="10" spans="1:42" s="169" customFormat="1" ht="59.25" customHeight="1" x14ac:dyDescent="0.25">
      <c r="A10" s="73"/>
      <c r="B10" s="417" t="s">
        <v>371</v>
      </c>
      <c r="C10" s="417"/>
      <c r="D10" s="417"/>
      <c r="E10" s="417"/>
      <c r="F10" s="417"/>
      <c r="G10" s="417"/>
      <c r="H10" s="417"/>
      <c r="I10" s="417"/>
      <c r="J10" s="417"/>
      <c r="K10" s="417"/>
      <c r="L10" s="417"/>
      <c r="M10" s="417"/>
      <c r="N10" s="417"/>
      <c r="O10" s="417"/>
      <c r="P10" s="417"/>
      <c r="Q10" s="417"/>
      <c r="R10" s="417"/>
      <c r="S10" s="417"/>
      <c r="T10" s="417"/>
      <c r="U10" s="417"/>
      <c r="V10" s="417"/>
      <c r="W10" s="417"/>
      <c r="X10" s="417"/>
      <c r="Y10" s="417"/>
      <c r="Z10" s="417"/>
      <c r="AA10" s="417"/>
      <c r="AB10" s="417"/>
      <c r="AC10" s="417"/>
      <c r="AD10" s="417"/>
      <c r="AE10" s="417"/>
      <c r="AF10" s="417"/>
      <c r="AG10" s="417"/>
      <c r="AH10" s="417"/>
      <c r="AI10" s="417"/>
      <c r="AJ10" s="417"/>
      <c r="AK10" s="417"/>
    </row>
    <row r="11" spans="1:42" s="169" customFormat="1" ht="13.5" customHeight="1" x14ac:dyDescent="0.25">
      <c r="B11" s="245" t="s">
        <v>576</v>
      </c>
      <c r="C11" s="244"/>
      <c r="D11" s="244"/>
      <c r="E11" s="244"/>
      <c r="F11" s="244"/>
      <c r="G11" s="244"/>
      <c r="H11" s="244"/>
      <c r="I11" s="244"/>
      <c r="J11" s="244"/>
      <c r="K11" s="244"/>
      <c r="L11" s="244"/>
      <c r="M11" s="244"/>
      <c r="N11" s="244"/>
      <c r="O11" s="244"/>
      <c r="P11" s="244"/>
      <c r="Q11" s="244"/>
      <c r="R11" s="244"/>
      <c r="S11" s="244"/>
      <c r="T11" s="244"/>
      <c r="U11" s="244"/>
      <c r="V11" s="244"/>
      <c r="W11" s="244"/>
      <c r="X11" s="244"/>
      <c r="Y11" s="244"/>
      <c r="Z11" s="244"/>
      <c r="AA11" s="244"/>
      <c r="AB11" s="244"/>
      <c r="AC11" s="244"/>
      <c r="AD11" s="244"/>
      <c r="AE11" s="244"/>
      <c r="AF11" s="244"/>
      <c r="AG11" s="244"/>
      <c r="AH11" s="244"/>
      <c r="AI11" s="244"/>
      <c r="AJ11" s="244"/>
      <c r="AK11" s="244"/>
    </row>
    <row r="12" spans="1:42" s="169" customFormat="1" ht="13.5" customHeight="1" x14ac:dyDescent="0.25">
      <c r="B12" s="35" t="s">
        <v>466</v>
      </c>
      <c r="C12" s="212"/>
      <c r="D12" s="212"/>
      <c r="E12" s="212"/>
      <c r="F12" s="212"/>
      <c r="G12" s="212"/>
      <c r="H12" s="212"/>
      <c r="I12" s="212"/>
      <c r="J12" s="212"/>
      <c r="K12" s="212"/>
      <c r="L12" s="212"/>
      <c r="M12" s="212"/>
      <c r="N12" s="212"/>
      <c r="O12" s="212"/>
      <c r="P12" s="212"/>
      <c r="Q12" s="212"/>
      <c r="R12" s="212"/>
      <c r="S12" s="212"/>
      <c r="T12" s="212"/>
      <c r="U12" s="212"/>
      <c r="V12" s="212"/>
      <c r="W12" s="212"/>
      <c r="X12" s="212"/>
      <c r="Y12" s="212"/>
      <c r="Z12" s="212"/>
      <c r="AA12" s="212"/>
      <c r="AB12" s="212"/>
      <c r="AC12" s="212"/>
      <c r="AD12" s="212"/>
      <c r="AE12" s="212"/>
      <c r="AF12" s="212"/>
      <c r="AG12" s="212"/>
      <c r="AH12" s="212"/>
      <c r="AI12" s="212"/>
      <c r="AJ12" s="212"/>
      <c r="AK12" s="212"/>
    </row>
    <row r="13" spans="1:42" s="169" customFormat="1" ht="13.5" customHeight="1" x14ac:dyDescent="0.25">
      <c r="B13" s="35"/>
      <c r="C13" s="212"/>
      <c r="D13" s="212"/>
      <c r="E13" s="212"/>
      <c r="F13" s="212"/>
      <c r="G13" s="212"/>
      <c r="H13" s="212"/>
      <c r="I13" s="212"/>
      <c r="J13" s="212"/>
      <c r="K13" s="212"/>
      <c r="L13" s="212"/>
      <c r="M13" s="212"/>
      <c r="N13" s="212"/>
      <c r="O13" s="212"/>
      <c r="P13" s="212"/>
      <c r="Q13" s="212"/>
      <c r="R13" s="212"/>
      <c r="S13" s="212"/>
      <c r="T13" s="212"/>
      <c r="U13" s="212"/>
      <c r="V13" s="212"/>
      <c r="W13" s="212"/>
      <c r="X13" s="212"/>
      <c r="Y13" s="212"/>
      <c r="Z13" s="212"/>
      <c r="AA13" s="212"/>
      <c r="AB13" s="212"/>
      <c r="AC13" s="212"/>
      <c r="AD13" s="212"/>
      <c r="AE13" s="212"/>
      <c r="AF13" s="212"/>
      <c r="AG13" s="212"/>
      <c r="AH13" s="212"/>
      <c r="AI13" s="212"/>
      <c r="AJ13" s="212"/>
      <c r="AK13" s="212"/>
    </row>
    <row r="14" spans="1:42" s="169" customFormat="1" ht="12" customHeight="1" x14ac:dyDescent="0.25">
      <c r="B14" s="215" t="s">
        <v>467</v>
      </c>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c r="AA14" s="216"/>
      <c r="AB14" s="216"/>
      <c r="AC14" s="216"/>
      <c r="AD14" s="216"/>
      <c r="AE14" s="216"/>
      <c r="AF14" s="216"/>
      <c r="AG14" s="216"/>
      <c r="AH14" s="216"/>
      <c r="AI14" s="216"/>
      <c r="AJ14" s="216"/>
      <c r="AK14" s="212"/>
    </row>
    <row r="15" spans="1:42" s="169" customFormat="1" ht="12" customHeight="1" x14ac:dyDescent="0.25">
      <c r="B15" s="215" t="s">
        <v>376</v>
      </c>
      <c r="C15" s="216"/>
      <c r="D15" s="216"/>
      <c r="E15" s="216"/>
      <c r="F15" s="216"/>
      <c r="G15" s="216"/>
      <c r="H15" s="216"/>
      <c r="I15" s="216"/>
      <c r="J15" s="216"/>
      <c r="K15" s="216"/>
      <c r="L15" s="216"/>
      <c r="M15" s="216"/>
      <c r="N15" s="216"/>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2"/>
    </row>
    <row r="16" spans="1:42" s="169" customFormat="1" ht="13.5" customHeight="1" x14ac:dyDescent="0.25">
      <c r="B16" s="212"/>
      <c r="C16" s="212"/>
      <c r="D16" s="212"/>
      <c r="E16" s="212"/>
      <c r="F16" s="212"/>
      <c r="G16" s="212"/>
      <c r="H16" s="212"/>
      <c r="I16" s="212"/>
      <c r="J16" s="212"/>
      <c r="K16" s="212"/>
      <c r="L16" s="212"/>
      <c r="M16" s="212"/>
      <c r="N16" s="212"/>
      <c r="O16" s="212"/>
      <c r="P16" s="212"/>
      <c r="Q16" s="212"/>
      <c r="R16" s="212"/>
      <c r="S16" s="212"/>
      <c r="T16" s="212"/>
      <c r="U16" s="212"/>
      <c r="V16" s="212"/>
      <c r="W16" s="212"/>
      <c r="X16" s="212"/>
      <c r="Y16" s="212"/>
      <c r="Z16" s="212"/>
      <c r="AA16" s="212"/>
      <c r="AB16" s="212"/>
      <c r="AC16" s="212"/>
      <c r="AD16" s="212"/>
      <c r="AE16" s="212"/>
      <c r="AF16" s="212"/>
      <c r="AG16" s="212"/>
      <c r="AH16" s="212"/>
      <c r="AI16" s="212"/>
      <c r="AJ16" s="212"/>
      <c r="AK16" s="212"/>
    </row>
    <row r="17" spans="1:50" s="32" customFormat="1" ht="12.9" customHeight="1" x14ac:dyDescent="0.2">
      <c r="A17" s="137"/>
      <c r="B17" s="61"/>
      <c r="C17" s="124" t="s">
        <v>164</v>
      </c>
      <c r="D17" s="64"/>
      <c r="E17" s="57"/>
      <c r="F17" s="53"/>
      <c r="G17" s="53"/>
      <c r="H17" s="53"/>
      <c r="I17" s="54"/>
      <c r="J17" s="54"/>
      <c r="O17" s="129"/>
      <c r="P17" s="129"/>
      <c r="Q17" s="129"/>
    </row>
    <row r="18" spans="1:50" s="32" customFormat="1" ht="12.9" customHeight="1" x14ac:dyDescent="0.2">
      <c r="A18" s="137"/>
      <c r="B18" s="61"/>
      <c r="C18" s="53" t="s">
        <v>165</v>
      </c>
      <c r="D18" s="57"/>
      <c r="E18" s="57"/>
      <c r="F18" s="57"/>
      <c r="G18" s="57"/>
      <c r="H18" s="54"/>
      <c r="I18" s="54"/>
      <c r="J18" s="54"/>
    </row>
    <row r="19" spans="1:50" s="32" customFormat="1" ht="12.9" customHeight="1" x14ac:dyDescent="0.2">
      <c r="A19" s="137"/>
      <c r="B19" s="61"/>
      <c r="C19" s="53"/>
      <c r="D19" s="74"/>
      <c r="E19" s="74"/>
      <c r="F19" s="74"/>
      <c r="G19" s="57"/>
      <c r="H19" s="54"/>
      <c r="I19" s="54"/>
      <c r="J19" s="54"/>
      <c r="O19" s="129"/>
      <c r="P19" s="129"/>
      <c r="Q19" s="129"/>
      <c r="R19" s="148"/>
      <c r="T19" s="148"/>
    </row>
    <row r="20" spans="1:50" s="32" customFormat="1" ht="12.9" customHeight="1" x14ac:dyDescent="0.2">
      <c r="A20" s="137"/>
      <c r="B20" s="46"/>
      <c r="C20" s="64"/>
      <c r="D20" s="57"/>
      <c r="E20" s="61" t="s">
        <v>372</v>
      </c>
      <c r="F20" s="57"/>
      <c r="G20" s="57"/>
      <c r="H20" s="54"/>
      <c r="I20" s="54"/>
      <c r="J20" s="54"/>
      <c r="O20" s="149"/>
      <c r="P20" s="149"/>
      <c r="Q20" s="149"/>
    </row>
    <row r="21" spans="1:50" s="32" customFormat="1" ht="12.9" customHeight="1" x14ac:dyDescent="0.2">
      <c r="A21" s="137"/>
      <c r="B21" s="61"/>
      <c r="C21" s="61"/>
      <c r="D21" s="57"/>
      <c r="E21" s="61" t="s">
        <v>166</v>
      </c>
      <c r="F21" s="62"/>
      <c r="G21" s="57"/>
      <c r="H21" s="54"/>
      <c r="I21" s="54"/>
      <c r="J21" s="54"/>
      <c r="O21" s="131"/>
      <c r="P21" s="131"/>
      <c r="Q21" s="131"/>
    </row>
    <row r="22" spans="1:50" s="32" customFormat="1" ht="12.9" customHeight="1" x14ac:dyDescent="0.2">
      <c r="A22" s="137"/>
      <c r="B22" s="61"/>
      <c r="C22" s="61"/>
      <c r="D22" s="57"/>
      <c r="E22" s="61"/>
      <c r="F22" s="62"/>
      <c r="G22" s="57"/>
      <c r="H22" s="54"/>
      <c r="I22" s="54"/>
      <c r="J22" s="54"/>
      <c r="O22" s="131"/>
      <c r="P22" s="131"/>
      <c r="Q22" s="131"/>
    </row>
    <row r="23" spans="1:50" s="32" customFormat="1" ht="12.9" customHeight="1" x14ac:dyDescent="0.2">
      <c r="A23" s="137"/>
      <c r="B23" s="61"/>
      <c r="C23" s="150"/>
      <c r="D23" s="61"/>
      <c r="E23" s="61" t="s">
        <v>167</v>
      </c>
      <c r="F23" s="61"/>
      <c r="G23" s="61"/>
      <c r="H23" s="67"/>
      <c r="I23" s="67"/>
      <c r="J23" s="67"/>
      <c r="K23" s="137"/>
      <c r="L23" s="137"/>
      <c r="M23" s="137"/>
      <c r="N23" s="137"/>
      <c r="O23" s="138"/>
      <c r="P23" s="138"/>
      <c r="Q23" s="138"/>
      <c r="R23" s="137"/>
      <c r="S23" s="137"/>
      <c r="T23" s="137"/>
      <c r="U23" s="137"/>
      <c r="V23" s="137"/>
      <c r="W23" s="137"/>
      <c r="X23" s="137"/>
      <c r="Y23" s="137"/>
      <c r="Z23" s="137"/>
      <c r="AA23" s="137"/>
    </row>
    <row r="24" spans="1:50" s="32" customFormat="1" ht="12.9" customHeight="1" x14ac:dyDescent="0.25">
      <c r="A24" s="154"/>
      <c r="B24" s="136"/>
      <c r="C24" s="61"/>
      <c r="D24" s="151"/>
      <c r="E24" s="141"/>
      <c r="F24" s="137"/>
      <c r="G24" s="67"/>
      <c r="H24" s="67"/>
      <c r="I24" s="67"/>
      <c r="J24" s="67"/>
      <c r="K24" s="137"/>
      <c r="L24" s="137"/>
      <c r="M24" s="137"/>
      <c r="N24" s="137"/>
      <c r="O24" s="140"/>
      <c r="P24" s="140"/>
      <c r="Q24" s="140"/>
      <c r="R24" s="137"/>
      <c r="S24" s="137"/>
      <c r="T24" s="137"/>
      <c r="U24" s="137"/>
      <c r="V24" s="137"/>
      <c r="W24" s="137"/>
      <c r="X24" s="137"/>
      <c r="Y24" s="137"/>
      <c r="Z24" s="137"/>
      <c r="AA24" s="137"/>
    </row>
    <row r="25" spans="1:50" s="32" customFormat="1" ht="12.9" customHeight="1" x14ac:dyDescent="0.2">
      <c r="A25" s="137"/>
      <c r="B25" s="61"/>
      <c r="C25" s="61"/>
      <c r="D25" s="142"/>
      <c r="E25" s="145" t="s">
        <v>168</v>
      </c>
      <c r="G25" s="67"/>
      <c r="H25" s="67"/>
      <c r="L25" s="151" t="s">
        <v>373</v>
      </c>
      <c r="M25" s="67"/>
      <c r="N25" s="137"/>
      <c r="O25" s="137"/>
      <c r="P25" s="137"/>
      <c r="Q25" s="137"/>
      <c r="R25" s="138"/>
      <c r="S25" s="152" t="s">
        <v>124</v>
      </c>
      <c r="T25" s="359">
        <f>1+(2288.65-100)/300</f>
        <v>8.2955000000000005</v>
      </c>
      <c r="U25" s="359"/>
      <c r="V25" s="153" t="s">
        <v>374</v>
      </c>
      <c r="W25" s="137"/>
      <c r="X25" s="137"/>
      <c r="Y25" s="137"/>
      <c r="Z25" s="137"/>
      <c r="AA25" s="137"/>
      <c r="AX25" s="32" t="s">
        <v>174</v>
      </c>
    </row>
    <row r="26" spans="1:50" s="32" customFormat="1" ht="12.9" customHeight="1" x14ac:dyDescent="0.2">
      <c r="A26" s="137"/>
      <c r="B26" s="61"/>
      <c r="C26" s="61"/>
      <c r="D26" s="67"/>
      <c r="E26" s="137"/>
      <c r="F26" s="67"/>
      <c r="G26" s="67"/>
      <c r="H26" s="67"/>
      <c r="I26" s="137"/>
      <c r="M26" s="405">
        <v>300</v>
      </c>
      <c r="N26" s="405"/>
      <c r="O26" s="405"/>
      <c r="P26" s="405"/>
      <c r="Q26" s="143"/>
      <c r="R26" s="67"/>
      <c r="S26" s="137"/>
      <c r="T26" s="137"/>
      <c r="U26" s="137"/>
      <c r="V26" s="137"/>
      <c r="W26" s="137"/>
      <c r="X26" s="137"/>
      <c r="Y26" s="137"/>
      <c r="Z26" s="137"/>
      <c r="AA26" s="137"/>
    </row>
    <row r="27" spans="1:50" s="32" customFormat="1" ht="12.9" customHeight="1" x14ac:dyDescent="0.2">
      <c r="A27" s="137"/>
      <c r="B27" s="61"/>
      <c r="C27" s="61"/>
      <c r="D27" s="61"/>
      <c r="E27" s="67"/>
      <c r="F27" s="67"/>
      <c r="G27" s="67"/>
      <c r="H27" s="67"/>
      <c r="I27" s="67"/>
      <c r="J27" s="67"/>
      <c r="K27" s="137"/>
      <c r="L27" s="137"/>
      <c r="M27" s="137"/>
      <c r="N27" s="137"/>
      <c r="O27" s="137"/>
      <c r="P27" s="137"/>
      <c r="Q27" s="137"/>
      <c r="R27" s="137"/>
      <c r="S27" s="137"/>
      <c r="T27" s="137"/>
      <c r="U27" s="137"/>
      <c r="V27" s="137"/>
      <c r="W27" s="137"/>
      <c r="X27" s="137"/>
      <c r="Y27" s="137"/>
      <c r="Z27" s="137"/>
      <c r="AA27" s="137"/>
    </row>
    <row r="28" spans="1:50" s="32" customFormat="1" ht="12.9" customHeight="1" x14ac:dyDescent="0.2">
      <c r="B28" s="53"/>
      <c r="C28" s="46"/>
      <c r="D28" s="61"/>
      <c r="E28" s="61" t="s">
        <v>169</v>
      </c>
      <c r="F28" s="137"/>
      <c r="G28" s="137"/>
      <c r="H28" s="137"/>
      <c r="I28" s="67"/>
      <c r="J28" s="67"/>
      <c r="K28" s="137"/>
      <c r="L28" s="137"/>
      <c r="M28" s="137"/>
      <c r="N28" s="137"/>
      <c r="O28" s="142"/>
      <c r="P28" s="142"/>
      <c r="Q28" s="142"/>
      <c r="R28" s="137"/>
      <c r="S28" s="61"/>
      <c r="T28" s="137"/>
      <c r="U28" s="137"/>
      <c r="V28" s="137"/>
      <c r="W28" s="137"/>
      <c r="X28" s="137"/>
      <c r="Y28" s="137"/>
      <c r="Z28" s="137"/>
      <c r="AA28" s="137"/>
    </row>
    <row r="29" spans="1:50" s="32" customFormat="1" ht="12.9" customHeight="1" x14ac:dyDescent="0.2">
      <c r="B29" s="53"/>
      <c r="C29" s="46"/>
      <c r="D29" s="61"/>
      <c r="E29" s="67"/>
      <c r="F29" s="137"/>
      <c r="G29" s="207" t="s">
        <v>385</v>
      </c>
      <c r="H29" s="137"/>
      <c r="I29" s="67"/>
      <c r="J29" s="67"/>
      <c r="K29" s="137"/>
      <c r="L29" s="137"/>
      <c r="M29" s="137"/>
      <c r="N29" s="137"/>
      <c r="O29" s="61"/>
      <c r="P29" s="137"/>
      <c r="Q29" s="67"/>
      <c r="R29" s="137"/>
      <c r="S29" s="61"/>
      <c r="T29" s="403">
        <f>(2*50.3)+(2*45.5)</f>
        <v>191.6</v>
      </c>
      <c r="U29" s="403"/>
      <c r="V29" s="403"/>
      <c r="W29" s="128"/>
      <c r="X29" s="128"/>
      <c r="Y29" s="137"/>
      <c r="Z29" s="137"/>
      <c r="AA29" s="137"/>
    </row>
    <row r="30" spans="1:50" s="32" customFormat="1" ht="12.9" customHeight="1" x14ac:dyDescent="0.2">
      <c r="B30" s="57"/>
      <c r="C30" s="53"/>
      <c r="D30" s="53"/>
      <c r="E30" s="54"/>
      <c r="I30" s="54"/>
      <c r="J30" s="54"/>
      <c r="O30" s="402"/>
      <c r="P30" s="402"/>
      <c r="Q30" s="402"/>
      <c r="S30" s="53"/>
      <c r="V30" s="34"/>
    </row>
    <row r="31" spans="1:50" s="32" customFormat="1" ht="12.9" customHeight="1" x14ac:dyDescent="0.2">
      <c r="B31" s="57"/>
      <c r="C31" s="53"/>
      <c r="D31" s="53"/>
      <c r="E31" s="53"/>
      <c r="F31" s="145" t="s">
        <v>170</v>
      </c>
      <c r="G31" s="53"/>
      <c r="H31" s="53"/>
      <c r="I31" s="53"/>
      <c r="J31" s="54"/>
      <c r="O31" s="414">
        <f>T29</f>
        <v>191.6</v>
      </c>
      <c r="P31" s="414"/>
      <c r="Q31" s="414"/>
      <c r="T31" s="63" t="s">
        <v>42</v>
      </c>
      <c r="U31" s="412">
        <f>O31/30</f>
        <v>6.3866666666666667</v>
      </c>
      <c r="V31" s="412"/>
      <c r="W31" s="153" t="s">
        <v>375</v>
      </c>
    </row>
    <row r="32" spans="1:50" s="32" customFormat="1" ht="12.9" customHeight="1" x14ac:dyDescent="0.2">
      <c r="B32" s="53"/>
      <c r="C32" s="53"/>
      <c r="D32" s="53"/>
      <c r="E32" s="53"/>
      <c r="F32" s="53"/>
      <c r="G32" s="53"/>
      <c r="H32" s="53"/>
      <c r="I32" s="53"/>
      <c r="J32" s="54"/>
      <c r="O32" s="400">
        <v>30</v>
      </c>
      <c r="P32" s="400"/>
      <c r="Q32" s="400"/>
    </row>
    <row r="33" spans="1:38" s="32" customFormat="1" ht="12.9" customHeight="1" x14ac:dyDescent="0.2">
      <c r="A33" s="73"/>
      <c r="B33" s="52"/>
      <c r="C33" s="34" t="s">
        <v>575</v>
      </c>
      <c r="E33" s="53"/>
      <c r="F33" s="53"/>
      <c r="G33" s="53"/>
      <c r="H33" s="53"/>
      <c r="I33" s="53"/>
      <c r="J33" s="54"/>
    </row>
    <row r="34" spans="1:38" s="32" customFormat="1" ht="12.9" customHeight="1" x14ac:dyDescent="0.2">
      <c r="B34" s="53"/>
      <c r="C34" s="34" t="s">
        <v>401</v>
      </c>
      <c r="E34" s="54"/>
      <c r="H34" s="81"/>
      <c r="I34" s="54"/>
      <c r="J34" s="54"/>
      <c r="O34" s="74"/>
      <c r="P34" s="74"/>
      <c r="Q34" s="74"/>
      <c r="S34" s="53"/>
    </row>
    <row r="35" spans="1:38" s="32" customFormat="1" ht="12.9" customHeight="1" x14ac:dyDescent="0.2">
      <c r="A35" s="137"/>
      <c r="B35" s="61"/>
      <c r="C35" s="142" t="s">
        <v>377</v>
      </c>
      <c r="E35" s="142"/>
      <c r="F35" s="142"/>
      <c r="G35" s="61"/>
      <c r="H35" s="67"/>
      <c r="I35" s="67"/>
      <c r="J35" s="67"/>
      <c r="K35" s="137"/>
      <c r="L35" s="137"/>
      <c r="M35" s="137"/>
      <c r="N35" s="137"/>
      <c r="O35" s="156"/>
      <c r="P35" s="156"/>
      <c r="Q35" s="156"/>
      <c r="R35" s="157"/>
      <c r="S35" s="137"/>
      <c r="T35" s="157"/>
      <c r="U35" s="137"/>
      <c r="V35" s="137"/>
      <c r="W35" s="137"/>
      <c r="X35" s="137"/>
      <c r="Y35" s="137"/>
      <c r="Z35" s="137"/>
      <c r="AA35" s="137"/>
      <c r="AB35" s="137"/>
      <c r="AC35" s="137"/>
      <c r="AD35" s="137"/>
      <c r="AE35" s="137"/>
      <c r="AF35" s="137"/>
      <c r="AG35" s="137"/>
      <c r="AH35" s="137"/>
      <c r="AI35" s="137"/>
      <c r="AJ35" s="137"/>
    </row>
    <row r="36" spans="1:38" s="32" customFormat="1" ht="12.9" customHeight="1" x14ac:dyDescent="0.2">
      <c r="A36" s="137"/>
      <c r="B36" s="61"/>
      <c r="C36" s="142"/>
      <c r="E36" s="142"/>
      <c r="F36" s="142"/>
      <c r="G36" s="61"/>
      <c r="H36" s="67"/>
      <c r="I36" s="67"/>
      <c r="J36" s="67"/>
      <c r="K36" s="137"/>
      <c r="L36" s="137"/>
      <c r="M36" s="137"/>
      <c r="N36" s="137"/>
      <c r="O36" s="156"/>
      <c r="P36" s="156"/>
      <c r="Q36" s="156"/>
      <c r="R36" s="157"/>
      <c r="S36" s="137"/>
      <c r="T36" s="157"/>
      <c r="U36" s="137"/>
      <c r="V36" s="137"/>
      <c r="W36" s="137"/>
      <c r="X36" s="137"/>
      <c r="Y36" s="137"/>
      <c r="Z36" s="137"/>
      <c r="AA36" s="137"/>
      <c r="AB36" s="137"/>
      <c r="AC36" s="137"/>
      <c r="AD36" s="137"/>
      <c r="AE36" s="137"/>
      <c r="AF36" s="137"/>
      <c r="AG36" s="137"/>
      <c r="AH36" s="137"/>
      <c r="AI36" s="137"/>
      <c r="AJ36" s="137"/>
    </row>
    <row r="37" spans="1:38" s="169" customFormat="1" ht="12.9" customHeight="1" x14ac:dyDescent="0.25">
      <c r="A37" s="73" t="s">
        <v>361</v>
      </c>
      <c r="B37" s="52" t="s">
        <v>468</v>
      </c>
      <c r="C37" s="195"/>
      <c r="D37" s="60"/>
      <c r="E37" s="53"/>
      <c r="F37" s="53"/>
      <c r="G37" s="53"/>
      <c r="H37" s="53"/>
      <c r="I37" s="53"/>
      <c r="J37" s="124"/>
      <c r="K37" s="124"/>
      <c r="L37" s="124"/>
      <c r="M37" s="124"/>
      <c r="N37" s="124"/>
      <c r="O37" s="124"/>
      <c r="P37" s="124"/>
      <c r="Q37" s="124"/>
      <c r="R37" s="124"/>
      <c r="S37" s="124"/>
      <c r="T37" s="124"/>
      <c r="U37" s="124"/>
      <c r="V37" s="124"/>
      <c r="W37" s="124"/>
      <c r="X37" s="124"/>
    </row>
    <row r="38" spans="1:38" s="169" customFormat="1" ht="12.9" customHeight="1" x14ac:dyDescent="0.25">
      <c r="B38" s="53"/>
      <c r="C38" s="53"/>
      <c r="D38" s="53"/>
      <c r="E38" s="124"/>
      <c r="F38" s="124"/>
      <c r="G38" s="124"/>
      <c r="H38" s="124"/>
      <c r="I38" s="124"/>
      <c r="J38" s="124"/>
      <c r="K38" s="124"/>
      <c r="L38" s="124"/>
      <c r="M38" s="419"/>
      <c r="N38" s="419"/>
      <c r="O38" s="124"/>
      <c r="P38" s="124"/>
      <c r="Q38" s="124"/>
      <c r="R38" s="124"/>
      <c r="S38" s="124"/>
      <c r="T38" s="124"/>
      <c r="U38" s="124"/>
      <c r="V38" s="124"/>
      <c r="W38" s="124"/>
      <c r="X38" s="124"/>
    </row>
    <row r="39" spans="1:38" s="169" customFormat="1" ht="46.5" customHeight="1" x14ac:dyDescent="0.25">
      <c r="B39" s="417" t="s">
        <v>365</v>
      </c>
      <c r="C39" s="417"/>
      <c r="D39" s="417"/>
      <c r="E39" s="417"/>
      <c r="F39" s="417"/>
      <c r="G39" s="417"/>
      <c r="H39" s="417"/>
      <c r="I39" s="417"/>
      <c r="J39" s="417"/>
      <c r="K39" s="417"/>
      <c r="L39" s="417"/>
      <c r="M39" s="417"/>
      <c r="N39" s="417"/>
      <c r="O39" s="417"/>
      <c r="P39" s="417"/>
      <c r="Q39" s="417"/>
      <c r="R39" s="417"/>
      <c r="S39" s="417"/>
      <c r="T39" s="417"/>
      <c r="U39" s="417"/>
      <c r="V39" s="417"/>
      <c r="W39" s="417"/>
      <c r="X39" s="417"/>
      <c r="Y39" s="417"/>
      <c r="Z39" s="417"/>
      <c r="AA39" s="417"/>
      <c r="AB39" s="417"/>
      <c r="AC39" s="417"/>
      <c r="AD39" s="417"/>
      <c r="AE39" s="417"/>
      <c r="AF39" s="417"/>
      <c r="AG39" s="417"/>
      <c r="AH39" s="417"/>
      <c r="AI39" s="417"/>
      <c r="AJ39" s="417"/>
      <c r="AK39" s="417"/>
    </row>
    <row r="40" spans="1:38" s="169" customFormat="1" ht="14.25" customHeight="1" x14ac:dyDescent="0.25">
      <c r="B40" s="212"/>
      <c r="C40" s="212"/>
      <c r="D40" s="212"/>
      <c r="E40" s="212"/>
      <c r="F40" s="212"/>
      <c r="G40" s="212"/>
      <c r="H40" s="212"/>
      <c r="I40" s="212"/>
      <c r="J40" s="212"/>
      <c r="K40" s="212"/>
      <c r="L40" s="212"/>
      <c r="M40" s="212"/>
      <c r="N40" s="212"/>
      <c r="O40" s="212"/>
      <c r="P40" s="212"/>
      <c r="Q40" s="212"/>
      <c r="R40" s="212"/>
      <c r="S40" s="212"/>
      <c r="T40" s="212"/>
      <c r="U40" s="212"/>
      <c r="V40" s="212"/>
      <c r="W40" s="212"/>
      <c r="X40" s="212"/>
      <c r="Y40" s="212"/>
      <c r="Z40" s="212"/>
      <c r="AA40" s="212"/>
      <c r="AB40" s="212"/>
      <c r="AC40" s="212"/>
      <c r="AD40" s="212"/>
      <c r="AE40" s="212"/>
      <c r="AF40" s="212"/>
      <c r="AG40" s="212"/>
      <c r="AH40" s="212"/>
      <c r="AI40" s="212"/>
      <c r="AJ40" s="212"/>
      <c r="AK40" s="212"/>
    </row>
    <row r="41" spans="1:38" s="169" customFormat="1" ht="24.75" customHeight="1" x14ac:dyDescent="0.25">
      <c r="B41" s="417" t="s">
        <v>358</v>
      </c>
      <c r="C41" s="417"/>
      <c r="D41" s="417"/>
      <c r="E41" s="417"/>
      <c r="F41" s="417"/>
      <c r="G41" s="417"/>
      <c r="H41" s="417"/>
      <c r="I41" s="417"/>
      <c r="J41" s="417"/>
      <c r="K41" s="417"/>
      <c r="L41" s="417"/>
      <c r="M41" s="417"/>
      <c r="N41" s="417"/>
      <c r="O41" s="417"/>
      <c r="P41" s="417"/>
      <c r="Q41" s="417"/>
      <c r="R41" s="417"/>
      <c r="S41" s="417"/>
      <c r="T41" s="417"/>
      <c r="U41" s="417"/>
      <c r="V41" s="417"/>
      <c r="W41" s="417"/>
      <c r="X41" s="417"/>
      <c r="Y41" s="417"/>
      <c r="Z41" s="417"/>
      <c r="AA41" s="417"/>
      <c r="AB41" s="417"/>
      <c r="AC41" s="417"/>
      <c r="AD41" s="417"/>
      <c r="AE41" s="417"/>
      <c r="AF41" s="417"/>
      <c r="AG41" s="417"/>
      <c r="AH41" s="417"/>
      <c r="AI41" s="417"/>
      <c r="AJ41" s="417"/>
      <c r="AK41" s="417"/>
    </row>
    <row r="42" spans="1:38" s="169" customFormat="1" ht="14.25" customHeight="1" x14ac:dyDescent="0.25">
      <c r="B42" s="212"/>
      <c r="C42" s="212"/>
      <c r="D42" s="212"/>
      <c r="E42" s="212"/>
      <c r="F42" s="212"/>
      <c r="G42" s="212"/>
      <c r="H42" s="212"/>
      <c r="I42" s="212"/>
      <c r="J42" s="212"/>
      <c r="K42" s="212"/>
      <c r="L42" s="212"/>
      <c r="M42" s="212"/>
      <c r="N42" s="212"/>
      <c r="O42" s="212"/>
      <c r="P42" s="212"/>
      <c r="Q42" s="212"/>
      <c r="R42" s="212"/>
      <c r="S42" s="212"/>
      <c r="T42" s="212"/>
      <c r="U42" s="212"/>
      <c r="V42" s="212"/>
      <c r="W42" s="212"/>
      <c r="X42" s="212"/>
      <c r="Y42" s="212"/>
      <c r="Z42" s="212"/>
      <c r="AA42" s="212"/>
      <c r="AB42" s="212"/>
      <c r="AC42" s="212"/>
      <c r="AD42" s="212"/>
      <c r="AE42" s="212"/>
      <c r="AF42" s="212"/>
      <c r="AG42" s="212"/>
      <c r="AH42" s="212"/>
      <c r="AI42" s="212"/>
      <c r="AJ42" s="212"/>
      <c r="AK42" s="212"/>
    </row>
    <row r="43" spans="1:38" s="169" customFormat="1" ht="24" customHeight="1" x14ac:dyDescent="0.25">
      <c r="B43" s="417" t="s">
        <v>359</v>
      </c>
      <c r="C43" s="417"/>
      <c r="D43" s="417"/>
      <c r="E43" s="417"/>
      <c r="F43" s="417"/>
      <c r="G43" s="417"/>
      <c r="H43" s="417"/>
      <c r="I43" s="417"/>
      <c r="J43" s="417"/>
      <c r="K43" s="417"/>
      <c r="L43" s="417"/>
      <c r="M43" s="417"/>
      <c r="N43" s="417"/>
      <c r="O43" s="417"/>
      <c r="P43" s="417"/>
      <c r="Q43" s="417"/>
      <c r="R43" s="417"/>
      <c r="S43" s="417"/>
      <c r="T43" s="417"/>
      <c r="U43" s="417"/>
      <c r="V43" s="417"/>
      <c r="W43" s="417"/>
      <c r="X43" s="417"/>
      <c r="Y43" s="417"/>
      <c r="Z43" s="417"/>
      <c r="AA43" s="417"/>
      <c r="AB43" s="417"/>
      <c r="AC43" s="417"/>
      <c r="AD43" s="417"/>
      <c r="AE43" s="417"/>
      <c r="AF43" s="417"/>
      <c r="AG43" s="417"/>
      <c r="AH43" s="417"/>
      <c r="AI43" s="417"/>
      <c r="AJ43" s="417"/>
      <c r="AK43" s="417"/>
    </row>
    <row r="44" spans="1:38" s="169" customFormat="1" ht="12.9" customHeight="1" x14ac:dyDescent="0.25">
      <c r="B44" s="53"/>
      <c r="C44" s="53"/>
      <c r="D44" s="53"/>
      <c r="E44" s="53"/>
      <c r="F44" s="53"/>
      <c r="G44" s="53"/>
      <c r="H44" s="53"/>
      <c r="I44" s="53"/>
      <c r="J44" s="124"/>
      <c r="K44" s="124"/>
      <c r="L44" s="124"/>
      <c r="M44" s="124"/>
      <c r="N44" s="124"/>
      <c r="O44" s="124"/>
      <c r="P44" s="124"/>
      <c r="Q44" s="124"/>
      <c r="R44" s="124"/>
      <c r="S44" s="124"/>
      <c r="T44" s="124"/>
      <c r="U44" s="124"/>
      <c r="V44" s="124"/>
      <c r="W44" s="124"/>
      <c r="X44" s="124"/>
    </row>
    <row r="45" spans="1:38" s="169" customFormat="1" ht="13.5" customHeight="1" x14ac:dyDescent="0.25">
      <c r="B45" s="417" t="s">
        <v>469</v>
      </c>
      <c r="C45" s="417"/>
      <c r="D45" s="417"/>
      <c r="E45" s="417"/>
      <c r="F45" s="417"/>
      <c r="G45" s="417"/>
      <c r="H45" s="417"/>
      <c r="I45" s="417"/>
      <c r="J45" s="417"/>
      <c r="K45" s="417"/>
      <c r="L45" s="417"/>
      <c r="M45" s="417"/>
      <c r="N45" s="417"/>
      <c r="O45" s="417"/>
      <c r="P45" s="417"/>
      <c r="Q45" s="417"/>
      <c r="R45" s="417"/>
      <c r="S45" s="417"/>
      <c r="T45" s="417"/>
      <c r="U45" s="417"/>
      <c r="V45" s="417"/>
      <c r="W45" s="417"/>
      <c r="X45" s="417"/>
      <c r="Y45" s="417"/>
      <c r="Z45" s="417"/>
      <c r="AA45" s="417"/>
      <c r="AB45" s="417"/>
      <c r="AC45" s="417"/>
      <c r="AD45" s="417"/>
      <c r="AE45" s="417"/>
      <c r="AF45" s="417"/>
      <c r="AG45" s="417"/>
      <c r="AH45" s="417"/>
      <c r="AI45" s="417"/>
      <c r="AJ45" s="417"/>
      <c r="AK45" s="417"/>
    </row>
    <row r="46" spans="1:38" s="169" customFormat="1" ht="12.9" customHeight="1" x14ac:dyDescent="0.25">
      <c r="A46" s="230" t="s">
        <v>470</v>
      </c>
      <c r="B46" s="229" t="s">
        <v>386</v>
      </c>
      <c r="C46" s="195"/>
      <c r="D46" s="60"/>
      <c r="E46" s="53"/>
      <c r="F46" s="53"/>
      <c r="G46" s="53"/>
      <c r="H46" s="53"/>
      <c r="I46" s="53"/>
      <c r="J46" s="124"/>
      <c r="K46" s="124"/>
      <c r="L46" s="124"/>
      <c r="M46" s="124"/>
      <c r="N46" s="124"/>
      <c r="O46" s="124"/>
      <c r="P46" s="124"/>
      <c r="Q46" s="124"/>
      <c r="R46" s="124"/>
      <c r="S46" s="124"/>
      <c r="T46" s="124"/>
      <c r="U46" s="124"/>
      <c r="V46" s="124"/>
      <c r="W46" s="124"/>
      <c r="X46" s="124"/>
    </row>
    <row r="47" spans="1:38" s="169" customFormat="1" ht="12.9" customHeight="1" x14ac:dyDescent="0.25">
      <c r="A47" s="73"/>
      <c r="B47" s="416" t="s">
        <v>505</v>
      </c>
      <c r="C47" s="416"/>
      <c r="D47" s="416"/>
      <c r="E47" s="416"/>
      <c r="F47" s="416"/>
      <c r="G47" s="416"/>
      <c r="H47" s="416"/>
      <c r="I47" s="416"/>
      <c r="J47" s="416"/>
      <c r="K47" s="416"/>
      <c r="L47" s="416"/>
      <c r="M47" s="124"/>
    </row>
    <row r="48" spans="1:38" s="169" customFormat="1" ht="12.9" customHeight="1" x14ac:dyDescent="0.25">
      <c r="B48" s="418" t="s">
        <v>506</v>
      </c>
      <c r="C48" s="418"/>
      <c r="D48" s="418"/>
      <c r="E48" s="418"/>
      <c r="F48" s="418"/>
      <c r="G48" s="418"/>
      <c r="H48" s="418"/>
      <c r="I48" s="418"/>
      <c r="J48" s="418"/>
      <c r="P48" s="124"/>
      <c r="Q48" s="124"/>
      <c r="R48" s="124"/>
      <c r="S48" s="124"/>
      <c r="T48" s="124"/>
      <c r="U48" s="124"/>
      <c r="V48" s="124"/>
      <c r="W48" s="124"/>
      <c r="X48" s="124"/>
      <c r="AL48" s="83"/>
    </row>
    <row r="49" spans="1:37" s="169" customFormat="1" ht="12.9" customHeight="1" x14ac:dyDescent="0.25">
      <c r="B49" s="53"/>
      <c r="C49" s="53"/>
      <c r="D49" s="60"/>
      <c r="E49" s="76"/>
      <c r="F49" s="76"/>
      <c r="G49" s="76"/>
      <c r="H49" s="76"/>
      <c r="I49" s="53"/>
      <c r="J49" s="124"/>
      <c r="K49" s="124"/>
      <c r="L49" s="124"/>
      <c r="M49" s="124"/>
      <c r="N49" s="124"/>
      <c r="O49" s="124"/>
      <c r="P49" s="124"/>
      <c r="Q49" s="124"/>
      <c r="R49" s="124"/>
      <c r="S49" s="124"/>
      <c r="T49" s="124"/>
      <c r="U49" s="124"/>
      <c r="V49" s="124"/>
      <c r="W49" s="124"/>
      <c r="X49" s="124"/>
    </row>
    <row r="50" spans="1:37" s="32" customFormat="1" ht="12.9" customHeight="1" x14ac:dyDescent="0.2">
      <c r="A50" s="137"/>
      <c r="B50" s="61"/>
      <c r="C50" s="61"/>
      <c r="D50" s="142"/>
      <c r="E50" s="142"/>
      <c r="F50" s="142"/>
      <c r="G50" s="61"/>
      <c r="H50" s="67"/>
      <c r="I50" s="67"/>
      <c r="J50" s="67"/>
      <c r="K50" s="137"/>
      <c r="L50" s="137"/>
      <c r="M50" s="137"/>
      <c r="N50" s="137"/>
      <c r="O50" s="156"/>
      <c r="P50" s="156"/>
      <c r="Q50" s="156"/>
      <c r="R50" s="157"/>
      <c r="S50" s="137"/>
      <c r="T50" s="157"/>
      <c r="U50" s="137"/>
      <c r="V50" s="137"/>
      <c r="W50" s="137"/>
      <c r="X50" s="137"/>
      <c r="Y50" s="137"/>
      <c r="Z50" s="137"/>
      <c r="AA50" s="137"/>
      <c r="AB50" s="137"/>
      <c r="AC50" s="137"/>
      <c r="AD50" s="137"/>
      <c r="AE50" s="137"/>
      <c r="AF50" s="137"/>
      <c r="AG50" s="137"/>
      <c r="AH50" s="137"/>
      <c r="AI50" s="137"/>
      <c r="AJ50" s="137"/>
    </row>
    <row r="51" spans="1:37" s="2" customFormat="1" ht="15.6" x14ac:dyDescent="0.3">
      <c r="A51" s="158"/>
      <c r="B51" s="158"/>
      <c r="C51" s="158"/>
      <c r="D51" s="158"/>
      <c r="E51" s="22"/>
      <c r="F51" s="22"/>
      <c r="G51" s="22"/>
      <c r="H51" s="22"/>
      <c r="I51" s="22"/>
      <c r="J51" s="159"/>
      <c r="K51" s="159"/>
      <c r="L51" s="159"/>
      <c r="M51" s="159"/>
      <c r="N51" s="159"/>
      <c r="O51" s="159"/>
      <c r="P51" s="159"/>
      <c r="Q51" s="159"/>
      <c r="R51" s="332"/>
      <c r="S51" s="332"/>
      <c r="T51" s="332"/>
      <c r="U51" s="332"/>
      <c r="V51" s="332"/>
      <c r="W51" s="332"/>
      <c r="X51" s="332"/>
      <c r="Y51" s="332"/>
      <c r="Z51" s="332"/>
      <c r="AA51" s="332"/>
      <c r="AB51" s="341" t="s">
        <v>2</v>
      </c>
      <c r="AC51" s="341"/>
      <c r="AD51" s="341">
        <v>6</v>
      </c>
      <c r="AE51" s="341"/>
      <c r="AF51" s="341" t="s">
        <v>177</v>
      </c>
      <c r="AG51" s="341"/>
      <c r="AH51" s="341">
        <v>7</v>
      </c>
      <c r="AI51" s="341"/>
      <c r="AJ51" s="332"/>
      <c r="AK51" s="332"/>
    </row>
    <row r="52" spans="1:37" s="2" customFormat="1" ht="15.75" customHeight="1" x14ac:dyDescent="0.3">
      <c r="A52" s="340"/>
      <c r="B52" s="340"/>
      <c r="C52" s="340"/>
      <c r="D52" s="340"/>
      <c r="E52" s="340"/>
      <c r="F52" s="23"/>
      <c r="G52" s="23"/>
      <c r="H52" s="23"/>
      <c r="I52" s="23"/>
      <c r="J52" s="23"/>
      <c r="K52" s="23"/>
    </row>
    <row r="53" spans="1:37" s="2" customFormat="1" ht="12.75" customHeight="1" x14ac:dyDescent="0.25">
      <c r="A53" s="30"/>
      <c r="B53" s="66"/>
      <c r="C53" s="34"/>
      <c r="D53" s="66"/>
      <c r="E53" s="66"/>
      <c r="F53" s="66"/>
      <c r="G53" s="66"/>
      <c r="H53" s="66"/>
      <c r="I53" s="66"/>
      <c r="J53"/>
      <c r="K53" s="30"/>
    </row>
  </sheetData>
  <sheetProtection formatCells="0" formatColumns="0" formatRows="0"/>
  <protectedRanges>
    <protectedRange sqref="A71:AK1541" name="Range2"/>
    <protectedRange sqref="A50:O50 Q50:R50 A54:AK70 T50:AK50" name="Range2_8_1"/>
    <protectedRange sqref="A52:AK53 A51:AG51 AJ51:AK51" name="Range2_4_1_2_1"/>
    <protectedRange sqref="AH51:AI51" name="Range2_4_1_2_1_1"/>
    <protectedRange sqref="M8:N15 D46:AK46 A16:AK16 B47:L48 B45:AK45 C12:L14 A46:B46 M5:N6 O47:AK48 M47 A44 A12:A14 M48:N48 A45 A15:L15 M7 N38:AK38 A5:L11 O5:AK15 D37:AK37 A37:B38 A47:A49 B49:AK49 B44:AK44 A39:AK43" name="Range2_1"/>
    <protectedRange sqref="P4:AD4" name="Range1"/>
    <protectedRange sqref="C38:M38" name="Range2_5"/>
    <protectedRange sqref="Q35:R36 T35:AK36 A35:C36 E35:O36" name="Range2_8_1_2_1"/>
    <protectedRange sqref="AK17:AK34 A17:B34" name="Range2_11_3_1"/>
    <protectedRange sqref="F26:F27 P31:S33 H17:H27 E25 O19 AG17:AJ29 G18:G27 F18:F20 O18:P18 O21:O22 O20:P20 Q18:Q23 R18:S18 S28:S30 Q28:Q30 I28:L30 I27:S27 F23 E18:E23 L17:N25 F31:L33 O25:U25 W25:Y25 Z18:AF29 T18:Y24 T26:Y29 I17:K24 O26:P26 R19:R24 R26 O23:P24 W30 D18:D32 E27:E34 Q34:S34 O28:O34 H34:J34 T30:V34 W32:W34 X30:AJ34 M31:N34 C20:C32" name="Range2_10_1_3_1"/>
    <protectedRange sqref="D17:G17 F21:F22" name="Range2_3_1_3_1_1"/>
    <protectedRange sqref="E24" name="Range2_4_2_1_1_1_1"/>
    <protectedRange sqref="C18:C19" name="Range2_6_1_1_1_1"/>
    <protectedRange sqref="C33:C34" name="Range2_10_4_1"/>
    <protectedRange sqref="A3:AK3" name="Range2_1_1"/>
  </protectedRanges>
  <mergeCells count="30">
    <mergeCell ref="A52:E52"/>
    <mergeCell ref="R51:S51"/>
    <mergeCell ref="T51:U51"/>
    <mergeCell ref="B48:J48"/>
    <mergeCell ref="B45:AK45"/>
    <mergeCell ref="V51:W51"/>
    <mergeCell ref="X51:Y51"/>
    <mergeCell ref="AB51:AC51"/>
    <mergeCell ref="AD51:AE51"/>
    <mergeCell ref="B43:AK43"/>
    <mergeCell ref="AF51:AG51"/>
    <mergeCell ref="AH51:AI51"/>
    <mergeCell ref="AJ51:AK51"/>
    <mergeCell ref="Z51:AA51"/>
    <mergeCell ref="B7:L7"/>
    <mergeCell ref="B47:L47"/>
    <mergeCell ref="A1:K1"/>
    <mergeCell ref="A2:Q2"/>
    <mergeCell ref="B39:AK39"/>
    <mergeCell ref="T25:U25"/>
    <mergeCell ref="M26:P26"/>
    <mergeCell ref="T29:V29"/>
    <mergeCell ref="O30:Q30"/>
    <mergeCell ref="B10:AK10"/>
    <mergeCell ref="B8:J8"/>
    <mergeCell ref="O31:Q31"/>
    <mergeCell ref="U31:V31"/>
    <mergeCell ref="O32:Q32"/>
    <mergeCell ref="M38:N38"/>
    <mergeCell ref="B41:AK41"/>
  </mergeCells>
  <hyperlinks>
    <hyperlink ref="AP1" r:id="rId1" xr:uid="{44A94C0B-0838-48C3-AE2B-ED94F7441DC6}"/>
  </hyperlinks>
  <pageMargins left="0.25" right="0.25" top="0.75" bottom="0.75" header="0.3" footer="0.3"/>
  <pageSetup paperSize="9" scale="95" orientation="portrait" r:id="rId2"/>
  <headerFooter alignWithMargins="0">
    <oddHeader xml:space="preserve">&amp;R
</oddHeader>
  </headerFooter>
  <drawing r:id="rId3"/>
  <legacyDrawingHF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8">
    <tabColor rgb="FFB957B2"/>
  </sheetPr>
  <dimension ref="A1:AL66"/>
  <sheetViews>
    <sheetView zoomScale="160" zoomScaleNormal="160" zoomScaleSheetLayoutView="130" workbookViewId="0">
      <selection activeCell="W4" sqref="W4"/>
    </sheetView>
  </sheetViews>
  <sheetFormatPr defaultColWidth="2.5546875" defaultRowHeight="12.9" customHeight="1" x14ac:dyDescent="0.25"/>
  <cols>
    <col min="1" max="1" width="2.5546875" style="169" customWidth="1"/>
    <col min="2" max="3" width="3" style="169" customWidth="1"/>
    <col min="4" max="4" width="2.5546875" style="169" customWidth="1"/>
    <col min="5" max="5" width="4" style="169" customWidth="1"/>
    <col min="6" max="6" width="3" style="169" customWidth="1"/>
    <col min="7" max="12" width="2.5546875" style="169" customWidth="1"/>
    <col min="13" max="13" width="3.5546875" style="169" customWidth="1"/>
    <col min="14" max="14" width="3" style="169" customWidth="1"/>
    <col min="15" max="15" width="3.5546875" style="169" customWidth="1"/>
    <col min="16" max="16" width="3.88671875" style="169" customWidth="1"/>
    <col min="17" max="28" width="2.5546875" style="169" customWidth="1"/>
    <col min="29" max="29" width="2.88671875" style="169" customWidth="1"/>
    <col min="30" max="35" width="2.5546875" style="169" customWidth="1"/>
    <col min="36" max="36" width="2.44140625" style="169" customWidth="1"/>
    <col min="37" max="38" width="2.5546875" style="169"/>
    <col min="39" max="39" width="3.109375" style="169" bestFit="1" customWidth="1"/>
    <col min="40" max="40" width="4" style="169" bestFit="1" customWidth="1"/>
    <col min="41" max="256" width="2.5546875" style="169"/>
    <col min="257" max="257" width="2.5546875" style="169" customWidth="1"/>
    <col min="258" max="259" width="3" style="169" customWidth="1"/>
    <col min="260" max="260" width="2.5546875" style="169" customWidth="1"/>
    <col min="261" max="261" width="4" style="169" customWidth="1"/>
    <col min="262" max="262" width="3" style="169" customWidth="1"/>
    <col min="263" max="268" width="2.5546875" style="169" customWidth="1"/>
    <col min="269" max="269" width="3.5546875" style="169" customWidth="1"/>
    <col min="270" max="270" width="3" style="169" customWidth="1"/>
    <col min="271" max="271" width="3.5546875" style="169" customWidth="1"/>
    <col min="272" max="272" width="3.88671875" style="169" customWidth="1"/>
    <col min="273" max="284" width="2.5546875" style="169" customWidth="1"/>
    <col min="285" max="285" width="2.88671875" style="169" customWidth="1"/>
    <col min="286" max="291" width="2.5546875" style="169" customWidth="1"/>
    <col min="292" max="292" width="2.44140625" style="169" customWidth="1"/>
    <col min="293" max="294" width="2.5546875" style="169"/>
    <col min="295" max="295" width="3.109375" style="169" bestFit="1" customWidth="1"/>
    <col min="296" max="296" width="4" style="169" bestFit="1" customWidth="1"/>
    <col min="297" max="512" width="2.5546875" style="169"/>
    <col min="513" max="513" width="2.5546875" style="169" customWidth="1"/>
    <col min="514" max="515" width="3" style="169" customWidth="1"/>
    <col min="516" max="516" width="2.5546875" style="169" customWidth="1"/>
    <col min="517" max="517" width="4" style="169" customWidth="1"/>
    <col min="518" max="518" width="3" style="169" customWidth="1"/>
    <col min="519" max="524" width="2.5546875" style="169" customWidth="1"/>
    <col min="525" max="525" width="3.5546875" style="169" customWidth="1"/>
    <col min="526" max="526" width="3" style="169" customWidth="1"/>
    <col min="527" max="527" width="3.5546875" style="169" customWidth="1"/>
    <col min="528" max="528" width="3.88671875" style="169" customWidth="1"/>
    <col min="529" max="540" width="2.5546875" style="169" customWidth="1"/>
    <col min="541" max="541" width="2.88671875" style="169" customWidth="1"/>
    <col min="542" max="547" width="2.5546875" style="169" customWidth="1"/>
    <col min="548" max="548" width="2.44140625" style="169" customWidth="1"/>
    <col min="549" max="550" width="2.5546875" style="169"/>
    <col min="551" max="551" width="3.109375" style="169" bestFit="1" customWidth="1"/>
    <col min="552" max="552" width="4" style="169" bestFit="1" customWidth="1"/>
    <col min="553" max="768" width="2.5546875" style="169"/>
    <col min="769" max="769" width="2.5546875" style="169" customWidth="1"/>
    <col min="770" max="771" width="3" style="169" customWidth="1"/>
    <col min="772" max="772" width="2.5546875" style="169" customWidth="1"/>
    <col min="773" max="773" width="4" style="169" customWidth="1"/>
    <col min="774" max="774" width="3" style="169" customWidth="1"/>
    <col min="775" max="780" width="2.5546875" style="169" customWidth="1"/>
    <col min="781" max="781" width="3.5546875" style="169" customWidth="1"/>
    <col min="782" max="782" width="3" style="169" customWidth="1"/>
    <col min="783" max="783" width="3.5546875" style="169" customWidth="1"/>
    <col min="784" max="784" width="3.88671875" style="169" customWidth="1"/>
    <col min="785" max="796" width="2.5546875" style="169" customWidth="1"/>
    <col min="797" max="797" width="2.88671875" style="169" customWidth="1"/>
    <col min="798" max="803" width="2.5546875" style="169" customWidth="1"/>
    <col min="804" max="804" width="2.44140625" style="169" customWidth="1"/>
    <col min="805" max="806" width="2.5546875" style="169"/>
    <col min="807" max="807" width="3.109375" style="169" bestFit="1" customWidth="1"/>
    <col min="808" max="808" width="4" style="169" bestFit="1" customWidth="1"/>
    <col min="809" max="1024" width="2.5546875" style="169"/>
    <col min="1025" max="1025" width="2.5546875" style="169" customWidth="1"/>
    <col min="1026" max="1027" width="3" style="169" customWidth="1"/>
    <col min="1028" max="1028" width="2.5546875" style="169" customWidth="1"/>
    <col min="1029" max="1029" width="4" style="169" customWidth="1"/>
    <col min="1030" max="1030" width="3" style="169" customWidth="1"/>
    <col min="1031" max="1036" width="2.5546875" style="169" customWidth="1"/>
    <col min="1037" max="1037" width="3.5546875" style="169" customWidth="1"/>
    <col min="1038" max="1038" width="3" style="169" customWidth="1"/>
    <col min="1039" max="1039" width="3.5546875" style="169" customWidth="1"/>
    <col min="1040" max="1040" width="3.88671875" style="169" customWidth="1"/>
    <col min="1041" max="1052" width="2.5546875" style="169" customWidth="1"/>
    <col min="1053" max="1053" width="2.88671875" style="169" customWidth="1"/>
    <col min="1054" max="1059" width="2.5546875" style="169" customWidth="1"/>
    <col min="1060" max="1060" width="2.44140625" style="169" customWidth="1"/>
    <col min="1061" max="1062" width="2.5546875" style="169"/>
    <col min="1063" max="1063" width="3.109375" style="169" bestFit="1" customWidth="1"/>
    <col min="1064" max="1064" width="4" style="169" bestFit="1" customWidth="1"/>
    <col min="1065" max="1280" width="2.5546875" style="169"/>
    <col min="1281" max="1281" width="2.5546875" style="169" customWidth="1"/>
    <col min="1282" max="1283" width="3" style="169" customWidth="1"/>
    <col min="1284" max="1284" width="2.5546875" style="169" customWidth="1"/>
    <col min="1285" max="1285" width="4" style="169" customWidth="1"/>
    <col min="1286" max="1286" width="3" style="169" customWidth="1"/>
    <col min="1287" max="1292" width="2.5546875" style="169" customWidth="1"/>
    <col min="1293" max="1293" width="3.5546875" style="169" customWidth="1"/>
    <col min="1294" max="1294" width="3" style="169" customWidth="1"/>
    <col min="1295" max="1295" width="3.5546875" style="169" customWidth="1"/>
    <col min="1296" max="1296" width="3.88671875" style="169" customWidth="1"/>
    <col min="1297" max="1308" width="2.5546875" style="169" customWidth="1"/>
    <col min="1309" max="1309" width="2.88671875" style="169" customWidth="1"/>
    <col min="1310" max="1315" width="2.5546875" style="169" customWidth="1"/>
    <col min="1316" max="1316" width="2.44140625" style="169" customWidth="1"/>
    <col min="1317" max="1318" width="2.5546875" style="169"/>
    <col min="1319" max="1319" width="3.109375" style="169" bestFit="1" customWidth="1"/>
    <col min="1320" max="1320" width="4" style="169" bestFit="1" customWidth="1"/>
    <col min="1321" max="1536" width="2.5546875" style="169"/>
    <col min="1537" max="1537" width="2.5546875" style="169" customWidth="1"/>
    <col min="1538" max="1539" width="3" style="169" customWidth="1"/>
    <col min="1540" max="1540" width="2.5546875" style="169" customWidth="1"/>
    <col min="1541" max="1541" width="4" style="169" customWidth="1"/>
    <col min="1542" max="1542" width="3" style="169" customWidth="1"/>
    <col min="1543" max="1548" width="2.5546875" style="169" customWidth="1"/>
    <col min="1549" max="1549" width="3.5546875" style="169" customWidth="1"/>
    <col min="1550" max="1550" width="3" style="169" customWidth="1"/>
    <col min="1551" max="1551" width="3.5546875" style="169" customWidth="1"/>
    <col min="1552" max="1552" width="3.88671875" style="169" customWidth="1"/>
    <col min="1553" max="1564" width="2.5546875" style="169" customWidth="1"/>
    <col min="1565" max="1565" width="2.88671875" style="169" customWidth="1"/>
    <col min="1566" max="1571" width="2.5546875" style="169" customWidth="1"/>
    <col min="1572" max="1572" width="2.44140625" style="169" customWidth="1"/>
    <col min="1573" max="1574" width="2.5546875" style="169"/>
    <col min="1575" max="1575" width="3.109375" style="169" bestFit="1" customWidth="1"/>
    <col min="1576" max="1576" width="4" style="169" bestFit="1" customWidth="1"/>
    <col min="1577" max="1792" width="2.5546875" style="169"/>
    <col min="1793" max="1793" width="2.5546875" style="169" customWidth="1"/>
    <col min="1794" max="1795" width="3" style="169" customWidth="1"/>
    <col min="1796" max="1796" width="2.5546875" style="169" customWidth="1"/>
    <col min="1797" max="1797" width="4" style="169" customWidth="1"/>
    <col min="1798" max="1798" width="3" style="169" customWidth="1"/>
    <col min="1799" max="1804" width="2.5546875" style="169" customWidth="1"/>
    <col min="1805" max="1805" width="3.5546875" style="169" customWidth="1"/>
    <col min="1806" max="1806" width="3" style="169" customWidth="1"/>
    <col min="1807" max="1807" width="3.5546875" style="169" customWidth="1"/>
    <col min="1808" max="1808" width="3.88671875" style="169" customWidth="1"/>
    <col min="1809" max="1820" width="2.5546875" style="169" customWidth="1"/>
    <col min="1821" max="1821" width="2.88671875" style="169" customWidth="1"/>
    <col min="1822" max="1827" width="2.5546875" style="169" customWidth="1"/>
    <col min="1828" max="1828" width="2.44140625" style="169" customWidth="1"/>
    <col min="1829" max="1830" width="2.5546875" style="169"/>
    <col min="1831" max="1831" width="3.109375" style="169" bestFit="1" customWidth="1"/>
    <col min="1832" max="1832" width="4" style="169" bestFit="1" customWidth="1"/>
    <col min="1833" max="2048" width="2.5546875" style="169"/>
    <col min="2049" max="2049" width="2.5546875" style="169" customWidth="1"/>
    <col min="2050" max="2051" width="3" style="169" customWidth="1"/>
    <col min="2052" max="2052" width="2.5546875" style="169" customWidth="1"/>
    <col min="2053" max="2053" width="4" style="169" customWidth="1"/>
    <col min="2054" max="2054" width="3" style="169" customWidth="1"/>
    <col min="2055" max="2060" width="2.5546875" style="169" customWidth="1"/>
    <col min="2061" max="2061" width="3.5546875" style="169" customWidth="1"/>
    <col min="2062" max="2062" width="3" style="169" customWidth="1"/>
    <col min="2063" max="2063" width="3.5546875" style="169" customWidth="1"/>
    <col min="2064" max="2064" width="3.88671875" style="169" customWidth="1"/>
    <col min="2065" max="2076" width="2.5546875" style="169" customWidth="1"/>
    <col min="2077" max="2077" width="2.88671875" style="169" customWidth="1"/>
    <col min="2078" max="2083" width="2.5546875" style="169" customWidth="1"/>
    <col min="2084" max="2084" width="2.44140625" style="169" customWidth="1"/>
    <col min="2085" max="2086" width="2.5546875" style="169"/>
    <col min="2087" max="2087" width="3.109375" style="169" bestFit="1" customWidth="1"/>
    <col min="2088" max="2088" width="4" style="169" bestFit="1" customWidth="1"/>
    <col min="2089" max="2304" width="2.5546875" style="169"/>
    <col min="2305" max="2305" width="2.5546875" style="169" customWidth="1"/>
    <col min="2306" max="2307" width="3" style="169" customWidth="1"/>
    <col min="2308" max="2308" width="2.5546875" style="169" customWidth="1"/>
    <col min="2309" max="2309" width="4" style="169" customWidth="1"/>
    <col min="2310" max="2310" width="3" style="169" customWidth="1"/>
    <col min="2311" max="2316" width="2.5546875" style="169" customWidth="1"/>
    <col min="2317" max="2317" width="3.5546875" style="169" customWidth="1"/>
    <col min="2318" max="2318" width="3" style="169" customWidth="1"/>
    <col min="2319" max="2319" width="3.5546875" style="169" customWidth="1"/>
    <col min="2320" max="2320" width="3.88671875" style="169" customWidth="1"/>
    <col min="2321" max="2332" width="2.5546875" style="169" customWidth="1"/>
    <col min="2333" max="2333" width="2.88671875" style="169" customWidth="1"/>
    <col min="2334" max="2339" width="2.5546875" style="169" customWidth="1"/>
    <col min="2340" max="2340" width="2.44140625" style="169" customWidth="1"/>
    <col min="2341" max="2342" width="2.5546875" style="169"/>
    <col min="2343" max="2343" width="3.109375" style="169" bestFit="1" customWidth="1"/>
    <col min="2344" max="2344" width="4" style="169" bestFit="1" customWidth="1"/>
    <col min="2345" max="2560" width="2.5546875" style="169"/>
    <col min="2561" max="2561" width="2.5546875" style="169" customWidth="1"/>
    <col min="2562" max="2563" width="3" style="169" customWidth="1"/>
    <col min="2564" max="2564" width="2.5546875" style="169" customWidth="1"/>
    <col min="2565" max="2565" width="4" style="169" customWidth="1"/>
    <col min="2566" max="2566" width="3" style="169" customWidth="1"/>
    <col min="2567" max="2572" width="2.5546875" style="169" customWidth="1"/>
    <col min="2573" max="2573" width="3.5546875" style="169" customWidth="1"/>
    <col min="2574" max="2574" width="3" style="169" customWidth="1"/>
    <col min="2575" max="2575" width="3.5546875" style="169" customWidth="1"/>
    <col min="2576" max="2576" width="3.88671875" style="169" customWidth="1"/>
    <col min="2577" max="2588" width="2.5546875" style="169" customWidth="1"/>
    <col min="2589" max="2589" width="2.88671875" style="169" customWidth="1"/>
    <col min="2590" max="2595" width="2.5546875" style="169" customWidth="1"/>
    <col min="2596" max="2596" width="2.44140625" style="169" customWidth="1"/>
    <col min="2597" max="2598" width="2.5546875" style="169"/>
    <col min="2599" max="2599" width="3.109375" style="169" bestFit="1" customWidth="1"/>
    <col min="2600" max="2600" width="4" style="169" bestFit="1" customWidth="1"/>
    <col min="2601" max="2816" width="2.5546875" style="169"/>
    <col min="2817" max="2817" width="2.5546875" style="169" customWidth="1"/>
    <col min="2818" max="2819" width="3" style="169" customWidth="1"/>
    <col min="2820" max="2820" width="2.5546875" style="169" customWidth="1"/>
    <col min="2821" max="2821" width="4" style="169" customWidth="1"/>
    <col min="2822" max="2822" width="3" style="169" customWidth="1"/>
    <col min="2823" max="2828" width="2.5546875" style="169" customWidth="1"/>
    <col min="2829" max="2829" width="3.5546875" style="169" customWidth="1"/>
    <col min="2830" max="2830" width="3" style="169" customWidth="1"/>
    <col min="2831" max="2831" width="3.5546875" style="169" customWidth="1"/>
    <col min="2832" max="2832" width="3.88671875" style="169" customWidth="1"/>
    <col min="2833" max="2844" width="2.5546875" style="169" customWidth="1"/>
    <col min="2845" max="2845" width="2.88671875" style="169" customWidth="1"/>
    <col min="2846" max="2851" width="2.5546875" style="169" customWidth="1"/>
    <col min="2852" max="2852" width="2.44140625" style="169" customWidth="1"/>
    <col min="2853" max="2854" width="2.5546875" style="169"/>
    <col min="2855" max="2855" width="3.109375" style="169" bestFit="1" customWidth="1"/>
    <col min="2856" max="2856" width="4" style="169" bestFit="1" customWidth="1"/>
    <col min="2857" max="3072" width="2.5546875" style="169"/>
    <col min="3073" max="3073" width="2.5546875" style="169" customWidth="1"/>
    <col min="3074" max="3075" width="3" style="169" customWidth="1"/>
    <col min="3076" max="3076" width="2.5546875" style="169" customWidth="1"/>
    <col min="3077" max="3077" width="4" style="169" customWidth="1"/>
    <col min="3078" max="3078" width="3" style="169" customWidth="1"/>
    <col min="3079" max="3084" width="2.5546875" style="169" customWidth="1"/>
    <col min="3085" max="3085" width="3.5546875" style="169" customWidth="1"/>
    <col min="3086" max="3086" width="3" style="169" customWidth="1"/>
    <col min="3087" max="3087" width="3.5546875" style="169" customWidth="1"/>
    <col min="3088" max="3088" width="3.88671875" style="169" customWidth="1"/>
    <col min="3089" max="3100" width="2.5546875" style="169" customWidth="1"/>
    <col min="3101" max="3101" width="2.88671875" style="169" customWidth="1"/>
    <col min="3102" max="3107" width="2.5546875" style="169" customWidth="1"/>
    <col min="3108" max="3108" width="2.44140625" style="169" customWidth="1"/>
    <col min="3109" max="3110" width="2.5546875" style="169"/>
    <col min="3111" max="3111" width="3.109375" style="169" bestFit="1" customWidth="1"/>
    <col min="3112" max="3112" width="4" style="169" bestFit="1" customWidth="1"/>
    <col min="3113" max="3328" width="2.5546875" style="169"/>
    <col min="3329" max="3329" width="2.5546875" style="169" customWidth="1"/>
    <col min="3330" max="3331" width="3" style="169" customWidth="1"/>
    <col min="3332" max="3332" width="2.5546875" style="169" customWidth="1"/>
    <col min="3333" max="3333" width="4" style="169" customWidth="1"/>
    <col min="3334" max="3334" width="3" style="169" customWidth="1"/>
    <col min="3335" max="3340" width="2.5546875" style="169" customWidth="1"/>
    <col min="3341" max="3341" width="3.5546875" style="169" customWidth="1"/>
    <col min="3342" max="3342" width="3" style="169" customWidth="1"/>
    <col min="3343" max="3343" width="3.5546875" style="169" customWidth="1"/>
    <col min="3344" max="3344" width="3.88671875" style="169" customWidth="1"/>
    <col min="3345" max="3356" width="2.5546875" style="169" customWidth="1"/>
    <col min="3357" max="3357" width="2.88671875" style="169" customWidth="1"/>
    <col min="3358" max="3363" width="2.5546875" style="169" customWidth="1"/>
    <col min="3364" max="3364" width="2.44140625" style="169" customWidth="1"/>
    <col min="3365" max="3366" width="2.5546875" style="169"/>
    <col min="3367" max="3367" width="3.109375" style="169" bestFit="1" customWidth="1"/>
    <col min="3368" max="3368" width="4" style="169" bestFit="1" customWidth="1"/>
    <col min="3369" max="3584" width="2.5546875" style="169"/>
    <col min="3585" max="3585" width="2.5546875" style="169" customWidth="1"/>
    <col min="3586" max="3587" width="3" style="169" customWidth="1"/>
    <col min="3588" max="3588" width="2.5546875" style="169" customWidth="1"/>
    <col min="3589" max="3589" width="4" style="169" customWidth="1"/>
    <col min="3590" max="3590" width="3" style="169" customWidth="1"/>
    <col min="3591" max="3596" width="2.5546875" style="169" customWidth="1"/>
    <col min="3597" max="3597" width="3.5546875" style="169" customWidth="1"/>
    <col min="3598" max="3598" width="3" style="169" customWidth="1"/>
    <col min="3599" max="3599" width="3.5546875" style="169" customWidth="1"/>
    <col min="3600" max="3600" width="3.88671875" style="169" customWidth="1"/>
    <col min="3601" max="3612" width="2.5546875" style="169" customWidth="1"/>
    <col min="3613" max="3613" width="2.88671875" style="169" customWidth="1"/>
    <col min="3614" max="3619" width="2.5546875" style="169" customWidth="1"/>
    <col min="3620" max="3620" width="2.44140625" style="169" customWidth="1"/>
    <col min="3621" max="3622" width="2.5546875" style="169"/>
    <col min="3623" max="3623" width="3.109375" style="169" bestFit="1" customWidth="1"/>
    <col min="3624" max="3624" width="4" style="169" bestFit="1" customWidth="1"/>
    <col min="3625" max="3840" width="2.5546875" style="169"/>
    <col min="3841" max="3841" width="2.5546875" style="169" customWidth="1"/>
    <col min="3842" max="3843" width="3" style="169" customWidth="1"/>
    <col min="3844" max="3844" width="2.5546875" style="169" customWidth="1"/>
    <col min="3845" max="3845" width="4" style="169" customWidth="1"/>
    <col min="3846" max="3846" width="3" style="169" customWidth="1"/>
    <col min="3847" max="3852" width="2.5546875" style="169" customWidth="1"/>
    <col min="3853" max="3853" width="3.5546875" style="169" customWidth="1"/>
    <col min="3854" max="3854" width="3" style="169" customWidth="1"/>
    <col min="3855" max="3855" width="3.5546875" style="169" customWidth="1"/>
    <col min="3856" max="3856" width="3.88671875" style="169" customWidth="1"/>
    <col min="3857" max="3868" width="2.5546875" style="169" customWidth="1"/>
    <col min="3869" max="3869" width="2.88671875" style="169" customWidth="1"/>
    <col min="3870" max="3875" width="2.5546875" style="169" customWidth="1"/>
    <col min="3876" max="3876" width="2.44140625" style="169" customWidth="1"/>
    <col min="3877" max="3878" width="2.5546875" style="169"/>
    <col min="3879" max="3879" width="3.109375" style="169" bestFit="1" customWidth="1"/>
    <col min="3880" max="3880" width="4" style="169" bestFit="1" customWidth="1"/>
    <col min="3881" max="4096" width="2.5546875" style="169"/>
    <col min="4097" max="4097" width="2.5546875" style="169" customWidth="1"/>
    <col min="4098" max="4099" width="3" style="169" customWidth="1"/>
    <col min="4100" max="4100" width="2.5546875" style="169" customWidth="1"/>
    <col min="4101" max="4101" width="4" style="169" customWidth="1"/>
    <col min="4102" max="4102" width="3" style="169" customWidth="1"/>
    <col min="4103" max="4108" width="2.5546875" style="169" customWidth="1"/>
    <col min="4109" max="4109" width="3.5546875" style="169" customWidth="1"/>
    <col min="4110" max="4110" width="3" style="169" customWidth="1"/>
    <col min="4111" max="4111" width="3.5546875" style="169" customWidth="1"/>
    <col min="4112" max="4112" width="3.88671875" style="169" customWidth="1"/>
    <col min="4113" max="4124" width="2.5546875" style="169" customWidth="1"/>
    <col min="4125" max="4125" width="2.88671875" style="169" customWidth="1"/>
    <col min="4126" max="4131" width="2.5546875" style="169" customWidth="1"/>
    <col min="4132" max="4132" width="2.44140625" style="169" customWidth="1"/>
    <col min="4133" max="4134" width="2.5546875" style="169"/>
    <col min="4135" max="4135" width="3.109375" style="169" bestFit="1" customWidth="1"/>
    <col min="4136" max="4136" width="4" style="169" bestFit="1" customWidth="1"/>
    <col min="4137" max="4352" width="2.5546875" style="169"/>
    <col min="4353" max="4353" width="2.5546875" style="169" customWidth="1"/>
    <col min="4354" max="4355" width="3" style="169" customWidth="1"/>
    <col min="4356" max="4356" width="2.5546875" style="169" customWidth="1"/>
    <col min="4357" max="4357" width="4" style="169" customWidth="1"/>
    <col min="4358" max="4358" width="3" style="169" customWidth="1"/>
    <col min="4359" max="4364" width="2.5546875" style="169" customWidth="1"/>
    <col min="4365" max="4365" width="3.5546875" style="169" customWidth="1"/>
    <col min="4366" max="4366" width="3" style="169" customWidth="1"/>
    <col min="4367" max="4367" width="3.5546875" style="169" customWidth="1"/>
    <col min="4368" max="4368" width="3.88671875" style="169" customWidth="1"/>
    <col min="4369" max="4380" width="2.5546875" style="169" customWidth="1"/>
    <col min="4381" max="4381" width="2.88671875" style="169" customWidth="1"/>
    <col min="4382" max="4387" width="2.5546875" style="169" customWidth="1"/>
    <col min="4388" max="4388" width="2.44140625" style="169" customWidth="1"/>
    <col min="4389" max="4390" width="2.5546875" style="169"/>
    <col min="4391" max="4391" width="3.109375" style="169" bestFit="1" customWidth="1"/>
    <col min="4392" max="4392" width="4" style="169" bestFit="1" customWidth="1"/>
    <col min="4393" max="4608" width="2.5546875" style="169"/>
    <col min="4609" max="4609" width="2.5546875" style="169" customWidth="1"/>
    <col min="4610" max="4611" width="3" style="169" customWidth="1"/>
    <col min="4612" max="4612" width="2.5546875" style="169" customWidth="1"/>
    <col min="4613" max="4613" width="4" style="169" customWidth="1"/>
    <col min="4614" max="4614" width="3" style="169" customWidth="1"/>
    <col min="4615" max="4620" width="2.5546875" style="169" customWidth="1"/>
    <col min="4621" max="4621" width="3.5546875" style="169" customWidth="1"/>
    <col min="4622" max="4622" width="3" style="169" customWidth="1"/>
    <col min="4623" max="4623" width="3.5546875" style="169" customWidth="1"/>
    <col min="4624" max="4624" width="3.88671875" style="169" customWidth="1"/>
    <col min="4625" max="4636" width="2.5546875" style="169" customWidth="1"/>
    <col min="4637" max="4637" width="2.88671875" style="169" customWidth="1"/>
    <col min="4638" max="4643" width="2.5546875" style="169" customWidth="1"/>
    <col min="4644" max="4644" width="2.44140625" style="169" customWidth="1"/>
    <col min="4645" max="4646" width="2.5546875" style="169"/>
    <col min="4647" max="4647" width="3.109375" style="169" bestFit="1" customWidth="1"/>
    <col min="4648" max="4648" width="4" style="169" bestFit="1" customWidth="1"/>
    <col min="4649" max="4864" width="2.5546875" style="169"/>
    <col min="4865" max="4865" width="2.5546875" style="169" customWidth="1"/>
    <col min="4866" max="4867" width="3" style="169" customWidth="1"/>
    <col min="4868" max="4868" width="2.5546875" style="169" customWidth="1"/>
    <col min="4869" max="4869" width="4" style="169" customWidth="1"/>
    <col min="4870" max="4870" width="3" style="169" customWidth="1"/>
    <col min="4871" max="4876" width="2.5546875" style="169" customWidth="1"/>
    <col min="4877" max="4877" width="3.5546875" style="169" customWidth="1"/>
    <col min="4878" max="4878" width="3" style="169" customWidth="1"/>
    <col min="4879" max="4879" width="3.5546875" style="169" customWidth="1"/>
    <col min="4880" max="4880" width="3.88671875" style="169" customWidth="1"/>
    <col min="4881" max="4892" width="2.5546875" style="169" customWidth="1"/>
    <col min="4893" max="4893" width="2.88671875" style="169" customWidth="1"/>
    <col min="4894" max="4899" width="2.5546875" style="169" customWidth="1"/>
    <col min="4900" max="4900" width="2.44140625" style="169" customWidth="1"/>
    <col min="4901" max="4902" width="2.5546875" style="169"/>
    <col min="4903" max="4903" width="3.109375" style="169" bestFit="1" customWidth="1"/>
    <col min="4904" max="4904" width="4" style="169" bestFit="1" customWidth="1"/>
    <col min="4905" max="5120" width="2.5546875" style="169"/>
    <col min="5121" max="5121" width="2.5546875" style="169" customWidth="1"/>
    <col min="5122" max="5123" width="3" style="169" customWidth="1"/>
    <col min="5124" max="5124" width="2.5546875" style="169" customWidth="1"/>
    <col min="5125" max="5125" width="4" style="169" customWidth="1"/>
    <col min="5126" max="5126" width="3" style="169" customWidth="1"/>
    <col min="5127" max="5132" width="2.5546875" style="169" customWidth="1"/>
    <col min="5133" max="5133" width="3.5546875" style="169" customWidth="1"/>
    <col min="5134" max="5134" width="3" style="169" customWidth="1"/>
    <col min="5135" max="5135" width="3.5546875" style="169" customWidth="1"/>
    <col min="5136" max="5136" width="3.88671875" style="169" customWidth="1"/>
    <col min="5137" max="5148" width="2.5546875" style="169" customWidth="1"/>
    <col min="5149" max="5149" width="2.88671875" style="169" customWidth="1"/>
    <col min="5150" max="5155" width="2.5546875" style="169" customWidth="1"/>
    <col min="5156" max="5156" width="2.44140625" style="169" customWidth="1"/>
    <col min="5157" max="5158" width="2.5546875" style="169"/>
    <col min="5159" max="5159" width="3.109375" style="169" bestFit="1" customWidth="1"/>
    <col min="5160" max="5160" width="4" style="169" bestFit="1" customWidth="1"/>
    <col min="5161" max="5376" width="2.5546875" style="169"/>
    <col min="5377" max="5377" width="2.5546875" style="169" customWidth="1"/>
    <col min="5378" max="5379" width="3" style="169" customWidth="1"/>
    <col min="5380" max="5380" width="2.5546875" style="169" customWidth="1"/>
    <col min="5381" max="5381" width="4" style="169" customWidth="1"/>
    <col min="5382" max="5382" width="3" style="169" customWidth="1"/>
    <col min="5383" max="5388" width="2.5546875" style="169" customWidth="1"/>
    <col min="5389" max="5389" width="3.5546875" style="169" customWidth="1"/>
    <col min="5390" max="5390" width="3" style="169" customWidth="1"/>
    <col min="5391" max="5391" width="3.5546875" style="169" customWidth="1"/>
    <col min="5392" max="5392" width="3.88671875" style="169" customWidth="1"/>
    <col min="5393" max="5404" width="2.5546875" style="169" customWidth="1"/>
    <col min="5405" max="5405" width="2.88671875" style="169" customWidth="1"/>
    <col min="5406" max="5411" width="2.5546875" style="169" customWidth="1"/>
    <col min="5412" max="5412" width="2.44140625" style="169" customWidth="1"/>
    <col min="5413" max="5414" width="2.5546875" style="169"/>
    <col min="5415" max="5415" width="3.109375" style="169" bestFit="1" customWidth="1"/>
    <col min="5416" max="5416" width="4" style="169" bestFit="1" customWidth="1"/>
    <col min="5417" max="5632" width="2.5546875" style="169"/>
    <col min="5633" max="5633" width="2.5546875" style="169" customWidth="1"/>
    <col min="5634" max="5635" width="3" style="169" customWidth="1"/>
    <col min="5636" max="5636" width="2.5546875" style="169" customWidth="1"/>
    <col min="5637" max="5637" width="4" style="169" customWidth="1"/>
    <col min="5638" max="5638" width="3" style="169" customWidth="1"/>
    <col min="5639" max="5644" width="2.5546875" style="169" customWidth="1"/>
    <col min="5645" max="5645" width="3.5546875" style="169" customWidth="1"/>
    <col min="5646" max="5646" width="3" style="169" customWidth="1"/>
    <col min="5647" max="5647" width="3.5546875" style="169" customWidth="1"/>
    <col min="5648" max="5648" width="3.88671875" style="169" customWidth="1"/>
    <col min="5649" max="5660" width="2.5546875" style="169" customWidth="1"/>
    <col min="5661" max="5661" width="2.88671875" style="169" customWidth="1"/>
    <col min="5662" max="5667" width="2.5546875" style="169" customWidth="1"/>
    <col min="5668" max="5668" width="2.44140625" style="169" customWidth="1"/>
    <col min="5669" max="5670" width="2.5546875" style="169"/>
    <col min="5671" max="5671" width="3.109375" style="169" bestFit="1" customWidth="1"/>
    <col min="5672" max="5672" width="4" style="169" bestFit="1" customWidth="1"/>
    <col min="5673" max="5888" width="2.5546875" style="169"/>
    <col min="5889" max="5889" width="2.5546875" style="169" customWidth="1"/>
    <col min="5890" max="5891" width="3" style="169" customWidth="1"/>
    <col min="5892" max="5892" width="2.5546875" style="169" customWidth="1"/>
    <col min="5893" max="5893" width="4" style="169" customWidth="1"/>
    <col min="5894" max="5894" width="3" style="169" customWidth="1"/>
    <col min="5895" max="5900" width="2.5546875" style="169" customWidth="1"/>
    <col min="5901" max="5901" width="3.5546875" style="169" customWidth="1"/>
    <col min="5902" max="5902" width="3" style="169" customWidth="1"/>
    <col min="5903" max="5903" width="3.5546875" style="169" customWidth="1"/>
    <col min="5904" max="5904" width="3.88671875" style="169" customWidth="1"/>
    <col min="5905" max="5916" width="2.5546875" style="169" customWidth="1"/>
    <col min="5917" max="5917" width="2.88671875" style="169" customWidth="1"/>
    <col min="5918" max="5923" width="2.5546875" style="169" customWidth="1"/>
    <col min="5924" max="5924" width="2.44140625" style="169" customWidth="1"/>
    <col min="5925" max="5926" width="2.5546875" style="169"/>
    <col min="5927" max="5927" width="3.109375" style="169" bestFit="1" customWidth="1"/>
    <col min="5928" max="5928" width="4" style="169" bestFit="1" customWidth="1"/>
    <col min="5929" max="6144" width="2.5546875" style="169"/>
    <col min="6145" max="6145" width="2.5546875" style="169" customWidth="1"/>
    <col min="6146" max="6147" width="3" style="169" customWidth="1"/>
    <col min="6148" max="6148" width="2.5546875" style="169" customWidth="1"/>
    <col min="6149" max="6149" width="4" style="169" customWidth="1"/>
    <col min="6150" max="6150" width="3" style="169" customWidth="1"/>
    <col min="6151" max="6156" width="2.5546875" style="169" customWidth="1"/>
    <col min="6157" max="6157" width="3.5546875" style="169" customWidth="1"/>
    <col min="6158" max="6158" width="3" style="169" customWidth="1"/>
    <col min="6159" max="6159" width="3.5546875" style="169" customWidth="1"/>
    <col min="6160" max="6160" width="3.88671875" style="169" customWidth="1"/>
    <col min="6161" max="6172" width="2.5546875" style="169" customWidth="1"/>
    <col min="6173" max="6173" width="2.88671875" style="169" customWidth="1"/>
    <col min="6174" max="6179" width="2.5546875" style="169" customWidth="1"/>
    <col min="6180" max="6180" width="2.44140625" style="169" customWidth="1"/>
    <col min="6181" max="6182" width="2.5546875" style="169"/>
    <col min="6183" max="6183" width="3.109375" style="169" bestFit="1" customWidth="1"/>
    <col min="6184" max="6184" width="4" style="169" bestFit="1" customWidth="1"/>
    <col min="6185" max="6400" width="2.5546875" style="169"/>
    <col min="6401" max="6401" width="2.5546875" style="169" customWidth="1"/>
    <col min="6402" max="6403" width="3" style="169" customWidth="1"/>
    <col min="6404" max="6404" width="2.5546875" style="169" customWidth="1"/>
    <col min="6405" max="6405" width="4" style="169" customWidth="1"/>
    <col min="6406" max="6406" width="3" style="169" customWidth="1"/>
    <col min="6407" max="6412" width="2.5546875" style="169" customWidth="1"/>
    <col min="6413" max="6413" width="3.5546875" style="169" customWidth="1"/>
    <col min="6414" max="6414" width="3" style="169" customWidth="1"/>
    <col min="6415" max="6415" width="3.5546875" style="169" customWidth="1"/>
    <col min="6416" max="6416" width="3.88671875" style="169" customWidth="1"/>
    <col min="6417" max="6428" width="2.5546875" style="169" customWidth="1"/>
    <col min="6429" max="6429" width="2.88671875" style="169" customWidth="1"/>
    <col min="6430" max="6435" width="2.5546875" style="169" customWidth="1"/>
    <col min="6436" max="6436" width="2.44140625" style="169" customWidth="1"/>
    <col min="6437" max="6438" width="2.5546875" style="169"/>
    <col min="6439" max="6439" width="3.109375" style="169" bestFit="1" customWidth="1"/>
    <col min="6440" max="6440" width="4" style="169" bestFit="1" customWidth="1"/>
    <col min="6441" max="6656" width="2.5546875" style="169"/>
    <col min="6657" max="6657" width="2.5546875" style="169" customWidth="1"/>
    <col min="6658" max="6659" width="3" style="169" customWidth="1"/>
    <col min="6660" max="6660" width="2.5546875" style="169" customWidth="1"/>
    <col min="6661" max="6661" width="4" style="169" customWidth="1"/>
    <col min="6662" max="6662" width="3" style="169" customWidth="1"/>
    <col min="6663" max="6668" width="2.5546875" style="169" customWidth="1"/>
    <col min="6669" max="6669" width="3.5546875" style="169" customWidth="1"/>
    <col min="6670" max="6670" width="3" style="169" customWidth="1"/>
    <col min="6671" max="6671" width="3.5546875" style="169" customWidth="1"/>
    <col min="6672" max="6672" width="3.88671875" style="169" customWidth="1"/>
    <col min="6673" max="6684" width="2.5546875" style="169" customWidth="1"/>
    <col min="6685" max="6685" width="2.88671875" style="169" customWidth="1"/>
    <col min="6686" max="6691" width="2.5546875" style="169" customWidth="1"/>
    <col min="6692" max="6692" width="2.44140625" style="169" customWidth="1"/>
    <col min="6693" max="6694" width="2.5546875" style="169"/>
    <col min="6695" max="6695" width="3.109375" style="169" bestFit="1" customWidth="1"/>
    <col min="6696" max="6696" width="4" style="169" bestFit="1" customWidth="1"/>
    <col min="6697" max="6912" width="2.5546875" style="169"/>
    <col min="6913" max="6913" width="2.5546875" style="169" customWidth="1"/>
    <col min="6914" max="6915" width="3" style="169" customWidth="1"/>
    <col min="6916" max="6916" width="2.5546875" style="169" customWidth="1"/>
    <col min="6917" max="6917" width="4" style="169" customWidth="1"/>
    <col min="6918" max="6918" width="3" style="169" customWidth="1"/>
    <col min="6919" max="6924" width="2.5546875" style="169" customWidth="1"/>
    <col min="6925" max="6925" width="3.5546875" style="169" customWidth="1"/>
    <col min="6926" max="6926" width="3" style="169" customWidth="1"/>
    <col min="6927" max="6927" width="3.5546875" style="169" customWidth="1"/>
    <col min="6928" max="6928" width="3.88671875" style="169" customWidth="1"/>
    <col min="6929" max="6940" width="2.5546875" style="169" customWidth="1"/>
    <col min="6941" max="6941" width="2.88671875" style="169" customWidth="1"/>
    <col min="6942" max="6947" width="2.5546875" style="169" customWidth="1"/>
    <col min="6948" max="6948" width="2.44140625" style="169" customWidth="1"/>
    <col min="6949" max="6950" width="2.5546875" style="169"/>
    <col min="6951" max="6951" width="3.109375" style="169" bestFit="1" customWidth="1"/>
    <col min="6952" max="6952" width="4" style="169" bestFit="1" customWidth="1"/>
    <col min="6953" max="7168" width="2.5546875" style="169"/>
    <col min="7169" max="7169" width="2.5546875" style="169" customWidth="1"/>
    <col min="7170" max="7171" width="3" style="169" customWidth="1"/>
    <col min="7172" max="7172" width="2.5546875" style="169" customWidth="1"/>
    <col min="7173" max="7173" width="4" style="169" customWidth="1"/>
    <col min="7174" max="7174" width="3" style="169" customWidth="1"/>
    <col min="7175" max="7180" width="2.5546875" style="169" customWidth="1"/>
    <col min="7181" max="7181" width="3.5546875" style="169" customWidth="1"/>
    <col min="7182" max="7182" width="3" style="169" customWidth="1"/>
    <col min="7183" max="7183" width="3.5546875" style="169" customWidth="1"/>
    <col min="7184" max="7184" width="3.88671875" style="169" customWidth="1"/>
    <col min="7185" max="7196" width="2.5546875" style="169" customWidth="1"/>
    <col min="7197" max="7197" width="2.88671875" style="169" customWidth="1"/>
    <col min="7198" max="7203" width="2.5546875" style="169" customWidth="1"/>
    <col min="7204" max="7204" width="2.44140625" style="169" customWidth="1"/>
    <col min="7205" max="7206" width="2.5546875" style="169"/>
    <col min="7207" max="7207" width="3.109375" style="169" bestFit="1" customWidth="1"/>
    <col min="7208" max="7208" width="4" style="169" bestFit="1" customWidth="1"/>
    <col min="7209" max="7424" width="2.5546875" style="169"/>
    <col min="7425" max="7425" width="2.5546875" style="169" customWidth="1"/>
    <col min="7426" max="7427" width="3" style="169" customWidth="1"/>
    <col min="7428" max="7428" width="2.5546875" style="169" customWidth="1"/>
    <col min="7429" max="7429" width="4" style="169" customWidth="1"/>
    <col min="7430" max="7430" width="3" style="169" customWidth="1"/>
    <col min="7431" max="7436" width="2.5546875" style="169" customWidth="1"/>
    <col min="7437" max="7437" width="3.5546875" style="169" customWidth="1"/>
    <col min="7438" max="7438" width="3" style="169" customWidth="1"/>
    <col min="7439" max="7439" width="3.5546875" style="169" customWidth="1"/>
    <col min="7440" max="7440" width="3.88671875" style="169" customWidth="1"/>
    <col min="7441" max="7452" width="2.5546875" style="169" customWidth="1"/>
    <col min="7453" max="7453" width="2.88671875" style="169" customWidth="1"/>
    <col min="7454" max="7459" width="2.5546875" style="169" customWidth="1"/>
    <col min="7460" max="7460" width="2.44140625" style="169" customWidth="1"/>
    <col min="7461" max="7462" width="2.5546875" style="169"/>
    <col min="7463" max="7463" width="3.109375" style="169" bestFit="1" customWidth="1"/>
    <col min="7464" max="7464" width="4" style="169" bestFit="1" customWidth="1"/>
    <col min="7465" max="7680" width="2.5546875" style="169"/>
    <col min="7681" max="7681" width="2.5546875" style="169" customWidth="1"/>
    <col min="7682" max="7683" width="3" style="169" customWidth="1"/>
    <col min="7684" max="7684" width="2.5546875" style="169" customWidth="1"/>
    <col min="7685" max="7685" width="4" style="169" customWidth="1"/>
    <col min="7686" max="7686" width="3" style="169" customWidth="1"/>
    <col min="7687" max="7692" width="2.5546875" style="169" customWidth="1"/>
    <col min="7693" max="7693" width="3.5546875" style="169" customWidth="1"/>
    <col min="7694" max="7694" width="3" style="169" customWidth="1"/>
    <col min="7695" max="7695" width="3.5546875" style="169" customWidth="1"/>
    <col min="7696" max="7696" width="3.88671875" style="169" customWidth="1"/>
    <col min="7697" max="7708" width="2.5546875" style="169" customWidth="1"/>
    <col min="7709" max="7709" width="2.88671875" style="169" customWidth="1"/>
    <col min="7710" max="7715" width="2.5546875" style="169" customWidth="1"/>
    <col min="7716" max="7716" width="2.44140625" style="169" customWidth="1"/>
    <col min="7717" max="7718" width="2.5546875" style="169"/>
    <col min="7719" max="7719" width="3.109375" style="169" bestFit="1" customWidth="1"/>
    <col min="7720" max="7720" width="4" style="169" bestFit="1" customWidth="1"/>
    <col min="7721" max="7936" width="2.5546875" style="169"/>
    <col min="7937" max="7937" width="2.5546875" style="169" customWidth="1"/>
    <col min="7938" max="7939" width="3" style="169" customWidth="1"/>
    <col min="7940" max="7940" width="2.5546875" style="169" customWidth="1"/>
    <col min="7941" max="7941" width="4" style="169" customWidth="1"/>
    <col min="7942" max="7942" width="3" style="169" customWidth="1"/>
    <col min="7943" max="7948" width="2.5546875" style="169" customWidth="1"/>
    <col min="7949" max="7949" width="3.5546875" style="169" customWidth="1"/>
    <col min="7950" max="7950" width="3" style="169" customWidth="1"/>
    <col min="7951" max="7951" width="3.5546875" style="169" customWidth="1"/>
    <col min="7952" max="7952" width="3.88671875" style="169" customWidth="1"/>
    <col min="7953" max="7964" width="2.5546875" style="169" customWidth="1"/>
    <col min="7965" max="7965" width="2.88671875" style="169" customWidth="1"/>
    <col min="7966" max="7971" width="2.5546875" style="169" customWidth="1"/>
    <col min="7972" max="7972" width="2.44140625" style="169" customWidth="1"/>
    <col min="7973" max="7974" width="2.5546875" style="169"/>
    <col min="7975" max="7975" width="3.109375" style="169" bestFit="1" customWidth="1"/>
    <col min="7976" max="7976" width="4" style="169" bestFit="1" customWidth="1"/>
    <col min="7977" max="8192" width="2.5546875" style="169"/>
    <col min="8193" max="8193" width="2.5546875" style="169" customWidth="1"/>
    <col min="8194" max="8195" width="3" style="169" customWidth="1"/>
    <col min="8196" max="8196" width="2.5546875" style="169" customWidth="1"/>
    <col min="8197" max="8197" width="4" style="169" customWidth="1"/>
    <col min="8198" max="8198" width="3" style="169" customWidth="1"/>
    <col min="8199" max="8204" width="2.5546875" style="169" customWidth="1"/>
    <col min="8205" max="8205" width="3.5546875" style="169" customWidth="1"/>
    <col min="8206" max="8206" width="3" style="169" customWidth="1"/>
    <col min="8207" max="8207" width="3.5546875" style="169" customWidth="1"/>
    <col min="8208" max="8208" width="3.88671875" style="169" customWidth="1"/>
    <col min="8209" max="8220" width="2.5546875" style="169" customWidth="1"/>
    <col min="8221" max="8221" width="2.88671875" style="169" customWidth="1"/>
    <col min="8222" max="8227" width="2.5546875" style="169" customWidth="1"/>
    <col min="8228" max="8228" width="2.44140625" style="169" customWidth="1"/>
    <col min="8229" max="8230" width="2.5546875" style="169"/>
    <col min="8231" max="8231" width="3.109375" style="169" bestFit="1" customWidth="1"/>
    <col min="8232" max="8232" width="4" style="169" bestFit="1" customWidth="1"/>
    <col min="8233" max="8448" width="2.5546875" style="169"/>
    <col min="8449" max="8449" width="2.5546875" style="169" customWidth="1"/>
    <col min="8450" max="8451" width="3" style="169" customWidth="1"/>
    <col min="8452" max="8452" width="2.5546875" style="169" customWidth="1"/>
    <col min="8453" max="8453" width="4" style="169" customWidth="1"/>
    <col min="8454" max="8454" width="3" style="169" customWidth="1"/>
    <col min="8455" max="8460" width="2.5546875" style="169" customWidth="1"/>
    <col min="8461" max="8461" width="3.5546875" style="169" customWidth="1"/>
    <col min="8462" max="8462" width="3" style="169" customWidth="1"/>
    <col min="8463" max="8463" width="3.5546875" style="169" customWidth="1"/>
    <col min="8464" max="8464" width="3.88671875" style="169" customWidth="1"/>
    <col min="8465" max="8476" width="2.5546875" style="169" customWidth="1"/>
    <col min="8477" max="8477" width="2.88671875" style="169" customWidth="1"/>
    <col min="8478" max="8483" width="2.5546875" style="169" customWidth="1"/>
    <col min="8484" max="8484" width="2.44140625" style="169" customWidth="1"/>
    <col min="8485" max="8486" width="2.5546875" style="169"/>
    <col min="8487" max="8487" width="3.109375" style="169" bestFit="1" customWidth="1"/>
    <col min="8488" max="8488" width="4" style="169" bestFit="1" customWidth="1"/>
    <col min="8489" max="8704" width="2.5546875" style="169"/>
    <col min="8705" max="8705" width="2.5546875" style="169" customWidth="1"/>
    <col min="8706" max="8707" width="3" style="169" customWidth="1"/>
    <col min="8708" max="8708" width="2.5546875" style="169" customWidth="1"/>
    <col min="8709" max="8709" width="4" style="169" customWidth="1"/>
    <col min="8710" max="8710" width="3" style="169" customWidth="1"/>
    <col min="8711" max="8716" width="2.5546875" style="169" customWidth="1"/>
    <col min="8717" max="8717" width="3.5546875" style="169" customWidth="1"/>
    <col min="8718" max="8718" width="3" style="169" customWidth="1"/>
    <col min="8719" max="8719" width="3.5546875" style="169" customWidth="1"/>
    <col min="8720" max="8720" width="3.88671875" style="169" customWidth="1"/>
    <col min="8721" max="8732" width="2.5546875" style="169" customWidth="1"/>
    <col min="8733" max="8733" width="2.88671875" style="169" customWidth="1"/>
    <col min="8734" max="8739" width="2.5546875" style="169" customWidth="1"/>
    <col min="8740" max="8740" width="2.44140625" style="169" customWidth="1"/>
    <col min="8741" max="8742" width="2.5546875" style="169"/>
    <col min="8743" max="8743" width="3.109375" style="169" bestFit="1" customWidth="1"/>
    <col min="8744" max="8744" width="4" style="169" bestFit="1" customWidth="1"/>
    <col min="8745" max="8960" width="2.5546875" style="169"/>
    <col min="8961" max="8961" width="2.5546875" style="169" customWidth="1"/>
    <col min="8962" max="8963" width="3" style="169" customWidth="1"/>
    <col min="8964" max="8964" width="2.5546875" style="169" customWidth="1"/>
    <col min="8965" max="8965" width="4" style="169" customWidth="1"/>
    <col min="8966" max="8966" width="3" style="169" customWidth="1"/>
    <col min="8967" max="8972" width="2.5546875" style="169" customWidth="1"/>
    <col min="8973" max="8973" width="3.5546875" style="169" customWidth="1"/>
    <col min="8974" max="8974" width="3" style="169" customWidth="1"/>
    <col min="8975" max="8975" width="3.5546875" style="169" customWidth="1"/>
    <col min="8976" max="8976" width="3.88671875" style="169" customWidth="1"/>
    <col min="8977" max="8988" width="2.5546875" style="169" customWidth="1"/>
    <col min="8989" max="8989" width="2.88671875" style="169" customWidth="1"/>
    <col min="8990" max="8995" width="2.5546875" style="169" customWidth="1"/>
    <col min="8996" max="8996" width="2.44140625" style="169" customWidth="1"/>
    <col min="8997" max="8998" width="2.5546875" style="169"/>
    <col min="8999" max="8999" width="3.109375" style="169" bestFit="1" customWidth="1"/>
    <col min="9000" max="9000" width="4" style="169" bestFit="1" customWidth="1"/>
    <col min="9001" max="9216" width="2.5546875" style="169"/>
    <col min="9217" max="9217" width="2.5546875" style="169" customWidth="1"/>
    <col min="9218" max="9219" width="3" style="169" customWidth="1"/>
    <col min="9220" max="9220" width="2.5546875" style="169" customWidth="1"/>
    <col min="9221" max="9221" width="4" style="169" customWidth="1"/>
    <col min="9222" max="9222" width="3" style="169" customWidth="1"/>
    <col min="9223" max="9228" width="2.5546875" style="169" customWidth="1"/>
    <col min="9229" max="9229" width="3.5546875" style="169" customWidth="1"/>
    <col min="9230" max="9230" width="3" style="169" customWidth="1"/>
    <col min="9231" max="9231" width="3.5546875" style="169" customWidth="1"/>
    <col min="9232" max="9232" width="3.88671875" style="169" customWidth="1"/>
    <col min="9233" max="9244" width="2.5546875" style="169" customWidth="1"/>
    <col min="9245" max="9245" width="2.88671875" style="169" customWidth="1"/>
    <col min="9246" max="9251" width="2.5546875" style="169" customWidth="1"/>
    <col min="9252" max="9252" width="2.44140625" style="169" customWidth="1"/>
    <col min="9253" max="9254" width="2.5546875" style="169"/>
    <col min="9255" max="9255" width="3.109375" style="169" bestFit="1" customWidth="1"/>
    <col min="9256" max="9256" width="4" style="169" bestFit="1" customWidth="1"/>
    <col min="9257" max="9472" width="2.5546875" style="169"/>
    <col min="9473" max="9473" width="2.5546875" style="169" customWidth="1"/>
    <col min="9474" max="9475" width="3" style="169" customWidth="1"/>
    <col min="9476" max="9476" width="2.5546875" style="169" customWidth="1"/>
    <col min="9477" max="9477" width="4" style="169" customWidth="1"/>
    <col min="9478" max="9478" width="3" style="169" customWidth="1"/>
    <col min="9479" max="9484" width="2.5546875" style="169" customWidth="1"/>
    <col min="9485" max="9485" width="3.5546875" style="169" customWidth="1"/>
    <col min="9486" max="9486" width="3" style="169" customWidth="1"/>
    <col min="9487" max="9487" width="3.5546875" style="169" customWidth="1"/>
    <col min="9488" max="9488" width="3.88671875" style="169" customWidth="1"/>
    <col min="9489" max="9500" width="2.5546875" style="169" customWidth="1"/>
    <col min="9501" max="9501" width="2.88671875" style="169" customWidth="1"/>
    <col min="9502" max="9507" width="2.5546875" style="169" customWidth="1"/>
    <col min="9508" max="9508" width="2.44140625" style="169" customWidth="1"/>
    <col min="9509" max="9510" width="2.5546875" style="169"/>
    <col min="9511" max="9511" width="3.109375" style="169" bestFit="1" customWidth="1"/>
    <col min="9512" max="9512" width="4" style="169" bestFit="1" customWidth="1"/>
    <col min="9513" max="9728" width="2.5546875" style="169"/>
    <col min="9729" max="9729" width="2.5546875" style="169" customWidth="1"/>
    <col min="9730" max="9731" width="3" style="169" customWidth="1"/>
    <col min="9732" max="9732" width="2.5546875" style="169" customWidth="1"/>
    <col min="9733" max="9733" width="4" style="169" customWidth="1"/>
    <col min="9734" max="9734" width="3" style="169" customWidth="1"/>
    <col min="9735" max="9740" width="2.5546875" style="169" customWidth="1"/>
    <col min="9741" max="9741" width="3.5546875" style="169" customWidth="1"/>
    <col min="9742" max="9742" width="3" style="169" customWidth="1"/>
    <col min="9743" max="9743" width="3.5546875" style="169" customWidth="1"/>
    <col min="9744" max="9744" width="3.88671875" style="169" customWidth="1"/>
    <col min="9745" max="9756" width="2.5546875" style="169" customWidth="1"/>
    <col min="9757" max="9757" width="2.88671875" style="169" customWidth="1"/>
    <col min="9758" max="9763" width="2.5546875" style="169" customWidth="1"/>
    <col min="9764" max="9764" width="2.44140625" style="169" customWidth="1"/>
    <col min="9765" max="9766" width="2.5546875" style="169"/>
    <col min="9767" max="9767" width="3.109375" style="169" bestFit="1" customWidth="1"/>
    <col min="9768" max="9768" width="4" style="169" bestFit="1" customWidth="1"/>
    <col min="9769" max="9984" width="2.5546875" style="169"/>
    <col min="9985" max="9985" width="2.5546875" style="169" customWidth="1"/>
    <col min="9986" max="9987" width="3" style="169" customWidth="1"/>
    <col min="9988" max="9988" width="2.5546875" style="169" customWidth="1"/>
    <col min="9989" max="9989" width="4" style="169" customWidth="1"/>
    <col min="9990" max="9990" width="3" style="169" customWidth="1"/>
    <col min="9991" max="9996" width="2.5546875" style="169" customWidth="1"/>
    <col min="9997" max="9997" width="3.5546875" style="169" customWidth="1"/>
    <col min="9998" max="9998" width="3" style="169" customWidth="1"/>
    <col min="9999" max="9999" width="3.5546875" style="169" customWidth="1"/>
    <col min="10000" max="10000" width="3.88671875" style="169" customWidth="1"/>
    <col min="10001" max="10012" width="2.5546875" style="169" customWidth="1"/>
    <col min="10013" max="10013" width="2.88671875" style="169" customWidth="1"/>
    <col min="10014" max="10019" width="2.5546875" style="169" customWidth="1"/>
    <col min="10020" max="10020" width="2.44140625" style="169" customWidth="1"/>
    <col min="10021" max="10022" width="2.5546875" style="169"/>
    <col min="10023" max="10023" width="3.109375" style="169" bestFit="1" customWidth="1"/>
    <col min="10024" max="10024" width="4" style="169" bestFit="1" customWidth="1"/>
    <col min="10025" max="10240" width="2.5546875" style="169"/>
    <col min="10241" max="10241" width="2.5546875" style="169" customWidth="1"/>
    <col min="10242" max="10243" width="3" style="169" customWidth="1"/>
    <col min="10244" max="10244" width="2.5546875" style="169" customWidth="1"/>
    <col min="10245" max="10245" width="4" style="169" customWidth="1"/>
    <col min="10246" max="10246" width="3" style="169" customWidth="1"/>
    <col min="10247" max="10252" width="2.5546875" style="169" customWidth="1"/>
    <col min="10253" max="10253" width="3.5546875" style="169" customWidth="1"/>
    <col min="10254" max="10254" width="3" style="169" customWidth="1"/>
    <col min="10255" max="10255" width="3.5546875" style="169" customWidth="1"/>
    <col min="10256" max="10256" width="3.88671875" style="169" customWidth="1"/>
    <col min="10257" max="10268" width="2.5546875" style="169" customWidth="1"/>
    <col min="10269" max="10269" width="2.88671875" style="169" customWidth="1"/>
    <col min="10270" max="10275" width="2.5546875" style="169" customWidth="1"/>
    <col min="10276" max="10276" width="2.44140625" style="169" customWidth="1"/>
    <col min="10277" max="10278" width="2.5546875" style="169"/>
    <col min="10279" max="10279" width="3.109375" style="169" bestFit="1" customWidth="1"/>
    <col min="10280" max="10280" width="4" style="169" bestFit="1" customWidth="1"/>
    <col min="10281" max="10496" width="2.5546875" style="169"/>
    <col min="10497" max="10497" width="2.5546875" style="169" customWidth="1"/>
    <col min="10498" max="10499" width="3" style="169" customWidth="1"/>
    <col min="10500" max="10500" width="2.5546875" style="169" customWidth="1"/>
    <col min="10501" max="10501" width="4" style="169" customWidth="1"/>
    <col min="10502" max="10502" width="3" style="169" customWidth="1"/>
    <col min="10503" max="10508" width="2.5546875" style="169" customWidth="1"/>
    <col min="10509" max="10509" width="3.5546875" style="169" customWidth="1"/>
    <col min="10510" max="10510" width="3" style="169" customWidth="1"/>
    <col min="10511" max="10511" width="3.5546875" style="169" customWidth="1"/>
    <col min="10512" max="10512" width="3.88671875" style="169" customWidth="1"/>
    <col min="10513" max="10524" width="2.5546875" style="169" customWidth="1"/>
    <col min="10525" max="10525" width="2.88671875" style="169" customWidth="1"/>
    <col min="10526" max="10531" width="2.5546875" style="169" customWidth="1"/>
    <col min="10532" max="10532" width="2.44140625" style="169" customWidth="1"/>
    <col min="10533" max="10534" width="2.5546875" style="169"/>
    <col min="10535" max="10535" width="3.109375" style="169" bestFit="1" customWidth="1"/>
    <col min="10536" max="10536" width="4" style="169" bestFit="1" customWidth="1"/>
    <col min="10537" max="10752" width="2.5546875" style="169"/>
    <col min="10753" max="10753" width="2.5546875" style="169" customWidth="1"/>
    <col min="10754" max="10755" width="3" style="169" customWidth="1"/>
    <col min="10756" max="10756" width="2.5546875" style="169" customWidth="1"/>
    <col min="10757" max="10757" width="4" style="169" customWidth="1"/>
    <col min="10758" max="10758" width="3" style="169" customWidth="1"/>
    <col min="10759" max="10764" width="2.5546875" style="169" customWidth="1"/>
    <col min="10765" max="10765" width="3.5546875" style="169" customWidth="1"/>
    <col min="10766" max="10766" width="3" style="169" customWidth="1"/>
    <col min="10767" max="10767" width="3.5546875" style="169" customWidth="1"/>
    <col min="10768" max="10768" width="3.88671875" style="169" customWidth="1"/>
    <col min="10769" max="10780" width="2.5546875" style="169" customWidth="1"/>
    <col min="10781" max="10781" width="2.88671875" style="169" customWidth="1"/>
    <col min="10782" max="10787" width="2.5546875" style="169" customWidth="1"/>
    <col min="10788" max="10788" width="2.44140625" style="169" customWidth="1"/>
    <col min="10789" max="10790" width="2.5546875" style="169"/>
    <col min="10791" max="10791" width="3.109375" style="169" bestFit="1" customWidth="1"/>
    <col min="10792" max="10792" width="4" style="169" bestFit="1" customWidth="1"/>
    <col min="10793" max="11008" width="2.5546875" style="169"/>
    <col min="11009" max="11009" width="2.5546875" style="169" customWidth="1"/>
    <col min="11010" max="11011" width="3" style="169" customWidth="1"/>
    <col min="11012" max="11012" width="2.5546875" style="169" customWidth="1"/>
    <col min="11013" max="11013" width="4" style="169" customWidth="1"/>
    <col min="11014" max="11014" width="3" style="169" customWidth="1"/>
    <col min="11015" max="11020" width="2.5546875" style="169" customWidth="1"/>
    <col min="11021" max="11021" width="3.5546875" style="169" customWidth="1"/>
    <col min="11022" max="11022" width="3" style="169" customWidth="1"/>
    <col min="11023" max="11023" width="3.5546875" style="169" customWidth="1"/>
    <col min="11024" max="11024" width="3.88671875" style="169" customWidth="1"/>
    <col min="11025" max="11036" width="2.5546875" style="169" customWidth="1"/>
    <col min="11037" max="11037" width="2.88671875" style="169" customWidth="1"/>
    <col min="11038" max="11043" width="2.5546875" style="169" customWidth="1"/>
    <col min="11044" max="11044" width="2.44140625" style="169" customWidth="1"/>
    <col min="11045" max="11046" width="2.5546875" style="169"/>
    <col min="11047" max="11047" width="3.109375" style="169" bestFit="1" customWidth="1"/>
    <col min="11048" max="11048" width="4" style="169" bestFit="1" customWidth="1"/>
    <col min="11049" max="11264" width="2.5546875" style="169"/>
    <col min="11265" max="11265" width="2.5546875" style="169" customWidth="1"/>
    <col min="11266" max="11267" width="3" style="169" customWidth="1"/>
    <col min="11268" max="11268" width="2.5546875" style="169" customWidth="1"/>
    <col min="11269" max="11269" width="4" style="169" customWidth="1"/>
    <col min="11270" max="11270" width="3" style="169" customWidth="1"/>
    <col min="11271" max="11276" width="2.5546875" style="169" customWidth="1"/>
    <col min="11277" max="11277" width="3.5546875" style="169" customWidth="1"/>
    <col min="11278" max="11278" width="3" style="169" customWidth="1"/>
    <col min="11279" max="11279" width="3.5546875" style="169" customWidth="1"/>
    <col min="11280" max="11280" width="3.88671875" style="169" customWidth="1"/>
    <col min="11281" max="11292" width="2.5546875" style="169" customWidth="1"/>
    <col min="11293" max="11293" width="2.88671875" style="169" customWidth="1"/>
    <col min="11294" max="11299" width="2.5546875" style="169" customWidth="1"/>
    <col min="11300" max="11300" width="2.44140625" style="169" customWidth="1"/>
    <col min="11301" max="11302" width="2.5546875" style="169"/>
    <col min="11303" max="11303" width="3.109375" style="169" bestFit="1" customWidth="1"/>
    <col min="11304" max="11304" width="4" style="169" bestFit="1" customWidth="1"/>
    <col min="11305" max="11520" width="2.5546875" style="169"/>
    <col min="11521" max="11521" width="2.5546875" style="169" customWidth="1"/>
    <col min="11522" max="11523" width="3" style="169" customWidth="1"/>
    <col min="11524" max="11524" width="2.5546875" style="169" customWidth="1"/>
    <col min="11525" max="11525" width="4" style="169" customWidth="1"/>
    <col min="11526" max="11526" width="3" style="169" customWidth="1"/>
    <col min="11527" max="11532" width="2.5546875" style="169" customWidth="1"/>
    <col min="11533" max="11533" width="3.5546875" style="169" customWidth="1"/>
    <col min="11534" max="11534" width="3" style="169" customWidth="1"/>
    <col min="11535" max="11535" width="3.5546875" style="169" customWidth="1"/>
    <col min="11536" max="11536" width="3.88671875" style="169" customWidth="1"/>
    <col min="11537" max="11548" width="2.5546875" style="169" customWidth="1"/>
    <col min="11549" max="11549" width="2.88671875" style="169" customWidth="1"/>
    <col min="11550" max="11555" width="2.5546875" style="169" customWidth="1"/>
    <col min="11556" max="11556" width="2.44140625" style="169" customWidth="1"/>
    <col min="11557" max="11558" width="2.5546875" style="169"/>
    <col min="11559" max="11559" width="3.109375" style="169" bestFit="1" customWidth="1"/>
    <col min="11560" max="11560" width="4" style="169" bestFit="1" customWidth="1"/>
    <col min="11561" max="11776" width="2.5546875" style="169"/>
    <col min="11777" max="11777" width="2.5546875" style="169" customWidth="1"/>
    <col min="11778" max="11779" width="3" style="169" customWidth="1"/>
    <col min="11780" max="11780" width="2.5546875" style="169" customWidth="1"/>
    <col min="11781" max="11781" width="4" style="169" customWidth="1"/>
    <col min="11782" max="11782" width="3" style="169" customWidth="1"/>
    <col min="11783" max="11788" width="2.5546875" style="169" customWidth="1"/>
    <col min="11789" max="11789" width="3.5546875" style="169" customWidth="1"/>
    <col min="11790" max="11790" width="3" style="169" customWidth="1"/>
    <col min="11791" max="11791" width="3.5546875" style="169" customWidth="1"/>
    <col min="11792" max="11792" width="3.88671875" style="169" customWidth="1"/>
    <col min="11793" max="11804" width="2.5546875" style="169" customWidth="1"/>
    <col min="11805" max="11805" width="2.88671875" style="169" customWidth="1"/>
    <col min="11806" max="11811" width="2.5546875" style="169" customWidth="1"/>
    <col min="11812" max="11812" width="2.44140625" style="169" customWidth="1"/>
    <col min="11813" max="11814" width="2.5546875" style="169"/>
    <col min="11815" max="11815" width="3.109375" style="169" bestFit="1" customWidth="1"/>
    <col min="11816" max="11816" width="4" style="169" bestFit="1" customWidth="1"/>
    <col min="11817" max="12032" width="2.5546875" style="169"/>
    <col min="12033" max="12033" width="2.5546875" style="169" customWidth="1"/>
    <col min="12034" max="12035" width="3" style="169" customWidth="1"/>
    <col min="12036" max="12036" width="2.5546875" style="169" customWidth="1"/>
    <col min="12037" max="12037" width="4" style="169" customWidth="1"/>
    <col min="12038" max="12038" width="3" style="169" customWidth="1"/>
    <col min="12039" max="12044" width="2.5546875" style="169" customWidth="1"/>
    <col min="12045" max="12045" width="3.5546875" style="169" customWidth="1"/>
    <col min="12046" max="12046" width="3" style="169" customWidth="1"/>
    <col min="12047" max="12047" width="3.5546875" style="169" customWidth="1"/>
    <col min="12048" max="12048" width="3.88671875" style="169" customWidth="1"/>
    <col min="12049" max="12060" width="2.5546875" style="169" customWidth="1"/>
    <col min="12061" max="12061" width="2.88671875" style="169" customWidth="1"/>
    <col min="12062" max="12067" width="2.5546875" style="169" customWidth="1"/>
    <col min="12068" max="12068" width="2.44140625" style="169" customWidth="1"/>
    <col min="12069" max="12070" width="2.5546875" style="169"/>
    <col min="12071" max="12071" width="3.109375" style="169" bestFit="1" customWidth="1"/>
    <col min="12072" max="12072" width="4" style="169" bestFit="1" customWidth="1"/>
    <col min="12073" max="12288" width="2.5546875" style="169"/>
    <col min="12289" max="12289" width="2.5546875" style="169" customWidth="1"/>
    <col min="12290" max="12291" width="3" style="169" customWidth="1"/>
    <col min="12292" max="12292" width="2.5546875" style="169" customWidth="1"/>
    <col min="12293" max="12293" width="4" style="169" customWidth="1"/>
    <col min="12294" max="12294" width="3" style="169" customWidth="1"/>
    <col min="12295" max="12300" width="2.5546875" style="169" customWidth="1"/>
    <col min="12301" max="12301" width="3.5546875" style="169" customWidth="1"/>
    <col min="12302" max="12302" width="3" style="169" customWidth="1"/>
    <col min="12303" max="12303" width="3.5546875" style="169" customWidth="1"/>
    <col min="12304" max="12304" width="3.88671875" style="169" customWidth="1"/>
    <col min="12305" max="12316" width="2.5546875" style="169" customWidth="1"/>
    <col min="12317" max="12317" width="2.88671875" style="169" customWidth="1"/>
    <col min="12318" max="12323" width="2.5546875" style="169" customWidth="1"/>
    <col min="12324" max="12324" width="2.44140625" style="169" customWidth="1"/>
    <col min="12325" max="12326" width="2.5546875" style="169"/>
    <col min="12327" max="12327" width="3.109375" style="169" bestFit="1" customWidth="1"/>
    <col min="12328" max="12328" width="4" style="169" bestFit="1" customWidth="1"/>
    <col min="12329" max="12544" width="2.5546875" style="169"/>
    <col min="12545" max="12545" width="2.5546875" style="169" customWidth="1"/>
    <col min="12546" max="12547" width="3" style="169" customWidth="1"/>
    <col min="12548" max="12548" width="2.5546875" style="169" customWidth="1"/>
    <col min="12549" max="12549" width="4" style="169" customWidth="1"/>
    <col min="12550" max="12550" width="3" style="169" customWidth="1"/>
    <col min="12551" max="12556" width="2.5546875" style="169" customWidth="1"/>
    <col min="12557" max="12557" width="3.5546875" style="169" customWidth="1"/>
    <col min="12558" max="12558" width="3" style="169" customWidth="1"/>
    <col min="12559" max="12559" width="3.5546875" style="169" customWidth="1"/>
    <col min="12560" max="12560" width="3.88671875" style="169" customWidth="1"/>
    <col min="12561" max="12572" width="2.5546875" style="169" customWidth="1"/>
    <col min="12573" max="12573" width="2.88671875" style="169" customWidth="1"/>
    <col min="12574" max="12579" width="2.5546875" style="169" customWidth="1"/>
    <col min="12580" max="12580" width="2.44140625" style="169" customWidth="1"/>
    <col min="12581" max="12582" width="2.5546875" style="169"/>
    <col min="12583" max="12583" width="3.109375" style="169" bestFit="1" customWidth="1"/>
    <col min="12584" max="12584" width="4" style="169" bestFit="1" customWidth="1"/>
    <col min="12585" max="12800" width="2.5546875" style="169"/>
    <col min="12801" max="12801" width="2.5546875" style="169" customWidth="1"/>
    <col min="12802" max="12803" width="3" style="169" customWidth="1"/>
    <col min="12804" max="12804" width="2.5546875" style="169" customWidth="1"/>
    <col min="12805" max="12805" width="4" style="169" customWidth="1"/>
    <col min="12806" max="12806" width="3" style="169" customWidth="1"/>
    <col min="12807" max="12812" width="2.5546875" style="169" customWidth="1"/>
    <col min="12813" max="12813" width="3.5546875" style="169" customWidth="1"/>
    <col min="12814" max="12814" width="3" style="169" customWidth="1"/>
    <col min="12815" max="12815" width="3.5546875" style="169" customWidth="1"/>
    <col min="12816" max="12816" width="3.88671875" style="169" customWidth="1"/>
    <col min="12817" max="12828" width="2.5546875" style="169" customWidth="1"/>
    <col min="12829" max="12829" width="2.88671875" style="169" customWidth="1"/>
    <col min="12830" max="12835" width="2.5546875" style="169" customWidth="1"/>
    <col min="12836" max="12836" width="2.44140625" style="169" customWidth="1"/>
    <col min="12837" max="12838" width="2.5546875" style="169"/>
    <col min="12839" max="12839" width="3.109375" style="169" bestFit="1" customWidth="1"/>
    <col min="12840" max="12840" width="4" style="169" bestFit="1" customWidth="1"/>
    <col min="12841" max="13056" width="2.5546875" style="169"/>
    <col min="13057" max="13057" width="2.5546875" style="169" customWidth="1"/>
    <col min="13058" max="13059" width="3" style="169" customWidth="1"/>
    <col min="13060" max="13060" width="2.5546875" style="169" customWidth="1"/>
    <col min="13061" max="13061" width="4" style="169" customWidth="1"/>
    <col min="13062" max="13062" width="3" style="169" customWidth="1"/>
    <col min="13063" max="13068" width="2.5546875" style="169" customWidth="1"/>
    <col min="13069" max="13069" width="3.5546875" style="169" customWidth="1"/>
    <col min="13070" max="13070" width="3" style="169" customWidth="1"/>
    <col min="13071" max="13071" width="3.5546875" style="169" customWidth="1"/>
    <col min="13072" max="13072" width="3.88671875" style="169" customWidth="1"/>
    <col min="13073" max="13084" width="2.5546875" style="169" customWidth="1"/>
    <col min="13085" max="13085" width="2.88671875" style="169" customWidth="1"/>
    <col min="13086" max="13091" width="2.5546875" style="169" customWidth="1"/>
    <col min="13092" max="13092" width="2.44140625" style="169" customWidth="1"/>
    <col min="13093" max="13094" width="2.5546875" style="169"/>
    <col min="13095" max="13095" width="3.109375" style="169" bestFit="1" customWidth="1"/>
    <col min="13096" max="13096" width="4" style="169" bestFit="1" customWidth="1"/>
    <col min="13097" max="13312" width="2.5546875" style="169"/>
    <col min="13313" max="13313" width="2.5546875" style="169" customWidth="1"/>
    <col min="13314" max="13315" width="3" style="169" customWidth="1"/>
    <col min="13316" max="13316" width="2.5546875" style="169" customWidth="1"/>
    <col min="13317" max="13317" width="4" style="169" customWidth="1"/>
    <col min="13318" max="13318" width="3" style="169" customWidth="1"/>
    <col min="13319" max="13324" width="2.5546875" style="169" customWidth="1"/>
    <col min="13325" max="13325" width="3.5546875" style="169" customWidth="1"/>
    <col min="13326" max="13326" width="3" style="169" customWidth="1"/>
    <col min="13327" max="13327" width="3.5546875" style="169" customWidth="1"/>
    <col min="13328" max="13328" width="3.88671875" style="169" customWidth="1"/>
    <col min="13329" max="13340" width="2.5546875" style="169" customWidth="1"/>
    <col min="13341" max="13341" width="2.88671875" style="169" customWidth="1"/>
    <col min="13342" max="13347" width="2.5546875" style="169" customWidth="1"/>
    <col min="13348" max="13348" width="2.44140625" style="169" customWidth="1"/>
    <col min="13349" max="13350" width="2.5546875" style="169"/>
    <col min="13351" max="13351" width="3.109375" style="169" bestFit="1" customWidth="1"/>
    <col min="13352" max="13352" width="4" style="169" bestFit="1" customWidth="1"/>
    <col min="13353" max="13568" width="2.5546875" style="169"/>
    <col min="13569" max="13569" width="2.5546875" style="169" customWidth="1"/>
    <col min="13570" max="13571" width="3" style="169" customWidth="1"/>
    <col min="13572" max="13572" width="2.5546875" style="169" customWidth="1"/>
    <col min="13573" max="13573" width="4" style="169" customWidth="1"/>
    <col min="13574" max="13574" width="3" style="169" customWidth="1"/>
    <col min="13575" max="13580" width="2.5546875" style="169" customWidth="1"/>
    <col min="13581" max="13581" width="3.5546875" style="169" customWidth="1"/>
    <col min="13582" max="13582" width="3" style="169" customWidth="1"/>
    <col min="13583" max="13583" width="3.5546875" style="169" customWidth="1"/>
    <col min="13584" max="13584" width="3.88671875" style="169" customWidth="1"/>
    <col min="13585" max="13596" width="2.5546875" style="169" customWidth="1"/>
    <col min="13597" max="13597" width="2.88671875" style="169" customWidth="1"/>
    <col min="13598" max="13603" width="2.5546875" style="169" customWidth="1"/>
    <col min="13604" max="13604" width="2.44140625" style="169" customWidth="1"/>
    <col min="13605" max="13606" width="2.5546875" style="169"/>
    <col min="13607" max="13607" width="3.109375" style="169" bestFit="1" customWidth="1"/>
    <col min="13608" max="13608" width="4" style="169" bestFit="1" customWidth="1"/>
    <col min="13609" max="13824" width="2.5546875" style="169"/>
    <col min="13825" max="13825" width="2.5546875" style="169" customWidth="1"/>
    <col min="13826" max="13827" width="3" style="169" customWidth="1"/>
    <col min="13828" max="13828" width="2.5546875" style="169" customWidth="1"/>
    <col min="13829" max="13829" width="4" style="169" customWidth="1"/>
    <col min="13830" max="13830" width="3" style="169" customWidth="1"/>
    <col min="13831" max="13836" width="2.5546875" style="169" customWidth="1"/>
    <col min="13837" max="13837" width="3.5546875" style="169" customWidth="1"/>
    <col min="13838" max="13838" width="3" style="169" customWidth="1"/>
    <col min="13839" max="13839" width="3.5546875" style="169" customWidth="1"/>
    <col min="13840" max="13840" width="3.88671875" style="169" customWidth="1"/>
    <col min="13841" max="13852" width="2.5546875" style="169" customWidth="1"/>
    <col min="13853" max="13853" width="2.88671875" style="169" customWidth="1"/>
    <col min="13854" max="13859" width="2.5546875" style="169" customWidth="1"/>
    <col min="13860" max="13860" width="2.44140625" style="169" customWidth="1"/>
    <col min="13861" max="13862" width="2.5546875" style="169"/>
    <col min="13863" max="13863" width="3.109375" style="169" bestFit="1" customWidth="1"/>
    <col min="13864" max="13864" width="4" style="169" bestFit="1" customWidth="1"/>
    <col min="13865" max="14080" width="2.5546875" style="169"/>
    <col min="14081" max="14081" width="2.5546875" style="169" customWidth="1"/>
    <col min="14082" max="14083" width="3" style="169" customWidth="1"/>
    <col min="14084" max="14084" width="2.5546875" style="169" customWidth="1"/>
    <col min="14085" max="14085" width="4" style="169" customWidth="1"/>
    <col min="14086" max="14086" width="3" style="169" customWidth="1"/>
    <col min="14087" max="14092" width="2.5546875" style="169" customWidth="1"/>
    <col min="14093" max="14093" width="3.5546875" style="169" customWidth="1"/>
    <col min="14094" max="14094" width="3" style="169" customWidth="1"/>
    <col min="14095" max="14095" width="3.5546875" style="169" customWidth="1"/>
    <col min="14096" max="14096" width="3.88671875" style="169" customWidth="1"/>
    <col min="14097" max="14108" width="2.5546875" style="169" customWidth="1"/>
    <col min="14109" max="14109" width="2.88671875" style="169" customWidth="1"/>
    <col min="14110" max="14115" width="2.5546875" style="169" customWidth="1"/>
    <col min="14116" max="14116" width="2.44140625" style="169" customWidth="1"/>
    <col min="14117" max="14118" width="2.5546875" style="169"/>
    <col min="14119" max="14119" width="3.109375" style="169" bestFit="1" customWidth="1"/>
    <col min="14120" max="14120" width="4" style="169" bestFit="1" customWidth="1"/>
    <col min="14121" max="14336" width="2.5546875" style="169"/>
    <col min="14337" max="14337" width="2.5546875" style="169" customWidth="1"/>
    <col min="14338" max="14339" width="3" style="169" customWidth="1"/>
    <col min="14340" max="14340" width="2.5546875" style="169" customWidth="1"/>
    <col min="14341" max="14341" width="4" style="169" customWidth="1"/>
    <col min="14342" max="14342" width="3" style="169" customWidth="1"/>
    <col min="14343" max="14348" width="2.5546875" style="169" customWidth="1"/>
    <col min="14349" max="14349" width="3.5546875" style="169" customWidth="1"/>
    <col min="14350" max="14350" width="3" style="169" customWidth="1"/>
    <col min="14351" max="14351" width="3.5546875" style="169" customWidth="1"/>
    <col min="14352" max="14352" width="3.88671875" style="169" customWidth="1"/>
    <col min="14353" max="14364" width="2.5546875" style="169" customWidth="1"/>
    <col min="14365" max="14365" width="2.88671875" style="169" customWidth="1"/>
    <col min="14366" max="14371" width="2.5546875" style="169" customWidth="1"/>
    <col min="14372" max="14372" width="2.44140625" style="169" customWidth="1"/>
    <col min="14373" max="14374" width="2.5546875" style="169"/>
    <col min="14375" max="14375" width="3.109375" style="169" bestFit="1" customWidth="1"/>
    <col min="14376" max="14376" width="4" style="169" bestFit="1" customWidth="1"/>
    <col min="14377" max="14592" width="2.5546875" style="169"/>
    <col min="14593" max="14593" width="2.5546875" style="169" customWidth="1"/>
    <col min="14594" max="14595" width="3" style="169" customWidth="1"/>
    <col min="14596" max="14596" width="2.5546875" style="169" customWidth="1"/>
    <col min="14597" max="14597" width="4" style="169" customWidth="1"/>
    <col min="14598" max="14598" width="3" style="169" customWidth="1"/>
    <col min="14599" max="14604" width="2.5546875" style="169" customWidth="1"/>
    <col min="14605" max="14605" width="3.5546875" style="169" customWidth="1"/>
    <col min="14606" max="14606" width="3" style="169" customWidth="1"/>
    <col min="14607" max="14607" width="3.5546875" style="169" customWidth="1"/>
    <col min="14608" max="14608" width="3.88671875" style="169" customWidth="1"/>
    <col min="14609" max="14620" width="2.5546875" style="169" customWidth="1"/>
    <col min="14621" max="14621" width="2.88671875" style="169" customWidth="1"/>
    <col min="14622" max="14627" width="2.5546875" style="169" customWidth="1"/>
    <col min="14628" max="14628" width="2.44140625" style="169" customWidth="1"/>
    <col min="14629" max="14630" width="2.5546875" style="169"/>
    <col min="14631" max="14631" width="3.109375" style="169" bestFit="1" customWidth="1"/>
    <col min="14632" max="14632" width="4" style="169" bestFit="1" customWidth="1"/>
    <col min="14633" max="14848" width="2.5546875" style="169"/>
    <col min="14849" max="14849" width="2.5546875" style="169" customWidth="1"/>
    <col min="14850" max="14851" width="3" style="169" customWidth="1"/>
    <col min="14852" max="14852" width="2.5546875" style="169" customWidth="1"/>
    <col min="14853" max="14853" width="4" style="169" customWidth="1"/>
    <col min="14854" max="14854" width="3" style="169" customWidth="1"/>
    <col min="14855" max="14860" width="2.5546875" style="169" customWidth="1"/>
    <col min="14861" max="14861" width="3.5546875" style="169" customWidth="1"/>
    <col min="14862" max="14862" width="3" style="169" customWidth="1"/>
    <col min="14863" max="14863" width="3.5546875" style="169" customWidth="1"/>
    <col min="14864" max="14864" width="3.88671875" style="169" customWidth="1"/>
    <col min="14865" max="14876" width="2.5546875" style="169" customWidth="1"/>
    <col min="14877" max="14877" width="2.88671875" style="169" customWidth="1"/>
    <col min="14878" max="14883" width="2.5546875" style="169" customWidth="1"/>
    <col min="14884" max="14884" width="2.44140625" style="169" customWidth="1"/>
    <col min="14885" max="14886" width="2.5546875" style="169"/>
    <col min="14887" max="14887" width="3.109375" style="169" bestFit="1" customWidth="1"/>
    <col min="14888" max="14888" width="4" style="169" bestFit="1" customWidth="1"/>
    <col min="14889" max="15104" width="2.5546875" style="169"/>
    <col min="15105" max="15105" width="2.5546875" style="169" customWidth="1"/>
    <col min="15106" max="15107" width="3" style="169" customWidth="1"/>
    <col min="15108" max="15108" width="2.5546875" style="169" customWidth="1"/>
    <col min="15109" max="15109" width="4" style="169" customWidth="1"/>
    <col min="15110" max="15110" width="3" style="169" customWidth="1"/>
    <col min="15111" max="15116" width="2.5546875" style="169" customWidth="1"/>
    <col min="15117" max="15117" width="3.5546875" style="169" customWidth="1"/>
    <col min="15118" max="15118" width="3" style="169" customWidth="1"/>
    <col min="15119" max="15119" width="3.5546875" style="169" customWidth="1"/>
    <col min="15120" max="15120" width="3.88671875" style="169" customWidth="1"/>
    <col min="15121" max="15132" width="2.5546875" style="169" customWidth="1"/>
    <col min="15133" max="15133" width="2.88671875" style="169" customWidth="1"/>
    <col min="15134" max="15139" width="2.5546875" style="169" customWidth="1"/>
    <col min="15140" max="15140" width="2.44140625" style="169" customWidth="1"/>
    <col min="15141" max="15142" width="2.5546875" style="169"/>
    <col min="15143" max="15143" width="3.109375" style="169" bestFit="1" customWidth="1"/>
    <col min="15144" max="15144" width="4" style="169" bestFit="1" customWidth="1"/>
    <col min="15145" max="15360" width="2.5546875" style="169"/>
    <col min="15361" max="15361" width="2.5546875" style="169" customWidth="1"/>
    <col min="15362" max="15363" width="3" style="169" customWidth="1"/>
    <col min="15364" max="15364" width="2.5546875" style="169" customWidth="1"/>
    <col min="15365" max="15365" width="4" style="169" customWidth="1"/>
    <col min="15366" max="15366" width="3" style="169" customWidth="1"/>
    <col min="15367" max="15372" width="2.5546875" style="169" customWidth="1"/>
    <col min="15373" max="15373" width="3.5546875" style="169" customWidth="1"/>
    <col min="15374" max="15374" width="3" style="169" customWidth="1"/>
    <col min="15375" max="15375" width="3.5546875" style="169" customWidth="1"/>
    <col min="15376" max="15376" width="3.88671875" style="169" customWidth="1"/>
    <col min="15377" max="15388" width="2.5546875" style="169" customWidth="1"/>
    <col min="15389" max="15389" width="2.88671875" style="169" customWidth="1"/>
    <col min="15390" max="15395" width="2.5546875" style="169" customWidth="1"/>
    <col min="15396" max="15396" width="2.44140625" style="169" customWidth="1"/>
    <col min="15397" max="15398" width="2.5546875" style="169"/>
    <col min="15399" max="15399" width="3.109375" style="169" bestFit="1" customWidth="1"/>
    <col min="15400" max="15400" width="4" style="169" bestFit="1" customWidth="1"/>
    <col min="15401" max="15616" width="2.5546875" style="169"/>
    <col min="15617" max="15617" width="2.5546875" style="169" customWidth="1"/>
    <col min="15618" max="15619" width="3" style="169" customWidth="1"/>
    <col min="15620" max="15620" width="2.5546875" style="169" customWidth="1"/>
    <col min="15621" max="15621" width="4" style="169" customWidth="1"/>
    <col min="15622" max="15622" width="3" style="169" customWidth="1"/>
    <col min="15623" max="15628" width="2.5546875" style="169" customWidth="1"/>
    <col min="15629" max="15629" width="3.5546875" style="169" customWidth="1"/>
    <col min="15630" max="15630" width="3" style="169" customWidth="1"/>
    <col min="15631" max="15631" width="3.5546875" style="169" customWidth="1"/>
    <col min="15632" max="15632" width="3.88671875" style="169" customWidth="1"/>
    <col min="15633" max="15644" width="2.5546875" style="169" customWidth="1"/>
    <col min="15645" max="15645" width="2.88671875" style="169" customWidth="1"/>
    <col min="15646" max="15651" width="2.5546875" style="169" customWidth="1"/>
    <col min="15652" max="15652" width="2.44140625" style="169" customWidth="1"/>
    <col min="15653" max="15654" width="2.5546875" style="169"/>
    <col min="15655" max="15655" width="3.109375" style="169" bestFit="1" customWidth="1"/>
    <col min="15656" max="15656" width="4" style="169" bestFit="1" customWidth="1"/>
    <col min="15657" max="15872" width="2.5546875" style="169"/>
    <col min="15873" max="15873" width="2.5546875" style="169" customWidth="1"/>
    <col min="15874" max="15875" width="3" style="169" customWidth="1"/>
    <col min="15876" max="15876" width="2.5546875" style="169" customWidth="1"/>
    <col min="15877" max="15877" width="4" style="169" customWidth="1"/>
    <col min="15878" max="15878" width="3" style="169" customWidth="1"/>
    <col min="15879" max="15884" width="2.5546875" style="169" customWidth="1"/>
    <col min="15885" max="15885" width="3.5546875" style="169" customWidth="1"/>
    <col min="15886" max="15886" width="3" style="169" customWidth="1"/>
    <col min="15887" max="15887" width="3.5546875" style="169" customWidth="1"/>
    <col min="15888" max="15888" width="3.88671875" style="169" customWidth="1"/>
    <col min="15889" max="15900" width="2.5546875" style="169" customWidth="1"/>
    <col min="15901" max="15901" width="2.88671875" style="169" customWidth="1"/>
    <col min="15902" max="15907" width="2.5546875" style="169" customWidth="1"/>
    <col min="15908" max="15908" width="2.44140625" style="169" customWidth="1"/>
    <col min="15909" max="15910" width="2.5546875" style="169"/>
    <col min="15911" max="15911" width="3.109375" style="169" bestFit="1" customWidth="1"/>
    <col min="15912" max="15912" width="4" style="169" bestFit="1" customWidth="1"/>
    <col min="15913" max="16128" width="2.5546875" style="169"/>
    <col min="16129" max="16129" width="2.5546875" style="169" customWidth="1"/>
    <col min="16130" max="16131" width="3" style="169" customWidth="1"/>
    <col min="16132" max="16132" width="2.5546875" style="169" customWidth="1"/>
    <col min="16133" max="16133" width="4" style="169" customWidth="1"/>
    <col min="16134" max="16134" width="3" style="169" customWidth="1"/>
    <col min="16135" max="16140" width="2.5546875" style="169" customWidth="1"/>
    <col min="16141" max="16141" width="3.5546875" style="169" customWidth="1"/>
    <col min="16142" max="16142" width="3" style="169" customWidth="1"/>
    <col min="16143" max="16143" width="3.5546875" style="169" customWidth="1"/>
    <col min="16144" max="16144" width="3.88671875" style="169" customWidth="1"/>
    <col min="16145" max="16156" width="2.5546875" style="169" customWidth="1"/>
    <col min="16157" max="16157" width="2.88671875" style="169" customWidth="1"/>
    <col min="16158" max="16163" width="2.5546875" style="169" customWidth="1"/>
    <col min="16164" max="16164" width="2.44140625" style="169" customWidth="1"/>
    <col min="16165" max="16166" width="2.5546875" style="169"/>
    <col min="16167" max="16167" width="3.109375" style="169" bestFit="1" customWidth="1"/>
    <col min="16168" max="16168" width="4" style="169" bestFit="1" customWidth="1"/>
    <col min="16169" max="16384" width="2.5546875" style="169"/>
  </cols>
  <sheetData>
    <row r="1" spans="1:38" s="1" customFormat="1" ht="15" customHeight="1" thickTop="1" x14ac:dyDescent="0.25">
      <c r="A1" s="313"/>
      <c r="B1" s="313"/>
      <c r="C1" s="313"/>
      <c r="D1" s="313"/>
      <c r="E1" s="313"/>
      <c r="F1" s="313"/>
      <c r="G1" s="313"/>
      <c r="H1" s="313"/>
      <c r="I1" s="313"/>
      <c r="J1" s="313"/>
      <c r="K1" s="313"/>
      <c r="T1" s="259" t="s">
        <v>607</v>
      </c>
    </row>
    <row r="2" spans="1:38" s="1" customFormat="1" ht="15" customHeight="1" x14ac:dyDescent="0.25">
      <c r="A2" s="313" t="s">
        <v>22</v>
      </c>
      <c r="B2" s="313"/>
      <c r="C2" s="313"/>
      <c r="D2" s="313"/>
      <c r="E2" s="313"/>
      <c r="F2" s="313"/>
      <c r="G2" s="313"/>
      <c r="H2" s="313"/>
      <c r="I2" s="313"/>
      <c r="J2" s="313"/>
      <c r="K2" s="313"/>
      <c r="L2" s="313"/>
      <c r="M2" s="313"/>
      <c r="N2" s="313"/>
      <c r="O2" s="313"/>
      <c r="P2" s="313"/>
      <c r="Q2" s="313"/>
      <c r="T2" s="255" t="s">
        <v>608</v>
      </c>
    </row>
    <row r="3" spans="1:38" s="1" customFormat="1" ht="15" customHeight="1" x14ac:dyDescent="0.25">
      <c r="A3" s="217"/>
      <c r="B3" s="217"/>
      <c r="C3" s="217"/>
      <c r="D3" s="217"/>
      <c r="E3" s="217"/>
      <c r="F3" s="217"/>
      <c r="G3" s="217"/>
      <c r="H3" s="217"/>
      <c r="I3" s="217"/>
      <c r="J3" s="217"/>
      <c r="K3" s="217"/>
      <c r="L3" s="217"/>
      <c r="M3" s="217"/>
      <c r="N3" s="217"/>
      <c r="O3" s="217"/>
      <c r="P3" s="217"/>
      <c r="Q3" s="217"/>
    </row>
    <row r="4" spans="1:38" ht="12.9" customHeight="1" x14ac:dyDescent="0.25">
      <c r="A4" s="230" t="s">
        <v>471</v>
      </c>
      <c r="B4" s="229" t="s">
        <v>387</v>
      </c>
      <c r="C4" s="195"/>
      <c r="D4" s="60"/>
      <c r="E4" s="53"/>
      <c r="F4" s="53"/>
      <c r="G4" s="53"/>
      <c r="H4" s="53"/>
      <c r="I4" s="53"/>
      <c r="J4" s="124"/>
      <c r="K4" s="124"/>
      <c r="L4" s="124"/>
      <c r="M4" s="124"/>
      <c r="N4" s="124"/>
      <c r="O4" s="124"/>
      <c r="P4" s="124"/>
      <c r="Q4" s="124"/>
      <c r="R4" s="124"/>
      <c r="S4" s="124"/>
      <c r="T4" s="124"/>
      <c r="U4" s="124"/>
      <c r="V4" s="124"/>
      <c r="W4" s="124"/>
      <c r="X4" s="124"/>
    </row>
    <row r="5" spans="1:38" ht="12.9" customHeight="1" x14ac:dyDescent="0.25">
      <c r="A5" s="133"/>
      <c r="B5" s="420" t="s">
        <v>507</v>
      </c>
      <c r="C5" s="420"/>
      <c r="D5" s="420"/>
      <c r="E5" s="420"/>
      <c r="F5" s="420"/>
      <c r="G5" s="420"/>
      <c r="H5" s="420"/>
      <c r="I5" s="420"/>
      <c r="J5" s="420"/>
      <c r="K5" s="420"/>
      <c r="M5" s="124"/>
    </row>
    <row r="6" spans="1:38" ht="12.9" customHeight="1" x14ac:dyDescent="0.25">
      <c r="A6" s="209"/>
      <c r="B6" s="418" t="s">
        <v>508</v>
      </c>
      <c r="C6" s="418"/>
      <c r="D6" s="418"/>
      <c r="E6" s="418"/>
      <c r="F6" s="418"/>
      <c r="G6" s="418"/>
      <c r="H6" s="418"/>
      <c r="I6" s="418"/>
      <c r="J6" s="418"/>
      <c r="P6" s="124"/>
      <c r="Q6" s="124"/>
      <c r="R6" s="124"/>
      <c r="S6" s="124"/>
      <c r="T6" s="124"/>
      <c r="U6" s="124"/>
      <c r="V6" s="124"/>
      <c r="W6" s="124"/>
      <c r="X6" s="124"/>
      <c r="AL6" s="83"/>
    </row>
    <row r="7" spans="1:38" ht="12.9" customHeight="1" x14ac:dyDescent="0.25">
      <c r="A7" s="218"/>
      <c r="B7" s="124"/>
      <c r="C7" s="124"/>
      <c r="D7" s="124"/>
      <c r="E7" s="124"/>
      <c r="F7" s="124"/>
      <c r="G7" s="124"/>
      <c r="H7" s="124"/>
      <c r="I7" s="124"/>
      <c r="J7" s="124"/>
      <c r="K7" s="124"/>
      <c r="L7" s="124"/>
      <c r="M7" s="124"/>
      <c r="N7" s="124"/>
      <c r="O7" s="124"/>
      <c r="P7" s="124"/>
      <c r="Q7" s="124"/>
      <c r="R7" s="124"/>
    </row>
    <row r="8" spans="1:38" ht="12.9" customHeight="1" x14ac:dyDescent="0.25">
      <c r="A8" s="230" t="s">
        <v>472</v>
      </c>
      <c r="B8" s="229" t="s">
        <v>388</v>
      </c>
      <c r="C8" s="195"/>
      <c r="D8" s="60"/>
      <c r="E8" s="53"/>
      <c r="F8" s="53"/>
      <c r="G8" s="53"/>
      <c r="H8" s="53"/>
      <c r="I8" s="53"/>
      <c r="J8" s="124"/>
      <c r="K8" s="124"/>
      <c r="L8" s="124"/>
      <c r="M8" s="124"/>
      <c r="N8" s="124"/>
      <c r="O8" s="124"/>
      <c r="P8" s="124"/>
      <c r="Q8" s="124"/>
      <c r="R8" s="124"/>
      <c r="S8" s="124"/>
      <c r="T8" s="124"/>
      <c r="U8" s="124"/>
      <c r="V8" s="124"/>
      <c r="W8" s="124"/>
      <c r="X8" s="124"/>
    </row>
    <row r="9" spans="1:38" ht="12.9" customHeight="1" x14ac:dyDescent="0.25">
      <c r="A9" s="133"/>
      <c r="B9" s="420" t="s">
        <v>509</v>
      </c>
      <c r="C9" s="420"/>
      <c r="D9" s="420"/>
      <c r="E9" s="420"/>
      <c r="F9" s="420"/>
      <c r="G9" s="420"/>
      <c r="H9" s="420"/>
      <c r="I9" s="420"/>
      <c r="J9" s="420"/>
      <c r="K9" s="420"/>
      <c r="M9" s="124"/>
    </row>
    <row r="10" spans="1:38" ht="12.9" customHeight="1" x14ac:dyDescent="0.25">
      <c r="A10" s="209"/>
      <c r="B10" s="418" t="s">
        <v>510</v>
      </c>
      <c r="C10" s="418"/>
      <c r="D10" s="418"/>
      <c r="E10" s="418"/>
      <c r="F10" s="418"/>
      <c r="G10" s="418"/>
      <c r="H10" s="418"/>
      <c r="I10" s="418"/>
      <c r="J10" s="418"/>
      <c r="P10" s="124"/>
      <c r="Q10" s="124"/>
      <c r="R10" s="124"/>
      <c r="S10" s="124"/>
      <c r="T10" s="124"/>
      <c r="U10" s="124"/>
      <c r="V10" s="124"/>
      <c r="W10" s="124"/>
      <c r="X10" s="124"/>
      <c r="AL10" s="83"/>
    </row>
    <row r="11" spans="1:38" ht="12.9" customHeight="1" x14ac:dyDescent="0.25">
      <c r="A11" s="133"/>
      <c r="B11" s="52"/>
      <c r="C11" s="195"/>
      <c r="D11" s="60"/>
      <c r="E11" s="53"/>
      <c r="F11" s="53"/>
      <c r="G11" s="53"/>
      <c r="H11" s="53"/>
      <c r="I11" s="53"/>
      <c r="J11" s="124"/>
      <c r="K11" s="124"/>
      <c r="L11" s="124"/>
      <c r="M11" s="124"/>
      <c r="N11" s="124"/>
      <c r="O11" s="124"/>
      <c r="P11" s="124"/>
      <c r="Q11" s="124"/>
      <c r="R11" s="124"/>
      <c r="S11" s="124"/>
      <c r="T11" s="124"/>
      <c r="U11" s="124"/>
      <c r="V11" s="124"/>
      <c r="W11" s="124"/>
      <c r="X11" s="124"/>
    </row>
    <row r="12" spans="1:38" ht="12.9" customHeight="1" x14ac:dyDescent="0.25">
      <c r="A12" s="230" t="s">
        <v>473</v>
      </c>
      <c r="B12" s="229" t="s">
        <v>389</v>
      </c>
      <c r="C12" s="195"/>
      <c r="D12" s="60"/>
      <c r="E12" s="53"/>
      <c r="F12" s="53"/>
      <c r="G12" s="53"/>
      <c r="H12" s="53"/>
      <c r="I12" s="53"/>
      <c r="J12" s="124"/>
      <c r="K12" s="124"/>
      <c r="L12" s="124"/>
      <c r="M12" s="124"/>
      <c r="N12" s="124"/>
      <c r="O12" s="124"/>
      <c r="P12" s="124"/>
      <c r="Q12" s="124"/>
      <c r="R12" s="124"/>
      <c r="S12" s="124"/>
      <c r="T12" s="124"/>
      <c r="U12" s="124"/>
      <c r="V12" s="124"/>
      <c r="W12" s="124"/>
      <c r="X12" s="124"/>
    </row>
    <row r="13" spans="1:38" ht="12.9" customHeight="1" x14ac:dyDescent="0.25">
      <c r="A13" s="73"/>
      <c r="B13" s="223" t="s">
        <v>515</v>
      </c>
      <c r="C13" s="195"/>
      <c r="D13" s="60"/>
      <c r="E13" s="53"/>
      <c r="F13" s="53"/>
      <c r="G13" s="53"/>
      <c r="H13" s="53"/>
      <c r="I13" s="53"/>
      <c r="J13" s="124"/>
      <c r="K13" s="124"/>
      <c r="L13" s="124"/>
      <c r="M13" s="124"/>
      <c r="N13" s="124"/>
      <c r="O13" s="124"/>
      <c r="P13" s="124"/>
      <c r="Q13" s="124"/>
      <c r="R13" s="124"/>
      <c r="S13" s="124"/>
      <c r="T13" s="124"/>
      <c r="U13" s="124"/>
      <c r="V13" s="124"/>
      <c r="W13" s="124"/>
      <c r="X13" s="124"/>
    </row>
    <row r="14" spans="1:38" ht="12.9" customHeight="1" x14ac:dyDescent="0.25">
      <c r="A14" s="133"/>
      <c r="B14" s="420" t="s">
        <v>511</v>
      </c>
      <c r="C14" s="420"/>
      <c r="D14" s="420"/>
      <c r="E14" s="420"/>
      <c r="F14" s="420"/>
      <c r="G14" s="420"/>
      <c r="H14" s="420"/>
      <c r="I14" s="420"/>
      <c r="J14" s="420"/>
      <c r="K14" s="420"/>
      <c r="L14" s="240"/>
      <c r="M14" s="124"/>
    </row>
    <row r="15" spans="1:38" ht="12.9" customHeight="1" x14ac:dyDescent="0.25">
      <c r="A15" s="209"/>
      <c r="B15" s="418" t="s">
        <v>512</v>
      </c>
      <c r="C15" s="418"/>
      <c r="D15" s="418"/>
      <c r="E15" s="418"/>
      <c r="F15" s="418"/>
      <c r="G15" s="418"/>
      <c r="H15" s="418"/>
      <c r="I15" s="418"/>
      <c r="J15" s="418"/>
      <c r="P15" s="124"/>
      <c r="Q15" s="124"/>
      <c r="R15" s="124"/>
      <c r="S15" s="124"/>
      <c r="T15" s="124"/>
      <c r="U15" s="124"/>
      <c r="V15" s="124"/>
      <c r="W15" s="124"/>
      <c r="X15" s="124"/>
      <c r="AL15" s="83"/>
    </row>
    <row r="16" spans="1:38" ht="12.9" customHeight="1" x14ac:dyDescent="0.25">
      <c r="A16" s="73"/>
      <c r="B16" s="223" t="s">
        <v>516</v>
      </c>
      <c r="C16" s="195"/>
      <c r="D16" s="60"/>
      <c r="E16" s="53"/>
      <c r="F16" s="53"/>
      <c r="G16" s="53"/>
      <c r="H16" s="53"/>
      <c r="I16" s="53"/>
      <c r="J16" s="124"/>
      <c r="K16" s="124"/>
      <c r="L16" s="124"/>
      <c r="M16" s="124"/>
      <c r="N16" s="124"/>
      <c r="O16" s="124"/>
      <c r="P16" s="124"/>
      <c r="Q16" s="124"/>
      <c r="R16" s="124"/>
      <c r="S16" s="124"/>
      <c r="T16" s="124"/>
      <c r="U16" s="124"/>
      <c r="V16" s="124"/>
      <c r="W16" s="124"/>
      <c r="X16" s="124"/>
    </row>
    <row r="17" spans="1:38" ht="12.9" customHeight="1" x14ac:dyDescent="0.25">
      <c r="A17" s="133"/>
      <c r="B17" s="420" t="s">
        <v>513</v>
      </c>
      <c r="C17" s="420"/>
      <c r="D17" s="420"/>
      <c r="E17" s="420"/>
      <c r="F17" s="420"/>
      <c r="G17" s="420"/>
      <c r="H17" s="420"/>
      <c r="I17" s="420"/>
      <c r="J17" s="420"/>
      <c r="K17" s="420"/>
      <c r="L17" s="240"/>
      <c r="M17" s="124"/>
    </row>
    <row r="18" spans="1:38" ht="12.9" customHeight="1" x14ac:dyDescent="0.25">
      <c r="A18" s="209"/>
      <c r="B18" s="418" t="s">
        <v>514</v>
      </c>
      <c r="C18" s="418"/>
      <c r="D18" s="418"/>
      <c r="E18" s="418"/>
      <c r="F18" s="418"/>
      <c r="G18" s="418"/>
      <c r="H18" s="418"/>
      <c r="I18" s="418"/>
      <c r="J18" s="418"/>
      <c r="P18" s="124"/>
      <c r="Q18" s="124"/>
      <c r="R18" s="124"/>
      <c r="S18" s="124"/>
      <c r="T18" s="124"/>
      <c r="U18" s="124"/>
      <c r="V18" s="124"/>
      <c r="W18" s="124"/>
      <c r="X18" s="124"/>
      <c r="AL18" s="83"/>
    </row>
    <row r="19" spans="1:38" ht="12.9" customHeight="1" x14ac:dyDescent="0.25">
      <c r="A19" s="133"/>
      <c r="B19" s="52"/>
      <c r="C19" s="195"/>
      <c r="D19" s="60"/>
      <c r="E19" s="53"/>
      <c r="F19" s="53"/>
      <c r="G19" s="53"/>
      <c r="H19" s="53"/>
      <c r="I19" s="53"/>
      <c r="J19" s="124"/>
      <c r="K19" s="124"/>
      <c r="L19" s="124"/>
      <c r="M19" s="124"/>
      <c r="N19" s="124"/>
      <c r="O19" s="124"/>
      <c r="P19" s="124"/>
      <c r="Q19" s="124"/>
      <c r="R19" s="124"/>
      <c r="S19" s="124"/>
      <c r="T19" s="124"/>
      <c r="U19" s="124"/>
      <c r="V19" s="124"/>
      <c r="W19" s="124"/>
      <c r="X19" s="124"/>
    </row>
    <row r="20" spans="1:38" ht="12.9" customHeight="1" x14ac:dyDescent="0.25">
      <c r="A20" s="230" t="s">
        <v>474</v>
      </c>
      <c r="B20" s="229" t="s">
        <v>390</v>
      </c>
      <c r="C20" s="195"/>
      <c r="D20" s="60"/>
      <c r="E20" s="53"/>
      <c r="F20" s="53"/>
      <c r="G20" s="53"/>
      <c r="H20" s="53"/>
      <c r="I20" s="53"/>
      <c r="J20" s="124"/>
      <c r="K20" s="124"/>
      <c r="L20" s="124"/>
      <c r="M20" s="124"/>
      <c r="N20" s="124"/>
      <c r="O20" s="124"/>
      <c r="P20" s="124"/>
      <c r="Q20" s="124"/>
      <c r="R20" s="124"/>
      <c r="S20" s="124"/>
      <c r="T20" s="124"/>
      <c r="U20" s="124"/>
      <c r="V20" s="124"/>
      <c r="W20" s="124"/>
      <c r="X20" s="124"/>
    </row>
    <row r="21" spans="1:38" ht="12.9" customHeight="1" x14ac:dyDescent="0.25">
      <c r="A21" s="73"/>
      <c r="B21" s="223" t="s">
        <v>411</v>
      </c>
      <c r="C21" s="195"/>
      <c r="D21" s="60"/>
      <c r="E21" s="53"/>
      <c r="F21" s="53"/>
      <c r="G21" s="53"/>
      <c r="H21" s="53"/>
      <c r="I21" s="53"/>
      <c r="J21" s="124"/>
      <c r="K21" s="124"/>
      <c r="L21" s="124"/>
      <c r="M21" s="124"/>
      <c r="N21" s="124"/>
      <c r="O21" s="124"/>
      <c r="P21" s="124"/>
      <c r="Q21" s="124"/>
      <c r="R21" s="124"/>
      <c r="S21" s="124"/>
      <c r="T21" s="124"/>
      <c r="U21" s="124"/>
      <c r="V21" s="124"/>
      <c r="W21" s="124"/>
      <c r="X21" s="124"/>
    </row>
    <row r="22" spans="1:38" ht="12.9" customHeight="1" x14ac:dyDescent="0.25">
      <c r="A22" s="73"/>
      <c r="B22" s="420" t="s">
        <v>412</v>
      </c>
      <c r="C22" s="420"/>
      <c r="D22" s="420"/>
      <c r="E22" s="420"/>
      <c r="F22" s="420"/>
      <c r="G22" s="420"/>
      <c r="H22" s="420"/>
      <c r="I22" s="420"/>
      <c r="J22" s="420"/>
      <c r="K22" s="420"/>
      <c r="L22" s="420"/>
      <c r="M22" s="420"/>
      <c r="N22" s="420"/>
      <c r="O22" s="420"/>
      <c r="P22" s="420"/>
    </row>
    <row r="23" spans="1:38" ht="12.9" customHeight="1" x14ac:dyDescent="0.25">
      <c r="B23" s="418" t="s">
        <v>517</v>
      </c>
      <c r="C23" s="418"/>
      <c r="D23" s="418"/>
      <c r="E23" s="418"/>
      <c r="F23" s="418"/>
      <c r="G23" s="418"/>
      <c r="H23" s="418"/>
      <c r="I23" s="418"/>
      <c r="J23" s="418"/>
      <c r="P23" s="124"/>
      <c r="Q23" s="124"/>
      <c r="R23" s="124"/>
      <c r="S23" s="124"/>
      <c r="T23" s="124"/>
      <c r="U23" s="124"/>
      <c r="V23" s="124"/>
      <c r="W23" s="124"/>
      <c r="X23" s="124"/>
      <c r="AL23" s="83"/>
    </row>
    <row r="24" spans="1:38" ht="12.9" customHeight="1" x14ac:dyDescent="0.25">
      <c r="A24" s="214"/>
    </row>
    <row r="25" spans="1:38" ht="12.9" customHeight="1" x14ac:dyDescent="0.25">
      <c r="A25" s="73"/>
      <c r="B25" s="223" t="s">
        <v>413</v>
      </c>
      <c r="C25" s="195"/>
      <c r="D25" s="60"/>
      <c r="E25" s="53"/>
      <c r="F25" s="53"/>
      <c r="G25" s="53"/>
      <c r="H25" s="53"/>
      <c r="I25" s="53"/>
      <c r="J25" s="124"/>
      <c r="K25" s="124"/>
      <c r="L25" s="124"/>
      <c r="M25" s="124"/>
      <c r="N25" s="124"/>
      <c r="O25" s="124"/>
      <c r="P25" s="124"/>
      <c r="Q25" s="124"/>
      <c r="R25" s="124"/>
      <c r="S25" s="124"/>
      <c r="T25" s="124"/>
      <c r="U25" s="124"/>
      <c r="V25" s="124"/>
      <c r="W25" s="124"/>
      <c r="X25" s="124"/>
    </row>
    <row r="26" spans="1:38" ht="12.9" customHeight="1" x14ac:dyDescent="0.25">
      <c r="A26" s="73"/>
      <c r="B26" s="420" t="s">
        <v>518</v>
      </c>
      <c r="C26" s="420"/>
      <c r="D26" s="420"/>
      <c r="E26" s="420"/>
      <c r="F26" s="420"/>
      <c r="G26" s="420"/>
      <c r="H26" s="420"/>
      <c r="I26" s="420"/>
      <c r="J26" s="420"/>
      <c r="K26" s="420"/>
      <c r="M26" s="124"/>
    </row>
    <row r="27" spans="1:38" ht="12.9" customHeight="1" x14ac:dyDescent="0.25">
      <c r="B27" s="418" t="s">
        <v>519</v>
      </c>
      <c r="C27" s="418"/>
      <c r="D27" s="418"/>
      <c r="E27" s="418"/>
      <c r="F27" s="418"/>
      <c r="G27" s="418"/>
      <c r="H27" s="418"/>
      <c r="I27" s="418"/>
      <c r="J27" s="418"/>
      <c r="P27" s="124"/>
      <c r="Q27" s="124"/>
      <c r="R27" s="124"/>
      <c r="S27" s="124"/>
      <c r="T27" s="124"/>
      <c r="U27" s="124"/>
      <c r="V27" s="124"/>
      <c r="W27" s="124"/>
      <c r="X27" s="124"/>
      <c r="AL27" s="83"/>
    </row>
    <row r="28" spans="1:38" ht="12.9" customHeight="1" x14ac:dyDescent="0.25">
      <c r="A28" s="136"/>
      <c r="B28" s="52"/>
      <c r="C28" s="52"/>
      <c r="D28" s="52"/>
      <c r="E28" s="52"/>
      <c r="F28" s="52"/>
      <c r="G28" s="52"/>
      <c r="H28" s="52"/>
      <c r="I28" s="52"/>
      <c r="J28" s="52"/>
      <c r="K28" s="52"/>
    </row>
    <row r="29" spans="1:38" ht="12.9" customHeight="1" x14ac:dyDescent="0.25">
      <c r="A29" s="73"/>
      <c r="B29" s="223" t="s">
        <v>415</v>
      </c>
      <c r="C29" s="195"/>
      <c r="D29" s="60"/>
      <c r="E29" s="53"/>
      <c r="F29" s="53"/>
      <c r="G29" s="53"/>
      <c r="H29" s="53"/>
      <c r="I29" s="53"/>
      <c r="J29" s="124"/>
      <c r="K29" s="124"/>
      <c r="L29" s="124"/>
      <c r="M29" s="124"/>
      <c r="N29" s="124"/>
      <c r="O29" s="124"/>
      <c r="P29" s="124"/>
      <c r="Q29" s="124"/>
      <c r="R29" s="124"/>
      <c r="S29" s="124"/>
      <c r="T29" s="124"/>
      <c r="U29" s="124"/>
      <c r="V29" s="124"/>
      <c r="W29" s="124"/>
      <c r="X29" s="124"/>
    </row>
    <row r="30" spans="1:38" ht="12.9" customHeight="1" x14ac:dyDescent="0.25">
      <c r="A30" s="73"/>
      <c r="B30" s="420" t="s">
        <v>414</v>
      </c>
      <c r="C30" s="420"/>
      <c r="D30" s="420"/>
      <c r="E30" s="420"/>
      <c r="F30" s="420"/>
      <c r="G30" s="420"/>
      <c r="H30" s="420"/>
      <c r="I30" s="420"/>
      <c r="J30" s="420"/>
      <c r="K30" s="420"/>
      <c r="M30" s="124"/>
    </row>
    <row r="31" spans="1:38" ht="12.9" customHeight="1" x14ac:dyDescent="0.25">
      <c r="B31" s="418" t="s">
        <v>520</v>
      </c>
      <c r="C31" s="418"/>
      <c r="D31" s="418"/>
      <c r="E31" s="418"/>
      <c r="F31" s="418"/>
      <c r="G31" s="418"/>
      <c r="H31" s="418"/>
      <c r="I31" s="418"/>
      <c r="J31" s="418"/>
      <c r="P31" s="124"/>
      <c r="Q31" s="124"/>
      <c r="R31" s="124"/>
      <c r="S31" s="124"/>
      <c r="T31" s="124"/>
      <c r="U31" s="124"/>
      <c r="V31" s="124"/>
      <c r="W31" s="124"/>
      <c r="X31" s="124"/>
      <c r="AL31" s="83"/>
    </row>
    <row r="33" spans="1:38" ht="12.9" customHeight="1" x14ac:dyDescent="0.25">
      <c r="A33" s="73"/>
      <c r="B33" s="223" t="s">
        <v>416</v>
      </c>
      <c r="C33" s="195"/>
      <c r="D33" s="60"/>
      <c r="E33" s="53"/>
      <c r="F33" s="53"/>
      <c r="G33" s="53"/>
      <c r="H33" s="53"/>
      <c r="I33" s="53"/>
      <c r="J33" s="124"/>
      <c r="K33" s="124"/>
      <c r="L33" s="124"/>
      <c r="M33" s="124"/>
      <c r="N33" s="124"/>
      <c r="O33" s="124"/>
      <c r="P33" s="124"/>
      <c r="Q33" s="124"/>
      <c r="R33" s="124"/>
      <c r="S33" s="124"/>
      <c r="T33" s="124"/>
      <c r="U33" s="124"/>
      <c r="V33" s="124"/>
      <c r="W33" s="124"/>
      <c r="X33" s="124"/>
    </row>
    <row r="34" spans="1:38" ht="12.9" customHeight="1" x14ac:dyDescent="0.25">
      <c r="A34" s="73"/>
      <c r="B34" s="420" t="s">
        <v>418</v>
      </c>
      <c r="C34" s="420"/>
      <c r="D34" s="420"/>
      <c r="E34" s="420"/>
      <c r="F34" s="420"/>
      <c r="G34" s="420"/>
      <c r="H34" s="420"/>
      <c r="I34" s="420"/>
      <c r="J34" s="420"/>
      <c r="K34" s="420"/>
      <c r="L34" s="420"/>
      <c r="M34" s="420"/>
      <c r="N34" s="420"/>
      <c r="O34" s="420"/>
      <c r="P34" s="420"/>
    </row>
    <row r="35" spans="1:38" ht="12.9" customHeight="1" x14ac:dyDescent="0.25">
      <c r="B35" s="418" t="s">
        <v>417</v>
      </c>
      <c r="C35" s="418"/>
      <c r="D35" s="418"/>
      <c r="E35" s="418"/>
      <c r="F35" s="418"/>
      <c r="G35" s="418"/>
      <c r="H35" s="418"/>
      <c r="I35" s="418"/>
      <c r="J35" s="418"/>
      <c r="P35" s="124"/>
      <c r="Q35" s="124"/>
      <c r="R35" s="124"/>
      <c r="S35" s="124"/>
      <c r="T35" s="124"/>
      <c r="U35" s="124"/>
      <c r="V35" s="124"/>
      <c r="W35" s="124"/>
      <c r="X35" s="124"/>
      <c r="AL35" s="83"/>
    </row>
    <row r="37" spans="1:38" ht="12.9" customHeight="1" x14ac:dyDescent="0.25">
      <c r="A37" s="73"/>
      <c r="B37" s="223" t="s">
        <v>521</v>
      </c>
      <c r="C37" s="195"/>
      <c r="D37" s="60"/>
      <c r="E37" s="53"/>
      <c r="F37" s="53"/>
      <c r="G37" s="53"/>
      <c r="H37" s="53"/>
      <c r="I37" s="53"/>
      <c r="J37" s="124"/>
      <c r="K37" s="124"/>
      <c r="L37" s="124"/>
      <c r="M37" s="124"/>
      <c r="N37" s="124"/>
      <c r="O37" s="124"/>
      <c r="P37" s="124"/>
      <c r="Q37" s="124"/>
      <c r="R37" s="124"/>
      <c r="S37" s="124"/>
      <c r="T37" s="124"/>
      <c r="U37" s="124"/>
      <c r="V37" s="124"/>
      <c r="W37" s="124"/>
      <c r="X37" s="124"/>
    </row>
    <row r="38" spans="1:38" ht="12.9" customHeight="1" x14ac:dyDescent="0.25">
      <c r="A38" s="73"/>
      <c r="B38" s="420" t="s">
        <v>522</v>
      </c>
      <c r="C38" s="420"/>
      <c r="D38" s="420"/>
      <c r="E38" s="420"/>
      <c r="F38" s="420"/>
      <c r="G38" s="420"/>
      <c r="H38" s="420"/>
      <c r="I38" s="420"/>
      <c r="J38" s="420"/>
      <c r="K38" s="420"/>
      <c r="M38" s="124"/>
    </row>
    <row r="39" spans="1:38" ht="12.9" customHeight="1" x14ac:dyDescent="0.25">
      <c r="B39" s="418" t="s">
        <v>523</v>
      </c>
      <c r="C39" s="418"/>
      <c r="D39" s="418"/>
      <c r="E39" s="418"/>
      <c r="F39" s="418"/>
      <c r="G39" s="418"/>
      <c r="H39" s="418"/>
      <c r="I39" s="418"/>
      <c r="J39" s="418"/>
      <c r="P39" s="124"/>
      <c r="Q39" s="124"/>
      <c r="R39" s="124"/>
      <c r="S39" s="124"/>
      <c r="T39" s="124"/>
      <c r="U39" s="124"/>
      <c r="V39" s="124"/>
      <c r="W39" s="124"/>
      <c r="X39" s="124"/>
      <c r="AL39" s="83"/>
    </row>
    <row r="41" spans="1:38" ht="12.9" customHeight="1" x14ac:dyDescent="0.25">
      <c r="A41" s="73"/>
      <c r="B41" s="223" t="s">
        <v>578</v>
      </c>
      <c r="C41" s="195"/>
      <c r="D41" s="60"/>
      <c r="E41" s="53"/>
      <c r="F41" s="53"/>
      <c r="G41" s="53"/>
      <c r="H41" s="53"/>
      <c r="I41" s="53"/>
      <c r="J41" s="124"/>
      <c r="K41" s="124"/>
      <c r="L41" s="124"/>
      <c r="M41" s="124"/>
      <c r="N41" s="124"/>
      <c r="O41" s="124"/>
      <c r="P41" s="124"/>
      <c r="Q41" s="124"/>
      <c r="R41" s="124"/>
    </row>
    <row r="42" spans="1:38" ht="12.9" customHeight="1" x14ac:dyDescent="0.25">
      <c r="A42" s="73"/>
      <c r="B42" s="420" t="s">
        <v>579</v>
      </c>
      <c r="C42" s="420"/>
      <c r="D42" s="420"/>
      <c r="E42" s="420"/>
      <c r="F42" s="420"/>
      <c r="G42" s="420"/>
      <c r="H42" s="420"/>
      <c r="I42" s="420"/>
      <c r="J42" s="420"/>
      <c r="K42" s="420"/>
      <c r="L42" s="124"/>
      <c r="M42" s="124"/>
      <c r="N42" s="124"/>
      <c r="O42" s="124"/>
      <c r="P42" s="124"/>
      <c r="Q42" s="124"/>
      <c r="R42" s="124"/>
    </row>
    <row r="43" spans="1:38" ht="12.9" customHeight="1" x14ac:dyDescent="0.25">
      <c r="A43" s="73"/>
      <c r="B43" s="418" t="s">
        <v>580</v>
      </c>
      <c r="C43" s="418"/>
      <c r="D43" s="418"/>
      <c r="E43" s="418"/>
      <c r="F43" s="418"/>
      <c r="G43" s="418"/>
      <c r="H43" s="418"/>
      <c r="I43" s="418"/>
      <c r="J43" s="418"/>
      <c r="L43" s="124"/>
      <c r="M43" s="124"/>
      <c r="N43" s="124"/>
      <c r="O43" s="124"/>
      <c r="P43" s="124"/>
      <c r="Q43" s="124"/>
      <c r="R43" s="124"/>
    </row>
    <row r="44" spans="1:38" ht="12.9" customHeight="1" x14ac:dyDescent="0.25">
      <c r="A44" s="73"/>
      <c r="B44" s="246" t="s">
        <v>581</v>
      </c>
      <c r="C44" s="195"/>
      <c r="D44" s="60"/>
      <c r="E44" s="53"/>
      <c r="F44" s="53"/>
      <c r="G44" s="53"/>
      <c r="H44" s="53"/>
      <c r="I44" s="53"/>
      <c r="J44" s="124"/>
      <c r="K44" s="124"/>
      <c r="L44" s="124"/>
      <c r="M44" s="124"/>
      <c r="N44" s="124"/>
      <c r="O44" s="124"/>
      <c r="P44" s="124"/>
      <c r="Q44" s="124"/>
      <c r="R44" s="124"/>
    </row>
    <row r="45" spans="1:38" ht="12.9" customHeight="1" x14ac:dyDescent="0.25">
      <c r="A45" s="73"/>
      <c r="B45" s="246" t="s">
        <v>582</v>
      </c>
      <c r="C45" s="195"/>
      <c r="D45" s="60"/>
      <c r="E45" s="53"/>
      <c r="F45" s="53"/>
      <c r="G45" s="53"/>
      <c r="H45" s="53"/>
      <c r="I45" s="53"/>
      <c r="J45" s="124"/>
      <c r="K45" s="124"/>
      <c r="L45" s="124"/>
      <c r="M45" s="124"/>
      <c r="N45" s="124"/>
      <c r="O45" s="124"/>
      <c r="P45" s="124"/>
      <c r="Q45" s="124"/>
      <c r="R45" s="124"/>
    </row>
    <row r="46" spans="1:38" ht="12.9" customHeight="1" x14ac:dyDescent="0.25">
      <c r="A46" s="73"/>
      <c r="B46" s="52"/>
      <c r="C46" s="195"/>
      <c r="D46" s="60"/>
      <c r="E46" s="53"/>
      <c r="F46" s="53"/>
      <c r="G46" s="53"/>
      <c r="H46" s="53"/>
      <c r="I46" s="53"/>
      <c r="J46" s="124"/>
      <c r="K46" s="124"/>
      <c r="L46" s="124"/>
      <c r="M46" s="124"/>
      <c r="N46" s="124"/>
      <c r="O46" s="124"/>
      <c r="P46" s="124"/>
      <c r="Q46" s="124"/>
      <c r="R46" s="124"/>
    </row>
    <row r="47" spans="1:38" ht="12.9" customHeight="1" x14ac:dyDescent="0.25">
      <c r="A47" s="230" t="s">
        <v>474</v>
      </c>
      <c r="B47" s="229" t="s">
        <v>586</v>
      </c>
      <c r="C47" s="195"/>
      <c r="D47" s="60"/>
      <c r="E47" s="53"/>
      <c r="F47" s="53"/>
      <c r="G47" s="53"/>
      <c r="H47" s="53"/>
      <c r="I47" s="53"/>
      <c r="J47" s="124"/>
      <c r="K47" s="124"/>
      <c r="L47" s="124"/>
      <c r="M47" s="124"/>
      <c r="N47" s="124"/>
      <c r="O47" s="124"/>
      <c r="P47" s="124"/>
      <c r="Q47" s="124"/>
      <c r="R47" s="124"/>
    </row>
    <row r="48" spans="1:38" ht="12.9" customHeight="1" x14ac:dyDescent="0.25">
      <c r="A48" s="73"/>
      <c r="B48" s="223" t="s">
        <v>587</v>
      </c>
      <c r="C48" s="195"/>
      <c r="D48" s="60"/>
      <c r="E48" s="53"/>
      <c r="F48" s="53"/>
      <c r="G48" s="53"/>
      <c r="H48" s="53"/>
      <c r="I48" s="53"/>
      <c r="J48" s="124"/>
      <c r="K48" s="124"/>
      <c r="L48" s="124"/>
      <c r="M48" s="124"/>
      <c r="N48" s="124"/>
      <c r="O48" s="124"/>
      <c r="P48" s="124"/>
      <c r="Q48" s="124"/>
      <c r="R48" s="124"/>
    </row>
    <row r="49" spans="1:37" ht="12.9" customHeight="1" x14ac:dyDescent="0.25">
      <c r="A49" s="73"/>
      <c r="B49" s="223" t="s">
        <v>588</v>
      </c>
      <c r="C49" s="195"/>
      <c r="D49" s="60"/>
      <c r="E49" s="53"/>
      <c r="F49" s="53"/>
      <c r="G49" s="53"/>
      <c r="H49" s="53"/>
      <c r="I49" s="53"/>
      <c r="J49" s="124"/>
      <c r="K49" s="124"/>
      <c r="L49" s="124"/>
      <c r="M49" s="124"/>
      <c r="N49" s="124"/>
      <c r="O49" s="124"/>
      <c r="P49" s="124"/>
      <c r="Q49" s="124"/>
      <c r="R49" s="124"/>
    </row>
    <row r="50" spans="1:37" ht="12.9" customHeight="1" x14ac:dyDescent="0.25">
      <c r="A50" s="73"/>
      <c r="B50" s="223" t="s">
        <v>589</v>
      </c>
      <c r="C50" s="195"/>
      <c r="D50" s="60"/>
      <c r="E50" s="53"/>
      <c r="F50" s="53"/>
      <c r="G50" s="53"/>
      <c r="H50" s="53"/>
      <c r="I50" s="53"/>
      <c r="J50" s="124"/>
      <c r="K50" s="124"/>
      <c r="L50" s="124"/>
      <c r="M50" s="124"/>
      <c r="N50" s="124"/>
      <c r="O50" s="124"/>
      <c r="P50" s="124"/>
      <c r="Q50" s="124"/>
      <c r="R50" s="124"/>
    </row>
    <row r="51" spans="1:37" ht="12.9" customHeight="1" x14ac:dyDescent="0.25">
      <c r="A51" s="73"/>
      <c r="B51" s="52"/>
      <c r="C51" s="195"/>
      <c r="D51" s="60"/>
      <c r="E51" s="53"/>
      <c r="F51" s="53"/>
      <c r="G51" s="53"/>
      <c r="H51" s="53"/>
      <c r="I51" s="53"/>
      <c r="J51" s="124"/>
      <c r="K51" s="124"/>
      <c r="L51" s="124"/>
      <c r="M51" s="124"/>
      <c r="N51" s="124"/>
      <c r="O51" s="124"/>
      <c r="P51" s="124"/>
      <c r="Q51" s="124"/>
      <c r="R51" s="124"/>
    </row>
    <row r="52" spans="1:37" ht="12.9" customHeight="1" x14ac:dyDescent="0.25">
      <c r="A52" s="73"/>
      <c r="B52" s="52"/>
      <c r="C52" s="195"/>
      <c r="D52" s="60"/>
      <c r="E52" s="53"/>
      <c r="F52" s="53"/>
      <c r="G52" s="53"/>
      <c r="H52" s="53"/>
      <c r="I52" s="53"/>
      <c r="J52" s="124"/>
      <c r="K52" s="124"/>
      <c r="L52" s="124"/>
      <c r="M52" s="124"/>
      <c r="N52" s="124"/>
      <c r="O52" s="124"/>
      <c r="P52" s="124"/>
      <c r="Q52" s="124"/>
      <c r="R52" s="124"/>
    </row>
    <row r="53" spans="1:37" ht="12.75" customHeight="1" x14ac:dyDescent="0.25">
      <c r="A53" s="136">
        <v>6</v>
      </c>
      <c r="B53" s="52" t="s">
        <v>362</v>
      </c>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row>
    <row r="54" spans="1:37" ht="12.9" customHeight="1" x14ac:dyDescent="0.25">
      <c r="B54" s="213"/>
    </row>
    <row r="55" spans="1:37" ht="16.5" customHeight="1" x14ac:dyDescent="0.25">
      <c r="A55" s="214" t="s">
        <v>363</v>
      </c>
      <c r="B55" s="421" t="s">
        <v>601</v>
      </c>
      <c r="C55" s="421"/>
      <c r="D55" s="421"/>
      <c r="E55" s="421"/>
      <c r="F55" s="421"/>
      <c r="G55" s="421"/>
      <c r="H55" s="421"/>
      <c r="I55" s="421"/>
      <c r="J55" s="421"/>
      <c r="K55" s="421"/>
      <c r="L55" s="421"/>
      <c r="M55" s="421"/>
      <c r="N55" s="421"/>
      <c r="O55" s="421"/>
      <c r="P55" s="421"/>
      <c r="Q55" s="421"/>
      <c r="R55" s="421"/>
      <c r="S55" s="421"/>
      <c r="T55" s="421"/>
      <c r="U55" s="421"/>
      <c r="V55" s="421"/>
      <c r="W55" s="421"/>
      <c r="X55" s="421"/>
      <c r="Y55" s="421"/>
      <c r="Z55" s="421"/>
      <c r="AA55" s="421"/>
      <c r="AB55" s="421"/>
      <c r="AC55" s="421"/>
      <c r="AD55" s="421"/>
      <c r="AE55" s="421"/>
      <c r="AF55" s="421"/>
      <c r="AG55" s="421"/>
      <c r="AH55" s="421"/>
      <c r="AI55" s="421"/>
      <c r="AJ55" s="421"/>
      <c r="AK55" s="421"/>
    </row>
    <row r="56" spans="1:37" ht="26.25" customHeight="1" x14ac:dyDescent="0.25">
      <c r="A56" s="214" t="s">
        <v>364</v>
      </c>
      <c r="B56" s="421" t="s">
        <v>478</v>
      </c>
      <c r="C56" s="421"/>
      <c r="D56" s="421"/>
      <c r="E56" s="421"/>
      <c r="F56" s="421"/>
      <c r="G56" s="421"/>
      <c r="H56" s="421"/>
      <c r="I56" s="421"/>
      <c r="J56" s="421"/>
      <c r="K56" s="421"/>
      <c r="L56" s="421"/>
      <c r="M56" s="421"/>
      <c r="N56" s="421"/>
      <c r="O56" s="421"/>
      <c r="P56" s="421"/>
      <c r="Q56" s="421"/>
      <c r="R56" s="421"/>
      <c r="S56" s="421"/>
      <c r="T56" s="421"/>
      <c r="U56" s="421"/>
      <c r="V56" s="421"/>
      <c r="W56" s="421"/>
      <c r="X56" s="421"/>
      <c r="Y56" s="421"/>
      <c r="Z56" s="421"/>
      <c r="AA56" s="421"/>
      <c r="AB56" s="421"/>
      <c r="AC56" s="421"/>
      <c r="AD56" s="421"/>
      <c r="AE56" s="421"/>
      <c r="AF56" s="421"/>
      <c r="AG56" s="421"/>
      <c r="AH56" s="421"/>
      <c r="AI56" s="421"/>
      <c r="AJ56" s="421"/>
      <c r="AK56" s="421"/>
    </row>
    <row r="57" spans="1:37" ht="12.9" customHeight="1" x14ac:dyDescent="0.25">
      <c r="A57" s="73"/>
      <c r="B57" s="52"/>
      <c r="C57" s="195"/>
      <c r="D57" s="60"/>
      <c r="E57" s="53"/>
      <c r="F57" s="53"/>
      <c r="G57" s="53"/>
      <c r="H57" s="53"/>
      <c r="I57" s="53"/>
      <c r="J57" s="124"/>
      <c r="K57" s="124"/>
      <c r="L57" s="124"/>
      <c r="M57" s="124"/>
      <c r="N57" s="124"/>
      <c r="O57" s="124"/>
      <c r="P57" s="124"/>
      <c r="Q57" s="124"/>
      <c r="R57" s="124"/>
    </row>
    <row r="58" spans="1:37" ht="12.9" customHeight="1" x14ac:dyDescent="0.25">
      <c r="A58" s="73"/>
      <c r="B58" s="52"/>
      <c r="C58" s="195"/>
      <c r="D58" s="60"/>
      <c r="E58" s="53"/>
      <c r="F58" s="53"/>
      <c r="G58" s="53"/>
      <c r="H58" s="53"/>
      <c r="I58" s="53"/>
      <c r="J58" s="124"/>
      <c r="K58" s="124"/>
      <c r="L58" s="124"/>
      <c r="M58" s="124"/>
      <c r="N58" s="124"/>
      <c r="O58" s="124"/>
      <c r="P58" s="124"/>
      <c r="Q58" s="124"/>
      <c r="R58" s="124"/>
    </row>
    <row r="59" spans="1:37" ht="12.9" customHeight="1" x14ac:dyDescent="0.25">
      <c r="A59" s="73"/>
      <c r="B59" s="52"/>
      <c r="C59" s="195"/>
      <c r="D59" s="60"/>
      <c r="E59" s="53"/>
      <c r="F59" s="53"/>
      <c r="G59" s="53"/>
      <c r="H59" s="53"/>
      <c r="I59" s="53"/>
      <c r="J59" s="124"/>
      <c r="K59" s="124"/>
      <c r="L59" s="124"/>
      <c r="M59" s="124"/>
      <c r="N59" s="124"/>
      <c r="O59" s="124"/>
      <c r="P59" s="124"/>
      <c r="Q59" s="124"/>
      <c r="R59" s="124"/>
    </row>
    <row r="60" spans="1:37" ht="12.9" customHeight="1" x14ac:dyDescent="0.25">
      <c r="A60" s="73"/>
      <c r="B60" s="52"/>
      <c r="C60" s="195"/>
      <c r="D60" s="60"/>
      <c r="E60" s="53"/>
      <c r="F60" s="53"/>
      <c r="G60" s="53"/>
      <c r="H60" s="53"/>
      <c r="I60" s="53"/>
      <c r="J60" s="124"/>
      <c r="K60" s="124"/>
      <c r="L60" s="124"/>
      <c r="M60" s="124"/>
      <c r="N60" s="124"/>
      <c r="O60" s="124"/>
      <c r="P60" s="124"/>
      <c r="Q60" s="124"/>
      <c r="R60" s="124"/>
    </row>
    <row r="64" spans="1:37" s="32" customFormat="1" ht="12.9" customHeight="1" x14ac:dyDescent="0.2">
      <c r="A64" s="137"/>
      <c r="B64" s="61"/>
      <c r="C64" s="61"/>
      <c r="D64" s="142"/>
      <c r="E64" s="142"/>
      <c r="F64" s="142"/>
      <c r="G64" s="61"/>
      <c r="H64" s="67"/>
      <c r="I64" s="67"/>
      <c r="J64" s="67"/>
      <c r="K64" s="137"/>
      <c r="L64" s="137"/>
      <c r="M64" s="137"/>
      <c r="N64" s="137"/>
      <c r="O64" s="156"/>
      <c r="P64" s="156"/>
      <c r="Q64" s="156"/>
      <c r="R64" s="157"/>
      <c r="S64" s="137"/>
      <c r="T64" s="157"/>
      <c r="U64" s="137"/>
      <c r="V64" s="137"/>
      <c r="W64" s="137"/>
      <c r="X64" s="137"/>
      <c r="Y64" s="137"/>
      <c r="Z64" s="137"/>
      <c r="AA64" s="137"/>
      <c r="AB64" s="137"/>
      <c r="AC64" s="137"/>
      <c r="AD64" s="137"/>
      <c r="AE64" s="137"/>
      <c r="AF64" s="137"/>
      <c r="AG64" s="137"/>
      <c r="AH64" s="137"/>
      <c r="AI64" s="137"/>
      <c r="AJ64" s="137"/>
    </row>
    <row r="65" spans="1:37" s="2" customFormat="1" ht="15.6" x14ac:dyDescent="0.3">
      <c r="A65" s="158"/>
      <c r="B65" s="158"/>
      <c r="C65" s="158"/>
      <c r="D65" s="158"/>
      <c r="E65" s="22"/>
      <c r="F65" s="22"/>
      <c r="G65" s="22"/>
      <c r="H65" s="22"/>
      <c r="I65" s="22"/>
      <c r="J65" s="159"/>
      <c r="K65" s="159"/>
      <c r="L65" s="159"/>
      <c r="M65" s="159"/>
      <c r="N65" s="159"/>
      <c r="O65" s="159"/>
      <c r="P65" s="159"/>
      <c r="Q65" s="159"/>
      <c r="R65" s="332"/>
      <c r="S65" s="332"/>
      <c r="T65" s="332"/>
      <c r="U65" s="332"/>
      <c r="V65" s="332"/>
      <c r="W65" s="332"/>
      <c r="X65" s="332"/>
      <c r="Y65" s="332"/>
      <c r="Z65" s="332"/>
      <c r="AA65" s="332"/>
      <c r="AB65" s="341" t="s">
        <v>2</v>
      </c>
      <c r="AC65" s="341"/>
      <c r="AD65" s="341">
        <v>7</v>
      </c>
      <c r="AE65" s="341"/>
      <c r="AF65" s="341" t="s">
        <v>177</v>
      </c>
      <c r="AG65" s="341"/>
      <c r="AH65" s="341">
        <v>7</v>
      </c>
      <c r="AI65" s="341"/>
      <c r="AJ65" s="332"/>
      <c r="AK65" s="332"/>
    </row>
    <row r="66" spans="1:37" s="2" customFormat="1" ht="15.75" customHeight="1" x14ac:dyDescent="0.3">
      <c r="A66" s="340"/>
      <c r="B66" s="340"/>
      <c r="C66" s="340"/>
      <c r="D66" s="340"/>
      <c r="E66" s="340"/>
      <c r="F66" s="23"/>
      <c r="G66" s="23"/>
      <c r="H66" s="23"/>
      <c r="I66" s="23"/>
      <c r="J66" s="23"/>
      <c r="K66" s="23"/>
    </row>
  </sheetData>
  <sheetProtection formatCells="0" formatColumns="0" formatRows="0"/>
  <protectedRanges>
    <protectedRange sqref="A24:AK24 A34:L35 M34 A22:L23 A28:AK28 O26:AK27 M27:N27 M26 A26:L27 D25:AK25 A25:B25 A32:AK32 O30:AK31 M31:N31 A7:AK7 A67:AK1555 M30 A30:L31 D29:AK29 A29:B29 A33:B33 O34:AK35 M35:N35 D8:AK8 A8:B8 A9:L10 O9:AK10 M9 M10:N10 D11:AK13 A11:B13 A19:B21 D19:AK21 M14 M15:N16 D33:AK33 O22:AK23 M23:N23 M22 A14:L18 O14:AK18 M17 M18:N18 A36:AK36 A38:L39 M38 A37:B37 O38:AK39 M39:N39 D37:AK37 A40:AK40 A41:A43 L41:AK43 B42:K43 B41 D41:K41 A44:AK52 A58:AK63 A53:AK57" name="Range2"/>
    <protectedRange sqref="A64:O64 Q64:R64 T64:AK64" name="Range2_8_1"/>
    <protectedRange sqref="A65:AK66" name="Range2_4_1_2_1"/>
    <protectedRange sqref="D4:AK4 A4:B4 A5:L6 O5:AK6 M5 M6:N6" name="Range2_1_1"/>
  </protectedRanges>
  <mergeCells count="35">
    <mergeCell ref="A1:K1"/>
    <mergeCell ref="A2:Q2"/>
    <mergeCell ref="B55:AK55"/>
    <mergeCell ref="B56:AK56"/>
    <mergeCell ref="B23:J23"/>
    <mergeCell ref="B14:K14"/>
    <mergeCell ref="B15:J15"/>
    <mergeCell ref="B31:J31"/>
    <mergeCell ref="B35:J35"/>
    <mergeCell ref="B34:P34"/>
    <mergeCell ref="B5:K5"/>
    <mergeCell ref="B6:J6"/>
    <mergeCell ref="B22:P22"/>
    <mergeCell ref="B27:J27"/>
    <mergeCell ref="B26:K26"/>
    <mergeCell ref="B30:K30"/>
    <mergeCell ref="A66:E66"/>
    <mergeCell ref="T65:U65"/>
    <mergeCell ref="V65:W65"/>
    <mergeCell ref="X65:Y65"/>
    <mergeCell ref="Z65:AA65"/>
    <mergeCell ref="R65:S65"/>
    <mergeCell ref="B9:K9"/>
    <mergeCell ref="B10:J10"/>
    <mergeCell ref="AF65:AG65"/>
    <mergeCell ref="AH65:AI65"/>
    <mergeCell ref="AJ65:AK65"/>
    <mergeCell ref="AB65:AC65"/>
    <mergeCell ref="AD65:AE65"/>
    <mergeCell ref="B17:K17"/>
    <mergeCell ref="B18:J18"/>
    <mergeCell ref="B39:J39"/>
    <mergeCell ref="B38:K38"/>
    <mergeCell ref="B42:K42"/>
    <mergeCell ref="B43:J43"/>
  </mergeCells>
  <hyperlinks>
    <hyperlink ref="T1" r:id="rId1" xr:uid="{4D364ACD-C737-46D0-B046-77FA89391972}"/>
  </hyperlinks>
  <printOptions horizontalCentered="1"/>
  <pageMargins left="0.25" right="0.25" top="0.75" bottom="0.75" header="0.3" footer="0.3"/>
  <pageSetup paperSize="9" scale="86" orientation="portrait" r:id="rId2"/>
  <headerFooter alignWithMargins="0"/>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6"/>
  <dimension ref="A1:BM65"/>
  <sheetViews>
    <sheetView zoomScale="160" zoomScaleNormal="160" zoomScaleSheetLayoutView="160" workbookViewId="0">
      <selection activeCell="AK1" sqref="AK1"/>
    </sheetView>
  </sheetViews>
  <sheetFormatPr defaultColWidth="2.5546875" defaultRowHeight="12.9" customHeight="1" x14ac:dyDescent="0.25"/>
  <cols>
    <col min="1" max="3" width="2.5546875" style="30" customWidth="1"/>
    <col min="4" max="4" width="3.33203125" style="30" customWidth="1"/>
    <col min="5" max="5" width="2.6640625" style="30" customWidth="1"/>
    <col min="6" max="35" width="2.5546875" style="30" customWidth="1"/>
    <col min="36" max="36" width="2.44140625" style="30" customWidth="1"/>
    <col min="37" max="256" width="2.5546875" style="30"/>
    <col min="257" max="259" width="2.5546875" style="30" customWidth="1"/>
    <col min="260" max="260" width="3.33203125" style="30" customWidth="1"/>
    <col min="261" max="261" width="2.6640625" style="30" customWidth="1"/>
    <col min="262" max="291" width="2.5546875" style="30" customWidth="1"/>
    <col min="292" max="292" width="2.44140625" style="30" customWidth="1"/>
    <col min="293" max="512" width="2.5546875" style="30"/>
    <col min="513" max="515" width="2.5546875" style="30" customWidth="1"/>
    <col min="516" max="516" width="3.33203125" style="30" customWidth="1"/>
    <col min="517" max="517" width="2.6640625" style="30" customWidth="1"/>
    <col min="518" max="547" width="2.5546875" style="30" customWidth="1"/>
    <col min="548" max="548" width="2.44140625" style="30" customWidth="1"/>
    <col min="549" max="768" width="2.5546875" style="30"/>
    <col min="769" max="771" width="2.5546875" style="30" customWidth="1"/>
    <col min="772" max="772" width="3.33203125" style="30" customWidth="1"/>
    <col min="773" max="773" width="2.6640625" style="30" customWidth="1"/>
    <col min="774" max="803" width="2.5546875" style="30" customWidth="1"/>
    <col min="804" max="804" width="2.44140625" style="30" customWidth="1"/>
    <col min="805" max="1024" width="2.5546875" style="30"/>
    <col min="1025" max="1027" width="2.5546875" style="30" customWidth="1"/>
    <col min="1028" max="1028" width="3.33203125" style="30" customWidth="1"/>
    <col min="1029" max="1029" width="2.6640625" style="30" customWidth="1"/>
    <col min="1030" max="1059" width="2.5546875" style="30" customWidth="1"/>
    <col min="1060" max="1060" width="2.44140625" style="30" customWidth="1"/>
    <col min="1061" max="1280" width="2.5546875" style="30"/>
    <col min="1281" max="1283" width="2.5546875" style="30" customWidth="1"/>
    <col min="1284" max="1284" width="3.33203125" style="30" customWidth="1"/>
    <col min="1285" max="1285" width="2.6640625" style="30" customWidth="1"/>
    <col min="1286" max="1315" width="2.5546875" style="30" customWidth="1"/>
    <col min="1316" max="1316" width="2.44140625" style="30" customWidth="1"/>
    <col min="1317" max="1536" width="2.5546875" style="30"/>
    <col min="1537" max="1539" width="2.5546875" style="30" customWidth="1"/>
    <col min="1540" max="1540" width="3.33203125" style="30" customWidth="1"/>
    <col min="1541" max="1541" width="2.6640625" style="30" customWidth="1"/>
    <col min="1542" max="1571" width="2.5546875" style="30" customWidth="1"/>
    <col min="1572" max="1572" width="2.44140625" style="30" customWidth="1"/>
    <col min="1573" max="1792" width="2.5546875" style="30"/>
    <col min="1793" max="1795" width="2.5546875" style="30" customWidth="1"/>
    <col min="1796" max="1796" width="3.33203125" style="30" customWidth="1"/>
    <col min="1797" max="1797" width="2.6640625" style="30" customWidth="1"/>
    <col min="1798" max="1827" width="2.5546875" style="30" customWidth="1"/>
    <col min="1828" max="1828" width="2.44140625" style="30" customWidth="1"/>
    <col min="1829" max="2048" width="2.5546875" style="30"/>
    <col min="2049" max="2051" width="2.5546875" style="30" customWidth="1"/>
    <col min="2052" max="2052" width="3.33203125" style="30" customWidth="1"/>
    <col min="2053" max="2053" width="2.6640625" style="30" customWidth="1"/>
    <col min="2054" max="2083" width="2.5546875" style="30" customWidth="1"/>
    <col min="2084" max="2084" width="2.44140625" style="30" customWidth="1"/>
    <col min="2085" max="2304" width="2.5546875" style="30"/>
    <col min="2305" max="2307" width="2.5546875" style="30" customWidth="1"/>
    <col min="2308" max="2308" width="3.33203125" style="30" customWidth="1"/>
    <col min="2309" max="2309" width="2.6640625" style="30" customWidth="1"/>
    <col min="2310" max="2339" width="2.5546875" style="30" customWidth="1"/>
    <col min="2340" max="2340" width="2.44140625" style="30" customWidth="1"/>
    <col min="2341" max="2560" width="2.5546875" style="30"/>
    <col min="2561" max="2563" width="2.5546875" style="30" customWidth="1"/>
    <col min="2564" max="2564" width="3.33203125" style="30" customWidth="1"/>
    <col min="2565" max="2565" width="2.6640625" style="30" customWidth="1"/>
    <col min="2566" max="2595" width="2.5546875" style="30" customWidth="1"/>
    <col min="2596" max="2596" width="2.44140625" style="30" customWidth="1"/>
    <col min="2597" max="2816" width="2.5546875" style="30"/>
    <col min="2817" max="2819" width="2.5546875" style="30" customWidth="1"/>
    <col min="2820" max="2820" width="3.33203125" style="30" customWidth="1"/>
    <col min="2821" max="2821" width="2.6640625" style="30" customWidth="1"/>
    <col min="2822" max="2851" width="2.5546875" style="30" customWidth="1"/>
    <col min="2852" max="2852" width="2.44140625" style="30" customWidth="1"/>
    <col min="2853" max="3072" width="2.5546875" style="30"/>
    <col min="3073" max="3075" width="2.5546875" style="30" customWidth="1"/>
    <col min="3076" max="3076" width="3.33203125" style="30" customWidth="1"/>
    <col min="3077" max="3077" width="2.6640625" style="30" customWidth="1"/>
    <col min="3078" max="3107" width="2.5546875" style="30" customWidth="1"/>
    <col min="3108" max="3108" width="2.44140625" style="30" customWidth="1"/>
    <col min="3109" max="3328" width="2.5546875" style="30"/>
    <col min="3329" max="3331" width="2.5546875" style="30" customWidth="1"/>
    <col min="3332" max="3332" width="3.33203125" style="30" customWidth="1"/>
    <col min="3333" max="3333" width="2.6640625" style="30" customWidth="1"/>
    <col min="3334" max="3363" width="2.5546875" style="30" customWidth="1"/>
    <col min="3364" max="3364" width="2.44140625" style="30" customWidth="1"/>
    <col min="3365" max="3584" width="2.5546875" style="30"/>
    <col min="3585" max="3587" width="2.5546875" style="30" customWidth="1"/>
    <col min="3588" max="3588" width="3.33203125" style="30" customWidth="1"/>
    <col min="3589" max="3589" width="2.6640625" style="30" customWidth="1"/>
    <col min="3590" max="3619" width="2.5546875" style="30" customWidth="1"/>
    <col min="3620" max="3620" width="2.44140625" style="30" customWidth="1"/>
    <col min="3621" max="3840" width="2.5546875" style="30"/>
    <col min="3841" max="3843" width="2.5546875" style="30" customWidth="1"/>
    <col min="3844" max="3844" width="3.33203125" style="30" customWidth="1"/>
    <col min="3845" max="3845" width="2.6640625" style="30" customWidth="1"/>
    <col min="3846" max="3875" width="2.5546875" style="30" customWidth="1"/>
    <col min="3876" max="3876" width="2.44140625" style="30" customWidth="1"/>
    <col min="3877" max="4096" width="2.5546875" style="30"/>
    <col min="4097" max="4099" width="2.5546875" style="30" customWidth="1"/>
    <col min="4100" max="4100" width="3.33203125" style="30" customWidth="1"/>
    <col min="4101" max="4101" width="2.6640625" style="30" customWidth="1"/>
    <col min="4102" max="4131" width="2.5546875" style="30" customWidth="1"/>
    <col min="4132" max="4132" width="2.44140625" style="30" customWidth="1"/>
    <col min="4133" max="4352" width="2.5546875" style="30"/>
    <col min="4353" max="4355" width="2.5546875" style="30" customWidth="1"/>
    <col min="4356" max="4356" width="3.33203125" style="30" customWidth="1"/>
    <col min="4357" max="4357" width="2.6640625" style="30" customWidth="1"/>
    <col min="4358" max="4387" width="2.5546875" style="30" customWidth="1"/>
    <col min="4388" max="4388" width="2.44140625" style="30" customWidth="1"/>
    <col min="4389" max="4608" width="2.5546875" style="30"/>
    <col min="4609" max="4611" width="2.5546875" style="30" customWidth="1"/>
    <col min="4612" max="4612" width="3.33203125" style="30" customWidth="1"/>
    <col min="4613" max="4613" width="2.6640625" style="30" customWidth="1"/>
    <col min="4614" max="4643" width="2.5546875" style="30" customWidth="1"/>
    <col min="4644" max="4644" width="2.44140625" style="30" customWidth="1"/>
    <col min="4645" max="4864" width="2.5546875" style="30"/>
    <col min="4865" max="4867" width="2.5546875" style="30" customWidth="1"/>
    <col min="4868" max="4868" width="3.33203125" style="30" customWidth="1"/>
    <col min="4869" max="4869" width="2.6640625" style="30" customWidth="1"/>
    <col min="4870" max="4899" width="2.5546875" style="30" customWidth="1"/>
    <col min="4900" max="4900" width="2.44140625" style="30" customWidth="1"/>
    <col min="4901" max="5120" width="2.5546875" style="30"/>
    <col min="5121" max="5123" width="2.5546875" style="30" customWidth="1"/>
    <col min="5124" max="5124" width="3.33203125" style="30" customWidth="1"/>
    <col min="5125" max="5125" width="2.6640625" style="30" customWidth="1"/>
    <col min="5126" max="5155" width="2.5546875" style="30" customWidth="1"/>
    <col min="5156" max="5156" width="2.44140625" style="30" customWidth="1"/>
    <col min="5157" max="5376" width="2.5546875" style="30"/>
    <col min="5377" max="5379" width="2.5546875" style="30" customWidth="1"/>
    <col min="5380" max="5380" width="3.33203125" style="30" customWidth="1"/>
    <col min="5381" max="5381" width="2.6640625" style="30" customWidth="1"/>
    <col min="5382" max="5411" width="2.5546875" style="30" customWidth="1"/>
    <col min="5412" max="5412" width="2.44140625" style="30" customWidth="1"/>
    <col min="5413" max="5632" width="2.5546875" style="30"/>
    <col min="5633" max="5635" width="2.5546875" style="30" customWidth="1"/>
    <col min="5636" max="5636" width="3.33203125" style="30" customWidth="1"/>
    <col min="5637" max="5637" width="2.6640625" style="30" customWidth="1"/>
    <col min="5638" max="5667" width="2.5546875" style="30" customWidth="1"/>
    <col min="5668" max="5668" width="2.44140625" style="30" customWidth="1"/>
    <col min="5669" max="5888" width="2.5546875" style="30"/>
    <col min="5889" max="5891" width="2.5546875" style="30" customWidth="1"/>
    <col min="5892" max="5892" width="3.33203125" style="30" customWidth="1"/>
    <col min="5893" max="5893" width="2.6640625" style="30" customWidth="1"/>
    <col min="5894" max="5923" width="2.5546875" style="30" customWidth="1"/>
    <col min="5924" max="5924" width="2.44140625" style="30" customWidth="1"/>
    <col min="5925" max="6144" width="2.5546875" style="30"/>
    <col min="6145" max="6147" width="2.5546875" style="30" customWidth="1"/>
    <col min="6148" max="6148" width="3.33203125" style="30" customWidth="1"/>
    <col min="6149" max="6149" width="2.6640625" style="30" customWidth="1"/>
    <col min="6150" max="6179" width="2.5546875" style="30" customWidth="1"/>
    <col min="6180" max="6180" width="2.44140625" style="30" customWidth="1"/>
    <col min="6181" max="6400" width="2.5546875" style="30"/>
    <col min="6401" max="6403" width="2.5546875" style="30" customWidth="1"/>
    <col min="6404" max="6404" width="3.33203125" style="30" customWidth="1"/>
    <col min="6405" max="6405" width="2.6640625" style="30" customWidth="1"/>
    <col min="6406" max="6435" width="2.5546875" style="30" customWidth="1"/>
    <col min="6436" max="6436" width="2.44140625" style="30" customWidth="1"/>
    <col min="6437" max="6656" width="2.5546875" style="30"/>
    <col min="6657" max="6659" width="2.5546875" style="30" customWidth="1"/>
    <col min="6660" max="6660" width="3.33203125" style="30" customWidth="1"/>
    <col min="6661" max="6661" width="2.6640625" style="30" customWidth="1"/>
    <col min="6662" max="6691" width="2.5546875" style="30" customWidth="1"/>
    <col min="6692" max="6692" width="2.44140625" style="30" customWidth="1"/>
    <col min="6693" max="6912" width="2.5546875" style="30"/>
    <col min="6913" max="6915" width="2.5546875" style="30" customWidth="1"/>
    <col min="6916" max="6916" width="3.33203125" style="30" customWidth="1"/>
    <col min="6917" max="6917" width="2.6640625" style="30" customWidth="1"/>
    <col min="6918" max="6947" width="2.5546875" style="30" customWidth="1"/>
    <col min="6948" max="6948" width="2.44140625" style="30" customWidth="1"/>
    <col min="6949" max="7168" width="2.5546875" style="30"/>
    <col min="7169" max="7171" width="2.5546875" style="30" customWidth="1"/>
    <col min="7172" max="7172" width="3.33203125" style="30" customWidth="1"/>
    <col min="7173" max="7173" width="2.6640625" style="30" customWidth="1"/>
    <col min="7174" max="7203" width="2.5546875" style="30" customWidth="1"/>
    <col min="7204" max="7204" width="2.44140625" style="30" customWidth="1"/>
    <col min="7205" max="7424" width="2.5546875" style="30"/>
    <col min="7425" max="7427" width="2.5546875" style="30" customWidth="1"/>
    <col min="7428" max="7428" width="3.33203125" style="30" customWidth="1"/>
    <col min="7429" max="7429" width="2.6640625" style="30" customWidth="1"/>
    <col min="7430" max="7459" width="2.5546875" style="30" customWidth="1"/>
    <col min="7460" max="7460" width="2.44140625" style="30" customWidth="1"/>
    <col min="7461" max="7680" width="2.5546875" style="30"/>
    <col min="7681" max="7683" width="2.5546875" style="30" customWidth="1"/>
    <col min="7684" max="7684" width="3.33203125" style="30" customWidth="1"/>
    <col min="7685" max="7685" width="2.6640625" style="30" customWidth="1"/>
    <col min="7686" max="7715" width="2.5546875" style="30" customWidth="1"/>
    <col min="7716" max="7716" width="2.44140625" style="30" customWidth="1"/>
    <col min="7717" max="7936" width="2.5546875" style="30"/>
    <col min="7937" max="7939" width="2.5546875" style="30" customWidth="1"/>
    <col min="7940" max="7940" width="3.33203125" style="30" customWidth="1"/>
    <col min="7941" max="7941" width="2.6640625" style="30" customWidth="1"/>
    <col min="7942" max="7971" width="2.5546875" style="30" customWidth="1"/>
    <col min="7972" max="7972" width="2.44140625" style="30" customWidth="1"/>
    <col min="7973" max="8192" width="2.5546875" style="30"/>
    <col min="8193" max="8195" width="2.5546875" style="30" customWidth="1"/>
    <col min="8196" max="8196" width="3.33203125" style="30" customWidth="1"/>
    <col min="8197" max="8197" width="2.6640625" style="30" customWidth="1"/>
    <col min="8198" max="8227" width="2.5546875" style="30" customWidth="1"/>
    <col min="8228" max="8228" width="2.44140625" style="30" customWidth="1"/>
    <col min="8229" max="8448" width="2.5546875" style="30"/>
    <col min="8449" max="8451" width="2.5546875" style="30" customWidth="1"/>
    <col min="8452" max="8452" width="3.33203125" style="30" customWidth="1"/>
    <col min="8453" max="8453" width="2.6640625" style="30" customWidth="1"/>
    <col min="8454" max="8483" width="2.5546875" style="30" customWidth="1"/>
    <col min="8484" max="8484" width="2.44140625" style="30" customWidth="1"/>
    <col min="8485" max="8704" width="2.5546875" style="30"/>
    <col min="8705" max="8707" width="2.5546875" style="30" customWidth="1"/>
    <col min="8708" max="8708" width="3.33203125" style="30" customWidth="1"/>
    <col min="8709" max="8709" width="2.6640625" style="30" customWidth="1"/>
    <col min="8710" max="8739" width="2.5546875" style="30" customWidth="1"/>
    <col min="8740" max="8740" width="2.44140625" style="30" customWidth="1"/>
    <col min="8741" max="8960" width="2.5546875" style="30"/>
    <col min="8961" max="8963" width="2.5546875" style="30" customWidth="1"/>
    <col min="8964" max="8964" width="3.33203125" style="30" customWidth="1"/>
    <col min="8965" max="8965" width="2.6640625" style="30" customWidth="1"/>
    <col min="8966" max="8995" width="2.5546875" style="30" customWidth="1"/>
    <col min="8996" max="8996" width="2.44140625" style="30" customWidth="1"/>
    <col min="8997" max="9216" width="2.5546875" style="30"/>
    <col min="9217" max="9219" width="2.5546875" style="30" customWidth="1"/>
    <col min="9220" max="9220" width="3.33203125" style="30" customWidth="1"/>
    <col min="9221" max="9221" width="2.6640625" style="30" customWidth="1"/>
    <col min="9222" max="9251" width="2.5546875" style="30" customWidth="1"/>
    <col min="9252" max="9252" width="2.44140625" style="30" customWidth="1"/>
    <col min="9253" max="9472" width="2.5546875" style="30"/>
    <col min="9473" max="9475" width="2.5546875" style="30" customWidth="1"/>
    <col min="9476" max="9476" width="3.33203125" style="30" customWidth="1"/>
    <col min="9477" max="9477" width="2.6640625" style="30" customWidth="1"/>
    <col min="9478" max="9507" width="2.5546875" style="30" customWidth="1"/>
    <col min="9508" max="9508" width="2.44140625" style="30" customWidth="1"/>
    <col min="9509" max="9728" width="2.5546875" style="30"/>
    <col min="9729" max="9731" width="2.5546875" style="30" customWidth="1"/>
    <col min="9732" max="9732" width="3.33203125" style="30" customWidth="1"/>
    <col min="9733" max="9733" width="2.6640625" style="30" customWidth="1"/>
    <col min="9734" max="9763" width="2.5546875" style="30" customWidth="1"/>
    <col min="9764" max="9764" width="2.44140625" style="30" customWidth="1"/>
    <col min="9765" max="9984" width="2.5546875" style="30"/>
    <col min="9985" max="9987" width="2.5546875" style="30" customWidth="1"/>
    <col min="9988" max="9988" width="3.33203125" style="30" customWidth="1"/>
    <col min="9989" max="9989" width="2.6640625" style="30" customWidth="1"/>
    <col min="9990" max="10019" width="2.5546875" style="30" customWidth="1"/>
    <col min="10020" max="10020" width="2.44140625" style="30" customWidth="1"/>
    <col min="10021" max="10240" width="2.5546875" style="30"/>
    <col min="10241" max="10243" width="2.5546875" style="30" customWidth="1"/>
    <col min="10244" max="10244" width="3.33203125" style="30" customWidth="1"/>
    <col min="10245" max="10245" width="2.6640625" style="30" customWidth="1"/>
    <col min="10246" max="10275" width="2.5546875" style="30" customWidth="1"/>
    <col min="10276" max="10276" width="2.44140625" style="30" customWidth="1"/>
    <col min="10277" max="10496" width="2.5546875" style="30"/>
    <col min="10497" max="10499" width="2.5546875" style="30" customWidth="1"/>
    <col min="10500" max="10500" width="3.33203125" style="30" customWidth="1"/>
    <col min="10501" max="10501" width="2.6640625" style="30" customWidth="1"/>
    <col min="10502" max="10531" width="2.5546875" style="30" customWidth="1"/>
    <col min="10532" max="10532" width="2.44140625" style="30" customWidth="1"/>
    <col min="10533" max="10752" width="2.5546875" style="30"/>
    <col min="10753" max="10755" width="2.5546875" style="30" customWidth="1"/>
    <col min="10756" max="10756" width="3.33203125" style="30" customWidth="1"/>
    <col min="10757" max="10757" width="2.6640625" style="30" customWidth="1"/>
    <col min="10758" max="10787" width="2.5546875" style="30" customWidth="1"/>
    <col min="10788" max="10788" width="2.44140625" style="30" customWidth="1"/>
    <col min="10789" max="11008" width="2.5546875" style="30"/>
    <col min="11009" max="11011" width="2.5546875" style="30" customWidth="1"/>
    <col min="11012" max="11012" width="3.33203125" style="30" customWidth="1"/>
    <col min="11013" max="11013" width="2.6640625" style="30" customWidth="1"/>
    <col min="11014" max="11043" width="2.5546875" style="30" customWidth="1"/>
    <col min="11044" max="11044" width="2.44140625" style="30" customWidth="1"/>
    <col min="11045" max="11264" width="2.5546875" style="30"/>
    <col min="11265" max="11267" width="2.5546875" style="30" customWidth="1"/>
    <col min="11268" max="11268" width="3.33203125" style="30" customWidth="1"/>
    <col min="11269" max="11269" width="2.6640625" style="30" customWidth="1"/>
    <col min="11270" max="11299" width="2.5546875" style="30" customWidth="1"/>
    <col min="11300" max="11300" width="2.44140625" style="30" customWidth="1"/>
    <col min="11301" max="11520" width="2.5546875" style="30"/>
    <col min="11521" max="11523" width="2.5546875" style="30" customWidth="1"/>
    <col min="11524" max="11524" width="3.33203125" style="30" customWidth="1"/>
    <col min="11525" max="11525" width="2.6640625" style="30" customWidth="1"/>
    <col min="11526" max="11555" width="2.5546875" style="30" customWidth="1"/>
    <col min="11556" max="11556" width="2.44140625" style="30" customWidth="1"/>
    <col min="11557" max="11776" width="2.5546875" style="30"/>
    <col min="11777" max="11779" width="2.5546875" style="30" customWidth="1"/>
    <col min="11780" max="11780" width="3.33203125" style="30" customWidth="1"/>
    <col min="11781" max="11781" width="2.6640625" style="30" customWidth="1"/>
    <col min="11782" max="11811" width="2.5546875" style="30" customWidth="1"/>
    <col min="11812" max="11812" width="2.44140625" style="30" customWidth="1"/>
    <col min="11813" max="12032" width="2.5546875" style="30"/>
    <col min="12033" max="12035" width="2.5546875" style="30" customWidth="1"/>
    <col min="12036" max="12036" width="3.33203125" style="30" customWidth="1"/>
    <col min="12037" max="12037" width="2.6640625" style="30" customWidth="1"/>
    <col min="12038" max="12067" width="2.5546875" style="30" customWidth="1"/>
    <col min="12068" max="12068" width="2.44140625" style="30" customWidth="1"/>
    <col min="12069" max="12288" width="2.5546875" style="30"/>
    <col min="12289" max="12291" width="2.5546875" style="30" customWidth="1"/>
    <col min="12292" max="12292" width="3.33203125" style="30" customWidth="1"/>
    <col min="12293" max="12293" width="2.6640625" style="30" customWidth="1"/>
    <col min="12294" max="12323" width="2.5546875" style="30" customWidth="1"/>
    <col min="12324" max="12324" width="2.44140625" style="30" customWidth="1"/>
    <col min="12325" max="12544" width="2.5546875" style="30"/>
    <col min="12545" max="12547" width="2.5546875" style="30" customWidth="1"/>
    <col min="12548" max="12548" width="3.33203125" style="30" customWidth="1"/>
    <col min="12549" max="12549" width="2.6640625" style="30" customWidth="1"/>
    <col min="12550" max="12579" width="2.5546875" style="30" customWidth="1"/>
    <col min="12580" max="12580" width="2.44140625" style="30" customWidth="1"/>
    <col min="12581" max="12800" width="2.5546875" style="30"/>
    <col min="12801" max="12803" width="2.5546875" style="30" customWidth="1"/>
    <col min="12804" max="12804" width="3.33203125" style="30" customWidth="1"/>
    <col min="12805" max="12805" width="2.6640625" style="30" customWidth="1"/>
    <col min="12806" max="12835" width="2.5546875" style="30" customWidth="1"/>
    <col min="12836" max="12836" width="2.44140625" style="30" customWidth="1"/>
    <col min="12837" max="13056" width="2.5546875" style="30"/>
    <col min="13057" max="13059" width="2.5546875" style="30" customWidth="1"/>
    <col min="13060" max="13060" width="3.33203125" style="30" customWidth="1"/>
    <col min="13061" max="13061" width="2.6640625" style="30" customWidth="1"/>
    <col min="13062" max="13091" width="2.5546875" style="30" customWidth="1"/>
    <col min="13092" max="13092" width="2.44140625" style="30" customWidth="1"/>
    <col min="13093" max="13312" width="2.5546875" style="30"/>
    <col min="13313" max="13315" width="2.5546875" style="30" customWidth="1"/>
    <col min="13316" max="13316" width="3.33203125" style="30" customWidth="1"/>
    <col min="13317" max="13317" width="2.6640625" style="30" customWidth="1"/>
    <col min="13318" max="13347" width="2.5546875" style="30" customWidth="1"/>
    <col min="13348" max="13348" width="2.44140625" style="30" customWidth="1"/>
    <col min="13349" max="13568" width="2.5546875" style="30"/>
    <col min="13569" max="13571" width="2.5546875" style="30" customWidth="1"/>
    <col min="13572" max="13572" width="3.33203125" style="30" customWidth="1"/>
    <col min="13573" max="13573" width="2.6640625" style="30" customWidth="1"/>
    <col min="13574" max="13603" width="2.5546875" style="30" customWidth="1"/>
    <col min="13604" max="13604" width="2.44140625" style="30" customWidth="1"/>
    <col min="13605" max="13824" width="2.5546875" style="30"/>
    <col min="13825" max="13827" width="2.5546875" style="30" customWidth="1"/>
    <col min="13828" max="13828" width="3.33203125" style="30" customWidth="1"/>
    <col min="13829" max="13829" width="2.6640625" style="30" customWidth="1"/>
    <col min="13830" max="13859" width="2.5546875" style="30" customWidth="1"/>
    <col min="13860" max="13860" width="2.44140625" style="30" customWidth="1"/>
    <col min="13861" max="14080" width="2.5546875" style="30"/>
    <col min="14081" max="14083" width="2.5546875" style="30" customWidth="1"/>
    <col min="14084" max="14084" width="3.33203125" style="30" customWidth="1"/>
    <col min="14085" max="14085" width="2.6640625" style="30" customWidth="1"/>
    <col min="14086" max="14115" width="2.5546875" style="30" customWidth="1"/>
    <col min="14116" max="14116" width="2.44140625" style="30" customWidth="1"/>
    <col min="14117" max="14336" width="2.5546875" style="30"/>
    <col min="14337" max="14339" width="2.5546875" style="30" customWidth="1"/>
    <col min="14340" max="14340" width="3.33203125" style="30" customWidth="1"/>
    <col min="14341" max="14341" width="2.6640625" style="30" customWidth="1"/>
    <col min="14342" max="14371" width="2.5546875" style="30" customWidth="1"/>
    <col min="14372" max="14372" width="2.44140625" style="30" customWidth="1"/>
    <col min="14373" max="14592" width="2.5546875" style="30"/>
    <col min="14593" max="14595" width="2.5546875" style="30" customWidth="1"/>
    <col min="14596" max="14596" width="3.33203125" style="30" customWidth="1"/>
    <col min="14597" max="14597" width="2.6640625" style="30" customWidth="1"/>
    <col min="14598" max="14627" width="2.5546875" style="30" customWidth="1"/>
    <col min="14628" max="14628" width="2.44140625" style="30" customWidth="1"/>
    <col min="14629" max="14848" width="2.5546875" style="30"/>
    <col min="14849" max="14851" width="2.5546875" style="30" customWidth="1"/>
    <col min="14852" max="14852" width="3.33203125" style="30" customWidth="1"/>
    <col min="14853" max="14853" width="2.6640625" style="30" customWidth="1"/>
    <col min="14854" max="14883" width="2.5546875" style="30" customWidth="1"/>
    <col min="14884" max="14884" width="2.44140625" style="30" customWidth="1"/>
    <col min="14885" max="15104" width="2.5546875" style="30"/>
    <col min="15105" max="15107" width="2.5546875" style="30" customWidth="1"/>
    <col min="15108" max="15108" width="3.33203125" style="30" customWidth="1"/>
    <col min="15109" max="15109" width="2.6640625" style="30" customWidth="1"/>
    <col min="15110" max="15139" width="2.5546875" style="30" customWidth="1"/>
    <col min="15140" max="15140" width="2.44140625" style="30" customWidth="1"/>
    <col min="15141" max="15360" width="2.5546875" style="30"/>
    <col min="15361" max="15363" width="2.5546875" style="30" customWidth="1"/>
    <col min="15364" max="15364" width="3.33203125" style="30" customWidth="1"/>
    <col min="15365" max="15365" width="2.6640625" style="30" customWidth="1"/>
    <col min="15366" max="15395" width="2.5546875" style="30" customWidth="1"/>
    <col min="15396" max="15396" width="2.44140625" style="30" customWidth="1"/>
    <col min="15397" max="15616" width="2.5546875" style="30"/>
    <col min="15617" max="15619" width="2.5546875" style="30" customWidth="1"/>
    <col min="15620" max="15620" width="3.33203125" style="30" customWidth="1"/>
    <col min="15621" max="15621" width="2.6640625" style="30" customWidth="1"/>
    <col min="15622" max="15651" width="2.5546875" style="30" customWidth="1"/>
    <col min="15652" max="15652" width="2.44140625" style="30" customWidth="1"/>
    <col min="15653" max="15872" width="2.5546875" style="30"/>
    <col min="15873" max="15875" width="2.5546875" style="30" customWidth="1"/>
    <col min="15876" max="15876" width="3.33203125" style="30" customWidth="1"/>
    <col min="15877" max="15877" width="2.6640625" style="30" customWidth="1"/>
    <col min="15878" max="15907" width="2.5546875" style="30" customWidth="1"/>
    <col min="15908" max="15908" width="2.44140625" style="30" customWidth="1"/>
    <col min="15909" max="16128" width="2.5546875" style="30"/>
    <col min="16129" max="16131" width="2.5546875" style="30" customWidth="1"/>
    <col min="16132" max="16132" width="3.33203125" style="30" customWidth="1"/>
    <col min="16133" max="16133" width="2.6640625" style="30" customWidth="1"/>
    <col min="16134" max="16163" width="2.5546875" style="30" customWidth="1"/>
    <col min="16164" max="16164" width="2.44140625" style="30" customWidth="1"/>
    <col min="16165" max="16384" width="2.5546875" style="30"/>
  </cols>
  <sheetData>
    <row r="1" spans="1:65" s="1" customFormat="1" ht="12.6" customHeight="1" thickTop="1" x14ac:dyDescent="0.25">
      <c r="A1" s="430"/>
      <c r="B1" s="430"/>
      <c r="C1" s="430"/>
      <c r="D1" s="430"/>
      <c r="E1" s="430"/>
      <c r="F1" s="430"/>
      <c r="G1" s="430"/>
      <c r="H1" s="430"/>
      <c r="I1" s="430"/>
      <c r="J1" s="430"/>
      <c r="K1" s="430"/>
      <c r="AP1" s="259" t="s">
        <v>607</v>
      </c>
    </row>
    <row r="2" spans="1:65" s="1" customFormat="1" ht="12.6" customHeight="1" x14ac:dyDescent="0.25">
      <c r="A2" s="430" t="s">
        <v>22</v>
      </c>
      <c r="B2" s="430"/>
      <c r="C2" s="430"/>
      <c r="D2" s="430"/>
      <c r="E2" s="430"/>
      <c r="F2" s="430"/>
      <c r="G2" s="430"/>
      <c r="H2" s="430"/>
      <c r="I2" s="430"/>
      <c r="J2" s="430"/>
      <c r="K2" s="430"/>
      <c r="L2" s="430"/>
      <c r="M2" s="430"/>
      <c r="N2" s="430"/>
      <c r="O2" s="430"/>
      <c r="P2" s="430"/>
      <c r="Q2" s="430"/>
      <c r="AP2" s="255" t="s">
        <v>608</v>
      </c>
    </row>
    <row r="3" spans="1:65" s="32" customFormat="1" ht="12.6" customHeight="1" x14ac:dyDescent="0.25">
      <c r="B3" s="57"/>
      <c r="C3" s="34"/>
      <c r="D3" s="53"/>
      <c r="E3" s="54"/>
      <c r="I3" s="54"/>
      <c r="J3" s="54"/>
      <c r="N3" s="432" t="s">
        <v>176</v>
      </c>
      <c r="O3" s="432"/>
      <c r="P3" s="432"/>
      <c r="Q3" s="432"/>
      <c r="R3" s="432"/>
      <c r="S3" s="432"/>
      <c r="T3" s="432"/>
      <c r="U3" s="432"/>
      <c r="V3" s="432"/>
      <c r="W3" s="432"/>
      <c r="X3" s="432"/>
    </row>
    <row r="4" spans="1:65" s="32" customFormat="1" ht="12.45" customHeight="1" x14ac:dyDescent="0.2">
      <c r="B4" s="243" t="s">
        <v>481</v>
      </c>
      <c r="C4" s="34" t="s">
        <v>549</v>
      </c>
      <c r="D4" s="53"/>
      <c r="E4" s="53"/>
      <c r="F4" s="53"/>
      <c r="G4" s="53"/>
      <c r="H4" s="54"/>
      <c r="I4" s="54"/>
      <c r="J4" s="54"/>
    </row>
    <row r="5" spans="1:65" s="32" customFormat="1" ht="12.45" customHeight="1" x14ac:dyDescent="0.2">
      <c r="B5" s="57"/>
      <c r="C5" s="53" t="s">
        <v>577</v>
      </c>
      <c r="D5" s="53"/>
      <c r="E5" s="53"/>
      <c r="F5" s="53"/>
      <c r="G5" s="53"/>
      <c r="H5" s="54"/>
      <c r="I5" s="54"/>
      <c r="J5" s="54"/>
    </row>
    <row r="6" spans="1:65" s="32" customFormat="1" ht="12.45" customHeight="1" x14ac:dyDescent="0.2">
      <c r="B6" s="57"/>
      <c r="C6" s="53" t="s">
        <v>187</v>
      </c>
      <c r="D6" s="53"/>
      <c r="E6" s="53"/>
      <c r="F6" s="53"/>
      <c r="G6" s="53"/>
      <c r="H6" s="54"/>
      <c r="I6" s="54"/>
      <c r="J6" s="54"/>
    </row>
    <row r="7" spans="1:65" s="32" customFormat="1" ht="12.45" customHeight="1" x14ac:dyDescent="0.2">
      <c r="B7" s="53"/>
      <c r="C7" s="53"/>
      <c r="D7" s="53"/>
      <c r="E7" s="53"/>
      <c r="F7" s="53"/>
      <c r="G7" s="53"/>
      <c r="H7" s="53"/>
      <c r="I7" s="54"/>
      <c r="J7" s="53"/>
    </row>
    <row r="8" spans="1:65" s="32" customFormat="1" ht="12.45" customHeight="1" x14ac:dyDescent="0.2">
      <c r="B8" s="53"/>
      <c r="C8" s="53" t="s">
        <v>188</v>
      </c>
      <c r="D8" s="53"/>
      <c r="E8" s="53"/>
      <c r="F8" s="81"/>
      <c r="G8" s="53"/>
      <c r="N8" s="53"/>
      <c r="O8" s="425">
        <v>65</v>
      </c>
      <c r="P8" s="425"/>
      <c r="Q8" s="425"/>
      <c r="R8" s="32" t="s">
        <v>65</v>
      </c>
      <c r="S8" s="58"/>
      <c r="AN8" s="53"/>
      <c r="AO8" s="53"/>
      <c r="AP8" s="53"/>
      <c r="AQ8" s="81"/>
      <c r="AR8" s="53"/>
      <c r="AY8" s="53"/>
      <c r="AZ8" s="381"/>
      <c r="BA8" s="381"/>
      <c r="BB8" s="381"/>
      <c r="BD8" s="58"/>
    </row>
    <row r="9" spans="1:65" s="32" customFormat="1" ht="12.45" customHeight="1" x14ac:dyDescent="0.2">
      <c r="B9" s="53"/>
      <c r="C9" s="53"/>
      <c r="D9" s="53"/>
      <c r="E9" s="53"/>
      <c r="F9" s="53"/>
      <c r="G9" s="53"/>
      <c r="N9" s="53"/>
      <c r="O9" s="54"/>
      <c r="P9" s="54"/>
      <c r="AN9" s="53"/>
      <c r="AO9" s="53"/>
      <c r="AP9" s="53"/>
      <c r="AQ9" s="53"/>
      <c r="AR9" s="53"/>
      <c r="AY9" s="53"/>
      <c r="AZ9" s="53"/>
      <c r="BA9" s="53"/>
    </row>
    <row r="10" spans="1:65" s="32" customFormat="1" ht="12.45" customHeight="1" x14ac:dyDescent="0.2">
      <c r="B10" s="53"/>
      <c r="C10" s="53" t="s">
        <v>189</v>
      </c>
      <c r="D10" s="53"/>
      <c r="E10" s="53"/>
      <c r="F10" s="81"/>
      <c r="G10" s="53"/>
      <c r="N10" s="53"/>
      <c r="O10" s="423">
        <v>0.41499999999999998</v>
      </c>
      <c r="P10" s="423"/>
      <c r="Q10" s="423"/>
      <c r="R10" s="32" t="s">
        <v>190</v>
      </c>
      <c r="AN10" s="53"/>
      <c r="AO10" s="53"/>
      <c r="AP10" s="53"/>
      <c r="AQ10" s="81"/>
      <c r="AR10" s="53"/>
      <c r="AY10" s="53"/>
      <c r="AZ10" s="381"/>
      <c r="BA10" s="381"/>
      <c r="BB10" s="381"/>
    </row>
    <row r="11" spans="1:65" s="32" customFormat="1" ht="12.45" customHeight="1" x14ac:dyDescent="0.2">
      <c r="B11" s="53"/>
      <c r="C11" s="53"/>
      <c r="D11" s="53"/>
      <c r="E11" s="54"/>
      <c r="F11" s="54"/>
      <c r="G11" s="54"/>
      <c r="N11" s="53"/>
      <c r="O11" s="130"/>
      <c r="P11" s="54"/>
      <c r="AN11" s="53"/>
      <c r="AO11" s="53"/>
      <c r="AP11" s="54"/>
      <c r="AQ11" s="54"/>
      <c r="AR11" s="54"/>
      <c r="AY11" s="53"/>
      <c r="AZ11" s="57"/>
      <c r="BA11" s="53"/>
    </row>
    <row r="12" spans="1:65" s="32" customFormat="1" ht="12.45" customHeight="1" x14ac:dyDescent="0.2">
      <c r="B12" s="53"/>
      <c r="C12" s="53" t="s">
        <v>191</v>
      </c>
      <c r="D12" s="54"/>
      <c r="E12" s="54"/>
      <c r="F12" s="81"/>
      <c r="G12" s="54"/>
      <c r="N12" s="53"/>
      <c r="O12" s="424">
        <f>O10/(1.732*O8)</f>
        <v>3.686267543080476E-3</v>
      </c>
      <c r="P12" s="424"/>
      <c r="Q12" s="424"/>
      <c r="R12" s="32" t="s">
        <v>103</v>
      </c>
      <c r="AN12" s="53"/>
      <c r="AO12" s="54"/>
      <c r="AP12" s="54"/>
      <c r="AQ12" s="81"/>
      <c r="AR12" s="54"/>
      <c r="AY12" s="53"/>
      <c r="AZ12" s="381"/>
      <c r="BA12" s="381"/>
      <c r="BB12" s="381"/>
    </row>
    <row r="13" spans="1:65" s="32" customFormat="1" ht="12.45" customHeight="1" x14ac:dyDescent="0.2">
      <c r="B13" s="53"/>
      <c r="C13" s="53"/>
      <c r="D13" s="53"/>
      <c r="E13" s="53"/>
      <c r="F13" s="53"/>
      <c r="G13" s="53"/>
      <c r="N13" s="53"/>
      <c r="O13" s="54"/>
      <c r="P13" s="54"/>
      <c r="AN13" s="53"/>
      <c r="AO13" s="53"/>
      <c r="AP13" s="53"/>
      <c r="AQ13" s="53"/>
      <c r="AR13" s="53"/>
      <c r="AY13" s="53"/>
      <c r="AZ13" s="53"/>
      <c r="BA13" s="53"/>
    </row>
    <row r="14" spans="1:65" s="32" customFormat="1" ht="12.45" customHeight="1" x14ac:dyDescent="0.2">
      <c r="B14" s="53"/>
      <c r="C14" s="53" t="s">
        <v>192</v>
      </c>
      <c r="D14" s="53"/>
      <c r="E14" s="53"/>
      <c r="F14" s="81"/>
      <c r="G14" s="53"/>
      <c r="N14" s="53"/>
      <c r="O14" s="426" t="s">
        <v>487</v>
      </c>
      <c r="P14" s="424"/>
      <c r="Q14" s="424"/>
      <c r="R14" s="32" t="s">
        <v>193</v>
      </c>
      <c r="Y14" s="428" t="s">
        <v>208</v>
      </c>
      <c r="Z14" s="428"/>
      <c r="AA14" s="428"/>
      <c r="AB14" s="428"/>
      <c r="AC14" s="428"/>
      <c r="AD14" s="428"/>
      <c r="AE14" s="428"/>
      <c r="AF14" s="428"/>
      <c r="AG14" s="428"/>
      <c r="AH14" s="428"/>
      <c r="AI14" s="428"/>
      <c r="AJ14" s="428"/>
      <c r="AN14" s="53"/>
      <c r="AO14" s="53"/>
      <c r="AP14" s="53"/>
      <c r="AQ14" s="81"/>
      <c r="AR14" s="53"/>
      <c r="AY14" s="53"/>
      <c r="AZ14" s="381"/>
      <c r="BA14" s="381"/>
      <c r="BB14" s="381"/>
      <c r="BJ14" s="403"/>
      <c r="BK14" s="403"/>
      <c r="BL14" s="403"/>
      <c r="BM14" s="403"/>
    </row>
    <row r="15" spans="1:65" s="32" customFormat="1" ht="12.45" customHeight="1" x14ac:dyDescent="0.2">
      <c r="B15" s="53"/>
      <c r="D15" s="53"/>
      <c r="E15" s="53"/>
      <c r="F15" s="53"/>
      <c r="G15" s="81"/>
      <c r="H15" s="53"/>
      <c r="I15" s="53"/>
      <c r="J15" s="53"/>
      <c r="K15" s="53"/>
      <c r="Y15" s="428"/>
      <c r="Z15" s="428"/>
      <c r="AA15" s="428"/>
      <c r="AB15" s="428"/>
      <c r="AC15" s="428"/>
      <c r="AD15" s="428"/>
      <c r="AE15" s="428"/>
      <c r="AF15" s="428"/>
      <c r="AG15" s="428"/>
      <c r="AH15" s="428"/>
      <c r="AI15" s="428"/>
      <c r="AJ15" s="428"/>
      <c r="AO15" s="53"/>
      <c r="AP15" s="53"/>
      <c r="AQ15" s="53"/>
      <c r="AR15" s="81"/>
      <c r="AS15" s="53"/>
      <c r="AT15" s="53"/>
      <c r="AU15" s="53"/>
      <c r="AV15" s="53"/>
    </row>
    <row r="16" spans="1:65" s="32" customFormat="1" ht="12.45" customHeight="1" x14ac:dyDescent="0.2">
      <c r="B16" s="53"/>
      <c r="C16" s="53" t="s">
        <v>194</v>
      </c>
      <c r="D16" s="34"/>
      <c r="E16" s="53"/>
      <c r="F16" s="53"/>
      <c r="G16" s="53"/>
      <c r="H16" s="53"/>
      <c r="I16" s="53"/>
      <c r="J16" s="53"/>
      <c r="K16" s="53"/>
      <c r="L16" s="124"/>
      <c r="M16" s="124"/>
      <c r="N16" s="53"/>
      <c r="O16" s="422">
        <v>3</v>
      </c>
      <c r="P16" s="422"/>
      <c r="Q16" s="422"/>
      <c r="R16" s="124"/>
      <c r="S16" s="34"/>
      <c r="T16" s="124"/>
      <c r="AH16" s="381"/>
      <c r="AI16" s="381"/>
      <c r="AJ16" s="381"/>
      <c r="AN16" s="85"/>
      <c r="AO16" s="58"/>
      <c r="AP16" s="85"/>
      <c r="AQ16" s="85"/>
      <c r="AR16" s="85"/>
      <c r="AS16" s="85"/>
      <c r="AT16" s="85"/>
      <c r="AU16" s="85"/>
      <c r="AV16" s="85"/>
      <c r="AW16" s="56"/>
      <c r="AX16" s="56"/>
      <c r="AY16" s="85"/>
      <c r="AZ16" s="395"/>
      <c r="BA16" s="395"/>
      <c r="BB16" s="395"/>
      <c r="BC16" s="56"/>
      <c r="BD16" s="58"/>
      <c r="BE16" s="56"/>
    </row>
    <row r="17" spans="1:25" s="32" customFormat="1" ht="12.45" customHeight="1" x14ac:dyDescent="0.2">
      <c r="B17" s="53"/>
      <c r="C17" s="34"/>
      <c r="D17" s="53"/>
      <c r="E17" s="53"/>
      <c r="F17" s="53"/>
      <c r="G17" s="53"/>
      <c r="H17" s="53"/>
      <c r="I17" s="53"/>
      <c r="J17" s="53"/>
    </row>
    <row r="18" spans="1:25" s="32" customFormat="1" ht="12.45" customHeight="1" x14ac:dyDescent="0.2">
      <c r="A18" s="73"/>
      <c r="B18" s="52"/>
      <c r="C18" s="32" t="s">
        <v>195</v>
      </c>
      <c r="D18" s="53"/>
      <c r="E18" s="53"/>
      <c r="F18" s="53"/>
      <c r="G18" s="53"/>
      <c r="H18" s="53"/>
      <c r="I18" s="53"/>
      <c r="J18" s="53"/>
      <c r="O18" s="422">
        <v>275</v>
      </c>
      <c r="P18" s="422"/>
      <c r="Q18" s="422"/>
      <c r="R18" s="32" t="s">
        <v>118</v>
      </c>
      <c r="Y18" s="239" t="s">
        <v>488</v>
      </c>
    </row>
    <row r="19" spans="1:25" s="32" customFormat="1" ht="12.45" customHeight="1" x14ac:dyDescent="0.2">
      <c r="B19" s="53"/>
      <c r="D19" s="53"/>
      <c r="E19" s="53"/>
      <c r="F19" s="53"/>
      <c r="G19" s="53"/>
      <c r="H19" s="53"/>
      <c r="I19" s="53"/>
      <c r="J19" s="53"/>
    </row>
    <row r="20" spans="1:25" s="32" customFormat="1" ht="12.45" customHeight="1" x14ac:dyDescent="0.2">
      <c r="B20" s="34"/>
      <c r="C20" s="53" t="s">
        <v>196</v>
      </c>
      <c r="D20" s="53"/>
      <c r="E20" s="53"/>
      <c r="F20" s="54"/>
      <c r="G20" s="54"/>
      <c r="H20" s="54" t="s">
        <v>197</v>
      </c>
      <c r="I20" s="54"/>
      <c r="J20" s="54"/>
      <c r="O20" s="423">
        <v>0.128</v>
      </c>
      <c r="P20" s="423"/>
      <c r="Q20" s="423"/>
      <c r="R20" s="32" t="s">
        <v>198</v>
      </c>
    </row>
    <row r="21" spans="1:25" s="32" customFormat="1" ht="12.45" customHeight="1" x14ac:dyDescent="0.2">
      <c r="B21" s="53"/>
      <c r="C21" s="53"/>
      <c r="D21" s="53"/>
      <c r="E21" s="54"/>
      <c r="F21" s="54"/>
      <c r="G21" s="54"/>
      <c r="H21" s="54"/>
      <c r="I21" s="54"/>
      <c r="J21" s="54"/>
    </row>
    <row r="22" spans="1:25" s="32" customFormat="1" ht="12.45" customHeight="1" x14ac:dyDescent="0.2">
      <c r="B22" s="53"/>
      <c r="C22" s="32" t="s">
        <v>199</v>
      </c>
      <c r="D22" s="64"/>
      <c r="E22" s="57"/>
      <c r="F22" s="53"/>
      <c r="G22" s="53"/>
      <c r="H22" s="53" t="s">
        <v>197</v>
      </c>
      <c r="I22" s="54"/>
      <c r="J22" s="54"/>
      <c r="O22" s="423">
        <v>7.0499999999999993E-2</v>
      </c>
      <c r="P22" s="423"/>
      <c r="Q22" s="423"/>
      <c r="R22" s="32" t="s">
        <v>198</v>
      </c>
    </row>
    <row r="23" spans="1:25" s="32" customFormat="1" ht="12.45" customHeight="1" x14ac:dyDescent="0.2">
      <c r="B23" s="53"/>
      <c r="C23" s="54"/>
      <c r="D23" s="57"/>
      <c r="E23" s="57"/>
      <c r="F23" s="57"/>
      <c r="G23" s="57"/>
      <c r="H23" s="54"/>
      <c r="I23" s="54"/>
      <c r="J23" s="54"/>
    </row>
    <row r="24" spans="1:25" s="32" customFormat="1" ht="12.45" customHeight="1" x14ac:dyDescent="0.2">
      <c r="B24" s="53"/>
      <c r="C24" s="61" t="s">
        <v>200</v>
      </c>
      <c r="D24" s="74"/>
      <c r="E24" s="74"/>
      <c r="F24" s="74"/>
      <c r="G24" s="57"/>
      <c r="H24" s="54"/>
      <c r="I24" s="54"/>
      <c r="J24" s="54"/>
      <c r="M24" s="32" t="s">
        <v>201</v>
      </c>
      <c r="O24" s="423">
        <f>(O18/1000)*O20/O16</f>
        <v>1.1733333333333333E-2</v>
      </c>
      <c r="P24" s="423"/>
      <c r="Q24" s="423"/>
      <c r="R24" s="148" t="s">
        <v>92</v>
      </c>
      <c r="T24" s="148"/>
    </row>
    <row r="25" spans="1:25" s="32" customFormat="1" ht="12.45" customHeight="1" x14ac:dyDescent="0.2">
      <c r="B25" s="53"/>
      <c r="C25" s="64"/>
      <c r="D25" s="57"/>
      <c r="E25" s="57"/>
      <c r="F25" s="57"/>
      <c r="G25" s="57"/>
      <c r="H25" s="54"/>
      <c r="I25" s="54"/>
      <c r="J25" s="54"/>
      <c r="O25" s="149"/>
      <c r="P25" s="149"/>
      <c r="Q25" s="149"/>
    </row>
    <row r="26" spans="1:25" s="32" customFormat="1" ht="12.45" customHeight="1" x14ac:dyDescent="0.2">
      <c r="B26" s="53"/>
      <c r="C26" s="61" t="s">
        <v>202</v>
      </c>
      <c r="D26" s="57"/>
      <c r="E26" s="57"/>
      <c r="F26" s="62"/>
      <c r="G26" s="57"/>
      <c r="H26" s="54"/>
      <c r="I26" s="54"/>
      <c r="J26" s="54"/>
      <c r="M26" s="32" t="s">
        <v>203</v>
      </c>
      <c r="O26" s="424">
        <f>(O18/1000)*O22/O16</f>
        <v>6.4624999999999995E-3</v>
      </c>
      <c r="P26" s="424"/>
      <c r="Q26" s="424"/>
      <c r="R26" s="32" t="s">
        <v>92</v>
      </c>
    </row>
    <row r="27" spans="1:25" s="32" customFormat="1" ht="12.45" customHeight="1" x14ac:dyDescent="0.2">
      <c r="B27" s="53"/>
      <c r="C27" s="64"/>
      <c r="D27" s="57"/>
      <c r="E27" s="57"/>
      <c r="F27" s="57"/>
      <c r="G27" s="57"/>
      <c r="H27" s="54"/>
      <c r="I27" s="54"/>
      <c r="J27" s="54"/>
      <c r="O27" s="149"/>
      <c r="P27" s="149"/>
      <c r="Q27" s="149"/>
    </row>
    <row r="28" spans="1:25" s="32" customFormat="1" ht="12.45" customHeight="1" x14ac:dyDescent="0.25">
      <c r="B28" s="53"/>
      <c r="C28" s="61" t="s">
        <v>204</v>
      </c>
      <c r="D28" s="76"/>
      <c r="E28" s="162" t="s">
        <v>294</v>
      </c>
      <c r="F28" s="163" t="s">
        <v>205</v>
      </c>
      <c r="G28" s="164"/>
      <c r="H28" s="165"/>
      <c r="I28" s="165"/>
      <c r="J28" s="165"/>
      <c r="M28" s="32" t="s">
        <v>206</v>
      </c>
      <c r="O28" s="424">
        <f>SQRT(O24^2+(O12+O26)^2)</f>
        <v>1.5513497147793428E-2</v>
      </c>
      <c r="P28" s="424"/>
      <c r="Q28" s="424"/>
      <c r="R28" s="32" t="s">
        <v>92</v>
      </c>
    </row>
    <row r="29" spans="1:25" s="32" customFormat="1" ht="12.45" customHeight="1" x14ac:dyDescent="0.2">
      <c r="B29" s="53"/>
      <c r="C29" s="57"/>
      <c r="D29" s="381"/>
      <c r="E29" s="381"/>
      <c r="F29" s="381"/>
      <c r="G29" s="130"/>
      <c r="H29" s="54"/>
      <c r="I29" s="54"/>
      <c r="J29" s="54"/>
      <c r="O29" s="149"/>
      <c r="P29" s="149"/>
      <c r="Q29" s="149"/>
    </row>
    <row r="30" spans="1:25" s="32" customFormat="1" ht="12.45" customHeight="1" x14ac:dyDescent="0.2">
      <c r="B30" s="53"/>
      <c r="C30" s="53" t="s">
        <v>207</v>
      </c>
      <c r="D30" s="54"/>
      <c r="F30" s="54"/>
      <c r="G30" s="54"/>
      <c r="H30" s="54"/>
      <c r="O30" s="425">
        <f>O10/(1.732*O28)</f>
        <v>15.445091974913707</v>
      </c>
      <c r="P30" s="425"/>
      <c r="Q30" s="425"/>
      <c r="R30" s="54" t="s">
        <v>65</v>
      </c>
    </row>
    <row r="31" spans="1:25" s="32" customFormat="1" ht="12.45" customHeight="1" x14ac:dyDescent="0.2">
      <c r="B31" s="53"/>
      <c r="C31" s="53"/>
      <c r="D31" s="53"/>
      <c r="E31" s="54"/>
      <c r="I31" s="54"/>
      <c r="J31" s="54"/>
      <c r="O31" s="53"/>
      <c r="Q31" s="54"/>
      <c r="S31" s="53"/>
    </row>
    <row r="32" spans="1:25" s="32" customFormat="1" ht="12.45" customHeight="1" x14ac:dyDescent="0.2">
      <c r="B32" s="243" t="s">
        <v>482</v>
      </c>
      <c r="C32" s="34" t="s">
        <v>550</v>
      </c>
      <c r="D32" s="53"/>
      <c r="E32" s="53"/>
      <c r="F32" s="53"/>
      <c r="G32" s="53"/>
      <c r="H32" s="54"/>
      <c r="I32" s="54"/>
      <c r="J32" s="54"/>
    </row>
    <row r="33" spans="1:65" s="32" customFormat="1" ht="12.45" customHeight="1" x14ac:dyDescent="0.2">
      <c r="B33" s="57"/>
      <c r="C33" s="53" t="s">
        <v>551</v>
      </c>
      <c r="D33" s="53"/>
      <c r="E33" s="53"/>
      <c r="F33" s="53"/>
      <c r="G33" s="53"/>
      <c r="H33" s="54"/>
      <c r="I33" s="54"/>
      <c r="J33" s="54"/>
    </row>
    <row r="34" spans="1:65" s="32" customFormat="1" ht="12.45" customHeight="1" x14ac:dyDescent="0.2">
      <c r="B34" s="57"/>
      <c r="C34" s="53" t="s">
        <v>187</v>
      </c>
      <c r="D34" s="53"/>
      <c r="E34" s="53"/>
      <c r="F34" s="53"/>
      <c r="G34" s="53"/>
      <c r="H34" s="54"/>
      <c r="I34" s="54"/>
      <c r="J34" s="54"/>
    </row>
    <row r="35" spans="1:65" s="32" customFormat="1" ht="12.45" customHeight="1" x14ac:dyDescent="0.2">
      <c r="B35" s="53"/>
      <c r="C35" s="53"/>
      <c r="D35" s="53"/>
      <c r="E35" s="53"/>
      <c r="F35" s="53"/>
      <c r="G35" s="53"/>
      <c r="H35" s="53"/>
      <c r="I35" s="54"/>
      <c r="J35" s="53"/>
    </row>
    <row r="36" spans="1:65" s="32" customFormat="1" ht="12.45" customHeight="1" x14ac:dyDescent="0.2">
      <c r="B36" s="53"/>
      <c r="C36" s="53" t="s">
        <v>188</v>
      </c>
      <c r="D36" s="53"/>
      <c r="E36" s="53"/>
      <c r="F36" s="81"/>
      <c r="G36" s="53"/>
      <c r="N36" s="53"/>
      <c r="O36" s="425">
        <v>65</v>
      </c>
      <c r="P36" s="425"/>
      <c r="Q36" s="425"/>
      <c r="R36" s="32" t="s">
        <v>65</v>
      </c>
      <c r="S36" s="58"/>
      <c r="AN36" s="53"/>
      <c r="AO36" s="53"/>
      <c r="AP36" s="53"/>
      <c r="AQ36" s="81"/>
      <c r="AR36" s="53"/>
      <c r="AY36" s="53"/>
      <c r="AZ36" s="381"/>
      <c r="BA36" s="381"/>
      <c r="BB36" s="381"/>
      <c r="BD36" s="58"/>
    </row>
    <row r="37" spans="1:65" s="32" customFormat="1" ht="12.45" customHeight="1" x14ac:dyDescent="0.2">
      <c r="B37" s="53"/>
      <c r="C37" s="53"/>
      <c r="D37" s="53"/>
      <c r="E37" s="53"/>
      <c r="F37" s="53"/>
      <c r="G37" s="53"/>
      <c r="N37" s="53"/>
      <c r="O37" s="54"/>
      <c r="P37" s="54"/>
      <c r="AN37" s="53"/>
      <c r="AO37" s="53"/>
      <c r="AP37" s="53"/>
      <c r="AQ37" s="53"/>
      <c r="AR37" s="53"/>
      <c r="AY37" s="53"/>
      <c r="AZ37" s="53"/>
      <c r="BA37" s="53"/>
    </row>
    <row r="38" spans="1:65" s="32" customFormat="1" ht="12.45" customHeight="1" x14ac:dyDescent="0.2">
      <c r="B38" s="53"/>
      <c r="C38" s="53" t="s">
        <v>189</v>
      </c>
      <c r="D38" s="53"/>
      <c r="E38" s="53"/>
      <c r="F38" s="81"/>
      <c r="G38" s="53"/>
      <c r="N38" s="53"/>
      <c r="O38" s="423">
        <v>0.69</v>
      </c>
      <c r="P38" s="423"/>
      <c r="Q38" s="423"/>
      <c r="R38" s="32" t="s">
        <v>190</v>
      </c>
      <c r="AN38" s="53"/>
      <c r="AO38" s="53"/>
      <c r="AP38" s="53"/>
      <c r="AQ38" s="81"/>
      <c r="AR38" s="53"/>
      <c r="AY38" s="53"/>
      <c r="AZ38" s="381"/>
      <c r="BA38" s="381"/>
      <c r="BB38" s="381"/>
    </row>
    <row r="39" spans="1:65" s="32" customFormat="1" ht="12.45" customHeight="1" x14ac:dyDescent="0.2">
      <c r="B39" s="53"/>
      <c r="C39" s="53"/>
      <c r="D39" s="53"/>
      <c r="E39" s="54"/>
      <c r="F39" s="54"/>
      <c r="G39" s="54"/>
      <c r="N39" s="53"/>
      <c r="O39" s="130"/>
      <c r="P39" s="54"/>
      <c r="AN39" s="53"/>
      <c r="AO39" s="53"/>
      <c r="AP39" s="54"/>
      <c r="AQ39" s="54"/>
      <c r="AR39" s="54"/>
      <c r="AY39" s="53"/>
      <c r="AZ39" s="57"/>
      <c r="BA39" s="53"/>
    </row>
    <row r="40" spans="1:65" s="32" customFormat="1" ht="12.45" customHeight="1" x14ac:dyDescent="0.2">
      <c r="B40" s="53"/>
      <c r="C40" s="53" t="s">
        <v>191</v>
      </c>
      <c r="D40" s="54"/>
      <c r="E40" s="54"/>
      <c r="F40" s="81"/>
      <c r="G40" s="54"/>
      <c r="N40" s="53"/>
      <c r="O40" s="424">
        <f>O38/(1.732*O36)</f>
        <v>6.1289749511458519E-3</v>
      </c>
      <c r="P40" s="424"/>
      <c r="Q40" s="424"/>
      <c r="R40" s="32" t="s">
        <v>103</v>
      </c>
      <c r="AN40" s="53"/>
      <c r="AO40" s="54"/>
      <c r="AP40" s="54"/>
      <c r="AQ40" s="81"/>
      <c r="AR40" s="54"/>
      <c r="AY40" s="53"/>
      <c r="AZ40" s="381"/>
      <c r="BA40" s="381"/>
      <c r="BB40" s="381"/>
    </row>
    <row r="41" spans="1:65" s="32" customFormat="1" ht="12.45" customHeight="1" x14ac:dyDescent="0.2">
      <c r="B41" s="53"/>
      <c r="C41" s="53"/>
      <c r="D41" s="53"/>
      <c r="E41" s="53"/>
      <c r="F41" s="53"/>
      <c r="G41" s="53"/>
      <c r="N41" s="53"/>
      <c r="O41" s="54"/>
      <c r="P41" s="54"/>
      <c r="AN41" s="53"/>
      <c r="AO41" s="53"/>
      <c r="AP41" s="53"/>
      <c r="AQ41" s="53"/>
      <c r="AR41" s="53"/>
      <c r="AY41" s="53"/>
      <c r="AZ41" s="53"/>
      <c r="BA41" s="53"/>
    </row>
    <row r="42" spans="1:65" s="32" customFormat="1" ht="12.45" customHeight="1" x14ac:dyDescent="0.2">
      <c r="B42" s="53"/>
      <c r="C42" s="53" t="s">
        <v>192</v>
      </c>
      <c r="D42" s="53"/>
      <c r="E42" s="53"/>
      <c r="F42" s="81"/>
      <c r="G42" s="53"/>
      <c r="N42" s="53"/>
      <c r="O42" s="426" t="s">
        <v>552</v>
      </c>
      <c r="P42" s="424"/>
      <c r="Q42" s="424"/>
      <c r="R42" s="32" t="s">
        <v>193</v>
      </c>
      <c r="Y42" s="427" t="s">
        <v>553</v>
      </c>
      <c r="Z42" s="428"/>
      <c r="AA42" s="428"/>
      <c r="AB42" s="428"/>
      <c r="AC42" s="428"/>
      <c r="AD42" s="428"/>
      <c r="AE42" s="428"/>
      <c r="AF42" s="428"/>
      <c r="AG42" s="428"/>
      <c r="AH42" s="428"/>
      <c r="AI42" s="428"/>
      <c r="AJ42" s="428"/>
      <c r="AN42" s="53"/>
      <c r="AO42" s="53"/>
      <c r="AP42" s="53"/>
      <c r="AQ42" s="81"/>
      <c r="AR42" s="53"/>
      <c r="AY42" s="53"/>
      <c r="AZ42" s="381"/>
      <c r="BA42" s="381"/>
      <c r="BB42" s="381"/>
      <c r="BJ42" s="403"/>
      <c r="BK42" s="403"/>
      <c r="BL42" s="403"/>
      <c r="BM42" s="403"/>
    </row>
    <row r="43" spans="1:65" s="32" customFormat="1" ht="12.45" customHeight="1" x14ac:dyDescent="0.2">
      <c r="B43" s="53"/>
      <c r="D43" s="53"/>
      <c r="E43" s="53"/>
      <c r="F43" s="53"/>
      <c r="G43" s="81"/>
      <c r="H43" s="53"/>
      <c r="I43" s="53"/>
      <c r="J43" s="53"/>
      <c r="K43" s="53"/>
      <c r="Y43" s="428"/>
      <c r="Z43" s="428"/>
      <c r="AA43" s="428"/>
      <c r="AB43" s="428"/>
      <c r="AC43" s="428"/>
      <c r="AD43" s="428"/>
      <c r="AE43" s="428"/>
      <c r="AF43" s="428"/>
      <c r="AG43" s="428"/>
      <c r="AH43" s="428"/>
      <c r="AI43" s="428"/>
      <c r="AJ43" s="428"/>
      <c r="AO43" s="53"/>
      <c r="AP43" s="53"/>
      <c r="AQ43" s="53"/>
      <c r="AR43" s="81"/>
      <c r="AS43" s="53"/>
      <c r="AT43" s="53"/>
      <c r="AU43" s="53"/>
      <c r="AV43" s="53"/>
    </row>
    <row r="44" spans="1:65" s="32" customFormat="1" ht="12.45" customHeight="1" x14ac:dyDescent="0.2">
      <c r="B44" s="53"/>
      <c r="C44" s="53" t="s">
        <v>194</v>
      </c>
      <c r="D44" s="34"/>
      <c r="E44" s="53"/>
      <c r="F44" s="53"/>
      <c r="G44" s="53"/>
      <c r="H44" s="53"/>
      <c r="I44" s="53"/>
      <c r="J44" s="53"/>
      <c r="K44" s="53"/>
      <c r="L44" s="124"/>
      <c r="M44" s="124"/>
      <c r="N44" s="53"/>
      <c r="O44" s="422">
        <v>2</v>
      </c>
      <c r="P44" s="422"/>
      <c r="Q44" s="422"/>
      <c r="R44" s="124"/>
      <c r="S44" s="34"/>
      <c r="T44" s="124"/>
      <c r="AH44" s="381"/>
      <c r="AI44" s="381"/>
      <c r="AJ44" s="381"/>
      <c r="AN44" s="85"/>
      <c r="AO44" s="58"/>
      <c r="AP44" s="85"/>
      <c r="AQ44" s="85"/>
      <c r="AR44" s="85"/>
      <c r="AS44" s="85"/>
      <c r="AT44" s="85"/>
      <c r="AU44" s="85"/>
      <c r="AV44" s="85"/>
      <c r="AW44" s="56"/>
      <c r="AX44" s="56"/>
      <c r="AY44" s="85"/>
      <c r="AZ44" s="395"/>
      <c r="BA44" s="395"/>
      <c r="BB44" s="395"/>
      <c r="BC44" s="56"/>
      <c r="BD44" s="58"/>
      <c r="BE44" s="56"/>
    </row>
    <row r="45" spans="1:65" s="32" customFormat="1" ht="12.45" customHeight="1" x14ac:dyDescent="0.2">
      <c r="B45" s="53"/>
      <c r="C45" s="34"/>
      <c r="D45" s="53"/>
      <c r="E45" s="53"/>
      <c r="F45" s="53"/>
      <c r="G45" s="53"/>
      <c r="H45" s="53"/>
      <c r="I45" s="53"/>
      <c r="J45" s="53"/>
    </row>
    <row r="46" spans="1:65" s="32" customFormat="1" ht="12.45" customHeight="1" x14ac:dyDescent="0.2">
      <c r="A46" s="73"/>
      <c r="B46" s="52"/>
      <c r="C46" s="32" t="s">
        <v>195</v>
      </c>
      <c r="D46" s="53"/>
      <c r="E46" s="53"/>
      <c r="F46" s="53"/>
      <c r="G46" s="53"/>
      <c r="H46" s="53"/>
      <c r="I46" s="53"/>
      <c r="J46" s="53"/>
      <c r="O46" s="422">
        <v>190</v>
      </c>
      <c r="P46" s="422"/>
      <c r="Q46" s="422"/>
      <c r="R46" s="32" t="s">
        <v>118</v>
      </c>
      <c r="Y46" s="239"/>
    </row>
    <row r="47" spans="1:65" s="32" customFormat="1" ht="12.45" customHeight="1" x14ac:dyDescent="0.2">
      <c r="B47" s="53"/>
      <c r="D47" s="53"/>
      <c r="E47" s="53"/>
      <c r="F47" s="53"/>
      <c r="G47" s="53"/>
      <c r="H47" s="53"/>
      <c r="I47" s="53"/>
      <c r="J47" s="53"/>
    </row>
    <row r="48" spans="1:65" s="32" customFormat="1" ht="12.45" customHeight="1" x14ac:dyDescent="0.2">
      <c r="B48" s="34"/>
      <c r="C48" s="53" t="s">
        <v>196</v>
      </c>
      <c r="D48" s="53"/>
      <c r="E48" s="53"/>
      <c r="F48" s="54"/>
      <c r="G48" s="54"/>
      <c r="H48" s="54" t="s">
        <v>197</v>
      </c>
      <c r="I48" s="54"/>
      <c r="J48" s="54"/>
      <c r="O48" s="423">
        <v>0.26400000000000001</v>
      </c>
      <c r="P48" s="423"/>
      <c r="Q48" s="423"/>
      <c r="R48" s="32" t="s">
        <v>198</v>
      </c>
    </row>
    <row r="49" spans="1:37" s="32" customFormat="1" ht="12.45" customHeight="1" x14ac:dyDescent="0.2">
      <c r="B49" s="53"/>
      <c r="C49" s="53"/>
      <c r="D49" s="53"/>
      <c r="E49" s="54"/>
      <c r="F49" s="54"/>
      <c r="G49" s="54"/>
      <c r="H49" s="54"/>
      <c r="I49" s="54"/>
      <c r="J49" s="54"/>
    </row>
    <row r="50" spans="1:37" s="32" customFormat="1" ht="12.45" customHeight="1" x14ac:dyDescent="0.2">
      <c r="B50" s="53"/>
      <c r="C50" s="32" t="s">
        <v>199</v>
      </c>
      <c r="D50" s="64"/>
      <c r="E50" s="57"/>
      <c r="F50" s="53"/>
      <c r="G50" s="53"/>
      <c r="H50" s="53" t="s">
        <v>197</v>
      </c>
      <c r="I50" s="54"/>
      <c r="J50" s="54"/>
      <c r="O50" s="423">
        <v>7.1599999999999997E-2</v>
      </c>
      <c r="P50" s="423"/>
      <c r="Q50" s="423"/>
      <c r="R50" s="32" t="s">
        <v>198</v>
      </c>
    </row>
    <row r="51" spans="1:37" s="32" customFormat="1" ht="12.45" customHeight="1" x14ac:dyDescent="0.2">
      <c r="B51" s="53"/>
      <c r="C51" s="54"/>
      <c r="D51" s="57"/>
      <c r="E51" s="57"/>
      <c r="F51" s="57"/>
      <c r="G51" s="57"/>
      <c r="H51" s="54"/>
      <c r="I51" s="54"/>
      <c r="J51" s="54"/>
    </row>
    <row r="52" spans="1:37" s="32" customFormat="1" ht="12.45" customHeight="1" x14ac:dyDescent="0.2">
      <c r="B52" s="53"/>
      <c r="C52" s="61" t="s">
        <v>200</v>
      </c>
      <c r="D52" s="74"/>
      <c r="E52" s="74"/>
      <c r="F52" s="74"/>
      <c r="G52" s="57"/>
      <c r="H52" s="54"/>
      <c r="I52" s="54"/>
      <c r="J52" s="54"/>
      <c r="M52" s="32" t="s">
        <v>201</v>
      </c>
      <c r="O52" s="423">
        <f>(O46/1000)*O48/O44</f>
        <v>2.5080000000000002E-2</v>
      </c>
      <c r="P52" s="423"/>
      <c r="Q52" s="423"/>
      <c r="R52" s="148" t="s">
        <v>92</v>
      </c>
      <c r="T52" s="148"/>
    </row>
    <row r="53" spans="1:37" s="32" customFormat="1" ht="12.45" customHeight="1" x14ac:dyDescent="0.2">
      <c r="B53" s="53"/>
      <c r="C53" s="64"/>
      <c r="D53" s="57"/>
      <c r="E53" s="57"/>
      <c r="F53" s="57"/>
      <c r="G53" s="57"/>
      <c r="H53" s="54"/>
      <c r="I53" s="54"/>
      <c r="J53" s="54"/>
      <c r="O53" s="149"/>
      <c r="P53" s="149"/>
      <c r="Q53" s="149"/>
    </row>
    <row r="54" spans="1:37" s="32" customFormat="1" ht="12.45" customHeight="1" x14ac:dyDescent="0.2">
      <c r="B54" s="53"/>
      <c r="C54" s="61" t="s">
        <v>202</v>
      </c>
      <c r="D54" s="57"/>
      <c r="E54" s="57"/>
      <c r="F54" s="62"/>
      <c r="G54" s="57"/>
      <c r="H54" s="54"/>
      <c r="I54" s="54"/>
      <c r="J54" s="54"/>
      <c r="M54" s="32" t="s">
        <v>203</v>
      </c>
      <c r="O54" s="424">
        <f>(O46/1000)*O50/O44</f>
        <v>6.8019999999999999E-3</v>
      </c>
      <c r="P54" s="424"/>
      <c r="Q54" s="424"/>
      <c r="R54" s="32" t="s">
        <v>92</v>
      </c>
    </row>
    <row r="55" spans="1:37" s="32" customFormat="1" ht="12.45" customHeight="1" x14ac:dyDescent="0.2">
      <c r="B55" s="53"/>
      <c r="C55" s="64"/>
      <c r="D55" s="57"/>
      <c r="E55" s="57"/>
      <c r="F55" s="57"/>
      <c r="G55" s="57"/>
      <c r="H55" s="54"/>
      <c r="I55" s="54"/>
      <c r="J55" s="54"/>
      <c r="O55" s="149"/>
      <c r="P55" s="149"/>
      <c r="Q55" s="149"/>
    </row>
    <row r="56" spans="1:37" s="32" customFormat="1" ht="12.45" customHeight="1" x14ac:dyDescent="0.25">
      <c r="B56" s="53"/>
      <c r="C56" s="61" t="s">
        <v>204</v>
      </c>
      <c r="D56" s="76"/>
      <c r="E56" s="162" t="s">
        <v>294</v>
      </c>
      <c r="F56" s="163" t="s">
        <v>205</v>
      </c>
      <c r="G56" s="164"/>
      <c r="H56" s="165"/>
      <c r="I56" s="165"/>
      <c r="J56" s="165"/>
      <c r="M56" s="32" t="s">
        <v>206</v>
      </c>
      <c r="O56" s="424">
        <f>SQRT(O52^2+(O40+O54)^2)</f>
        <v>2.8217308751671579E-2</v>
      </c>
      <c r="P56" s="424"/>
      <c r="Q56" s="424"/>
      <c r="R56" s="32" t="s">
        <v>92</v>
      </c>
    </row>
    <row r="57" spans="1:37" s="32" customFormat="1" ht="12.45" customHeight="1" x14ac:dyDescent="0.2">
      <c r="B57" s="53"/>
      <c r="C57" s="57"/>
      <c r="D57" s="381"/>
      <c r="E57" s="381"/>
      <c r="F57" s="381"/>
      <c r="G57" s="130"/>
      <c r="H57" s="54"/>
      <c r="I57" s="54"/>
      <c r="J57" s="54"/>
      <c r="O57" s="149"/>
      <c r="P57" s="149"/>
      <c r="Q57" s="149"/>
    </row>
    <row r="58" spans="1:37" s="32" customFormat="1" ht="12.45" customHeight="1" x14ac:dyDescent="0.2">
      <c r="B58" s="53"/>
      <c r="C58" s="53" t="s">
        <v>207</v>
      </c>
      <c r="D58" s="54"/>
      <c r="F58" s="54"/>
      <c r="G58" s="54"/>
      <c r="H58" s="54"/>
      <c r="O58" s="425">
        <f>O38/(1.732*O56)</f>
        <v>14.1184042507555</v>
      </c>
      <c r="P58" s="425"/>
      <c r="Q58" s="425"/>
      <c r="R58" s="54" t="s">
        <v>65</v>
      </c>
    </row>
    <row r="59" spans="1:37" s="32" customFormat="1" ht="12.45" customHeight="1" x14ac:dyDescent="0.2">
      <c r="B59" s="53"/>
      <c r="C59" s="53"/>
      <c r="D59" s="54"/>
      <c r="F59" s="54"/>
      <c r="G59" s="54"/>
      <c r="H59" s="54"/>
    </row>
    <row r="60" spans="1:37" s="35" customFormat="1" ht="12.45" customHeight="1" x14ac:dyDescent="0.2">
      <c r="B60" s="34" t="s">
        <v>557</v>
      </c>
      <c r="C60" s="34"/>
      <c r="D60" s="34"/>
      <c r="F60" s="34"/>
      <c r="G60" s="34"/>
      <c r="H60" s="34"/>
      <c r="O60" s="429">
        <f>O30</f>
        <v>15.445091974913707</v>
      </c>
      <c r="P60" s="342"/>
      <c r="Q60" s="35" t="s">
        <v>558</v>
      </c>
      <c r="V60" s="429">
        <f>O58</f>
        <v>14.1184042507555</v>
      </c>
      <c r="W60" s="342"/>
      <c r="X60" s="35" t="s">
        <v>559</v>
      </c>
    </row>
    <row r="61" spans="1:37" s="35" customFormat="1" ht="12.45" customHeight="1" x14ac:dyDescent="0.2">
      <c r="B61" s="34" t="s">
        <v>560</v>
      </c>
      <c r="C61" s="34"/>
      <c r="D61" s="34"/>
      <c r="F61" s="34"/>
      <c r="G61" s="34"/>
      <c r="H61" s="34"/>
      <c r="R61" s="429">
        <f>O60</f>
        <v>15.445091974913707</v>
      </c>
      <c r="S61" s="342"/>
      <c r="T61" s="35" t="s">
        <v>65</v>
      </c>
    </row>
    <row r="62" spans="1:37" s="32" customFormat="1" ht="12.45" customHeight="1" x14ac:dyDescent="0.2"/>
    <row r="63" spans="1:37" s="241" customFormat="1" ht="12.75" customHeight="1" x14ac:dyDescent="0.3">
      <c r="A63" s="159"/>
      <c r="B63" s="159"/>
      <c r="C63" s="159"/>
      <c r="D63" s="159"/>
      <c r="E63" s="159"/>
      <c r="F63" s="159"/>
      <c r="G63" s="159"/>
      <c r="H63" s="159"/>
      <c r="I63" s="159"/>
      <c r="J63" s="159"/>
      <c r="K63" s="159"/>
      <c r="L63" s="159"/>
      <c r="M63" s="159"/>
      <c r="N63" s="159"/>
      <c r="O63" s="159"/>
      <c r="P63" s="159"/>
      <c r="Q63" s="159"/>
      <c r="R63" s="332"/>
      <c r="S63" s="332"/>
      <c r="T63" s="332"/>
      <c r="U63" s="332"/>
      <c r="V63" s="332"/>
      <c r="W63" s="332"/>
      <c r="X63" s="332"/>
      <c r="Y63" s="332"/>
      <c r="Z63" s="332"/>
      <c r="AA63" s="332"/>
      <c r="AB63" s="341" t="s">
        <v>2</v>
      </c>
      <c r="AC63" s="341"/>
      <c r="AD63" s="341">
        <v>1</v>
      </c>
      <c r="AE63" s="341"/>
      <c r="AF63" s="341" t="s">
        <v>177</v>
      </c>
      <c r="AG63" s="341"/>
      <c r="AH63" s="341">
        <v>1</v>
      </c>
      <c r="AI63" s="341"/>
      <c r="AJ63" s="332"/>
      <c r="AK63" s="332"/>
    </row>
    <row r="64" spans="1:37" s="241" customFormat="1" ht="12.75" customHeight="1" x14ac:dyDescent="0.3">
      <c r="A64" s="431"/>
      <c r="B64" s="431"/>
      <c r="C64" s="431"/>
      <c r="D64" s="431"/>
      <c r="E64" s="431"/>
      <c r="F64" s="242"/>
      <c r="G64" s="242"/>
      <c r="H64" s="242"/>
      <c r="I64" s="242"/>
      <c r="J64" s="242"/>
      <c r="K64" s="242"/>
    </row>
    <row r="65" spans="1:11" s="2" customFormat="1" ht="12.75" customHeight="1" x14ac:dyDescent="0.25">
      <c r="A65" s="30"/>
      <c r="B65" s="66"/>
      <c r="C65" s="34"/>
      <c r="D65" s="66"/>
      <c r="E65" s="66"/>
      <c r="F65" s="66"/>
      <c r="G65" s="66"/>
      <c r="H65" s="66"/>
      <c r="I65" s="66"/>
      <c r="J65"/>
      <c r="K65" s="30"/>
    </row>
  </sheetData>
  <sheetProtection formatCells="0" formatColumns="0" formatRows="0"/>
  <protectedRanges>
    <protectedRange sqref="C17 I31:L31 Q31 E57 G51:G61 T60:U60 O30:O31 I17:J29 BS8:BW16 O24 AE4:AF15 BQ8:BR15 F23:F25 B14:B17 D17:G21 C20:C21 C31:E31 O23:P23 O26 O25:P25 O27:P29 S3:AF3 Q23:Q27 Q29 R23:S23 S31:AF31 A32:A45 F57:F61 A47:B61 F27 E23:E27 E29 A62 A66:AK1680 C62:AK62 H45:H61 B4:B12 A19:B31 L45:M60 H17:H30 C23:D30 T23:AF30 A3:E3 A4:A17 R24:R30 G23:G30 F29:F30 K17:N30 O3 Q3 I3:L3 C45 P60 O60 I45:J57 BS36:BW44 O52 AE32:AF43 BQ36:BR43 F51:F53 B42:B45 D45:G49 C48:C49 O51:P51 O54 O53:P53 O55:P57 Q51:Q55 Q57 R51:S51 F55 E51:E55 B32:B40 R61:S61 O58:O59 AG3:AK59 O61 T51:AF59 Q61 N45:N59 L61 V60:X60 Y60:AK60 R52:R60 K45:K61 T61:AK61 C51:D61" name="Range2"/>
    <protectedRange sqref="C4:T7 BH8:BP15 AO15:AX16 AY15:BG15 U4:AD15 N15:T15 D15:M16 C32:T35 BH36:BP43 AO43:AX44 AY43:BG43 U32:AD43 N43:T43 D43:M44" name="Range2_1"/>
    <protectedRange sqref="AN8:AN12 AW8:BG14 AO8:AR14 AN14 AN16 AY16:BB16 C8:C12 L8:T14 D8:G14 C14 C16 N16:Q16 AN36:AN40 AW36:BG42 AO36:AR42 AN42 AN44 AY44:BB44 C36:C40 L36:T42 D36:G42 C42 C44 N44:Q44" name="Range2_2"/>
    <protectedRange sqref="D22:G22 F26 D50:G50 F54" name="Range2_3"/>
    <protectedRange sqref="A18:B18 A46:B46" name="Range2_5"/>
    <protectedRange sqref="E28 E56" name="Range2_4"/>
    <protectedRange sqref="A63:AK65" name="Range2_4_1_2_1"/>
  </protectedRanges>
  <mergeCells count="59">
    <mergeCell ref="AZ12:BB12"/>
    <mergeCell ref="N3:X3"/>
    <mergeCell ref="O8:Q8"/>
    <mergeCell ref="AZ8:BB8"/>
    <mergeCell ref="O10:Q10"/>
    <mergeCell ref="AZ10:BB10"/>
    <mergeCell ref="AZ14:BB14"/>
    <mergeCell ref="BJ14:BM14"/>
    <mergeCell ref="O16:Q16"/>
    <mergeCell ref="AH16:AJ16"/>
    <mergeCell ref="AZ16:BB16"/>
    <mergeCell ref="A64:E64"/>
    <mergeCell ref="Y14:AJ15"/>
    <mergeCell ref="D29:F29"/>
    <mergeCell ref="O30:Q30"/>
    <mergeCell ref="O18:Q18"/>
    <mergeCell ref="O20:Q20"/>
    <mergeCell ref="O22:Q22"/>
    <mergeCell ref="O24:Q24"/>
    <mergeCell ref="O26:Q26"/>
    <mergeCell ref="O28:Q28"/>
    <mergeCell ref="O14:Q14"/>
    <mergeCell ref="AH63:AI63"/>
    <mergeCell ref="AJ63:AK63"/>
    <mergeCell ref="R63:S63"/>
    <mergeCell ref="T63:U63"/>
    <mergeCell ref="V63:W63"/>
    <mergeCell ref="X63:Y63"/>
    <mergeCell ref="Z63:AA63"/>
    <mergeCell ref="A1:K1"/>
    <mergeCell ref="A2:Q2"/>
    <mergeCell ref="AB63:AC63"/>
    <mergeCell ref="D57:F57"/>
    <mergeCell ref="AD63:AE63"/>
    <mergeCell ref="AF63:AG63"/>
    <mergeCell ref="O12:Q12"/>
    <mergeCell ref="O36:Q36"/>
    <mergeCell ref="O42:Q42"/>
    <mergeCell ref="Y42:AJ43"/>
    <mergeCell ref="O46:Q46"/>
    <mergeCell ref="O48:Q48"/>
    <mergeCell ref="O50:Q50"/>
    <mergeCell ref="O52:Q52"/>
    <mergeCell ref="O54:Q54"/>
    <mergeCell ref="O56:Q56"/>
    <mergeCell ref="R61:S61"/>
    <mergeCell ref="O58:Q58"/>
    <mergeCell ref="O60:P60"/>
    <mergeCell ref="V60:W60"/>
    <mergeCell ref="BJ42:BM42"/>
    <mergeCell ref="O44:Q44"/>
    <mergeCell ref="AH44:AJ44"/>
    <mergeCell ref="AZ44:BB44"/>
    <mergeCell ref="AZ36:BB36"/>
    <mergeCell ref="O38:Q38"/>
    <mergeCell ref="AZ38:BB38"/>
    <mergeCell ref="O40:Q40"/>
    <mergeCell ref="AZ40:BB40"/>
    <mergeCell ref="AZ42:BB42"/>
  </mergeCells>
  <hyperlinks>
    <hyperlink ref="AP1" r:id="rId1" xr:uid="{CC1DF01B-FE1F-4BAF-8B31-E88176EFE1E1}"/>
  </hyperlinks>
  <pageMargins left="0.25" right="0.25" top="0.75" bottom="0.75" header="0.3" footer="0.3"/>
  <pageSetup paperSize="9" scale="96" orientation="portrait" r:id="rId2"/>
  <headerFooter alignWithMargins="0">
    <oddHeader xml:space="preserve">&amp;R
</oddHead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61"/>
  <sheetViews>
    <sheetView zoomScaleNormal="100" zoomScaleSheetLayoutView="100" workbookViewId="0">
      <selection activeCell="B27" sqref="B27:K27"/>
    </sheetView>
  </sheetViews>
  <sheetFormatPr defaultColWidth="9.109375" defaultRowHeight="13.2" x14ac:dyDescent="0.25"/>
  <cols>
    <col min="1" max="1" width="6" style="2" customWidth="1"/>
    <col min="2" max="2" width="11.5546875" style="2" customWidth="1"/>
    <col min="3" max="3" width="5.88671875" style="2" customWidth="1"/>
    <col min="4" max="4" width="22.6640625" style="2" customWidth="1"/>
    <col min="5" max="6" width="7.33203125" style="2" customWidth="1"/>
    <col min="7" max="7" width="4.5546875" style="2" customWidth="1"/>
    <col min="8" max="8" width="11.33203125" style="2" customWidth="1"/>
    <col min="9" max="9" width="7.6640625" style="2" customWidth="1"/>
    <col min="10" max="10" width="8.109375" style="2" customWidth="1"/>
    <col min="11" max="11" width="11.88671875" style="2" customWidth="1"/>
    <col min="12" max="16384" width="9.109375" style="2"/>
  </cols>
  <sheetData>
    <row r="1" spans="1:11" s="1" customFormat="1" ht="15" customHeight="1" x14ac:dyDescent="0.25">
      <c r="A1" s="313" t="s">
        <v>16</v>
      </c>
      <c r="B1" s="313"/>
      <c r="C1" s="313"/>
      <c r="D1" s="313"/>
      <c r="E1" s="313"/>
      <c r="F1" s="313"/>
      <c r="G1" s="313"/>
      <c r="H1" s="313"/>
      <c r="I1" s="313"/>
      <c r="J1" s="313"/>
      <c r="K1" s="313"/>
    </row>
    <row r="2" spans="1:11" s="1" customFormat="1" ht="15" customHeight="1" x14ac:dyDescent="0.25">
      <c r="A2" s="313" t="s">
        <v>17</v>
      </c>
      <c r="B2" s="313"/>
      <c r="C2" s="313"/>
      <c r="D2" s="313"/>
      <c r="E2" s="313"/>
      <c r="F2" s="313"/>
      <c r="G2" s="313"/>
      <c r="H2" s="313"/>
      <c r="I2" s="313"/>
      <c r="J2" s="313"/>
      <c r="K2" s="313"/>
    </row>
    <row r="3" spans="1:11" s="1" customFormat="1" ht="15" customHeight="1" x14ac:dyDescent="0.25">
      <c r="A3" s="9"/>
      <c r="B3" s="9"/>
      <c r="C3" s="9"/>
      <c r="D3" s="9"/>
      <c r="E3" s="9"/>
      <c r="F3" s="9"/>
      <c r="G3" s="9"/>
      <c r="H3" s="9"/>
      <c r="I3" s="9"/>
      <c r="J3" s="9"/>
      <c r="K3" s="9"/>
    </row>
    <row r="4" spans="1:11" s="1" customFormat="1" ht="15" customHeight="1" x14ac:dyDescent="0.25">
      <c r="A4" s="9"/>
      <c r="B4" s="434"/>
      <c r="C4" s="434"/>
      <c r="D4" s="434"/>
      <c r="E4" s="434"/>
      <c r="F4" s="434"/>
      <c r="G4" s="434"/>
      <c r="H4" s="434"/>
      <c r="I4" s="434"/>
      <c r="J4" s="434"/>
      <c r="K4" s="434"/>
    </row>
    <row r="5" spans="1:11" s="1" customFormat="1" ht="15" customHeight="1" x14ac:dyDescent="0.25">
      <c r="A5" s="28"/>
      <c r="B5" s="433"/>
      <c r="C5" s="433"/>
      <c r="D5" s="433"/>
      <c r="E5" s="433"/>
      <c r="F5" s="433"/>
      <c r="G5" s="433"/>
      <c r="H5" s="433"/>
      <c r="I5" s="433"/>
      <c r="J5" s="433"/>
      <c r="K5" s="433"/>
    </row>
    <row r="6" spans="1:11" s="1" customFormat="1" ht="15" customHeight="1" x14ac:dyDescent="0.25">
      <c r="A6" s="17"/>
      <c r="B6" s="433"/>
      <c r="C6" s="433"/>
      <c r="D6" s="433"/>
      <c r="E6" s="433"/>
      <c r="F6" s="433"/>
      <c r="G6" s="433"/>
      <c r="H6" s="433"/>
      <c r="I6" s="433"/>
      <c r="J6" s="433"/>
      <c r="K6" s="433"/>
    </row>
    <row r="7" spans="1:11" s="1" customFormat="1" ht="15" customHeight="1" x14ac:dyDescent="0.25">
      <c r="A7" s="17"/>
      <c r="B7" s="433"/>
      <c r="C7" s="433"/>
      <c r="D7" s="433"/>
      <c r="E7" s="433"/>
      <c r="F7" s="433"/>
      <c r="G7" s="433"/>
      <c r="H7" s="433"/>
      <c r="I7" s="433"/>
      <c r="J7" s="433"/>
      <c r="K7" s="433"/>
    </row>
    <row r="8" spans="1:11" s="1" customFormat="1" ht="15" customHeight="1" x14ac:dyDescent="0.25">
      <c r="A8" s="9"/>
      <c r="B8" s="434"/>
      <c r="C8" s="434"/>
      <c r="D8" s="434"/>
      <c r="E8" s="434"/>
      <c r="F8" s="434"/>
      <c r="G8" s="434"/>
      <c r="H8" s="434"/>
      <c r="I8" s="434"/>
      <c r="J8" s="434"/>
      <c r="K8" s="434"/>
    </row>
    <row r="9" spans="1:11" s="1" customFormat="1" ht="15" customHeight="1" x14ac:dyDescent="0.25">
      <c r="A9" s="28"/>
      <c r="B9" s="433"/>
      <c r="C9" s="433"/>
      <c r="D9" s="433"/>
      <c r="E9" s="433"/>
      <c r="F9" s="433"/>
      <c r="G9" s="433"/>
      <c r="H9" s="433"/>
      <c r="I9" s="433"/>
      <c r="J9" s="433"/>
      <c r="K9" s="433"/>
    </row>
    <row r="10" spans="1:11" s="1" customFormat="1" ht="15" customHeight="1" x14ac:dyDescent="0.25">
      <c r="A10" s="17"/>
      <c r="B10" s="433"/>
      <c r="C10" s="433"/>
      <c r="D10" s="433"/>
      <c r="E10" s="433"/>
      <c r="F10" s="433"/>
      <c r="G10" s="433"/>
      <c r="H10" s="433"/>
      <c r="I10" s="433"/>
      <c r="J10" s="433"/>
      <c r="K10" s="433"/>
    </row>
    <row r="11" spans="1:11" s="1" customFormat="1" ht="15" customHeight="1" x14ac:dyDescent="0.25">
      <c r="A11" s="17"/>
      <c r="B11" s="433"/>
      <c r="C11" s="433"/>
      <c r="D11" s="433"/>
      <c r="E11" s="433"/>
      <c r="F11" s="433"/>
      <c r="G11" s="433"/>
      <c r="H11" s="433"/>
      <c r="I11" s="433"/>
      <c r="J11" s="433"/>
      <c r="K11" s="433"/>
    </row>
    <row r="12" spans="1:11" s="1" customFormat="1" ht="15" customHeight="1" x14ac:dyDescent="0.25">
      <c r="A12" s="9"/>
      <c r="B12" s="434"/>
      <c r="C12" s="434"/>
      <c r="D12" s="434"/>
      <c r="E12" s="434"/>
      <c r="F12" s="434"/>
      <c r="G12" s="434"/>
      <c r="H12" s="434"/>
      <c r="I12" s="434"/>
      <c r="J12" s="434"/>
      <c r="K12" s="434"/>
    </row>
    <row r="13" spans="1:11" s="1" customFormat="1" ht="15" customHeight="1" x14ac:dyDescent="0.25">
      <c r="A13" s="28"/>
      <c r="B13" s="433"/>
      <c r="C13" s="433"/>
      <c r="D13" s="433"/>
      <c r="E13" s="433"/>
      <c r="F13" s="433"/>
      <c r="G13" s="433"/>
      <c r="H13" s="433"/>
      <c r="I13" s="433"/>
      <c r="J13" s="433"/>
      <c r="K13" s="433"/>
    </row>
    <row r="14" spans="1:11" s="1" customFormat="1" ht="15" customHeight="1" x14ac:dyDescent="0.25">
      <c r="A14" s="17"/>
      <c r="B14" s="433"/>
      <c r="C14" s="433"/>
      <c r="D14" s="433"/>
      <c r="E14" s="433"/>
      <c r="F14" s="433"/>
      <c r="G14" s="433"/>
      <c r="H14" s="433"/>
      <c r="I14" s="433"/>
      <c r="J14" s="433"/>
      <c r="K14" s="433"/>
    </row>
    <row r="15" spans="1:11" s="1" customFormat="1" ht="15" customHeight="1" x14ac:dyDescent="0.25">
      <c r="A15" s="17"/>
      <c r="B15" s="433"/>
      <c r="C15" s="433"/>
      <c r="D15" s="433"/>
      <c r="E15" s="433"/>
      <c r="F15" s="433"/>
      <c r="G15" s="433"/>
      <c r="H15" s="433"/>
      <c r="I15" s="433"/>
      <c r="J15" s="433"/>
      <c r="K15" s="433"/>
    </row>
    <row r="16" spans="1:11" s="1" customFormat="1" ht="15" customHeight="1" x14ac:dyDescent="0.25">
      <c r="A16" s="9"/>
      <c r="B16" s="434"/>
      <c r="C16" s="434"/>
      <c r="D16" s="434"/>
      <c r="E16" s="434"/>
      <c r="F16" s="434"/>
      <c r="G16" s="434"/>
      <c r="H16" s="434"/>
      <c r="I16" s="434"/>
      <c r="J16" s="434"/>
      <c r="K16" s="434"/>
    </row>
    <row r="17" spans="1:11" s="1" customFormat="1" ht="15" customHeight="1" x14ac:dyDescent="0.25">
      <c r="A17" s="9"/>
      <c r="B17" s="434"/>
      <c r="C17" s="434"/>
      <c r="D17" s="434"/>
      <c r="E17" s="434"/>
      <c r="F17" s="434"/>
      <c r="G17" s="434"/>
      <c r="H17" s="434"/>
      <c r="I17" s="434"/>
      <c r="J17" s="434"/>
      <c r="K17" s="434"/>
    </row>
    <row r="18" spans="1:11" s="1" customFormat="1" ht="15" customHeight="1" x14ac:dyDescent="0.25">
      <c r="A18" s="9"/>
      <c r="B18" s="434"/>
      <c r="C18" s="434"/>
      <c r="D18" s="434"/>
      <c r="E18" s="434"/>
      <c r="F18" s="434"/>
      <c r="G18" s="434"/>
      <c r="H18" s="434"/>
      <c r="I18" s="434"/>
      <c r="J18" s="434"/>
      <c r="K18" s="434"/>
    </row>
    <row r="19" spans="1:11" s="1" customFormat="1" ht="15" customHeight="1" x14ac:dyDescent="0.25">
      <c r="A19" s="9"/>
      <c r="B19" s="434"/>
      <c r="C19" s="434"/>
      <c r="D19" s="434"/>
      <c r="E19" s="434"/>
      <c r="F19" s="434"/>
      <c r="G19" s="434"/>
      <c r="H19" s="434"/>
      <c r="I19" s="434"/>
      <c r="J19" s="434"/>
      <c r="K19" s="434"/>
    </row>
    <row r="20" spans="1:11" s="1" customFormat="1" ht="15" customHeight="1" x14ac:dyDescent="0.25">
      <c r="A20" s="9"/>
      <c r="B20" s="434"/>
      <c r="C20" s="434"/>
      <c r="D20" s="434"/>
      <c r="E20" s="434"/>
      <c r="F20" s="434"/>
      <c r="G20" s="434"/>
      <c r="H20" s="434"/>
      <c r="I20" s="434"/>
      <c r="J20" s="434"/>
      <c r="K20" s="434"/>
    </row>
    <row r="21" spans="1:11" s="1" customFormat="1" ht="15" customHeight="1" x14ac:dyDescent="0.25">
      <c r="A21" s="9"/>
      <c r="B21" s="434"/>
      <c r="C21" s="434"/>
      <c r="D21" s="434"/>
      <c r="E21" s="434"/>
      <c r="F21" s="434"/>
      <c r="G21" s="434"/>
      <c r="H21" s="434"/>
      <c r="I21" s="434"/>
      <c r="J21" s="434"/>
      <c r="K21" s="434"/>
    </row>
    <row r="22" spans="1:11" s="1" customFormat="1" ht="15" customHeight="1" x14ac:dyDescent="0.25">
      <c r="A22" s="9"/>
      <c r="B22" s="434"/>
      <c r="C22" s="434"/>
      <c r="D22" s="434"/>
      <c r="E22" s="434"/>
      <c r="F22" s="434"/>
      <c r="G22" s="434"/>
      <c r="H22" s="434"/>
      <c r="I22" s="434"/>
      <c r="J22" s="434"/>
      <c r="K22" s="434"/>
    </row>
    <row r="23" spans="1:11" s="1" customFormat="1" ht="15" customHeight="1" x14ac:dyDescent="0.25">
      <c r="A23" s="9"/>
      <c r="B23" s="434"/>
      <c r="C23" s="434"/>
      <c r="D23" s="434"/>
      <c r="E23" s="434"/>
      <c r="F23" s="434"/>
      <c r="G23" s="434"/>
      <c r="H23" s="434"/>
      <c r="I23" s="434"/>
      <c r="J23" s="434"/>
      <c r="K23" s="434"/>
    </row>
    <row r="24" spans="1:11" s="1" customFormat="1" ht="15" customHeight="1" x14ac:dyDescent="0.25">
      <c r="A24" s="9"/>
      <c r="B24" s="434"/>
      <c r="C24" s="434"/>
      <c r="D24" s="434"/>
      <c r="E24" s="434"/>
      <c r="F24" s="434"/>
      <c r="G24" s="434"/>
      <c r="H24" s="434"/>
      <c r="I24" s="434"/>
      <c r="J24" s="434"/>
      <c r="K24" s="434"/>
    </row>
    <row r="25" spans="1:11" s="1" customFormat="1" ht="15" customHeight="1" x14ac:dyDescent="0.25">
      <c r="A25" s="9"/>
      <c r="B25" s="434"/>
      <c r="C25" s="434"/>
      <c r="D25" s="434"/>
      <c r="E25" s="434"/>
      <c r="F25" s="434"/>
      <c r="G25" s="434"/>
      <c r="H25" s="434"/>
      <c r="I25" s="434"/>
      <c r="J25" s="434"/>
      <c r="K25" s="434"/>
    </row>
    <row r="26" spans="1:11" s="1" customFormat="1" ht="15" customHeight="1" x14ac:dyDescent="0.25">
      <c r="A26" s="9"/>
      <c r="B26" s="434"/>
      <c r="C26" s="434"/>
      <c r="D26" s="434"/>
      <c r="E26" s="434"/>
      <c r="F26" s="434"/>
      <c r="G26" s="434"/>
      <c r="H26" s="434"/>
      <c r="I26" s="434"/>
      <c r="J26" s="434"/>
      <c r="K26" s="434"/>
    </row>
    <row r="27" spans="1:11" s="1" customFormat="1" ht="15" customHeight="1" x14ac:dyDescent="0.25">
      <c r="A27" s="9"/>
      <c r="B27" s="434"/>
      <c r="C27" s="434"/>
      <c r="D27" s="434"/>
      <c r="E27" s="434"/>
      <c r="F27" s="434"/>
      <c r="G27" s="434"/>
      <c r="H27" s="434"/>
      <c r="I27" s="434"/>
      <c r="J27" s="434"/>
      <c r="K27" s="434"/>
    </row>
    <row r="28" spans="1:11" s="1" customFormat="1" ht="15" customHeight="1" x14ac:dyDescent="0.25">
      <c r="A28" s="28"/>
      <c r="B28" s="433"/>
      <c r="C28" s="433"/>
      <c r="D28" s="433"/>
      <c r="E28" s="433"/>
      <c r="F28" s="433"/>
      <c r="G28" s="433"/>
      <c r="H28" s="433"/>
      <c r="I28" s="433"/>
      <c r="J28" s="433"/>
      <c r="K28" s="433"/>
    </row>
    <row r="29" spans="1:11" s="1" customFormat="1" ht="15" customHeight="1" x14ac:dyDescent="0.25">
      <c r="A29" s="17"/>
      <c r="B29" s="433"/>
      <c r="C29" s="433"/>
      <c r="D29" s="433"/>
      <c r="E29" s="433"/>
      <c r="F29" s="433"/>
      <c r="G29" s="433"/>
      <c r="H29" s="433"/>
      <c r="I29" s="433"/>
      <c r="J29" s="433"/>
      <c r="K29" s="433"/>
    </row>
    <row r="30" spans="1:11" s="1" customFormat="1" ht="15" customHeight="1" x14ac:dyDescent="0.25">
      <c r="A30" s="9"/>
      <c r="B30" s="434"/>
      <c r="C30" s="434"/>
      <c r="D30" s="434"/>
      <c r="E30" s="434"/>
      <c r="F30" s="434"/>
      <c r="G30" s="434"/>
      <c r="H30" s="434"/>
      <c r="I30" s="434"/>
      <c r="J30" s="434"/>
      <c r="K30" s="434"/>
    </row>
    <row r="31" spans="1:11" s="1" customFormat="1" ht="15" customHeight="1" x14ac:dyDescent="0.25">
      <c r="A31" s="28"/>
      <c r="B31" s="433"/>
      <c r="C31" s="433"/>
      <c r="D31" s="433"/>
      <c r="E31" s="433"/>
      <c r="F31" s="433"/>
      <c r="G31" s="433"/>
      <c r="H31" s="433"/>
      <c r="I31" s="433"/>
      <c r="J31" s="433"/>
      <c r="K31" s="433"/>
    </row>
    <row r="32" spans="1:11" s="1" customFormat="1" ht="15" customHeight="1" x14ac:dyDescent="0.25">
      <c r="A32" s="17"/>
      <c r="B32" s="433"/>
      <c r="C32" s="433"/>
      <c r="D32" s="433"/>
      <c r="E32" s="433"/>
      <c r="F32" s="433"/>
      <c r="G32" s="433"/>
      <c r="H32" s="433"/>
      <c r="I32" s="433"/>
      <c r="J32" s="433"/>
      <c r="K32" s="433"/>
    </row>
    <row r="33" spans="1:11" s="1" customFormat="1" ht="15" customHeight="1" x14ac:dyDescent="0.25">
      <c r="A33" s="9"/>
      <c r="B33" s="434"/>
      <c r="C33" s="434"/>
      <c r="D33" s="434"/>
      <c r="E33" s="434"/>
      <c r="F33" s="434"/>
      <c r="G33" s="434"/>
      <c r="H33" s="434"/>
      <c r="I33" s="434"/>
      <c r="J33" s="434"/>
      <c r="K33" s="434"/>
    </row>
    <row r="34" spans="1:11" s="1" customFormat="1" ht="15" customHeight="1" x14ac:dyDescent="0.25">
      <c r="A34" s="28"/>
      <c r="B34" s="433"/>
      <c r="C34" s="433"/>
      <c r="D34" s="433"/>
      <c r="E34" s="433"/>
      <c r="F34" s="433"/>
      <c r="G34" s="433"/>
      <c r="H34" s="433"/>
      <c r="I34" s="433"/>
      <c r="J34" s="433"/>
      <c r="K34" s="433"/>
    </row>
    <row r="35" spans="1:11" s="1" customFormat="1" ht="15" customHeight="1" x14ac:dyDescent="0.25">
      <c r="A35" s="17"/>
      <c r="B35" s="433"/>
      <c r="C35" s="433"/>
      <c r="D35" s="433"/>
      <c r="E35" s="433"/>
      <c r="F35" s="433"/>
      <c r="G35" s="433"/>
      <c r="H35" s="433"/>
      <c r="I35" s="433"/>
      <c r="J35" s="433"/>
      <c r="K35" s="433"/>
    </row>
    <row r="36" spans="1:11" s="1" customFormat="1" ht="15" customHeight="1" x14ac:dyDescent="0.25">
      <c r="A36" s="9"/>
      <c r="B36" s="434"/>
      <c r="C36" s="434"/>
      <c r="D36" s="434"/>
      <c r="E36" s="434"/>
      <c r="F36" s="434"/>
      <c r="G36" s="434"/>
      <c r="H36" s="434"/>
      <c r="I36" s="434"/>
      <c r="J36" s="434"/>
      <c r="K36" s="434"/>
    </row>
    <row r="37" spans="1:11" s="1" customFormat="1" ht="15" customHeight="1" x14ac:dyDescent="0.25">
      <c r="A37" s="28"/>
      <c r="B37" s="433"/>
      <c r="C37" s="433"/>
      <c r="D37" s="433"/>
      <c r="E37" s="433"/>
      <c r="F37" s="433"/>
      <c r="G37" s="433"/>
      <c r="H37" s="433"/>
      <c r="I37" s="433"/>
      <c r="J37" s="433"/>
      <c r="K37" s="433"/>
    </row>
    <row r="38" spans="1:11" s="1" customFormat="1" ht="15" customHeight="1" x14ac:dyDescent="0.25">
      <c r="A38" s="17"/>
      <c r="B38" s="433"/>
      <c r="C38" s="433"/>
      <c r="D38" s="433"/>
      <c r="E38" s="433"/>
      <c r="F38" s="433"/>
      <c r="G38" s="433"/>
      <c r="H38" s="433"/>
      <c r="I38" s="433"/>
      <c r="J38" s="433"/>
      <c r="K38" s="433"/>
    </row>
    <row r="39" spans="1:11" s="1" customFormat="1" ht="15" customHeight="1" x14ac:dyDescent="0.25">
      <c r="A39" s="9"/>
      <c r="B39" s="434"/>
      <c r="C39" s="434"/>
      <c r="D39" s="434"/>
      <c r="E39" s="434"/>
      <c r="F39" s="434"/>
      <c r="G39" s="434"/>
      <c r="H39" s="434"/>
      <c r="I39" s="434"/>
      <c r="J39" s="434"/>
      <c r="K39" s="434"/>
    </row>
    <row r="40" spans="1:11" s="1" customFormat="1" ht="15" customHeight="1" x14ac:dyDescent="0.25">
      <c r="A40" s="28"/>
      <c r="B40" s="433"/>
      <c r="C40" s="433"/>
      <c r="D40" s="433"/>
      <c r="E40" s="433"/>
      <c r="F40" s="433"/>
      <c r="G40" s="433"/>
      <c r="H40" s="433"/>
      <c r="I40" s="433"/>
      <c r="J40" s="433"/>
      <c r="K40" s="433"/>
    </row>
    <row r="41" spans="1:11" s="1" customFormat="1" ht="15" customHeight="1" x14ac:dyDescent="0.25">
      <c r="A41" s="17"/>
      <c r="B41" s="433"/>
      <c r="C41" s="433"/>
      <c r="D41" s="433"/>
      <c r="E41" s="433"/>
      <c r="F41" s="433"/>
      <c r="G41" s="433"/>
      <c r="H41" s="433"/>
      <c r="I41" s="433"/>
      <c r="J41" s="433"/>
      <c r="K41" s="433"/>
    </row>
    <row r="42" spans="1:11" s="1" customFormat="1" ht="15" customHeight="1" x14ac:dyDescent="0.25">
      <c r="A42" s="9"/>
      <c r="B42" s="434"/>
      <c r="C42" s="434"/>
      <c r="D42" s="434"/>
      <c r="E42" s="434"/>
      <c r="F42" s="434"/>
      <c r="G42" s="434"/>
      <c r="H42" s="434"/>
      <c r="I42" s="434"/>
      <c r="J42" s="434"/>
      <c r="K42" s="434"/>
    </row>
    <row r="43" spans="1:11" s="1" customFormat="1" ht="15" customHeight="1" x14ac:dyDescent="0.25">
      <c r="A43" s="28"/>
      <c r="B43" s="433"/>
      <c r="C43" s="433"/>
      <c r="D43" s="433"/>
      <c r="E43" s="433"/>
      <c r="F43" s="433"/>
      <c r="G43" s="433"/>
      <c r="H43" s="433"/>
      <c r="I43" s="433"/>
      <c r="J43" s="433"/>
      <c r="K43" s="433"/>
    </row>
    <row r="44" spans="1:11" s="1" customFormat="1" ht="15" customHeight="1" x14ac:dyDescent="0.25">
      <c r="A44" s="17"/>
      <c r="B44" s="433"/>
      <c r="C44" s="433"/>
      <c r="D44" s="433"/>
      <c r="E44" s="433"/>
      <c r="F44" s="433"/>
      <c r="G44" s="433"/>
      <c r="H44" s="433"/>
      <c r="I44" s="433"/>
      <c r="J44" s="433"/>
      <c r="K44" s="433"/>
    </row>
    <row r="45" spans="1:11" s="1" customFormat="1" ht="15" customHeight="1" x14ac:dyDescent="0.25">
      <c r="A45" s="9"/>
      <c r="B45" s="435"/>
      <c r="C45" s="435"/>
      <c r="D45" s="435"/>
      <c r="E45" s="435"/>
      <c r="F45" s="435"/>
      <c r="G45" s="435"/>
      <c r="H45" s="435"/>
      <c r="I45" s="435"/>
      <c r="J45" s="435"/>
      <c r="K45" s="435"/>
    </row>
    <row r="46" spans="1:11" s="1" customFormat="1" ht="15" customHeight="1" x14ac:dyDescent="0.25">
      <c r="A46" s="9"/>
      <c r="B46" s="435"/>
      <c r="C46" s="435"/>
      <c r="D46" s="435"/>
      <c r="E46" s="435"/>
      <c r="F46" s="435"/>
      <c r="G46" s="435"/>
      <c r="H46" s="435"/>
      <c r="I46" s="435"/>
      <c r="J46" s="435"/>
      <c r="K46" s="435"/>
    </row>
    <row r="47" spans="1:11" s="1" customFormat="1" ht="15" customHeight="1" x14ac:dyDescent="0.25">
      <c r="A47" s="9"/>
      <c r="B47" s="435"/>
      <c r="C47" s="435"/>
      <c r="D47" s="435"/>
      <c r="E47" s="435"/>
      <c r="F47" s="435"/>
      <c r="G47" s="435"/>
      <c r="H47" s="435"/>
      <c r="I47" s="435"/>
      <c r="J47" s="435"/>
      <c r="K47" s="435"/>
    </row>
    <row r="48" spans="1:11" s="1" customFormat="1" ht="15" customHeight="1" x14ac:dyDescent="0.25">
      <c r="A48" s="9"/>
      <c r="B48" s="435"/>
      <c r="C48" s="435"/>
      <c r="D48" s="435"/>
      <c r="E48" s="435"/>
      <c r="F48" s="435"/>
      <c r="G48" s="435"/>
      <c r="H48" s="435"/>
      <c r="I48" s="435"/>
      <c r="J48" s="435"/>
      <c r="K48" s="435"/>
    </row>
    <row r="49" spans="1:12" s="1" customFormat="1" ht="15" customHeight="1" x14ac:dyDescent="0.25">
      <c r="A49" s="9"/>
      <c r="B49" s="435"/>
      <c r="C49" s="435"/>
      <c r="D49" s="435"/>
      <c r="E49" s="435"/>
      <c r="F49" s="435"/>
      <c r="G49" s="435"/>
      <c r="H49" s="435"/>
      <c r="I49" s="435"/>
      <c r="J49" s="435"/>
      <c r="K49" s="435"/>
    </row>
    <row r="50" spans="1:12" s="1" customFormat="1" ht="15" customHeight="1" x14ac:dyDescent="0.25">
      <c r="A50" s="9"/>
      <c r="B50" s="435"/>
      <c r="C50" s="435"/>
      <c r="D50" s="435"/>
      <c r="E50" s="435"/>
      <c r="F50" s="435"/>
      <c r="G50" s="435"/>
      <c r="H50" s="435"/>
      <c r="I50" s="435"/>
      <c r="J50" s="435"/>
      <c r="K50" s="435"/>
    </row>
    <row r="51" spans="1:12" s="1" customFormat="1" ht="15" customHeight="1" x14ac:dyDescent="0.25">
      <c r="A51" s="9"/>
      <c r="B51" s="435"/>
      <c r="C51" s="435"/>
      <c r="D51" s="435"/>
      <c r="E51" s="435"/>
      <c r="F51" s="435"/>
      <c r="G51" s="435"/>
      <c r="H51" s="435"/>
      <c r="I51" s="435"/>
      <c r="J51" s="435"/>
      <c r="K51" s="435"/>
    </row>
    <row r="52" spans="1:12" s="1" customFormat="1" ht="15" customHeight="1" x14ac:dyDescent="0.25">
      <c r="A52" s="9"/>
      <c r="B52" s="435"/>
      <c r="C52" s="435"/>
      <c r="D52" s="435"/>
      <c r="E52" s="435"/>
      <c r="F52" s="435"/>
      <c r="G52" s="435"/>
      <c r="H52" s="435"/>
      <c r="I52" s="435"/>
      <c r="J52" s="435"/>
      <c r="K52" s="435"/>
    </row>
    <row r="53" spans="1:12" s="1" customFormat="1" ht="15" customHeight="1" x14ac:dyDescent="0.25">
      <c r="A53" s="9"/>
      <c r="B53" s="435"/>
      <c r="C53" s="435"/>
      <c r="D53" s="435"/>
      <c r="E53" s="435"/>
      <c r="F53" s="435"/>
      <c r="G53" s="435"/>
      <c r="H53" s="435"/>
      <c r="I53" s="435"/>
      <c r="J53" s="435"/>
      <c r="K53" s="435"/>
    </row>
    <row r="54" spans="1:12" s="1" customFormat="1" ht="15" customHeight="1" x14ac:dyDescent="0.25">
      <c r="A54" s="28"/>
      <c r="B54" s="315"/>
      <c r="C54" s="315"/>
      <c r="D54" s="315"/>
      <c r="E54" s="315"/>
      <c r="F54" s="315"/>
      <c r="G54" s="315"/>
      <c r="H54" s="315"/>
      <c r="I54" s="315"/>
      <c r="J54" s="315"/>
      <c r="K54" s="315"/>
    </row>
    <row r="55" spans="1:12" s="1" customFormat="1" ht="15" customHeight="1" x14ac:dyDescent="0.25">
      <c r="A55" s="17"/>
      <c r="B55" s="315"/>
      <c r="C55" s="315"/>
      <c r="D55" s="315"/>
      <c r="E55" s="315"/>
      <c r="F55" s="315"/>
      <c r="G55" s="315"/>
      <c r="H55" s="315"/>
      <c r="I55" s="315"/>
      <c r="J55" s="315"/>
      <c r="K55" s="315"/>
    </row>
    <row r="56" spans="1:12" ht="12.75" customHeight="1" x14ac:dyDescent="0.3">
      <c r="A56" s="27"/>
      <c r="B56" s="437"/>
      <c r="C56" s="437"/>
      <c r="D56" s="437"/>
      <c r="E56" s="437"/>
      <c r="F56" s="437"/>
      <c r="G56" s="437"/>
      <c r="H56" s="437"/>
      <c r="I56" s="437"/>
      <c r="J56" s="437"/>
      <c r="K56" s="437"/>
    </row>
    <row r="57" spans="1:12" ht="15" customHeight="1" x14ac:dyDescent="0.3">
      <c r="A57" s="23"/>
      <c r="B57" s="436"/>
      <c r="C57" s="436"/>
      <c r="D57" s="436"/>
      <c r="E57" s="436"/>
      <c r="F57" s="436"/>
      <c r="G57" s="436"/>
      <c r="H57" s="436"/>
      <c r="I57" s="436"/>
      <c r="J57" s="436"/>
      <c r="K57" s="436"/>
    </row>
    <row r="58" spans="1:12" ht="15.6" x14ac:dyDescent="0.3">
      <c r="A58" s="328" t="s">
        <v>178</v>
      </c>
      <c r="B58" s="328"/>
      <c r="C58" s="328"/>
      <c r="D58" s="328"/>
      <c r="E58" s="22"/>
      <c r="F58" s="22"/>
      <c r="G58" s="22"/>
      <c r="H58" s="22"/>
      <c r="I58" s="22"/>
      <c r="J58" s="332" t="s">
        <v>2</v>
      </c>
      <c r="K58" s="332"/>
    </row>
    <row r="59" spans="1:12" ht="15.6" x14ac:dyDescent="0.3">
      <c r="A59" s="326" t="s">
        <v>179</v>
      </c>
      <c r="B59" s="326"/>
      <c r="C59" s="326"/>
      <c r="D59" s="326"/>
      <c r="E59" s="23"/>
      <c r="F59" s="23"/>
      <c r="G59" s="23"/>
      <c r="H59" s="23"/>
      <c r="I59" s="23"/>
      <c r="J59" s="23"/>
      <c r="K59" s="23"/>
    </row>
    <row r="60" spans="1:12" ht="12.75" customHeight="1" x14ac:dyDescent="0.25">
      <c r="A60" s="269"/>
      <c r="B60" s="270"/>
      <c r="C60" s="270"/>
      <c r="D60" s="270"/>
      <c r="E60" s="270"/>
      <c r="F60" s="270"/>
      <c r="G60" s="270"/>
      <c r="H60" s="270"/>
      <c r="I60" s="270"/>
      <c r="J60" s="270"/>
      <c r="K60" s="269"/>
    </row>
    <row r="61" spans="1:12" ht="15" x14ac:dyDescent="0.25">
      <c r="A61" s="270"/>
      <c r="B61" s="270"/>
      <c r="C61" s="270"/>
      <c r="D61" s="270"/>
      <c r="E61" s="270"/>
      <c r="F61" s="270"/>
      <c r="G61" s="270"/>
      <c r="H61" s="270"/>
      <c r="I61" s="270"/>
      <c r="J61" s="270"/>
      <c r="K61" s="270"/>
      <c r="L61" s="3"/>
    </row>
  </sheetData>
  <mergeCells count="61">
    <mergeCell ref="B7:K7"/>
    <mergeCell ref="B39:K39"/>
    <mergeCell ref="B22:K22"/>
    <mergeCell ref="B57:K57"/>
    <mergeCell ref="B50:K50"/>
    <mergeCell ref="B51:K51"/>
    <mergeCell ref="B43:K43"/>
    <mergeCell ref="B44:K44"/>
    <mergeCell ref="B52:K52"/>
    <mergeCell ref="B53:K53"/>
    <mergeCell ref="B56:K56"/>
    <mergeCell ref="B49:K49"/>
    <mergeCell ref="B54:K54"/>
    <mergeCell ref="B28:K28"/>
    <mergeCell ref="B55:K55"/>
    <mergeCell ref="B48:K48"/>
    <mergeCell ref="A1:K1"/>
    <mergeCell ref="A2:K2"/>
    <mergeCell ref="B6:K6"/>
    <mergeCell ref="B4:K4"/>
    <mergeCell ref="B5:K5"/>
    <mergeCell ref="B33:K33"/>
    <mergeCell ref="B34:K34"/>
    <mergeCell ref="B21:K21"/>
    <mergeCell ref="B46:K46"/>
    <mergeCell ref="B13:K13"/>
    <mergeCell ref="B14:K14"/>
    <mergeCell ref="B26:K26"/>
    <mergeCell ref="B27:K27"/>
    <mergeCell ref="B18:K18"/>
    <mergeCell ref="B25:K25"/>
    <mergeCell ref="B35:K35"/>
    <mergeCell ref="B19:K19"/>
    <mergeCell ref="B20:K20"/>
    <mergeCell ref="B29:K29"/>
    <mergeCell ref="B23:K23"/>
    <mergeCell ref="B24:K24"/>
    <mergeCell ref="B8:K8"/>
    <mergeCell ref="B9:K9"/>
    <mergeCell ref="B10:K10"/>
    <mergeCell ref="B17:K17"/>
    <mergeCell ref="B15:K15"/>
    <mergeCell ref="B16:K16"/>
    <mergeCell ref="B11:K11"/>
    <mergeCell ref="B12:K12"/>
    <mergeCell ref="A60:J61"/>
    <mergeCell ref="K60:K61"/>
    <mergeCell ref="B40:K40"/>
    <mergeCell ref="B41:K41"/>
    <mergeCell ref="B30:K30"/>
    <mergeCell ref="B31:K31"/>
    <mergeCell ref="A59:D59"/>
    <mergeCell ref="A58:D58"/>
    <mergeCell ref="J58:K58"/>
    <mergeCell ref="B36:K36"/>
    <mergeCell ref="B37:K37"/>
    <mergeCell ref="B38:K38"/>
    <mergeCell ref="B45:K45"/>
    <mergeCell ref="B42:K42"/>
    <mergeCell ref="B47:K47"/>
    <mergeCell ref="B32:K32"/>
  </mergeCells>
  <phoneticPr fontId="0" type="noConversion"/>
  <pageMargins left="0.74" right="0.51181102362204722" top="0.98425196850393704" bottom="0.31496062992125984" header="0.51181102362204722" footer="0.55118110236220474"/>
  <pageSetup paperSize="9" scale="84" orientation="portrait" r:id="rId1"/>
  <headerFooter alignWithMargins="0">
    <oddFooter>&amp;L&amp;8"Confidential information of Univation Technologies and Reliance Industries Limited and their affiliates.  Do not use, disclose or copy except with prior written consent from both Univation Technologies and Reliance Industries Limited"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B17"/>
  <sheetViews>
    <sheetView zoomScale="130" zoomScaleNormal="130" workbookViewId="0">
      <selection activeCell="B20" sqref="B20"/>
    </sheetView>
  </sheetViews>
  <sheetFormatPr defaultRowHeight="13.2" x14ac:dyDescent="0.25"/>
  <cols>
    <col min="1" max="1" width="10.6640625" customWidth="1"/>
    <col min="2" max="2" width="65.44140625" bestFit="1" customWidth="1"/>
  </cols>
  <sheetData>
    <row r="2" spans="1:2" x14ac:dyDescent="0.25">
      <c r="A2" s="101" t="s">
        <v>378</v>
      </c>
    </row>
    <row r="4" spans="1:2" x14ac:dyDescent="0.25">
      <c r="A4">
        <v>60</v>
      </c>
      <c r="B4" s="101" t="s">
        <v>379</v>
      </c>
    </row>
    <row r="5" spans="1:2" x14ac:dyDescent="0.25">
      <c r="A5">
        <v>6</v>
      </c>
      <c r="B5" s="101" t="s">
        <v>380</v>
      </c>
    </row>
    <row r="6" spans="1:2" x14ac:dyDescent="0.25">
      <c r="B6" s="101"/>
    </row>
    <row r="7" spans="1:2" x14ac:dyDescent="0.25">
      <c r="A7" s="37">
        <f>SUM(A4:A6)</f>
        <v>66</v>
      </c>
      <c r="B7" s="37" t="s">
        <v>397</v>
      </c>
    </row>
    <row r="9" spans="1:2" x14ac:dyDescent="0.25">
      <c r="A9" s="101" t="s">
        <v>381</v>
      </c>
    </row>
    <row r="10" spans="1:2" x14ac:dyDescent="0.25">
      <c r="A10">
        <v>5</v>
      </c>
      <c r="B10" t="s">
        <v>382</v>
      </c>
    </row>
    <row r="11" spans="1:2" x14ac:dyDescent="0.25">
      <c r="A11">
        <v>3</v>
      </c>
      <c r="B11" t="s">
        <v>383</v>
      </c>
    </row>
    <row r="12" spans="1:2" x14ac:dyDescent="0.25">
      <c r="A12">
        <v>3</v>
      </c>
      <c r="B12" t="s">
        <v>384</v>
      </c>
    </row>
    <row r="14" spans="1:2" x14ac:dyDescent="0.25">
      <c r="A14" s="37">
        <f>SUM(A10:A13)</f>
        <v>11</v>
      </c>
      <c r="B14" s="37" t="s">
        <v>398</v>
      </c>
    </row>
    <row r="17" spans="1:2" x14ac:dyDescent="0.25">
      <c r="A17" s="37">
        <f>A7+A14</f>
        <v>77</v>
      </c>
      <c r="B17" s="37" t="s">
        <v>399</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19</vt:i4>
      </vt:variant>
      <vt:variant>
        <vt:lpstr>Named Ranges</vt:lpstr>
      </vt:variant>
      <vt:variant>
        <vt:i4>47</vt:i4>
      </vt:variant>
    </vt:vector>
  </HeadingPairs>
  <TitlesOfParts>
    <vt:vector size="66" baseType="lpstr">
      <vt:lpstr>Front Sheet-Potrait</vt:lpstr>
      <vt:lpstr>Hold Sheet-Potrait</vt:lpstr>
      <vt:lpstr>Index</vt:lpstr>
      <vt:lpstr>Sheet 1</vt:lpstr>
      <vt:lpstr>Sheet 2</vt:lpstr>
      <vt:lpstr>Sheet 3</vt:lpstr>
      <vt:lpstr>Sheet 4</vt:lpstr>
      <vt:lpstr>Sheet 5</vt:lpstr>
      <vt:lpstr>Sheet 6</vt:lpstr>
      <vt:lpstr>Sheet 7</vt:lpstr>
      <vt:lpstr>Sheet 8</vt:lpstr>
      <vt:lpstr>Sheet 9</vt:lpstr>
      <vt:lpstr>Sheet 10</vt:lpstr>
      <vt:lpstr>Sheet 11</vt:lpstr>
      <vt:lpstr>Sheet 12</vt:lpstr>
      <vt:lpstr>Sheet 13</vt:lpstr>
      <vt:lpstr>Annex-1</vt:lpstr>
      <vt:lpstr>Portrait Page</vt:lpstr>
      <vt:lpstr>Earth Pit Count</vt:lpstr>
      <vt:lpstr>'Annex-1'!myrange</vt:lpstr>
      <vt:lpstr>Index!myrange</vt:lpstr>
      <vt:lpstr>'Sheet 10'!myrange</vt:lpstr>
      <vt:lpstr>'Sheet 11'!myrange</vt:lpstr>
      <vt:lpstr>'Sheet 12'!myrange</vt:lpstr>
      <vt:lpstr>'Sheet 13'!myrange</vt:lpstr>
      <vt:lpstr>'Sheet 2'!myrange</vt:lpstr>
      <vt:lpstr>'Sheet 3'!myrange</vt:lpstr>
      <vt:lpstr>'Sheet 4'!myrange</vt:lpstr>
      <vt:lpstr>'Sheet 5'!myrange</vt:lpstr>
      <vt:lpstr>'Sheet 6'!myrange</vt:lpstr>
      <vt:lpstr>'Sheet 7'!myrange</vt:lpstr>
      <vt:lpstr>'Sheet 8'!myrange</vt:lpstr>
      <vt:lpstr>'Sheet 9'!myrange</vt:lpstr>
      <vt:lpstr>myrange</vt:lpstr>
      <vt:lpstr>'Annex-1'!Print_Area</vt:lpstr>
      <vt:lpstr>'Front Sheet-Potrait'!Print_Area</vt:lpstr>
      <vt:lpstr>'Hold Sheet-Potrait'!Print_Area</vt:lpstr>
      <vt:lpstr>Index!Print_Area</vt:lpstr>
      <vt:lpstr>'Portrait Page'!Print_Area</vt:lpstr>
      <vt:lpstr>'Sheet 1'!Print_Area</vt:lpstr>
      <vt:lpstr>'Sheet 10'!Print_Area</vt:lpstr>
      <vt:lpstr>'Sheet 11'!Print_Area</vt:lpstr>
      <vt:lpstr>'Sheet 12'!Print_Area</vt:lpstr>
      <vt:lpstr>'Sheet 13'!Print_Area</vt:lpstr>
      <vt:lpstr>'Sheet 2'!Print_Area</vt:lpstr>
      <vt:lpstr>'Sheet 3'!Print_Area</vt:lpstr>
      <vt:lpstr>'Sheet 4'!Print_Area</vt:lpstr>
      <vt:lpstr>'Sheet 5'!Print_Area</vt:lpstr>
      <vt:lpstr>'Sheet 6'!Print_Area</vt:lpstr>
      <vt:lpstr>'Sheet 7'!Print_Area</vt:lpstr>
      <vt:lpstr>'Sheet 8'!Print_Area</vt:lpstr>
      <vt:lpstr>'Sheet 9'!Print_Area</vt:lpstr>
      <vt:lpstr>'Annex-1'!Print_Titles</vt:lpstr>
      <vt:lpstr>Index!Print_Titles</vt:lpstr>
      <vt:lpstr>'Sheet 1'!Print_Titles</vt:lpstr>
      <vt:lpstr>'Sheet 10'!Print_Titles</vt:lpstr>
      <vt:lpstr>'Sheet 11'!Print_Titles</vt:lpstr>
      <vt:lpstr>'Sheet 13'!Print_Titles</vt:lpstr>
      <vt:lpstr>'Sheet 2'!Print_Titles</vt:lpstr>
      <vt:lpstr>'Sheet 3'!Print_Titles</vt:lpstr>
      <vt:lpstr>'Sheet 4'!Print_Titles</vt:lpstr>
      <vt:lpstr>'Sheet 5'!Print_Titles</vt:lpstr>
      <vt:lpstr>'Sheet 6'!Print_Titles</vt:lpstr>
      <vt:lpstr>'Sheet 7'!Print_Titles</vt:lpstr>
      <vt:lpstr>'Sheet 8'!Print_Titles</vt:lpstr>
      <vt:lpstr>'Sheet 9'!Print_Titles</vt:lpstr>
    </vt:vector>
  </TitlesOfParts>
  <Company>Jacobs Process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Specification Template</dc:title>
  <dc:creator>Debby Giles</dc:creator>
  <cp:lastModifiedBy>Ankesh Mishra</cp:lastModifiedBy>
  <cp:lastPrinted>2015-08-28T10:35:54Z</cp:lastPrinted>
  <dcterms:created xsi:type="dcterms:W3CDTF">2011-05-31T07:06:00Z</dcterms:created>
  <dcterms:modified xsi:type="dcterms:W3CDTF">2025-03-19T08:04:15Z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Discipline">
    <vt:lpwstr>22</vt:lpwstr>
  </property>
  <property fmtid="{D5CDD505-2E9C-101B-9397-08002B2CF9AE}" pid="4" name="Location">
    <vt:lpwstr>2</vt:lpwstr>
  </property>
  <property fmtid="{D5CDD505-2E9C-101B-9397-08002B2CF9AE}" pid="5" name="Creation Date">
    <vt:lpwstr>2009-10-19T00:00:00Z</vt:lpwstr>
  </property>
  <property fmtid="{D5CDD505-2E9C-101B-9397-08002B2CF9AE}" pid="6" name="Withdrawn">
    <vt:lpwstr>0</vt:lpwstr>
  </property>
  <property fmtid="{D5CDD505-2E9C-101B-9397-08002B2CF9AE}" pid="7" name="Revision">
    <vt:lpwstr>1</vt:lpwstr>
  </property>
  <property fmtid="{D5CDD505-2E9C-101B-9397-08002B2CF9AE}" pid="8" name="Doc Type">
    <vt:lpwstr>23</vt:lpwstr>
  </property>
  <property fmtid="{D5CDD505-2E9C-101B-9397-08002B2CF9AE}" pid="9" name="Issue Date">
    <vt:lpwstr>2011-07-06T00:00:00Z</vt:lpwstr>
  </property>
</Properties>
</file>