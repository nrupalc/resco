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ANKESH MISHRA\@FLASYS\Sales\@Online Selling Service\Solar Documents Bundle\@Ready to Deliver\"/>
    </mc:Choice>
  </mc:AlternateContent>
  <xr:revisionPtr revIDLastSave="0" documentId="13_ncr:1_{F8D33CA1-D1CB-4E3C-9505-24AFA3A57C22}" xr6:coauthVersionLast="47" xr6:coauthVersionMax="47" xr10:uidLastSave="{00000000-0000-0000-0000-000000000000}"/>
  <bookViews>
    <workbookView xWindow="-108" yWindow="-108" windowWidth="23256" windowHeight="12456" xr2:uid="{FECB6728-09C9-4046-9352-FE81E7F06E6D}"/>
  </bookViews>
  <sheets>
    <sheet name="1000A" sheetId="1" r:id="rId1"/>
    <sheet name="630A" sheetId="2" r:id="rId2"/>
    <sheet name="800A" sheetId="3" r:id="rId3"/>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0" i="3" l="1"/>
  <c r="D99" i="3"/>
  <c r="D79" i="3"/>
  <c r="D83" i="3" s="1"/>
  <c r="D84" i="3" s="1"/>
  <c r="D88" i="3" s="1"/>
  <c r="D93" i="3" s="1"/>
  <c r="D94" i="3" s="1"/>
  <c r="D74" i="3"/>
  <c r="D71" i="3"/>
  <c r="D58" i="3"/>
  <c r="D73" i="3" s="1"/>
  <c r="D98" i="3" s="1"/>
  <c r="D46" i="3"/>
  <c r="D48" i="3" s="1"/>
  <c r="D49" i="3" s="1"/>
  <c r="D27" i="3"/>
  <c r="D51" i="3" s="1"/>
  <c r="D26" i="3"/>
  <c r="D100" i="2"/>
  <c r="D99" i="2"/>
  <c r="D79" i="2"/>
  <c r="D83" i="2" s="1"/>
  <c r="D84" i="2" s="1"/>
  <c r="D88" i="2" s="1"/>
  <c r="D93" i="2" s="1"/>
  <c r="D94" i="2" s="1"/>
  <c r="D74" i="2"/>
  <c r="D71" i="2"/>
  <c r="D58" i="2"/>
  <c r="D73" i="2" s="1"/>
  <c r="D98" i="2" s="1"/>
  <c r="D51" i="2"/>
  <c r="D46" i="2"/>
  <c r="D48" i="2" s="1"/>
  <c r="D49" i="2" s="1"/>
  <c r="D27" i="2"/>
  <c r="D26" i="2"/>
  <c r="D100" i="1"/>
  <c r="D99" i="1"/>
  <c r="D83" i="1"/>
  <c r="D84" i="1" s="1"/>
  <c r="D88" i="1" s="1"/>
  <c r="D93" i="1" s="1"/>
  <c r="D94" i="1" s="1"/>
  <c r="D79" i="1"/>
  <c r="D74" i="1"/>
  <c r="D71" i="1"/>
  <c r="D58" i="1"/>
  <c r="D73" i="1" s="1"/>
  <c r="D98" i="1" s="1"/>
  <c r="D46" i="1"/>
  <c r="D48" i="1" s="1"/>
  <c r="D49" i="1" s="1"/>
  <c r="D27" i="1"/>
  <c r="D51" i="1" s="1"/>
  <c r="D26" i="1"/>
  <c r="D103" i="3" l="1"/>
  <c r="D104" i="3" s="1"/>
  <c r="D103" i="2"/>
  <c r="D104" i="2" s="1"/>
  <c r="D103" i="1"/>
  <c r="D104" i="1" s="1"/>
</calcChain>
</file>

<file path=xl/sharedStrings.xml><?xml version="1.0" encoding="utf-8"?>
<sst xmlns="http://schemas.openxmlformats.org/spreadsheetml/2006/main" count="690" uniqueCount="167">
  <si>
    <t>1000 A MCC BUSBAR SIZING CALCULATION</t>
  </si>
  <si>
    <t>PROJECT</t>
  </si>
  <si>
    <t>30 MW POWER PLANT</t>
  </si>
  <si>
    <t>Revision :</t>
  </si>
  <si>
    <t>CLIENT</t>
  </si>
  <si>
    <t xml:space="preserve">Date : </t>
  </si>
  <si>
    <t>CONSULTANT</t>
  </si>
  <si>
    <t xml:space="preserve">No. of Sheet - </t>
  </si>
  <si>
    <t>EPC CONTRACTOR</t>
  </si>
  <si>
    <t>Document ID</t>
  </si>
  <si>
    <t>Input Data</t>
  </si>
  <si>
    <t>Type of Panel</t>
  </si>
  <si>
    <t>:</t>
  </si>
  <si>
    <t>Cubical Type</t>
  </si>
  <si>
    <t>System</t>
  </si>
  <si>
    <t>3PH ,3 Wire / 4 Wire</t>
  </si>
  <si>
    <t>Rated Voltage</t>
  </si>
  <si>
    <t>415V</t>
  </si>
  <si>
    <t>degree of Protection</t>
  </si>
  <si>
    <t>50 Hz.</t>
  </si>
  <si>
    <t>Panel Max. Current Rating in Amp (Design)</t>
  </si>
  <si>
    <t>Fault Current &amp; Duration (KA RMS Symmetrical for 1 Sec.)</t>
  </si>
  <si>
    <t>Ambient Temperature (Deg. C.)</t>
  </si>
  <si>
    <t>Maximum Bus bar Temperature  (Deg. C.)</t>
  </si>
  <si>
    <t>Maximum Enclosure Temperature  (Deg. C.)</t>
  </si>
  <si>
    <t>Degree of Protection</t>
  </si>
  <si>
    <t>IP: 52 &amp; IP: 42 for ACB Incomer</t>
  </si>
  <si>
    <t>Bus bar Size for Phase</t>
  </si>
  <si>
    <t>1 x 1 x 125 x 10 MM</t>
  </si>
  <si>
    <t>Bus bar Size for Neutral</t>
  </si>
  <si>
    <t>1 x 125 x 06 MM</t>
  </si>
  <si>
    <t>No. of Runs</t>
  </si>
  <si>
    <t>No. of times Interleaved</t>
  </si>
  <si>
    <t>Width of Bus Bar in mm</t>
  </si>
  <si>
    <t>Thickness of Bus Bar in mm</t>
  </si>
  <si>
    <t>Bus bar cross section for Neutral in Sq.mm</t>
  </si>
  <si>
    <t>Cross section of Bus bar Selected in Sq. mm</t>
  </si>
  <si>
    <t>Type of Insulator</t>
  </si>
  <si>
    <t>SMC support with ribbed construction</t>
  </si>
  <si>
    <t>Basic Insulation Level:</t>
  </si>
  <si>
    <t>a</t>
  </si>
  <si>
    <t>One Minute Power Frequency voltage</t>
  </si>
  <si>
    <t>2.5KV RMS</t>
  </si>
  <si>
    <t>Painting:</t>
  </si>
  <si>
    <t>a. Enclosure Interior &amp; Exterior</t>
  </si>
  <si>
    <t>Epoxy paint RAL-7032, Siemens Grey</t>
  </si>
  <si>
    <t>b. Bus bar</t>
  </si>
  <si>
    <t>Heat Shrinkable Sleeved.</t>
  </si>
  <si>
    <t>Minimum Clearance:</t>
  </si>
  <si>
    <t>a. Phase to Phase</t>
  </si>
  <si>
    <t>25 mm</t>
  </si>
  <si>
    <t>b. Phase to Earth</t>
  </si>
  <si>
    <t>20 mm</t>
  </si>
  <si>
    <t>Applicable Standard</t>
  </si>
  <si>
    <t>IS: 8623 Construction</t>
  </si>
  <si>
    <t>IS : 5082 Bus bar</t>
  </si>
  <si>
    <t>IP: 54 for Indoor &amp; IP: 55 for Outdoor</t>
  </si>
  <si>
    <t>Span Between 2 support</t>
  </si>
  <si>
    <t>0.5mtr. (500mm)</t>
  </si>
  <si>
    <t>Bus duct Sizing Calculation for MCC</t>
  </si>
  <si>
    <t>Short Time Thermal Withstand Capability of Bus bar</t>
  </si>
  <si>
    <t>Minimum Cross Sectional Area of Busbar (A) In Sq. Inches</t>
  </si>
  <si>
    <t>=</t>
  </si>
  <si>
    <r>
      <t xml:space="preserve"> ( Isc / √T ) / {14 x 10</t>
    </r>
    <r>
      <rPr>
        <sz val="12"/>
        <color rgb="FF000000"/>
        <rFont val="Calibri"/>
        <family val="2"/>
      </rPr>
      <t>⁴</t>
    </r>
    <r>
      <rPr>
        <sz val="10.15"/>
        <color rgb="FF000000"/>
        <rFont val="Times New Roman"/>
        <family val="1"/>
      </rPr>
      <t xml:space="preserve"> √log</t>
    </r>
    <r>
      <rPr>
        <sz val="10.15"/>
        <color rgb="FF000000"/>
        <rFont val="Calibri"/>
        <family val="2"/>
      </rPr>
      <t>₁</t>
    </r>
    <r>
      <rPr>
        <sz val="8.65"/>
        <color rgb="FF000000"/>
        <rFont val="Calibri"/>
        <family val="2"/>
      </rPr>
      <t>₀</t>
    </r>
    <r>
      <rPr>
        <sz val="7.4"/>
        <color rgb="FF000000"/>
        <rFont val="Times New Roman"/>
        <family val="1"/>
      </rPr>
      <t xml:space="preserve">  </t>
    </r>
    <r>
      <rPr>
        <sz val="12"/>
        <color rgb="FF000000"/>
        <rFont val="Times New Roman"/>
        <family val="1"/>
      </rPr>
      <t>[T1 +258)/(T2+258)]</t>
    </r>
    <r>
      <rPr>
        <sz val="7.4"/>
        <color rgb="FF000000"/>
        <rFont val="Times New Roman"/>
        <family val="1"/>
      </rPr>
      <t xml:space="preserve"> </t>
    </r>
    <r>
      <rPr>
        <sz val="12"/>
        <color rgb="FF000000"/>
        <rFont val="Times New Roman"/>
        <family val="1"/>
      </rPr>
      <t>}</t>
    </r>
  </si>
  <si>
    <t>Isc = Short Circuit Symmetrical Fault Current in KA</t>
  </si>
  <si>
    <t>T = Fault duration in Sec</t>
  </si>
  <si>
    <t>T1 = Initial Temperature of Busbar in Deg.C</t>
  </si>
  <si>
    <t>T2 = Final Temperature in Deg.C</t>
  </si>
  <si>
    <t>A = Cross sectional area of busbar in Sq.inches</t>
  </si>
  <si>
    <t>A in sq.mm = A x 645.16</t>
  </si>
  <si>
    <t>Required cross sectional Area</t>
  </si>
  <si>
    <t xml:space="preserve">650.226 Sq.mm for pure aluminium.     </t>
  </si>
  <si>
    <t>Actual Cross section of Bus bar Selected (As per Clause1.13) in Sq.mm</t>
  </si>
  <si>
    <r>
      <t xml:space="preserve"> </t>
    </r>
    <r>
      <rPr>
        <b/>
        <sz val="12"/>
        <color rgb="FF000000"/>
        <rFont val="Times New Roman"/>
        <family val="1"/>
      </rPr>
      <t xml:space="preserve">Conclusion: Conclusion: Conclusion: </t>
    </r>
    <r>
      <rPr>
        <b/>
        <sz val="12"/>
        <color rgb="FF000000"/>
        <rFont val="Times New Roman"/>
        <family val="1"/>
      </rPr>
      <t>Conclusion:</t>
    </r>
  </si>
  <si>
    <t>The required cross section 650.226 Sq.mm is less than actual cross section 1250 Sq.mm of the bus bar selected. Hence, the bus bar size chosen is safe for the envisaged system.</t>
  </si>
  <si>
    <t>Bus bar Selection for Continuous Current Rating :</t>
  </si>
  <si>
    <t>Bus bar Selected</t>
  </si>
  <si>
    <t>As per Clause1.11</t>
  </si>
  <si>
    <t>Open air rating of bus bar for 50 Deg. C rise over ambient in Amps.</t>
  </si>
  <si>
    <t>No. of times Interleaved (As per Clause1.11)</t>
  </si>
  <si>
    <t>1 x 1850</t>
  </si>
  <si>
    <t>Overall Rating of Bus Bar in Amps.</t>
  </si>
  <si>
    <t>Phase spacing in mm.</t>
  </si>
  <si>
    <t xml:space="preserve"> Enclosed Size in (W x D x H ) mm</t>
  </si>
  <si>
    <t>5500 x 800 x 2400 mm</t>
  </si>
  <si>
    <t>Bus bar Enclosed in (W x D ) mm</t>
  </si>
  <si>
    <t>800 x 400 mm</t>
  </si>
  <si>
    <t>Design Ambient Temperature</t>
  </si>
  <si>
    <t>50 Deg. C</t>
  </si>
  <si>
    <t>Maximum allowable temp. rise</t>
  </si>
  <si>
    <t>35 Deg. C</t>
  </si>
  <si>
    <t>Enclosure Material</t>
  </si>
  <si>
    <t>MS Steel</t>
  </si>
  <si>
    <t>De-rating / Up rating:</t>
  </si>
  <si>
    <t>Ambient correction factor for 35 Deg. Rise</t>
  </si>
  <si>
    <t>b</t>
  </si>
  <si>
    <t>Enclosure correction factor corresponding to bus bar</t>
  </si>
  <si>
    <t>c</t>
  </si>
  <si>
    <t>Enclosure Correction factor Material (MS)</t>
  </si>
  <si>
    <t>d</t>
  </si>
  <si>
    <t>Proximity Effect Factor</t>
  </si>
  <si>
    <t>e</t>
  </si>
  <si>
    <t>Bus bar Configuration Factor</t>
  </si>
  <si>
    <t>g</t>
  </si>
  <si>
    <t>Combined Correction Factor</t>
  </si>
  <si>
    <t>De-rated Current rating of bus bar after applying Correction factor in Amps.</t>
  </si>
  <si>
    <t>1850 x 0.67</t>
  </si>
  <si>
    <t>Rating of Panel required (As per Clause 1.5)</t>
  </si>
  <si>
    <t>Conclusion :</t>
  </si>
  <si>
    <t>The de-rated Current  rating 1238.51 amp of Panel selected is more than the required current rating 1000 amp of Bus duct Bus bar. Hence, the bus bar size chosen is safe for the envisaged system.</t>
  </si>
  <si>
    <t>Support Insulator Span Calculation During Short Circuit</t>
  </si>
  <si>
    <t xml:space="preserve">Fm = Peak Electromagnetic force along the centre line of busbar without enclosure  </t>
  </si>
  <si>
    <r>
      <t>K x 16 x Isc</t>
    </r>
    <r>
      <rPr>
        <sz val="12"/>
        <color rgb="FF000000"/>
        <rFont val="Calibri"/>
        <family val="2"/>
      </rPr>
      <t>²</t>
    </r>
    <r>
      <rPr>
        <sz val="10.15"/>
        <color rgb="FF000000"/>
        <rFont val="Times New Roman"/>
        <family val="1"/>
      </rPr>
      <t xml:space="preserve"> x 10</t>
    </r>
    <r>
      <rPr>
        <sz val="10.15"/>
        <color rgb="FF000000"/>
        <rFont val="Calibri"/>
        <family val="2"/>
      </rPr>
      <t>⁻⁴</t>
    </r>
    <r>
      <rPr>
        <sz val="8.65"/>
        <color rgb="FF000000"/>
        <rFont val="Times New Roman"/>
        <family val="1"/>
      </rPr>
      <t xml:space="preserve"> </t>
    </r>
    <r>
      <rPr>
        <sz val="12"/>
        <color rgb="FF000000"/>
        <rFont val="Times New Roman"/>
        <family val="1"/>
      </rPr>
      <t>/ S</t>
    </r>
  </si>
  <si>
    <t>S = Phase spacing in Meter</t>
  </si>
  <si>
    <t>K = Multiplying factor (s-a)/(a+b)</t>
  </si>
  <si>
    <r>
      <t>corresponding to</t>
    </r>
    <r>
      <rPr>
        <u/>
        <sz val="12"/>
        <color rgb="FF000000"/>
        <rFont val="Times New Roman"/>
        <family val="1"/>
      </rPr>
      <t xml:space="preserve"> a </t>
    </r>
    <r>
      <rPr>
        <sz val="12"/>
        <color rgb="FF000000"/>
        <rFont val="Times New Roman"/>
        <family val="1"/>
      </rPr>
      <t xml:space="preserve"> that is </t>
    </r>
    <r>
      <rPr>
        <u/>
        <sz val="12"/>
        <color rgb="FF000000"/>
        <rFont val="Times New Roman"/>
        <family val="1"/>
      </rPr>
      <t>60</t>
    </r>
    <r>
      <rPr>
        <sz val="12"/>
        <color rgb="FF000000"/>
        <rFont val="Times New Roman"/>
        <family val="1"/>
      </rPr>
      <t xml:space="preserve"> corresponding to</t>
    </r>
    <r>
      <rPr>
        <u/>
        <sz val="12"/>
        <color rgb="FF000000"/>
        <rFont val="Times New Roman"/>
        <family val="1"/>
      </rPr>
      <t xml:space="preserve"> </t>
    </r>
    <r>
      <rPr>
        <u/>
        <sz val="12"/>
        <color rgb="FF000000"/>
        <rFont val="Times New Roman"/>
        <family val="1"/>
      </rPr>
      <t xml:space="preserve">a </t>
    </r>
    <r>
      <rPr>
        <sz val="12"/>
        <color rgb="FF000000"/>
        <rFont val="Times New Roman"/>
        <family val="1"/>
      </rPr>
      <t xml:space="preserve"> that is </t>
    </r>
    <r>
      <rPr>
        <u/>
        <sz val="12"/>
        <color rgb="FF000000"/>
        <rFont val="Times New Roman"/>
        <family val="1"/>
      </rPr>
      <t>60</t>
    </r>
  </si>
  <si>
    <t>0.4 (Reffering to curve K is 0.9)</t>
  </si>
  <si>
    <r>
      <t>Fm (Nm / cm</t>
    </r>
    <r>
      <rPr>
        <sz val="12"/>
        <color rgb="FF000000"/>
        <rFont val="Calibri"/>
        <family val="2"/>
      </rPr>
      <t>²</t>
    </r>
    <r>
      <rPr>
        <sz val="10.15"/>
        <color rgb="FF000000"/>
        <rFont val="Times New Roman"/>
        <family val="1"/>
      </rPr>
      <t xml:space="preserve"> )Fm (Nm / cm</t>
    </r>
    <r>
      <rPr>
        <sz val="12"/>
        <color rgb="FF000000"/>
        <rFont val="Calibri"/>
        <family val="2"/>
      </rPr>
      <t>²</t>
    </r>
    <r>
      <rPr>
        <sz val="10.15"/>
        <color rgb="FF000000"/>
        <rFont val="Times New Roman"/>
        <family val="1"/>
      </rPr>
      <t xml:space="preserve"> )</t>
    </r>
  </si>
  <si>
    <r>
      <t>Fm ( Kg / cm</t>
    </r>
    <r>
      <rPr>
        <sz val="12"/>
        <color rgb="FF000000"/>
        <rFont val="Calibri"/>
        <family val="2"/>
      </rPr>
      <t>²</t>
    </r>
    <r>
      <rPr>
        <sz val="10.15"/>
        <color rgb="FF000000"/>
        <rFont val="Times New Roman"/>
        <family val="1"/>
      </rPr>
      <t xml:space="preserve"> ) = (Fm x 0.1019716)Fm ( Kg / cm</t>
    </r>
    <r>
      <rPr>
        <sz val="12"/>
        <color rgb="FF000000"/>
        <rFont val="Calibri"/>
        <family val="2"/>
      </rPr>
      <t>²</t>
    </r>
    <r>
      <rPr>
        <sz val="10.15"/>
        <color rgb="FF000000"/>
        <rFont val="Times New Roman"/>
        <family val="1"/>
      </rPr>
      <t xml:space="preserve"> ) </t>
    </r>
    <r>
      <rPr>
        <sz val="10.15"/>
        <color rgb="FF000000"/>
        <rFont val="Times New Roman"/>
        <family val="1"/>
      </rPr>
      <t>= (Fm x 0.1019716)</t>
    </r>
  </si>
  <si>
    <t>F = Force acting on top of the insulator</t>
  </si>
  <si>
    <t>Fm (H+h)/4H</t>
  </si>
  <si>
    <t>Where,  H = Cantilever Height of insulator in mm</t>
  </si>
  <si>
    <t>h = Distance between surface of insulator to centre of Bus bar in mm</t>
  </si>
  <si>
    <t>F</t>
  </si>
  <si>
    <t>Average span to be addopted in mm</t>
  </si>
  <si>
    <t>Cantilever Strength of insulator / safety factor x F</t>
  </si>
  <si>
    <t>Sk / (SF x F )</t>
  </si>
  <si>
    <r>
      <t>S</t>
    </r>
    <r>
      <rPr>
        <vertAlign val="subscript"/>
        <sz val="12"/>
        <color rgb="FF000000"/>
        <rFont val="Times New Roman"/>
        <family val="1"/>
      </rPr>
      <t>K</t>
    </r>
    <r>
      <rPr>
        <sz val="12"/>
        <color rgb="FF000000"/>
        <rFont val="Times New Roman"/>
        <family val="1"/>
      </rPr>
      <t xml:space="preserve"> = Cantilever strength of insulator(Kg/cm²)S</t>
    </r>
    <r>
      <rPr>
        <vertAlign val="subscript"/>
        <sz val="12"/>
        <color rgb="FF000000"/>
        <rFont val="Times New Roman"/>
        <family val="1"/>
      </rPr>
      <t>K</t>
    </r>
    <r>
      <rPr>
        <sz val="12"/>
        <color rgb="FF000000"/>
        <rFont val="Times New Roman"/>
        <family val="1"/>
      </rPr>
      <t xml:space="preserve"> = Cantilever strength of insulator(Kg/cm²)</t>
    </r>
  </si>
  <si>
    <t>SF = Safety factor</t>
  </si>
  <si>
    <t>Length of Span of insulator in mm</t>
  </si>
  <si>
    <t xml:space="preserve">                                    Adopted Span is</t>
  </si>
  <si>
    <t>Conclusion:</t>
  </si>
  <si>
    <t>Average span of 586.278 mm is required but span adopted is 500 mm, hence it is safe for the system envisaged.</t>
  </si>
  <si>
    <t>Temperature Rise Calculation</t>
  </si>
  <si>
    <r>
      <t xml:space="preserve">         Where,  I</t>
    </r>
    <r>
      <rPr>
        <vertAlign val="subscript"/>
        <sz val="12"/>
        <color rgb="FF000000"/>
        <rFont val="Times New Roman"/>
        <family val="1"/>
      </rPr>
      <t>1</t>
    </r>
    <r>
      <rPr>
        <sz val="12"/>
        <color rgb="FF000000"/>
        <rFont val="Times New Roman"/>
        <family val="1"/>
      </rPr>
      <t>=Calculated Rating in Amps (After deration) As per Clause 3.19</t>
    </r>
  </si>
  <si>
    <r>
      <t xml:space="preserve">  I</t>
    </r>
    <r>
      <rPr>
        <vertAlign val="subscript"/>
        <sz val="12"/>
        <color rgb="FF000000"/>
        <rFont val="Times New Roman"/>
        <family val="1"/>
      </rPr>
      <t>2</t>
    </r>
    <r>
      <rPr>
        <sz val="12"/>
        <color rgb="FF000000"/>
        <rFont val="Times New Roman"/>
        <family val="1"/>
      </rPr>
      <t xml:space="preserve"> = Specified Rating in Amps as per clause 1.5</t>
    </r>
  </si>
  <si>
    <r>
      <t xml:space="preserve"> T</t>
    </r>
    <r>
      <rPr>
        <vertAlign val="subscript"/>
        <sz val="12"/>
        <color rgb="FF000000"/>
        <rFont val="Times New Roman"/>
        <family val="1"/>
      </rPr>
      <t>1</t>
    </r>
    <r>
      <rPr>
        <sz val="12"/>
        <color rgb="FF000000"/>
        <rFont val="Times New Roman"/>
        <family val="1"/>
      </rPr>
      <t xml:space="preserve"> = Max. Temp. Rise (in Deg.C) Specified</t>
    </r>
  </si>
  <si>
    <r>
      <t xml:space="preserve"> T</t>
    </r>
    <r>
      <rPr>
        <vertAlign val="subscript"/>
        <sz val="12"/>
        <color rgb="FF000000"/>
        <rFont val="Times New Roman"/>
        <family val="1"/>
      </rPr>
      <t>2</t>
    </r>
    <r>
      <rPr>
        <sz val="12"/>
        <color rgb="FF000000"/>
        <rFont val="Times New Roman"/>
        <family val="1"/>
      </rPr>
      <t xml:space="preserve"> = Temp. Rise in Deg. C to be calculated as</t>
    </r>
  </si>
  <si>
    <r>
      <t>( I</t>
    </r>
    <r>
      <rPr>
        <vertAlign val="subscript"/>
        <sz val="12"/>
        <color rgb="FF000000"/>
        <rFont val="Times New Roman"/>
        <family val="1"/>
      </rPr>
      <t>1</t>
    </r>
    <r>
      <rPr>
        <sz val="12"/>
        <color rgb="FF000000"/>
        <rFont val="Times New Roman"/>
        <family val="1"/>
      </rPr>
      <t xml:space="preserve"> / I</t>
    </r>
    <r>
      <rPr>
        <vertAlign val="subscript"/>
        <sz val="12"/>
        <color rgb="FF000000"/>
        <rFont val="Times New Roman"/>
        <family val="1"/>
      </rPr>
      <t>2</t>
    </r>
    <r>
      <rPr>
        <sz val="12"/>
        <color rgb="FF000000"/>
        <rFont val="Times New Roman"/>
        <family val="1"/>
      </rPr>
      <t xml:space="preserve"> ) = ( T</t>
    </r>
    <r>
      <rPr>
        <vertAlign val="subscript"/>
        <sz val="12"/>
        <color rgb="FF000000"/>
        <rFont val="Times New Roman"/>
        <family val="1"/>
      </rPr>
      <t>1</t>
    </r>
    <r>
      <rPr>
        <sz val="12"/>
        <color rgb="FF000000"/>
        <rFont val="Times New Roman"/>
        <family val="1"/>
      </rPr>
      <t xml:space="preserve"> / T</t>
    </r>
    <r>
      <rPr>
        <vertAlign val="subscript"/>
        <sz val="12"/>
        <color rgb="FF000000"/>
        <rFont val="Times New Roman"/>
        <family val="1"/>
      </rPr>
      <t>2</t>
    </r>
    <r>
      <rPr>
        <vertAlign val="superscript"/>
        <sz val="12"/>
        <color rgb="FF000000"/>
        <rFont val="Times New Roman"/>
        <family val="1"/>
      </rPr>
      <t>)0.61</t>
    </r>
  </si>
  <si>
    <t>T2</t>
  </si>
  <si>
    <r>
      <t>T</t>
    </r>
    <r>
      <rPr>
        <vertAlign val="subscript"/>
        <sz val="12"/>
        <color rgb="FF000000"/>
        <rFont val="Times New Roman"/>
        <family val="1"/>
      </rPr>
      <t>1</t>
    </r>
    <r>
      <rPr>
        <sz val="12"/>
        <color rgb="FF000000"/>
        <rFont val="Times New Roman"/>
        <family val="1"/>
      </rPr>
      <t xml:space="preserve"> / (I</t>
    </r>
    <r>
      <rPr>
        <vertAlign val="subscript"/>
        <sz val="12"/>
        <color rgb="FF000000"/>
        <rFont val="Times New Roman"/>
        <family val="1"/>
      </rPr>
      <t xml:space="preserve">1 / </t>
    </r>
    <r>
      <rPr>
        <sz val="12"/>
        <color rgb="FF000000"/>
        <rFont val="Times New Roman"/>
        <family val="1"/>
      </rPr>
      <t>I</t>
    </r>
    <r>
      <rPr>
        <vertAlign val="subscript"/>
        <sz val="12"/>
        <color rgb="FF000000"/>
        <rFont val="Times New Roman"/>
        <family val="1"/>
      </rPr>
      <t xml:space="preserve">2 </t>
    </r>
    <r>
      <rPr>
        <sz val="12"/>
        <color rgb="FF000000"/>
        <rFont val="Times New Roman"/>
        <family val="1"/>
      </rPr>
      <t>)</t>
    </r>
    <r>
      <rPr>
        <vertAlign val="superscript"/>
        <sz val="12"/>
        <color rgb="FF000000"/>
        <rFont val="Times New Roman"/>
        <family val="1"/>
      </rPr>
      <t>1.64</t>
    </r>
  </si>
  <si>
    <t xml:space="preserve">                  Calculated Temperature is</t>
  </si>
  <si>
    <t>The Calculated Temperature rise of bus bar is 24.64 Deg. C, which is within the design Specified Temp. 35 Deg. C and it is safe for the System envisaged.</t>
  </si>
  <si>
    <t>630 A MCC BUSBAR SIZING CALCULATION</t>
  </si>
  <si>
    <t xml:space="preserve">Revision : </t>
  </si>
  <si>
    <t>Date :</t>
  </si>
  <si>
    <t>1 x 1 x 75 x 12 MM</t>
  </si>
  <si>
    <t>1 x 75 x 06 MM</t>
  </si>
  <si>
    <r>
      <t xml:space="preserve"> ( Isc / √T ) / {14 x 10</t>
    </r>
    <r>
      <rPr>
        <sz val="12"/>
        <color rgb="FF000000"/>
        <rFont val="Calibri"/>
        <family val="2"/>
      </rPr>
      <t>⁴</t>
    </r>
    <r>
      <rPr>
        <sz val="10.15"/>
        <color rgb="FF000000"/>
        <rFont val="Times New Roman"/>
        <family val="1"/>
      </rPr>
      <t xml:space="preserve"> √log</t>
    </r>
    <r>
      <rPr>
        <sz val="10.15"/>
        <color rgb="FF000000"/>
        <rFont val="Calibri"/>
        <family val="2"/>
      </rPr>
      <t>₁</t>
    </r>
    <r>
      <rPr>
        <sz val="8.65"/>
        <color rgb="FF000000"/>
        <rFont val="Calibri"/>
        <family val="2"/>
      </rPr>
      <t>₀</t>
    </r>
    <r>
      <rPr>
        <sz val="7.4"/>
        <color rgb="FF000000"/>
        <rFont val="Times New Roman"/>
        <family val="1"/>
      </rPr>
      <t xml:space="preserve">  </t>
    </r>
    <r>
      <rPr>
        <sz val="12"/>
        <color rgb="FF000000"/>
        <rFont val="Times New Roman"/>
        <family val="1"/>
      </rPr>
      <t>[T1 +258)/(T2+258)]</t>
    </r>
    <r>
      <rPr>
        <sz val="7.4"/>
        <color rgb="FF000000"/>
        <rFont val="Times New Roman"/>
        <family val="1"/>
      </rPr>
      <t xml:space="preserve"> </t>
    </r>
    <r>
      <rPr>
        <sz val="12"/>
        <color rgb="FF000000"/>
        <rFont val="Times New Roman"/>
        <family val="1"/>
      </rPr>
      <t>} ( Isc / √T ) / {14 x 10</t>
    </r>
    <r>
      <rPr>
        <sz val="12"/>
        <color rgb="FF000000"/>
        <rFont val="Calibri"/>
        <family val="2"/>
      </rPr>
      <t>⁴</t>
    </r>
    <r>
      <rPr>
        <sz val="10.15"/>
        <color rgb="FF000000"/>
        <rFont val="Times New Roman"/>
        <family val="1"/>
      </rPr>
      <t xml:space="preserve"> √log</t>
    </r>
    <r>
      <rPr>
        <sz val="10.15"/>
        <color rgb="FF000000"/>
        <rFont val="Calibri"/>
        <family val="2"/>
      </rPr>
      <t>₁</t>
    </r>
    <r>
      <rPr>
        <sz val="8.65"/>
        <color rgb="FF000000"/>
        <rFont val="Calibri"/>
        <family val="2"/>
      </rPr>
      <t>₀</t>
    </r>
    <r>
      <rPr>
        <sz val="7.4"/>
        <color rgb="FF000000"/>
        <rFont val="Times New Roman"/>
        <family val="1"/>
      </rPr>
      <t xml:space="preserve">  </t>
    </r>
    <r>
      <rPr>
        <sz val="12"/>
        <color rgb="FF000000"/>
        <rFont val="Times New Roman"/>
        <family val="1"/>
      </rPr>
      <t>[T1 +258)/(T2+258)]</t>
    </r>
    <r>
      <rPr>
        <sz val="7.4"/>
        <color rgb="FF000000"/>
        <rFont val="Times New Roman"/>
        <family val="1"/>
      </rPr>
      <t xml:space="preserve"> </t>
    </r>
    <r>
      <rPr>
        <sz val="12"/>
        <color rgb="FF000000"/>
        <rFont val="Times New Roman"/>
        <family val="1"/>
      </rPr>
      <t>} ( Isc / √T ) / {14 x 10</t>
    </r>
    <r>
      <rPr>
        <sz val="12"/>
        <color rgb="FF000000"/>
        <rFont val="Calibri"/>
        <family val="2"/>
      </rPr>
      <t>⁴</t>
    </r>
    <r>
      <rPr>
        <sz val="10.15"/>
        <color rgb="FF000000"/>
        <rFont val="Times New Roman"/>
        <family val="1"/>
      </rPr>
      <t xml:space="preserve"> √log</t>
    </r>
    <r>
      <rPr>
        <sz val="10.15"/>
        <color rgb="FF000000"/>
        <rFont val="Calibri"/>
        <family val="2"/>
      </rPr>
      <t>₁</t>
    </r>
    <r>
      <rPr>
        <sz val="8.65"/>
        <color rgb="FF000000"/>
        <rFont val="Calibri"/>
        <family val="2"/>
      </rPr>
      <t>₀</t>
    </r>
    <r>
      <rPr>
        <sz val="7.4"/>
        <color rgb="FF000000"/>
        <rFont val="Times New Roman"/>
        <family val="1"/>
      </rPr>
      <t xml:space="preserve"> </t>
    </r>
    <r>
      <rPr>
        <sz val="7.4"/>
        <color rgb="FF000000"/>
        <rFont val="Times New Roman"/>
        <family val="1"/>
      </rPr>
      <t xml:space="preserve"> </t>
    </r>
    <r>
      <rPr>
        <sz val="12"/>
        <color rgb="FF000000"/>
        <rFont val="Times New Roman"/>
        <family val="1"/>
      </rPr>
      <t>[T1 +258)/(T2+258)]</t>
    </r>
    <r>
      <rPr>
        <sz val="7.4"/>
        <color rgb="FF000000"/>
        <rFont val="Times New Roman"/>
        <family val="1"/>
      </rPr>
      <t xml:space="preserve"> </t>
    </r>
    <r>
      <rPr>
        <sz val="12"/>
        <color rgb="FF000000"/>
        <rFont val="Times New Roman"/>
        <family val="1"/>
      </rPr>
      <t>} ( Isc / √T ) / {14 x 10</t>
    </r>
    <r>
      <rPr>
        <sz val="12"/>
        <color rgb="FF000000"/>
        <rFont val="Calibri"/>
        <family val="2"/>
      </rPr>
      <t>⁴</t>
    </r>
    <r>
      <rPr>
        <sz val="10.15"/>
        <color rgb="FF000000"/>
        <rFont val="Times New Roman"/>
        <family val="1"/>
      </rPr>
      <t xml:space="preserve"> </t>
    </r>
    <r>
      <rPr>
        <sz val="10.15"/>
        <color rgb="FF000000"/>
        <rFont val="Times New Roman"/>
        <family val="1"/>
      </rPr>
      <t>√log</t>
    </r>
    <r>
      <rPr>
        <sz val="10.15"/>
        <color rgb="FF000000"/>
        <rFont val="Calibri"/>
        <family val="2"/>
      </rPr>
      <t>₁</t>
    </r>
    <r>
      <rPr>
        <sz val="8.65"/>
        <color rgb="FF000000"/>
        <rFont val="Calibri"/>
        <family val="2"/>
      </rPr>
      <t>₀</t>
    </r>
    <r>
      <rPr>
        <sz val="7.4"/>
        <color rgb="FF000000"/>
        <rFont val="Times New Roman"/>
        <family val="1"/>
      </rPr>
      <t xml:space="preserve">  </t>
    </r>
    <r>
      <rPr>
        <sz val="12"/>
        <color rgb="FF000000"/>
        <rFont val="Times New Roman"/>
        <family val="1"/>
      </rPr>
      <t>[T1 +258)/(T2+258)]</t>
    </r>
    <r>
      <rPr>
        <sz val="7.4"/>
        <color rgb="FF000000"/>
        <rFont val="Times New Roman"/>
        <family val="1"/>
      </rPr>
      <t xml:space="preserve"> </t>
    </r>
    <r>
      <rPr>
        <sz val="12"/>
        <color rgb="FF000000"/>
        <rFont val="Times New Roman"/>
        <family val="1"/>
      </rPr>
      <t>} ( Isc / √T ) / {14 x 10</t>
    </r>
    <r>
      <rPr>
        <sz val="12"/>
        <color rgb="FF000000"/>
        <rFont val="Calibri"/>
        <family val="2"/>
      </rPr>
      <t>⁴</t>
    </r>
    <r>
      <rPr>
        <sz val="10.15"/>
        <color rgb="FF000000"/>
        <rFont val="Times New Roman"/>
        <family val="1"/>
      </rPr>
      <t xml:space="preserve"> √log</t>
    </r>
    <r>
      <rPr>
        <sz val="10.15"/>
        <color rgb="FF000000"/>
        <rFont val="Calibri"/>
        <family val="2"/>
      </rPr>
      <t>₁</t>
    </r>
    <r>
      <rPr>
        <sz val="8.65"/>
        <color rgb="FF000000"/>
        <rFont val="Calibri"/>
        <family val="2"/>
      </rPr>
      <t>₀</t>
    </r>
    <r>
      <rPr>
        <sz val="7.4"/>
        <color rgb="FF000000"/>
        <rFont val="Times New Roman"/>
        <family val="1"/>
      </rPr>
      <t xml:space="preserve">  </t>
    </r>
    <r>
      <rPr>
        <sz val="12"/>
        <color rgb="FF000000"/>
        <rFont val="Times New Roman"/>
        <family val="1"/>
      </rPr>
      <t>[T1 +258)/(T2+258)]</t>
    </r>
    <r>
      <rPr>
        <sz val="7.4"/>
        <color rgb="FF000000"/>
        <rFont val="Times New Roman"/>
        <family val="1"/>
      </rPr>
      <t xml:space="preserve"> </t>
    </r>
    <r>
      <rPr>
        <sz val="12"/>
        <color rgb="FF000000"/>
        <rFont val="Times New Roman"/>
        <family val="1"/>
      </rPr>
      <t>}</t>
    </r>
  </si>
  <si>
    <t>The required cross section 650.226 Sq.mm is less than actual cross section 900 Sq.mm of the bus bar selected. Hence, the bus bar size chosen is safe for the envisaged system.</t>
  </si>
  <si>
    <t>1 x 1350</t>
  </si>
  <si>
    <t>7800 x 800 x 2400 mm</t>
  </si>
  <si>
    <t>1350 x 0.67</t>
  </si>
  <si>
    <t>The de-rated Current  rating 903.78 amp of Panel selected is more than the required current rating 630 amp of Bus duct Bus bar. Hence, the bus bar size chosen is safe for the envisaged system.</t>
  </si>
  <si>
    <r>
      <t>K x 16 x Isc</t>
    </r>
    <r>
      <rPr>
        <sz val="12"/>
        <color rgb="FF000000"/>
        <rFont val="Calibri"/>
        <family val="2"/>
      </rPr>
      <t>²</t>
    </r>
    <r>
      <rPr>
        <sz val="10.15"/>
        <color rgb="FF000000"/>
        <rFont val="Times New Roman"/>
        <family val="1"/>
      </rPr>
      <t xml:space="preserve"> x 10</t>
    </r>
    <r>
      <rPr>
        <sz val="10.15"/>
        <color rgb="FF000000"/>
        <rFont val="Calibri"/>
        <family val="2"/>
      </rPr>
      <t>⁻⁴</t>
    </r>
    <r>
      <rPr>
        <sz val="8.65"/>
        <color rgb="FF000000"/>
        <rFont val="Times New Roman"/>
        <family val="1"/>
      </rPr>
      <t xml:space="preserve"> </t>
    </r>
    <r>
      <rPr>
        <sz val="12"/>
        <color rgb="FF000000"/>
        <rFont val="Times New Roman"/>
        <family val="1"/>
      </rPr>
      <t>/ SK x 16 x Isc</t>
    </r>
    <r>
      <rPr>
        <sz val="12"/>
        <color rgb="FF000000"/>
        <rFont val="Calibri"/>
        <family val="2"/>
      </rPr>
      <t>²</t>
    </r>
    <r>
      <rPr>
        <sz val="10.15"/>
        <color rgb="FF000000"/>
        <rFont val="Times New Roman"/>
        <family val="1"/>
      </rPr>
      <t xml:space="preserve"> x 10</t>
    </r>
    <r>
      <rPr>
        <sz val="10.15"/>
        <color rgb="FF000000"/>
        <rFont val="Calibri"/>
        <family val="2"/>
      </rPr>
      <t>⁻⁴</t>
    </r>
    <r>
      <rPr>
        <sz val="8.65"/>
        <color rgb="FF000000"/>
        <rFont val="Times New Roman"/>
        <family val="1"/>
      </rPr>
      <t xml:space="preserve"> </t>
    </r>
    <r>
      <rPr>
        <sz val="12"/>
        <color rgb="FF000000"/>
        <rFont val="Times New Roman"/>
        <family val="1"/>
      </rPr>
      <t>/ SK x 16 x Isc</t>
    </r>
    <r>
      <rPr>
        <sz val="12"/>
        <color rgb="FF000000"/>
        <rFont val="Calibri"/>
        <family val="2"/>
      </rPr>
      <t>²</t>
    </r>
    <r>
      <rPr>
        <sz val="10.15"/>
        <color rgb="FF000000"/>
        <rFont val="Times New Roman"/>
        <family val="1"/>
      </rPr>
      <t xml:space="preserve"> x 10</t>
    </r>
    <r>
      <rPr>
        <sz val="10.15"/>
        <color rgb="FF000000"/>
        <rFont val="Calibri"/>
        <family val="2"/>
      </rPr>
      <t>⁻⁴</t>
    </r>
    <r>
      <rPr>
        <sz val="8.65"/>
        <color rgb="FF000000"/>
        <rFont val="Times New Roman"/>
        <family val="1"/>
      </rPr>
      <t xml:space="preserve"> </t>
    </r>
    <r>
      <rPr>
        <sz val="12"/>
        <color rgb="FF000000"/>
        <rFont val="Times New Roman"/>
        <family val="1"/>
      </rPr>
      <t>/ S</t>
    </r>
  </si>
  <si>
    <t>The Calculated Temperature rise of bus bar is 19.37 Deg. C, which is within the design Specified Temp. 35 Deg. C and it is safe for the System envisaged.</t>
  </si>
  <si>
    <t>800 A MCC BUSBAR SIZING CALCULATION</t>
  </si>
  <si>
    <t>1 x 1 x 100 x 10 MM</t>
  </si>
  <si>
    <t>1 x 100 x 06 MM</t>
  </si>
  <si>
    <t>The required cross section 650.226 Sq.mm is less than actual cross section 1000 Sq.mm of the bus bar selected. Hence, the bus bar size chosen is safe for the envisaged system.</t>
  </si>
  <si>
    <t>1 x 1500</t>
  </si>
  <si>
    <t>4400 x 800 x 2400 mm</t>
  </si>
  <si>
    <t>1500 x 0.67</t>
  </si>
  <si>
    <t>The de-rated Current  rating 1004.19 amp of Panel selected is more than the required current rating 800 amp of Bus duct Bus bar. Hence, the bus bar size chosen is safe for the envisaged system.</t>
  </si>
  <si>
    <t>The Calculated Temperature rise of bus bar is 24.11 Deg. C, which is within the design Specified Temp. 35 Deg. C and it is safe for the System envisaged.</t>
  </si>
  <si>
    <t>Email: contact@flasysdesign.com</t>
  </si>
  <si>
    <t>https://www.flasysdesign.com/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</si>
</sst>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09]General"/>
    <numFmt numFmtId="165" formatCode="[$-4009]0"/>
    <numFmt numFmtId="166" formatCode="[$-4009]0.00"/>
    <numFmt numFmtId="167" formatCode="0.000"/>
    <numFmt numFmtId="168" formatCode="0.0"/>
  </numFmts>
  <fonts count="15" x14ac:knownFonts="1">
    <font>
      <sz val="11"/>
      <color theme="1"/>
      <name val="Calibri"/>
      <family val="2"/>
      <scheme val="minor"/>
    </font>
    <font>
      <sz val="11"/>
      <color rgb="FF000000"/>
      <name val="Calibri"/>
      <family val="2"/>
    </font>
    <font>
      <b/>
      <sz val="18"/>
      <color rgb="FF000000"/>
      <name val="Calibri"/>
      <family val="2"/>
    </font>
    <font>
      <sz val="12"/>
      <color rgb="FF000000"/>
      <name val="Calibri"/>
      <family val="2"/>
    </font>
    <font>
      <sz val="12"/>
      <color rgb="FF000000"/>
      <name val="Times New Roman"/>
      <family val="1"/>
    </font>
    <font>
      <b/>
      <sz val="12"/>
      <color rgb="FF000000"/>
      <name val="Times New Roman"/>
      <family val="1"/>
    </font>
    <font>
      <sz val="10.15"/>
      <color rgb="FF000000"/>
      <name val="Times New Roman"/>
      <family val="1"/>
    </font>
    <font>
      <sz val="10.15"/>
      <color rgb="FF000000"/>
      <name val="Calibri"/>
      <family val="2"/>
    </font>
    <font>
      <sz val="8.65"/>
      <color rgb="FF000000"/>
      <name val="Calibri"/>
      <family val="2"/>
    </font>
    <font>
      <sz val="7.4"/>
      <color rgb="FF000000"/>
      <name val="Times New Roman"/>
      <family val="1"/>
    </font>
    <font>
      <sz val="8.65"/>
      <color rgb="FF000000"/>
      <name val="Times New Roman"/>
      <family val="1"/>
    </font>
    <font>
      <u/>
      <sz val="12"/>
      <color rgb="FF000000"/>
      <name val="Times New Roman"/>
      <family val="1"/>
    </font>
    <font>
      <vertAlign val="subscript"/>
      <sz val="12"/>
      <color rgb="FF000000"/>
      <name val="Times New Roman"/>
      <family val="1"/>
    </font>
    <font>
      <vertAlign val="superscript"/>
      <sz val="12"/>
      <color rgb="FF000000"/>
      <name val="Times New Roman"/>
      <family val="1"/>
    </font>
    <font>
      <u/>
      <sz val="11"/>
      <color theme="10"/>
      <name val="Calibri"/>
      <family val="2"/>
      <scheme val="minor"/>
    </font>
  </fonts>
  <fills count="9">
    <fill>
      <patternFill patternType="none"/>
    </fill>
    <fill>
      <patternFill patternType="gray125"/>
    </fill>
    <fill>
      <patternFill patternType="solid">
        <fgColor rgb="FFD9D9D9"/>
        <bgColor rgb="FFD9D9D9"/>
      </patternFill>
    </fill>
    <fill>
      <patternFill patternType="solid">
        <fgColor theme="4" tint="0.79998168889431442"/>
        <bgColor rgb="FFEBF1DE"/>
      </patternFill>
    </fill>
    <fill>
      <patternFill patternType="solid">
        <fgColor rgb="FFFFFFFF"/>
        <bgColor rgb="FFFFFFFF"/>
      </patternFill>
    </fill>
    <fill>
      <patternFill patternType="solid">
        <fgColor rgb="FFFDEADA"/>
        <bgColor rgb="FFFDEADA"/>
      </patternFill>
    </fill>
    <fill>
      <patternFill patternType="solid">
        <fgColor rgb="FFFFFF99"/>
        <bgColor rgb="FFFFFF99"/>
      </patternFill>
    </fill>
    <fill>
      <patternFill patternType="solid">
        <fgColor theme="7" tint="0.79998168889431442"/>
        <bgColor rgb="FFEBF1DE"/>
      </patternFill>
    </fill>
    <fill>
      <patternFill patternType="solid">
        <fgColor theme="9" tint="0.39997558519241921"/>
        <bgColor indexed="64"/>
      </patternFill>
    </fill>
  </fills>
  <borders count="10">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3">
    <xf numFmtId="0" fontId="0" fillId="0" borderId="0"/>
    <xf numFmtId="164" fontId="1" fillId="0" borderId="0"/>
    <xf numFmtId="0" fontId="14" fillId="0" borderId="0" applyNumberFormat="0" applyFill="0" applyBorder="0" applyAlignment="0" applyProtection="0"/>
  </cellStyleXfs>
  <cellXfs count="81">
    <xf numFmtId="0" fontId="0" fillId="0" borderId="0" xfId="0"/>
    <xf numFmtId="164" fontId="1" fillId="0" borderId="0" xfId="1"/>
    <xf numFmtId="164" fontId="1" fillId="0" borderId="0" xfId="1" applyAlignment="1">
      <alignment vertical="center"/>
    </xf>
    <xf numFmtId="164" fontId="1" fillId="0" borderId="3" xfId="1" applyBorder="1" applyAlignment="1" applyProtection="1">
      <alignment horizontal="center"/>
      <protection locked="0"/>
    </xf>
    <xf numFmtId="164" fontId="3" fillId="0" borderId="3" xfId="1" applyFont="1" applyBorder="1" applyAlignment="1" applyProtection="1">
      <alignment horizontal="left" vertical="center"/>
      <protection locked="0"/>
    </xf>
    <xf numFmtId="164" fontId="1" fillId="0" borderId="3" xfId="1" applyBorder="1" applyAlignment="1" applyProtection="1">
      <alignment horizontal="left"/>
      <protection locked="0"/>
    </xf>
    <xf numFmtId="164" fontId="1" fillId="0" borderId="3" xfId="1" applyBorder="1" applyAlignment="1" applyProtection="1">
      <alignment horizontal="center" wrapText="1"/>
      <protection locked="0"/>
    </xf>
    <xf numFmtId="164" fontId="1" fillId="0" borderId="3" xfId="1" applyBorder="1" applyAlignment="1" applyProtection="1">
      <alignment horizontal="center" vertical="center"/>
      <protection locked="0"/>
    </xf>
    <xf numFmtId="165" fontId="4" fillId="2" borderId="4" xfId="1" applyNumberFormat="1" applyFont="1" applyFill="1" applyBorder="1" applyAlignment="1">
      <alignment horizontal="center" vertical="center" wrapText="1"/>
    </xf>
    <xf numFmtId="164" fontId="4" fillId="4" borderId="4" xfId="1" applyFont="1" applyFill="1" applyBorder="1" applyAlignment="1" applyProtection="1">
      <alignment vertical="center" wrapText="1"/>
      <protection locked="0"/>
    </xf>
    <xf numFmtId="164" fontId="4" fillId="4" borderId="3" xfId="1" applyFont="1" applyFill="1" applyBorder="1" applyAlignment="1" applyProtection="1">
      <alignment vertical="center" wrapText="1"/>
      <protection locked="0"/>
    </xf>
    <xf numFmtId="164" fontId="4" fillId="4" borderId="3" xfId="1" applyFont="1" applyFill="1" applyBorder="1" applyAlignment="1" applyProtection="1">
      <alignment horizontal="left" vertical="center" wrapText="1"/>
      <protection locked="0"/>
    </xf>
    <xf numFmtId="165" fontId="4" fillId="4" borderId="3" xfId="1" applyNumberFormat="1" applyFont="1" applyFill="1" applyBorder="1" applyAlignment="1" applyProtection="1">
      <alignment horizontal="left" vertical="center" wrapText="1"/>
      <protection locked="0"/>
    </xf>
    <xf numFmtId="164" fontId="4" fillId="5" borderId="3" xfId="1" applyFont="1" applyFill="1" applyBorder="1" applyAlignment="1">
      <alignment horizontal="left" vertical="center" wrapText="1"/>
    </xf>
    <xf numFmtId="164" fontId="4" fillId="2" borderId="3" xfId="1" applyFont="1" applyFill="1" applyBorder="1" applyAlignment="1">
      <alignment horizontal="center" vertical="center" wrapText="1"/>
    </xf>
    <xf numFmtId="164" fontId="4" fillId="5" borderId="3" xfId="1" applyFont="1" applyFill="1" applyBorder="1" applyAlignment="1" applyProtection="1">
      <alignment vertical="center" wrapText="1"/>
      <protection locked="0"/>
    </xf>
    <xf numFmtId="164" fontId="4" fillId="5" borderId="2" xfId="1" applyFont="1" applyFill="1" applyBorder="1" applyAlignment="1">
      <alignment horizontal="left" vertical="center" wrapText="1"/>
    </xf>
    <xf numFmtId="164" fontId="4" fillId="2" borderId="4" xfId="1" applyFont="1" applyFill="1" applyBorder="1" applyAlignment="1">
      <alignment horizontal="center" vertical="center" wrapText="1"/>
    </xf>
    <xf numFmtId="164" fontId="5" fillId="4" borderId="3" xfId="1" applyFont="1" applyFill="1" applyBorder="1" applyAlignment="1" applyProtection="1">
      <alignment horizontal="center" vertical="center" wrapText="1"/>
      <protection locked="0"/>
    </xf>
    <xf numFmtId="164" fontId="5" fillId="2" borderId="4" xfId="1" applyFont="1" applyFill="1" applyBorder="1" applyAlignment="1">
      <alignment horizontal="center" vertical="center" wrapText="1"/>
    </xf>
    <xf numFmtId="167" fontId="4" fillId="4" borderId="3" xfId="1" applyNumberFormat="1" applyFont="1" applyFill="1" applyBorder="1" applyAlignment="1" applyProtection="1">
      <alignment horizontal="left" vertical="center" wrapText="1"/>
      <protection locked="0"/>
    </xf>
    <xf numFmtId="167" fontId="4" fillId="5" borderId="3" xfId="1" applyNumberFormat="1" applyFont="1" applyFill="1" applyBorder="1" applyAlignment="1">
      <alignment horizontal="left" vertical="center" wrapText="1"/>
    </xf>
    <xf numFmtId="167" fontId="4" fillId="6" borderId="8" xfId="1" applyNumberFormat="1" applyFont="1" applyFill="1" applyBorder="1" applyAlignment="1">
      <alignment horizontal="left" vertical="center" wrapText="1"/>
    </xf>
    <xf numFmtId="167" fontId="4" fillId="6" borderId="4" xfId="1" applyNumberFormat="1" applyFont="1" applyFill="1" applyBorder="1" applyAlignment="1">
      <alignment horizontal="left" vertical="center" wrapText="1"/>
    </xf>
    <xf numFmtId="167" fontId="4" fillId="6" borderId="4" xfId="1" applyNumberFormat="1" applyFont="1" applyFill="1" applyBorder="1" applyAlignment="1">
      <alignment horizontal="center" vertical="center" wrapText="1"/>
    </xf>
    <xf numFmtId="168" fontId="4" fillId="6" borderId="4" xfId="1" applyNumberFormat="1" applyFont="1" applyFill="1" applyBorder="1" applyAlignment="1">
      <alignment horizontal="left" vertical="center" wrapText="1"/>
    </xf>
    <xf numFmtId="167" fontId="4" fillId="3" borderId="2" xfId="1" applyNumberFormat="1" applyFont="1" applyFill="1" applyBorder="1" applyAlignment="1">
      <alignment horizontal="center" vertical="center" wrapText="1"/>
    </xf>
    <xf numFmtId="166" fontId="4" fillId="5" borderId="3" xfId="1" applyNumberFormat="1" applyFont="1" applyFill="1" applyBorder="1" applyAlignment="1">
      <alignment horizontal="left" vertical="center" wrapText="1"/>
    </xf>
    <xf numFmtId="164" fontId="5" fillId="6" borderId="2" xfId="1" applyFont="1" applyFill="1" applyBorder="1" applyAlignment="1">
      <alignment vertical="center" wrapText="1"/>
    </xf>
    <xf numFmtId="164" fontId="4" fillId="6" borderId="6" xfId="1" applyFont="1" applyFill="1" applyBorder="1" applyAlignment="1">
      <alignment vertical="center" wrapText="1"/>
    </xf>
    <xf numFmtId="167" fontId="4" fillId="6" borderId="2" xfId="1" applyNumberFormat="1" applyFont="1" applyFill="1" applyBorder="1" applyAlignment="1">
      <alignment horizontal="center" vertical="center" wrapText="1"/>
    </xf>
    <xf numFmtId="166" fontId="4" fillId="6" borderId="9" xfId="1" applyNumberFormat="1" applyFont="1" applyFill="1" applyBorder="1" applyAlignment="1">
      <alignment horizontal="left" vertical="center" wrapText="1"/>
    </xf>
    <xf numFmtId="164" fontId="4" fillId="4" borderId="0" xfId="1" applyFont="1" applyFill="1" applyAlignment="1">
      <alignment horizontal="center" vertical="center" wrapText="1"/>
    </xf>
    <xf numFmtId="164" fontId="4" fillId="4" borderId="0" xfId="1" applyFont="1" applyFill="1" applyAlignment="1">
      <alignment horizontal="left" vertical="center" wrapText="1"/>
    </xf>
    <xf numFmtId="164" fontId="1" fillId="0" borderId="0" xfId="1" applyAlignment="1">
      <alignment horizontal="center"/>
    </xf>
    <xf numFmtId="164" fontId="1" fillId="0" borderId="0" xfId="1" applyAlignment="1">
      <alignment horizontal="center" vertical="center"/>
    </xf>
    <xf numFmtId="164" fontId="4" fillId="7" borderId="3" xfId="1" applyFont="1" applyFill="1" applyBorder="1" applyAlignment="1">
      <alignment horizontal="center" vertical="center" wrapText="1"/>
    </xf>
    <xf numFmtId="164" fontId="4" fillId="7" borderId="3" xfId="1" applyFont="1" applyFill="1" applyBorder="1" applyAlignment="1">
      <alignment vertical="center" wrapText="1"/>
    </xf>
    <xf numFmtId="167" fontId="4" fillId="7" borderId="3" xfId="1" applyNumberFormat="1" applyFont="1" applyFill="1" applyBorder="1" applyAlignment="1">
      <alignment horizontal="center" vertical="center" wrapText="1"/>
    </xf>
    <xf numFmtId="164" fontId="5" fillId="7" borderId="3" xfId="1" applyFont="1" applyFill="1" applyBorder="1" applyAlignment="1">
      <alignment vertical="center" wrapText="1"/>
    </xf>
    <xf numFmtId="164" fontId="4" fillId="7" borderId="7" xfId="1" applyFont="1" applyFill="1" applyBorder="1" applyAlignment="1">
      <alignment horizontal="right" vertical="center" wrapText="1"/>
    </xf>
    <xf numFmtId="164" fontId="4" fillId="7" borderId="7" xfId="1" applyFont="1" applyFill="1" applyBorder="1" applyAlignment="1">
      <alignment vertical="center" wrapText="1"/>
    </xf>
    <xf numFmtId="167" fontId="4" fillId="7" borderId="2" xfId="1" applyNumberFormat="1" applyFont="1" applyFill="1" applyBorder="1" applyAlignment="1">
      <alignment horizontal="center" vertical="center" wrapText="1"/>
    </xf>
    <xf numFmtId="164" fontId="4" fillId="7" borderId="3" xfId="1" applyFont="1" applyFill="1" applyBorder="1" applyAlignment="1">
      <alignment horizontal="left" vertical="center" wrapText="1"/>
    </xf>
    <xf numFmtId="166" fontId="4" fillId="7" borderId="3" xfId="1" applyNumberFormat="1" applyFont="1" applyFill="1" applyBorder="1" applyAlignment="1">
      <alignment horizontal="center" vertical="center" wrapText="1"/>
    </xf>
    <xf numFmtId="164" fontId="5" fillId="7" borderId="3" xfId="1" applyFont="1" applyFill="1" applyBorder="1" applyAlignment="1">
      <alignment horizontal="center" vertical="center" wrapText="1"/>
    </xf>
    <xf numFmtId="49" fontId="5" fillId="7" borderId="3" xfId="1" applyNumberFormat="1" applyFont="1" applyFill="1" applyBorder="1" applyAlignment="1">
      <alignment horizontal="center" vertical="center" wrapText="1"/>
    </xf>
    <xf numFmtId="164" fontId="4" fillId="7" borderId="3" xfId="1" applyFont="1" applyFill="1" applyBorder="1" applyAlignment="1">
      <alignment horizontal="right" vertical="center" wrapText="1"/>
    </xf>
    <xf numFmtId="164" fontId="5" fillId="7" borderId="7" xfId="1" applyFont="1" applyFill="1" applyBorder="1" applyAlignment="1">
      <alignment horizontal="center" vertical="center" wrapText="1"/>
    </xf>
    <xf numFmtId="167" fontId="4" fillId="7" borderId="7" xfId="1" applyNumberFormat="1" applyFont="1" applyFill="1" applyBorder="1" applyAlignment="1">
      <alignment horizontal="left" vertical="center" wrapText="1"/>
    </xf>
    <xf numFmtId="167" fontId="4" fillId="7" borderId="3" xfId="1" applyNumberFormat="1" applyFont="1" applyFill="1" applyBorder="1" applyAlignment="1">
      <alignment horizontal="left" vertical="center" wrapText="1"/>
    </xf>
    <xf numFmtId="164" fontId="3" fillId="7" borderId="3" xfId="1" applyFont="1" applyFill="1" applyBorder="1" applyAlignment="1">
      <alignment horizontal="right" vertical="center"/>
    </xf>
    <xf numFmtId="164" fontId="4" fillId="7" borderId="2" xfId="1" applyFont="1" applyFill="1" applyBorder="1" applyAlignment="1">
      <alignment horizontal="center" vertical="center" wrapText="1"/>
    </xf>
    <xf numFmtId="164" fontId="4" fillId="7" borderId="2" xfId="1" applyFont="1" applyFill="1" applyBorder="1" applyAlignment="1">
      <alignment vertical="center" wrapText="1"/>
    </xf>
    <xf numFmtId="164" fontId="1" fillId="7" borderId="3" xfId="1" applyFill="1" applyBorder="1" applyAlignment="1">
      <alignment vertical="center"/>
    </xf>
    <xf numFmtId="166" fontId="4" fillId="7" borderId="2" xfId="1" applyNumberFormat="1" applyFont="1" applyFill="1" applyBorder="1" applyAlignment="1">
      <alignment horizontal="center" vertical="center" wrapText="1"/>
    </xf>
    <xf numFmtId="164" fontId="5" fillId="7" borderId="2" xfId="1" applyFont="1" applyFill="1" applyBorder="1" applyAlignment="1">
      <alignment horizontal="center" vertical="center" wrapText="1"/>
    </xf>
    <xf numFmtId="166" fontId="4" fillId="7" borderId="3" xfId="1" applyNumberFormat="1" applyFont="1" applyFill="1" applyBorder="1" applyAlignment="1">
      <alignment horizontal="left" vertical="center" wrapText="1"/>
    </xf>
    <xf numFmtId="164" fontId="4" fillId="7" borderId="5" xfId="1" applyFont="1" applyFill="1" applyBorder="1" applyAlignment="1">
      <alignment vertical="center" wrapText="1"/>
    </xf>
    <xf numFmtId="164" fontId="3" fillId="7" borderId="3" xfId="1" applyFont="1" applyFill="1" applyBorder="1" applyAlignment="1">
      <alignment horizontal="center" vertical="center"/>
    </xf>
    <xf numFmtId="164" fontId="4" fillId="7" borderId="5" xfId="1" applyFont="1" applyFill="1" applyBorder="1" applyAlignment="1">
      <alignment horizontal="center" vertical="center" wrapText="1"/>
    </xf>
    <xf numFmtId="164" fontId="4" fillId="7" borderId="4" xfId="1" applyFont="1" applyFill="1" applyBorder="1" applyAlignment="1">
      <alignment horizontal="center" vertical="center" wrapText="1"/>
    </xf>
    <xf numFmtId="166" fontId="3" fillId="7" borderId="6" xfId="1" applyNumberFormat="1" applyFont="1" applyFill="1" applyBorder="1" applyAlignment="1">
      <alignment horizontal="center" vertical="center"/>
    </xf>
    <xf numFmtId="164" fontId="4" fillId="7" borderId="4" xfId="1" applyFont="1" applyFill="1" applyBorder="1" applyAlignment="1">
      <alignment vertical="center" wrapText="1"/>
    </xf>
    <xf numFmtId="164" fontId="5" fillId="7" borderId="4" xfId="1" applyFont="1" applyFill="1" applyBorder="1" applyAlignment="1">
      <alignment horizontal="center" vertical="center" wrapText="1"/>
    </xf>
    <xf numFmtId="164" fontId="14" fillId="0" borderId="3" xfId="2" applyNumberFormat="1" applyBorder="1" applyAlignment="1" applyProtection="1">
      <alignment horizontal="left" vertical="center"/>
      <protection locked="0"/>
    </xf>
    <xf numFmtId="164" fontId="4" fillId="7" borderId="2" xfId="1" applyFont="1" applyFill="1" applyBorder="1" applyAlignment="1">
      <alignment horizontal="center" vertical="center" wrapText="1"/>
    </xf>
    <xf numFmtId="164" fontId="4" fillId="7" borderId="3" xfId="1" applyFont="1" applyFill="1" applyBorder="1" applyAlignment="1">
      <alignment horizontal="left" vertical="center" wrapText="1"/>
    </xf>
    <xf numFmtId="0" fontId="0" fillId="8" borderId="1" xfId="0" applyFill="1" applyBorder="1"/>
    <xf numFmtId="164" fontId="2" fillId="8" borderId="2" xfId="1" applyFont="1" applyFill="1" applyBorder="1" applyAlignment="1" applyProtection="1">
      <alignment horizontal="center" vertical="center"/>
      <protection locked="0"/>
    </xf>
    <xf numFmtId="164" fontId="1" fillId="0" borderId="3" xfId="1" applyBorder="1" applyAlignment="1" applyProtection="1">
      <alignment horizontal="left" vertical="center"/>
      <protection locked="0"/>
    </xf>
    <xf numFmtId="164" fontId="5" fillId="2" borderId="4" xfId="1" applyFont="1" applyFill="1" applyBorder="1" applyAlignment="1">
      <alignment horizontal="left" vertical="center" wrapText="1"/>
    </xf>
    <xf numFmtId="164" fontId="4" fillId="7" borderId="3" xfId="1" applyFont="1" applyFill="1" applyBorder="1" applyAlignment="1">
      <alignment horizontal="center" vertical="center" wrapText="1"/>
    </xf>
    <xf numFmtId="164" fontId="5" fillId="2" borderId="4" xfId="1" applyFont="1" applyFill="1" applyBorder="1" applyAlignment="1">
      <alignment vertical="center" wrapText="1"/>
    </xf>
    <xf numFmtId="164" fontId="5" fillId="2" borderId="3" xfId="1" applyFont="1" applyFill="1" applyBorder="1" applyAlignment="1">
      <alignment horizontal="left" vertical="center" wrapText="1"/>
    </xf>
    <xf numFmtId="164" fontId="4" fillId="7" borderId="3" xfId="1" applyFont="1" applyFill="1" applyBorder="1" applyAlignment="1">
      <alignment vertical="center" wrapText="1"/>
    </xf>
    <xf numFmtId="164" fontId="4" fillId="4" borderId="3" xfId="1" applyFont="1" applyFill="1" applyBorder="1" applyAlignment="1" applyProtection="1">
      <alignment horizontal="center" vertical="center" wrapText="1"/>
      <protection locked="0"/>
    </xf>
    <xf numFmtId="164" fontId="4" fillId="4" borderId="3" xfId="1" applyFont="1" applyFill="1" applyBorder="1" applyAlignment="1" applyProtection="1">
      <alignment vertical="center" wrapText="1"/>
      <protection locked="0"/>
    </xf>
    <xf numFmtId="164" fontId="5" fillId="4" borderId="3" xfId="1" applyFont="1" applyFill="1" applyBorder="1" applyAlignment="1" applyProtection="1">
      <alignment vertical="center" wrapText="1"/>
      <protection locked="0"/>
    </xf>
    <xf numFmtId="164" fontId="5" fillId="4" borderId="3" xfId="1" applyFont="1" applyFill="1" applyBorder="1" applyAlignment="1" applyProtection="1">
      <alignment horizontal="left" vertical="center" wrapText="1"/>
      <protection locked="0"/>
    </xf>
    <xf numFmtId="164" fontId="4" fillId="4" borderId="3" xfId="1" applyFont="1" applyFill="1" applyBorder="1" applyAlignment="1" applyProtection="1">
      <alignment horizontal="left" vertical="center" wrapText="1"/>
      <protection locked="0"/>
    </xf>
  </cellXfs>
  <cellStyles count="3">
    <cellStyle name="Excel Built-in Normal" xfId="1" xr:uid="{B5CFB81F-5C2D-403E-B7E9-385B79B0FDE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106680</xdr:colOff>
      <xdr:row>0</xdr:row>
      <xdr:rowOff>175260</xdr:rowOff>
    </xdr:from>
    <xdr:to>
      <xdr:col>1</xdr:col>
      <xdr:colOff>1036426</xdr:colOff>
      <xdr:row>1</xdr:row>
      <xdr:rowOff>220980</xdr:rowOff>
    </xdr:to>
    <xdr:pic>
      <xdr:nvPicPr>
        <xdr:cNvPr id="2" name="Picture 1">
          <a:extLst>
            <a:ext uri="{FF2B5EF4-FFF2-40B4-BE49-F238E27FC236}">
              <a16:creationId xmlns:a16="http://schemas.microsoft.com/office/drawing/2014/main" id="{C810F4E0-D77D-484D-9FF6-BCF69F2219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0" y="175260"/>
          <a:ext cx="929746" cy="281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281940</xdr:colOff>
      <xdr:row>0</xdr:row>
      <xdr:rowOff>205740</xdr:rowOff>
    </xdr:from>
    <xdr:to>
      <xdr:col>1</xdr:col>
      <xdr:colOff>1211686</xdr:colOff>
      <xdr:row>2</xdr:row>
      <xdr:rowOff>15240</xdr:rowOff>
    </xdr:to>
    <xdr:pic>
      <xdr:nvPicPr>
        <xdr:cNvPr id="2" name="Picture 1">
          <a:extLst>
            <a:ext uri="{FF2B5EF4-FFF2-40B4-BE49-F238E27FC236}">
              <a16:creationId xmlns:a16="http://schemas.microsoft.com/office/drawing/2014/main" id="{724CF2FD-E0B2-404A-BEA9-995D11B797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3020" y="205740"/>
          <a:ext cx="929746" cy="2819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213360</xdr:colOff>
      <xdr:row>0</xdr:row>
      <xdr:rowOff>205740</xdr:rowOff>
    </xdr:from>
    <xdr:to>
      <xdr:col>1</xdr:col>
      <xdr:colOff>1143106</xdr:colOff>
      <xdr:row>2</xdr:row>
      <xdr:rowOff>15240</xdr:rowOff>
    </xdr:to>
    <xdr:pic>
      <xdr:nvPicPr>
        <xdr:cNvPr id="2" name="Picture 1">
          <a:extLst>
            <a:ext uri="{FF2B5EF4-FFF2-40B4-BE49-F238E27FC236}">
              <a16:creationId xmlns:a16="http://schemas.microsoft.com/office/drawing/2014/main" id="{21FE539C-E211-4076-9A97-18DE8511CB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4440" y="205740"/>
          <a:ext cx="929746" cy="2819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lasysdesign.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lasysdesign.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flasysdesig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8144-CAEF-4830-B31F-1E5352091FE3}">
  <dimension ref="A1:AME111"/>
  <sheetViews>
    <sheetView tabSelected="1" workbookViewId="0">
      <selection activeCell="F7" sqref="F7"/>
    </sheetView>
  </sheetViews>
  <sheetFormatPr defaultRowHeight="14.4" x14ac:dyDescent="0.3"/>
  <cols>
    <col min="1" max="1" width="13.44140625" style="34" customWidth="1"/>
    <col min="2" max="2" width="49.21875" style="1" customWidth="1"/>
    <col min="3" max="3" width="6" style="35" customWidth="1"/>
    <col min="4" max="4" width="44.44140625" style="1" customWidth="1"/>
    <col min="5" max="1019" width="9" style="1" customWidth="1"/>
    <col min="1020" max="1024" width="9" customWidth="1"/>
  </cols>
  <sheetData>
    <row r="1" spans="1:1019" ht="18.75" customHeight="1" x14ac:dyDescent="0.3">
      <c r="A1" s="68"/>
      <c r="B1" s="69" t="s">
        <v>0</v>
      </c>
      <c r="C1" s="69"/>
      <c r="D1" s="69"/>
      <c r="F1" s="2"/>
      <c r="G1"/>
    </row>
    <row r="2" spans="1:1019" ht="18.75" customHeight="1" x14ac:dyDescent="0.3">
      <c r="A2" s="68"/>
      <c r="B2" s="69"/>
      <c r="C2" s="69"/>
      <c r="D2" s="69"/>
      <c r="F2" s="2"/>
      <c r="G2"/>
    </row>
    <row r="3" spans="1:1019" ht="17.25" customHeight="1" x14ac:dyDescent="0.3">
      <c r="A3" s="68"/>
      <c r="B3" s="69"/>
      <c r="C3" s="69"/>
      <c r="D3" s="69"/>
      <c r="F3" s="2"/>
      <c r="G3"/>
    </row>
    <row r="4" spans="1:1019" ht="17.25" customHeight="1" x14ac:dyDescent="0.3">
      <c r="A4" s="3" t="s">
        <v>1</v>
      </c>
      <c r="B4" s="70" t="s">
        <v>2</v>
      </c>
      <c r="C4" s="70"/>
      <c r="D4" s="4" t="s">
        <v>3</v>
      </c>
      <c r="F4" s="2"/>
      <c r="G4"/>
    </row>
    <row r="5" spans="1:1019" ht="17.25" customHeight="1" x14ac:dyDescent="0.3">
      <c r="A5" s="3" t="s">
        <v>4</v>
      </c>
      <c r="B5" s="70"/>
      <c r="C5" s="70"/>
      <c r="D5" s="5" t="s">
        <v>5</v>
      </c>
      <c r="F5" s="2"/>
      <c r="G5"/>
    </row>
    <row r="6" spans="1:1019" ht="17.25" customHeight="1" x14ac:dyDescent="0.3">
      <c r="A6" s="3" t="s">
        <v>6</v>
      </c>
      <c r="B6" s="70"/>
      <c r="C6" s="70"/>
      <c r="D6" s="4" t="s">
        <v>7</v>
      </c>
      <c r="F6" s="2"/>
      <c r="G6"/>
    </row>
    <row r="7" spans="1:1019" ht="30" customHeight="1" x14ac:dyDescent="0.3">
      <c r="A7" s="6" t="s">
        <v>8</v>
      </c>
      <c r="B7" s="70"/>
      <c r="C7" s="70"/>
      <c r="D7" s="65" t="s">
        <v>166</v>
      </c>
      <c r="F7" s="2"/>
      <c r="G7"/>
    </row>
    <row r="8" spans="1:1019" ht="18.75" customHeight="1" x14ac:dyDescent="0.3">
      <c r="A8" s="7" t="s">
        <v>9</v>
      </c>
      <c r="B8" s="70"/>
      <c r="C8" s="70"/>
      <c r="D8" s="5" t="s">
        <v>165</v>
      </c>
      <c r="F8" s="2"/>
      <c r="G8"/>
    </row>
    <row r="9" spans="1:1019" ht="20.25" customHeight="1" x14ac:dyDescent="0.3">
      <c r="A9" s="8">
        <v>1</v>
      </c>
      <c r="B9" s="71" t="s">
        <v>10</v>
      </c>
      <c r="C9" s="71"/>
      <c r="D9" s="71"/>
      <c r="E9" s="2"/>
      <c r="F9" s="2"/>
      <c r="G9"/>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c r="AMC9" s="2"/>
      <c r="AMD9" s="2"/>
      <c r="AME9" s="2"/>
    </row>
    <row r="10" spans="1:1019" ht="21" customHeight="1" x14ac:dyDescent="0.3">
      <c r="A10" s="61">
        <v>1.1000000000000001</v>
      </c>
      <c r="B10" s="63" t="s">
        <v>11</v>
      </c>
      <c r="C10" s="64" t="s">
        <v>12</v>
      </c>
      <c r="D10" s="9" t="s">
        <v>13</v>
      </c>
      <c r="E10" s="2"/>
      <c r="F10" s="2"/>
      <c r="G10"/>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c r="AMC10" s="2"/>
      <c r="AMD10" s="2"/>
      <c r="AME10" s="2"/>
    </row>
    <row r="11" spans="1:1019" ht="24" customHeight="1" x14ac:dyDescent="0.3">
      <c r="A11" s="36">
        <v>1.2</v>
      </c>
      <c r="B11" s="37" t="s">
        <v>14</v>
      </c>
      <c r="C11" s="45" t="s">
        <v>12</v>
      </c>
      <c r="D11" s="10" t="s">
        <v>15</v>
      </c>
      <c r="E11" s="2"/>
      <c r="F11" s="2"/>
      <c r="G11"/>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c r="AME11" s="2"/>
    </row>
    <row r="12" spans="1:1019" ht="21" customHeight="1" x14ac:dyDescent="0.3">
      <c r="A12" s="36">
        <v>1.3</v>
      </c>
      <c r="B12" s="37" t="s">
        <v>16</v>
      </c>
      <c r="C12" s="45" t="s">
        <v>12</v>
      </c>
      <c r="D12" s="10" t="s">
        <v>17</v>
      </c>
      <c r="E12" s="2"/>
      <c r="F12" s="2"/>
      <c r="G1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c r="AME12" s="2"/>
    </row>
    <row r="13" spans="1:1019" ht="18" customHeight="1" x14ac:dyDescent="0.3">
      <c r="A13" s="36">
        <v>1.4</v>
      </c>
      <c r="B13" s="37" t="s">
        <v>18</v>
      </c>
      <c r="C13" s="45" t="s">
        <v>12</v>
      </c>
      <c r="D13" s="10" t="s">
        <v>19</v>
      </c>
      <c r="E13" s="2"/>
      <c r="F13" s="2"/>
      <c r="G13"/>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c r="AME13" s="2"/>
    </row>
    <row r="14" spans="1:1019" ht="39.75" customHeight="1" x14ac:dyDescent="0.3">
      <c r="A14" s="36">
        <v>1.5</v>
      </c>
      <c r="B14" s="37" t="s">
        <v>20</v>
      </c>
      <c r="C14" s="45" t="s">
        <v>12</v>
      </c>
      <c r="D14" s="11">
        <v>1000</v>
      </c>
      <c r="E14" s="2"/>
      <c r="F14" s="2"/>
      <c r="G14"/>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row>
    <row r="15" spans="1:1019" ht="38.25" customHeight="1" x14ac:dyDescent="0.3">
      <c r="A15" s="36">
        <v>1.6</v>
      </c>
      <c r="B15" s="37" t="s">
        <v>21</v>
      </c>
      <c r="C15" s="45" t="s">
        <v>12</v>
      </c>
      <c r="D15" s="11">
        <v>50</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row>
    <row r="16" spans="1:1019" ht="24" customHeight="1" x14ac:dyDescent="0.3">
      <c r="A16" s="36">
        <v>1.7</v>
      </c>
      <c r="B16" s="37" t="s">
        <v>22</v>
      </c>
      <c r="C16" s="45" t="s">
        <v>12</v>
      </c>
      <c r="D16" s="11">
        <v>50</v>
      </c>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row>
    <row r="17" spans="1:1019" ht="18.75" customHeight="1" x14ac:dyDescent="0.3">
      <c r="A17" s="36">
        <v>1.8</v>
      </c>
      <c r="B17" s="37" t="s">
        <v>23</v>
      </c>
      <c r="C17" s="45" t="s">
        <v>12</v>
      </c>
      <c r="D17" s="11">
        <v>85</v>
      </c>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row>
    <row r="18" spans="1:1019" ht="21.75" customHeight="1" x14ac:dyDescent="0.3">
      <c r="A18" s="36">
        <v>1.9</v>
      </c>
      <c r="B18" s="37" t="s">
        <v>24</v>
      </c>
      <c r="C18" s="45" t="s">
        <v>12</v>
      </c>
      <c r="D18" s="11">
        <v>70</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row>
    <row r="19" spans="1:1019" ht="24" customHeight="1" x14ac:dyDescent="0.3">
      <c r="A19" s="44">
        <v>1.1000000000000001</v>
      </c>
      <c r="B19" s="37" t="s">
        <v>25</v>
      </c>
      <c r="C19" s="45" t="s">
        <v>12</v>
      </c>
      <c r="D19" s="10" t="s">
        <v>26</v>
      </c>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row>
    <row r="20" spans="1:1019" ht="15" customHeight="1" x14ac:dyDescent="0.3">
      <c r="A20" s="72">
        <v>1.1100000000000001</v>
      </c>
      <c r="B20" s="53" t="s">
        <v>27</v>
      </c>
      <c r="C20" s="45" t="s">
        <v>12</v>
      </c>
      <c r="D20" s="10" t="s">
        <v>28</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c r="ALU20" s="2"/>
      <c r="ALV20" s="2"/>
      <c r="ALW20" s="2"/>
      <c r="ALX20" s="2"/>
      <c r="ALY20" s="2"/>
      <c r="ALZ20" s="2"/>
      <c r="AMA20" s="2"/>
      <c r="AMB20" s="2"/>
      <c r="AMC20" s="2"/>
      <c r="AMD20" s="2"/>
      <c r="AME20" s="2"/>
    </row>
    <row r="21" spans="1:1019" ht="15" customHeight="1" x14ac:dyDescent="0.3">
      <c r="A21" s="72"/>
      <c r="B21" s="53" t="s">
        <v>29</v>
      </c>
      <c r="C21" s="45" t="s">
        <v>12</v>
      </c>
      <c r="D21" s="10" t="s">
        <v>30</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row>
    <row r="22" spans="1:1019" ht="18" customHeight="1" x14ac:dyDescent="0.3">
      <c r="A22" s="72"/>
      <c r="B22" s="37" t="s">
        <v>31</v>
      </c>
      <c r="C22" s="56" t="s">
        <v>12</v>
      </c>
      <c r="D22" s="12">
        <v>1</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row>
    <row r="23" spans="1:1019" ht="21" customHeight="1" x14ac:dyDescent="0.3">
      <c r="A23" s="72"/>
      <c r="B23" s="37" t="s">
        <v>32</v>
      </c>
      <c r="C23" s="56" t="s">
        <v>12</v>
      </c>
      <c r="D23" s="12">
        <v>1</v>
      </c>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c r="AME23" s="2"/>
    </row>
    <row r="24" spans="1:1019" ht="18" customHeight="1" x14ac:dyDescent="0.3">
      <c r="A24" s="72"/>
      <c r="B24" s="37" t="s">
        <v>33</v>
      </c>
      <c r="C24" s="56" t="s">
        <v>12</v>
      </c>
      <c r="D24" s="11">
        <v>125</v>
      </c>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row>
    <row r="25" spans="1:1019" ht="16.5" customHeight="1" x14ac:dyDescent="0.3">
      <c r="A25" s="72"/>
      <c r="B25" s="63" t="s">
        <v>34</v>
      </c>
      <c r="C25" s="56" t="s">
        <v>12</v>
      </c>
      <c r="D25" s="11">
        <v>10</v>
      </c>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row>
    <row r="26" spans="1:1019" ht="17.25" customHeight="1" x14ac:dyDescent="0.3">
      <c r="A26" s="61">
        <v>1.1200000000000001</v>
      </c>
      <c r="B26" s="63" t="s">
        <v>35</v>
      </c>
      <c r="C26" s="56"/>
      <c r="D26" s="11">
        <f>125*6</f>
        <v>750</v>
      </c>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row>
    <row r="27" spans="1:1019" ht="24" customHeight="1" x14ac:dyDescent="0.3">
      <c r="A27" s="36">
        <v>1.1299999999999999</v>
      </c>
      <c r="B27" s="37" t="s">
        <v>36</v>
      </c>
      <c r="C27" s="56" t="s">
        <v>12</v>
      </c>
      <c r="D27" s="13">
        <f>D23*D22*D24*D25</f>
        <v>1250</v>
      </c>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row>
    <row r="28" spans="1:1019" ht="23.25" customHeight="1" x14ac:dyDescent="0.3">
      <c r="A28" s="61">
        <v>1.1399999999999999</v>
      </c>
      <c r="B28" s="37" t="s">
        <v>37</v>
      </c>
      <c r="C28" s="45" t="s">
        <v>12</v>
      </c>
      <c r="D28" s="10" t="s">
        <v>38</v>
      </c>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row>
    <row r="29" spans="1:1019" ht="21" customHeight="1" x14ac:dyDescent="0.3">
      <c r="A29" s="36">
        <v>1.1499999999999999</v>
      </c>
      <c r="B29" s="37" t="s">
        <v>39</v>
      </c>
      <c r="C29" s="59"/>
      <c r="D29" s="10"/>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row>
    <row r="30" spans="1:1019" ht="26.25" customHeight="1" x14ac:dyDescent="0.3">
      <c r="A30" s="36" t="s">
        <v>40</v>
      </c>
      <c r="B30" s="43" t="s">
        <v>41</v>
      </c>
      <c r="C30" s="45" t="s">
        <v>12</v>
      </c>
      <c r="D30" s="10" t="s">
        <v>42</v>
      </c>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row>
    <row r="31" spans="1:1019" ht="23.25" customHeight="1" x14ac:dyDescent="0.3">
      <c r="A31" s="36">
        <v>1.1599999999999999</v>
      </c>
      <c r="B31" s="67" t="s">
        <v>43</v>
      </c>
      <c r="C31" s="67"/>
      <c r="D31" s="67"/>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row>
    <row r="32" spans="1:1019" ht="23.25" customHeight="1" x14ac:dyDescent="0.3">
      <c r="A32" s="36"/>
      <c r="B32" s="43" t="s">
        <v>44</v>
      </c>
      <c r="C32" s="45" t="s">
        <v>12</v>
      </c>
      <c r="D32" s="10" t="s">
        <v>45</v>
      </c>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row>
    <row r="33" spans="1:1019" ht="21.75" customHeight="1" x14ac:dyDescent="0.3">
      <c r="A33" s="36"/>
      <c r="B33" s="43" t="s">
        <v>46</v>
      </c>
      <c r="C33" s="45" t="s">
        <v>12</v>
      </c>
      <c r="D33" s="10" t="s">
        <v>47</v>
      </c>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row>
    <row r="34" spans="1:1019" ht="18" customHeight="1" x14ac:dyDescent="0.3">
      <c r="A34" s="52">
        <v>1.17</v>
      </c>
      <c r="B34" s="67" t="s">
        <v>48</v>
      </c>
      <c r="C34" s="67"/>
      <c r="D34" s="67"/>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row>
    <row r="35" spans="1:1019" ht="18" customHeight="1" x14ac:dyDescent="0.3">
      <c r="A35" s="60"/>
      <c r="B35" s="43" t="s">
        <v>49</v>
      </c>
      <c r="C35" s="45" t="s">
        <v>12</v>
      </c>
      <c r="D35" s="10" t="s">
        <v>50</v>
      </c>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row>
    <row r="36" spans="1:1019" ht="20.25" customHeight="1" x14ac:dyDescent="0.3">
      <c r="A36" s="61"/>
      <c r="B36" s="43" t="s">
        <v>51</v>
      </c>
      <c r="C36" s="45" t="s">
        <v>12</v>
      </c>
      <c r="D36" s="10" t="s">
        <v>52</v>
      </c>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row>
    <row r="37" spans="1:1019" ht="21" customHeight="1" x14ac:dyDescent="0.3">
      <c r="A37" s="66">
        <v>1.18</v>
      </c>
      <c r="B37" s="67" t="s">
        <v>53</v>
      </c>
      <c r="C37" s="45" t="s">
        <v>12</v>
      </c>
      <c r="D37" s="10" t="s">
        <v>54</v>
      </c>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row>
    <row r="38" spans="1:1019" ht="21" customHeight="1" x14ac:dyDescent="0.3">
      <c r="A38" s="66"/>
      <c r="B38" s="67"/>
      <c r="C38" s="45" t="s">
        <v>12</v>
      </c>
      <c r="D38" s="10" t="s">
        <v>55</v>
      </c>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row>
    <row r="39" spans="1:1019" ht="21.75" customHeight="1" x14ac:dyDescent="0.3">
      <c r="A39" s="36">
        <v>1.19</v>
      </c>
      <c r="B39" s="37" t="s">
        <v>25</v>
      </c>
      <c r="C39" s="45" t="s">
        <v>12</v>
      </c>
      <c r="D39" s="10" t="s">
        <v>56</v>
      </c>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row>
    <row r="40" spans="1:1019" ht="24" customHeight="1" x14ac:dyDescent="0.3">
      <c r="A40" s="62">
        <v>1.2</v>
      </c>
      <c r="B40" s="37" t="s">
        <v>57</v>
      </c>
      <c r="C40" s="45" t="s">
        <v>12</v>
      </c>
      <c r="D40" s="37" t="s">
        <v>58</v>
      </c>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row>
    <row r="41" spans="1:1019" ht="21" customHeight="1" x14ac:dyDescent="0.3">
      <c r="A41" s="14">
        <v>2</v>
      </c>
      <c r="B41" s="74" t="s">
        <v>59</v>
      </c>
      <c r="C41" s="74"/>
      <c r="D41" s="74"/>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row>
    <row r="42" spans="1:1019" ht="24" customHeight="1" x14ac:dyDescent="0.3">
      <c r="A42" s="36">
        <v>2.1</v>
      </c>
      <c r="B42" s="75" t="s">
        <v>60</v>
      </c>
      <c r="C42" s="75"/>
      <c r="D42" s="75"/>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row>
    <row r="43" spans="1:1019" ht="58.35" customHeight="1" x14ac:dyDescent="0.3">
      <c r="A43" s="36"/>
      <c r="B43" s="37" t="s">
        <v>61</v>
      </c>
      <c r="C43" s="45" t="s">
        <v>62</v>
      </c>
      <c r="D43" s="37" t="s">
        <v>63</v>
      </c>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c r="AMB43" s="2"/>
      <c r="AMC43" s="2"/>
      <c r="AMD43" s="2"/>
      <c r="AME43" s="2"/>
    </row>
    <row r="44" spans="1:1019" ht="37.5" customHeight="1" x14ac:dyDescent="0.3">
      <c r="A44" s="59"/>
      <c r="B44" s="43" t="s">
        <v>64</v>
      </c>
      <c r="C44" s="45" t="s">
        <v>62</v>
      </c>
      <c r="D44" s="43">
        <v>50</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c r="AMB44" s="2"/>
      <c r="AMC44" s="2"/>
      <c r="AMD44" s="2"/>
      <c r="AME44" s="2"/>
    </row>
    <row r="45" spans="1:1019" ht="15.75" customHeight="1" x14ac:dyDescent="0.3">
      <c r="A45" s="59"/>
      <c r="B45" s="43" t="s">
        <v>65</v>
      </c>
      <c r="C45" s="45" t="s">
        <v>62</v>
      </c>
      <c r="D45" s="11">
        <v>1</v>
      </c>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c r="ALT45" s="2"/>
      <c r="ALU45" s="2"/>
      <c r="ALV45" s="2"/>
      <c r="ALW45" s="2"/>
      <c r="ALX45" s="2"/>
      <c r="ALY45" s="2"/>
      <c r="ALZ45" s="2"/>
      <c r="AMA45" s="2"/>
      <c r="AMB45" s="2"/>
      <c r="AMC45" s="2"/>
      <c r="AMD45" s="2"/>
      <c r="AME45" s="2"/>
    </row>
    <row r="46" spans="1:1019" ht="21.75" customHeight="1" x14ac:dyDescent="0.3">
      <c r="A46" s="59"/>
      <c r="B46" s="43" t="s">
        <v>66</v>
      </c>
      <c r="C46" s="45" t="s">
        <v>62</v>
      </c>
      <c r="D46" s="43">
        <f>D17</f>
        <v>85</v>
      </c>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c r="ZZ46" s="2"/>
      <c r="AAA46" s="2"/>
      <c r="AAB46" s="2"/>
      <c r="AAC46" s="2"/>
      <c r="AAD46" s="2"/>
      <c r="AAE46" s="2"/>
      <c r="AAF46" s="2"/>
      <c r="AAG46" s="2"/>
      <c r="AAH46" s="2"/>
      <c r="AAI46" s="2"/>
      <c r="AAJ46" s="2"/>
      <c r="AAK46" s="2"/>
      <c r="AAL46" s="2"/>
      <c r="AAM46" s="2"/>
      <c r="AAN46" s="2"/>
      <c r="AAO46" s="2"/>
      <c r="AAP46" s="2"/>
      <c r="AAQ46" s="2"/>
      <c r="AAR46" s="2"/>
      <c r="AAS46" s="2"/>
      <c r="AAT46" s="2"/>
      <c r="AAU46" s="2"/>
      <c r="AAV46" s="2"/>
      <c r="AAW46" s="2"/>
      <c r="AAX46" s="2"/>
      <c r="AAY46" s="2"/>
      <c r="AAZ46" s="2"/>
      <c r="ABA46" s="2"/>
      <c r="ABB46" s="2"/>
      <c r="ABC46" s="2"/>
      <c r="ABD46" s="2"/>
      <c r="ABE46" s="2"/>
      <c r="ABF46" s="2"/>
      <c r="ABG46" s="2"/>
      <c r="ABH46" s="2"/>
      <c r="ABI46" s="2"/>
      <c r="ABJ46" s="2"/>
      <c r="ABK46" s="2"/>
      <c r="ABL46" s="2"/>
      <c r="ABM46" s="2"/>
      <c r="ABN46" s="2"/>
      <c r="ABO46" s="2"/>
      <c r="ABP46" s="2"/>
      <c r="ABQ46" s="2"/>
      <c r="ABR46" s="2"/>
      <c r="ABS46" s="2"/>
      <c r="ABT46" s="2"/>
      <c r="ABU46" s="2"/>
      <c r="ABV46" s="2"/>
      <c r="ABW46" s="2"/>
      <c r="ABX46" s="2"/>
      <c r="ABY46" s="2"/>
      <c r="ABZ46" s="2"/>
      <c r="ACA46" s="2"/>
      <c r="ACB46" s="2"/>
      <c r="ACC46" s="2"/>
      <c r="ACD46" s="2"/>
      <c r="ACE46" s="2"/>
      <c r="ACF46" s="2"/>
      <c r="ACG46" s="2"/>
      <c r="ACH46" s="2"/>
      <c r="ACI46" s="2"/>
      <c r="ACJ46" s="2"/>
      <c r="ACK46" s="2"/>
      <c r="ACL46" s="2"/>
      <c r="ACM46" s="2"/>
      <c r="ACN46" s="2"/>
      <c r="ACO46" s="2"/>
      <c r="ACP46" s="2"/>
      <c r="ACQ46" s="2"/>
      <c r="ACR46" s="2"/>
      <c r="ACS46" s="2"/>
      <c r="ACT46" s="2"/>
      <c r="ACU46" s="2"/>
      <c r="ACV46" s="2"/>
      <c r="ACW46" s="2"/>
      <c r="ACX46" s="2"/>
      <c r="ACY46" s="2"/>
      <c r="ACZ46" s="2"/>
      <c r="ADA46" s="2"/>
      <c r="ADB46" s="2"/>
      <c r="ADC46" s="2"/>
      <c r="ADD46" s="2"/>
      <c r="ADE46" s="2"/>
      <c r="ADF46" s="2"/>
      <c r="ADG46" s="2"/>
      <c r="ADH46" s="2"/>
      <c r="ADI46" s="2"/>
      <c r="ADJ46" s="2"/>
      <c r="ADK46" s="2"/>
      <c r="ADL46" s="2"/>
      <c r="ADM46" s="2"/>
      <c r="ADN46" s="2"/>
      <c r="ADO46" s="2"/>
      <c r="ADP46" s="2"/>
      <c r="ADQ46" s="2"/>
      <c r="ADR46" s="2"/>
      <c r="ADS46" s="2"/>
      <c r="ADT46" s="2"/>
      <c r="ADU46" s="2"/>
      <c r="ADV46" s="2"/>
      <c r="ADW46" s="2"/>
      <c r="ADX46" s="2"/>
      <c r="ADY46" s="2"/>
      <c r="ADZ46" s="2"/>
      <c r="AEA46" s="2"/>
      <c r="AEB46" s="2"/>
      <c r="AEC46" s="2"/>
      <c r="AED46" s="2"/>
      <c r="AEE46" s="2"/>
      <c r="AEF46" s="2"/>
      <c r="AEG46" s="2"/>
      <c r="AEH46" s="2"/>
      <c r="AEI46" s="2"/>
      <c r="AEJ46" s="2"/>
      <c r="AEK46" s="2"/>
      <c r="AEL46" s="2"/>
      <c r="AEM46" s="2"/>
      <c r="AEN46" s="2"/>
      <c r="AEO46" s="2"/>
      <c r="AEP46" s="2"/>
      <c r="AEQ46" s="2"/>
      <c r="AER46" s="2"/>
      <c r="AES46" s="2"/>
      <c r="AET46" s="2"/>
      <c r="AEU46" s="2"/>
      <c r="AEV46" s="2"/>
      <c r="AEW46" s="2"/>
      <c r="AEX46" s="2"/>
      <c r="AEY46" s="2"/>
      <c r="AEZ46" s="2"/>
      <c r="AFA46" s="2"/>
      <c r="AFB46" s="2"/>
      <c r="AFC46" s="2"/>
      <c r="AFD46" s="2"/>
      <c r="AFE46" s="2"/>
      <c r="AFF46" s="2"/>
      <c r="AFG46" s="2"/>
      <c r="AFH46" s="2"/>
      <c r="AFI46" s="2"/>
      <c r="AFJ46" s="2"/>
      <c r="AFK46" s="2"/>
      <c r="AFL46" s="2"/>
      <c r="AFM46" s="2"/>
      <c r="AFN46" s="2"/>
      <c r="AFO46" s="2"/>
      <c r="AFP46" s="2"/>
      <c r="AFQ46" s="2"/>
      <c r="AFR46" s="2"/>
      <c r="AFS46" s="2"/>
      <c r="AFT46" s="2"/>
      <c r="AFU46" s="2"/>
      <c r="AFV46" s="2"/>
      <c r="AFW46" s="2"/>
      <c r="AFX46" s="2"/>
      <c r="AFY46" s="2"/>
      <c r="AFZ46" s="2"/>
      <c r="AGA46" s="2"/>
      <c r="AGB46" s="2"/>
      <c r="AGC46" s="2"/>
      <c r="AGD46" s="2"/>
      <c r="AGE46" s="2"/>
      <c r="AGF46" s="2"/>
      <c r="AGG46" s="2"/>
      <c r="AGH46" s="2"/>
      <c r="AGI46" s="2"/>
      <c r="AGJ46" s="2"/>
      <c r="AGK46" s="2"/>
      <c r="AGL46" s="2"/>
      <c r="AGM46" s="2"/>
      <c r="AGN46" s="2"/>
      <c r="AGO46" s="2"/>
      <c r="AGP46" s="2"/>
      <c r="AGQ46" s="2"/>
      <c r="AGR46" s="2"/>
      <c r="AGS46" s="2"/>
      <c r="AGT46" s="2"/>
      <c r="AGU46" s="2"/>
      <c r="AGV46" s="2"/>
      <c r="AGW46" s="2"/>
      <c r="AGX46" s="2"/>
      <c r="AGY46" s="2"/>
      <c r="AGZ46" s="2"/>
      <c r="AHA46" s="2"/>
      <c r="AHB46" s="2"/>
      <c r="AHC46" s="2"/>
      <c r="AHD46" s="2"/>
      <c r="AHE46" s="2"/>
      <c r="AHF46" s="2"/>
      <c r="AHG46" s="2"/>
      <c r="AHH46" s="2"/>
      <c r="AHI46" s="2"/>
      <c r="AHJ46" s="2"/>
      <c r="AHK46" s="2"/>
      <c r="AHL46" s="2"/>
      <c r="AHM46" s="2"/>
      <c r="AHN46" s="2"/>
      <c r="AHO46" s="2"/>
      <c r="AHP46" s="2"/>
      <c r="AHQ46" s="2"/>
      <c r="AHR46" s="2"/>
      <c r="AHS46" s="2"/>
      <c r="AHT46" s="2"/>
      <c r="AHU46" s="2"/>
      <c r="AHV46" s="2"/>
      <c r="AHW46" s="2"/>
      <c r="AHX46" s="2"/>
      <c r="AHY46" s="2"/>
      <c r="AHZ46" s="2"/>
      <c r="AIA46" s="2"/>
      <c r="AIB46" s="2"/>
      <c r="AIC46" s="2"/>
      <c r="AID46" s="2"/>
      <c r="AIE46" s="2"/>
      <c r="AIF46" s="2"/>
      <c r="AIG46" s="2"/>
      <c r="AIH46" s="2"/>
      <c r="AII46" s="2"/>
      <c r="AIJ46" s="2"/>
      <c r="AIK46" s="2"/>
      <c r="AIL46" s="2"/>
      <c r="AIM46" s="2"/>
      <c r="AIN46" s="2"/>
      <c r="AIO46" s="2"/>
      <c r="AIP46" s="2"/>
      <c r="AIQ46" s="2"/>
      <c r="AIR46" s="2"/>
      <c r="AIS46" s="2"/>
      <c r="AIT46" s="2"/>
      <c r="AIU46" s="2"/>
      <c r="AIV46" s="2"/>
      <c r="AIW46" s="2"/>
      <c r="AIX46" s="2"/>
      <c r="AIY46" s="2"/>
      <c r="AIZ46" s="2"/>
      <c r="AJA46" s="2"/>
      <c r="AJB46" s="2"/>
      <c r="AJC46" s="2"/>
      <c r="AJD46" s="2"/>
      <c r="AJE46" s="2"/>
      <c r="AJF46" s="2"/>
      <c r="AJG46" s="2"/>
      <c r="AJH46" s="2"/>
      <c r="AJI46" s="2"/>
      <c r="AJJ46" s="2"/>
      <c r="AJK46" s="2"/>
      <c r="AJL46" s="2"/>
      <c r="AJM46" s="2"/>
      <c r="AJN46" s="2"/>
      <c r="AJO46" s="2"/>
      <c r="AJP46" s="2"/>
      <c r="AJQ46" s="2"/>
      <c r="AJR46" s="2"/>
      <c r="AJS46" s="2"/>
      <c r="AJT46" s="2"/>
      <c r="AJU46" s="2"/>
      <c r="AJV46" s="2"/>
      <c r="AJW46" s="2"/>
      <c r="AJX46" s="2"/>
      <c r="AJY46" s="2"/>
      <c r="AJZ46" s="2"/>
      <c r="AKA46" s="2"/>
      <c r="AKB46" s="2"/>
      <c r="AKC46" s="2"/>
      <c r="AKD46" s="2"/>
      <c r="AKE46" s="2"/>
      <c r="AKF46" s="2"/>
      <c r="AKG46" s="2"/>
      <c r="AKH46" s="2"/>
      <c r="AKI46" s="2"/>
      <c r="AKJ46" s="2"/>
      <c r="AKK46" s="2"/>
      <c r="AKL46" s="2"/>
      <c r="AKM46" s="2"/>
      <c r="AKN46" s="2"/>
      <c r="AKO46" s="2"/>
      <c r="AKP46" s="2"/>
      <c r="AKQ46" s="2"/>
      <c r="AKR46" s="2"/>
      <c r="AKS46" s="2"/>
      <c r="AKT46" s="2"/>
      <c r="AKU46" s="2"/>
      <c r="AKV46" s="2"/>
      <c r="AKW46" s="2"/>
      <c r="AKX46" s="2"/>
      <c r="AKY46" s="2"/>
      <c r="AKZ46" s="2"/>
      <c r="ALA46" s="2"/>
      <c r="ALB46" s="2"/>
      <c r="ALC46" s="2"/>
      <c r="ALD46" s="2"/>
      <c r="ALE46" s="2"/>
      <c r="ALF46" s="2"/>
      <c r="ALG46" s="2"/>
      <c r="ALH46" s="2"/>
      <c r="ALI46" s="2"/>
      <c r="ALJ46" s="2"/>
      <c r="ALK46" s="2"/>
      <c r="ALL46" s="2"/>
      <c r="ALM46" s="2"/>
      <c r="ALN46" s="2"/>
      <c r="ALO46" s="2"/>
      <c r="ALP46" s="2"/>
      <c r="ALQ46" s="2"/>
      <c r="ALR46" s="2"/>
      <c r="ALS46" s="2"/>
      <c r="ALT46" s="2"/>
      <c r="ALU46" s="2"/>
      <c r="ALV46" s="2"/>
      <c r="ALW46" s="2"/>
      <c r="ALX46" s="2"/>
      <c r="ALY46" s="2"/>
      <c r="ALZ46" s="2"/>
      <c r="AMA46" s="2"/>
      <c r="AMB46" s="2"/>
      <c r="AMC46" s="2"/>
      <c r="AMD46" s="2"/>
      <c r="AME46" s="2"/>
    </row>
    <row r="47" spans="1:1019" ht="21" customHeight="1" x14ac:dyDescent="0.3">
      <c r="A47" s="59"/>
      <c r="B47" s="43" t="s">
        <v>67</v>
      </c>
      <c r="C47" s="45" t="s">
        <v>62</v>
      </c>
      <c r="D47" s="11">
        <v>200</v>
      </c>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c r="ABI47" s="2"/>
      <c r="ABJ47" s="2"/>
      <c r="ABK47" s="2"/>
      <c r="ABL47" s="2"/>
      <c r="ABM47" s="2"/>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c r="AKP47" s="2"/>
      <c r="AKQ47" s="2"/>
      <c r="AKR47" s="2"/>
      <c r="AKS47" s="2"/>
      <c r="AKT47" s="2"/>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c r="AMA47" s="2"/>
      <c r="AMB47" s="2"/>
      <c r="AMC47" s="2"/>
      <c r="AMD47" s="2"/>
      <c r="AME47" s="2"/>
    </row>
    <row r="48" spans="1:1019" ht="23.25" customHeight="1" x14ac:dyDescent="0.3">
      <c r="A48" s="37"/>
      <c r="B48" s="37" t="s">
        <v>68</v>
      </c>
      <c r="C48" s="45" t="s">
        <v>62</v>
      </c>
      <c r="D48" s="43">
        <f>(D44*1000/SQRT(D45))/(14*IMPOWER(10,4)*SQRT(LOG10((D46+258)/(D47+258))*-1))</f>
        <v>1.0078517940743343</v>
      </c>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c r="AFJ48" s="2"/>
      <c r="AFK48" s="2"/>
      <c r="AFL48" s="2"/>
      <c r="AFM48" s="2"/>
      <c r="AFN48" s="2"/>
      <c r="AFO48" s="2"/>
      <c r="AFP48" s="2"/>
      <c r="AFQ48" s="2"/>
      <c r="AFR48" s="2"/>
      <c r="AFS48" s="2"/>
      <c r="AFT48" s="2"/>
      <c r="AFU48" s="2"/>
      <c r="AFV48" s="2"/>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c r="AMC48" s="2"/>
      <c r="AMD48" s="2"/>
      <c r="AME48" s="2"/>
    </row>
    <row r="49" spans="1:1019" ht="21" customHeight="1" x14ac:dyDescent="0.3">
      <c r="A49" s="37"/>
      <c r="B49" s="37" t="s">
        <v>69</v>
      </c>
      <c r="C49" s="45"/>
      <c r="D49" s="50">
        <f>D48*645.16</f>
        <v>650.22566346499752</v>
      </c>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c r="ZZ49" s="2"/>
      <c r="AAA49" s="2"/>
      <c r="AAB49" s="2"/>
      <c r="AAC49" s="2"/>
      <c r="AAD49" s="2"/>
      <c r="AAE49" s="2"/>
      <c r="AAF49" s="2"/>
      <c r="AAG49" s="2"/>
      <c r="AAH49" s="2"/>
      <c r="AAI49" s="2"/>
      <c r="AAJ49" s="2"/>
      <c r="AAK49" s="2"/>
      <c r="AAL49" s="2"/>
      <c r="AAM49" s="2"/>
      <c r="AAN49" s="2"/>
      <c r="AAO49" s="2"/>
      <c r="AAP49" s="2"/>
      <c r="AAQ49" s="2"/>
      <c r="AAR49" s="2"/>
      <c r="AAS49" s="2"/>
      <c r="AAT49" s="2"/>
      <c r="AAU49" s="2"/>
      <c r="AAV49" s="2"/>
      <c r="AAW49" s="2"/>
      <c r="AAX49" s="2"/>
      <c r="AAY49" s="2"/>
      <c r="AAZ49" s="2"/>
      <c r="ABA49" s="2"/>
      <c r="ABB49" s="2"/>
      <c r="ABC49" s="2"/>
      <c r="ABD49" s="2"/>
      <c r="ABE49" s="2"/>
      <c r="ABF49" s="2"/>
      <c r="ABG49" s="2"/>
      <c r="ABH49" s="2"/>
      <c r="ABI49" s="2"/>
      <c r="ABJ49" s="2"/>
      <c r="ABK49" s="2"/>
      <c r="ABL49" s="2"/>
      <c r="ABM49" s="2"/>
      <c r="ABN49" s="2"/>
      <c r="ABO49" s="2"/>
      <c r="ABP49" s="2"/>
      <c r="ABQ49" s="2"/>
      <c r="ABR49" s="2"/>
      <c r="ABS49" s="2"/>
      <c r="ABT49" s="2"/>
      <c r="ABU49" s="2"/>
      <c r="ABV49" s="2"/>
      <c r="ABW49" s="2"/>
      <c r="ABX49" s="2"/>
      <c r="ABY49" s="2"/>
      <c r="ABZ49" s="2"/>
      <c r="ACA49" s="2"/>
      <c r="ACB49" s="2"/>
      <c r="ACC49" s="2"/>
      <c r="ACD49" s="2"/>
      <c r="ACE49" s="2"/>
      <c r="ACF49" s="2"/>
      <c r="ACG49" s="2"/>
      <c r="ACH49" s="2"/>
      <c r="ACI49" s="2"/>
      <c r="ACJ49" s="2"/>
      <c r="ACK49" s="2"/>
      <c r="ACL49" s="2"/>
      <c r="ACM49" s="2"/>
      <c r="ACN49" s="2"/>
      <c r="ACO49" s="2"/>
      <c r="ACP49" s="2"/>
      <c r="ACQ49" s="2"/>
      <c r="ACR49" s="2"/>
      <c r="ACS49" s="2"/>
      <c r="ACT49" s="2"/>
      <c r="ACU49" s="2"/>
      <c r="ACV49" s="2"/>
      <c r="ACW49" s="2"/>
      <c r="ACX49" s="2"/>
      <c r="ACY49" s="2"/>
      <c r="ACZ49" s="2"/>
      <c r="ADA49" s="2"/>
      <c r="ADB49" s="2"/>
      <c r="ADC49" s="2"/>
      <c r="ADD49" s="2"/>
      <c r="ADE49" s="2"/>
      <c r="ADF49" s="2"/>
      <c r="ADG49" s="2"/>
      <c r="ADH49" s="2"/>
      <c r="ADI49" s="2"/>
      <c r="ADJ49" s="2"/>
      <c r="ADK49" s="2"/>
      <c r="ADL49" s="2"/>
      <c r="ADM49" s="2"/>
      <c r="ADN49" s="2"/>
      <c r="ADO49" s="2"/>
      <c r="ADP49" s="2"/>
      <c r="ADQ49" s="2"/>
      <c r="ADR49" s="2"/>
      <c r="ADS49" s="2"/>
      <c r="ADT49" s="2"/>
      <c r="ADU49" s="2"/>
      <c r="ADV49" s="2"/>
      <c r="ADW49" s="2"/>
      <c r="ADX49" s="2"/>
      <c r="ADY49" s="2"/>
      <c r="ADZ49" s="2"/>
      <c r="AEA49" s="2"/>
      <c r="AEB49" s="2"/>
      <c r="AEC49" s="2"/>
      <c r="AED49" s="2"/>
      <c r="AEE49" s="2"/>
      <c r="AEF49" s="2"/>
      <c r="AEG49" s="2"/>
      <c r="AEH49" s="2"/>
      <c r="AEI49" s="2"/>
      <c r="AEJ49" s="2"/>
      <c r="AEK49" s="2"/>
      <c r="AEL49" s="2"/>
      <c r="AEM49" s="2"/>
      <c r="AEN49" s="2"/>
      <c r="AEO49" s="2"/>
      <c r="AEP49" s="2"/>
      <c r="AEQ49" s="2"/>
      <c r="AER49" s="2"/>
      <c r="AES49" s="2"/>
      <c r="AET49" s="2"/>
      <c r="AEU49" s="2"/>
      <c r="AEV49" s="2"/>
      <c r="AEW49" s="2"/>
      <c r="AEX49" s="2"/>
      <c r="AEY49" s="2"/>
      <c r="AEZ49" s="2"/>
      <c r="AFA49" s="2"/>
      <c r="AFB49" s="2"/>
      <c r="AFC49" s="2"/>
      <c r="AFD49" s="2"/>
      <c r="AFE49" s="2"/>
      <c r="AFF49" s="2"/>
      <c r="AFG49" s="2"/>
      <c r="AFH49" s="2"/>
      <c r="AFI49" s="2"/>
      <c r="AFJ49" s="2"/>
      <c r="AFK49" s="2"/>
      <c r="AFL49" s="2"/>
      <c r="AFM49" s="2"/>
      <c r="AFN49" s="2"/>
      <c r="AFO49" s="2"/>
      <c r="AFP49" s="2"/>
      <c r="AFQ49" s="2"/>
      <c r="AFR49" s="2"/>
      <c r="AFS49" s="2"/>
      <c r="AFT49" s="2"/>
      <c r="AFU49" s="2"/>
      <c r="AFV49" s="2"/>
      <c r="AFW49" s="2"/>
      <c r="AFX49" s="2"/>
      <c r="AFY49" s="2"/>
      <c r="AFZ49" s="2"/>
      <c r="AGA49" s="2"/>
      <c r="AGB49" s="2"/>
      <c r="AGC49" s="2"/>
      <c r="AGD49" s="2"/>
      <c r="AGE49" s="2"/>
      <c r="AGF49" s="2"/>
      <c r="AGG49" s="2"/>
      <c r="AGH49" s="2"/>
      <c r="AGI49" s="2"/>
      <c r="AGJ49" s="2"/>
      <c r="AGK49" s="2"/>
      <c r="AGL49" s="2"/>
      <c r="AGM49" s="2"/>
      <c r="AGN49" s="2"/>
      <c r="AGO49" s="2"/>
      <c r="AGP49" s="2"/>
      <c r="AGQ49" s="2"/>
      <c r="AGR49" s="2"/>
      <c r="AGS49" s="2"/>
      <c r="AGT49" s="2"/>
      <c r="AGU49" s="2"/>
      <c r="AGV49" s="2"/>
      <c r="AGW49" s="2"/>
      <c r="AGX49" s="2"/>
      <c r="AGY49" s="2"/>
      <c r="AGZ49" s="2"/>
      <c r="AHA49" s="2"/>
      <c r="AHB49" s="2"/>
      <c r="AHC49" s="2"/>
      <c r="AHD49" s="2"/>
      <c r="AHE49" s="2"/>
      <c r="AHF49" s="2"/>
      <c r="AHG49" s="2"/>
      <c r="AHH49" s="2"/>
      <c r="AHI49" s="2"/>
      <c r="AHJ49" s="2"/>
      <c r="AHK49" s="2"/>
      <c r="AHL49" s="2"/>
      <c r="AHM49" s="2"/>
      <c r="AHN49" s="2"/>
      <c r="AHO49" s="2"/>
      <c r="AHP49" s="2"/>
      <c r="AHQ49" s="2"/>
      <c r="AHR49" s="2"/>
      <c r="AHS49" s="2"/>
      <c r="AHT49" s="2"/>
      <c r="AHU49" s="2"/>
      <c r="AHV49" s="2"/>
      <c r="AHW49" s="2"/>
      <c r="AHX49" s="2"/>
      <c r="AHY49" s="2"/>
      <c r="AHZ49" s="2"/>
      <c r="AIA49" s="2"/>
      <c r="AIB49" s="2"/>
      <c r="AIC49" s="2"/>
      <c r="AID49" s="2"/>
      <c r="AIE49" s="2"/>
      <c r="AIF49" s="2"/>
      <c r="AIG49" s="2"/>
      <c r="AIH49" s="2"/>
      <c r="AII49" s="2"/>
      <c r="AIJ49" s="2"/>
      <c r="AIK49" s="2"/>
      <c r="AIL49" s="2"/>
      <c r="AIM49" s="2"/>
      <c r="AIN49" s="2"/>
      <c r="AIO49" s="2"/>
      <c r="AIP49" s="2"/>
      <c r="AIQ49" s="2"/>
      <c r="AIR49" s="2"/>
      <c r="AIS49" s="2"/>
      <c r="AIT49" s="2"/>
      <c r="AIU49" s="2"/>
      <c r="AIV49" s="2"/>
      <c r="AIW49" s="2"/>
      <c r="AIX49" s="2"/>
      <c r="AIY49" s="2"/>
      <c r="AIZ49" s="2"/>
      <c r="AJA49" s="2"/>
      <c r="AJB49" s="2"/>
      <c r="AJC49" s="2"/>
      <c r="AJD49" s="2"/>
      <c r="AJE49" s="2"/>
      <c r="AJF49" s="2"/>
      <c r="AJG49" s="2"/>
      <c r="AJH49" s="2"/>
      <c r="AJI49" s="2"/>
      <c r="AJJ49" s="2"/>
      <c r="AJK49" s="2"/>
      <c r="AJL49" s="2"/>
      <c r="AJM49" s="2"/>
      <c r="AJN49" s="2"/>
      <c r="AJO49" s="2"/>
      <c r="AJP49" s="2"/>
      <c r="AJQ49" s="2"/>
      <c r="AJR49" s="2"/>
      <c r="AJS49" s="2"/>
      <c r="AJT49" s="2"/>
      <c r="AJU49" s="2"/>
      <c r="AJV49" s="2"/>
      <c r="AJW49" s="2"/>
      <c r="AJX49" s="2"/>
      <c r="AJY49" s="2"/>
      <c r="AJZ49" s="2"/>
      <c r="AKA49" s="2"/>
      <c r="AKB49" s="2"/>
      <c r="AKC49" s="2"/>
      <c r="AKD49" s="2"/>
      <c r="AKE49" s="2"/>
      <c r="AKF49" s="2"/>
      <c r="AKG49" s="2"/>
      <c r="AKH49" s="2"/>
      <c r="AKI49" s="2"/>
      <c r="AKJ49" s="2"/>
      <c r="AKK49" s="2"/>
      <c r="AKL49" s="2"/>
      <c r="AKM49" s="2"/>
      <c r="AKN49" s="2"/>
      <c r="AKO49" s="2"/>
      <c r="AKP49" s="2"/>
      <c r="AKQ49" s="2"/>
      <c r="AKR49" s="2"/>
      <c r="AKS49" s="2"/>
      <c r="AKT49" s="2"/>
      <c r="AKU49" s="2"/>
      <c r="AKV49" s="2"/>
      <c r="AKW49" s="2"/>
      <c r="AKX49" s="2"/>
      <c r="AKY49" s="2"/>
      <c r="AKZ49" s="2"/>
      <c r="ALA49" s="2"/>
      <c r="ALB49" s="2"/>
      <c r="ALC49" s="2"/>
      <c r="ALD49" s="2"/>
      <c r="ALE49" s="2"/>
      <c r="ALF49" s="2"/>
      <c r="ALG49" s="2"/>
      <c r="ALH49" s="2"/>
      <c r="ALI49" s="2"/>
      <c r="ALJ49" s="2"/>
      <c r="ALK49" s="2"/>
      <c r="ALL49" s="2"/>
      <c r="ALM49" s="2"/>
      <c r="ALN49" s="2"/>
      <c r="ALO49" s="2"/>
      <c r="ALP49" s="2"/>
      <c r="ALQ49" s="2"/>
      <c r="ALR49" s="2"/>
      <c r="ALS49" s="2"/>
      <c r="ALT49" s="2"/>
      <c r="ALU49" s="2"/>
      <c r="ALV49" s="2"/>
      <c r="ALW49" s="2"/>
      <c r="ALX49" s="2"/>
      <c r="ALY49" s="2"/>
      <c r="ALZ49" s="2"/>
      <c r="AMA49" s="2"/>
      <c r="AMB49" s="2"/>
      <c r="AMC49" s="2"/>
      <c r="AMD49" s="2"/>
      <c r="AME49" s="2"/>
    </row>
    <row r="50" spans="1:1019" ht="29.25" customHeight="1" x14ac:dyDescent="0.3">
      <c r="A50" s="36">
        <v>2.2000000000000002</v>
      </c>
      <c r="B50" s="37" t="s">
        <v>70</v>
      </c>
      <c r="C50" s="45"/>
      <c r="D50" s="15" t="s">
        <v>71</v>
      </c>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c r="ZZ50" s="2"/>
      <c r="AAA50" s="2"/>
      <c r="AAB50" s="2"/>
      <c r="AAC50" s="2"/>
      <c r="AAD50" s="2"/>
      <c r="AAE50" s="2"/>
      <c r="AAF50" s="2"/>
      <c r="AAG50" s="2"/>
      <c r="AAH50" s="2"/>
      <c r="AAI50" s="2"/>
      <c r="AAJ50" s="2"/>
      <c r="AAK50" s="2"/>
      <c r="AAL50" s="2"/>
      <c r="AAM50" s="2"/>
      <c r="AAN50" s="2"/>
      <c r="AAO50" s="2"/>
      <c r="AAP50" s="2"/>
      <c r="AAQ50" s="2"/>
      <c r="AAR50" s="2"/>
      <c r="AAS50" s="2"/>
      <c r="AAT50" s="2"/>
      <c r="AAU50" s="2"/>
      <c r="AAV50" s="2"/>
      <c r="AAW50" s="2"/>
      <c r="AAX50" s="2"/>
      <c r="AAY50" s="2"/>
      <c r="AAZ50" s="2"/>
      <c r="ABA50" s="2"/>
      <c r="ABB50" s="2"/>
      <c r="ABC50" s="2"/>
      <c r="ABD50" s="2"/>
      <c r="ABE50" s="2"/>
      <c r="ABF50" s="2"/>
      <c r="ABG50" s="2"/>
      <c r="ABH50" s="2"/>
      <c r="ABI50" s="2"/>
      <c r="ABJ50" s="2"/>
      <c r="ABK50" s="2"/>
      <c r="ABL50" s="2"/>
      <c r="ABM50" s="2"/>
      <c r="ABN50" s="2"/>
      <c r="ABO50" s="2"/>
      <c r="ABP50" s="2"/>
      <c r="ABQ50" s="2"/>
      <c r="ABR50" s="2"/>
      <c r="ABS50" s="2"/>
      <c r="ABT50" s="2"/>
      <c r="ABU50" s="2"/>
      <c r="ABV50" s="2"/>
      <c r="ABW50" s="2"/>
      <c r="ABX50" s="2"/>
      <c r="ABY50" s="2"/>
      <c r="ABZ50" s="2"/>
      <c r="ACA50" s="2"/>
      <c r="ACB50" s="2"/>
      <c r="ACC50" s="2"/>
      <c r="ACD50" s="2"/>
      <c r="ACE50" s="2"/>
      <c r="ACF50" s="2"/>
      <c r="ACG50" s="2"/>
      <c r="ACH50" s="2"/>
      <c r="ACI50" s="2"/>
      <c r="ACJ50" s="2"/>
      <c r="ACK50" s="2"/>
      <c r="ACL50" s="2"/>
      <c r="ACM50" s="2"/>
      <c r="ACN50" s="2"/>
      <c r="ACO50" s="2"/>
      <c r="ACP50" s="2"/>
      <c r="ACQ50" s="2"/>
      <c r="ACR50" s="2"/>
      <c r="ACS50" s="2"/>
      <c r="ACT50" s="2"/>
      <c r="ACU50" s="2"/>
      <c r="ACV50" s="2"/>
      <c r="ACW50" s="2"/>
      <c r="ACX50" s="2"/>
      <c r="ACY50" s="2"/>
      <c r="ACZ50" s="2"/>
      <c r="ADA50" s="2"/>
      <c r="ADB50" s="2"/>
      <c r="ADC50" s="2"/>
      <c r="ADD50" s="2"/>
      <c r="ADE50" s="2"/>
      <c r="ADF50" s="2"/>
      <c r="ADG50" s="2"/>
      <c r="ADH50" s="2"/>
      <c r="ADI50" s="2"/>
      <c r="ADJ50" s="2"/>
      <c r="ADK50" s="2"/>
      <c r="ADL50" s="2"/>
      <c r="ADM50" s="2"/>
      <c r="ADN50" s="2"/>
      <c r="ADO50" s="2"/>
      <c r="ADP50" s="2"/>
      <c r="ADQ50" s="2"/>
      <c r="ADR50" s="2"/>
      <c r="ADS50" s="2"/>
      <c r="ADT50" s="2"/>
      <c r="ADU50" s="2"/>
      <c r="ADV50" s="2"/>
      <c r="ADW50" s="2"/>
      <c r="ADX50" s="2"/>
      <c r="ADY50" s="2"/>
      <c r="ADZ50" s="2"/>
      <c r="AEA50" s="2"/>
      <c r="AEB50" s="2"/>
      <c r="AEC50" s="2"/>
      <c r="AED50" s="2"/>
      <c r="AEE50" s="2"/>
      <c r="AEF50" s="2"/>
      <c r="AEG50" s="2"/>
      <c r="AEH50" s="2"/>
      <c r="AEI50" s="2"/>
      <c r="AEJ50" s="2"/>
      <c r="AEK50" s="2"/>
      <c r="AEL50" s="2"/>
      <c r="AEM50" s="2"/>
      <c r="AEN50" s="2"/>
      <c r="AEO50" s="2"/>
      <c r="AEP50" s="2"/>
      <c r="AEQ50" s="2"/>
      <c r="AER50" s="2"/>
      <c r="AES50" s="2"/>
      <c r="AET50" s="2"/>
      <c r="AEU50" s="2"/>
      <c r="AEV50" s="2"/>
      <c r="AEW50" s="2"/>
      <c r="AEX50" s="2"/>
      <c r="AEY50" s="2"/>
      <c r="AEZ50" s="2"/>
      <c r="AFA50" s="2"/>
      <c r="AFB50" s="2"/>
      <c r="AFC50" s="2"/>
      <c r="AFD50" s="2"/>
      <c r="AFE50" s="2"/>
      <c r="AFF50" s="2"/>
      <c r="AFG50" s="2"/>
      <c r="AFH50" s="2"/>
      <c r="AFI50" s="2"/>
      <c r="AFJ50" s="2"/>
      <c r="AFK50" s="2"/>
      <c r="AFL50" s="2"/>
      <c r="AFM50" s="2"/>
      <c r="AFN50" s="2"/>
      <c r="AFO50" s="2"/>
      <c r="AFP50" s="2"/>
      <c r="AFQ50" s="2"/>
      <c r="AFR50" s="2"/>
      <c r="AFS50" s="2"/>
      <c r="AFT50" s="2"/>
      <c r="AFU50" s="2"/>
      <c r="AFV50" s="2"/>
      <c r="AFW50" s="2"/>
      <c r="AFX50" s="2"/>
      <c r="AFY50" s="2"/>
      <c r="AFZ50" s="2"/>
      <c r="AGA50" s="2"/>
      <c r="AGB50" s="2"/>
      <c r="AGC50" s="2"/>
      <c r="AGD50" s="2"/>
      <c r="AGE50" s="2"/>
      <c r="AGF50" s="2"/>
      <c r="AGG50" s="2"/>
      <c r="AGH50" s="2"/>
      <c r="AGI50" s="2"/>
      <c r="AGJ50" s="2"/>
      <c r="AGK50" s="2"/>
      <c r="AGL50" s="2"/>
      <c r="AGM50" s="2"/>
      <c r="AGN50" s="2"/>
      <c r="AGO50" s="2"/>
      <c r="AGP50" s="2"/>
      <c r="AGQ50" s="2"/>
      <c r="AGR50" s="2"/>
      <c r="AGS50" s="2"/>
      <c r="AGT50" s="2"/>
      <c r="AGU50" s="2"/>
      <c r="AGV50" s="2"/>
      <c r="AGW50" s="2"/>
      <c r="AGX50" s="2"/>
      <c r="AGY50" s="2"/>
      <c r="AGZ50" s="2"/>
      <c r="AHA50" s="2"/>
      <c r="AHB50" s="2"/>
      <c r="AHC50" s="2"/>
      <c r="AHD50" s="2"/>
      <c r="AHE50" s="2"/>
      <c r="AHF50" s="2"/>
      <c r="AHG50" s="2"/>
      <c r="AHH50" s="2"/>
      <c r="AHI50" s="2"/>
      <c r="AHJ50" s="2"/>
      <c r="AHK50" s="2"/>
      <c r="AHL50" s="2"/>
      <c r="AHM50" s="2"/>
      <c r="AHN50" s="2"/>
      <c r="AHO50" s="2"/>
      <c r="AHP50" s="2"/>
      <c r="AHQ50" s="2"/>
      <c r="AHR50" s="2"/>
      <c r="AHS50" s="2"/>
      <c r="AHT50" s="2"/>
      <c r="AHU50" s="2"/>
      <c r="AHV50" s="2"/>
      <c r="AHW50" s="2"/>
      <c r="AHX50" s="2"/>
      <c r="AHY50" s="2"/>
      <c r="AHZ50" s="2"/>
      <c r="AIA50" s="2"/>
      <c r="AIB50" s="2"/>
      <c r="AIC50" s="2"/>
      <c r="AID50" s="2"/>
      <c r="AIE50" s="2"/>
      <c r="AIF50" s="2"/>
      <c r="AIG50" s="2"/>
      <c r="AIH50" s="2"/>
      <c r="AII50" s="2"/>
      <c r="AIJ50" s="2"/>
      <c r="AIK50" s="2"/>
      <c r="AIL50" s="2"/>
      <c r="AIM50" s="2"/>
      <c r="AIN50" s="2"/>
      <c r="AIO50" s="2"/>
      <c r="AIP50" s="2"/>
      <c r="AIQ50" s="2"/>
      <c r="AIR50" s="2"/>
      <c r="AIS50" s="2"/>
      <c r="AIT50" s="2"/>
      <c r="AIU50" s="2"/>
      <c r="AIV50" s="2"/>
      <c r="AIW50" s="2"/>
      <c r="AIX50" s="2"/>
      <c r="AIY50" s="2"/>
      <c r="AIZ50" s="2"/>
      <c r="AJA50" s="2"/>
      <c r="AJB50" s="2"/>
      <c r="AJC50" s="2"/>
      <c r="AJD50" s="2"/>
      <c r="AJE50" s="2"/>
      <c r="AJF50" s="2"/>
      <c r="AJG50" s="2"/>
      <c r="AJH50" s="2"/>
      <c r="AJI50" s="2"/>
      <c r="AJJ50" s="2"/>
      <c r="AJK50" s="2"/>
      <c r="AJL50" s="2"/>
      <c r="AJM50" s="2"/>
      <c r="AJN50" s="2"/>
      <c r="AJO50" s="2"/>
      <c r="AJP50" s="2"/>
      <c r="AJQ50" s="2"/>
      <c r="AJR50" s="2"/>
      <c r="AJS50" s="2"/>
      <c r="AJT50" s="2"/>
      <c r="AJU50" s="2"/>
      <c r="AJV50" s="2"/>
      <c r="AJW50" s="2"/>
      <c r="AJX50" s="2"/>
      <c r="AJY50" s="2"/>
      <c r="AJZ50" s="2"/>
      <c r="AKA50" s="2"/>
      <c r="AKB50" s="2"/>
      <c r="AKC50" s="2"/>
      <c r="AKD50" s="2"/>
      <c r="AKE50" s="2"/>
      <c r="AKF50" s="2"/>
      <c r="AKG50" s="2"/>
      <c r="AKH50" s="2"/>
      <c r="AKI50" s="2"/>
      <c r="AKJ50" s="2"/>
      <c r="AKK50" s="2"/>
      <c r="AKL50" s="2"/>
      <c r="AKM50" s="2"/>
      <c r="AKN50" s="2"/>
      <c r="AKO50" s="2"/>
      <c r="AKP50" s="2"/>
      <c r="AKQ50" s="2"/>
      <c r="AKR50" s="2"/>
      <c r="AKS50" s="2"/>
      <c r="AKT50" s="2"/>
      <c r="AKU50" s="2"/>
      <c r="AKV50" s="2"/>
      <c r="AKW50" s="2"/>
      <c r="AKX50" s="2"/>
      <c r="AKY50" s="2"/>
      <c r="AKZ50" s="2"/>
      <c r="ALA50" s="2"/>
      <c r="ALB50" s="2"/>
      <c r="ALC50" s="2"/>
      <c r="ALD50" s="2"/>
      <c r="ALE50" s="2"/>
      <c r="ALF50" s="2"/>
      <c r="ALG50" s="2"/>
      <c r="ALH50" s="2"/>
      <c r="ALI50" s="2"/>
      <c r="ALJ50" s="2"/>
      <c r="ALK50" s="2"/>
      <c r="ALL50" s="2"/>
      <c r="ALM50" s="2"/>
      <c r="ALN50" s="2"/>
      <c r="ALO50" s="2"/>
      <c r="ALP50" s="2"/>
      <c r="ALQ50" s="2"/>
      <c r="ALR50" s="2"/>
      <c r="ALS50" s="2"/>
      <c r="ALT50" s="2"/>
      <c r="ALU50" s="2"/>
      <c r="ALV50" s="2"/>
      <c r="ALW50" s="2"/>
      <c r="ALX50" s="2"/>
      <c r="ALY50" s="2"/>
      <c r="ALZ50" s="2"/>
      <c r="AMA50" s="2"/>
      <c r="AMB50" s="2"/>
      <c r="AMC50" s="2"/>
      <c r="AMD50" s="2"/>
      <c r="AME50" s="2"/>
    </row>
    <row r="51" spans="1:1019" ht="33" customHeight="1" x14ac:dyDescent="0.3">
      <c r="A51" s="52">
        <v>2.2000000000000002</v>
      </c>
      <c r="B51" s="53" t="s">
        <v>72</v>
      </c>
      <c r="C51" s="56" t="s">
        <v>62</v>
      </c>
      <c r="D51" s="16">
        <f>D27</f>
        <v>1250</v>
      </c>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c r="AME51" s="2"/>
    </row>
    <row r="52" spans="1:1019" ht="21" customHeight="1" x14ac:dyDescent="0.3">
      <c r="A52" s="76">
        <v>2.2999999999999998</v>
      </c>
      <c r="B52" s="77" t="s">
        <v>73</v>
      </c>
      <c r="C52" s="77"/>
      <c r="D52" s="77"/>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c r="ZZ52" s="2"/>
      <c r="AAA52" s="2"/>
      <c r="AAB52" s="2"/>
      <c r="AAC52" s="2"/>
      <c r="AAD52" s="2"/>
      <c r="AAE52" s="2"/>
      <c r="AAF52" s="2"/>
      <c r="AAG52" s="2"/>
      <c r="AAH52" s="2"/>
      <c r="AAI52" s="2"/>
      <c r="AAJ52" s="2"/>
      <c r="AAK52" s="2"/>
      <c r="AAL52" s="2"/>
      <c r="AAM52" s="2"/>
      <c r="AAN52" s="2"/>
      <c r="AAO52" s="2"/>
      <c r="AAP52" s="2"/>
      <c r="AAQ52" s="2"/>
      <c r="AAR52" s="2"/>
      <c r="AAS52" s="2"/>
      <c r="AAT52" s="2"/>
      <c r="AAU52" s="2"/>
      <c r="AAV52" s="2"/>
      <c r="AAW52" s="2"/>
      <c r="AAX52" s="2"/>
      <c r="AAY52" s="2"/>
      <c r="AAZ52" s="2"/>
      <c r="ABA52" s="2"/>
      <c r="ABB52" s="2"/>
      <c r="ABC52" s="2"/>
      <c r="ABD52" s="2"/>
      <c r="ABE52" s="2"/>
      <c r="ABF52" s="2"/>
      <c r="ABG52" s="2"/>
      <c r="ABH52" s="2"/>
      <c r="ABI52" s="2"/>
      <c r="ABJ52" s="2"/>
      <c r="ABK52" s="2"/>
      <c r="ABL52" s="2"/>
      <c r="ABM52" s="2"/>
      <c r="ABN52" s="2"/>
      <c r="ABO52" s="2"/>
      <c r="ABP52" s="2"/>
      <c r="ABQ52" s="2"/>
      <c r="ABR52" s="2"/>
      <c r="ABS52" s="2"/>
      <c r="ABT52" s="2"/>
      <c r="ABU52" s="2"/>
      <c r="ABV52" s="2"/>
      <c r="ABW52" s="2"/>
      <c r="ABX52" s="2"/>
      <c r="ABY52" s="2"/>
      <c r="ABZ52" s="2"/>
      <c r="ACA52" s="2"/>
      <c r="ACB52" s="2"/>
      <c r="ACC52" s="2"/>
      <c r="ACD52" s="2"/>
      <c r="ACE52" s="2"/>
      <c r="ACF52" s="2"/>
      <c r="ACG52" s="2"/>
      <c r="ACH52" s="2"/>
      <c r="ACI52" s="2"/>
      <c r="ACJ52" s="2"/>
      <c r="ACK52" s="2"/>
      <c r="ACL52" s="2"/>
      <c r="ACM52" s="2"/>
      <c r="ACN52" s="2"/>
      <c r="ACO52" s="2"/>
      <c r="ACP52" s="2"/>
      <c r="ACQ52" s="2"/>
      <c r="ACR52" s="2"/>
      <c r="ACS52" s="2"/>
      <c r="ACT52" s="2"/>
      <c r="ACU52" s="2"/>
      <c r="ACV52" s="2"/>
      <c r="ACW52" s="2"/>
      <c r="ACX52" s="2"/>
      <c r="ACY52" s="2"/>
      <c r="ACZ52" s="2"/>
      <c r="ADA52" s="2"/>
      <c r="ADB52" s="2"/>
      <c r="ADC52" s="2"/>
      <c r="ADD52" s="2"/>
      <c r="ADE52" s="2"/>
      <c r="ADF52" s="2"/>
      <c r="ADG52" s="2"/>
      <c r="ADH52" s="2"/>
      <c r="ADI52" s="2"/>
      <c r="ADJ52" s="2"/>
      <c r="ADK52" s="2"/>
      <c r="ADL52" s="2"/>
      <c r="ADM52" s="2"/>
      <c r="ADN52" s="2"/>
      <c r="ADO52" s="2"/>
      <c r="ADP52" s="2"/>
      <c r="ADQ52" s="2"/>
      <c r="ADR52" s="2"/>
      <c r="ADS52" s="2"/>
      <c r="ADT52" s="2"/>
      <c r="ADU52" s="2"/>
      <c r="ADV52" s="2"/>
      <c r="ADW52" s="2"/>
      <c r="ADX52" s="2"/>
      <c r="ADY52" s="2"/>
      <c r="ADZ52" s="2"/>
      <c r="AEA52" s="2"/>
      <c r="AEB52" s="2"/>
      <c r="AEC52" s="2"/>
      <c r="AED52" s="2"/>
      <c r="AEE52" s="2"/>
      <c r="AEF52" s="2"/>
      <c r="AEG52" s="2"/>
      <c r="AEH52" s="2"/>
      <c r="AEI52" s="2"/>
      <c r="AEJ52" s="2"/>
      <c r="AEK52" s="2"/>
      <c r="AEL52" s="2"/>
      <c r="AEM52" s="2"/>
      <c r="AEN52" s="2"/>
      <c r="AEO52" s="2"/>
      <c r="AEP52" s="2"/>
      <c r="AEQ52" s="2"/>
      <c r="AER52" s="2"/>
      <c r="AES52" s="2"/>
      <c r="AET52" s="2"/>
      <c r="AEU52" s="2"/>
      <c r="AEV52" s="2"/>
      <c r="AEW52" s="2"/>
      <c r="AEX52" s="2"/>
      <c r="AEY52" s="2"/>
      <c r="AEZ52" s="2"/>
      <c r="AFA52" s="2"/>
      <c r="AFB52" s="2"/>
      <c r="AFC52" s="2"/>
      <c r="AFD52" s="2"/>
      <c r="AFE52" s="2"/>
      <c r="AFF52" s="2"/>
      <c r="AFG52" s="2"/>
      <c r="AFH52" s="2"/>
      <c r="AFI52" s="2"/>
      <c r="AFJ52" s="2"/>
      <c r="AFK52" s="2"/>
      <c r="AFL52" s="2"/>
      <c r="AFM52" s="2"/>
      <c r="AFN52" s="2"/>
      <c r="AFO52" s="2"/>
      <c r="AFP52" s="2"/>
      <c r="AFQ52" s="2"/>
      <c r="AFR52" s="2"/>
      <c r="AFS52" s="2"/>
      <c r="AFT52" s="2"/>
      <c r="AFU52" s="2"/>
      <c r="AFV52" s="2"/>
      <c r="AFW52" s="2"/>
      <c r="AFX52" s="2"/>
      <c r="AFY52" s="2"/>
      <c r="AFZ52" s="2"/>
      <c r="AGA52" s="2"/>
      <c r="AGB52" s="2"/>
      <c r="AGC52" s="2"/>
      <c r="AGD52" s="2"/>
      <c r="AGE52" s="2"/>
      <c r="AGF52" s="2"/>
      <c r="AGG52" s="2"/>
      <c r="AGH52" s="2"/>
      <c r="AGI52" s="2"/>
      <c r="AGJ52" s="2"/>
      <c r="AGK52" s="2"/>
      <c r="AGL52" s="2"/>
      <c r="AGM52" s="2"/>
      <c r="AGN52" s="2"/>
      <c r="AGO52" s="2"/>
      <c r="AGP52" s="2"/>
      <c r="AGQ52" s="2"/>
      <c r="AGR52" s="2"/>
      <c r="AGS52" s="2"/>
      <c r="AGT52" s="2"/>
      <c r="AGU52" s="2"/>
      <c r="AGV52" s="2"/>
      <c r="AGW52" s="2"/>
      <c r="AGX52" s="2"/>
      <c r="AGY52" s="2"/>
      <c r="AGZ52" s="2"/>
      <c r="AHA52" s="2"/>
      <c r="AHB52" s="2"/>
      <c r="AHC52" s="2"/>
      <c r="AHD52" s="2"/>
      <c r="AHE52" s="2"/>
      <c r="AHF52" s="2"/>
      <c r="AHG52" s="2"/>
      <c r="AHH52" s="2"/>
      <c r="AHI52" s="2"/>
      <c r="AHJ52" s="2"/>
      <c r="AHK52" s="2"/>
      <c r="AHL52" s="2"/>
      <c r="AHM52" s="2"/>
      <c r="AHN52" s="2"/>
      <c r="AHO52" s="2"/>
      <c r="AHP52" s="2"/>
      <c r="AHQ52" s="2"/>
      <c r="AHR52" s="2"/>
      <c r="AHS52" s="2"/>
      <c r="AHT52" s="2"/>
      <c r="AHU52" s="2"/>
      <c r="AHV52" s="2"/>
      <c r="AHW52" s="2"/>
      <c r="AHX52" s="2"/>
      <c r="AHY52" s="2"/>
      <c r="AHZ52" s="2"/>
      <c r="AIA52" s="2"/>
      <c r="AIB52" s="2"/>
      <c r="AIC52" s="2"/>
      <c r="AID52" s="2"/>
      <c r="AIE52" s="2"/>
      <c r="AIF52" s="2"/>
      <c r="AIG52" s="2"/>
      <c r="AIH52" s="2"/>
      <c r="AII52" s="2"/>
      <c r="AIJ52" s="2"/>
      <c r="AIK52" s="2"/>
      <c r="AIL52" s="2"/>
      <c r="AIM52" s="2"/>
      <c r="AIN52" s="2"/>
      <c r="AIO52" s="2"/>
      <c r="AIP52" s="2"/>
      <c r="AIQ52" s="2"/>
      <c r="AIR52" s="2"/>
      <c r="AIS52" s="2"/>
      <c r="AIT52" s="2"/>
      <c r="AIU52" s="2"/>
      <c r="AIV52" s="2"/>
      <c r="AIW52" s="2"/>
      <c r="AIX52" s="2"/>
      <c r="AIY52" s="2"/>
      <c r="AIZ52" s="2"/>
      <c r="AJA52" s="2"/>
      <c r="AJB52" s="2"/>
      <c r="AJC52" s="2"/>
      <c r="AJD52" s="2"/>
      <c r="AJE52" s="2"/>
      <c r="AJF52" s="2"/>
      <c r="AJG52" s="2"/>
      <c r="AJH52" s="2"/>
      <c r="AJI52" s="2"/>
      <c r="AJJ52" s="2"/>
      <c r="AJK52" s="2"/>
      <c r="AJL52" s="2"/>
      <c r="AJM52" s="2"/>
      <c r="AJN52" s="2"/>
      <c r="AJO52" s="2"/>
      <c r="AJP52" s="2"/>
      <c r="AJQ52" s="2"/>
      <c r="AJR52" s="2"/>
      <c r="AJS52" s="2"/>
      <c r="AJT52" s="2"/>
      <c r="AJU52" s="2"/>
      <c r="AJV52" s="2"/>
      <c r="AJW52" s="2"/>
      <c r="AJX52" s="2"/>
      <c r="AJY52" s="2"/>
      <c r="AJZ52" s="2"/>
      <c r="AKA52" s="2"/>
      <c r="AKB52" s="2"/>
      <c r="AKC52" s="2"/>
      <c r="AKD52" s="2"/>
      <c r="AKE52" s="2"/>
      <c r="AKF52" s="2"/>
      <c r="AKG52" s="2"/>
      <c r="AKH52" s="2"/>
      <c r="AKI52" s="2"/>
      <c r="AKJ52" s="2"/>
      <c r="AKK52" s="2"/>
      <c r="AKL52" s="2"/>
      <c r="AKM52" s="2"/>
      <c r="AKN52" s="2"/>
      <c r="AKO52" s="2"/>
      <c r="AKP52" s="2"/>
      <c r="AKQ52" s="2"/>
      <c r="AKR52" s="2"/>
      <c r="AKS52" s="2"/>
      <c r="AKT52" s="2"/>
      <c r="AKU52" s="2"/>
      <c r="AKV52" s="2"/>
      <c r="AKW52" s="2"/>
      <c r="AKX52" s="2"/>
      <c r="AKY52" s="2"/>
      <c r="AKZ52" s="2"/>
      <c r="ALA52" s="2"/>
      <c r="ALB52" s="2"/>
      <c r="ALC52" s="2"/>
      <c r="ALD52" s="2"/>
      <c r="ALE52" s="2"/>
      <c r="ALF52" s="2"/>
      <c r="ALG52" s="2"/>
      <c r="ALH52" s="2"/>
      <c r="ALI52" s="2"/>
      <c r="ALJ52" s="2"/>
      <c r="ALK52" s="2"/>
      <c r="ALL52" s="2"/>
      <c r="ALM52" s="2"/>
      <c r="ALN52" s="2"/>
      <c r="ALO52" s="2"/>
      <c r="ALP52" s="2"/>
      <c r="ALQ52" s="2"/>
      <c r="ALR52" s="2"/>
      <c r="ALS52" s="2"/>
      <c r="ALT52" s="2"/>
      <c r="ALU52" s="2"/>
      <c r="ALV52" s="2"/>
      <c r="ALW52" s="2"/>
      <c r="ALX52" s="2"/>
      <c r="ALY52" s="2"/>
      <c r="ALZ52" s="2"/>
      <c r="AMA52" s="2"/>
      <c r="AMB52" s="2"/>
      <c r="AMC52" s="2"/>
      <c r="AMD52" s="2"/>
      <c r="AME52" s="2"/>
    </row>
    <row r="53" spans="1:1019" ht="36" customHeight="1" x14ac:dyDescent="0.3">
      <c r="A53" s="76"/>
      <c r="B53" s="77" t="s">
        <v>74</v>
      </c>
      <c r="C53" s="77"/>
      <c r="D53" s="77"/>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c r="ZZ53" s="2"/>
      <c r="AAA53" s="2"/>
      <c r="AAB53" s="2"/>
      <c r="AAC53" s="2"/>
      <c r="AAD53" s="2"/>
      <c r="AAE53" s="2"/>
      <c r="AAF53" s="2"/>
      <c r="AAG53" s="2"/>
      <c r="AAH53" s="2"/>
      <c r="AAI53" s="2"/>
      <c r="AAJ53" s="2"/>
      <c r="AAK53" s="2"/>
      <c r="AAL53" s="2"/>
      <c r="AAM53" s="2"/>
      <c r="AAN53" s="2"/>
      <c r="AAO53" s="2"/>
      <c r="AAP53" s="2"/>
      <c r="AAQ53" s="2"/>
      <c r="AAR53" s="2"/>
      <c r="AAS53" s="2"/>
      <c r="AAT53" s="2"/>
      <c r="AAU53" s="2"/>
      <c r="AAV53" s="2"/>
      <c r="AAW53" s="2"/>
      <c r="AAX53" s="2"/>
      <c r="AAY53" s="2"/>
      <c r="AAZ53" s="2"/>
      <c r="ABA53" s="2"/>
      <c r="ABB53" s="2"/>
      <c r="ABC53" s="2"/>
      <c r="ABD53" s="2"/>
      <c r="ABE53" s="2"/>
      <c r="ABF53" s="2"/>
      <c r="ABG53" s="2"/>
      <c r="ABH53" s="2"/>
      <c r="ABI53" s="2"/>
      <c r="ABJ53" s="2"/>
      <c r="ABK53" s="2"/>
      <c r="ABL53" s="2"/>
      <c r="ABM53" s="2"/>
      <c r="ABN53" s="2"/>
      <c r="ABO53" s="2"/>
      <c r="ABP53" s="2"/>
      <c r="ABQ53" s="2"/>
      <c r="ABR53" s="2"/>
      <c r="ABS53" s="2"/>
      <c r="ABT53" s="2"/>
      <c r="ABU53" s="2"/>
      <c r="ABV53" s="2"/>
      <c r="ABW53" s="2"/>
      <c r="ABX53" s="2"/>
      <c r="ABY53" s="2"/>
      <c r="ABZ53" s="2"/>
      <c r="ACA53" s="2"/>
      <c r="ACB53" s="2"/>
      <c r="ACC53" s="2"/>
      <c r="ACD53" s="2"/>
      <c r="ACE53" s="2"/>
      <c r="ACF53" s="2"/>
      <c r="ACG53" s="2"/>
      <c r="ACH53" s="2"/>
      <c r="ACI53" s="2"/>
      <c r="ACJ53" s="2"/>
      <c r="ACK53" s="2"/>
      <c r="ACL53" s="2"/>
      <c r="ACM53" s="2"/>
      <c r="ACN53" s="2"/>
      <c r="ACO53" s="2"/>
      <c r="ACP53" s="2"/>
      <c r="ACQ53" s="2"/>
      <c r="ACR53" s="2"/>
      <c r="ACS53" s="2"/>
      <c r="ACT53" s="2"/>
      <c r="ACU53" s="2"/>
      <c r="ACV53" s="2"/>
      <c r="ACW53" s="2"/>
      <c r="ACX53" s="2"/>
      <c r="ACY53" s="2"/>
      <c r="ACZ53" s="2"/>
      <c r="ADA53" s="2"/>
      <c r="ADB53" s="2"/>
      <c r="ADC53" s="2"/>
      <c r="ADD53" s="2"/>
      <c r="ADE53" s="2"/>
      <c r="ADF53" s="2"/>
      <c r="ADG53" s="2"/>
      <c r="ADH53" s="2"/>
      <c r="ADI53" s="2"/>
      <c r="ADJ53" s="2"/>
      <c r="ADK53" s="2"/>
      <c r="ADL53" s="2"/>
      <c r="ADM53" s="2"/>
      <c r="ADN53" s="2"/>
      <c r="ADO53" s="2"/>
      <c r="ADP53" s="2"/>
      <c r="ADQ53" s="2"/>
      <c r="ADR53" s="2"/>
      <c r="ADS53" s="2"/>
      <c r="ADT53" s="2"/>
      <c r="ADU53" s="2"/>
      <c r="ADV53" s="2"/>
      <c r="ADW53" s="2"/>
      <c r="ADX53" s="2"/>
      <c r="ADY53" s="2"/>
      <c r="ADZ53" s="2"/>
      <c r="AEA53" s="2"/>
      <c r="AEB53" s="2"/>
      <c r="AEC53" s="2"/>
      <c r="AED53" s="2"/>
      <c r="AEE53" s="2"/>
      <c r="AEF53" s="2"/>
      <c r="AEG53" s="2"/>
      <c r="AEH53" s="2"/>
      <c r="AEI53" s="2"/>
      <c r="AEJ53" s="2"/>
      <c r="AEK53" s="2"/>
      <c r="AEL53" s="2"/>
      <c r="AEM53" s="2"/>
      <c r="AEN53" s="2"/>
      <c r="AEO53" s="2"/>
      <c r="AEP53" s="2"/>
      <c r="AEQ53" s="2"/>
      <c r="AER53" s="2"/>
      <c r="AES53" s="2"/>
      <c r="AET53" s="2"/>
      <c r="AEU53" s="2"/>
      <c r="AEV53" s="2"/>
      <c r="AEW53" s="2"/>
      <c r="AEX53" s="2"/>
      <c r="AEY53" s="2"/>
      <c r="AEZ53" s="2"/>
      <c r="AFA53" s="2"/>
      <c r="AFB53" s="2"/>
      <c r="AFC53" s="2"/>
      <c r="AFD53" s="2"/>
      <c r="AFE53" s="2"/>
      <c r="AFF53" s="2"/>
      <c r="AFG53" s="2"/>
      <c r="AFH53" s="2"/>
      <c r="AFI53" s="2"/>
      <c r="AFJ53" s="2"/>
      <c r="AFK53" s="2"/>
      <c r="AFL53" s="2"/>
      <c r="AFM53" s="2"/>
      <c r="AFN53" s="2"/>
      <c r="AFO53" s="2"/>
      <c r="AFP53" s="2"/>
      <c r="AFQ53" s="2"/>
      <c r="AFR53" s="2"/>
      <c r="AFS53" s="2"/>
      <c r="AFT53" s="2"/>
      <c r="AFU53" s="2"/>
      <c r="AFV53" s="2"/>
      <c r="AFW53" s="2"/>
      <c r="AFX53" s="2"/>
      <c r="AFY53" s="2"/>
      <c r="AFZ53" s="2"/>
      <c r="AGA53" s="2"/>
      <c r="AGB53" s="2"/>
      <c r="AGC53" s="2"/>
      <c r="AGD53" s="2"/>
      <c r="AGE53" s="2"/>
      <c r="AGF53" s="2"/>
      <c r="AGG53" s="2"/>
      <c r="AGH53" s="2"/>
      <c r="AGI53" s="2"/>
      <c r="AGJ53" s="2"/>
      <c r="AGK53" s="2"/>
      <c r="AGL53" s="2"/>
      <c r="AGM53" s="2"/>
      <c r="AGN53" s="2"/>
      <c r="AGO53" s="2"/>
      <c r="AGP53" s="2"/>
      <c r="AGQ53" s="2"/>
      <c r="AGR53" s="2"/>
      <c r="AGS53" s="2"/>
      <c r="AGT53" s="2"/>
      <c r="AGU53" s="2"/>
      <c r="AGV53" s="2"/>
      <c r="AGW53" s="2"/>
      <c r="AGX53" s="2"/>
      <c r="AGY53" s="2"/>
      <c r="AGZ53" s="2"/>
      <c r="AHA53" s="2"/>
      <c r="AHB53" s="2"/>
      <c r="AHC53" s="2"/>
      <c r="AHD53" s="2"/>
      <c r="AHE53" s="2"/>
      <c r="AHF53" s="2"/>
      <c r="AHG53" s="2"/>
      <c r="AHH53" s="2"/>
      <c r="AHI53" s="2"/>
      <c r="AHJ53" s="2"/>
      <c r="AHK53" s="2"/>
      <c r="AHL53" s="2"/>
      <c r="AHM53" s="2"/>
      <c r="AHN53" s="2"/>
      <c r="AHO53" s="2"/>
      <c r="AHP53" s="2"/>
      <c r="AHQ53" s="2"/>
      <c r="AHR53" s="2"/>
      <c r="AHS53" s="2"/>
      <c r="AHT53" s="2"/>
      <c r="AHU53" s="2"/>
      <c r="AHV53" s="2"/>
      <c r="AHW53" s="2"/>
      <c r="AHX53" s="2"/>
      <c r="AHY53" s="2"/>
      <c r="AHZ53" s="2"/>
      <c r="AIA53" s="2"/>
      <c r="AIB53" s="2"/>
      <c r="AIC53" s="2"/>
      <c r="AID53" s="2"/>
      <c r="AIE53" s="2"/>
      <c r="AIF53" s="2"/>
      <c r="AIG53" s="2"/>
      <c r="AIH53" s="2"/>
      <c r="AII53" s="2"/>
      <c r="AIJ53" s="2"/>
      <c r="AIK53" s="2"/>
      <c r="AIL53" s="2"/>
      <c r="AIM53" s="2"/>
      <c r="AIN53" s="2"/>
      <c r="AIO53" s="2"/>
      <c r="AIP53" s="2"/>
      <c r="AIQ53" s="2"/>
      <c r="AIR53" s="2"/>
      <c r="AIS53" s="2"/>
      <c r="AIT53" s="2"/>
      <c r="AIU53" s="2"/>
      <c r="AIV53" s="2"/>
      <c r="AIW53" s="2"/>
      <c r="AIX53" s="2"/>
      <c r="AIY53" s="2"/>
      <c r="AIZ53" s="2"/>
      <c r="AJA53" s="2"/>
      <c r="AJB53" s="2"/>
      <c r="AJC53" s="2"/>
      <c r="AJD53" s="2"/>
      <c r="AJE53" s="2"/>
      <c r="AJF53" s="2"/>
      <c r="AJG53" s="2"/>
      <c r="AJH53" s="2"/>
      <c r="AJI53" s="2"/>
      <c r="AJJ53" s="2"/>
      <c r="AJK53" s="2"/>
      <c r="AJL53" s="2"/>
      <c r="AJM53" s="2"/>
      <c r="AJN53" s="2"/>
      <c r="AJO53" s="2"/>
      <c r="AJP53" s="2"/>
      <c r="AJQ53" s="2"/>
      <c r="AJR53" s="2"/>
      <c r="AJS53" s="2"/>
      <c r="AJT53" s="2"/>
      <c r="AJU53" s="2"/>
      <c r="AJV53" s="2"/>
      <c r="AJW53" s="2"/>
      <c r="AJX53" s="2"/>
      <c r="AJY53" s="2"/>
      <c r="AJZ53" s="2"/>
      <c r="AKA53" s="2"/>
      <c r="AKB53" s="2"/>
      <c r="AKC53" s="2"/>
      <c r="AKD53" s="2"/>
      <c r="AKE53" s="2"/>
      <c r="AKF53" s="2"/>
      <c r="AKG53" s="2"/>
      <c r="AKH53" s="2"/>
      <c r="AKI53" s="2"/>
      <c r="AKJ53" s="2"/>
      <c r="AKK53" s="2"/>
      <c r="AKL53" s="2"/>
      <c r="AKM53" s="2"/>
      <c r="AKN53" s="2"/>
      <c r="AKO53" s="2"/>
      <c r="AKP53" s="2"/>
      <c r="AKQ53" s="2"/>
      <c r="AKR53" s="2"/>
      <c r="AKS53" s="2"/>
      <c r="AKT53" s="2"/>
      <c r="AKU53" s="2"/>
      <c r="AKV53" s="2"/>
      <c r="AKW53" s="2"/>
      <c r="AKX53" s="2"/>
      <c r="AKY53" s="2"/>
      <c r="AKZ53" s="2"/>
      <c r="ALA53" s="2"/>
      <c r="ALB53" s="2"/>
      <c r="ALC53" s="2"/>
      <c r="ALD53" s="2"/>
      <c r="ALE53" s="2"/>
      <c r="ALF53" s="2"/>
      <c r="ALG53" s="2"/>
      <c r="ALH53" s="2"/>
      <c r="ALI53" s="2"/>
      <c r="ALJ53" s="2"/>
      <c r="ALK53" s="2"/>
      <c r="ALL53" s="2"/>
      <c r="ALM53" s="2"/>
      <c r="ALN53" s="2"/>
      <c r="ALO53" s="2"/>
      <c r="ALP53" s="2"/>
      <c r="ALQ53" s="2"/>
      <c r="ALR53" s="2"/>
      <c r="ALS53" s="2"/>
      <c r="ALT53" s="2"/>
      <c r="ALU53" s="2"/>
      <c r="ALV53" s="2"/>
      <c r="ALW53" s="2"/>
      <c r="ALX53" s="2"/>
      <c r="ALY53" s="2"/>
      <c r="ALZ53" s="2"/>
      <c r="AMA53" s="2"/>
      <c r="AMB53" s="2"/>
      <c r="AMC53" s="2"/>
      <c r="AMD53" s="2"/>
      <c r="AME53" s="2"/>
    </row>
    <row r="54" spans="1:1019" ht="21.75" customHeight="1" x14ac:dyDescent="0.3">
      <c r="A54" s="17">
        <v>3</v>
      </c>
      <c r="B54" s="73" t="s">
        <v>75</v>
      </c>
      <c r="C54" s="73"/>
      <c r="D54" s="73"/>
      <c r="E54" s="2"/>
      <c r="F54"/>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c r="AMC54" s="2"/>
      <c r="AMD54" s="2"/>
      <c r="AME54" s="2"/>
    </row>
    <row r="55" spans="1:1019" ht="21.75" customHeight="1" x14ac:dyDescent="0.3">
      <c r="A55" s="44">
        <v>3.1</v>
      </c>
      <c r="B55" s="37" t="s">
        <v>76</v>
      </c>
      <c r="C55" s="45" t="s">
        <v>12</v>
      </c>
      <c r="D55" s="37" t="s">
        <v>77</v>
      </c>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c r="ZZ55" s="2"/>
      <c r="AAA55" s="2"/>
      <c r="AAB55" s="2"/>
      <c r="AAC55" s="2"/>
      <c r="AAD55" s="2"/>
      <c r="AAE55" s="2"/>
      <c r="AAF55" s="2"/>
      <c r="AAG55" s="2"/>
      <c r="AAH55" s="2"/>
      <c r="AAI55" s="2"/>
      <c r="AAJ55" s="2"/>
      <c r="AAK55" s="2"/>
      <c r="AAL55" s="2"/>
      <c r="AAM55" s="2"/>
      <c r="AAN55" s="2"/>
      <c r="AAO55" s="2"/>
      <c r="AAP55" s="2"/>
      <c r="AAQ55" s="2"/>
      <c r="AAR55" s="2"/>
      <c r="AAS55" s="2"/>
      <c r="AAT55" s="2"/>
      <c r="AAU55" s="2"/>
      <c r="AAV55" s="2"/>
      <c r="AAW55" s="2"/>
      <c r="AAX55" s="2"/>
      <c r="AAY55" s="2"/>
      <c r="AAZ55" s="2"/>
      <c r="ABA55" s="2"/>
      <c r="ABB55" s="2"/>
      <c r="ABC55" s="2"/>
      <c r="ABD55" s="2"/>
      <c r="ABE55" s="2"/>
      <c r="ABF55" s="2"/>
      <c r="ABG55" s="2"/>
      <c r="ABH55" s="2"/>
      <c r="ABI55" s="2"/>
      <c r="ABJ55" s="2"/>
      <c r="ABK55" s="2"/>
      <c r="ABL55" s="2"/>
      <c r="ABM55" s="2"/>
      <c r="ABN55" s="2"/>
      <c r="ABO55" s="2"/>
      <c r="ABP55" s="2"/>
      <c r="ABQ55" s="2"/>
      <c r="ABR55" s="2"/>
      <c r="ABS55" s="2"/>
      <c r="ABT55" s="2"/>
      <c r="ABU55" s="2"/>
      <c r="ABV55" s="2"/>
      <c r="ABW55" s="2"/>
      <c r="ABX55" s="2"/>
      <c r="ABY55" s="2"/>
      <c r="ABZ55" s="2"/>
      <c r="ACA55" s="2"/>
      <c r="ACB55" s="2"/>
      <c r="ACC55" s="2"/>
      <c r="ACD55" s="2"/>
      <c r="ACE55" s="2"/>
      <c r="ACF55" s="2"/>
      <c r="ACG55" s="2"/>
      <c r="ACH55" s="2"/>
      <c r="ACI55" s="2"/>
      <c r="ACJ55" s="2"/>
      <c r="ACK55" s="2"/>
      <c r="ACL55" s="2"/>
      <c r="ACM55" s="2"/>
      <c r="ACN55" s="2"/>
      <c r="ACO55" s="2"/>
      <c r="ACP55" s="2"/>
      <c r="ACQ55" s="2"/>
      <c r="ACR55" s="2"/>
      <c r="ACS55" s="2"/>
      <c r="ACT55" s="2"/>
      <c r="ACU55" s="2"/>
      <c r="ACV55" s="2"/>
      <c r="ACW55" s="2"/>
      <c r="ACX55" s="2"/>
      <c r="ACY55" s="2"/>
      <c r="ACZ55" s="2"/>
      <c r="ADA55" s="2"/>
      <c r="ADB55" s="2"/>
      <c r="ADC55" s="2"/>
      <c r="ADD55" s="2"/>
      <c r="ADE55" s="2"/>
      <c r="ADF55" s="2"/>
      <c r="ADG55" s="2"/>
      <c r="ADH55" s="2"/>
      <c r="ADI55" s="2"/>
      <c r="ADJ55" s="2"/>
      <c r="ADK55" s="2"/>
      <c r="ADL55" s="2"/>
      <c r="ADM55" s="2"/>
      <c r="ADN55" s="2"/>
      <c r="ADO55" s="2"/>
      <c r="ADP55" s="2"/>
      <c r="ADQ55" s="2"/>
      <c r="ADR55" s="2"/>
      <c r="ADS55" s="2"/>
      <c r="ADT55" s="2"/>
      <c r="ADU55" s="2"/>
      <c r="ADV55" s="2"/>
      <c r="ADW55" s="2"/>
      <c r="ADX55" s="2"/>
      <c r="ADY55" s="2"/>
      <c r="ADZ55" s="2"/>
      <c r="AEA55" s="2"/>
      <c r="AEB55" s="2"/>
      <c r="AEC55" s="2"/>
      <c r="AED55" s="2"/>
      <c r="AEE55" s="2"/>
      <c r="AEF55" s="2"/>
      <c r="AEG55" s="2"/>
      <c r="AEH55" s="2"/>
      <c r="AEI55" s="2"/>
      <c r="AEJ55" s="2"/>
      <c r="AEK55" s="2"/>
      <c r="AEL55" s="2"/>
      <c r="AEM55" s="2"/>
      <c r="AEN55" s="2"/>
      <c r="AEO55" s="2"/>
      <c r="AEP55" s="2"/>
      <c r="AEQ55" s="2"/>
      <c r="AER55" s="2"/>
      <c r="AES55" s="2"/>
      <c r="AET55" s="2"/>
      <c r="AEU55" s="2"/>
      <c r="AEV55" s="2"/>
      <c r="AEW55" s="2"/>
      <c r="AEX55" s="2"/>
      <c r="AEY55" s="2"/>
      <c r="AEZ55" s="2"/>
      <c r="AFA55" s="2"/>
      <c r="AFB55" s="2"/>
      <c r="AFC55" s="2"/>
      <c r="AFD55" s="2"/>
      <c r="AFE55" s="2"/>
      <c r="AFF55" s="2"/>
      <c r="AFG55" s="2"/>
      <c r="AFH55" s="2"/>
      <c r="AFI55" s="2"/>
      <c r="AFJ55" s="2"/>
      <c r="AFK55" s="2"/>
      <c r="AFL55" s="2"/>
      <c r="AFM55" s="2"/>
      <c r="AFN55" s="2"/>
      <c r="AFO55" s="2"/>
      <c r="AFP55" s="2"/>
      <c r="AFQ55" s="2"/>
      <c r="AFR55" s="2"/>
      <c r="AFS55" s="2"/>
      <c r="AFT55" s="2"/>
      <c r="AFU55" s="2"/>
      <c r="AFV55" s="2"/>
      <c r="AFW55" s="2"/>
      <c r="AFX55" s="2"/>
      <c r="AFY55" s="2"/>
      <c r="AFZ55" s="2"/>
      <c r="AGA55" s="2"/>
      <c r="AGB55" s="2"/>
      <c r="AGC55" s="2"/>
      <c r="AGD55" s="2"/>
      <c r="AGE55" s="2"/>
      <c r="AGF55" s="2"/>
      <c r="AGG55" s="2"/>
      <c r="AGH55" s="2"/>
      <c r="AGI55" s="2"/>
      <c r="AGJ55" s="2"/>
      <c r="AGK55" s="2"/>
      <c r="AGL55" s="2"/>
      <c r="AGM55" s="2"/>
      <c r="AGN55" s="2"/>
      <c r="AGO55" s="2"/>
      <c r="AGP55" s="2"/>
      <c r="AGQ55" s="2"/>
      <c r="AGR55" s="2"/>
      <c r="AGS55" s="2"/>
      <c r="AGT55" s="2"/>
      <c r="AGU55" s="2"/>
      <c r="AGV55" s="2"/>
      <c r="AGW55" s="2"/>
      <c r="AGX55" s="2"/>
      <c r="AGY55" s="2"/>
      <c r="AGZ55" s="2"/>
      <c r="AHA55" s="2"/>
      <c r="AHB55" s="2"/>
      <c r="AHC55" s="2"/>
      <c r="AHD55" s="2"/>
      <c r="AHE55" s="2"/>
      <c r="AHF55" s="2"/>
      <c r="AHG55" s="2"/>
      <c r="AHH55" s="2"/>
      <c r="AHI55" s="2"/>
      <c r="AHJ55" s="2"/>
      <c r="AHK55" s="2"/>
      <c r="AHL55" s="2"/>
      <c r="AHM55" s="2"/>
      <c r="AHN55" s="2"/>
      <c r="AHO55" s="2"/>
      <c r="AHP55" s="2"/>
      <c r="AHQ55" s="2"/>
      <c r="AHR55" s="2"/>
      <c r="AHS55" s="2"/>
      <c r="AHT55" s="2"/>
      <c r="AHU55" s="2"/>
      <c r="AHV55" s="2"/>
      <c r="AHW55" s="2"/>
      <c r="AHX55" s="2"/>
      <c r="AHY55" s="2"/>
      <c r="AHZ55" s="2"/>
      <c r="AIA55" s="2"/>
      <c r="AIB55" s="2"/>
      <c r="AIC55" s="2"/>
      <c r="AID55" s="2"/>
      <c r="AIE55" s="2"/>
      <c r="AIF55" s="2"/>
      <c r="AIG55" s="2"/>
      <c r="AIH55" s="2"/>
      <c r="AII55" s="2"/>
      <c r="AIJ55" s="2"/>
      <c r="AIK55" s="2"/>
      <c r="AIL55" s="2"/>
      <c r="AIM55" s="2"/>
      <c r="AIN55" s="2"/>
      <c r="AIO55" s="2"/>
      <c r="AIP55" s="2"/>
      <c r="AIQ55" s="2"/>
      <c r="AIR55" s="2"/>
      <c r="AIS55" s="2"/>
      <c r="AIT55" s="2"/>
      <c r="AIU55" s="2"/>
      <c r="AIV55" s="2"/>
      <c r="AIW55" s="2"/>
      <c r="AIX55" s="2"/>
      <c r="AIY55" s="2"/>
      <c r="AIZ55" s="2"/>
      <c r="AJA55" s="2"/>
      <c r="AJB55" s="2"/>
      <c r="AJC55" s="2"/>
      <c r="AJD55" s="2"/>
      <c r="AJE55" s="2"/>
      <c r="AJF55" s="2"/>
      <c r="AJG55" s="2"/>
      <c r="AJH55" s="2"/>
      <c r="AJI55" s="2"/>
      <c r="AJJ55" s="2"/>
      <c r="AJK55" s="2"/>
      <c r="AJL55" s="2"/>
      <c r="AJM55" s="2"/>
      <c r="AJN55" s="2"/>
      <c r="AJO55" s="2"/>
      <c r="AJP55" s="2"/>
      <c r="AJQ55" s="2"/>
      <c r="AJR55" s="2"/>
      <c r="AJS55" s="2"/>
      <c r="AJT55" s="2"/>
      <c r="AJU55" s="2"/>
      <c r="AJV55" s="2"/>
      <c r="AJW55" s="2"/>
      <c r="AJX55" s="2"/>
      <c r="AJY55" s="2"/>
      <c r="AJZ55" s="2"/>
      <c r="AKA55" s="2"/>
      <c r="AKB55" s="2"/>
      <c r="AKC55" s="2"/>
      <c r="AKD55" s="2"/>
      <c r="AKE55" s="2"/>
      <c r="AKF55" s="2"/>
      <c r="AKG55" s="2"/>
      <c r="AKH55" s="2"/>
      <c r="AKI55" s="2"/>
      <c r="AKJ55" s="2"/>
      <c r="AKK55" s="2"/>
      <c r="AKL55" s="2"/>
      <c r="AKM55" s="2"/>
      <c r="AKN55" s="2"/>
      <c r="AKO55" s="2"/>
      <c r="AKP55" s="2"/>
      <c r="AKQ55" s="2"/>
      <c r="AKR55" s="2"/>
      <c r="AKS55" s="2"/>
      <c r="AKT55" s="2"/>
      <c r="AKU55" s="2"/>
      <c r="AKV55" s="2"/>
      <c r="AKW55" s="2"/>
      <c r="AKX55" s="2"/>
      <c r="AKY55" s="2"/>
      <c r="AKZ55" s="2"/>
      <c r="ALA55" s="2"/>
      <c r="ALB55" s="2"/>
      <c r="ALC55" s="2"/>
      <c r="ALD55" s="2"/>
      <c r="ALE55" s="2"/>
      <c r="ALF55" s="2"/>
      <c r="ALG55" s="2"/>
      <c r="ALH55" s="2"/>
      <c r="ALI55" s="2"/>
      <c r="ALJ55" s="2"/>
      <c r="ALK55" s="2"/>
      <c r="ALL55" s="2"/>
      <c r="ALM55" s="2"/>
      <c r="ALN55" s="2"/>
      <c r="ALO55" s="2"/>
      <c r="ALP55" s="2"/>
      <c r="ALQ55" s="2"/>
      <c r="ALR55" s="2"/>
      <c r="ALS55" s="2"/>
      <c r="ALT55" s="2"/>
      <c r="ALU55" s="2"/>
      <c r="ALV55" s="2"/>
      <c r="ALW55" s="2"/>
      <c r="ALX55" s="2"/>
      <c r="ALY55" s="2"/>
      <c r="ALZ55" s="2"/>
      <c r="AMA55" s="2"/>
      <c r="AMB55" s="2"/>
      <c r="AMC55" s="2"/>
      <c r="AMD55" s="2"/>
      <c r="AME55" s="2"/>
    </row>
    <row r="56" spans="1:1019" ht="31.8" customHeight="1" x14ac:dyDescent="0.3">
      <c r="A56" s="72">
        <v>3.11</v>
      </c>
      <c r="B56" s="10" t="s">
        <v>78</v>
      </c>
      <c r="C56" s="18" t="s">
        <v>12</v>
      </c>
      <c r="D56" s="11">
        <v>1850</v>
      </c>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c r="AME56" s="2"/>
    </row>
    <row r="57" spans="1:1019" ht="23.25" customHeight="1" x14ac:dyDescent="0.3">
      <c r="A57" s="72"/>
      <c r="B57" s="58" t="s">
        <v>79</v>
      </c>
      <c r="C57" s="45" t="s">
        <v>12</v>
      </c>
      <c r="D57" s="37" t="s">
        <v>80</v>
      </c>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c r="ZZ57" s="2"/>
      <c r="AAA57" s="2"/>
      <c r="AAB57" s="2"/>
      <c r="AAC57" s="2"/>
      <c r="AAD57" s="2"/>
      <c r="AAE57" s="2"/>
      <c r="AAF57" s="2"/>
      <c r="AAG57" s="2"/>
      <c r="AAH57" s="2"/>
      <c r="AAI57" s="2"/>
      <c r="AAJ57" s="2"/>
      <c r="AAK57" s="2"/>
      <c r="AAL57" s="2"/>
      <c r="AAM57" s="2"/>
      <c r="AAN57" s="2"/>
      <c r="AAO57" s="2"/>
      <c r="AAP57" s="2"/>
      <c r="AAQ57" s="2"/>
      <c r="AAR57" s="2"/>
      <c r="AAS57" s="2"/>
      <c r="AAT57" s="2"/>
      <c r="AAU57" s="2"/>
      <c r="AAV57" s="2"/>
      <c r="AAW57" s="2"/>
      <c r="AAX57" s="2"/>
      <c r="AAY57" s="2"/>
      <c r="AAZ57" s="2"/>
      <c r="ABA57" s="2"/>
      <c r="ABB57" s="2"/>
      <c r="ABC57" s="2"/>
      <c r="ABD57" s="2"/>
      <c r="ABE57" s="2"/>
      <c r="ABF57" s="2"/>
      <c r="ABG57" s="2"/>
      <c r="ABH57" s="2"/>
      <c r="ABI57" s="2"/>
      <c r="ABJ57" s="2"/>
      <c r="ABK57" s="2"/>
      <c r="ABL57" s="2"/>
      <c r="ABM57" s="2"/>
      <c r="ABN57" s="2"/>
      <c r="ABO57" s="2"/>
      <c r="ABP57" s="2"/>
      <c r="ABQ57" s="2"/>
      <c r="ABR57" s="2"/>
      <c r="ABS57" s="2"/>
      <c r="ABT57" s="2"/>
      <c r="ABU57" s="2"/>
      <c r="ABV57" s="2"/>
      <c r="ABW57" s="2"/>
      <c r="ABX57" s="2"/>
      <c r="ABY57" s="2"/>
      <c r="ABZ57" s="2"/>
      <c r="ACA57" s="2"/>
      <c r="ACB57" s="2"/>
      <c r="ACC57" s="2"/>
      <c r="ACD57" s="2"/>
      <c r="ACE57" s="2"/>
      <c r="ACF57" s="2"/>
      <c r="ACG57" s="2"/>
      <c r="ACH57" s="2"/>
      <c r="ACI57" s="2"/>
      <c r="ACJ57" s="2"/>
      <c r="ACK57" s="2"/>
      <c r="ACL57" s="2"/>
      <c r="ACM57" s="2"/>
      <c r="ACN57" s="2"/>
      <c r="ACO57" s="2"/>
      <c r="ACP57" s="2"/>
      <c r="ACQ57" s="2"/>
      <c r="ACR57" s="2"/>
      <c r="ACS57" s="2"/>
      <c r="ACT57" s="2"/>
      <c r="ACU57" s="2"/>
      <c r="ACV57" s="2"/>
      <c r="ACW57" s="2"/>
      <c r="ACX57" s="2"/>
      <c r="ACY57" s="2"/>
      <c r="ACZ57" s="2"/>
      <c r="ADA57" s="2"/>
      <c r="ADB57" s="2"/>
      <c r="ADC57" s="2"/>
      <c r="ADD57" s="2"/>
      <c r="ADE57" s="2"/>
      <c r="ADF57" s="2"/>
      <c r="ADG57" s="2"/>
      <c r="ADH57" s="2"/>
      <c r="ADI57" s="2"/>
      <c r="ADJ57" s="2"/>
      <c r="ADK57" s="2"/>
      <c r="ADL57" s="2"/>
      <c r="ADM57" s="2"/>
      <c r="ADN57" s="2"/>
      <c r="ADO57" s="2"/>
      <c r="ADP57" s="2"/>
      <c r="ADQ57" s="2"/>
      <c r="ADR57" s="2"/>
      <c r="ADS57" s="2"/>
      <c r="ADT57" s="2"/>
      <c r="ADU57" s="2"/>
      <c r="ADV57" s="2"/>
      <c r="ADW57" s="2"/>
      <c r="ADX57" s="2"/>
      <c r="ADY57" s="2"/>
      <c r="ADZ57" s="2"/>
      <c r="AEA57" s="2"/>
      <c r="AEB57" s="2"/>
      <c r="AEC57" s="2"/>
      <c r="AED57" s="2"/>
      <c r="AEE57" s="2"/>
      <c r="AEF57" s="2"/>
      <c r="AEG57" s="2"/>
      <c r="AEH57" s="2"/>
      <c r="AEI57" s="2"/>
      <c r="AEJ57" s="2"/>
      <c r="AEK57" s="2"/>
      <c r="AEL57" s="2"/>
      <c r="AEM57" s="2"/>
      <c r="AEN57" s="2"/>
      <c r="AEO57" s="2"/>
      <c r="AEP57" s="2"/>
      <c r="AEQ57" s="2"/>
      <c r="AER57" s="2"/>
      <c r="AES57" s="2"/>
      <c r="AET57" s="2"/>
      <c r="AEU57" s="2"/>
      <c r="AEV57" s="2"/>
      <c r="AEW57" s="2"/>
      <c r="AEX57" s="2"/>
      <c r="AEY57" s="2"/>
      <c r="AEZ57" s="2"/>
      <c r="AFA57" s="2"/>
      <c r="AFB57" s="2"/>
      <c r="AFC57" s="2"/>
      <c r="AFD57" s="2"/>
      <c r="AFE57" s="2"/>
      <c r="AFF57" s="2"/>
      <c r="AFG57" s="2"/>
      <c r="AFH57" s="2"/>
      <c r="AFI57" s="2"/>
      <c r="AFJ57" s="2"/>
      <c r="AFK57" s="2"/>
      <c r="AFL57" s="2"/>
      <c r="AFM57" s="2"/>
      <c r="AFN57" s="2"/>
      <c r="AFO57" s="2"/>
      <c r="AFP57" s="2"/>
      <c r="AFQ57" s="2"/>
      <c r="AFR57" s="2"/>
      <c r="AFS57" s="2"/>
      <c r="AFT57" s="2"/>
      <c r="AFU57" s="2"/>
      <c r="AFV57" s="2"/>
      <c r="AFW57" s="2"/>
      <c r="AFX57" s="2"/>
      <c r="AFY57" s="2"/>
      <c r="AFZ57" s="2"/>
      <c r="AGA57" s="2"/>
      <c r="AGB57" s="2"/>
      <c r="AGC57" s="2"/>
      <c r="AGD57" s="2"/>
      <c r="AGE57" s="2"/>
      <c r="AGF57" s="2"/>
      <c r="AGG57" s="2"/>
      <c r="AGH57" s="2"/>
      <c r="AGI57" s="2"/>
      <c r="AGJ57" s="2"/>
      <c r="AGK57" s="2"/>
      <c r="AGL57" s="2"/>
      <c r="AGM57" s="2"/>
      <c r="AGN57" s="2"/>
      <c r="AGO57" s="2"/>
      <c r="AGP57" s="2"/>
      <c r="AGQ57" s="2"/>
      <c r="AGR57" s="2"/>
      <c r="AGS57" s="2"/>
      <c r="AGT57" s="2"/>
      <c r="AGU57" s="2"/>
      <c r="AGV57" s="2"/>
      <c r="AGW57" s="2"/>
      <c r="AGX57" s="2"/>
      <c r="AGY57" s="2"/>
      <c r="AGZ57" s="2"/>
      <c r="AHA57" s="2"/>
      <c r="AHB57" s="2"/>
      <c r="AHC57" s="2"/>
      <c r="AHD57" s="2"/>
      <c r="AHE57" s="2"/>
      <c r="AHF57" s="2"/>
      <c r="AHG57" s="2"/>
      <c r="AHH57" s="2"/>
      <c r="AHI57" s="2"/>
      <c r="AHJ57" s="2"/>
      <c r="AHK57" s="2"/>
      <c r="AHL57" s="2"/>
      <c r="AHM57" s="2"/>
      <c r="AHN57" s="2"/>
      <c r="AHO57" s="2"/>
      <c r="AHP57" s="2"/>
      <c r="AHQ57" s="2"/>
      <c r="AHR57" s="2"/>
      <c r="AHS57" s="2"/>
      <c r="AHT57" s="2"/>
      <c r="AHU57" s="2"/>
      <c r="AHV57" s="2"/>
      <c r="AHW57" s="2"/>
      <c r="AHX57" s="2"/>
      <c r="AHY57" s="2"/>
      <c r="AHZ57" s="2"/>
      <c r="AIA57" s="2"/>
      <c r="AIB57" s="2"/>
      <c r="AIC57" s="2"/>
      <c r="AID57" s="2"/>
      <c r="AIE57" s="2"/>
      <c r="AIF57" s="2"/>
      <c r="AIG57" s="2"/>
      <c r="AIH57" s="2"/>
      <c r="AII57" s="2"/>
      <c r="AIJ57" s="2"/>
      <c r="AIK57" s="2"/>
      <c r="AIL57" s="2"/>
      <c r="AIM57" s="2"/>
      <c r="AIN57" s="2"/>
      <c r="AIO57" s="2"/>
      <c r="AIP57" s="2"/>
      <c r="AIQ57" s="2"/>
      <c r="AIR57" s="2"/>
      <c r="AIS57" s="2"/>
      <c r="AIT57" s="2"/>
      <c r="AIU57" s="2"/>
      <c r="AIV57" s="2"/>
      <c r="AIW57" s="2"/>
      <c r="AIX57" s="2"/>
      <c r="AIY57" s="2"/>
      <c r="AIZ57" s="2"/>
      <c r="AJA57" s="2"/>
      <c r="AJB57" s="2"/>
      <c r="AJC57" s="2"/>
      <c r="AJD57" s="2"/>
      <c r="AJE57" s="2"/>
      <c r="AJF57" s="2"/>
      <c r="AJG57" s="2"/>
      <c r="AJH57" s="2"/>
      <c r="AJI57" s="2"/>
      <c r="AJJ57" s="2"/>
      <c r="AJK57" s="2"/>
      <c r="AJL57" s="2"/>
      <c r="AJM57" s="2"/>
      <c r="AJN57" s="2"/>
      <c r="AJO57" s="2"/>
      <c r="AJP57" s="2"/>
      <c r="AJQ57" s="2"/>
      <c r="AJR57" s="2"/>
      <c r="AJS57" s="2"/>
      <c r="AJT57" s="2"/>
      <c r="AJU57" s="2"/>
      <c r="AJV57" s="2"/>
      <c r="AJW57" s="2"/>
      <c r="AJX57" s="2"/>
      <c r="AJY57" s="2"/>
      <c r="AJZ57" s="2"/>
      <c r="AKA57" s="2"/>
      <c r="AKB57" s="2"/>
      <c r="AKC57" s="2"/>
      <c r="AKD57" s="2"/>
      <c r="AKE57" s="2"/>
      <c r="AKF57" s="2"/>
      <c r="AKG57" s="2"/>
      <c r="AKH57" s="2"/>
      <c r="AKI57" s="2"/>
      <c r="AKJ57" s="2"/>
      <c r="AKK57" s="2"/>
      <c r="AKL57" s="2"/>
      <c r="AKM57" s="2"/>
      <c r="AKN57" s="2"/>
      <c r="AKO57" s="2"/>
      <c r="AKP57" s="2"/>
      <c r="AKQ57" s="2"/>
      <c r="AKR57" s="2"/>
      <c r="AKS57" s="2"/>
      <c r="AKT57" s="2"/>
      <c r="AKU57" s="2"/>
      <c r="AKV57" s="2"/>
      <c r="AKW57" s="2"/>
      <c r="AKX57" s="2"/>
      <c r="AKY57" s="2"/>
      <c r="AKZ57" s="2"/>
      <c r="ALA57" s="2"/>
      <c r="ALB57" s="2"/>
      <c r="ALC57" s="2"/>
      <c r="ALD57" s="2"/>
      <c r="ALE57" s="2"/>
      <c r="ALF57" s="2"/>
      <c r="ALG57" s="2"/>
      <c r="ALH57" s="2"/>
      <c r="ALI57" s="2"/>
      <c r="ALJ57" s="2"/>
      <c r="ALK57" s="2"/>
      <c r="ALL57" s="2"/>
      <c r="ALM57" s="2"/>
      <c r="ALN57" s="2"/>
      <c r="ALO57" s="2"/>
      <c r="ALP57" s="2"/>
      <c r="ALQ57" s="2"/>
      <c r="ALR57" s="2"/>
      <c r="ALS57" s="2"/>
      <c r="ALT57" s="2"/>
      <c r="ALU57" s="2"/>
      <c r="ALV57" s="2"/>
      <c r="ALW57" s="2"/>
      <c r="ALX57" s="2"/>
      <c r="ALY57" s="2"/>
      <c r="ALZ57" s="2"/>
      <c r="AMA57" s="2"/>
      <c r="AMB57" s="2"/>
      <c r="AMC57" s="2"/>
      <c r="AMD57" s="2"/>
      <c r="AME57" s="2"/>
    </row>
    <row r="58" spans="1:1019" ht="17.25" customHeight="1" x14ac:dyDescent="0.3">
      <c r="A58" s="72"/>
      <c r="B58" s="37" t="s">
        <v>81</v>
      </c>
      <c r="C58" s="45" t="s">
        <v>12</v>
      </c>
      <c r="D58" s="13">
        <f>D23*D56</f>
        <v>1850</v>
      </c>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c r="AME58" s="2"/>
    </row>
    <row r="59" spans="1:1019" ht="19.5" customHeight="1" x14ac:dyDescent="0.3">
      <c r="A59" s="36">
        <v>3.12</v>
      </c>
      <c r="B59" s="37" t="s">
        <v>82</v>
      </c>
      <c r="C59" s="45" t="s">
        <v>12</v>
      </c>
      <c r="D59" s="11">
        <v>150</v>
      </c>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c r="ZZ59" s="2"/>
      <c r="AAA59" s="2"/>
      <c r="AAB59" s="2"/>
      <c r="AAC59" s="2"/>
      <c r="AAD59" s="2"/>
      <c r="AAE59" s="2"/>
      <c r="AAF59" s="2"/>
      <c r="AAG59" s="2"/>
      <c r="AAH59" s="2"/>
      <c r="AAI59" s="2"/>
      <c r="AAJ59" s="2"/>
      <c r="AAK59" s="2"/>
      <c r="AAL59" s="2"/>
      <c r="AAM59" s="2"/>
      <c r="AAN59" s="2"/>
      <c r="AAO59" s="2"/>
      <c r="AAP59" s="2"/>
      <c r="AAQ59" s="2"/>
      <c r="AAR59" s="2"/>
      <c r="AAS59" s="2"/>
      <c r="AAT59" s="2"/>
      <c r="AAU59" s="2"/>
      <c r="AAV59" s="2"/>
      <c r="AAW59" s="2"/>
      <c r="AAX59" s="2"/>
      <c r="AAY59" s="2"/>
      <c r="AAZ59" s="2"/>
      <c r="ABA59" s="2"/>
      <c r="ABB59" s="2"/>
      <c r="ABC59" s="2"/>
      <c r="ABD59" s="2"/>
      <c r="ABE59" s="2"/>
      <c r="ABF59" s="2"/>
      <c r="ABG59" s="2"/>
      <c r="ABH59" s="2"/>
      <c r="ABI59" s="2"/>
      <c r="ABJ59" s="2"/>
      <c r="ABK59" s="2"/>
      <c r="ABL59" s="2"/>
      <c r="ABM59" s="2"/>
      <c r="ABN59" s="2"/>
      <c r="ABO59" s="2"/>
      <c r="ABP59" s="2"/>
      <c r="ABQ59" s="2"/>
      <c r="ABR59" s="2"/>
      <c r="ABS59" s="2"/>
      <c r="ABT59" s="2"/>
      <c r="ABU59" s="2"/>
      <c r="ABV59" s="2"/>
      <c r="ABW59" s="2"/>
      <c r="ABX59" s="2"/>
      <c r="ABY59" s="2"/>
      <c r="ABZ59" s="2"/>
      <c r="ACA59" s="2"/>
      <c r="ACB59" s="2"/>
      <c r="ACC59" s="2"/>
      <c r="ACD59" s="2"/>
      <c r="ACE59" s="2"/>
      <c r="ACF59" s="2"/>
      <c r="ACG59" s="2"/>
      <c r="ACH59" s="2"/>
      <c r="ACI59" s="2"/>
      <c r="ACJ59" s="2"/>
      <c r="ACK59" s="2"/>
      <c r="ACL59" s="2"/>
      <c r="ACM59" s="2"/>
      <c r="ACN59" s="2"/>
      <c r="ACO59" s="2"/>
      <c r="ACP59" s="2"/>
      <c r="ACQ59" s="2"/>
      <c r="ACR59" s="2"/>
      <c r="ACS59" s="2"/>
      <c r="ACT59" s="2"/>
      <c r="ACU59" s="2"/>
      <c r="ACV59" s="2"/>
      <c r="ACW59" s="2"/>
      <c r="ACX59" s="2"/>
      <c r="ACY59" s="2"/>
      <c r="ACZ59" s="2"/>
      <c r="ADA59" s="2"/>
      <c r="ADB59" s="2"/>
      <c r="ADC59" s="2"/>
      <c r="ADD59" s="2"/>
      <c r="ADE59" s="2"/>
      <c r="ADF59" s="2"/>
      <c r="ADG59" s="2"/>
      <c r="ADH59" s="2"/>
      <c r="ADI59" s="2"/>
      <c r="ADJ59" s="2"/>
      <c r="ADK59" s="2"/>
      <c r="ADL59" s="2"/>
      <c r="ADM59" s="2"/>
      <c r="ADN59" s="2"/>
      <c r="ADO59" s="2"/>
      <c r="ADP59" s="2"/>
      <c r="ADQ59" s="2"/>
      <c r="ADR59" s="2"/>
      <c r="ADS59" s="2"/>
      <c r="ADT59" s="2"/>
      <c r="ADU59" s="2"/>
      <c r="ADV59" s="2"/>
      <c r="ADW59" s="2"/>
      <c r="ADX59" s="2"/>
      <c r="ADY59" s="2"/>
      <c r="ADZ59" s="2"/>
      <c r="AEA59" s="2"/>
      <c r="AEB59" s="2"/>
      <c r="AEC59" s="2"/>
      <c r="AED59" s="2"/>
      <c r="AEE59" s="2"/>
      <c r="AEF59" s="2"/>
      <c r="AEG59" s="2"/>
      <c r="AEH59" s="2"/>
      <c r="AEI59" s="2"/>
      <c r="AEJ59" s="2"/>
      <c r="AEK59" s="2"/>
      <c r="AEL59" s="2"/>
      <c r="AEM59" s="2"/>
      <c r="AEN59" s="2"/>
      <c r="AEO59" s="2"/>
      <c r="AEP59" s="2"/>
      <c r="AEQ59" s="2"/>
      <c r="AER59" s="2"/>
      <c r="AES59" s="2"/>
      <c r="AET59" s="2"/>
      <c r="AEU59" s="2"/>
      <c r="AEV59" s="2"/>
      <c r="AEW59" s="2"/>
      <c r="AEX59" s="2"/>
      <c r="AEY59" s="2"/>
      <c r="AEZ59" s="2"/>
      <c r="AFA59" s="2"/>
      <c r="AFB59" s="2"/>
      <c r="AFC59" s="2"/>
      <c r="AFD59" s="2"/>
      <c r="AFE59" s="2"/>
      <c r="AFF59" s="2"/>
      <c r="AFG59" s="2"/>
      <c r="AFH59" s="2"/>
      <c r="AFI59" s="2"/>
      <c r="AFJ59" s="2"/>
      <c r="AFK59" s="2"/>
      <c r="AFL59" s="2"/>
      <c r="AFM59" s="2"/>
      <c r="AFN59" s="2"/>
      <c r="AFO59" s="2"/>
      <c r="AFP59" s="2"/>
      <c r="AFQ59" s="2"/>
      <c r="AFR59" s="2"/>
      <c r="AFS59" s="2"/>
      <c r="AFT59" s="2"/>
      <c r="AFU59" s="2"/>
      <c r="AFV59" s="2"/>
      <c r="AFW59" s="2"/>
      <c r="AFX59" s="2"/>
      <c r="AFY59" s="2"/>
      <c r="AFZ59" s="2"/>
      <c r="AGA59" s="2"/>
      <c r="AGB59" s="2"/>
      <c r="AGC59" s="2"/>
      <c r="AGD59" s="2"/>
      <c r="AGE59" s="2"/>
      <c r="AGF59" s="2"/>
      <c r="AGG59" s="2"/>
      <c r="AGH59" s="2"/>
      <c r="AGI59" s="2"/>
      <c r="AGJ59" s="2"/>
      <c r="AGK59" s="2"/>
      <c r="AGL59" s="2"/>
      <c r="AGM59" s="2"/>
      <c r="AGN59" s="2"/>
      <c r="AGO59" s="2"/>
      <c r="AGP59" s="2"/>
      <c r="AGQ59" s="2"/>
      <c r="AGR59" s="2"/>
      <c r="AGS59" s="2"/>
      <c r="AGT59" s="2"/>
      <c r="AGU59" s="2"/>
      <c r="AGV59" s="2"/>
      <c r="AGW59" s="2"/>
      <c r="AGX59" s="2"/>
      <c r="AGY59" s="2"/>
      <c r="AGZ59" s="2"/>
      <c r="AHA59" s="2"/>
      <c r="AHB59" s="2"/>
      <c r="AHC59" s="2"/>
      <c r="AHD59" s="2"/>
      <c r="AHE59" s="2"/>
      <c r="AHF59" s="2"/>
      <c r="AHG59" s="2"/>
      <c r="AHH59" s="2"/>
      <c r="AHI59" s="2"/>
      <c r="AHJ59" s="2"/>
      <c r="AHK59" s="2"/>
      <c r="AHL59" s="2"/>
      <c r="AHM59" s="2"/>
      <c r="AHN59" s="2"/>
      <c r="AHO59" s="2"/>
      <c r="AHP59" s="2"/>
      <c r="AHQ59" s="2"/>
      <c r="AHR59" s="2"/>
      <c r="AHS59" s="2"/>
      <c r="AHT59" s="2"/>
      <c r="AHU59" s="2"/>
      <c r="AHV59" s="2"/>
      <c r="AHW59" s="2"/>
      <c r="AHX59" s="2"/>
      <c r="AHY59" s="2"/>
      <c r="AHZ59" s="2"/>
      <c r="AIA59" s="2"/>
      <c r="AIB59" s="2"/>
      <c r="AIC59" s="2"/>
      <c r="AID59" s="2"/>
      <c r="AIE59" s="2"/>
      <c r="AIF59" s="2"/>
      <c r="AIG59" s="2"/>
      <c r="AIH59" s="2"/>
      <c r="AII59" s="2"/>
      <c r="AIJ59" s="2"/>
      <c r="AIK59" s="2"/>
      <c r="AIL59" s="2"/>
      <c r="AIM59" s="2"/>
      <c r="AIN59" s="2"/>
      <c r="AIO59" s="2"/>
      <c r="AIP59" s="2"/>
      <c r="AIQ59" s="2"/>
      <c r="AIR59" s="2"/>
      <c r="AIS59" s="2"/>
      <c r="AIT59" s="2"/>
      <c r="AIU59" s="2"/>
      <c r="AIV59" s="2"/>
      <c r="AIW59" s="2"/>
      <c r="AIX59" s="2"/>
      <c r="AIY59" s="2"/>
      <c r="AIZ59" s="2"/>
      <c r="AJA59" s="2"/>
      <c r="AJB59" s="2"/>
      <c r="AJC59" s="2"/>
      <c r="AJD59" s="2"/>
      <c r="AJE59" s="2"/>
      <c r="AJF59" s="2"/>
      <c r="AJG59" s="2"/>
      <c r="AJH59" s="2"/>
      <c r="AJI59" s="2"/>
      <c r="AJJ59" s="2"/>
      <c r="AJK59" s="2"/>
      <c r="AJL59" s="2"/>
      <c r="AJM59" s="2"/>
      <c r="AJN59" s="2"/>
      <c r="AJO59" s="2"/>
      <c r="AJP59" s="2"/>
      <c r="AJQ59" s="2"/>
      <c r="AJR59" s="2"/>
      <c r="AJS59" s="2"/>
      <c r="AJT59" s="2"/>
      <c r="AJU59" s="2"/>
      <c r="AJV59" s="2"/>
      <c r="AJW59" s="2"/>
      <c r="AJX59" s="2"/>
      <c r="AJY59" s="2"/>
      <c r="AJZ59" s="2"/>
      <c r="AKA59" s="2"/>
      <c r="AKB59" s="2"/>
      <c r="AKC59" s="2"/>
      <c r="AKD59" s="2"/>
      <c r="AKE59" s="2"/>
      <c r="AKF59" s="2"/>
      <c r="AKG59" s="2"/>
      <c r="AKH59" s="2"/>
      <c r="AKI59" s="2"/>
      <c r="AKJ59" s="2"/>
      <c r="AKK59" s="2"/>
      <c r="AKL59" s="2"/>
      <c r="AKM59" s="2"/>
      <c r="AKN59" s="2"/>
      <c r="AKO59" s="2"/>
      <c r="AKP59" s="2"/>
      <c r="AKQ59" s="2"/>
      <c r="AKR59" s="2"/>
      <c r="AKS59" s="2"/>
      <c r="AKT59" s="2"/>
      <c r="AKU59" s="2"/>
      <c r="AKV59" s="2"/>
      <c r="AKW59" s="2"/>
      <c r="AKX59" s="2"/>
      <c r="AKY59" s="2"/>
      <c r="AKZ59" s="2"/>
      <c r="ALA59" s="2"/>
      <c r="ALB59" s="2"/>
      <c r="ALC59" s="2"/>
      <c r="ALD59" s="2"/>
      <c r="ALE59" s="2"/>
      <c r="ALF59" s="2"/>
      <c r="ALG59" s="2"/>
      <c r="ALH59" s="2"/>
      <c r="ALI59" s="2"/>
      <c r="ALJ59" s="2"/>
      <c r="ALK59" s="2"/>
      <c r="ALL59" s="2"/>
      <c r="ALM59" s="2"/>
      <c r="ALN59" s="2"/>
      <c r="ALO59" s="2"/>
      <c r="ALP59" s="2"/>
      <c r="ALQ59" s="2"/>
      <c r="ALR59" s="2"/>
      <c r="ALS59" s="2"/>
      <c r="ALT59" s="2"/>
      <c r="ALU59" s="2"/>
      <c r="ALV59" s="2"/>
      <c r="ALW59" s="2"/>
      <c r="ALX59" s="2"/>
      <c r="ALY59" s="2"/>
      <c r="ALZ59" s="2"/>
      <c r="AMA59" s="2"/>
      <c r="AMB59" s="2"/>
      <c r="AMC59" s="2"/>
      <c r="AMD59" s="2"/>
      <c r="AME59" s="2"/>
    </row>
    <row r="60" spans="1:1019" ht="19.5" customHeight="1" x14ac:dyDescent="0.3">
      <c r="A60" s="36">
        <v>3.13</v>
      </c>
      <c r="B60" s="37" t="s">
        <v>83</v>
      </c>
      <c r="C60" s="45" t="s">
        <v>12</v>
      </c>
      <c r="D60" s="10" t="s">
        <v>84</v>
      </c>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c r="AMC60" s="2"/>
      <c r="AMD60" s="2"/>
      <c r="AME60" s="2"/>
    </row>
    <row r="61" spans="1:1019" ht="19.5" customHeight="1" x14ac:dyDescent="0.3">
      <c r="A61" s="36">
        <v>3.14</v>
      </c>
      <c r="B61" s="37" t="s">
        <v>85</v>
      </c>
      <c r="C61" s="45" t="s">
        <v>12</v>
      </c>
      <c r="D61" s="10" t="s">
        <v>86</v>
      </c>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c r="AME61" s="2"/>
    </row>
    <row r="62" spans="1:1019" ht="26.25" customHeight="1" x14ac:dyDescent="0.3">
      <c r="A62" s="36">
        <v>3.15</v>
      </c>
      <c r="B62" s="37" t="s">
        <v>87</v>
      </c>
      <c r="C62" s="45" t="s">
        <v>12</v>
      </c>
      <c r="D62" s="10" t="s">
        <v>88</v>
      </c>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c r="AME62" s="2"/>
    </row>
    <row r="63" spans="1:1019" ht="20.25" customHeight="1" x14ac:dyDescent="0.3">
      <c r="A63" s="36">
        <v>3.16</v>
      </c>
      <c r="B63" s="37" t="s">
        <v>89</v>
      </c>
      <c r="C63" s="45" t="s">
        <v>12</v>
      </c>
      <c r="D63" s="10" t="s">
        <v>90</v>
      </c>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c r="AJI63" s="2"/>
      <c r="AJJ63" s="2"/>
      <c r="AJK63" s="2"/>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c r="AMC63" s="2"/>
      <c r="AMD63" s="2"/>
      <c r="AME63" s="2"/>
    </row>
    <row r="64" spans="1:1019" ht="30.75" customHeight="1" x14ac:dyDescent="0.3">
      <c r="A64" s="36">
        <v>3.17</v>
      </c>
      <c r="B64" s="37" t="s">
        <v>91</v>
      </c>
      <c r="C64" s="45" t="s">
        <v>12</v>
      </c>
      <c r="D64" s="10" t="s">
        <v>92</v>
      </c>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c r="AME64" s="2"/>
    </row>
    <row r="65" spans="1:1019" ht="19.5" customHeight="1" x14ac:dyDescent="0.3">
      <c r="A65" s="36">
        <v>3.18</v>
      </c>
      <c r="B65" s="75" t="s">
        <v>93</v>
      </c>
      <c r="C65" s="75"/>
      <c r="D65" s="75"/>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c r="AME65" s="2"/>
    </row>
    <row r="66" spans="1:1019" ht="21" customHeight="1" x14ac:dyDescent="0.3">
      <c r="A66" s="36" t="s">
        <v>40</v>
      </c>
      <c r="B66" s="37" t="s">
        <v>94</v>
      </c>
      <c r="C66" s="45" t="s">
        <v>62</v>
      </c>
      <c r="D66" s="43">
        <v>0.9</v>
      </c>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c r="ZZ66" s="2"/>
      <c r="AAA66" s="2"/>
      <c r="AAB66" s="2"/>
      <c r="AAC66" s="2"/>
      <c r="AAD66" s="2"/>
      <c r="AAE66" s="2"/>
      <c r="AAF66" s="2"/>
      <c r="AAG66" s="2"/>
      <c r="AAH66" s="2"/>
      <c r="AAI66" s="2"/>
      <c r="AAJ66" s="2"/>
      <c r="AAK66" s="2"/>
      <c r="AAL66" s="2"/>
      <c r="AAM66" s="2"/>
      <c r="AAN66" s="2"/>
      <c r="AAO66" s="2"/>
      <c r="AAP66" s="2"/>
      <c r="AAQ66" s="2"/>
      <c r="AAR66" s="2"/>
      <c r="AAS66" s="2"/>
      <c r="AAT66" s="2"/>
      <c r="AAU66" s="2"/>
      <c r="AAV66" s="2"/>
      <c r="AAW66" s="2"/>
      <c r="AAX66" s="2"/>
      <c r="AAY66" s="2"/>
      <c r="AAZ66" s="2"/>
      <c r="ABA66" s="2"/>
      <c r="ABB66" s="2"/>
      <c r="ABC66" s="2"/>
      <c r="ABD66" s="2"/>
      <c r="ABE66" s="2"/>
      <c r="ABF66" s="2"/>
      <c r="ABG66" s="2"/>
      <c r="ABH66" s="2"/>
      <c r="ABI66" s="2"/>
      <c r="ABJ66" s="2"/>
      <c r="ABK66" s="2"/>
      <c r="ABL66" s="2"/>
      <c r="ABM66" s="2"/>
      <c r="ABN66" s="2"/>
      <c r="ABO66" s="2"/>
      <c r="ABP66" s="2"/>
      <c r="ABQ66" s="2"/>
      <c r="ABR66" s="2"/>
      <c r="ABS66" s="2"/>
      <c r="ABT66" s="2"/>
      <c r="ABU66" s="2"/>
      <c r="ABV66" s="2"/>
      <c r="ABW66" s="2"/>
      <c r="ABX66" s="2"/>
      <c r="ABY66" s="2"/>
      <c r="ABZ66" s="2"/>
      <c r="ACA66" s="2"/>
      <c r="ACB66" s="2"/>
      <c r="ACC66" s="2"/>
      <c r="ACD66" s="2"/>
      <c r="ACE66" s="2"/>
      <c r="ACF66" s="2"/>
      <c r="ACG66" s="2"/>
      <c r="ACH66" s="2"/>
      <c r="ACI66" s="2"/>
      <c r="ACJ66" s="2"/>
      <c r="ACK66" s="2"/>
      <c r="ACL66" s="2"/>
      <c r="ACM66" s="2"/>
      <c r="ACN66" s="2"/>
      <c r="ACO66" s="2"/>
      <c r="ACP66" s="2"/>
      <c r="ACQ66" s="2"/>
      <c r="ACR66" s="2"/>
      <c r="ACS66" s="2"/>
      <c r="ACT66" s="2"/>
      <c r="ACU66" s="2"/>
      <c r="ACV66" s="2"/>
      <c r="ACW66" s="2"/>
      <c r="ACX66" s="2"/>
      <c r="ACY66" s="2"/>
      <c r="ACZ66" s="2"/>
      <c r="ADA66" s="2"/>
      <c r="ADB66" s="2"/>
      <c r="ADC66" s="2"/>
      <c r="ADD66" s="2"/>
      <c r="ADE66" s="2"/>
      <c r="ADF66" s="2"/>
      <c r="ADG66" s="2"/>
      <c r="ADH66" s="2"/>
      <c r="ADI66" s="2"/>
      <c r="ADJ66" s="2"/>
      <c r="ADK66" s="2"/>
      <c r="ADL66" s="2"/>
      <c r="ADM66" s="2"/>
      <c r="ADN66" s="2"/>
      <c r="ADO66" s="2"/>
      <c r="ADP66" s="2"/>
      <c r="ADQ66" s="2"/>
      <c r="ADR66" s="2"/>
      <c r="ADS66" s="2"/>
      <c r="ADT66" s="2"/>
      <c r="ADU66" s="2"/>
      <c r="ADV66" s="2"/>
      <c r="ADW66" s="2"/>
      <c r="ADX66" s="2"/>
      <c r="ADY66" s="2"/>
      <c r="ADZ66" s="2"/>
      <c r="AEA66" s="2"/>
      <c r="AEB66" s="2"/>
      <c r="AEC66" s="2"/>
      <c r="AED66" s="2"/>
      <c r="AEE66" s="2"/>
      <c r="AEF66" s="2"/>
      <c r="AEG66" s="2"/>
      <c r="AEH66" s="2"/>
      <c r="AEI66" s="2"/>
      <c r="AEJ66" s="2"/>
      <c r="AEK66" s="2"/>
      <c r="AEL66" s="2"/>
      <c r="AEM66" s="2"/>
      <c r="AEN66" s="2"/>
      <c r="AEO66" s="2"/>
      <c r="AEP66" s="2"/>
      <c r="AEQ66" s="2"/>
      <c r="AER66" s="2"/>
      <c r="AES66" s="2"/>
      <c r="AET66" s="2"/>
      <c r="AEU66" s="2"/>
      <c r="AEV66" s="2"/>
      <c r="AEW66" s="2"/>
      <c r="AEX66" s="2"/>
      <c r="AEY66" s="2"/>
      <c r="AEZ66" s="2"/>
      <c r="AFA66" s="2"/>
      <c r="AFB66" s="2"/>
      <c r="AFC66" s="2"/>
      <c r="AFD66" s="2"/>
      <c r="AFE66" s="2"/>
      <c r="AFF66" s="2"/>
      <c r="AFG66" s="2"/>
      <c r="AFH66" s="2"/>
      <c r="AFI66" s="2"/>
      <c r="AFJ66" s="2"/>
      <c r="AFK66" s="2"/>
      <c r="AFL66" s="2"/>
      <c r="AFM66" s="2"/>
      <c r="AFN66" s="2"/>
      <c r="AFO66" s="2"/>
      <c r="AFP66" s="2"/>
      <c r="AFQ66" s="2"/>
      <c r="AFR66" s="2"/>
      <c r="AFS66" s="2"/>
      <c r="AFT66" s="2"/>
      <c r="AFU66" s="2"/>
      <c r="AFV66" s="2"/>
      <c r="AFW66" s="2"/>
      <c r="AFX66" s="2"/>
      <c r="AFY66" s="2"/>
      <c r="AFZ66" s="2"/>
      <c r="AGA66" s="2"/>
      <c r="AGB66" s="2"/>
      <c r="AGC66" s="2"/>
      <c r="AGD66" s="2"/>
      <c r="AGE66" s="2"/>
      <c r="AGF66" s="2"/>
      <c r="AGG66" s="2"/>
      <c r="AGH66" s="2"/>
      <c r="AGI66" s="2"/>
      <c r="AGJ66" s="2"/>
      <c r="AGK66" s="2"/>
      <c r="AGL66" s="2"/>
      <c r="AGM66" s="2"/>
      <c r="AGN66" s="2"/>
      <c r="AGO66" s="2"/>
      <c r="AGP66" s="2"/>
      <c r="AGQ66" s="2"/>
      <c r="AGR66" s="2"/>
      <c r="AGS66" s="2"/>
      <c r="AGT66" s="2"/>
      <c r="AGU66" s="2"/>
      <c r="AGV66" s="2"/>
      <c r="AGW66" s="2"/>
      <c r="AGX66" s="2"/>
      <c r="AGY66" s="2"/>
      <c r="AGZ66" s="2"/>
      <c r="AHA66" s="2"/>
      <c r="AHB66" s="2"/>
      <c r="AHC66" s="2"/>
      <c r="AHD66" s="2"/>
      <c r="AHE66" s="2"/>
      <c r="AHF66" s="2"/>
      <c r="AHG66" s="2"/>
      <c r="AHH66" s="2"/>
      <c r="AHI66" s="2"/>
      <c r="AHJ66" s="2"/>
      <c r="AHK66" s="2"/>
      <c r="AHL66" s="2"/>
      <c r="AHM66" s="2"/>
      <c r="AHN66" s="2"/>
      <c r="AHO66" s="2"/>
      <c r="AHP66" s="2"/>
      <c r="AHQ66" s="2"/>
      <c r="AHR66" s="2"/>
      <c r="AHS66" s="2"/>
      <c r="AHT66" s="2"/>
      <c r="AHU66" s="2"/>
      <c r="AHV66" s="2"/>
      <c r="AHW66" s="2"/>
      <c r="AHX66" s="2"/>
      <c r="AHY66" s="2"/>
      <c r="AHZ66" s="2"/>
      <c r="AIA66" s="2"/>
      <c r="AIB66" s="2"/>
      <c r="AIC66" s="2"/>
      <c r="AID66" s="2"/>
      <c r="AIE66" s="2"/>
      <c r="AIF66" s="2"/>
      <c r="AIG66" s="2"/>
      <c r="AIH66" s="2"/>
      <c r="AII66" s="2"/>
      <c r="AIJ66" s="2"/>
      <c r="AIK66" s="2"/>
      <c r="AIL66" s="2"/>
      <c r="AIM66" s="2"/>
      <c r="AIN66" s="2"/>
      <c r="AIO66" s="2"/>
      <c r="AIP66" s="2"/>
      <c r="AIQ66" s="2"/>
      <c r="AIR66" s="2"/>
      <c r="AIS66" s="2"/>
      <c r="AIT66" s="2"/>
      <c r="AIU66" s="2"/>
      <c r="AIV66" s="2"/>
      <c r="AIW66" s="2"/>
      <c r="AIX66" s="2"/>
      <c r="AIY66" s="2"/>
      <c r="AIZ66" s="2"/>
      <c r="AJA66" s="2"/>
      <c r="AJB66" s="2"/>
      <c r="AJC66" s="2"/>
      <c r="AJD66" s="2"/>
      <c r="AJE66" s="2"/>
      <c r="AJF66" s="2"/>
      <c r="AJG66" s="2"/>
      <c r="AJH66" s="2"/>
      <c r="AJI66" s="2"/>
      <c r="AJJ66" s="2"/>
      <c r="AJK66" s="2"/>
      <c r="AJL66" s="2"/>
      <c r="AJM66" s="2"/>
      <c r="AJN66" s="2"/>
      <c r="AJO66" s="2"/>
      <c r="AJP66" s="2"/>
      <c r="AJQ66" s="2"/>
      <c r="AJR66" s="2"/>
      <c r="AJS66" s="2"/>
      <c r="AJT66" s="2"/>
      <c r="AJU66" s="2"/>
      <c r="AJV66" s="2"/>
      <c r="AJW66" s="2"/>
      <c r="AJX66" s="2"/>
      <c r="AJY66" s="2"/>
      <c r="AJZ66" s="2"/>
      <c r="AKA66" s="2"/>
      <c r="AKB66" s="2"/>
      <c r="AKC66" s="2"/>
      <c r="AKD66" s="2"/>
      <c r="AKE66" s="2"/>
      <c r="AKF66" s="2"/>
      <c r="AKG66" s="2"/>
      <c r="AKH66" s="2"/>
      <c r="AKI66" s="2"/>
      <c r="AKJ66" s="2"/>
      <c r="AKK66" s="2"/>
      <c r="AKL66" s="2"/>
      <c r="AKM66" s="2"/>
      <c r="AKN66" s="2"/>
      <c r="AKO66" s="2"/>
      <c r="AKP66" s="2"/>
      <c r="AKQ66" s="2"/>
      <c r="AKR66" s="2"/>
      <c r="AKS66" s="2"/>
      <c r="AKT66" s="2"/>
      <c r="AKU66" s="2"/>
      <c r="AKV66" s="2"/>
      <c r="AKW66" s="2"/>
      <c r="AKX66" s="2"/>
      <c r="AKY66" s="2"/>
      <c r="AKZ66" s="2"/>
      <c r="ALA66" s="2"/>
      <c r="ALB66" s="2"/>
      <c r="ALC66" s="2"/>
      <c r="ALD66" s="2"/>
      <c r="ALE66" s="2"/>
      <c r="ALF66" s="2"/>
      <c r="ALG66" s="2"/>
      <c r="ALH66" s="2"/>
      <c r="ALI66" s="2"/>
      <c r="ALJ66" s="2"/>
      <c r="ALK66" s="2"/>
      <c r="ALL66" s="2"/>
      <c r="ALM66" s="2"/>
      <c r="ALN66" s="2"/>
      <c r="ALO66" s="2"/>
      <c r="ALP66" s="2"/>
      <c r="ALQ66" s="2"/>
      <c r="ALR66" s="2"/>
      <c r="ALS66" s="2"/>
      <c r="ALT66" s="2"/>
      <c r="ALU66" s="2"/>
      <c r="ALV66" s="2"/>
      <c r="ALW66" s="2"/>
      <c r="ALX66" s="2"/>
      <c r="ALY66" s="2"/>
      <c r="ALZ66" s="2"/>
      <c r="AMA66" s="2"/>
      <c r="AMB66" s="2"/>
      <c r="AMC66" s="2"/>
      <c r="AMD66" s="2"/>
      <c r="AME66" s="2"/>
    </row>
    <row r="67" spans="1:1019" ht="34.5" customHeight="1" x14ac:dyDescent="0.3">
      <c r="A67" s="36" t="s">
        <v>95</v>
      </c>
      <c r="B67" s="37" t="s">
        <v>96</v>
      </c>
      <c r="C67" s="45" t="s">
        <v>62</v>
      </c>
      <c r="D67" s="43">
        <v>0.87</v>
      </c>
      <c r="E67" s="2"/>
      <c r="F67" s="2"/>
      <c r="G67"/>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c r="ZZ67" s="2"/>
      <c r="AAA67" s="2"/>
      <c r="AAB67" s="2"/>
      <c r="AAC67" s="2"/>
      <c r="AAD67" s="2"/>
      <c r="AAE67" s="2"/>
      <c r="AAF67" s="2"/>
      <c r="AAG67" s="2"/>
      <c r="AAH67" s="2"/>
      <c r="AAI67" s="2"/>
      <c r="AAJ67" s="2"/>
      <c r="AAK67" s="2"/>
      <c r="AAL67" s="2"/>
      <c r="AAM67" s="2"/>
      <c r="AAN67" s="2"/>
      <c r="AAO67" s="2"/>
      <c r="AAP67" s="2"/>
      <c r="AAQ67" s="2"/>
      <c r="AAR67" s="2"/>
      <c r="AAS67" s="2"/>
      <c r="AAT67" s="2"/>
      <c r="AAU67" s="2"/>
      <c r="AAV67" s="2"/>
      <c r="AAW67" s="2"/>
      <c r="AAX67" s="2"/>
      <c r="AAY67" s="2"/>
      <c r="AAZ67" s="2"/>
      <c r="ABA67" s="2"/>
      <c r="ABB67" s="2"/>
      <c r="ABC67" s="2"/>
      <c r="ABD67" s="2"/>
      <c r="ABE67" s="2"/>
      <c r="ABF67" s="2"/>
      <c r="ABG67" s="2"/>
      <c r="ABH67" s="2"/>
      <c r="ABI67" s="2"/>
      <c r="ABJ67" s="2"/>
      <c r="ABK67" s="2"/>
      <c r="ABL67" s="2"/>
      <c r="ABM67" s="2"/>
      <c r="ABN67" s="2"/>
      <c r="ABO67" s="2"/>
      <c r="ABP67" s="2"/>
      <c r="ABQ67" s="2"/>
      <c r="ABR67" s="2"/>
      <c r="ABS67" s="2"/>
      <c r="ABT67" s="2"/>
      <c r="ABU67" s="2"/>
      <c r="ABV67" s="2"/>
      <c r="ABW67" s="2"/>
      <c r="ABX67" s="2"/>
      <c r="ABY67" s="2"/>
      <c r="ABZ67" s="2"/>
      <c r="ACA67" s="2"/>
      <c r="ACB67" s="2"/>
      <c r="ACC67" s="2"/>
      <c r="ACD67" s="2"/>
      <c r="ACE67" s="2"/>
      <c r="ACF67" s="2"/>
      <c r="ACG67" s="2"/>
      <c r="ACH67" s="2"/>
      <c r="ACI67" s="2"/>
      <c r="ACJ67" s="2"/>
      <c r="ACK67" s="2"/>
      <c r="ACL67" s="2"/>
      <c r="ACM67" s="2"/>
      <c r="ACN67" s="2"/>
      <c r="ACO67" s="2"/>
      <c r="ACP67" s="2"/>
      <c r="ACQ67" s="2"/>
      <c r="ACR67" s="2"/>
      <c r="ACS67" s="2"/>
      <c r="ACT67" s="2"/>
      <c r="ACU67" s="2"/>
      <c r="ACV67" s="2"/>
      <c r="ACW67" s="2"/>
      <c r="ACX67" s="2"/>
      <c r="ACY67" s="2"/>
      <c r="ACZ67" s="2"/>
      <c r="ADA67" s="2"/>
      <c r="ADB67" s="2"/>
      <c r="ADC67" s="2"/>
      <c r="ADD67" s="2"/>
      <c r="ADE67" s="2"/>
      <c r="ADF67" s="2"/>
      <c r="ADG67" s="2"/>
      <c r="ADH67" s="2"/>
      <c r="ADI67" s="2"/>
      <c r="ADJ67" s="2"/>
      <c r="ADK67" s="2"/>
      <c r="ADL67" s="2"/>
      <c r="ADM67" s="2"/>
      <c r="ADN67" s="2"/>
      <c r="ADO67" s="2"/>
      <c r="ADP67" s="2"/>
      <c r="ADQ67" s="2"/>
      <c r="ADR67" s="2"/>
      <c r="ADS67" s="2"/>
      <c r="ADT67" s="2"/>
      <c r="ADU67" s="2"/>
      <c r="ADV67" s="2"/>
      <c r="ADW67" s="2"/>
      <c r="ADX67" s="2"/>
      <c r="ADY67" s="2"/>
      <c r="ADZ67" s="2"/>
      <c r="AEA67" s="2"/>
      <c r="AEB67" s="2"/>
      <c r="AEC67" s="2"/>
      <c r="AED67" s="2"/>
      <c r="AEE67" s="2"/>
      <c r="AEF67" s="2"/>
      <c r="AEG67" s="2"/>
      <c r="AEH67" s="2"/>
      <c r="AEI67" s="2"/>
      <c r="AEJ67" s="2"/>
      <c r="AEK67" s="2"/>
      <c r="AEL67" s="2"/>
      <c r="AEM67" s="2"/>
      <c r="AEN67" s="2"/>
      <c r="AEO67" s="2"/>
      <c r="AEP67" s="2"/>
      <c r="AEQ67" s="2"/>
      <c r="AER67" s="2"/>
      <c r="AES67" s="2"/>
      <c r="AET67" s="2"/>
      <c r="AEU67" s="2"/>
      <c r="AEV67" s="2"/>
      <c r="AEW67" s="2"/>
      <c r="AEX67" s="2"/>
      <c r="AEY67" s="2"/>
      <c r="AEZ67" s="2"/>
      <c r="AFA67" s="2"/>
      <c r="AFB67" s="2"/>
      <c r="AFC67" s="2"/>
      <c r="AFD67" s="2"/>
      <c r="AFE67" s="2"/>
      <c r="AFF67" s="2"/>
      <c r="AFG67" s="2"/>
      <c r="AFH67" s="2"/>
      <c r="AFI67" s="2"/>
      <c r="AFJ67" s="2"/>
      <c r="AFK67" s="2"/>
      <c r="AFL67" s="2"/>
      <c r="AFM67" s="2"/>
      <c r="AFN67" s="2"/>
      <c r="AFO67" s="2"/>
      <c r="AFP67" s="2"/>
      <c r="AFQ67" s="2"/>
      <c r="AFR67" s="2"/>
      <c r="AFS67" s="2"/>
      <c r="AFT67" s="2"/>
      <c r="AFU67" s="2"/>
      <c r="AFV67" s="2"/>
      <c r="AFW67" s="2"/>
      <c r="AFX67" s="2"/>
      <c r="AFY67" s="2"/>
      <c r="AFZ67" s="2"/>
      <c r="AGA67" s="2"/>
      <c r="AGB67" s="2"/>
      <c r="AGC67" s="2"/>
      <c r="AGD67" s="2"/>
      <c r="AGE67" s="2"/>
      <c r="AGF67" s="2"/>
      <c r="AGG67" s="2"/>
      <c r="AGH67" s="2"/>
      <c r="AGI67" s="2"/>
      <c r="AGJ67" s="2"/>
      <c r="AGK67" s="2"/>
      <c r="AGL67" s="2"/>
      <c r="AGM67" s="2"/>
      <c r="AGN67" s="2"/>
      <c r="AGO67" s="2"/>
      <c r="AGP67" s="2"/>
      <c r="AGQ67" s="2"/>
      <c r="AGR67" s="2"/>
      <c r="AGS67" s="2"/>
      <c r="AGT67" s="2"/>
      <c r="AGU67" s="2"/>
      <c r="AGV67" s="2"/>
      <c r="AGW67" s="2"/>
      <c r="AGX67" s="2"/>
      <c r="AGY67" s="2"/>
      <c r="AGZ67" s="2"/>
      <c r="AHA67" s="2"/>
      <c r="AHB67" s="2"/>
      <c r="AHC67" s="2"/>
      <c r="AHD67" s="2"/>
      <c r="AHE67" s="2"/>
      <c r="AHF67" s="2"/>
      <c r="AHG67" s="2"/>
      <c r="AHH67" s="2"/>
      <c r="AHI67" s="2"/>
      <c r="AHJ67" s="2"/>
      <c r="AHK67" s="2"/>
      <c r="AHL67" s="2"/>
      <c r="AHM67" s="2"/>
      <c r="AHN67" s="2"/>
      <c r="AHO67" s="2"/>
      <c r="AHP67" s="2"/>
      <c r="AHQ67" s="2"/>
      <c r="AHR67" s="2"/>
      <c r="AHS67" s="2"/>
      <c r="AHT67" s="2"/>
      <c r="AHU67" s="2"/>
      <c r="AHV67" s="2"/>
      <c r="AHW67" s="2"/>
      <c r="AHX67" s="2"/>
      <c r="AHY67" s="2"/>
      <c r="AHZ67" s="2"/>
      <c r="AIA67" s="2"/>
      <c r="AIB67" s="2"/>
      <c r="AIC67" s="2"/>
      <c r="AID67" s="2"/>
      <c r="AIE67" s="2"/>
      <c r="AIF67" s="2"/>
      <c r="AIG67" s="2"/>
      <c r="AIH67" s="2"/>
      <c r="AII67" s="2"/>
      <c r="AIJ67" s="2"/>
      <c r="AIK67" s="2"/>
      <c r="AIL67" s="2"/>
      <c r="AIM67" s="2"/>
      <c r="AIN67" s="2"/>
      <c r="AIO67" s="2"/>
      <c r="AIP67" s="2"/>
      <c r="AIQ67" s="2"/>
      <c r="AIR67" s="2"/>
      <c r="AIS67" s="2"/>
      <c r="AIT67" s="2"/>
      <c r="AIU67" s="2"/>
      <c r="AIV67" s="2"/>
      <c r="AIW67" s="2"/>
      <c r="AIX67" s="2"/>
      <c r="AIY67" s="2"/>
      <c r="AIZ67" s="2"/>
      <c r="AJA67" s="2"/>
      <c r="AJB67" s="2"/>
      <c r="AJC67" s="2"/>
      <c r="AJD67" s="2"/>
      <c r="AJE67" s="2"/>
      <c r="AJF67" s="2"/>
      <c r="AJG67" s="2"/>
      <c r="AJH67" s="2"/>
      <c r="AJI67" s="2"/>
      <c r="AJJ67" s="2"/>
      <c r="AJK67" s="2"/>
      <c r="AJL67" s="2"/>
      <c r="AJM67" s="2"/>
      <c r="AJN67" s="2"/>
      <c r="AJO67" s="2"/>
      <c r="AJP67" s="2"/>
      <c r="AJQ67" s="2"/>
      <c r="AJR67" s="2"/>
      <c r="AJS67" s="2"/>
      <c r="AJT67" s="2"/>
      <c r="AJU67" s="2"/>
      <c r="AJV67" s="2"/>
      <c r="AJW67" s="2"/>
      <c r="AJX67" s="2"/>
      <c r="AJY67" s="2"/>
      <c r="AJZ67" s="2"/>
      <c r="AKA67" s="2"/>
      <c r="AKB67" s="2"/>
      <c r="AKC67" s="2"/>
      <c r="AKD67" s="2"/>
      <c r="AKE67" s="2"/>
      <c r="AKF67" s="2"/>
      <c r="AKG67" s="2"/>
      <c r="AKH67" s="2"/>
      <c r="AKI67" s="2"/>
      <c r="AKJ67" s="2"/>
      <c r="AKK67" s="2"/>
      <c r="AKL67" s="2"/>
      <c r="AKM67" s="2"/>
      <c r="AKN67" s="2"/>
      <c r="AKO67" s="2"/>
      <c r="AKP67" s="2"/>
      <c r="AKQ67" s="2"/>
      <c r="AKR67" s="2"/>
      <c r="AKS67" s="2"/>
      <c r="AKT67" s="2"/>
      <c r="AKU67" s="2"/>
      <c r="AKV67" s="2"/>
      <c r="AKW67" s="2"/>
      <c r="AKX67" s="2"/>
      <c r="AKY67" s="2"/>
      <c r="AKZ67" s="2"/>
      <c r="ALA67" s="2"/>
      <c r="ALB67" s="2"/>
      <c r="ALC67" s="2"/>
      <c r="ALD67" s="2"/>
      <c r="ALE67" s="2"/>
      <c r="ALF67" s="2"/>
      <c r="ALG67" s="2"/>
      <c r="ALH67" s="2"/>
      <c r="ALI67" s="2"/>
      <c r="ALJ67" s="2"/>
      <c r="ALK67" s="2"/>
      <c r="ALL67" s="2"/>
      <c r="ALM67" s="2"/>
      <c r="ALN67" s="2"/>
      <c r="ALO67" s="2"/>
      <c r="ALP67" s="2"/>
      <c r="ALQ67" s="2"/>
      <c r="ALR67" s="2"/>
      <c r="ALS67" s="2"/>
      <c r="ALT67" s="2"/>
      <c r="ALU67" s="2"/>
      <c r="ALV67" s="2"/>
      <c r="ALW67" s="2"/>
      <c r="ALX67" s="2"/>
      <c r="ALY67" s="2"/>
      <c r="ALZ67" s="2"/>
      <c r="AMA67" s="2"/>
      <c r="AMB67" s="2"/>
      <c r="AMC67" s="2"/>
      <c r="AMD67" s="2"/>
      <c r="AME67" s="2"/>
    </row>
    <row r="68" spans="1:1019" ht="18.75" customHeight="1" x14ac:dyDescent="0.3">
      <c r="A68" s="59" t="s">
        <v>97</v>
      </c>
      <c r="B68" s="37" t="s">
        <v>98</v>
      </c>
      <c r="C68" s="45" t="s">
        <v>62</v>
      </c>
      <c r="D68" s="43">
        <v>0.9</v>
      </c>
      <c r="E68" s="2"/>
      <c r="F68" s="2"/>
      <c r="G68"/>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c r="ZZ68" s="2"/>
      <c r="AAA68" s="2"/>
      <c r="AAB68" s="2"/>
      <c r="AAC68" s="2"/>
      <c r="AAD68" s="2"/>
      <c r="AAE68" s="2"/>
      <c r="AAF68" s="2"/>
      <c r="AAG68" s="2"/>
      <c r="AAH68" s="2"/>
      <c r="AAI68" s="2"/>
      <c r="AAJ68" s="2"/>
      <c r="AAK68" s="2"/>
      <c r="AAL68" s="2"/>
      <c r="AAM68" s="2"/>
      <c r="AAN68" s="2"/>
      <c r="AAO68" s="2"/>
      <c r="AAP68" s="2"/>
      <c r="AAQ68" s="2"/>
      <c r="AAR68" s="2"/>
      <c r="AAS68" s="2"/>
      <c r="AAT68" s="2"/>
      <c r="AAU68" s="2"/>
      <c r="AAV68" s="2"/>
      <c r="AAW68" s="2"/>
      <c r="AAX68" s="2"/>
      <c r="AAY68" s="2"/>
      <c r="AAZ68" s="2"/>
      <c r="ABA68" s="2"/>
      <c r="ABB68" s="2"/>
      <c r="ABC68" s="2"/>
      <c r="ABD68" s="2"/>
      <c r="ABE68" s="2"/>
      <c r="ABF68" s="2"/>
      <c r="ABG68" s="2"/>
      <c r="ABH68" s="2"/>
      <c r="ABI68" s="2"/>
      <c r="ABJ68" s="2"/>
      <c r="ABK68" s="2"/>
      <c r="ABL68" s="2"/>
      <c r="ABM68" s="2"/>
      <c r="ABN68" s="2"/>
      <c r="ABO68" s="2"/>
      <c r="ABP68" s="2"/>
      <c r="ABQ68" s="2"/>
      <c r="ABR68" s="2"/>
      <c r="ABS68" s="2"/>
      <c r="ABT68" s="2"/>
      <c r="ABU68" s="2"/>
      <c r="ABV68" s="2"/>
      <c r="ABW68" s="2"/>
      <c r="ABX68" s="2"/>
      <c r="ABY68" s="2"/>
      <c r="ABZ68" s="2"/>
      <c r="ACA68" s="2"/>
      <c r="ACB68" s="2"/>
      <c r="ACC68" s="2"/>
      <c r="ACD68" s="2"/>
      <c r="ACE68" s="2"/>
      <c r="ACF68" s="2"/>
      <c r="ACG68" s="2"/>
      <c r="ACH68" s="2"/>
      <c r="ACI68" s="2"/>
      <c r="ACJ68" s="2"/>
      <c r="ACK68" s="2"/>
      <c r="ACL68" s="2"/>
      <c r="ACM68" s="2"/>
      <c r="ACN68" s="2"/>
      <c r="ACO68" s="2"/>
      <c r="ACP68" s="2"/>
      <c r="ACQ68" s="2"/>
      <c r="ACR68" s="2"/>
      <c r="ACS68" s="2"/>
      <c r="ACT68" s="2"/>
      <c r="ACU68" s="2"/>
      <c r="ACV68" s="2"/>
      <c r="ACW68" s="2"/>
      <c r="ACX68" s="2"/>
      <c r="ACY68" s="2"/>
      <c r="ACZ68" s="2"/>
      <c r="ADA68" s="2"/>
      <c r="ADB68" s="2"/>
      <c r="ADC68" s="2"/>
      <c r="ADD68" s="2"/>
      <c r="ADE68" s="2"/>
      <c r="ADF68" s="2"/>
      <c r="ADG68" s="2"/>
      <c r="ADH68" s="2"/>
      <c r="ADI68" s="2"/>
      <c r="ADJ68" s="2"/>
      <c r="ADK68" s="2"/>
      <c r="ADL68" s="2"/>
      <c r="ADM68" s="2"/>
      <c r="ADN68" s="2"/>
      <c r="ADO68" s="2"/>
      <c r="ADP68" s="2"/>
      <c r="ADQ68" s="2"/>
      <c r="ADR68" s="2"/>
      <c r="ADS68" s="2"/>
      <c r="ADT68" s="2"/>
      <c r="ADU68" s="2"/>
      <c r="ADV68" s="2"/>
      <c r="ADW68" s="2"/>
      <c r="ADX68" s="2"/>
      <c r="ADY68" s="2"/>
      <c r="ADZ68" s="2"/>
      <c r="AEA68" s="2"/>
      <c r="AEB68" s="2"/>
      <c r="AEC68" s="2"/>
      <c r="AED68" s="2"/>
      <c r="AEE68" s="2"/>
      <c r="AEF68" s="2"/>
      <c r="AEG68" s="2"/>
      <c r="AEH68" s="2"/>
      <c r="AEI68" s="2"/>
      <c r="AEJ68" s="2"/>
      <c r="AEK68" s="2"/>
      <c r="AEL68" s="2"/>
      <c r="AEM68" s="2"/>
      <c r="AEN68" s="2"/>
      <c r="AEO68" s="2"/>
      <c r="AEP68" s="2"/>
      <c r="AEQ68" s="2"/>
      <c r="AER68" s="2"/>
      <c r="AES68" s="2"/>
      <c r="AET68" s="2"/>
      <c r="AEU68" s="2"/>
      <c r="AEV68" s="2"/>
      <c r="AEW68" s="2"/>
      <c r="AEX68" s="2"/>
      <c r="AEY68" s="2"/>
      <c r="AEZ68" s="2"/>
      <c r="AFA68" s="2"/>
      <c r="AFB68" s="2"/>
      <c r="AFC68" s="2"/>
      <c r="AFD68" s="2"/>
      <c r="AFE68" s="2"/>
      <c r="AFF68" s="2"/>
      <c r="AFG68" s="2"/>
      <c r="AFH68" s="2"/>
      <c r="AFI68" s="2"/>
      <c r="AFJ68" s="2"/>
      <c r="AFK68" s="2"/>
      <c r="AFL68" s="2"/>
      <c r="AFM68" s="2"/>
      <c r="AFN68" s="2"/>
      <c r="AFO68" s="2"/>
      <c r="AFP68" s="2"/>
      <c r="AFQ68" s="2"/>
      <c r="AFR68" s="2"/>
      <c r="AFS68" s="2"/>
      <c r="AFT68" s="2"/>
      <c r="AFU68" s="2"/>
      <c r="AFV68" s="2"/>
      <c r="AFW68" s="2"/>
      <c r="AFX68" s="2"/>
      <c r="AFY68" s="2"/>
      <c r="AFZ68" s="2"/>
      <c r="AGA68" s="2"/>
      <c r="AGB68" s="2"/>
      <c r="AGC68" s="2"/>
      <c r="AGD68" s="2"/>
      <c r="AGE68" s="2"/>
      <c r="AGF68" s="2"/>
      <c r="AGG68" s="2"/>
      <c r="AGH68" s="2"/>
      <c r="AGI68" s="2"/>
      <c r="AGJ68" s="2"/>
      <c r="AGK68" s="2"/>
      <c r="AGL68" s="2"/>
      <c r="AGM68" s="2"/>
      <c r="AGN68" s="2"/>
      <c r="AGO68" s="2"/>
      <c r="AGP68" s="2"/>
      <c r="AGQ68" s="2"/>
      <c r="AGR68" s="2"/>
      <c r="AGS68" s="2"/>
      <c r="AGT68" s="2"/>
      <c r="AGU68" s="2"/>
      <c r="AGV68" s="2"/>
      <c r="AGW68" s="2"/>
      <c r="AGX68" s="2"/>
      <c r="AGY68" s="2"/>
      <c r="AGZ68" s="2"/>
      <c r="AHA68" s="2"/>
      <c r="AHB68" s="2"/>
      <c r="AHC68" s="2"/>
      <c r="AHD68" s="2"/>
      <c r="AHE68" s="2"/>
      <c r="AHF68" s="2"/>
      <c r="AHG68" s="2"/>
      <c r="AHH68" s="2"/>
      <c r="AHI68" s="2"/>
      <c r="AHJ68" s="2"/>
      <c r="AHK68" s="2"/>
      <c r="AHL68" s="2"/>
      <c r="AHM68" s="2"/>
      <c r="AHN68" s="2"/>
      <c r="AHO68" s="2"/>
      <c r="AHP68" s="2"/>
      <c r="AHQ68" s="2"/>
      <c r="AHR68" s="2"/>
      <c r="AHS68" s="2"/>
      <c r="AHT68" s="2"/>
      <c r="AHU68" s="2"/>
      <c r="AHV68" s="2"/>
      <c r="AHW68" s="2"/>
      <c r="AHX68" s="2"/>
      <c r="AHY68" s="2"/>
      <c r="AHZ68" s="2"/>
      <c r="AIA68" s="2"/>
      <c r="AIB68" s="2"/>
      <c r="AIC68" s="2"/>
      <c r="AID68" s="2"/>
      <c r="AIE68" s="2"/>
      <c r="AIF68" s="2"/>
      <c r="AIG68" s="2"/>
      <c r="AIH68" s="2"/>
      <c r="AII68" s="2"/>
      <c r="AIJ68" s="2"/>
      <c r="AIK68" s="2"/>
      <c r="AIL68" s="2"/>
      <c r="AIM68" s="2"/>
      <c r="AIN68" s="2"/>
      <c r="AIO68" s="2"/>
      <c r="AIP68" s="2"/>
      <c r="AIQ68" s="2"/>
      <c r="AIR68" s="2"/>
      <c r="AIS68" s="2"/>
      <c r="AIT68" s="2"/>
      <c r="AIU68" s="2"/>
      <c r="AIV68" s="2"/>
      <c r="AIW68" s="2"/>
      <c r="AIX68" s="2"/>
      <c r="AIY68" s="2"/>
      <c r="AIZ68" s="2"/>
      <c r="AJA68" s="2"/>
      <c r="AJB68" s="2"/>
      <c r="AJC68" s="2"/>
      <c r="AJD68" s="2"/>
      <c r="AJE68" s="2"/>
      <c r="AJF68" s="2"/>
      <c r="AJG68" s="2"/>
      <c r="AJH68" s="2"/>
      <c r="AJI68" s="2"/>
      <c r="AJJ68" s="2"/>
      <c r="AJK68" s="2"/>
      <c r="AJL68" s="2"/>
      <c r="AJM68" s="2"/>
      <c r="AJN68" s="2"/>
      <c r="AJO68" s="2"/>
      <c r="AJP68" s="2"/>
      <c r="AJQ68" s="2"/>
      <c r="AJR68" s="2"/>
      <c r="AJS68" s="2"/>
      <c r="AJT68" s="2"/>
      <c r="AJU68" s="2"/>
      <c r="AJV68" s="2"/>
      <c r="AJW68" s="2"/>
      <c r="AJX68" s="2"/>
      <c r="AJY68" s="2"/>
      <c r="AJZ68" s="2"/>
      <c r="AKA68" s="2"/>
      <c r="AKB68" s="2"/>
      <c r="AKC68" s="2"/>
      <c r="AKD68" s="2"/>
      <c r="AKE68" s="2"/>
      <c r="AKF68" s="2"/>
      <c r="AKG68" s="2"/>
      <c r="AKH68" s="2"/>
      <c r="AKI68" s="2"/>
      <c r="AKJ68" s="2"/>
      <c r="AKK68" s="2"/>
      <c r="AKL68" s="2"/>
      <c r="AKM68" s="2"/>
      <c r="AKN68" s="2"/>
      <c r="AKO68" s="2"/>
      <c r="AKP68" s="2"/>
      <c r="AKQ68" s="2"/>
      <c r="AKR68" s="2"/>
      <c r="AKS68" s="2"/>
      <c r="AKT68" s="2"/>
      <c r="AKU68" s="2"/>
      <c r="AKV68" s="2"/>
      <c r="AKW68" s="2"/>
      <c r="AKX68" s="2"/>
      <c r="AKY68" s="2"/>
      <c r="AKZ68" s="2"/>
      <c r="ALA68" s="2"/>
      <c r="ALB68" s="2"/>
      <c r="ALC68" s="2"/>
      <c r="ALD68" s="2"/>
      <c r="ALE68" s="2"/>
      <c r="ALF68" s="2"/>
      <c r="ALG68" s="2"/>
      <c r="ALH68" s="2"/>
      <c r="ALI68" s="2"/>
      <c r="ALJ68" s="2"/>
      <c r="ALK68" s="2"/>
      <c r="ALL68" s="2"/>
      <c r="ALM68" s="2"/>
      <c r="ALN68" s="2"/>
      <c r="ALO68" s="2"/>
      <c r="ALP68" s="2"/>
      <c r="ALQ68" s="2"/>
      <c r="ALR68" s="2"/>
      <c r="ALS68" s="2"/>
      <c r="ALT68" s="2"/>
      <c r="ALU68" s="2"/>
      <c r="ALV68" s="2"/>
      <c r="ALW68" s="2"/>
      <c r="ALX68" s="2"/>
      <c r="ALY68" s="2"/>
      <c r="ALZ68" s="2"/>
      <c r="AMA68" s="2"/>
      <c r="AMB68" s="2"/>
      <c r="AMC68" s="2"/>
      <c r="AMD68" s="2"/>
      <c r="AME68" s="2"/>
    </row>
    <row r="69" spans="1:1019" ht="18" customHeight="1" x14ac:dyDescent="0.3">
      <c r="A69" s="59" t="s">
        <v>99</v>
      </c>
      <c r="B69" s="37" t="s">
        <v>100</v>
      </c>
      <c r="C69" s="45" t="s">
        <v>62</v>
      </c>
      <c r="D69" s="43">
        <v>0.95</v>
      </c>
      <c r="E69" s="2"/>
      <c r="F69" s="2"/>
      <c r="G69"/>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c r="AMC69" s="2"/>
      <c r="AMD69" s="2"/>
      <c r="AME69" s="2"/>
    </row>
    <row r="70" spans="1:1019" ht="18" customHeight="1" x14ac:dyDescent="0.3">
      <c r="A70" s="59" t="s">
        <v>101</v>
      </c>
      <c r="B70" s="37" t="s">
        <v>102</v>
      </c>
      <c r="C70" s="45" t="s">
        <v>62</v>
      </c>
      <c r="D70" s="43">
        <v>1</v>
      </c>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c r="AMC70" s="2"/>
      <c r="AMD70" s="2"/>
      <c r="AME70" s="2"/>
    </row>
    <row r="71" spans="1:1019" ht="19.5" customHeight="1" x14ac:dyDescent="0.3">
      <c r="A71" s="59" t="s">
        <v>103</v>
      </c>
      <c r="B71" s="37" t="s">
        <v>104</v>
      </c>
      <c r="C71" s="45" t="s">
        <v>62</v>
      </c>
      <c r="D71" s="57">
        <f>D66*D67*D68*D69*D70</f>
        <v>0.66946499999999998</v>
      </c>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c r="AFH71" s="2"/>
      <c r="AFI71" s="2"/>
      <c r="AFJ71" s="2"/>
      <c r="AFK71" s="2"/>
      <c r="AFL71" s="2"/>
      <c r="AFM71" s="2"/>
      <c r="AFN71" s="2"/>
      <c r="AFO71" s="2"/>
      <c r="AFP71" s="2"/>
      <c r="AFQ71" s="2"/>
      <c r="AFR71" s="2"/>
      <c r="AFS71" s="2"/>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c r="AMC71" s="2"/>
      <c r="AMD71" s="2"/>
      <c r="AME71" s="2"/>
    </row>
    <row r="72" spans="1:1019" ht="33.75" customHeight="1" x14ac:dyDescent="0.3">
      <c r="A72" s="52">
        <v>3.19</v>
      </c>
      <c r="B72" s="53" t="s">
        <v>105</v>
      </c>
      <c r="C72" s="45" t="s">
        <v>62</v>
      </c>
      <c r="D72" s="11" t="s">
        <v>106</v>
      </c>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c r="AMC72" s="2"/>
      <c r="AMD72" s="2"/>
      <c r="AME72" s="2"/>
    </row>
    <row r="73" spans="1:1019" ht="18" customHeight="1" x14ac:dyDescent="0.3">
      <c r="A73" s="52"/>
      <c r="B73" s="54"/>
      <c r="C73" s="45" t="s">
        <v>62</v>
      </c>
      <c r="D73" s="13">
        <f>D58*D71</f>
        <v>1238.51025</v>
      </c>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c r="AMC73" s="2"/>
      <c r="AMD73" s="2"/>
      <c r="AME73" s="2"/>
    </row>
    <row r="74" spans="1:1019" ht="18.600000000000001" customHeight="1" x14ac:dyDescent="0.3">
      <c r="A74" s="55">
        <v>3.2</v>
      </c>
      <c r="B74" s="53" t="s">
        <v>107</v>
      </c>
      <c r="C74" s="56" t="s">
        <v>62</v>
      </c>
      <c r="D74" s="16">
        <f>D14</f>
        <v>1000</v>
      </c>
      <c r="E74" s="2"/>
      <c r="F74"/>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c r="AMC74" s="2"/>
      <c r="AMD74" s="2"/>
      <c r="AME74" s="2"/>
    </row>
    <row r="75" spans="1:1019" ht="15" customHeight="1" x14ac:dyDescent="0.3">
      <c r="A75" s="76">
        <v>3.21</v>
      </c>
      <c r="B75" s="78" t="s">
        <v>108</v>
      </c>
      <c r="C75" s="78"/>
      <c r="D75" s="78"/>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c r="VM75" s="2"/>
      <c r="VN75" s="2"/>
      <c r="VO75" s="2"/>
      <c r="VP75" s="2"/>
      <c r="VQ75" s="2"/>
      <c r="VR75" s="2"/>
      <c r="VS75" s="2"/>
      <c r="VT75" s="2"/>
      <c r="VU75" s="2"/>
      <c r="VV75" s="2"/>
      <c r="VW75" s="2"/>
      <c r="VX75" s="2"/>
      <c r="VY75" s="2"/>
      <c r="VZ75" s="2"/>
      <c r="WA75" s="2"/>
      <c r="WB75" s="2"/>
      <c r="WC75" s="2"/>
      <c r="WD75" s="2"/>
      <c r="WE75" s="2"/>
      <c r="WF75" s="2"/>
      <c r="WG75" s="2"/>
      <c r="WH75" s="2"/>
      <c r="WI75" s="2"/>
      <c r="WJ75" s="2"/>
      <c r="WK75" s="2"/>
      <c r="WL75" s="2"/>
      <c r="WM75" s="2"/>
      <c r="WN75" s="2"/>
      <c r="WO75" s="2"/>
      <c r="WP75" s="2"/>
      <c r="WQ75" s="2"/>
      <c r="WR75" s="2"/>
      <c r="WS75" s="2"/>
      <c r="WT75" s="2"/>
      <c r="WU75" s="2"/>
      <c r="WV75" s="2"/>
      <c r="WW75" s="2"/>
      <c r="WX75" s="2"/>
      <c r="WY75" s="2"/>
      <c r="WZ75" s="2"/>
      <c r="XA75" s="2"/>
      <c r="XB75" s="2"/>
      <c r="XC75" s="2"/>
      <c r="XD75" s="2"/>
      <c r="XE75" s="2"/>
      <c r="XF75" s="2"/>
      <c r="XG75" s="2"/>
      <c r="XH75" s="2"/>
      <c r="XI75" s="2"/>
      <c r="XJ75" s="2"/>
      <c r="XK75" s="2"/>
      <c r="XL75" s="2"/>
      <c r="XM75" s="2"/>
      <c r="XN75" s="2"/>
      <c r="XO75" s="2"/>
      <c r="XP75" s="2"/>
      <c r="XQ75" s="2"/>
      <c r="XR75" s="2"/>
      <c r="XS75" s="2"/>
      <c r="XT75" s="2"/>
      <c r="XU75" s="2"/>
      <c r="XV75" s="2"/>
      <c r="XW75" s="2"/>
      <c r="XX75" s="2"/>
      <c r="XY75" s="2"/>
      <c r="XZ75" s="2"/>
      <c r="YA75" s="2"/>
      <c r="YB75" s="2"/>
      <c r="YC75" s="2"/>
      <c r="YD75" s="2"/>
      <c r="YE75" s="2"/>
      <c r="YF75" s="2"/>
      <c r="YG75" s="2"/>
      <c r="YH75" s="2"/>
      <c r="YI75" s="2"/>
      <c r="YJ75" s="2"/>
      <c r="YK75" s="2"/>
      <c r="YL75" s="2"/>
      <c r="YM75" s="2"/>
      <c r="YN75" s="2"/>
      <c r="YO75" s="2"/>
      <c r="YP75" s="2"/>
      <c r="YQ75" s="2"/>
      <c r="YR75" s="2"/>
      <c r="YS75" s="2"/>
      <c r="YT75" s="2"/>
      <c r="YU75" s="2"/>
      <c r="YV75" s="2"/>
      <c r="YW75" s="2"/>
      <c r="YX75" s="2"/>
      <c r="YY75" s="2"/>
      <c r="YZ75" s="2"/>
      <c r="ZA75" s="2"/>
      <c r="ZB75" s="2"/>
      <c r="ZC75" s="2"/>
      <c r="ZD75" s="2"/>
      <c r="ZE75" s="2"/>
      <c r="ZF75" s="2"/>
      <c r="ZG75" s="2"/>
      <c r="ZH75" s="2"/>
      <c r="ZI75" s="2"/>
      <c r="ZJ75" s="2"/>
      <c r="ZK75" s="2"/>
      <c r="ZL75" s="2"/>
      <c r="ZM75" s="2"/>
      <c r="ZN75" s="2"/>
      <c r="ZO75" s="2"/>
      <c r="ZP75" s="2"/>
      <c r="ZQ75" s="2"/>
      <c r="ZR75" s="2"/>
      <c r="ZS75" s="2"/>
      <c r="ZT75" s="2"/>
      <c r="ZU75" s="2"/>
      <c r="ZV75" s="2"/>
      <c r="ZW75" s="2"/>
      <c r="ZX75" s="2"/>
      <c r="ZY75" s="2"/>
      <c r="ZZ75" s="2"/>
      <c r="AAA75" s="2"/>
      <c r="AAB75" s="2"/>
      <c r="AAC75" s="2"/>
      <c r="AAD75" s="2"/>
      <c r="AAE75" s="2"/>
      <c r="AAF75" s="2"/>
      <c r="AAG75" s="2"/>
      <c r="AAH75" s="2"/>
      <c r="AAI75" s="2"/>
      <c r="AAJ75" s="2"/>
      <c r="AAK75" s="2"/>
      <c r="AAL75" s="2"/>
      <c r="AAM75" s="2"/>
      <c r="AAN75" s="2"/>
      <c r="AAO75" s="2"/>
      <c r="AAP75" s="2"/>
      <c r="AAQ75" s="2"/>
      <c r="AAR75" s="2"/>
      <c r="AAS75" s="2"/>
      <c r="AAT75" s="2"/>
      <c r="AAU75" s="2"/>
      <c r="AAV75" s="2"/>
      <c r="AAW75" s="2"/>
      <c r="AAX75" s="2"/>
      <c r="AAY75" s="2"/>
      <c r="AAZ75" s="2"/>
      <c r="ABA75" s="2"/>
      <c r="ABB75" s="2"/>
      <c r="ABC75" s="2"/>
      <c r="ABD75" s="2"/>
      <c r="ABE75" s="2"/>
      <c r="ABF75" s="2"/>
      <c r="ABG75" s="2"/>
      <c r="ABH75" s="2"/>
      <c r="ABI75" s="2"/>
      <c r="ABJ75" s="2"/>
      <c r="ABK75" s="2"/>
      <c r="ABL75" s="2"/>
      <c r="ABM75" s="2"/>
      <c r="ABN75" s="2"/>
      <c r="ABO75" s="2"/>
      <c r="ABP75" s="2"/>
      <c r="ABQ75" s="2"/>
      <c r="ABR75" s="2"/>
      <c r="ABS75" s="2"/>
      <c r="ABT75" s="2"/>
      <c r="ABU75" s="2"/>
      <c r="ABV75" s="2"/>
      <c r="ABW75" s="2"/>
      <c r="ABX75" s="2"/>
      <c r="ABY75" s="2"/>
      <c r="ABZ75" s="2"/>
      <c r="ACA75" s="2"/>
      <c r="ACB75" s="2"/>
      <c r="ACC75" s="2"/>
      <c r="ACD75" s="2"/>
      <c r="ACE75" s="2"/>
      <c r="ACF75" s="2"/>
      <c r="ACG75" s="2"/>
      <c r="ACH75" s="2"/>
      <c r="ACI75" s="2"/>
      <c r="ACJ75" s="2"/>
      <c r="ACK75" s="2"/>
      <c r="ACL75" s="2"/>
      <c r="ACM75" s="2"/>
      <c r="ACN75" s="2"/>
      <c r="ACO75" s="2"/>
      <c r="ACP75" s="2"/>
      <c r="ACQ75" s="2"/>
      <c r="ACR75" s="2"/>
      <c r="ACS75" s="2"/>
      <c r="ACT75" s="2"/>
      <c r="ACU75" s="2"/>
      <c r="ACV75" s="2"/>
      <c r="ACW75" s="2"/>
      <c r="ACX75" s="2"/>
      <c r="ACY75" s="2"/>
      <c r="ACZ75" s="2"/>
      <c r="ADA75" s="2"/>
      <c r="ADB75" s="2"/>
      <c r="ADC75" s="2"/>
      <c r="ADD75" s="2"/>
      <c r="ADE75" s="2"/>
      <c r="ADF75" s="2"/>
      <c r="ADG75" s="2"/>
      <c r="ADH75" s="2"/>
      <c r="ADI75" s="2"/>
      <c r="ADJ75" s="2"/>
      <c r="ADK75" s="2"/>
      <c r="ADL75" s="2"/>
      <c r="ADM75" s="2"/>
      <c r="ADN75" s="2"/>
      <c r="ADO75" s="2"/>
      <c r="ADP75" s="2"/>
      <c r="ADQ75" s="2"/>
      <c r="ADR75" s="2"/>
      <c r="ADS75" s="2"/>
      <c r="ADT75" s="2"/>
      <c r="ADU75" s="2"/>
      <c r="ADV75" s="2"/>
      <c r="ADW75" s="2"/>
      <c r="ADX75" s="2"/>
      <c r="ADY75" s="2"/>
      <c r="ADZ75" s="2"/>
      <c r="AEA75" s="2"/>
      <c r="AEB75" s="2"/>
      <c r="AEC75" s="2"/>
      <c r="AED75" s="2"/>
      <c r="AEE75" s="2"/>
      <c r="AEF75" s="2"/>
      <c r="AEG75" s="2"/>
      <c r="AEH75" s="2"/>
      <c r="AEI75" s="2"/>
      <c r="AEJ75" s="2"/>
      <c r="AEK75" s="2"/>
      <c r="AEL75" s="2"/>
      <c r="AEM75" s="2"/>
      <c r="AEN75" s="2"/>
      <c r="AEO75" s="2"/>
      <c r="AEP75" s="2"/>
      <c r="AEQ75" s="2"/>
      <c r="AER75" s="2"/>
      <c r="AES75" s="2"/>
      <c r="AET75" s="2"/>
      <c r="AEU75" s="2"/>
      <c r="AEV75" s="2"/>
      <c r="AEW75" s="2"/>
      <c r="AEX75" s="2"/>
      <c r="AEY75" s="2"/>
      <c r="AEZ75" s="2"/>
      <c r="AFA75" s="2"/>
      <c r="AFB75" s="2"/>
      <c r="AFC75" s="2"/>
      <c r="AFD75" s="2"/>
      <c r="AFE75" s="2"/>
      <c r="AFF75" s="2"/>
      <c r="AFG75" s="2"/>
      <c r="AFH75" s="2"/>
      <c r="AFI75" s="2"/>
      <c r="AFJ75" s="2"/>
      <c r="AFK75" s="2"/>
      <c r="AFL75" s="2"/>
      <c r="AFM75" s="2"/>
      <c r="AFN75" s="2"/>
      <c r="AFO75" s="2"/>
      <c r="AFP75" s="2"/>
      <c r="AFQ75" s="2"/>
      <c r="AFR75" s="2"/>
      <c r="AFS75" s="2"/>
      <c r="AFT75" s="2"/>
      <c r="AFU75" s="2"/>
      <c r="AFV75" s="2"/>
      <c r="AFW75" s="2"/>
      <c r="AFX75" s="2"/>
      <c r="AFY75" s="2"/>
      <c r="AFZ75" s="2"/>
      <c r="AGA75" s="2"/>
      <c r="AGB75" s="2"/>
      <c r="AGC75" s="2"/>
      <c r="AGD75" s="2"/>
      <c r="AGE75" s="2"/>
      <c r="AGF75" s="2"/>
      <c r="AGG75" s="2"/>
      <c r="AGH75" s="2"/>
      <c r="AGI75" s="2"/>
      <c r="AGJ75" s="2"/>
      <c r="AGK75" s="2"/>
      <c r="AGL75" s="2"/>
      <c r="AGM75" s="2"/>
      <c r="AGN75" s="2"/>
      <c r="AGO75" s="2"/>
      <c r="AGP75" s="2"/>
      <c r="AGQ75" s="2"/>
      <c r="AGR75" s="2"/>
      <c r="AGS75" s="2"/>
      <c r="AGT75" s="2"/>
      <c r="AGU75" s="2"/>
      <c r="AGV75" s="2"/>
      <c r="AGW75" s="2"/>
      <c r="AGX75" s="2"/>
      <c r="AGY75" s="2"/>
      <c r="AGZ75" s="2"/>
      <c r="AHA75" s="2"/>
      <c r="AHB75" s="2"/>
      <c r="AHC75" s="2"/>
      <c r="AHD75" s="2"/>
      <c r="AHE75" s="2"/>
      <c r="AHF75" s="2"/>
      <c r="AHG75" s="2"/>
      <c r="AHH75" s="2"/>
      <c r="AHI75" s="2"/>
      <c r="AHJ75" s="2"/>
      <c r="AHK75" s="2"/>
      <c r="AHL75" s="2"/>
      <c r="AHM75" s="2"/>
      <c r="AHN75" s="2"/>
      <c r="AHO75" s="2"/>
      <c r="AHP75" s="2"/>
      <c r="AHQ75" s="2"/>
      <c r="AHR75" s="2"/>
      <c r="AHS75" s="2"/>
      <c r="AHT75" s="2"/>
      <c r="AHU75" s="2"/>
      <c r="AHV75" s="2"/>
      <c r="AHW75" s="2"/>
      <c r="AHX75" s="2"/>
      <c r="AHY75" s="2"/>
      <c r="AHZ75" s="2"/>
      <c r="AIA75" s="2"/>
      <c r="AIB75" s="2"/>
      <c r="AIC75" s="2"/>
      <c r="AID75" s="2"/>
      <c r="AIE75" s="2"/>
      <c r="AIF75" s="2"/>
      <c r="AIG75" s="2"/>
      <c r="AIH75" s="2"/>
      <c r="AII75" s="2"/>
      <c r="AIJ75" s="2"/>
      <c r="AIK75" s="2"/>
      <c r="AIL75" s="2"/>
      <c r="AIM75" s="2"/>
      <c r="AIN75" s="2"/>
      <c r="AIO75" s="2"/>
      <c r="AIP75" s="2"/>
      <c r="AIQ75" s="2"/>
      <c r="AIR75" s="2"/>
      <c r="AIS75" s="2"/>
      <c r="AIT75" s="2"/>
      <c r="AIU75" s="2"/>
      <c r="AIV75" s="2"/>
      <c r="AIW75" s="2"/>
      <c r="AIX75" s="2"/>
      <c r="AIY75" s="2"/>
      <c r="AIZ75" s="2"/>
      <c r="AJA75" s="2"/>
      <c r="AJB75" s="2"/>
      <c r="AJC75" s="2"/>
      <c r="AJD75" s="2"/>
      <c r="AJE75" s="2"/>
      <c r="AJF75" s="2"/>
      <c r="AJG75" s="2"/>
      <c r="AJH75" s="2"/>
      <c r="AJI75" s="2"/>
      <c r="AJJ75" s="2"/>
      <c r="AJK75" s="2"/>
      <c r="AJL75" s="2"/>
      <c r="AJM75" s="2"/>
      <c r="AJN75" s="2"/>
      <c r="AJO75" s="2"/>
      <c r="AJP75" s="2"/>
      <c r="AJQ75" s="2"/>
      <c r="AJR75" s="2"/>
      <c r="AJS75" s="2"/>
      <c r="AJT75" s="2"/>
      <c r="AJU75" s="2"/>
      <c r="AJV75" s="2"/>
      <c r="AJW75" s="2"/>
      <c r="AJX75" s="2"/>
      <c r="AJY75" s="2"/>
      <c r="AJZ75" s="2"/>
      <c r="AKA75" s="2"/>
      <c r="AKB75" s="2"/>
      <c r="AKC75" s="2"/>
      <c r="AKD75" s="2"/>
      <c r="AKE75" s="2"/>
      <c r="AKF75" s="2"/>
      <c r="AKG75" s="2"/>
      <c r="AKH75" s="2"/>
      <c r="AKI75" s="2"/>
      <c r="AKJ75" s="2"/>
      <c r="AKK75" s="2"/>
      <c r="AKL75" s="2"/>
      <c r="AKM75" s="2"/>
      <c r="AKN75" s="2"/>
      <c r="AKO75" s="2"/>
      <c r="AKP75" s="2"/>
      <c r="AKQ75" s="2"/>
      <c r="AKR75" s="2"/>
      <c r="AKS75" s="2"/>
      <c r="AKT75" s="2"/>
      <c r="AKU75" s="2"/>
      <c r="AKV75" s="2"/>
      <c r="AKW75" s="2"/>
      <c r="AKX75" s="2"/>
      <c r="AKY75" s="2"/>
      <c r="AKZ75" s="2"/>
      <c r="ALA75" s="2"/>
      <c r="ALB75" s="2"/>
      <c r="ALC75" s="2"/>
      <c r="ALD75" s="2"/>
      <c r="ALE75" s="2"/>
      <c r="ALF75" s="2"/>
      <c r="ALG75" s="2"/>
      <c r="ALH75" s="2"/>
      <c r="ALI75" s="2"/>
      <c r="ALJ75" s="2"/>
      <c r="ALK75" s="2"/>
      <c r="ALL75" s="2"/>
      <c r="ALM75" s="2"/>
      <c r="ALN75" s="2"/>
      <c r="ALO75" s="2"/>
      <c r="ALP75" s="2"/>
      <c r="ALQ75" s="2"/>
      <c r="ALR75" s="2"/>
      <c r="ALS75" s="2"/>
      <c r="ALT75" s="2"/>
      <c r="ALU75" s="2"/>
      <c r="ALV75" s="2"/>
      <c r="ALW75" s="2"/>
      <c r="ALX75" s="2"/>
      <c r="ALY75" s="2"/>
      <c r="ALZ75" s="2"/>
      <c r="AMA75" s="2"/>
      <c r="AMB75" s="2"/>
      <c r="AMC75" s="2"/>
      <c r="AMD75" s="2"/>
      <c r="AME75" s="2"/>
    </row>
    <row r="76" spans="1:1019" ht="35.25" customHeight="1" x14ac:dyDescent="0.3">
      <c r="A76" s="76"/>
      <c r="B76" s="77" t="s">
        <v>109</v>
      </c>
      <c r="C76" s="77"/>
      <c r="D76" s="77"/>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c r="VM76" s="2"/>
      <c r="VN76" s="2"/>
      <c r="VO76" s="2"/>
      <c r="VP76" s="2"/>
      <c r="VQ76" s="2"/>
      <c r="VR76" s="2"/>
      <c r="VS76" s="2"/>
      <c r="VT76" s="2"/>
      <c r="VU76" s="2"/>
      <c r="VV76" s="2"/>
      <c r="VW76" s="2"/>
      <c r="VX76" s="2"/>
      <c r="VY76" s="2"/>
      <c r="VZ76" s="2"/>
      <c r="WA76" s="2"/>
      <c r="WB76" s="2"/>
      <c r="WC76" s="2"/>
      <c r="WD76" s="2"/>
      <c r="WE76" s="2"/>
      <c r="WF76" s="2"/>
      <c r="WG76" s="2"/>
      <c r="WH76" s="2"/>
      <c r="WI76" s="2"/>
      <c r="WJ76" s="2"/>
      <c r="WK76" s="2"/>
      <c r="WL76" s="2"/>
      <c r="WM76" s="2"/>
      <c r="WN76" s="2"/>
      <c r="WO76" s="2"/>
      <c r="WP76" s="2"/>
      <c r="WQ76" s="2"/>
      <c r="WR76" s="2"/>
      <c r="WS76" s="2"/>
      <c r="WT76" s="2"/>
      <c r="WU76" s="2"/>
      <c r="WV76" s="2"/>
      <c r="WW76" s="2"/>
      <c r="WX76" s="2"/>
      <c r="WY76" s="2"/>
      <c r="WZ76" s="2"/>
      <c r="XA76" s="2"/>
      <c r="XB76" s="2"/>
      <c r="XC76" s="2"/>
      <c r="XD76" s="2"/>
      <c r="XE76" s="2"/>
      <c r="XF76" s="2"/>
      <c r="XG76" s="2"/>
      <c r="XH76" s="2"/>
      <c r="XI76" s="2"/>
      <c r="XJ76" s="2"/>
      <c r="XK76" s="2"/>
      <c r="XL76" s="2"/>
      <c r="XM76" s="2"/>
      <c r="XN76" s="2"/>
      <c r="XO76" s="2"/>
      <c r="XP76" s="2"/>
      <c r="XQ76" s="2"/>
      <c r="XR76" s="2"/>
      <c r="XS76" s="2"/>
      <c r="XT76" s="2"/>
      <c r="XU76" s="2"/>
      <c r="XV76" s="2"/>
      <c r="XW76" s="2"/>
      <c r="XX76" s="2"/>
      <c r="XY76" s="2"/>
      <c r="XZ76" s="2"/>
      <c r="YA76" s="2"/>
      <c r="YB76" s="2"/>
      <c r="YC76" s="2"/>
      <c r="YD76" s="2"/>
      <c r="YE76" s="2"/>
      <c r="YF76" s="2"/>
      <c r="YG76" s="2"/>
      <c r="YH76" s="2"/>
      <c r="YI76" s="2"/>
      <c r="YJ76" s="2"/>
      <c r="YK76" s="2"/>
      <c r="YL76" s="2"/>
      <c r="YM76" s="2"/>
      <c r="YN76" s="2"/>
      <c r="YO76" s="2"/>
      <c r="YP76" s="2"/>
      <c r="YQ76" s="2"/>
      <c r="YR76" s="2"/>
      <c r="YS76" s="2"/>
      <c r="YT76" s="2"/>
      <c r="YU76" s="2"/>
      <c r="YV76" s="2"/>
      <c r="YW76" s="2"/>
      <c r="YX76" s="2"/>
      <c r="YY76" s="2"/>
      <c r="YZ76" s="2"/>
      <c r="ZA76" s="2"/>
      <c r="ZB76" s="2"/>
      <c r="ZC76" s="2"/>
      <c r="ZD76" s="2"/>
      <c r="ZE76" s="2"/>
      <c r="ZF76" s="2"/>
      <c r="ZG76" s="2"/>
      <c r="ZH76" s="2"/>
      <c r="ZI76" s="2"/>
      <c r="ZJ76" s="2"/>
      <c r="ZK76" s="2"/>
      <c r="ZL76" s="2"/>
      <c r="ZM76" s="2"/>
      <c r="ZN76" s="2"/>
      <c r="ZO76" s="2"/>
      <c r="ZP76" s="2"/>
      <c r="ZQ76" s="2"/>
      <c r="ZR76" s="2"/>
      <c r="ZS76" s="2"/>
      <c r="ZT76" s="2"/>
      <c r="ZU76" s="2"/>
      <c r="ZV76" s="2"/>
      <c r="ZW76" s="2"/>
      <c r="ZX76" s="2"/>
      <c r="ZY76" s="2"/>
      <c r="ZZ76" s="2"/>
      <c r="AAA76" s="2"/>
      <c r="AAB76" s="2"/>
      <c r="AAC76" s="2"/>
      <c r="AAD76" s="2"/>
      <c r="AAE76" s="2"/>
      <c r="AAF76" s="2"/>
      <c r="AAG76" s="2"/>
      <c r="AAH76" s="2"/>
      <c r="AAI76" s="2"/>
      <c r="AAJ76" s="2"/>
      <c r="AAK76" s="2"/>
      <c r="AAL76" s="2"/>
      <c r="AAM76" s="2"/>
      <c r="AAN76" s="2"/>
      <c r="AAO76" s="2"/>
      <c r="AAP76" s="2"/>
      <c r="AAQ76" s="2"/>
      <c r="AAR76" s="2"/>
      <c r="AAS76" s="2"/>
      <c r="AAT76" s="2"/>
      <c r="AAU76" s="2"/>
      <c r="AAV76" s="2"/>
      <c r="AAW76" s="2"/>
      <c r="AAX76" s="2"/>
      <c r="AAY76" s="2"/>
      <c r="AAZ76" s="2"/>
      <c r="ABA76" s="2"/>
      <c r="ABB76" s="2"/>
      <c r="ABC76" s="2"/>
      <c r="ABD76" s="2"/>
      <c r="ABE76" s="2"/>
      <c r="ABF76" s="2"/>
      <c r="ABG76" s="2"/>
      <c r="ABH76" s="2"/>
      <c r="ABI76" s="2"/>
      <c r="ABJ76" s="2"/>
      <c r="ABK76" s="2"/>
      <c r="ABL76" s="2"/>
      <c r="ABM76" s="2"/>
      <c r="ABN76" s="2"/>
      <c r="ABO76" s="2"/>
      <c r="ABP76" s="2"/>
      <c r="ABQ76" s="2"/>
      <c r="ABR76" s="2"/>
      <c r="ABS76" s="2"/>
      <c r="ABT76" s="2"/>
      <c r="ABU76" s="2"/>
      <c r="ABV76" s="2"/>
      <c r="ABW76" s="2"/>
      <c r="ABX76" s="2"/>
      <c r="ABY76" s="2"/>
      <c r="ABZ76" s="2"/>
      <c r="ACA76" s="2"/>
      <c r="ACB76" s="2"/>
      <c r="ACC76" s="2"/>
      <c r="ACD76" s="2"/>
      <c r="ACE76" s="2"/>
      <c r="ACF76" s="2"/>
      <c r="ACG76" s="2"/>
      <c r="ACH76" s="2"/>
      <c r="ACI76" s="2"/>
      <c r="ACJ76" s="2"/>
      <c r="ACK76" s="2"/>
      <c r="ACL76" s="2"/>
      <c r="ACM76" s="2"/>
      <c r="ACN76" s="2"/>
      <c r="ACO76" s="2"/>
      <c r="ACP76" s="2"/>
      <c r="ACQ76" s="2"/>
      <c r="ACR76" s="2"/>
      <c r="ACS76" s="2"/>
      <c r="ACT76" s="2"/>
      <c r="ACU76" s="2"/>
      <c r="ACV76" s="2"/>
      <c r="ACW76" s="2"/>
      <c r="ACX76" s="2"/>
      <c r="ACY76" s="2"/>
      <c r="ACZ76" s="2"/>
      <c r="ADA76" s="2"/>
      <c r="ADB76" s="2"/>
      <c r="ADC76" s="2"/>
      <c r="ADD76" s="2"/>
      <c r="ADE76" s="2"/>
      <c r="ADF76" s="2"/>
      <c r="ADG76" s="2"/>
      <c r="ADH76" s="2"/>
      <c r="ADI76" s="2"/>
      <c r="ADJ76" s="2"/>
      <c r="ADK76" s="2"/>
      <c r="ADL76" s="2"/>
      <c r="ADM76" s="2"/>
      <c r="ADN76" s="2"/>
      <c r="ADO76" s="2"/>
      <c r="ADP76" s="2"/>
      <c r="ADQ76" s="2"/>
      <c r="ADR76" s="2"/>
      <c r="ADS76" s="2"/>
      <c r="ADT76" s="2"/>
      <c r="ADU76" s="2"/>
      <c r="ADV76" s="2"/>
      <c r="ADW76" s="2"/>
      <c r="ADX76" s="2"/>
      <c r="ADY76" s="2"/>
      <c r="ADZ76" s="2"/>
      <c r="AEA76" s="2"/>
      <c r="AEB76" s="2"/>
      <c r="AEC76" s="2"/>
      <c r="AED76" s="2"/>
      <c r="AEE76" s="2"/>
      <c r="AEF76" s="2"/>
      <c r="AEG76" s="2"/>
      <c r="AEH76" s="2"/>
      <c r="AEI76" s="2"/>
      <c r="AEJ76" s="2"/>
      <c r="AEK76" s="2"/>
      <c r="AEL76" s="2"/>
      <c r="AEM76" s="2"/>
      <c r="AEN76" s="2"/>
      <c r="AEO76" s="2"/>
      <c r="AEP76" s="2"/>
      <c r="AEQ76" s="2"/>
      <c r="AER76" s="2"/>
      <c r="AES76" s="2"/>
      <c r="AET76" s="2"/>
      <c r="AEU76" s="2"/>
      <c r="AEV76" s="2"/>
      <c r="AEW76" s="2"/>
      <c r="AEX76" s="2"/>
      <c r="AEY76" s="2"/>
      <c r="AEZ76" s="2"/>
      <c r="AFA76" s="2"/>
      <c r="AFB76" s="2"/>
      <c r="AFC76" s="2"/>
      <c r="AFD76" s="2"/>
      <c r="AFE76" s="2"/>
      <c r="AFF76" s="2"/>
      <c r="AFG76" s="2"/>
      <c r="AFH76" s="2"/>
      <c r="AFI76" s="2"/>
      <c r="AFJ76" s="2"/>
      <c r="AFK76" s="2"/>
      <c r="AFL76" s="2"/>
      <c r="AFM76" s="2"/>
      <c r="AFN76" s="2"/>
      <c r="AFO76" s="2"/>
      <c r="AFP76" s="2"/>
      <c r="AFQ76" s="2"/>
      <c r="AFR76" s="2"/>
      <c r="AFS76" s="2"/>
      <c r="AFT76" s="2"/>
      <c r="AFU76" s="2"/>
      <c r="AFV76" s="2"/>
      <c r="AFW76" s="2"/>
      <c r="AFX76" s="2"/>
      <c r="AFY76" s="2"/>
      <c r="AFZ76" s="2"/>
      <c r="AGA76" s="2"/>
      <c r="AGB76" s="2"/>
      <c r="AGC76" s="2"/>
      <c r="AGD76" s="2"/>
      <c r="AGE76" s="2"/>
      <c r="AGF76" s="2"/>
      <c r="AGG76" s="2"/>
      <c r="AGH76" s="2"/>
      <c r="AGI76" s="2"/>
      <c r="AGJ76" s="2"/>
      <c r="AGK76" s="2"/>
      <c r="AGL76" s="2"/>
      <c r="AGM76" s="2"/>
      <c r="AGN76" s="2"/>
      <c r="AGO76" s="2"/>
      <c r="AGP76" s="2"/>
      <c r="AGQ76" s="2"/>
      <c r="AGR76" s="2"/>
      <c r="AGS76" s="2"/>
      <c r="AGT76" s="2"/>
      <c r="AGU76" s="2"/>
      <c r="AGV76" s="2"/>
      <c r="AGW76" s="2"/>
      <c r="AGX76" s="2"/>
      <c r="AGY76" s="2"/>
      <c r="AGZ76" s="2"/>
      <c r="AHA76" s="2"/>
      <c r="AHB76" s="2"/>
      <c r="AHC76" s="2"/>
      <c r="AHD76" s="2"/>
      <c r="AHE76" s="2"/>
      <c r="AHF76" s="2"/>
      <c r="AHG76" s="2"/>
      <c r="AHH76" s="2"/>
      <c r="AHI76" s="2"/>
      <c r="AHJ76" s="2"/>
      <c r="AHK76" s="2"/>
      <c r="AHL76" s="2"/>
      <c r="AHM76" s="2"/>
      <c r="AHN76" s="2"/>
      <c r="AHO76" s="2"/>
      <c r="AHP76" s="2"/>
      <c r="AHQ76" s="2"/>
      <c r="AHR76" s="2"/>
      <c r="AHS76" s="2"/>
      <c r="AHT76" s="2"/>
      <c r="AHU76" s="2"/>
      <c r="AHV76" s="2"/>
      <c r="AHW76" s="2"/>
      <c r="AHX76" s="2"/>
      <c r="AHY76" s="2"/>
      <c r="AHZ76" s="2"/>
      <c r="AIA76" s="2"/>
      <c r="AIB76" s="2"/>
      <c r="AIC76" s="2"/>
      <c r="AID76" s="2"/>
      <c r="AIE76" s="2"/>
      <c r="AIF76" s="2"/>
      <c r="AIG76" s="2"/>
      <c r="AIH76" s="2"/>
      <c r="AII76" s="2"/>
      <c r="AIJ76" s="2"/>
      <c r="AIK76" s="2"/>
      <c r="AIL76" s="2"/>
      <c r="AIM76" s="2"/>
      <c r="AIN76" s="2"/>
      <c r="AIO76" s="2"/>
      <c r="AIP76" s="2"/>
      <c r="AIQ76" s="2"/>
      <c r="AIR76" s="2"/>
      <c r="AIS76" s="2"/>
      <c r="AIT76" s="2"/>
      <c r="AIU76" s="2"/>
      <c r="AIV76" s="2"/>
      <c r="AIW76" s="2"/>
      <c r="AIX76" s="2"/>
      <c r="AIY76" s="2"/>
      <c r="AIZ76" s="2"/>
      <c r="AJA76" s="2"/>
      <c r="AJB76" s="2"/>
      <c r="AJC76" s="2"/>
      <c r="AJD76" s="2"/>
      <c r="AJE76" s="2"/>
      <c r="AJF76" s="2"/>
      <c r="AJG76" s="2"/>
      <c r="AJH76" s="2"/>
      <c r="AJI76" s="2"/>
      <c r="AJJ76" s="2"/>
      <c r="AJK76" s="2"/>
      <c r="AJL76" s="2"/>
      <c r="AJM76" s="2"/>
      <c r="AJN76" s="2"/>
      <c r="AJO76" s="2"/>
      <c r="AJP76" s="2"/>
      <c r="AJQ76" s="2"/>
      <c r="AJR76" s="2"/>
      <c r="AJS76" s="2"/>
      <c r="AJT76" s="2"/>
      <c r="AJU76" s="2"/>
      <c r="AJV76" s="2"/>
      <c r="AJW76" s="2"/>
      <c r="AJX76" s="2"/>
      <c r="AJY76" s="2"/>
      <c r="AJZ76" s="2"/>
      <c r="AKA76" s="2"/>
      <c r="AKB76" s="2"/>
      <c r="AKC76" s="2"/>
      <c r="AKD76" s="2"/>
      <c r="AKE76" s="2"/>
      <c r="AKF76" s="2"/>
      <c r="AKG76" s="2"/>
      <c r="AKH76" s="2"/>
      <c r="AKI76" s="2"/>
      <c r="AKJ76" s="2"/>
      <c r="AKK76" s="2"/>
      <c r="AKL76" s="2"/>
      <c r="AKM76" s="2"/>
      <c r="AKN76" s="2"/>
      <c r="AKO76" s="2"/>
      <c r="AKP76" s="2"/>
      <c r="AKQ76" s="2"/>
      <c r="AKR76" s="2"/>
      <c r="AKS76" s="2"/>
      <c r="AKT76" s="2"/>
      <c r="AKU76" s="2"/>
      <c r="AKV76" s="2"/>
      <c r="AKW76" s="2"/>
      <c r="AKX76" s="2"/>
      <c r="AKY76" s="2"/>
      <c r="AKZ76" s="2"/>
      <c r="ALA76" s="2"/>
      <c r="ALB76" s="2"/>
      <c r="ALC76" s="2"/>
      <c r="ALD76" s="2"/>
      <c r="ALE76" s="2"/>
      <c r="ALF76" s="2"/>
      <c r="ALG76" s="2"/>
      <c r="ALH76" s="2"/>
      <c r="ALI76" s="2"/>
      <c r="ALJ76" s="2"/>
      <c r="ALK76" s="2"/>
      <c r="ALL76" s="2"/>
      <c r="ALM76" s="2"/>
      <c r="ALN76" s="2"/>
      <c r="ALO76" s="2"/>
      <c r="ALP76" s="2"/>
      <c r="ALQ76" s="2"/>
      <c r="ALR76" s="2"/>
      <c r="ALS76" s="2"/>
      <c r="ALT76" s="2"/>
      <c r="ALU76" s="2"/>
      <c r="ALV76" s="2"/>
      <c r="ALW76" s="2"/>
      <c r="ALX76" s="2"/>
      <c r="ALY76" s="2"/>
      <c r="ALZ76" s="2"/>
      <c r="AMA76" s="2"/>
      <c r="AMB76" s="2"/>
      <c r="AMC76" s="2"/>
      <c r="AMD76" s="2"/>
      <c r="AME76" s="2"/>
    </row>
    <row r="77" spans="1:1019" ht="15" customHeight="1" x14ac:dyDescent="0.3">
      <c r="A77" s="19">
        <v>4</v>
      </c>
      <c r="B77" s="73" t="s">
        <v>110</v>
      </c>
      <c r="C77" s="73"/>
      <c r="D77" s="73"/>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c r="VM77" s="2"/>
      <c r="VN77" s="2"/>
      <c r="VO77" s="2"/>
      <c r="VP77" s="2"/>
      <c r="VQ77" s="2"/>
      <c r="VR77" s="2"/>
      <c r="VS77" s="2"/>
      <c r="VT77" s="2"/>
      <c r="VU77" s="2"/>
      <c r="VV77" s="2"/>
      <c r="VW77" s="2"/>
      <c r="VX77" s="2"/>
      <c r="VY77" s="2"/>
      <c r="VZ77" s="2"/>
      <c r="WA77" s="2"/>
      <c r="WB77" s="2"/>
      <c r="WC77" s="2"/>
      <c r="WD77" s="2"/>
      <c r="WE77" s="2"/>
      <c r="WF77" s="2"/>
      <c r="WG77" s="2"/>
      <c r="WH77" s="2"/>
      <c r="WI77" s="2"/>
      <c r="WJ77" s="2"/>
      <c r="WK77" s="2"/>
      <c r="WL77" s="2"/>
      <c r="WM77" s="2"/>
      <c r="WN77" s="2"/>
      <c r="WO77" s="2"/>
      <c r="WP77" s="2"/>
      <c r="WQ77" s="2"/>
      <c r="WR77" s="2"/>
      <c r="WS77" s="2"/>
      <c r="WT77" s="2"/>
      <c r="WU77" s="2"/>
      <c r="WV77" s="2"/>
      <c r="WW77" s="2"/>
      <c r="WX77" s="2"/>
      <c r="WY77" s="2"/>
      <c r="WZ77" s="2"/>
      <c r="XA77" s="2"/>
      <c r="XB77" s="2"/>
      <c r="XC77" s="2"/>
      <c r="XD77" s="2"/>
      <c r="XE77" s="2"/>
      <c r="XF77" s="2"/>
      <c r="XG77" s="2"/>
      <c r="XH77" s="2"/>
      <c r="XI77" s="2"/>
      <c r="XJ77" s="2"/>
      <c r="XK77" s="2"/>
      <c r="XL77" s="2"/>
      <c r="XM77" s="2"/>
      <c r="XN77" s="2"/>
      <c r="XO77" s="2"/>
      <c r="XP77" s="2"/>
      <c r="XQ77" s="2"/>
      <c r="XR77" s="2"/>
      <c r="XS77" s="2"/>
      <c r="XT77" s="2"/>
      <c r="XU77" s="2"/>
      <c r="XV77" s="2"/>
      <c r="XW77" s="2"/>
      <c r="XX77" s="2"/>
      <c r="XY77" s="2"/>
      <c r="XZ77" s="2"/>
      <c r="YA77" s="2"/>
      <c r="YB77" s="2"/>
      <c r="YC77" s="2"/>
      <c r="YD77" s="2"/>
      <c r="YE77" s="2"/>
      <c r="YF77" s="2"/>
      <c r="YG77" s="2"/>
      <c r="YH77" s="2"/>
      <c r="YI77" s="2"/>
      <c r="YJ77" s="2"/>
      <c r="YK77" s="2"/>
      <c r="YL77" s="2"/>
      <c r="YM77" s="2"/>
      <c r="YN77" s="2"/>
      <c r="YO77" s="2"/>
      <c r="YP77" s="2"/>
      <c r="YQ77" s="2"/>
      <c r="YR77" s="2"/>
      <c r="YS77" s="2"/>
      <c r="YT77" s="2"/>
      <c r="YU77" s="2"/>
      <c r="YV77" s="2"/>
      <c r="YW77" s="2"/>
      <c r="YX77" s="2"/>
      <c r="YY77" s="2"/>
      <c r="YZ77" s="2"/>
      <c r="ZA77" s="2"/>
      <c r="ZB77" s="2"/>
      <c r="ZC77" s="2"/>
      <c r="ZD77" s="2"/>
      <c r="ZE77" s="2"/>
      <c r="ZF77" s="2"/>
      <c r="ZG77" s="2"/>
      <c r="ZH77" s="2"/>
      <c r="ZI77" s="2"/>
      <c r="ZJ77" s="2"/>
      <c r="ZK77" s="2"/>
      <c r="ZL77" s="2"/>
      <c r="ZM77" s="2"/>
      <c r="ZN77" s="2"/>
      <c r="ZO77" s="2"/>
      <c r="ZP77" s="2"/>
      <c r="ZQ77" s="2"/>
      <c r="ZR77" s="2"/>
      <c r="ZS77" s="2"/>
      <c r="ZT77" s="2"/>
      <c r="ZU77" s="2"/>
      <c r="ZV77" s="2"/>
      <c r="ZW77" s="2"/>
      <c r="ZX77" s="2"/>
      <c r="ZY77" s="2"/>
      <c r="ZZ77" s="2"/>
      <c r="AAA77" s="2"/>
      <c r="AAB77" s="2"/>
      <c r="AAC77" s="2"/>
      <c r="AAD77" s="2"/>
      <c r="AAE77" s="2"/>
      <c r="AAF77" s="2"/>
      <c r="AAG77" s="2"/>
      <c r="AAH77" s="2"/>
      <c r="AAI77" s="2"/>
      <c r="AAJ77" s="2"/>
      <c r="AAK77" s="2"/>
      <c r="AAL77" s="2"/>
      <c r="AAM77" s="2"/>
      <c r="AAN77" s="2"/>
      <c r="AAO77" s="2"/>
      <c r="AAP77" s="2"/>
      <c r="AAQ77" s="2"/>
      <c r="AAR77" s="2"/>
      <c r="AAS77" s="2"/>
      <c r="AAT77" s="2"/>
      <c r="AAU77" s="2"/>
      <c r="AAV77" s="2"/>
      <c r="AAW77" s="2"/>
      <c r="AAX77" s="2"/>
      <c r="AAY77" s="2"/>
      <c r="AAZ77" s="2"/>
      <c r="ABA77" s="2"/>
      <c r="ABB77" s="2"/>
      <c r="ABC77" s="2"/>
      <c r="ABD77" s="2"/>
      <c r="ABE77" s="2"/>
      <c r="ABF77" s="2"/>
      <c r="ABG77" s="2"/>
      <c r="ABH77" s="2"/>
      <c r="ABI77" s="2"/>
      <c r="ABJ77" s="2"/>
      <c r="ABK77" s="2"/>
      <c r="ABL77" s="2"/>
      <c r="ABM77" s="2"/>
      <c r="ABN77" s="2"/>
      <c r="ABO77" s="2"/>
      <c r="ABP77" s="2"/>
      <c r="ABQ77" s="2"/>
      <c r="ABR77" s="2"/>
      <c r="ABS77" s="2"/>
      <c r="ABT77" s="2"/>
      <c r="ABU77" s="2"/>
      <c r="ABV77" s="2"/>
      <c r="ABW77" s="2"/>
      <c r="ABX77" s="2"/>
      <c r="ABY77" s="2"/>
      <c r="ABZ77" s="2"/>
      <c r="ACA77" s="2"/>
      <c r="ACB77" s="2"/>
      <c r="ACC77" s="2"/>
      <c r="ACD77" s="2"/>
      <c r="ACE77" s="2"/>
      <c r="ACF77" s="2"/>
      <c r="ACG77" s="2"/>
      <c r="ACH77" s="2"/>
      <c r="ACI77" s="2"/>
      <c r="ACJ77" s="2"/>
      <c r="ACK77" s="2"/>
      <c r="ACL77" s="2"/>
      <c r="ACM77" s="2"/>
      <c r="ACN77" s="2"/>
      <c r="ACO77" s="2"/>
      <c r="ACP77" s="2"/>
      <c r="ACQ77" s="2"/>
      <c r="ACR77" s="2"/>
      <c r="ACS77" s="2"/>
      <c r="ACT77" s="2"/>
      <c r="ACU77" s="2"/>
      <c r="ACV77" s="2"/>
      <c r="ACW77" s="2"/>
      <c r="ACX77" s="2"/>
      <c r="ACY77" s="2"/>
      <c r="ACZ77" s="2"/>
      <c r="ADA77" s="2"/>
      <c r="ADB77" s="2"/>
      <c r="ADC77" s="2"/>
      <c r="ADD77" s="2"/>
      <c r="ADE77" s="2"/>
      <c r="ADF77" s="2"/>
      <c r="ADG77" s="2"/>
      <c r="ADH77" s="2"/>
      <c r="ADI77" s="2"/>
      <c r="ADJ77" s="2"/>
      <c r="ADK77" s="2"/>
      <c r="ADL77" s="2"/>
      <c r="ADM77" s="2"/>
      <c r="ADN77" s="2"/>
      <c r="ADO77" s="2"/>
      <c r="ADP77" s="2"/>
      <c r="ADQ77" s="2"/>
      <c r="ADR77" s="2"/>
      <c r="ADS77" s="2"/>
      <c r="ADT77" s="2"/>
      <c r="ADU77" s="2"/>
      <c r="ADV77" s="2"/>
      <c r="ADW77" s="2"/>
      <c r="ADX77" s="2"/>
      <c r="ADY77" s="2"/>
      <c r="ADZ77" s="2"/>
      <c r="AEA77" s="2"/>
      <c r="AEB77" s="2"/>
      <c r="AEC77" s="2"/>
      <c r="AED77" s="2"/>
      <c r="AEE77" s="2"/>
      <c r="AEF77" s="2"/>
      <c r="AEG77" s="2"/>
      <c r="AEH77" s="2"/>
      <c r="AEI77" s="2"/>
      <c r="AEJ77" s="2"/>
      <c r="AEK77" s="2"/>
      <c r="AEL77" s="2"/>
      <c r="AEM77" s="2"/>
      <c r="AEN77" s="2"/>
      <c r="AEO77" s="2"/>
      <c r="AEP77" s="2"/>
      <c r="AEQ77" s="2"/>
      <c r="AER77" s="2"/>
      <c r="AES77" s="2"/>
      <c r="AET77" s="2"/>
      <c r="AEU77" s="2"/>
      <c r="AEV77" s="2"/>
      <c r="AEW77" s="2"/>
      <c r="AEX77" s="2"/>
      <c r="AEY77" s="2"/>
      <c r="AEZ77" s="2"/>
      <c r="AFA77" s="2"/>
      <c r="AFB77" s="2"/>
      <c r="AFC77" s="2"/>
      <c r="AFD77" s="2"/>
      <c r="AFE77" s="2"/>
      <c r="AFF77" s="2"/>
      <c r="AFG77" s="2"/>
      <c r="AFH77" s="2"/>
      <c r="AFI77" s="2"/>
      <c r="AFJ77" s="2"/>
      <c r="AFK77" s="2"/>
      <c r="AFL77" s="2"/>
      <c r="AFM77" s="2"/>
      <c r="AFN77" s="2"/>
      <c r="AFO77" s="2"/>
      <c r="AFP77" s="2"/>
      <c r="AFQ77" s="2"/>
      <c r="AFR77" s="2"/>
      <c r="AFS77" s="2"/>
      <c r="AFT77" s="2"/>
      <c r="AFU77" s="2"/>
      <c r="AFV77" s="2"/>
      <c r="AFW77" s="2"/>
      <c r="AFX77" s="2"/>
      <c r="AFY77" s="2"/>
      <c r="AFZ77" s="2"/>
      <c r="AGA77" s="2"/>
      <c r="AGB77" s="2"/>
      <c r="AGC77" s="2"/>
      <c r="AGD77" s="2"/>
      <c r="AGE77" s="2"/>
      <c r="AGF77" s="2"/>
      <c r="AGG77" s="2"/>
      <c r="AGH77" s="2"/>
      <c r="AGI77" s="2"/>
      <c r="AGJ77" s="2"/>
      <c r="AGK77" s="2"/>
      <c r="AGL77" s="2"/>
      <c r="AGM77" s="2"/>
      <c r="AGN77" s="2"/>
      <c r="AGO77" s="2"/>
      <c r="AGP77" s="2"/>
      <c r="AGQ77" s="2"/>
      <c r="AGR77" s="2"/>
      <c r="AGS77" s="2"/>
      <c r="AGT77" s="2"/>
      <c r="AGU77" s="2"/>
      <c r="AGV77" s="2"/>
      <c r="AGW77" s="2"/>
      <c r="AGX77" s="2"/>
      <c r="AGY77" s="2"/>
      <c r="AGZ77" s="2"/>
      <c r="AHA77" s="2"/>
      <c r="AHB77" s="2"/>
      <c r="AHC77" s="2"/>
      <c r="AHD77" s="2"/>
      <c r="AHE77" s="2"/>
      <c r="AHF77" s="2"/>
      <c r="AHG77" s="2"/>
      <c r="AHH77" s="2"/>
      <c r="AHI77" s="2"/>
      <c r="AHJ77" s="2"/>
      <c r="AHK77" s="2"/>
      <c r="AHL77" s="2"/>
      <c r="AHM77" s="2"/>
      <c r="AHN77" s="2"/>
      <c r="AHO77" s="2"/>
      <c r="AHP77" s="2"/>
      <c r="AHQ77" s="2"/>
      <c r="AHR77" s="2"/>
      <c r="AHS77" s="2"/>
      <c r="AHT77" s="2"/>
      <c r="AHU77" s="2"/>
      <c r="AHV77" s="2"/>
      <c r="AHW77" s="2"/>
      <c r="AHX77" s="2"/>
      <c r="AHY77" s="2"/>
      <c r="AHZ77" s="2"/>
      <c r="AIA77" s="2"/>
      <c r="AIB77" s="2"/>
      <c r="AIC77" s="2"/>
      <c r="AID77" s="2"/>
      <c r="AIE77" s="2"/>
      <c r="AIF77" s="2"/>
      <c r="AIG77" s="2"/>
      <c r="AIH77" s="2"/>
      <c r="AII77" s="2"/>
      <c r="AIJ77" s="2"/>
      <c r="AIK77" s="2"/>
      <c r="AIL77" s="2"/>
      <c r="AIM77" s="2"/>
      <c r="AIN77" s="2"/>
      <c r="AIO77" s="2"/>
      <c r="AIP77" s="2"/>
      <c r="AIQ77" s="2"/>
      <c r="AIR77" s="2"/>
      <c r="AIS77" s="2"/>
      <c r="AIT77" s="2"/>
      <c r="AIU77" s="2"/>
      <c r="AIV77" s="2"/>
      <c r="AIW77" s="2"/>
      <c r="AIX77" s="2"/>
      <c r="AIY77" s="2"/>
      <c r="AIZ77" s="2"/>
      <c r="AJA77" s="2"/>
      <c r="AJB77" s="2"/>
      <c r="AJC77" s="2"/>
      <c r="AJD77" s="2"/>
      <c r="AJE77" s="2"/>
      <c r="AJF77" s="2"/>
      <c r="AJG77" s="2"/>
      <c r="AJH77" s="2"/>
      <c r="AJI77" s="2"/>
      <c r="AJJ77" s="2"/>
      <c r="AJK77" s="2"/>
      <c r="AJL77" s="2"/>
      <c r="AJM77" s="2"/>
      <c r="AJN77" s="2"/>
      <c r="AJO77" s="2"/>
      <c r="AJP77" s="2"/>
      <c r="AJQ77" s="2"/>
      <c r="AJR77" s="2"/>
      <c r="AJS77" s="2"/>
      <c r="AJT77" s="2"/>
      <c r="AJU77" s="2"/>
      <c r="AJV77" s="2"/>
      <c r="AJW77" s="2"/>
      <c r="AJX77" s="2"/>
      <c r="AJY77" s="2"/>
      <c r="AJZ77" s="2"/>
      <c r="AKA77" s="2"/>
      <c r="AKB77" s="2"/>
      <c r="AKC77" s="2"/>
      <c r="AKD77" s="2"/>
      <c r="AKE77" s="2"/>
      <c r="AKF77" s="2"/>
      <c r="AKG77" s="2"/>
      <c r="AKH77" s="2"/>
      <c r="AKI77" s="2"/>
      <c r="AKJ77" s="2"/>
      <c r="AKK77" s="2"/>
      <c r="AKL77" s="2"/>
      <c r="AKM77" s="2"/>
      <c r="AKN77" s="2"/>
      <c r="AKO77" s="2"/>
      <c r="AKP77" s="2"/>
      <c r="AKQ77" s="2"/>
      <c r="AKR77" s="2"/>
      <c r="AKS77" s="2"/>
      <c r="AKT77" s="2"/>
      <c r="AKU77" s="2"/>
      <c r="AKV77" s="2"/>
      <c r="AKW77" s="2"/>
      <c r="AKX77" s="2"/>
      <c r="AKY77" s="2"/>
      <c r="AKZ77" s="2"/>
      <c r="ALA77" s="2"/>
      <c r="ALB77" s="2"/>
      <c r="ALC77" s="2"/>
      <c r="ALD77" s="2"/>
      <c r="ALE77" s="2"/>
      <c r="ALF77" s="2"/>
      <c r="ALG77" s="2"/>
      <c r="ALH77" s="2"/>
      <c r="ALI77" s="2"/>
      <c r="ALJ77" s="2"/>
      <c r="ALK77" s="2"/>
      <c r="ALL77" s="2"/>
      <c r="ALM77" s="2"/>
      <c r="ALN77" s="2"/>
      <c r="ALO77" s="2"/>
      <c r="ALP77" s="2"/>
      <c r="ALQ77" s="2"/>
      <c r="ALR77" s="2"/>
      <c r="ALS77" s="2"/>
      <c r="ALT77" s="2"/>
      <c r="ALU77" s="2"/>
      <c r="ALV77" s="2"/>
      <c r="ALW77" s="2"/>
      <c r="ALX77" s="2"/>
      <c r="ALY77" s="2"/>
      <c r="ALZ77" s="2"/>
      <c r="AMA77" s="2"/>
      <c r="AMB77" s="2"/>
      <c r="AMC77" s="2"/>
      <c r="AMD77" s="2"/>
      <c r="AME77" s="2"/>
    </row>
    <row r="78" spans="1:1019" ht="31.5" customHeight="1" x14ac:dyDescent="0.3">
      <c r="A78" s="44">
        <v>4.0999999999999996</v>
      </c>
      <c r="B78" s="43" t="s">
        <v>111</v>
      </c>
      <c r="C78" s="45" t="s">
        <v>62</v>
      </c>
      <c r="D78" s="11" t="s">
        <v>112</v>
      </c>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c r="XE78" s="2"/>
      <c r="XF78" s="2"/>
      <c r="XG78" s="2"/>
      <c r="XH78" s="2"/>
      <c r="XI78" s="2"/>
      <c r="XJ78" s="2"/>
      <c r="XK78" s="2"/>
      <c r="XL78" s="2"/>
      <c r="XM78" s="2"/>
      <c r="XN78" s="2"/>
      <c r="XO78" s="2"/>
      <c r="XP78" s="2"/>
      <c r="XQ78" s="2"/>
      <c r="XR78" s="2"/>
      <c r="XS78" s="2"/>
      <c r="XT78" s="2"/>
      <c r="XU78" s="2"/>
      <c r="XV78" s="2"/>
      <c r="XW78" s="2"/>
      <c r="XX78" s="2"/>
      <c r="XY78" s="2"/>
      <c r="XZ78" s="2"/>
      <c r="YA78" s="2"/>
      <c r="YB78" s="2"/>
      <c r="YC78" s="2"/>
      <c r="YD78" s="2"/>
      <c r="YE78" s="2"/>
      <c r="YF78" s="2"/>
      <c r="YG78" s="2"/>
      <c r="YH78" s="2"/>
      <c r="YI78" s="2"/>
      <c r="YJ78" s="2"/>
      <c r="YK78" s="2"/>
      <c r="YL78" s="2"/>
      <c r="YM78" s="2"/>
      <c r="YN78" s="2"/>
      <c r="YO78" s="2"/>
      <c r="YP78" s="2"/>
      <c r="YQ78" s="2"/>
      <c r="YR78" s="2"/>
      <c r="YS78" s="2"/>
      <c r="YT78" s="2"/>
      <c r="YU78" s="2"/>
      <c r="YV78" s="2"/>
      <c r="YW78" s="2"/>
      <c r="YX78" s="2"/>
      <c r="YY78" s="2"/>
      <c r="YZ78" s="2"/>
      <c r="ZA78" s="2"/>
      <c r="ZB78" s="2"/>
      <c r="ZC78" s="2"/>
      <c r="ZD78" s="2"/>
      <c r="ZE78" s="2"/>
      <c r="ZF78" s="2"/>
      <c r="ZG78" s="2"/>
      <c r="ZH78" s="2"/>
      <c r="ZI78" s="2"/>
      <c r="ZJ78" s="2"/>
      <c r="ZK78" s="2"/>
      <c r="ZL78" s="2"/>
      <c r="ZM78" s="2"/>
      <c r="ZN78" s="2"/>
      <c r="ZO78" s="2"/>
      <c r="ZP78" s="2"/>
      <c r="ZQ78" s="2"/>
      <c r="ZR78" s="2"/>
      <c r="ZS78" s="2"/>
      <c r="ZT78" s="2"/>
      <c r="ZU78" s="2"/>
      <c r="ZV78" s="2"/>
      <c r="ZW78" s="2"/>
      <c r="ZX78" s="2"/>
      <c r="ZY78" s="2"/>
      <c r="ZZ78" s="2"/>
      <c r="AAA78" s="2"/>
      <c r="AAB78" s="2"/>
      <c r="AAC78" s="2"/>
      <c r="AAD78" s="2"/>
      <c r="AAE78" s="2"/>
      <c r="AAF78" s="2"/>
      <c r="AAG78" s="2"/>
      <c r="AAH78" s="2"/>
      <c r="AAI78" s="2"/>
      <c r="AAJ78" s="2"/>
      <c r="AAK78" s="2"/>
      <c r="AAL78" s="2"/>
      <c r="AAM78" s="2"/>
      <c r="AAN78" s="2"/>
      <c r="AAO78" s="2"/>
      <c r="AAP78" s="2"/>
      <c r="AAQ78" s="2"/>
      <c r="AAR78" s="2"/>
      <c r="AAS78" s="2"/>
      <c r="AAT78" s="2"/>
      <c r="AAU78" s="2"/>
      <c r="AAV78" s="2"/>
      <c r="AAW78" s="2"/>
      <c r="AAX78" s="2"/>
      <c r="AAY78" s="2"/>
      <c r="AAZ78" s="2"/>
      <c r="ABA78" s="2"/>
      <c r="ABB78" s="2"/>
      <c r="ABC78" s="2"/>
      <c r="ABD78" s="2"/>
      <c r="ABE78" s="2"/>
      <c r="ABF78" s="2"/>
      <c r="ABG78" s="2"/>
      <c r="ABH78" s="2"/>
      <c r="ABI78" s="2"/>
      <c r="ABJ78" s="2"/>
      <c r="ABK78" s="2"/>
      <c r="ABL78" s="2"/>
      <c r="ABM78" s="2"/>
      <c r="ABN78" s="2"/>
      <c r="ABO78" s="2"/>
      <c r="ABP78" s="2"/>
      <c r="ABQ78" s="2"/>
      <c r="ABR78" s="2"/>
      <c r="ABS78" s="2"/>
      <c r="ABT78" s="2"/>
      <c r="ABU78" s="2"/>
      <c r="ABV78" s="2"/>
      <c r="ABW78" s="2"/>
      <c r="ABX78" s="2"/>
      <c r="ABY78" s="2"/>
      <c r="ABZ78" s="2"/>
      <c r="ACA78" s="2"/>
      <c r="ACB78" s="2"/>
      <c r="ACC78" s="2"/>
      <c r="ACD78" s="2"/>
      <c r="ACE78" s="2"/>
      <c r="ACF78" s="2"/>
      <c r="ACG78" s="2"/>
      <c r="ACH78" s="2"/>
      <c r="ACI78" s="2"/>
      <c r="ACJ78" s="2"/>
      <c r="ACK78" s="2"/>
      <c r="ACL78" s="2"/>
      <c r="ACM78" s="2"/>
      <c r="ACN78" s="2"/>
      <c r="ACO78" s="2"/>
      <c r="ACP78" s="2"/>
      <c r="ACQ78" s="2"/>
      <c r="ACR78" s="2"/>
      <c r="ACS78" s="2"/>
      <c r="ACT78" s="2"/>
      <c r="ACU78" s="2"/>
      <c r="ACV78" s="2"/>
      <c r="ACW78" s="2"/>
      <c r="ACX78" s="2"/>
      <c r="ACY78" s="2"/>
      <c r="ACZ78" s="2"/>
      <c r="ADA78" s="2"/>
      <c r="ADB78" s="2"/>
      <c r="ADC78" s="2"/>
      <c r="ADD78" s="2"/>
      <c r="ADE78" s="2"/>
      <c r="ADF78" s="2"/>
      <c r="ADG78" s="2"/>
      <c r="ADH78" s="2"/>
      <c r="ADI78" s="2"/>
      <c r="ADJ78" s="2"/>
      <c r="ADK78" s="2"/>
      <c r="ADL78" s="2"/>
      <c r="ADM78" s="2"/>
      <c r="ADN78" s="2"/>
      <c r="ADO78" s="2"/>
      <c r="ADP78" s="2"/>
      <c r="ADQ78" s="2"/>
      <c r="ADR78" s="2"/>
      <c r="ADS78" s="2"/>
      <c r="ADT78" s="2"/>
      <c r="ADU78" s="2"/>
      <c r="ADV78" s="2"/>
      <c r="ADW78" s="2"/>
      <c r="ADX78" s="2"/>
      <c r="ADY78" s="2"/>
      <c r="ADZ78" s="2"/>
      <c r="AEA78" s="2"/>
      <c r="AEB78" s="2"/>
      <c r="AEC78" s="2"/>
      <c r="AED78" s="2"/>
      <c r="AEE78" s="2"/>
      <c r="AEF78" s="2"/>
      <c r="AEG78" s="2"/>
      <c r="AEH78" s="2"/>
      <c r="AEI78" s="2"/>
      <c r="AEJ78" s="2"/>
      <c r="AEK78" s="2"/>
      <c r="AEL78" s="2"/>
      <c r="AEM78" s="2"/>
      <c r="AEN78" s="2"/>
      <c r="AEO78" s="2"/>
      <c r="AEP78" s="2"/>
      <c r="AEQ78" s="2"/>
      <c r="AER78" s="2"/>
      <c r="AES78" s="2"/>
      <c r="AET78" s="2"/>
      <c r="AEU78" s="2"/>
      <c r="AEV78" s="2"/>
      <c r="AEW78" s="2"/>
      <c r="AEX78" s="2"/>
      <c r="AEY78" s="2"/>
      <c r="AEZ78" s="2"/>
      <c r="AFA78" s="2"/>
      <c r="AFB78" s="2"/>
      <c r="AFC78" s="2"/>
      <c r="AFD78" s="2"/>
      <c r="AFE78" s="2"/>
      <c r="AFF78" s="2"/>
      <c r="AFG78" s="2"/>
      <c r="AFH78" s="2"/>
      <c r="AFI78" s="2"/>
      <c r="AFJ78" s="2"/>
      <c r="AFK78" s="2"/>
      <c r="AFL78" s="2"/>
      <c r="AFM78" s="2"/>
      <c r="AFN78" s="2"/>
      <c r="AFO78" s="2"/>
      <c r="AFP78" s="2"/>
      <c r="AFQ78" s="2"/>
      <c r="AFR78" s="2"/>
      <c r="AFS78" s="2"/>
      <c r="AFT78" s="2"/>
      <c r="AFU78" s="2"/>
      <c r="AFV78" s="2"/>
      <c r="AFW78" s="2"/>
      <c r="AFX78" s="2"/>
      <c r="AFY78" s="2"/>
      <c r="AFZ78" s="2"/>
      <c r="AGA78" s="2"/>
      <c r="AGB78" s="2"/>
      <c r="AGC78" s="2"/>
      <c r="AGD78" s="2"/>
      <c r="AGE78" s="2"/>
      <c r="AGF78" s="2"/>
      <c r="AGG78" s="2"/>
      <c r="AGH78" s="2"/>
      <c r="AGI78" s="2"/>
      <c r="AGJ78" s="2"/>
      <c r="AGK78" s="2"/>
      <c r="AGL78" s="2"/>
      <c r="AGM78" s="2"/>
      <c r="AGN78" s="2"/>
      <c r="AGO78" s="2"/>
      <c r="AGP78" s="2"/>
      <c r="AGQ78" s="2"/>
      <c r="AGR78" s="2"/>
      <c r="AGS78" s="2"/>
      <c r="AGT78" s="2"/>
      <c r="AGU78" s="2"/>
      <c r="AGV78" s="2"/>
      <c r="AGW78" s="2"/>
      <c r="AGX78" s="2"/>
      <c r="AGY78" s="2"/>
      <c r="AGZ78" s="2"/>
      <c r="AHA78" s="2"/>
      <c r="AHB78" s="2"/>
      <c r="AHC78" s="2"/>
      <c r="AHD78" s="2"/>
      <c r="AHE78" s="2"/>
      <c r="AHF78" s="2"/>
      <c r="AHG78" s="2"/>
      <c r="AHH78" s="2"/>
      <c r="AHI78" s="2"/>
      <c r="AHJ78" s="2"/>
      <c r="AHK78" s="2"/>
      <c r="AHL78" s="2"/>
      <c r="AHM78" s="2"/>
      <c r="AHN78" s="2"/>
      <c r="AHO78" s="2"/>
      <c r="AHP78" s="2"/>
      <c r="AHQ78" s="2"/>
      <c r="AHR78" s="2"/>
      <c r="AHS78" s="2"/>
      <c r="AHT78" s="2"/>
      <c r="AHU78" s="2"/>
      <c r="AHV78" s="2"/>
      <c r="AHW78" s="2"/>
      <c r="AHX78" s="2"/>
      <c r="AHY78" s="2"/>
      <c r="AHZ78" s="2"/>
      <c r="AIA78" s="2"/>
      <c r="AIB78" s="2"/>
      <c r="AIC78" s="2"/>
      <c r="AID78" s="2"/>
      <c r="AIE78" s="2"/>
      <c r="AIF78" s="2"/>
      <c r="AIG78" s="2"/>
      <c r="AIH78" s="2"/>
      <c r="AII78" s="2"/>
      <c r="AIJ78" s="2"/>
      <c r="AIK78" s="2"/>
      <c r="AIL78" s="2"/>
      <c r="AIM78" s="2"/>
      <c r="AIN78" s="2"/>
      <c r="AIO78" s="2"/>
      <c r="AIP78" s="2"/>
      <c r="AIQ78" s="2"/>
      <c r="AIR78" s="2"/>
      <c r="AIS78" s="2"/>
      <c r="AIT78" s="2"/>
      <c r="AIU78" s="2"/>
      <c r="AIV78" s="2"/>
      <c r="AIW78" s="2"/>
      <c r="AIX78" s="2"/>
      <c r="AIY78" s="2"/>
      <c r="AIZ78" s="2"/>
      <c r="AJA78" s="2"/>
      <c r="AJB78" s="2"/>
      <c r="AJC78" s="2"/>
      <c r="AJD78" s="2"/>
      <c r="AJE78" s="2"/>
      <c r="AJF78" s="2"/>
      <c r="AJG78" s="2"/>
      <c r="AJH78" s="2"/>
      <c r="AJI78" s="2"/>
      <c r="AJJ78" s="2"/>
      <c r="AJK78" s="2"/>
      <c r="AJL78" s="2"/>
      <c r="AJM78" s="2"/>
      <c r="AJN78" s="2"/>
      <c r="AJO78" s="2"/>
      <c r="AJP78" s="2"/>
      <c r="AJQ78" s="2"/>
      <c r="AJR78" s="2"/>
      <c r="AJS78" s="2"/>
      <c r="AJT78" s="2"/>
      <c r="AJU78" s="2"/>
      <c r="AJV78" s="2"/>
      <c r="AJW78" s="2"/>
      <c r="AJX78" s="2"/>
      <c r="AJY78" s="2"/>
      <c r="AJZ78" s="2"/>
      <c r="AKA78" s="2"/>
      <c r="AKB78" s="2"/>
      <c r="AKC78" s="2"/>
      <c r="AKD78" s="2"/>
      <c r="AKE78" s="2"/>
      <c r="AKF78" s="2"/>
      <c r="AKG78" s="2"/>
      <c r="AKH78" s="2"/>
      <c r="AKI78" s="2"/>
      <c r="AKJ78" s="2"/>
      <c r="AKK78" s="2"/>
      <c r="AKL78" s="2"/>
      <c r="AKM78" s="2"/>
      <c r="AKN78" s="2"/>
      <c r="AKO78" s="2"/>
      <c r="AKP78" s="2"/>
      <c r="AKQ78" s="2"/>
      <c r="AKR78" s="2"/>
      <c r="AKS78" s="2"/>
      <c r="AKT78" s="2"/>
      <c r="AKU78" s="2"/>
      <c r="AKV78" s="2"/>
      <c r="AKW78" s="2"/>
      <c r="AKX78" s="2"/>
      <c r="AKY78" s="2"/>
      <c r="AKZ78" s="2"/>
      <c r="ALA78" s="2"/>
      <c r="ALB78" s="2"/>
      <c r="ALC78" s="2"/>
      <c r="ALD78" s="2"/>
      <c r="ALE78" s="2"/>
      <c r="ALF78" s="2"/>
      <c r="ALG78" s="2"/>
      <c r="ALH78" s="2"/>
      <c r="ALI78" s="2"/>
      <c r="ALJ78" s="2"/>
      <c r="ALK78" s="2"/>
      <c r="ALL78" s="2"/>
      <c r="ALM78" s="2"/>
      <c r="ALN78" s="2"/>
      <c r="ALO78" s="2"/>
      <c r="ALP78" s="2"/>
      <c r="ALQ78" s="2"/>
      <c r="ALR78" s="2"/>
      <c r="ALS78" s="2"/>
      <c r="ALT78" s="2"/>
      <c r="ALU78" s="2"/>
      <c r="ALV78" s="2"/>
      <c r="ALW78" s="2"/>
      <c r="ALX78" s="2"/>
      <c r="ALY78" s="2"/>
      <c r="ALZ78" s="2"/>
      <c r="AMA78" s="2"/>
      <c r="AMB78" s="2"/>
      <c r="AMC78" s="2"/>
      <c r="AMD78" s="2"/>
      <c r="AME78" s="2"/>
    </row>
    <row r="79" spans="1:1019" ht="39" customHeight="1" x14ac:dyDescent="0.3">
      <c r="A79" s="36" t="s">
        <v>40</v>
      </c>
      <c r="B79" s="37" t="s">
        <v>64</v>
      </c>
      <c r="C79" s="46" t="s">
        <v>62</v>
      </c>
      <c r="D79" s="43">
        <f>D15</f>
        <v>50</v>
      </c>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c r="VM79" s="2"/>
      <c r="VN79" s="2"/>
      <c r="VO79" s="2"/>
      <c r="VP79" s="2"/>
      <c r="VQ79" s="2"/>
      <c r="VR79" s="2"/>
      <c r="VS79" s="2"/>
      <c r="VT79" s="2"/>
      <c r="VU79" s="2"/>
      <c r="VV79" s="2"/>
      <c r="VW79" s="2"/>
      <c r="VX79" s="2"/>
      <c r="VY79" s="2"/>
      <c r="VZ79" s="2"/>
      <c r="WA79" s="2"/>
      <c r="WB79" s="2"/>
      <c r="WC79" s="2"/>
      <c r="WD79" s="2"/>
      <c r="WE79" s="2"/>
      <c r="WF79" s="2"/>
      <c r="WG79" s="2"/>
      <c r="WH79" s="2"/>
      <c r="WI79" s="2"/>
      <c r="WJ79" s="2"/>
      <c r="WK79" s="2"/>
      <c r="WL79" s="2"/>
      <c r="WM79" s="2"/>
      <c r="WN79" s="2"/>
      <c r="WO79" s="2"/>
      <c r="WP79" s="2"/>
      <c r="WQ79" s="2"/>
      <c r="WR79" s="2"/>
      <c r="WS79" s="2"/>
      <c r="WT79" s="2"/>
      <c r="WU79" s="2"/>
      <c r="WV79" s="2"/>
      <c r="WW79" s="2"/>
      <c r="WX79" s="2"/>
      <c r="WY79" s="2"/>
      <c r="WZ79" s="2"/>
      <c r="XA79" s="2"/>
      <c r="XB79" s="2"/>
      <c r="XC79" s="2"/>
      <c r="XD79" s="2"/>
      <c r="XE79" s="2"/>
      <c r="XF79" s="2"/>
      <c r="XG79" s="2"/>
      <c r="XH79" s="2"/>
      <c r="XI79" s="2"/>
      <c r="XJ79" s="2"/>
      <c r="XK79" s="2"/>
      <c r="XL79" s="2"/>
      <c r="XM79" s="2"/>
      <c r="XN79" s="2"/>
      <c r="XO79" s="2"/>
      <c r="XP79" s="2"/>
      <c r="XQ79" s="2"/>
      <c r="XR79" s="2"/>
      <c r="XS79" s="2"/>
      <c r="XT79" s="2"/>
      <c r="XU79" s="2"/>
      <c r="XV79" s="2"/>
      <c r="XW79" s="2"/>
      <c r="XX79" s="2"/>
      <c r="XY79" s="2"/>
      <c r="XZ79" s="2"/>
      <c r="YA79" s="2"/>
      <c r="YB79" s="2"/>
      <c r="YC79" s="2"/>
      <c r="YD79" s="2"/>
      <c r="YE79" s="2"/>
      <c r="YF79" s="2"/>
      <c r="YG79" s="2"/>
      <c r="YH79" s="2"/>
      <c r="YI79" s="2"/>
      <c r="YJ79" s="2"/>
      <c r="YK79" s="2"/>
      <c r="YL79" s="2"/>
      <c r="YM79" s="2"/>
      <c r="YN79" s="2"/>
      <c r="YO79" s="2"/>
      <c r="YP79" s="2"/>
      <c r="YQ79" s="2"/>
      <c r="YR79" s="2"/>
      <c r="YS79" s="2"/>
      <c r="YT79" s="2"/>
      <c r="YU79" s="2"/>
      <c r="YV79" s="2"/>
      <c r="YW79" s="2"/>
      <c r="YX79" s="2"/>
      <c r="YY79" s="2"/>
      <c r="YZ79" s="2"/>
      <c r="ZA79" s="2"/>
      <c r="ZB79" s="2"/>
      <c r="ZC79" s="2"/>
      <c r="ZD79" s="2"/>
      <c r="ZE79" s="2"/>
      <c r="ZF79" s="2"/>
      <c r="ZG79" s="2"/>
      <c r="ZH79" s="2"/>
      <c r="ZI79" s="2"/>
      <c r="ZJ79" s="2"/>
      <c r="ZK79" s="2"/>
      <c r="ZL79" s="2"/>
      <c r="ZM79" s="2"/>
      <c r="ZN79" s="2"/>
      <c r="ZO79" s="2"/>
      <c r="ZP79" s="2"/>
      <c r="ZQ79" s="2"/>
      <c r="ZR79" s="2"/>
      <c r="ZS79" s="2"/>
      <c r="ZT79" s="2"/>
      <c r="ZU79" s="2"/>
      <c r="ZV79" s="2"/>
      <c r="ZW79" s="2"/>
      <c r="ZX79" s="2"/>
      <c r="ZY79" s="2"/>
      <c r="ZZ79" s="2"/>
      <c r="AAA79" s="2"/>
      <c r="AAB79" s="2"/>
      <c r="AAC79" s="2"/>
      <c r="AAD79" s="2"/>
      <c r="AAE79" s="2"/>
      <c r="AAF79" s="2"/>
      <c r="AAG79" s="2"/>
      <c r="AAH79" s="2"/>
      <c r="AAI79" s="2"/>
      <c r="AAJ79" s="2"/>
      <c r="AAK79" s="2"/>
      <c r="AAL79" s="2"/>
      <c r="AAM79" s="2"/>
      <c r="AAN79" s="2"/>
      <c r="AAO79" s="2"/>
      <c r="AAP79" s="2"/>
      <c r="AAQ79" s="2"/>
      <c r="AAR79" s="2"/>
      <c r="AAS79" s="2"/>
      <c r="AAT79" s="2"/>
      <c r="AAU79" s="2"/>
      <c r="AAV79" s="2"/>
      <c r="AAW79" s="2"/>
      <c r="AAX79" s="2"/>
      <c r="AAY79" s="2"/>
      <c r="AAZ79" s="2"/>
      <c r="ABA79" s="2"/>
      <c r="ABB79" s="2"/>
      <c r="ABC79" s="2"/>
      <c r="ABD79" s="2"/>
      <c r="ABE79" s="2"/>
      <c r="ABF79" s="2"/>
      <c r="ABG79" s="2"/>
      <c r="ABH79" s="2"/>
      <c r="ABI79" s="2"/>
      <c r="ABJ79" s="2"/>
      <c r="ABK79" s="2"/>
      <c r="ABL79" s="2"/>
      <c r="ABM79" s="2"/>
      <c r="ABN79" s="2"/>
      <c r="ABO79" s="2"/>
      <c r="ABP79" s="2"/>
      <c r="ABQ79" s="2"/>
      <c r="ABR79" s="2"/>
      <c r="ABS79" s="2"/>
      <c r="ABT79" s="2"/>
      <c r="ABU79" s="2"/>
      <c r="ABV79" s="2"/>
      <c r="ABW79" s="2"/>
      <c r="ABX79" s="2"/>
      <c r="ABY79" s="2"/>
      <c r="ABZ79" s="2"/>
      <c r="ACA79" s="2"/>
      <c r="ACB79" s="2"/>
      <c r="ACC79" s="2"/>
      <c r="ACD79" s="2"/>
      <c r="ACE79" s="2"/>
      <c r="ACF79" s="2"/>
      <c r="ACG79" s="2"/>
      <c r="ACH79" s="2"/>
      <c r="ACI79" s="2"/>
      <c r="ACJ79" s="2"/>
      <c r="ACK79" s="2"/>
      <c r="ACL79" s="2"/>
      <c r="ACM79" s="2"/>
      <c r="ACN79" s="2"/>
      <c r="ACO79" s="2"/>
      <c r="ACP79" s="2"/>
      <c r="ACQ79" s="2"/>
      <c r="ACR79" s="2"/>
      <c r="ACS79" s="2"/>
      <c r="ACT79" s="2"/>
      <c r="ACU79" s="2"/>
      <c r="ACV79" s="2"/>
      <c r="ACW79" s="2"/>
      <c r="ACX79" s="2"/>
      <c r="ACY79" s="2"/>
      <c r="ACZ79" s="2"/>
      <c r="ADA79" s="2"/>
      <c r="ADB79" s="2"/>
      <c r="ADC79" s="2"/>
      <c r="ADD79" s="2"/>
      <c r="ADE79" s="2"/>
      <c r="ADF79" s="2"/>
      <c r="ADG79" s="2"/>
      <c r="ADH79" s="2"/>
      <c r="ADI79" s="2"/>
      <c r="ADJ79" s="2"/>
      <c r="ADK79" s="2"/>
      <c r="ADL79" s="2"/>
      <c r="ADM79" s="2"/>
      <c r="ADN79" s="2"/>
      <c r="ADO79" s="2"/>
      <c r="ADP79" s="2"/>
      <c r="ADQ79" s="2"/>
      <c r="ADR79" s="2"/>
      <c r="ADS79" s="2"/>
      <c r="ADT79" s="2"/>
      <c r="ADU79" s="2"/>
      <c r="ADV79" s="2"/>
      <c r="ADW79" s="2"/>
      <c r="ADX79" s="2"/>
      <c r="ADY79" s="2"/>
      <c r="ADZ79" s="2"/>
      <c r="AEA79" s="2"/>
      <c r="AEB79" s="2"/>
      <c r="AEC79" s="2"/>
      <c r="AED79" s="2"/>
      <c r="AEE79" s="2"/>
      <c r="AEF79" s="2"/>
      <c r="AEG79" s="2"/>
      <c r="AEH79" s="2"/>
      <c r="AEI79" s="2"/>
      <c r="AEJ79" s="2"/>
      <c r="AEK79" s="2"/>
      <c r="AEL79" s="2"/>
      <c r="AEM79" s="2"/>
      <c r="AEN79" s="2"/>
      <c r="AEO79" s="2"/>
      <c r="AEP79" s="2"/>
      <c r="AEQ79" s="2"/>
      <c r="AER79" s="2"/>
      <c r="AES79" s="2"/>
      <c r="AET79" s="2"/>
      <c r="AEU79" s="2"/>
      <c r="AEV79" s="2"/>
      <c r="AEW79" s="2"/>
      <c r="AEX79" s="2"/>
      <c r="AEY79" s="2"/>
      <c r="AEZ79" s="2"/>
      <c r="AFA79" s="2"/>
      <c r="AFB79" s="2"/>
      <c r="AFC79" s="2"/>
      <c r="AFD79" s="2"/>
      <c r="AFE79" s="2"/>
      <c r="AFF79" s="2"/>
      <c r="AFG79" s="2"/>
      <c r="AFH79" s="2"/>
      <c r="AFI79" s="2"/>
      <c r="AFJ79" s="2"/>
      <c r="AFK79" s="2"/>
      <c r="AFL79" s="2"/>
      <c r="AFM79" s="2"/>
      <c r="AFN79" s="2"/>
      <c r="AFO79" s="2"/>
      <c r="AFP79" s="2"/>
      <c r="AFQ79" s="2"/>
      <c r="AFR79" s="2"/>
      <c r="AFS79" s="2"/>
      <c r="AFT79" s="2"/>
      <c r="AFU79" s="2"/>
      <c r="AFV79" s="2"/>
      <c r="AFW79" s="2"/>
      <c r="AFX79" s="2"/>
      <c r="AFY79" s="2"/>
      <c r="AFZ79" s="2"/>
      <c r="AGA79" s="2"/>
      <c r="AGB79" s="2"/>
      <c r="AGC79" s="2"/>
      <c r="AGD79" s="2"/>
      <c r="AGE79" s="2"/>
      <c r="AGF79" s="2"/>
      <c r="AGG79" s="2"/>
      <c r="AGH79" s="2"/>
      <c r="AGI79" s="2"/>
      <c r="AGJ79" s="2"/>
      <c r="AGK79" s="2"/>
      <c r="AGL79" s="2"/>
      <c r="AGM79" s="2"/>
      <c r="AGN79" s="2"/>
      <c r="AGO79" s="2"/>
      <c r="AGP79" s="2"/>
      <c r="AGQ79" s="2"/>
      <c r="AGR79" s="2"/>
      <c r="AGS79" s="2"/>
      <c r="AGT79" s="2"/>
      <c r="AGU79" s="2"/>
      <c r="AGV79" s="2"/>
      <c r="AGW79" s="2"/>
      <c r="AGX79" s="2"/>
      <c r="AGY79" s="2"/>
      <c r="AGZ79" s="2"/>
      <c r="AHA79" s="2"/>
      <c r="AHB79" s="2"/>
      <c r="AHC79" s="2"/>
      <c r="AHD79" s="2"/>
      <c r="AHE79" s="2"/>
      <c r="AHF79" s="2"/>
      <c r="AHG79" s="2"/>
      <c r="AHH79" s="2"/>
      <c r="AHI79" s="2"/>
      <c r="AHJ79" s="2"/>
      <c r="AHK79" s="2"/>
      <c r="AHL79" s="2"/>
      <c r="AHM79" s="2"/>
      <c r="AHN79" s="2"/>
      <c r="AHO79" s="2"/>
      <c r="AHP79" s="2"/>
      <c r="AHQ79" s="2"/>
      <c r="AHR79" s="2"/>
      <c r="AHS79" s="2"/>
      <c r="AHT79" s="2"/>
      <c r="AHU79" s="2"/>
      <c r="AHV79" s="2"/>
      <c r="AHW79" s="2"/>
      <c r="AHX79" s="2"/>
      <c r="AHY79" s="2"/>
      <c r="AHZ79" s="2"/>
      <c r="AIA79" s="2"/>
      <c r="AIB79" s="2"/>
      <c r="AIC79" s="2"/>
      <c r="AID79" s="2"/>
      <c r="AIE79" s="2"/>
      <c r="AIF79" s="2"/>
      <c r="AIG79" s="2"/>
      <c r="AIH79" s="2"/>
      <c r="AII79" s="2"/>
      <c r="AIJ79" s="2"/>
      <c r="AIK79" s="2"/>
      <c r="AIL79" s="2"/>
      <c r="AIM79" s="2"/>
      <c r="AIN79" s="2"/>
      <c r="AIO79" s="2"/>
      <c r="AIP79" s="2"/>
      <c r="AIQ79" s="2"/>
      <c r="AIR79" s="2"/>
      <c r="AIS79" s="2"/>
      <c r="AIT79" s="2"/>
      <c r="AIU79" s="2"/>
      <c r="AIV79" s="2"/>
      <c r="AIW79" s="2"/>
      <c r="AIX79" s="2"/>
      <c r="AIY79" s="2"/>
      <c r="AIZ79" s="2"/>
      <c r="AJA79" s="2"/>
      <c r="AJB79" s="2"/>
      <c r="AJC79" s="2"/>
      <c r="AJD79" s="2"/>
      <c r="AJE79" s="2"/>
      <c r="AJF79" s="2"/>
      <c r="AJG79" s="2"/>
      <c r="AJH79" s="2"/>
      <c r="AJI79" s="2"/>
      <c r="AJJ79" s="2"/>
      <c r="AJK79" s="2"/>
      <c r="AJL79" s="2"/>
      <c r="AJM79" s="2"/>
      <c r="AJN79" s="2"/>
      <c r="AJO79" s="2"/>
      <c r="AJP79" s="2"/>
      <c r="AJQ79" s="2"/>
      <c r="AJR79" s="2"/>
      <c r="AJS79" s="2"/>
      <c r="AJT79" s="2"/>
      <c r="AJU79" s="2"/>
      <c r="AJV79" s="2"/>
      <c r="AJW79" s="2"/>
      <c r="AJX79" s="2"/>
      <c r="AJY79" s="2"/>
      <c r="AJZ79" s="2"/>
      <c r="AKA79" s="2"/>
      <c r="AKB79" s="2"/>
      <c r="AKC79" s="2"/>
      <c r="AKD79" s="2"/>
      <c r="AKE79" s="2"/>
      <c r="AKF79" s="2"/>
      <c r="AKG79" s="2"/>
      <c r="AKH79" s="2"/>
      <c r="AKI79" s="2"/>
      <c r="AKJ79" s="2"/>
      <c r="AKK79" s="2"/>
      <c r="AKL79" s="2"/>
      <c r="AKM79" s="2"/>
      <c r="AKN79" s="2"/>
      <c r="AKO79" s="2"/>
      <c r="AKP79" s="2"/>
      <c r="AKQ79" s="2"/>
      <c r="AKR79" s="2"/>
      <c r="AKS79" s="2"/>
      <c r="AKT79" s="2"/>
      <c r="AKU79" s="2"/>
      <c r="AKV79" s="2"/>
      <c r="AKW79" s="2"/>
      <c r="AKX79" s="2"/>
      <c r="AKY79" s="2"/>
      <c r="AKZ79" s="2"/>
      <c r="ALA79" s="2"/>
      <c r="ALB79" s="2"/>
      <c r="ALC79" s="2"/>
      <c r="ALD79" s="2"/>
      <c r="ALE79" s="2"/>
      <c r="ALF79" s="2"/>
      <c r="ALG79" s="2"/>
      <c r="ALH79" s="2"/>
      <c r="ALI79" s="2"/>
      <c r="ALJ79" s="2"/>
      <c r="ALK79" s="2"/>
      <c r="ALL79" s="2"/>
      <c r="ALM79" s="2"/>
      <c r="ALN79" s="2"/>
      <c r="ALO79" s="2"/>
      <c r="ALP79" s="2"/>
      <c r="ALQ79" s="2"/>
      <c r="ALR79" s="2"/>
      <c r="ALS79" s="2"/>
      <c r="ALT79" s="2"/>
      <c r="ALU79" s="2"/>
      <c r="ALV79" s="2"/>
      <c r="ALW79" s="2"/>
      <c r="ALX79" s="2"/>
      <c r="ALY79" s="2"/>
      <c r="ALZ79" s="2"/>
      <c r="AMA79" s="2"/>
      <c r="AMB79" s="2"/>
      <c r="AMC79" s="2"/>
      <c r="AMD79" s="2"/>
      <c r="AME79" s="2"/>
    </row>
    <row r="80" spans="1:1019" ht="19.8" customHeight="1" x14ac:dyDescent="0.3">
      <c r="A80" s="36" t="s">
        <v>95</v>
      </c>
      <c r="B80" s="37" t="s">
        <v>113</v>
      </c>
      <c r="C80" s="46" t="s">
        <v>62</v>
      </c>
      <c r="D80" s="20">
        <v>0.25</v>
      </c>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c r="WK80" s="2"/>
      <c r="WL80" s="2"/>
      <c r="WM80" s="2"/>
      <c r="WN80" s="2"/>
      <c r="WO80" s="2"/>
      <c r="WP80" s="2"/>
      <c r="WQ80" s="2"/>
      <c r="WR80" s="2"/>
      <c r="WS80" s="2"/>
      <c r="WT80" s="2"/>
      <c r="WU80" s="2"/>
      <c r="WV80" s="2"/>
      <c r="WW80" s="2"/>
      <c r="WX80" s="2"/>
      <c r="WY80" s="2"/>
      <c r="WZ80" s="2"/>
      <c r="XA80" s="2"/>
      <c r="XB80" s="2"/>
      <c r="XC80" s="2"/>
      <c r="XD80" s="2"/>
      <c r="XE80" s="2"/>
      <c r="XF80" s="2"/>
      <c r="XG80" s="2"/>
      <c r="XH80" s="2"/>
      <c r="XI80" s="2"/>
      <c r="XJ80" s="2"/>
      <c r="XK80" s="2"/>
      <c r="XL80" s="2"/>
      <c r="XM80" s="2"/>
      <c r="XN80" s="2"/>
      <c r="XO80" s="2"/>
      <c r="XP80" s="2"/>
      <c r="XQ80" s="2"/>
      <c r="XR80" s="2"/>
      <c r="XS80" s="2"/>
      <c r="XT80" s="2"/>
      <c r="XU80" s="2"/>
      <c r="XV80" s="2"/>
      <c r="XW80" s="2"/>
      <c r="XX80" s="2"/>
      <c r="XY80" s="2"/>
      <c r="XZ80" s="2"/>
      <c r="YA80" s="2"/>
      <c r="YB80" s="2"/>
      <c r="YC80" s="2"/>
      <c r="YD80" s="2"/>
      <c r="YE80" s="2"/>
      <c r="YF80" s="2"/>
      <c r="YG80" s="2"/>
      <c r="YH80" s="2"/>
      <c r="YI80" s="2"/>
      <c r="YJ80" s="2"/>
      <c r="YK80" s="2"/>
      <c r="YL80" s="2"/>
      <c r="YM80" s="2"/>
      <c r="YN80" s="2"/>
      <c r="YO80" s="2"/>
      <c r="YP80" s="2"/>
      <c r="YQ80" s="2"/>
      <c r="YR80" s="2"/>
      <c r="YS80" s="2"/>
      <c r="YT80" s="2"/>
      <c r="YU80" s="2"/>
      <c r="YV80" s="2"/>
      <c r="YW80" s="2"/>
      <c r="YX80" s="2"/>
      <c r="YY80" s="2"/>
      <c r="YZ80" s="2"/>
      <c r="ZA80" s="2"/>
      <c r="ZB80" s="2"/>
      <c r="ZC80" s="2"/>
      <c r="ZD80" s="2"/>
      <c r="ZE80" s="2"/>
      <c r="ZF80" s="2"/>
      <c r="ZG80" s="2"/>
      <c r="ZH80" s="2"/>
      <c r="ZI80" s="2"/>
      <c r="ZJ80" s="2"/>
      <c r="ZK80" s="2"/>
      <c r="ZL80" s="2"/>
      <c r="ZM80" s="2"/>
      <c r="ZN80" s="2"/>
      <c r="ZO80" s="2"/>
      <c r="ZP80" s="2"/>
      <c r="ZQ80" s="2"/>
      <c r="ZR80" s="2"/>
      <c r="ZS80" s="2"/>
      <c r="ZT80" s="2"/>
      <c r="ZU80" s="2"/>
      <c r="ZV80" s="2"/>
      <c r="ZW80" s="2"/>
      <c r="ZX80" s="2"/>
      <c r="ZY80" s="2"/>
      <c r="ZZ80" s="2"/>
      <c r="AAA80" s="2"/>
      <c r="AAB80" s="2"/>
      <c r="AAC80" s="2"/>
      <c r="AAD80" s="2"/>
      <c r="AAE80" s="2"/>
      <c r="AAF80" s="2"/>
      <c r="AAG80" s="2"/>
      <c r="AAH80" s="2"/>
      <c r="AAI80" s="2"/>
      <c r="AAJ80" s="2"/>
      <c r="AAK80" s="2"/>
      <c r="AAL80" s="2"/>
      <c r="AAM80" s="2"/>
      <c r="AAN80" s="2"/>
      <c r="AAO80" s="2"/>
      <c r="AAP80" s="2"/>
      <c r="AAQ80" s="2"/>
      <c r="AAR80" s="2"/>
      <c r="AAS80" s="2"/>
      <c r="AAT80" s="2"/>
      <c r="AAU80" s="2"/>
      <c r="AAV80" s="2"/>
      <c r="AAW80" s="2"/>
      <c r="AAX80" s="2"/>
      <c r="AAY80" s="2"/>
      <c r="AAZ80" s="2"/>
      <c r="ABA80" s="2"/>
      <c r="ABB80" s="2"/>
      <c r="ABC80" s="2"/>
      <c r="ABD80" s="2"/>
      <c r="ABE80" s="2"/>
      <c r="ABF80" s="2"/>
      <c r="ABG80" s="2"/>
      <c r="ABH80" s="2"/>
      <c r="ABI80" s="2"/>
      <c r="ABJ80" s="2"/>
      <c r="ABK80" s="2"/>
      <c r="ABL80" s="2"/>
      <c r="ABM80" s="2"/>
      <c r="ABN80" s="2"/>
      <c r="ABO80" s="2"/>
      <c r="ABP80" s="2"/>
      <c r="ABQ80" s="2"/>
      <c r="ABR80" s="2"/>
      <c r="ABS80" s="2"/>
      <c r="ABT80" s="2"/>
      <c r="ABU80" s="2"/>
      <c r="ABV80" s="2"/>
      <c r="ABW80" s="2"/>
      <c r="ABX80" s="2"/>
      <c r="ABY80" s="2"/>
      <c r="ABZ80" s="2"/>
      <c r="ACA80" s="2"/>
      <c r="ACB80" s="2"/>
      <c r="ACC80" s="2"/>
      <c r="ACD80" s="2"/>
      <c r="ACE80" s="2"/>
      <c r="ACF80" s="2"/>
      <c r="ACG80" s="2"/>
      <c r="ACH80" s="2"/>
      <c r="ACI80" s="2"/>
      <c r="ACJ80" s="2"/>
      <c r="ACK80" s="2"/>
      <c r="ACL80" s="2"/>
      <c r="ACM80" s="2"/>
      <c r="ACN80" s="2"/>
      <c r="ACO80" s="2"/>
      <c r="ACP80" s="2"/>
      <c r="ACQ80" s="2"/>
      <c r="ACR80" s="2"/>
      <c r="ACS80" s="2"/>
      <c r="ACT80" s="2"/>
      <c r="ACU80" s="2"/>
      <c r="ACV80" s="2"/>
      <c r="ACW80" s="2"/>
      <c r="ACX80" s="2"/>
      <c r="ACY80" s="2"/>
      <c r="ACZ80" s="2"/>
      <c r="ADA80" s="2"/>
      <c r="ADB80" s="2"/>
      <c r="ADC80" s="2"/>
      <c r="ADD80" s="2"/>
      <c r="ADE80" s="2"/>
      <c r="ADF80" s="2"/>
      <c r="ADG80" s="2"/>
      <c r="ADH80" s="2"/>
      <c r="ADI80" s="2"/>
      <c r="ADJ80" s="2"/>
      <c r="ADK80" s="2"/>
      <c r="ADL80" s="2"/>
      <c r="ADM80" s="2"/>
      <c r="ADN80" s="2"/>
      <c r="ADO80" s="2"/>
      <c r="ADP80" s="2"/>
      <c r="ADQ80" s="2"/>
      <c r="ADR80" s="2"/>
      <c r="ADS80" s="2"/>
      <c r="ADT80" s="2"/>
      <c r="ADU80" s="2"/>
      <c r="ADV80" s="2"/>
      <c r="ADW80" s="2"/>
      <c r="ADX80" s="2"/>
      <c r="ADY80" s="2"/>
      <c r="ADZ80" s="2"/>
      <c r="AEA80" s="2"/>
      <c r="AEB80" s="2"/>
      <c r="AEC80" s="2"/>
      <c r="AED80" s="2"/>
      <c r="AEE80" s="2"/>
      <c r="AEF80" s="2"/>
      <c r="AEG80" s="2"/>
      <c r="AEH80" s="2"/>
      <c r="AEI80" s="2"/>
      <c r="AEJ80" s="2"/>
      <c r="AEK80" s="2"/>
      <c r="AEL80" s="2"/>
      <c r="AEM80" s="2"/>
      <c r="AEN80" s="2"/>
      <c r="AEO80" s="2"/>
      <c r="AEP80" s="2"/>
      <c r="AEQ80" s="2"/>
      <c r="AER80" s="2"/>
      <c r="AES80" s="2"/>
      <c r="AET80" s="2"/>
      <c r="AEU80" s="2"/>
      <c r="AEV80" s="2"/>
      <c r="AEW80" s="2"/>
      <c r="AEX80" s="2"/>
      <c r="AEY80" s="2"/>
      <c r="AEZ80" s="2"/>
      <c r="AFA80" s="2"/>
      <c r="AFB80" s="2"/>
      <c r="AFC80" s="2"/>
      <c r="AFD80" s="2"/>
      <c r="AFE80" s="2"/>
      <c r="AFF80" s="2"/>
      <c r="AFG80" s="2"/>
      <c r="AFH80" s="2"/>
      <c r="AFI80" s="2"/>
      <c r="AFJ80" s="2"/>
      <c r="AFK80" s="2"/>
      <c r="AFL80" s="2"/>
      <c r="AFM80" s="2"/>
      <c r="AFN80" s="2"/>
      <c r="AFO80" s="2"/>
      <c r="AFP80" s="2"/>
      <c r="AFQ80" s="2"/>
      <c r="AFR80" s="2"/>
      <c r="AFS80" s="2"/>
      <c r="AFT80" s="2"/>
      <c r="AFU80" s="2"/>
      <c r="AFV80" s="2"/>
      <c r="AFW80" s="2"/>
      <c r="AFX80" s="2"/>
      <c r="AFY80" s="2"/>
      <c r="AFZ80" s="2"/>
      <c r="AGA80" s="2"/>
      <c r="AGB80" s="2"/>
      <c r="AGC80" s="2"/>
      <c r="AGD80" s="2"/>
      <c r="AGE80" s="2"/>
      <c r="AGF80" s="2"/>
      <c r="AGG80" s="2"/>
      <c r="AGH80" s="2"/>
      <c r="AGI80" s="2"/>
      <c r="AGJ80" s="2"/>
      <c r="AGK80" s="2"/>
      <c r="AGL80" s="2"/>
      <c r="AGM80" s="2"/>
      <c r="AGN80" s="2"/>
      <c r="AGO80" s="2"/>
      <c r="AGP80" s="2"/>
      <c r="AGQ80" s="2"/>
      <c r="AGR80" s="2"/>
      <c r="AGS80" s="2"/>
      <c r="AGT80" s="2"/>
      <c r="AGU80" s="2"/>
      <c r="AGV80" s="2"/>
      <c r="AGW80" s="2"/>
      <c r="AGX80" s="2"/>
      <c r="AGY80" s="2"/>
      <c r="AGZ80" s="2"/>
      <c r="AHA80" s="2"/>
      <c r="AHB80" s="2"/>
      <c r="AHC80" s="2"/>
      <c r="AHD80" s="2"/>
      <c r="AHE80" s="2"/>
      <c r="AHF80" s="2"/>
      <c r="AHG80" s="2"/>
      <c r="AHH80" s="2"/>
      <c r="AHI80" s="2"/>
      <c r="AHJ80" s="2"/>
      <c r="AHK80" s="2"/>
      <c r="AHL80" s="2"/>
      <c r="AHM80" s="2"/>
      <c r="AHN80" s="2"/>
      <c r="AHO80" s="2"/>
      <c r="AHP80" s="2"/>
      <c r="AHQ80" s="2"/>
      <c r="AHR80" s="2"/>
      <c r="AHS80" s="2"/>
      <c r="AHT80" s="2"/>
      <c r="AHU80" s="2"/>
      <c r="AHV80" s="2"/>
      <c r="AHW80" s="2"/>
      <c r="AHX80" s="2"/>
      <c r="AHY80" s="2"/>
      <c r="AHZ80" s="2"/>
      <c r="AIA80" s="2"/>
      <c r="AIB80" s="2"/>
      <c r="AIC80" s="2"/>
      <c r="AID80" s="2"/>
      <c r="AIE80" s="2"/>
      <c r="AIF80" s="2"/>
      <c r="AIG80" s="2"/>
      <c r="AIH80" s="2"/>
      <c r="AII80" s="2"/>
      <c r="AIJ80" s="2"/>
      <c r="AIK80" s="2"/>
      <c r="AIL80" s="2"/>
      <c r="AIM80" s="2"/>
      <c r="AIN80" s="2"/>
      <c r="AIO80" s="2"/>
      <c r="AIP80" s="2"/>
      <c r="AIQ80" s="2"/>
      <c r="AIR80" s="2"/>
      <c r="AIS80" s="2"/>
      <c r="AIT80" s="2"/>
      <c r="AIU80" s="2"/>
      <c r="AIV80" s="2"/>
      <c r="AIW80" s="2"/>
      <c r="AIX80" s="2"/>
      <c r="AIY80" s="2"/>
      <c r="AIZ80" s="2"/>
      <c r="AJA80" s="2"/>
      <c r="AJB80" s="2"/>
      <c r="AJC80" s="2"/>
      <c r="AJD80" s="2"/>
      <c r="AJE80" s="2"/>
      <c r="AJF80" s="2"/>
      <c r="AJG80" s="2"/>
      <c r="AJH80" s="2"/>
      <c r="AJI80" s="2"/>
      <c r="AJJ80" s="2"/>
      <c r="AJK80" s="2"/>
      <c r="AJL80" s="2"/>
      <c r="AJM80" s="2"/>
      <c r="AJN80" s="2"/>
      <c r="AJO80" s="2"/>
      <c r="AJP80" s="2"/>
      <c r="AJQ80" s="2"/>
      <c r="AJR80" s="2"/>
      <c r="AJS80" s="2"/>
      <c r="AJT80" s="2"/>
      <c r="AJU80" s="2"/>
      <c r="AJV80" s="2"/>
      <c r="AJW80" s="2"/>
      <c r="AJX80" s="2"/>
      <c r="AJY80" s="2"/>
      <c r="AJZ80" s="2"/>
      <c r="AKA80" s="2"/>
      <c r="AKB80" s="2"/>
      <c r="AKC80" s="2"/>
      <c r="AKD80" s="2"/>
      <c r="AKE80" s="2"/>
      <c r="AKF80" s="2"/>
      <c r="AKG80" s="2"/>
      <c r="AKH80" s="2"/>
      <c r="AKI80" s="2"/>
      <c r="AKJ80" s="2"/>
      <c r="AKK80" s="2"/>
      <c r="AKL80" s="2"/>
      <c r="AKM80" s="2"/>
      <c r="AKN80" s="2"/>
      <c r="AKO80" s="2"/>
      <c r="AKP80" s="2"/>
      <c r="AKQ80" s="2"/>
      <c r="AKR80" s="2"/>
      <c r="AKS80" s="2"/>
      <c r="AKT80" s="2"/>
      <c r="AKU80" s="2"/>
      <c r="AKV80" s="2"/>
      <c r="AKW80" s="2"/>
      <c r="AKX80" s="2"/>
      <c r="AKY80" s="2"/>
      <c r="AKZ80" s="2"/>
      <c r="ALA80" s="2"/>
      <c r="ALB80" s="2"/>
      <c r="ALC80" s="2"/>
      <c r="ALD80" s="2"/>
      <c r="ALE80" s="2"/>
      <c r="ALF80" s="2"/>
      <c r="ALG80" s="2"/>
      <c r="ALH80" s="2"/>
      <c r="ALI80" s="2"/>
      <c r="ALJ80" s="2"/>
      <c r="ALK80" s="2"/>
      <c r="ALL80" s="2"/>
      <c r="ALM80" s="2"/>
      <c r="ALN80" s="2"/>
      <c r="ALO80" s="2"/>
      <c r="ALP80" s="2"/>
      <c r="ALQ80" s="2"/>
      <c r="ALR80" s="2"/>
      <c r="ALS80" s="2"/>
      <c r="ALT80" s="2"/>
      <c r="ALU80" s="2"/>
      <c r="ALV80" s="2"/>
      <c r="ALW80" s="2"/>
      <c r="ALX80" s="2"/>
      <c r="ALY80" s="2"/>
      <c r="ALZ80" s="2"/>
      <c r="AMA80" s="2"/>
      <c r="AMB80" s="2"/>
      <c r="AMC80" s="2"/>
      <c r="AMD80" s="2"/>
      <c r="AME80" s="2"/>
    </row>
    <row r="81" spans="1:1019" ht="19.8" customHeight="1" x14ac:dyDescent="0.3">
      <c r="A81" s="36" t="s">
        <v>97</v>
      </c>
      <c r="B81" s="37" t="s">
        <v>114</v>
      </c>
      <c r="C81" s="46" t="s">
        <v>62</v>
      </c>
      <c r="D81" s="20">
        <v>0.90400000000000003</v>
      </c>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c r="VM81" s="2"/>
      <c r="VN81" s="2"/>
      <c r="VO81" s="2"/>
      <c r="VP81" s="2"/>
      <c r="VQ81" s="2"/>
      <c r="VR81" s="2"/>
      <c r="VS81" s="2"/>
      <c r="VT81" s="2"/>
      <c r="VU81" s="2"/>
      <c r="VV81" s="2"/>
      <c r="VW81" s="2"/>
      <c r="VX81" s="2"/>
      <c r="VY81" s="2"/>
      <c r="VZ81" s="2"/>
      <c r="WA81" s="2"/>
      <c r="WB81" s="2"/>
      <c r="WC81" s="2"/>
      <c r="WD81" s="2"/>
      <c r="WE81" s="2"/>
      <c r="WF81" s="2"/>
      <c r="WG81" s="2"/>
      <c r="WH81" s="2"/>
      <c r="WI81" s="2"/>
      <c r="WJ81" s="2"/>
      <c r="WK81" s="2"/>
      <c r="WL81" s="2"/>
      <c r="WM81" s="2"/>
      <c r="WN81" s="2"/>
      <c r="WO81" s="2"/>
      <c r="WP81" s="2"/>
      <c r="WQ81" s="2"/>
      <c r="WR81" s="2"/>
      <c r="WS81" s="2"/>
      <c r="WT81" s="2"/>
      <c r="WU81" s="2"/>
      <c r="WV81" s="2"/>
      <c r="WW81" s="2"/>
      <c r="WX81" s="2"/>
      <c r="WY81" s="2"/>
      <c r="WZ81" s="2"/>
      <c r="XA81" s="2"/>
      <c r="XB81" s="2"/>
      <c r="XC81" s="2"/>
      <c r="XD81" s="2"/>
      <c r="XE81" s="2"/>
      <c r="XF81" s="2"/>
      <c r="XG81" s="2"/>
      <c r="XH81" s="2"/>
      <c r="XI81" s="2"/>
      <c r="XJ81" s="2"/>
      <c r="XK81" s="2"/>
      <c r="XL81" s="2"/>
      <c r="XM81" s="2"/>
      <c r="XN81" s="2"/>
      <c r="XO81" s="2"/>
      <c r="XP81" s="2"/>
      <c r="XQ81" s="2"/>
      <c r="XR81" s="2"/>
      <c r="XS81" s="2"/>
      <c r="XT81" s="2"/>
      <c r="XU81" s="2"/>
      <c r="XV81" s="2"/>
      <c r="XW81" s="2"/>
      <c r="XX81" s="2"/>
      <c r="XY81" s="2"/>
      <c r="XZ81" s="2"/>
      <c r="YA81" s="2"/>
      <c r="YB81" s="2"/>
      <c r="YC81" s="2"/>
      <c r="YD81" s="2"/>
      <c r="YE81" s="2"/>
      <c r="YF81" s="2"/>
      <c r="YG81" s="2"/>
      <c r="YH81" s="2"/>
      <c r="YI81" s="2"/>
      <c r="YJ81" s="2"/>
      <c r="YK81" s="2"/>
      <c r="YL81" s="2"/>
      <c r="YM81" s="2"/>
      <c r="YN81" s="2"/>
      <c r="YO81" s="2"/>
      <c r="YP81" s="2"/>
      <c r="YQ81" s="2"/>
      <c r="YR81" s="2"/>
      <c r="YS81" s="2"/>
      <c r="YT81" s="2"/>
      <c r="YU81" s="2"/>
      <c r="YV81" s="2"/>
      <c r="YW81" s="2"/>
      <c r="YX81" s="2"/>
      <c r="YY81" s="2"/>
      <c r="YZ81" s="2"/>
      <c r="ZA81" s="2"/>
      <c r="ZB81" s="2"/>
      <c r="ZC81" s="2"/>
      <c r="ZD81" s="2"/>
      <c r="ZE81" s="2"/>
      <c r="ZF81" s="2"/>
      <c r="ZG81" s="2"/>
      <c r="ZH81" s="2"/>
      <c r="ZI81" s="2"/>
      <c r="ZJ81" s="2"/>
      <c r="ZK81" s="2"/>
      <c r="ZL81" s="2"/>
      <c r="ZM81" s="2"/>
      <c r="ZN81" s="2"/>
      <c r="ZO81" s="2"/>
      <c r="ZP81" s="2"/>
      <c r="ZQ81" s="2"/>
      <c r="ZR81" s="2"/>
      <c r="ZS81" s="2"/>
      <c r="ZT81" s="2"/>
      <c r="ZU81" s="2"/>
      <c r="ZV81" s="2"/>
      <c r="ZW81" s="2"/>
      <c r="ZX81" s="2"/>
      <c r="ZY81" s="2"/>
      <c r="ZZ81" s="2"/>
      <c r="AAA81" s="2"/>
      <c r="AAB81" s="2"/>
      <c r="AAC81" s="2"/>
      <c r="AAD81" s="2"/>
      <c r="AAE81" s="2"/>
      <c r="AAF81" s="2"/>
      <c r="AAG81" s="2"/>
      <c r="AAH81" s="2"/>
      <c r="AAI81" s="2"/>
      <c r="AAJ81" s="2"/>
      <c r="AAK81" s="2"/>
      <c r="AAL81" s="2"/>
      <c r="AAM81" s="2"/>
      <c r="AAN81" s="2"/>
      <c r="AAO81" s="2"/>
      <c r="AAP81" s="2"/>
      <c r="AAQ81" s="2"/>
      <c r="AAR81" s="2"/>
      <c r="AAS81" s="2"/>
      <c r="AAT81" s="2"/>
      <c r="AAU81" s="2"/>
      <c r="AAV81" s="2"/>
      <c r="AAW81" s="2"/>
      <c r="AAX81" s="2"/>
      <c r="AAY81" s="2"/>
      <c r="AAZ81" s="2"/>
      <c r="ABA81" s="2"/>
      <c r="ABB81" s="2"/>
      <c r="ABC81" s="2"/>
      <c r="ABD81" s="2"/>
      <c r="ABE81" s="2"/>
      <c r="ABF81" s="2"/>
      <c r="ABG81" s="2"/>
      <c r="ABH81" s="2"/>
      <c r="ABI81" s="2"/>
      <c r="ABJ81" s="2"/>
      <c r="ABK81" s="2"/>
      <c r="ABL81" s="2"/>
      <c r="ABM81" s="2"/>
      <c r="ABN81" s="2"/>
      <c r="ABO81" s="2"/>
      <c r="ABP81" s="2"/>
      <c r="ABQ81" s="2"/>
      <c r="ABR81" s="2"/>
      <c r="ABS81" s="2"/>
      <c r="ABT81" s="2"/>
      <c r="ABU81" s="2"/>
      <c r="ABV81" s="2"/>
      <c r="ABW81" s="2"/>
      <c r="ABX81" s="2"/>
      <c r="ABY81" s="2"/>
      <c r="ABZ81" s="2"/>
      <c r="ACA81" s="2"/>
      <c r="ACB81" s="2"/>
      <c r="ACC81" s="2"/>
      <c r="ACD81" s="2"/>
      <c r="ACE81" s="2"/>
      <c r="ACF81" s="2"/>
      <c r="ACG81" s="2"/>
      <c r="ACH81" s="2"/>
      <c r="ACI81" s="2"/>
      <c r="ACJ81" s="2"/>
      <c r="ACK81" s="2"/>
      <c r="ACL81" s="2"/>
      <c r="ACM81" s="2"/>
      <c r="ACN81" s="2"/>
      <c r="ACO81" s="2"/>
      <c r="ACP81" s="2"/>
      <c r="ACQ81" s="2"/>
      <c r="ACR81" s="2"/>
      <c r="ACS81" s="2"/>
      <c r="ACT81" s="2"/>
      <c r="ACU81" s="2"/>
      <c r="ACV81" s="2"/>
      <c r="ACW81" s="2"/>
      <c r="ACX81" s="2"/>
      <c r="ACY81" s="2"/>
      <c r="ACZ81" s="2"/>
      <c r="ADA81" s="2"/>
      <c r="ADB81" s="2"/>
      <c r="ADC81" s="2"/>
      <c r="ADD81" s="2"/>
      <c r="ADE81" s="2"/>
      <c r="ADF81" s="2"/>
      <c r="ADG81" s="2"/>
      <c r="ADH81" s="2"/>
      <c r="ADI81" s="2"/>
      <c r="ADJ81" s="2"/>
      <c r="ADK81" s="2"/>
      <c r="ADL81" s="2"/>
      <c r="ADM81" s="2"/>
      <c r="ADN81" s="2"/>
      <c r="ADO81" s="2"/>
      <c r="ADP81" s="2"/>
      <c r="ADQ81" s="2"/>
      <c r="ADR81" s="2"/>
      <c r="ADS81" s="2"/>
      <c r="ADT81" s="2"/>
      <c r="ADU81" s="2"/>
      <c r="ADV81" s="2"/>
      <c r="ADW81" s="2"/>
      <c r="ADX81" s="2"/>
      <c r="ADY81" s="2"/>
      <c r="ADZ81" s="2"/>
      <c r="AEA81" s="2"/>
      <c r="AEB81" s="2"/>
      <c r="AEC81" s="2"/>
      <c r="AED81" s="2"/>
      <c r="AEE81" s="2"/>
      <c r="AEF81" s="2"/>
      <c r="AEG81" s="2"/>
      <c r="AEH81" s="2"/>
      <c r="AEI81" s="2"/>
      <c r="AEJ81" s="2"/>
      <c r="AEK81" s="2"/>
      <c r="AEL81" s="2"/>
      <c r="AEM81" s="2"/>
      <c r="AEN81" s="2"/>
      <c r="AEO81" s="2"/>
      <c r="AEP81" s="2"/>
      <c r="AEQ81" s="2"/>
      <c r="AER81" s="2"/>
      <c r="AES81" s="2"/>
      <c r="AET81" s="2"/>
      <c r="AEU81" s="2"/>
      <c r="AEV81" s="2"/>
      <c r="AEW81" s="2"/>
      <c r="AEX81" s="2"/>
      <c r="AEY81" s="2"/>
      <c r="AEZ81" s="2"/>
      <c r="AFA81" s="2"/>
      <c r="AFB81" s="2"/>
      <c r="AFC81" s="2"/>
      <c r="AFD81" s="2"/>
      <c r="AFE81" s="2"/>
      <c r="AFF81" s="2"/>
      <c r="AFG81" s="2"/>
      <c r="AFH81" s="2"/>
      <c r="AFI81" s="2"/>
      <c r="AFJ81" s="2"/>
      <c r="AFK81" s="2"/>
      <c r="AFL81" s="2"/>
      <c r="AFM81" s="2"/>
      <c r="AFN81" s="2"/>
      <c r="AFO81" s="2"/>
      <c r="AFP81" s="2"/>
      <c r="AFQ81" s="2"/>
      <c r="AFR81" s="2"/>
      <c r="AFS81" s="2"/>
      <c r="AFT81" s="2"/>
      <c r="AFU81" s="2"/>
      <c r="AFV81" s="2"/>
      <c r="AFW81" s="2"/>
      <c r="AFX81" s="2"/>
      <c r="AFY81" s="2"/>
      <c r="AFZ81" s="2"/>
      <c r="AGA81" s="2"/>
      <c r="AGB81" s="2"/>
      <c r="AGC81" s="2"/>
      <c r="AGD81" s="2"/>
      <c r="AGE81" s="2"/>
      <c r="AGF81" s="2"/>
      <c r="AGG81" s="2"/>
      <c r="AGH81" s="2"/>
      <c r="AGI81" s="2"/>
      <c r="AGJ81" s="2"/>
      <c r="AGK81" s="2"/>
      <c r="AGL81" s="2"/>
      <c r="AGM81" s="2"/>
      <c r="AGN81" s="2"/>
      <c r="AGO81" s="2"/>
      <c r="AGP81" s="2"/>
      <c r="AGQ81" s="2"/>
      <c r="AGR81" s="2"/>
      <c r="AGS81" s="2"/>
      <c r="AGT81" s="2"/>
      <c r="AGU81" s="2"/>
      <c r="AGV81" s="2"/>
      <c r="AGW81" s="2"/>
      <c r="AGX81" s="2"/>
      <c r="AGY81" s="2"/>
      <c r="AGZ81" s="2"/>
      <c r="AHA81" s="2"/>
      <c r="AHB81" s="2"/>
      <c r="AHC81" s="2"/>
      <c r="AHD81" s="2"/>
      <c r="AHE81" s="2"/>
      <c r="AHF81" s="2"/>
      <c r="AHG81" s="2"/>
      <c r="AHH81" s="2"/>
      <c r="AHI81" s="2"/>
      <c r="AHJ81" s="2"/>
      <c r="AHK81" s="2"/>
      <c r="AHL81" s="2"/>
      <c r="AHM81" s="2"/>
      <c r="AHN81" s="2"/>
      <c r="AHO81" s="2"/>
      <c r="AHP81" s="2"/>
      <c r="AHQ81" s="2"/>
      <c r="AHR81" s="2"/>
      <c r="AHS81" s="2"/>
      <c r="AHT81" s="2"/>
      <c r="AHU81" s="2"/>
      <c r="AHV81" s="2"/>
      <c r="AHW81" s="2"/>
      <c r="AHX81" s="2"/>
      <c r="AHY81" s="2"/>
      <c r="AHZ81" s="2"/>
      <c r="AIA81" s="2"/>
      <c r="AIB81" s="2"/>
      <c r="AIC81" s="2"/>
      <c r="AID81" s="2"/>
      <c r="AIE81" s="2"/>
      <c r="AIF81" s="2"/>
      <c r="AIG81" s="2"/>
      <c r="AIH81" s="2"/>
      <c r="AII81" s="2"/>
      <c r="AIJ81" s="2"/>
      <c r="AIK81" s="2"/>
      <c r="AIL81" s="2"/>
      <c r="AIM81" s="2"/>
      <c r="AIN81" s="2"/>
      <c r="AIO81" s="2"/>
      <c r="AIP81" s="2"/>
      <c r="AIQ81" s="2"/>
      <c r="AIR81" s="2"/>
      <c r="AIS81" s="2"/>
      <c r="AIT81" s="2"/>
      <c r="AIU81" s="2"/>
      <c r="AIV81" s="2"/>
      <c r="AIW81" s="2"/>
      <c r="AIX81" s="2"/>
      <c r="AIY81" s="2"/>
      <c r="AIZ81" s="2"/>
      <c r="AJA81" s="2"/>
      <c r="AJB81" s="2"/>
      <c r="AJC81" s="2"/>
      <c r="AJD81" s="2"/>
      <c r="AJE81" s="2"/>
      <c r="AJF81" s="2"/>
      <c r="AJG81" s="2"/>
      <c r="AJH81" s="2"/>
      <c r="AJI81" s="2"/>
      <c r="AJJ81" s="2"/>
      <c r="AJK81" s="2"/>
      <c r="AJL81" s="2"/>
      <c r="AJM81" s="2"/>
      <c r="AJN81" s="2"/>
      <c r="AJO81" s="2"/>
      <c r="AJP81" s="2"/>
      <c r="AJQ81" s="2"/>
      <c r="AJR81" s="2"/>
      <c r="AJS81" s="2"/>
      <c r="AJT81" s="2"/>
      <c r="AJU81" s="2"/>
      <c r="AJV81" s="2"/>
      <c r="AJW81" s="2"/>
      <c r="AJX81" s="2"/>
      <c r="AJY81" s="2"/>
      <c r="AJZ81" s="2"/>
      <c r="AKA81" s="2"/>
      <c r="AKB81" s="2"/>
      <c r="AKC81" s="2"/>
      <c r="AKD81" s="2"/>
      <c r="AKE81" s="2"/>
      <c r="AKF81" s="2"/>
      <c r="AKG81" s="2"/>
      <c r="AKH81" s="2"/>
      <c r="AKI81" s="2"/>
      <c r="AKJ81" s="2"/>
      <c r="AKK81" s="2"/>
      <c r="AKL81" s="2"/>
      <c r="AKM81" s="2"/>
      <c r="AKN81" s="2"/>
      <c r="AKO81" s="2"/>
      <c r="AKP81" s="2"/>
      <c r="AKQ81" s="2"/>
      <c r="AKR81" s="2"/>
      <c r="AKS81" s="2"/>
      <c r="AKT81" s="2"/>
      <c r="AKU81" s="2"/>
      <c r="AKV81" s="2"/>
      <c r="AKW81" s="2"/>
      <c r="AKX81" s="2"/>
      <c r="AKY81" s="2"/>
      <c r="AKZ81" s="2"/>
      <c r="ALA81" s="2"/>
      <c r="ALB81" s="2"/>
      <c r="ALC81" s="2"/>
      <c r="ALD81" s="2"/>
      <c r="ALE81" s="2"/>
      <c r="ALF81" s="2"/>
      <c r="ALG81" s="2"/>
      <c r="ALH81" s="2"/>
      <c r="ALI81" s="2"/>
      <c r="ALJ81" s="2"/>
      <c r="ALK81" s="2"/>
      <c r="ALL81" s="2"/>
      <c r="ALM81" s="2"/>
      <c r="ALN81" s="2"/>
      <c r="ALO81" s="2"/>
      <c r="ALP81" s="2"/>
      <c r="ALQ81" s="2"/>
      <c r="ALR81" s="2"/>
      <c r="ALS81" s="2"/>
      <c r="ALT81" s="2"/>
      <c r="ALU81" s="2"/>
      <c r="ALV81" s="2"/>
      <c r="ALW81" s="2"/>
      <c r="ALX81" s="2"/>
      <c r="ALY81" s="2"/>
      <c r="ALZ81" s="2"/>
      <c r="AMA81" s="2"/>
      <c r="AMB81" s="2"/>
      <c r="AMC81" s="2"/>
      <c r="AMD81" s="2"/>
      <c r="AME81" s="2"/>
    </row>
    <row r="82" spans="1:1019" ht="26.55" customHeight="1" x14ac:dyDescent="0.3">
      <c r="A82" s="36"/>
      <c r="B82" s="37" t="s">
        <v>115</v>
      </c>
      <c r="C82" s="46" t="s">
        <v>62</v>
      </c>
      <c r="D82" s="20" t="s">
        <v>116</v>
      </c>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c r="TA82" s="2"/>
      <c r="TB82" s="2"/>
      <c r="TC82" s="2"/>
      <c r="TD82" s="2"/>
      <c r="TE82" s="2"/>
      <c r="TF82" s="2"/>
      <c r="TG82" s="2"/>
      <c r="TH82" s="2"/>
      <c r="TI82" s="2"/>
      <c r="TJ82" s="2"/>
      <c r="TK82" s="2"/>
      <c r="TL82" s="2"/>
      <c r="TM82" s="2"/>
      <c r="TN82" s="2"/>
      <c r="TO82" s="2"/>
      <c r="TP82" s="2"/>
      <c r="TQ82" s="2"/>
      <c r="TR82" s="2"/>
      <c r="TS82" s="2"/>
      <c r="TT82" s="2"/>
      <c r="TU82" s="2"/>
      <c r="TV82" s="2"/>
      <c r="TW82" s="2"/>
      <c r="TX82" s="2"/>
      <c r="TY82" s="2"/>
      <c r="TZ82" s="2"/>
      <c r="UA82" s="2"/>
      <c r="UB82" s="2"/>
      <c r="UC82" s="2"/>
      <c r="UD82" s="2"/>
      <c r="UE82" s="2"/>
      <c r="UF82" s="2"/>
      <c r="UG82" s="2"/>
      <c r="UH82" s="2"/>
      <c r="UI82" s="2"/>
      <c r="UJ82" s="2"/>
      <c r="UK82" s="2"/>
      <c r="UL82" s="2"/>
      <c r="UM82" s="2"/>
      <c r="UN82" s="2"/>
      <c r="UO82" s="2"/>
      <c r="UP82" s="2"/>
      <c r="UQ82" s="2"/>
      <c r="UR82" s="2"/>
      <c r="US82" s="2"/>
      <c r="UT82" s="2"/>
      <c r="UU82" s="2"/>
      <c r="UV82" s="2"/>
      <c r="UW82" s="2"/>
      <c r="UX82" s="2"/>
      <c r="UY82" s="2"/>
      <c r="UZ82" s="2"/>
      <c r="VA82" s="2"/>
      <c r="VB82" s="2"/>
      <c r="VC82" s="2"/>
      <c r="VD82" s="2"/>
      <c r="VE82" s="2"/>
      <c r="VF82" s="2"/>
      <c r="VG82" s="2"/>
      <c r="VH82" s="2"/>
      <c r="VI82" s="2"/>
      <c r="VJ82" s="2"/>
      <c r="VK82" s="2"/>
      <c r="VL82" s="2"/>
      <c r="VM82" s="2"/>
      <c r="VN82" s="2"/>
      <c r="VO82" s="2"/>
      <c r="VP82" s="2"/>
      <c r="VQ82" s="2"/>
      <c r="VR82" s="2"/>
      <c r="VS82" s="2"/>
      <c r="VT82" s="2"/>
      <c r="VU82" s="2"/>
      <c r="VV82" s="2"/>
      <c r="VW82" s="2"/>
      <c r="VX82" s="2"/>
      <c r="VY82" s="2"/>
      <c r="VZ82" s="2"/>
      <c r="WA82" s="2"/>
      <c r="WB82" s="2"/>
      <c r="WC82" s="2"/>
      <c r="WD82" s="2"/>
      <c r="WE82" s="2"/>
      <c r="WF82" s="2"/>
      <c r="WG82" s="2"/>
      <c r="WH82" s="2"/>
      <c r="WI82" s="2"/>
      <c r="WJ82" s="2"/>
      <c r="WK82" s="2"/>
      <c r="WL82" s="2"/>
      <c r="WM82" s="2"/>
      <c r="WN82" s="2"/>
      <c r="WO82" s="2"/>
      <c r="WP82" s="2"/>
      <c r="WQ82" s="2"/>
      <c r="WR82" s="2"/>
      <c r="WS82" s="2"/>
      <c r="WT82" s="2"/>
      <c r="WU82" s="2"/>
      <c r="WV82" s="2"/>
      <c r="WW82" s="2"/>
      <c r="WX82" s="2"/>
      <c r="WY82" s="2"/>
      <c r="WZ82" s="2"/>
      <c r="XA82" s="2"/>
      <c r="XB82" s="2"/>
      <c r="XC82" s="2"/>
      <c r="XD82" s="2"/>
      <c r="XE82" s="2"/>
      <c r="XF82" s="2"/>
      <c r="XG82" s="2"/>
      <c r="XH82" s="2"/>
      <c r="XI82" s="2"/>
      <c r="XJ82" s="2"/>
      <c r="XK82" s="2"/>
      <c r="XL82" s="2"/>
      <c r="XM82" s="2"/>
      <c r="XN82" s="2"/>
      <c r="XO82" s="2"/>
      <c r="XP82" s="2"/>
      <c r="XQ82" s="2"/>
      <c r="XR82" s="2"/>
      <c r="XS82" s="2"/>
      <c r="XT82" s="2"/>
      <c r="XU82" s="2"/>
      <c r="XV82" s="2"/>
      <c r="XW82" s="2"/>
      <c r="XX82" s="2"/>
      <c r="XY82" s="2"/>
      <c r="XZ82" s="2"/>
      <c r="YA82" s="2"/>
      <c r="YB82" s="2"/>
      <c r="YC82" s="2"/>
      <c r="YD82" s="2"/>
      <c r="YE82" s="2"/>
      <c r="YF82" s="2"/>
      <c r="YG82" s="2"/>
      <c r="YH82" s="2"/>
      <c r="YI82" s="2"/>
      <c r="YJ82" s="2"/>
      <c r="YK82" s="2"/>
      <c r="YL82" s="2"/>
      <c r="YM82" s="2"/>
      <c r="YN82" s="2"/>
      <c r="YO82" s="2"/>
      <c r="YP82" s="2"/>
      <c r="YQ82" s="2"/>
      <c r="YR82" s="2"/>
      <c r="YS82" s="2"/>
      <c r="YT82" s="2"/>
      <c r="YU82" s="2"/>
      <c r="YV82" s="2"/>
      <c r="YW82" s="2"/>
      <c r="YX82" s="2"/>
      <c r="YY82" s="2"/>
      <c r="YZ82" s="2"/>
      <c r="ZA82" s="2"/>
      <c r="ZB82" s="2"/>
      <c r="ZC82" s="2"/>
      <c r="ZD82" s="2"/>
      <c r="ZE82" s="2"/>
      <c r="ZF82" s="2"/>
      <c r="ZG82" s="2"/>
      <c r="ZH82" s="2"/>
      <c r="ZI82" s="2"/>
      <c r="ZJ82" s="2"/>
      <c r="ZK82" s="2"/>
      <c r="ZL82" s="2"/>
      <c r="ZM82" s="2"/>
      <c r="ZN82" s="2"/>
      <c r="ZO82" s="2"/>
      <c r="ZP82" s="2"/>
      <c r="ZQ82" s="2"/>
      <c r="ZR82" s="2"/>
      <c r="ZS82" s="2"/>
      <c r="ZT82" s="2"/>
      <c r="ZU82" s="2"/>
      <c r="ZV82" s="2"/>
      <c r="ZW82" s="2"/>
      <c r="ZX82" s="2"/>
      <c r="ZY82" s="2"/>
      <c r="ZZ82" s="2"/>
      <c r="AAA82" s="2"/>
      <c r="AAB82" s="2"/>
      <c r="AAC82" s="2"/>
      <c r="AAD82" s="2"/>
      <c r="AAE82" s="2"/>
      <c r="AAF82" s="2"/>
      <c r="AAG82" s="2"/>
      <c r="AAH82" s="2"/>
      <c r="AAI82" s="2"/>
      <c r="AAJ82" s="2"/>
      <c r="AAK82" s="2"/>
      <c r="AAL82" s="2"/>
      <c r="AAM82" s="2"/>
      <c r="AAN82" s="2"/>
      <c r="AAO82" s="2"/>
      <c r="AAP82" s="2"/>
      <c r="AAQ82" s="2"/>
      <c r="AAR82" s="2"/>
      <c r="AAS82" s="2"/>
      <c r="AAT82" s="2"/>
      <c r="AAU82" s="2"/>
      <c r="AAV82" s="2"/>
      <c r="AAW82" s="2"/>
      <c r="AAX82" s="2"/>
      <c r="AAY82" s="2"/>
      <c r="AAZ82" s="2"/>
      <c r="ABA82" s="2"/>
      <c r="ABB82" s="2"/>
      <c r="ABC82" s="2"/>
      <c r="ABD82" s="2"/>
      <c r="ABE82" s="2"/>
      <c r="ABF82" s="2"/>
      <c r="ABG82" s="2"/>
      <c r="ABH82" s="2"/>
      <c r="ABI82" s="2"/>
      <c r="ABJ82" s="2"/>
      <c r="ABK82" s="2"/>
      <c r="ABL82" s="2"/>
      <c r="ABM82" s="2"/>
      <c r="ABN82" s="2"/>
      <c r="ABO82" s="2"/>
      <c r="ABP82" s="2"/>
      <c r="ABQ82" s="2"/>
      <c r="ABR82" s="2"/>
      <c r="ABS82" s="2"/>
      <c r="ABT82" s="2"/>
      <c r="ABU82" s="2"/>
      <c r="ABV82" s="2"/>
      <c r="ABW82" s="2"/>
      <c r="ABX82" s="2"/>
      <c r="ABY82" s="2"/>
      <c r="ABZ82" s="2"/>
      <c r="ACA82" s="2"/>
      <c r="ACB82" s="2"/>
      <c r="ACC82" s="2"/>
      <c r="ACD82" s="2"/>
      <c r="ACE82" s="2"/>
      <c r="ACF82" s="2"/>
      <c r="ACG82" s="2"/>
      <c r="ACH82" s="2"/>
      <c r="ACI82" s="2"/>
      <c r="ACJ82" s="2"/>
      <c r="ACK82" s="2"/>
      <c r="ACL82" s="2"/>
      <c r="ACM82" s="2"/>
      <c r="ACN82" s="2"/>
      <c r="ACO82" s="2"/>
      <c r="ACP82" s="2"/>
      <c r="ACQ82" s="2"/>
      <c r="ACR82" s="2"/>
      <c r="ACS82" s="2"/>
      <c r="ACT82" s="2"/>
      <c r="ACU82" s="2"/>
      <c r="ACV82" s="2"/>
      <c r="ACW82" s="2"/>
      <c r="ACX82" s="2"/>
      <c r="ACY82" s="2"/>
      <c r="ACZ82" s="2"/>
      <c r="ADA82" s="2"/>
      <c r="ADB82" s="2"/>
      <c r="ADC82" s="2"/>
      <c r="ADD82" s="2"/>
      <c r="ADE82" s="2"/>
      <c r="ADF82" s="2"/>
      <c r="ADG82" s="2"/>
      <c r="ADH82" s="2"/>
      <c r="ADI82" s="2"/>
      <c r="ADJ82" s="2"/>
      <c r="ADK82" s="2"/>
      <c r="ADL82" s="2"/>
      <c r="ADM82" s="2"/>
      <c r="ADN82" s="2"/>
      <c r="ADO82" s="2"/>
      <c r="ADP82" s="2"/>
      <c r="ADQ82" s="2"/>
      <c r="ADR82" s="2"/>
      <c r="ADS82" s="2"/>
      <c r="ADT82" s="2"/>
      <c r="ADU82" s="2"/>
      <c r="ADV82" s="2"/>
      <c r="ADW82" s="2"/>
      <c r="ADX82" s="2"/>
      <c r="ADY82" s="2"/>
      <c r="ADZ82" s="2"/>
      <c r="AEA82" s="2"/>
      <c r="AEB82" s="2"/>
      <c r="AEC82" s="2"/>
      <c r="AED82" s="2"/>
      <c r="AEE82" s="2"/>
      <c r="AEF82" s="2"/>
      <c r="AEG82" s="2"/>
      <c r="AEH82" s="2"/>
      <c r="AEI82" s="2"/>
      <c r="AEJ82" s="2"/>
      <c r="AEK82" s="2"/>
      <c r="AEL82" s="2"/>
      <c r="AEM82" s="2"/>
      <c r="AEN82" s="2"/>
      <c r="AEO82" s="2"/>
      <c r="AEP82" s="2"/>
      <c r="AEQ82" s="2"/>
      <c r="AER82" s="2"/>
      <c r="AES82" s="2"/>
      <c r="AET82" s="2"/>
      <c r="AEU82" s="2"/>
      <c r="AEV82" s="2"/>
      <c r="AEW82" s="2"/>
      <c r="AEX82" s="2"/>
      <c r="AEY82" s="2"/>
      <c r="AEZ82" s="2"/>
      <c r="AFA82" s="2"/>
      <c r="AFB82" s="2"/>
      <c r="AFC82" s="2"/>
      <c r="AFD82" s="2"/>
      <c r="AFE82" s="2"/>
      <c r="AFF82" s="2"/>
      <c r="AFG82" s="2"/>
      <c r="AFH82" s="2"/>
      <c r="AFI82" s="2"/>
      <c r="AFJ82" s="2"/>
      <c r="AFK82" s="2"/>
      <c r="AFL82" s="2"/>
      <c r="AFM82" s="2"/>
      <c r="AFN82" s="2"/>
      <c r="AFO82" s="2"/>
      <c r="AFP82" s="2"/>
      <c r="AFQ82" s="2"/>
      <c r="AFR82" s="2"/>
      <c r="AFS82" s="2"/>
      <c r="AFT82" s="2"/>
      <c r="AFU82" s="2"/>
      <c r="AFV82" s="2"/>
      <c r="AFW82" s="2"/>
      <c r="AFX82" s="2"/>
      <c r="AFY82" s="2"/>
      <c r="AFZ82" s="2"/>
      <c r="AGA82" s="2"/>
      <c r="AGB82" s="2"/>
      <c r="AGC82" s="2"/>
      <c r="AGD82" s="2"/>
      <c r="AGE82" s="2"/>
      <c r="AGF82" s="2"/>
      <c r="AGG82" s="2"/>
      <c r="AGH82" s="2"/>
      <c r="AGI82" s="2"/>
      <c r="AGJ82" s="2"/>
      <c r="AGK82" s="2"/>
      <c r="AGL82" s="2"/>
      <c r="AGM82" s="2"/>
      <c r="AGN82" s="2"/>
      <c r="AGO82" s="2"/>
      <c r="AGP82" s="2"/>
      <c r="AGQ82" s="2"/>
      <c r="AGR82" s="2"/>
      <c r="AGS82" s="2"/>
      <c r="AGT82" s="2"/>
      <c r="AGU82" s="2"/>
      <c r="AGV82" s="2"/>
      <c r="AGW82" s="2"/>
      <c r="AGX82" s="2"/>
      <c r="AGY82" s="2"/>
      <c r="AGZ82" s="2"/>
      <c r="AHA82" s="2"/>
      <c r="AHB82" s="2"/>
      <c r="AHC82" s="2"/>
      <c r="AHD82" s="2"/>
      <c r="AHE82" s="2"/>
      <c r="AHF82" s="2"/>
      <c r="AHG82" s="2"/>
      <c r="AHH82" s="2"/>
      <c r="AHI82" s="2"/>
      <c r="AHJ82" s="2"/>
      <c r="AHK82" s="2"/>
      <c r="AHL82" s="2"/>
      <c r="AHM82" s="2"/>
      <c r="AHN82" s="2"/>
      <c r="AHO82" s="2"/>
      <c r="AHP82" s="2"/>
      <c r="AHQ82" s="2"/>
      <c r="AHR82" s="2"/>
      <c r="AHS82" s="2"/>
      <c r="AHT82" s="2"/>
      <c r="AHU82" s="2"/>
      <c r="AHV82" s="2"/>
      <c r="AHW82" s="2"/>
      <c r="AHX82" s="2"/>
      <c r="AHY82" s="2"/>
      <c r="AHZ82" s="2"/>
      <c r="AIA82" s="2"/>
      <c r="AIB82" s="2"/>
      <c r="AIC82" s="2"/>
      <c r="AID82" s="2"/>
      <c r="AIE82" s="2"/>
      <c r="AIF82" s="2"/>
      <c r="AIG82" s="2"/>
      <c r="AIH82" s="2"/>
      <c r="AII82" s="2"/>
      <c r="AIJ82" s="2"/>
      <c r="AIK82" s="2"/>
      <c r="AIL82" s="2"/>
      <c r="AIM82" s="2"/>
      <c r="AIN82" s="2"/>
      <c r="AIO82" s="2"/>
      <c r="AIP82" s="2"/>
      <c r="AIQ82" s="2"/>
      <c r="AIR82" s="2"/>
      <c r="AIS82" s="2"/>
      <c r="AIT82" s="2"/>
      <c r="AIU82" s="2"/>
      <c r="AIV82" s="2"/>
      <c r="AIW82" s="2"/>
      <c r="AIX82" s="2"/>
      <c r="AIY82" s="2"/>
      <c r="AIZ82" s="2"/>
      <c r="AJA82" s="2"/>
      <c r="AJB82" s="2"/>
      <c r="AJC82" s="2"/>
      <c r="AJD82" s="2"/>
      <c r="AJE82" s="2"/>
      <c r="AJF82" s="2"/>
      <c r="AJG82" s="2"/>
      <c r="AJH82" s="2"/>
      <c r="AJI82" s="2"/>
      <c r="AJJ82" s="2"/>
      <c r="AJK82" s="2"/>
      <c r="AJL82" s="2"/>
      <c r="AJM82" s="2"/>
      <c r="AJN82" s="2"/>
      <c r="AJO82" s="2"/>
      <c r="AJP82" s="2"/>
      <c r="AJQ82" s="2"/>
      <c r="AJR82" s="2"/>
      <c r="AJS82" s="2"/>
      <c r="AJT82" s="2"/>
      <c r="AJU82" s="2"/>
      <c r="AJV82" s="2"/>
      <c r="AJW82" s="2"/>
      <c r="AJX82" s="2"/>
      <c r="AJY82" s="2"/>
      <c r="AJZ82" s="2"/>
      <c r="AKA82" s="2"/>
      <c r="AKB82" s="2"/>
      <c r="AKC82" s="2"/>
      <c r="AKD82" s="2"/>
      <c r="AKE82" s="2"/>
      <c r="AKF82" s="2"/>
      <c r="AKG82" s="2"/>
      <c r="AKH82" s="2"/>
      <c r="AKI82" s="2"/>
      <c r="AKJ82" s="2"/>
      <c r="AKK82" s="2"/>
      <c r="AKL82" s="2"/>
      <c r="AKM82" s="2"/>
      <c r="AKN82" s="2"/>
      <c r="AKO82" s="2"/>
      <c r="AKP82" s="2"/>
      <c r="AKQ82" s="2"/>
      <c r="AKR82" s="2"/>
      <c r="AKS82" s="2"/>
      <c r="AKT82" s="2"/>
      <c r="AKU82" s="2"/>
      <c r="AKV82" s="2"/>
      <c r="AKW82" s="2"/>
      <c r="AKX82" s="2"/>
      <c r="AKY82" s="2"/>
      <c r="AKZ82" s="2"/>
      <c r="ALA82" s="2"/>
      <c r="ALB82" s="2"/>
      <c r="ALC82" s="2"/>
      <c r="ALD82" s="2"/>
      <c r="ALE82" s="2"/>
      <c r="ALF82" s="2"/>
      <c r="ALG82" s="2"/>
      <c r="ALH82" s="2"/>
      <c r="ALI82" s="2"/>
      <c r="ALJ82" s="2"/>
      <c r="ALK82" s="2"/>
      <c r="ALL82" s="2"/>
      <c r="ALM82" s="2"/>
      <c r="ALN82" s="2"/>
      <c r="ALO82" s="2"/>
      <c r="ALP82" s="2"/>
      <c r="ALQ82" s="2"/>
      <c r="ALR82" s="2"/>
      <c r="ALS82" s="2"/>
      <c r="ALT82" s="2"/>
      <c r="ALU82" s="2"/>
      <c r="ALV82" s="2"/>
      <c r="ALW82" s="2"/>
      <c r="ALX82" s="2"/>
      <c r="ALY82" s="2"/>
      <c r="ALZ82" s="2"/>
      <c r="AMA82" s="2"/>
      <c r="AMB82" s="2"/>
      <c r="AMC82" s="2"/>
      <c r="AMD82" s="2"/>
      <c r="AME82" s="2"/>
    </row>
    <row r="83" spans="1:1019" ht="19.8" customHeight="1" x14ac:dyDescent="0.3">
      <c r="A83" s="36"/>
      <c r="B83" s="37" t="s">
        <v>117</v>
      </c>
      <c r="C83" s="46" t="s">
        <v>62</v>
      </c>
      <c r="D83" s="50">
        <f>(0.9*16*D79*1000*D79*1000*IMPOWER(10,-4)/250)</f>
        <v>14400</v>
      </c>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c r="TA83" s="2"/>
      <c r="TB83" s="2"/>
      <c r="TC83" s="2"/>
      <c r="TD83" s="2"/>
      <c r="TE83" s="2"/>
      <c r="TF83" s="2"/>
      <c r="TG83" s="2"/>
      <c r="TH83" s="2"/>
      <c r="TI83" s="2"/>
      <c r="TJ83" s="2"/>
      <c r="TK83" s="2"/>
      <c r="TL83" s="2"/>
      <c r="TM83" s="2"/>
      <c r="TN83" s="2"/>
      <c r="TO83" s="2"/>
      <c r="TP83" s="2"/>
      <c r="TQ83" s="2"/>
      <c r="TR83" s="2"/>
      <c r="TS83" s="2"/>
      <c r="TT83" s="2"/>
      <c r="TU83" s="2"/>
      <c r="TV83" s="2"/>
      <c r="TW83" s="2"/>
      <c r="TX83" s="2"/>
      <c r="TY83" s="2"/>
      <c r="TZ83" s="2"/>
      <c r="UA83" s="2"/>
      <c r="UB83" s="2"/>
      <c r="UC83" s="2"/>
      <c r="UD83" s="2"/>
      <c r="UE83" s="2"/>
      <c r="UF83" s="2"/>
      <c r="UG83" s="2"/>
      <c r="UH83" s="2"/>
      <c r="UI83" s="2"/>
      <c r="UJ83" s="2"/>
      <c r="UK83" s="2"/>
      <c r="UL83" s="2"/>
      <c r="UM83" s="2"/>
      <c r="UN83" s="2"/>
      <c r="UO83" s="2"/>
      <c r="UP83" s="2"/>
      <c r="UQ83" s="2"/>
      <c r="UR83" s="2"/>
      <c r="US83" s="2"/>
      <c r="UT83" s="2"/>
      <c r="UU83" s="2"/>
      <c r="UV83" s="2"/>
      <c r="UW83" s="2"/>
      <c r="UX83" s="2"/>
      <c r="UY83" s="2"/>
      <c r="UZ83" s="2"/>
      <c r="VA83" s="2"/>
      <c r="VB83" s="2"/>
      <c r="VC83" s="2"/>
      <c r="VD83" s="2"/>
      <c r="VE83" s="2"/>
      <c r="VF83" s="2"/>
      <c r="VG83" s="2"/>
      <c r="VH83" s="2"/>
      <c r="VI83" s="2"/>
      <c r="VJ83" s="2"/>
      <c r="VK83" s="2"/>
      <c r="VL83" s="2"/>
      <c r="VM83" s="2"/>
      <c r="VN83" s="2"/>
      <c r="VO83" s="2"/>
      <c r="VP83" s="2"/>
      <c r="VQ83" s="2"/>
      <c r="VR83" s="2"/>
      <c r="VS83" s="2"/>
      <c r="VT83" s="2"/>
      <c r="VU83" s="2"/>
      <c r="VV83" s="2"/>
      <c r="VW83" s="2"/>
      <c r="VX83" s="2"/>
      <c r="VY83" s="2"/>
      <c r="VZ83" s="2"/>
      <c r="WA83" s="2"/>
      <c r="WB83" s="2"/>
      <c r="WC83" s="2"/>
      <c r="WD83" s="2"/>
      <c r="WE83" s="2"/>
      <c r="WF83" s="2"/>
      <c r="WG83" s="2"/>
      <c r="WH83" s="2"/>
      <c r="WI83" s="2"/>
      <c r="WJ83" s="2"/>
      <c r="WK83" s="2"/>
      <c r="WL83" s="2"/>
      <c r="WM83" s="2"/>
      <c r="WN83" s="2"/>
      <c r="WO83" s="2"/>
      <c r="WP83" s="2"/>
      <c r="WQ83" s="2"/>
      <c r="WR83" s="2"/>
      <c r="WS83" s="2"/>
      <c r="WT83" s="2"/>
      <c r="WU83" s="2"/>
      <c r="WV83" s="2"/>
      <c r="WW83" s="2"/>
      <c r="WX83" s="2"/>
      <c r="WY83" s="2"/>
      <c r="WZ83" s="2"/>
      <c r="XA83" s="2"/>
      <c r="XB83" s="2"/>
      <c r="XC83" s="2"/>
      <c r="XD83" s="2"/>
      <c r="XE83" s="2"/>
      <c r="XF83" s="2"/>
      <c r="XG83" s="2"/>
      <c r="XH83" s="2"/>
      <c r="XI83" s="2"/>
      <c r="XJ83" s="2"/>
      <c r="XK83" s="2"/>
      <c r="XL83" s="2"/>
      <c r="XM83" s="2"/>
      <c r="XN83" s="2"/>
      <c r="XO83" s="2"/>
      <c r="XP83" s="2"/>
      <c r="XQ83" s="2"/>
      <c r="XR83" s="2"/>
      <c r="XS83" s="2"/>
      <c r="XT83" s="2"/>
      <c r="XU83" s="2"/>
      <c r="XV83" s="2"/>
      <c r="XW83" s="2"/>
      <c r="XX83" s="2"/>
      <c r="XY83" s="2"/>
      <c r="XZ83" s="2"/>
      <c r="YA83" s="2"/>
      <c r="YB83" s="2"/>
      <c r="YC83" s="2"/>
      <c r="YD83" s="2"/>
      <c r="YE83" s="2"/>
      <c r="YF83" s="2"/>
      <c r="YG83" s="2"/>
      <c r="YH83" s="2"/>
      <c r="YI83" s="2"/>
      <c r="YJ83" s="2"/>
      <c r="YK83" s="2"/>
      <c r="YL83" s="2"/>
      <c r="YM83" s="2"/>
      <c r="YN83" s="2"/>
      <c r="YO83" s="2"/>
      <c r="YP83" s="2"/>
      <c r="YQ83" s="2"/>
      <c r="YR83" s="2"/>
      <c r="YS83" s="2"/>
      <c r="YT83" s="2"/>
      <c r="YU83" s="2"/>
      <c r="YV83" s="2"/>
      <c r="YW83" s="2"/>
      <c r="YX83" s="2"/>
      <c r="YY83" s="2"/>
      <c r="YZ83" s="2"/>
      <c r="ZA83" s="2"/>
      <c r="ZB83" s="2"/>
      <c r="ZC83" s="2"/>
      <c r="ZD83" s="2"/>
      <c r="ZE83" s="2"/>
      <c r="ZF83" s="2"/>
      <c r="ZG83" s="2"/>
      <c r="ZH83" s="2"/>
      <c r="ZI83" s="2"/>
      <c r="ZJ83" s="2"/>
      <c r="ZK83" s="2"/>
      <c r="ZL83" s="2"/>
      <c r="ZM83" s="2"/>
      <c r="ZN83" s="2"/>
      <c r="ZO83" s="2"/>
      <c r="ZP83" s="2"/>
      <c r="ZQ83" s="2"/>
      <c r="ZR83" s="2"/>
      <c r="ZS83" s="2"/>
      <c r="ZT83" s="2"/>
      <c r="ZU83" s="2"/>
      <c r="ZV83" s="2"/>
      <c r="ZW83" s="2"/>
      <c r="ZX83" s="2"/>
      <c r="ZY83" s="2"/>
      <c r="ZZ83" s="2"/>
      <c r="AAA83" s="2"/>
      <c r="AAB83" s="2"/>
      <c r="AAC83" s="2"/>
      <c r="AAD83" s="2"/>
      <c r="AAE83" s="2"/>
      <c r="AAF83" s="2"/>
      <c r="AAG83" s="2"/>
      <c r="AAH83" s="2"/>
      <c r="AAI83" s="2"/>
      <c r="AAJ83" s="2"/>
      <c r="AAK83" s="2"/>
      <c r="AAL83" s="2"/>
      <c r="AAM83" s="2"/>
      <c r="AAN83" s="2"/>
      <c r="AAO83" s="2"/>
      <c r="AAP83" s="2"/>
      <c r="AAQ83" s="2"/>
      <c r="AAR83" s="2"/>
      <c r="AAS83" s="2"/>
      <c r="AAT83" s="2"/>
      <c r="AAU83" s="2"/>
      <c r="AAV83" s="2"/>
      <c r="AAW83" s="2"/>
      <c r="AAX83" s="2"/>
      <c r="AAY83" s="2"/>
      <c r="AAZ83" s="2"/>
      <c r="ABA83" s="2"/>
      <c r="ABB83" s="2"/>
      <c r="ABC83" s="2"/>
      <c r="ABD83" s="2"/>
      <c r="ABE83" s="2"/>
      <c r="ABF83" s="2"/>
      <c r="ABG83" s="2"/>
      <c r="ABH83" s="2"/>
      <c r="ABI83" s="2"/>
      <c r="ABJ83" s="2"/>
      <c r="ABK83" s="2"/>
      <c r="ABL83" s="2"/>
      <c r="ABM83" s="2"/>
      <c r="ABN83" s="2"/>
      <c r="ABO83" s="2"/>
      <c r="ABP83" s="2"/>
      <c r="ABQ83" s="2"/>
      <c r="ABR83" s="2"/>
      <c r="ABS83" s="2"/>
      <c r="ABT83" s="2"/>
      <c r="ABU83" s="2"/>
      <c r="ABV83" s="2"/>
      <c r="ABW83" s="2"/>
      <c r="ABX83" s="2"/>
      <c r="ABY83" s="2"/>
      <c r="ABZ83" s="2"/>
      <c r="ACA83" s="2"/>
      <c r="ACB83" s="2"/>
      <c r="ACC83" s="2"/>
      <c r="ACD83" s="2"/>
      <c r="ACE83" s="2"/>
      <c r="ACF83" s="2"/>
      <c r="ACG83" s="2"/>
      <c r="ACH83" s="2"/>
      <c r="ACI83" s="2"/>
      <c r="ACJ83" s="2"/>
      <c r="ACK83" s="2"/>
      <c r="ACL83" s="2"/>
      <c r="ACM83" s="2"/>
      <c r="ACN83" s="2"/>
      <c r="ACO83" s="2"/>
      <c r="ACP83" s="2"/>
      <c r="ACQ83" s="2"/>
      <c r="ACR83" s="2"/>
      <c r="ACS83" s="2"/>
      <c r="ACT83" s="2"/>
      <c r="ACU83" s="2"/>
      <c r="ACV83" s="2"/>
      <c r="ACW83" s="2"/>
      <c r="ACX83" s="2"/>
      <c r="ACY83" s="2"/>
      <c r="ACZ83" s="2"/>
      <c r="ADA83" s="2"/>
      <c r="ADB83" s="2"/>
      <c r="ADC83" s="2"/>
      <c r="ADD83" s="2"/>
      <c r="ADE83" s="2"/>
      <c r="ADF83" s="2"/>
      <c r="ADG83" s="2"/>
      <c r="ADH83" s="2"/>
      <c r="ADI83" s="2"/>
      <c r="ADJ83" s="2"/>
      <c r="ADK83" s="2"/>
      <c r="ADL83" s="2"/>
      <c r="ADM83" s="2"/>
      <c r="ADN83" s="2"/>
      <c r="ADO83" s="2"/>
      <c r="ADP83" s="2"/>
      <c r="ADQ83" s="2"/>
      <c r="ADR83" s="2"/>
      <c r="ADS83" s="2"/>
      <c r="ADT83" s="2"/>
      <c r="ADU83" s="2"/>
      <c r="ADV83" s="2"/>
      <c r="ADW83" s="2"/>
      <c r="ADX83" s="2"/>
      <c r="ADY83" s="2"/>
      <c r="ADZ83" s="2"/>
      <c r="AEA83" s="2"/>
      <c r="AEB83" s="2"/>
      <c r="AEC83" s="2"/>
      <c r="AED83" s="2"/>
      <c r="AEE83" s="2"/>
      <c r="AEF83" s="2"/>
      <c r="AEG83" s="2"/>
      <c r="AEH83" s="2"/>
      <c r="AEI83" s="2"/>
      <c r="AEJ83" s="2"/>
      <c r="AEK83" s="2"/>
      <c r="AEL83" s="2"/>
      <c r="AEM83" s="2"/>
      <c r="AEN83" s="2"/>
      <c r="AEO83" s="2"/>
      <c r="AEP83" s="2"/>
      <c r="AEQ83" s="2"/>
      <c r="AER83" s="2"/>
      <c r="AES83" s="2"/>
      <c r="AET83" s="2"/>
      <c r="AEU83" s="2"/>
      <c r="AEV83" s="2"/>
      <c r="AEW83" s="2"/>
      <c r="AEX83" s="2"/>
      <c r="AEY83" s="2"/>
      <c r="AEZ83" s="2"/>
      <c r="AFA83" s="2"/>
      <c r="AFB83" s="2"/>
      <c r="AFC83" s="2"/>
      <c r="AFD83" s="2"/>
      <c r="AFE83" s="2"/>
      <c r="AFF83" s="2"/>
      <c r="AFG83" s="2"/>
      <c r="AFH83" s="2"/>
      <c r="AFI83" s="2"/>
      <c r="AFJ83" s="2"/>
      <c r="AFK83" s="2"/>
      <c r="AFL83" s="2"/>
      <c r="AFM83" s="2"/>
      <c r="AFN83" s="2"/>
      <c r="AFO83" s="2"/>
      <c r="AFP83" s="2"/>
      <c r="AFQ83" s="2"/>
      <c r="AFR83" s="2"/>
      <c r="AFS83" s="2"/>
      <c r="AFT83" s="2"/>
      <c r="AFU83" s="2"/>
      <c r="AFV83" s="2"/>
      <c r="AFW83" s="2"/>
      <c r="AFX83" s="2"/>
      <c r="AFY83" s="2"/>
      <c r="AFZ83" s="2"/>
      <c r="AGA83" s="2"/>
      <c r="AGB83" s="2"/>
      <c r="AGC83" s="2"/>
      <c r="AGD83" s="2"/>
      <c r="AGE83" s="2"/>
      <c r="AGF83" s="2"/>
      <c r="AGG83" s="2"/>
      <c r="AGH83" s="2"/>
      <c r="AGI83" s="2"/>
      <c r="AGJ83" s="2"/>
      <c r="AGK83" s="2"/>
      <c r="AGL83" s="2"/>
      <c r="AGM83" s="2"/>
      <c r="AGN83" s="2"/>
      <c r="AGO83" s="2"/>
      <c r="AGP83" s="2"/>
      <c r="AGQ83" s="2"/>
      <c r="AGR83" s="2"/>
      <c r="AGS83" s="2"/>
      <c r="AGT83" s="2"/>
      <c r="AGU83" s="2"/>
      <c r="AGV83" s="2"/>
      <c r="AGW83" s="2"/>
      <c r="AGX83" s="2"/>
      <c r="AGY83" s="2"/>
      <c r="AGZ83" s="2"/>
      <c r="AHA83" s="2"/>
      <c r="AHB83" s="2"/>
      <c r="AHC83" s="2"/>
      <c r="AHD83" s="2"/>
      <c r="AHE83" s="2"/>
      <c r="AHF83" s="2"/>
      <c r="AHG83" s="2"/>
      <c r="AHH83" s="2"/>
      <c r="AHI83" s="2"/>
      <c r="AHJ83" s="2"/>
      <c r="AHK83" s="2"/>
      <c r="AHL83" s="2"/>
      <c r="AHM83" s="2"/>
      <c r="AHN83" s="2"/>
      <c r="AHO83" s="2"/>
      <c r="AHP83" s="2"/>
      <c r="AHQ83" s="2"/>
      <c r="AHR83" s="2"/>
      <c r="AHS83" s="2"/>
      <c r="AHT83" s="2"/>
      <c r="AHU83" s="2"/>
      <c r="AHV83" s="2"/>
      <c r="AHW83" s="2"/>
      <c r="AHX83" s="2"/>
      <c r="AHY83" s="2"/>
      <c r="AHZ83" s="2"/>
      <c r="AIA83" s="2"/>
      <c r="AIB83" s="2"/>
      <c r="AIC83" s="2"/>
      <c r="AID83" s="2"/>
      <c r="AIE83" s="2"/>
      <c r="AIF83" s="2"/>
      <c r="AIG83" s="2"/>
      <c r="AIH83" s="2"/>
      <c r="AII83" s="2"/>
      <c r="AIJ83" s="2"/>
      <c r="AIK83" s="2"/>
      <c r="AIL83" s="2"/>
      <c r="AIM83" s="2"/>
      <c r="AIN83" s="2"/>
      <c r="AIO83" s="2"/>
      <c r="AIP83" s="2"/>
      <c r="AIQ83" s="2"/>
      <c r="AIR83" s="2"/>
      <c r="AIS83" s="2"/>
      <c r="AIT83" s="2"/>
      <c r="AIU83" s="2"/>
      <c r="AIV83" s="2"/>
      <c r="AIW83" s="2"/>
      <c r="AIX83" s="2"/>
      <c r="AIY83" s="2"/>
      <c r="AIZ83" s="2"/>
      <c r="AJA83" s="2"/>
      <c r="AJB83" s="2"/>
      <c r="AJC83" s="2"/>
      <c r="AJD83" s="2"/>
      <c r="AJE83" s="2"/>
      <c r="AJF83" s="2"/>
      <c r="AJG83" s="2"/>
      <c r="AJH83" s="2"/>
      <c r="AJI83" s="2"/>
      <c r="AJJ83" s="2"/>
      <c r="AJK83" s="2"/>
      <c r="AJL83" s="2"/>
      <c r="AJM83" s="2"/>
      <c r="AJN83" s="2"/>
      <c r="AJO83" s="2"/>
      <c r="AJP83" s="2"/>
      <c r="AJQ83" s="2"/>
      <c r="AJR83" s="2"/>
      <c r="AJS83" s="2"/>
      <c r="AJT83" s="2"/>
      <c r="AJU83" s="2"/>
      <c r="AJV83" s="2"/>
      <c r="AJW83" s="2"/>
      <c r="AJX83" s="2"/>
      <c r="AJY83" s="2"/>
      <c r="AJZ83" s="2"/>
      <c r="AKA83" s="2"/>
      <c r="AKB83" s="2"/>
      <c r="AKC83" s="2"/>
      <c r="AKD83" s="2"/>
      <c r="AKE83" s="2"/>
      <c r="AKF83" s="2"/>
      <c r="AKG83" s="2"/>
      <c r="AKH83" s="2"/>
      <c r="AKI83" s="2"/>
      <c r="AKJ83" s="2"/>
      <c r="AKK83" s="2"/>
      <c r="AKL83" s="2"/>
      <c r="AKM83" s="2"/>
      <c r="AKN83" s="2"/>
      <c r="AKO83" s="2"/>
      <c r="AKP83" s="2"/>
      <c r="AKQ83" s="2"/>
      <c r="AKR83" s="2"/>
      <c r="AKS83" s="2"/>
      <c r="AKT83" s="2"/>
      <c r="AKU83" s="2"/>
      <c r="AKV83" s="2"/>
      <c r="AKW83" s="2"/>
      <c r="AKX83" s="2"/>
      <c r="AKY83" s="2"/>
      <c r="AKZ83" s="2"/>
      <c r="ALA83" s="2"/>
      <c r="ALB83" s="2"/>
      <c r="ALC83" s="2"/>
      <c r="ALD83" s="2"/>
      <c r="ALE83" s="2"/>
      <c r="ALF83" s="2"/>
      <c r="ALG83" s="2"/>
      <c r="ALH83" s="2"/>
      <c r="ALI83" s="2"/>
      <c r="ALJ83" s="2"/>
      <c r="ALK83" s="2"/>
      <c r="ALL83" s="2"/>
      <c r="ALM83" s="2"/>
      <c r="ALN83" s="2"/>
      <c r="ALO83" s="2"/>
      <c r="ALP83" s="2"/>
      <c r="ALQ83" s="2"/>
      <c r="ALR83" s="2"/>
      <c r="ALS83" s="2"/>
      <c r="ALT83" s="2"/>
      <c r="ALU83" s="2"/>
      <c r="ALV83" s="2"/>
      <c r="ALW83" s="2"/>
      <c r="ALX83" s="2"/>
      <c r="ALY83" s="2"/>
      <c r="ALZ83" s="2"/>
      <c r="AMA83" s="2"/>
      <c r="AMB83" s="2"/>
      <c r="AMC83" s="2"/>
      <c r="AMD83" s="2"/>
      <c r="AME83" s="2"/>
    </row>
    <row r="84" spans="1:1019" ht="42.15" customHeight="1" x14ac:dyDescent="0.3">
      <c r="A84" s="36"/>
      <c r="B84" s="37" t="s">
        <v>118</v>
      </c>
      <c r="C84" s="46" t="s">
        <v>62</v>
      </c>
      <c r="D84" s="50">
        <f>D83*0.1019716</f>
        <v>1468.39104</v>
      </c>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c r="TA84" s="2"/>
      <c r="TB84" s="2"/>
      <c r="TC84" s="2"/>
      <c r="TD84" s="2"/>
      <c r="TE84" s="2"/>
      <c r="TF84" s="2"/>
      <c r="TG84" s="2"/>
      <c r="TH84" s="2"/>
      <c r="TI84" s="2"/>
      <c r="TJ84" s="2"/>
      <c r="TK84" s="2"/>
      <c r="TL84" s="2"/>
      <c r="TM84" s="2"/>
      <c r="TN84" s="2"/>
      <c r="TO84" s="2"/>
      <c r="TP84" s="2"/>
      <c r="TQ84" s="2"/>
      <c r="TR84" s="2"/>
      <c r="TS84" s="2"/>
      <c r="TT84" s="2"/>
      <c r="TU84" s="2"/>
      <c r="TV84" s="2"/>
      <c r="TW84" s="2"/>
      <c r="TX84" s="2"/>
      <c r="TY84" s="2"/>
      <c r="TZ84" s="2"/>
      <c r="UA84" s="2"/>
      <c r="UB84" s="2"/>
      <c r="UC84" s="2"/>
      <c r="UD84" s="2"/>
      <c r="UE84" s="2"/>
      <c r="UF84" s="2"/>
      <c r="UG84" s="2"/>
      <c r="UH84" s="2"/>
      <c r="UI84" s="2"/>
      <c r="UJ84" s="2"/>
      <c r="UK84" s="2"/>
      <c r="UL84" s="2"/>
      <c r="UM84" s="2"/>
      <c r="UN84" s="2"/>
      <c r="UO84" s="2"/>
      <c r="UP84" s="2"/>
      <c r="UQ84" s="2"/>
      <c r="UR84" s="2"/>
      <c r="US84" s="2"/>
      <c r="UT84" s="2"/>
      <c r="UU84" s="2"/>
      <c r="UV84" s="2"/>
      <c r="UW84" s="2"/>
      <c r="UX84" s="2"/>
      <c r="UY84" s="2"/>
      <c r="UZ84" s="2"/>
      <c r="VA84" s="2"/>
      <c r="VB84" s="2"/>
      <c r="VC84" s="2"/>
      <c r="VD84" s="2"/>
      <c r="VE84" s="2"/>
      <c r="VF84" s="2"/>
      <c r="VG84" s="2"/>
      <c r="VH84" s="2"/>
      <c r="VI84" s="2"/>
      <c r="VJ84" s="2"/>
      <c r="VK84" s="2"/>
      <c r="VL84" s="2"/>
      <c r="VM84" s="2"/>
      <c r="VN84" s="2"/>
      <c r="VO84" s="2"/>
      <c r="VP84" s="2"/>
      <c r="VQ84" s="2"/>
      <c r="VR84" s="2"/>
      <c r="VS84" s="2"/>
      <c r="VT84" s="2"/>
      <c r="VU84" s="2"/>
      <c r="VV84" s="2"/>
      <c r="VW84" s="2"/>
      <c r="VX84" s="2"/>
      <c r="VY84" s="2"/>
      <c r="VZ84" s="2"/>
      <c r="WA84" s="2"/>
      <c r="WB84" s="2"/>
      <c r="WC84" s="2"/>
      <c r="WD84" s="2"/>
      <c r="WE84" s="2"/>
      <c r="WF84" s="2"/>
      <c r="WG84" s="2"/>
      <c r="WH84" s="2"/>
      <c r="WI84" s="2"/>
      <c r="WJ84" s="2"/>
      <c r="WK84" s="2"/>
      <c r="WL84" s="2"/>
      <c r="WM84" s="2"/>
      <c r="WN84" s="2"/>
      <c r="WO84" s="2"/>
      <c r="WP84" s="2"/>
      <c r="WQ84" s="2"/>
      <c r="WR84" s="2"/>
      <c r="WS84" s="2"/>
      <c r="WT84" s="2"/>
      <c r="WU84" s="2"/>
      <c r="WV84" s="2"/>
      <c r="WW84" s="2"/>
      <c r="WX84" s="2"/>
      <c r="WY84" s="2"/>
      <c r="WZ84" s="2"/>
      <c r="XA84" s="2"/>
      <c r="XB84" s="2"/>
      <c r="XC84" s="2"/>
      <c r="XD84" s="2"/>
      <c r="XE84" s="2"/>
      <c r="XF84" s="2"/>
      <c r="XG84" s="2"/>
      <c r="XH84" s="2"/>
      <c r="XI84" s="2"/>
      <c r="XJ84" s="2"/>
      <c r="XK84" s="2"/>
      <c r="XL84" s="2"/>
      <c r="XM84" s="2"/>
      <c r="XN84" s="2"/>
      <c r="XO84" s="2"/>
      <c r="XP84" s="2"/>
      <c r="XQ84" s="2"/>
      <c r="XR84" s="2"/>
      <c r="XS84" s="2"/>
      <c r="XT84" s="2"/>
      <c r="XU84" s="2"/>
      <c r="XV84" s="2"/>
      <c r="XW84" s="2"/>
      <c r="XX84" s="2"/>
      <c r="XY84" s="2"/>
      <c r="XZ84" s="2"/>
      <c r="YA84" s="2"/>
      <c r="YB84" s="2"/>
      <c r="YC84" s="2"/>
      <c r="YD84" s="2"/>
      <c r="YE84" s="2"/>
      <c r="YF84" s="2"/>
      <c r="YG84" s="2"/>
      <c r="YH84" s="2"/>
      <c r="YI84" s="2"/>
      <c r="YJ84" s="2"/>
      <c r="YK84" s="2"/>
      <c r="YL84" s="2"/>
      <c r="YM84" s="2"/>
      <c r="YN84" s="2"/>
      <c r="YO84" s="2"/>
      <c r="YP84" s="2"/>
      <c r="YQ84" s="2"/>
      <c r="YR84" s="2"/>
      <c r="YS84" s="2"/>
      <c r="YT84" s="2"/>
      <c r="YU84" s="2"/>
      <c r="YV84" s="2"/>
      <c r="YW84" s="2"/>
      <c r="YX84" s="2"/>
      <c r="YY84" s="2"/>
      <c r="YZ84" s="2"/>
      <c r="ZA84" s="2"/>
      <c r="ZB84" s="2"/>
      <c r="ZC84" s="2"/>
      <c r="ZD84" s="2"/>
      <c r="ZE84" s="2"/>
      <c r="ZF84" s="2"/>
      <c r="ZG84" s="2"/>
      <c r="ZH84" s="2"/>
      <c r="ZI84" s="2"/>
      <c r="ZJ84" s="2"/>
      <c r="ZK84" s="2"/>
      <c r="ZL84" s="2"/>
      <c r="ZM84" s="2"/>
      <c r="ZN84" s="2"/>
      <c r="ZO84" s="2"/>
      <c r="ZP84" s="2"/>
      <c r="ZQ84" s="2"/>
      <c r="ZR84" s="2"/>
      <c r="ZS84" s="2"/>
      <c r="ZT84" s="2"/>
      <c r="ZU84" s="2"/>
      <c r="ZV84" s="2"/>
      <c r="ZW84" s="2"/>
      <c r="ZX84" s="2"/>
      <c r="ZY84" s="2"/>
      <c r="ZZ84" s="2"/>
      <c r="AAA84" s="2"/>
      <c r="AAB84" s="2"/>
      <c r="AAC84" s="2"/>
      <c r="AAD84" s="2"/>
      <c r="AAE84" s="2"/>
      <c r="AAF84" s="2"/>
      <c r="AAG84" s="2"/>
      <c r="AAH84" s="2"/>
      <c r="AAI84" s="2"/>
      <c r="AAJ84" s="2"/>
      <c r="AAK84" s="2"/>
      <c r="AAL84" s="2"/>
      <c r="AAM84" s="2"/>
      <c r="AAN84" s="2"/>
      <c r="AAO84" s="2"/>
      <c r="AAP84" s="2"/>
      <c r="AAQ84" s="2"/>
      <c r="AAR84" s="2"/>
      <c r="AAS84" s="2"/>
      <c r="AAT84" s="2"/>
      <c r="AAU84" s="2"/>
      <c r="AAV84" s="2"/>
      <c r="AAW84" s="2"/>
      <c r="AAX84" s="2"/>
      <c r="AAY84" s="2"/>
      <c r="AAZ84" s="2"/>
      <c r="ABA84" s="2"/>
      <c r="ABB84" s="2"/>
      <c r="ABC84" s="2"/>
      <c r="ABD84" s="2"/>
      <c r="ABE84" s="2"/>
      <c r="ABF84" s="2"/>
      <c r="ABG84" s="2"/>
      <c r="ABH84" s="2"/>
      <c r="ABI84" s="2"/>
      <c r="ABJ84" s="2"/>
      <c r="ABK84" s="2"/>
      <c r="ABL84" s="2"/>
      <c r="ABM84" s="2"/>
      <c r="ABN84" s="2"/>
      <c r="ABO84" s="2"/>
      <c r="ABP84" s="2"/>
      <c r="ABQ84" s="2"/>
      <c r="ABR84" s="2"/>
      <c r="ABS84" s="2"/>
      <c r="ABT84" s="2"/>
      <c r="ABU84" s="2"/>
      <c r="ABV84" s="2"/>
      <c r="ABW84" s="2"/>
      <c r="ABX84" s="2"/>
      <c r="ABY84" s="2"/>
      <c r="ABZ84" s="2"/>
      <c r="ACA84" s="2"/>
      <c r="ACB84" s="2"/>
      <c r="ACC84" s="2"/>
      <c r="ACD84" s="2"/>
      <c r="ACE84" s="2"/>
      <c r="ACF84" s="2"/>
      <c r="ACG84" s="2"/>
      <c r="ACH84" s="2"/>
      <c r="ACI84" s="2"/>
      <c r="ACJ84" s="2"/>
      <c r="ACK84" s="2"/>
      <c r="ACL84" s="2"/>
      <c r="ACM84" s="2"/>
      <c r="ACN84" s="2"/>
      <c r="ACO84" s="2"/>
      <c r="ACP84" s="2"/>
      <c r="ACQ84" s="2"/>
      <c r="ACR84" s="2"/>
      <c r="ACS84" s="2"/>
      <c r="ACT84" s="2"/>
      <c r="ACU84" s="2"/>
      <c r="ACV84" s="2"/>
      <c r="ACW84" s="2"/>
      <c r="ACX84" s="2"/>
      <c r="ACY84" s="2"/>
      <c r="ACZ84" s="2"/>
      <c r="ADA84" s="2"/>
      <c r="ADB84" s="2"/>
      <c r="ADC84" s="2"/>
      <c r="ADD84" s="2"/>
      <c r="ADE84" s="2"/>
      <c r="ADF84" s="2"/>
      <c r="ADG84" s="2"/>
      <c r="ADH84" s="2"/>
      <c r="ADI84" s="2"/>
      <c r="ADJ84" s="2"/>
      <c r="ADK84" s="2"/>
      <c r="ADL84" s="2"/>
      <c r="ADM84" s="2"/>
      <c r="ADN84" s="2"/>
      <c r="ADO84" s="2"/>
      <c r="ADP84" s="2"/>
      <c r="ADQ84" s="2"/>
      <c r="ADR84" s="2"/>
      <c r="ADS84" s="2"/>
      <c r="ADT84" s="2"/>
      <c r="ADU84" s="2"/>
      <c r="ADV84" s="2"/>
      <c r="ADW84" s="2"/>
      <c r="ADX84" s="2"/>
      <c r="ADY84" s="2"/>
      <c r="ADZ84" s="2"/>
      <c r="AEA84" s="2"/>
      <c r="AEB84" s="2"/>
      <c r="AEC84" s="2"/>
      <c r="AED84" s="2"/>
      <c r="AEE84" s="2"/>
      <c r="AEF84" s="2"/>
      <c r="AEG84" s="2"/>
      <c r="AEH84" s="2"/>
      <c r="AEI84" s="2"/>
      <c r="AEJ84" s="2"/>
      <c r="AEK84" s="2"/>
      <c r="AEL84" s="2"/>
      <c r="AEM84" s="2"/>
      <c r="AEN84" s="2"/>
      <c r="AEO84" s="2"/>
      <c r="AEP84" s="2"/>
      <c r="AEQ84" s="2"/>
      <c r="AER84" s="2"/>
      <c r="AES84" s="2"/>
      <c r="AET84" s="2"/>
      <c r="AEU84" s="2"/>
      <c r="AEV84" s="2"/>
      <c r="AEW84" s="2"/>
      <c r="AEX84" s="2"/>
      <c r="AEY84" s="2"/>
      <c r="AEZ84" s="2"/>
      <c r="AFA84" s="2"/>
      <c r="AFB84" s="2"/>
      <c r="AFC84" s="2"/>
      <c r="AFD84" s="2"/>
      <c r="AFE84" s="2"/>
      <c r="AFF84" s="2"/>
      <c r="AFG84" s="2"/>
      <c r="AFH84" s="2"/>
      <c r="AFI84" s="2"/>
      <c r="AFJ84" s="2"/>
      <c r="AFK84" s="2"/>
      <c r="AFL84" s="2"/>
      <c r="AFM84" s="2"/>
      <c r="AFN84" s="2"/>
      <c r="AFO84" s="2"/>
      <c r="AFP84" s="2"/>
      <c r="AFQ84" s="2"/>
      <c r="AFR84" s="2"/>
      <c r="AFS84" s="2"/>
      <c r="AFT84" s="2"/>
      <c r="AFU84" s="2"/>
      <c r="AFV84" s="2"/>
      <c r="AFW84" s="2"/>
      <c r="AFX84" s="2"/>
      <c r="AFY84" s="2"/>
      <c r="AFZ84" s="2"/>
      <c r="AGA84" s="2"/>
      <c r="AGB84" s="2"/>
      <c r="AGC84" s="2"/>
      <c r="AGD84" s="2"/>
      <c r="AGE84" s="2"/>
      <c r="AGF84" s="2"/>
      <c r="AGG84" s="2"/>
      <c r="AGH84" s="2"/>
      <c r="AGI84" s="2"/>
      <c r="AGJ84" s="2"/>
      <c r="AGK84" s="2"/>
      <c r="AGL84" s="2"/>
      <c r="AGM84" s="2"/>
      <c r="AGN84" s="2"/>
      <c r="AGO84" s="2"/>
      <c r="AGP84" s="2"/>
      <c r="AGQ84" s="2"/>
      <c r="AGR84" s="2"/>
      <c r="AGS84" s="2"/>
      <c r="AGT84" s="2"/>
      <c r="AGU84" s="2"/>
      <c r="AGV84" s="2"/>
      <c r="AGW84" s="2"/>
      <c r="AGX84" s="2"/>
      <c r="AGY84" s="2"/>
      <c r="AGZ84" s="2"/>
      <c r="AHA84" s="2"/>
      <c r="AHB84" s="2"/>
      <c r="AHC84" s="2"/>
      <c r="AHD84" s="2"/>
      <c r="AHE84" s="2"/>
      <c r="AHF84" s="2"/>
      <c r="AHG84" s="2"/>
      <c r="AHH84" s="2"/>
      <c r="AHI84" s="2"/>
      <c r="AHJ84" s="2"/>
      <c r="AHK84" s="2"/>
      <c r="AHL84" s="2"/>
      <c r="AHM84" s="2"/>
      <c r="AHN84" s="2"/>
      <c r="AHO84" s="2"/>
      <c r="AHP84" s="2"/>
      <c r="AHQ84" s="2"/>
      <c r="AHR84" s="2"/>
      <c r="AHS84" s="2"/>
      <c r="AHT84" s="2"/>
      <c r="AHU84" s="2"/>
      <c r="AHV84" s="2"/>
      <c r="AHW84" s="2"/>
      <c r="AHX84" s="2"/>
      <c r="AHY84" s="2"/>
      <c r="AHZ84" s="2"/>
      <c r="AIA84" s="2"/>
      <c r="AIB84" s="2"/>
      <c r="AIC84" s="2"/>
      <c r="AID84" s="2"/>
      <c r="AIE84" s="2"/>
      <c r="AIF84" s="2"/>
      <c r="AIG84" s="2"/>
      <c r="AIH84" s="2"/>
      <c r="AII84" s="2"/>
      <c r="AIJ84" s="2"/>
      <c r="AIK84" s="2"/>
      <c r="AIL84" s="2"/>
      <c r="AIM84" s="2"/>
      <c r="AIN84" s="2"/>
      <c r="AIO84" s="2"/>
      <c r="AIP84" s="2"/>
      <c r="AIQ84" s="2"/>
      <c r="AIR84" s="2"/>
      <c r="AIS84" s="2"/>
      <c r="AIT84" s="2"/>
      <c r="AIU84" s="2"/>
      <c r="AIV84" s="2"/>
      <c r="AIW84" s="2"/>
      <c r="AIX84" s="2"/>
      <c r="AIY84" s="2"/>
      <c r="AIZ84" s="2"/>
      <c r="AJA84" s="2"/>
      <c r="AJB84" s="2"/>
      <c r="AJC84" s="2"/>
      <c r="AJD84" s="2"/>
      <c r="AJE84" s="2"/>
      <c r="AJF84" s="2"/>
      <c r="AJG84" s="2"/>
      <c r="AJH84" s="2"/>
      <c r="AJI84" s="2"/>
      <c r="AJJ84" s="2"/>
      <c r="AJK84" s="2"/>
      <c r="AJL84" s="2"/>
      <c r="AJM84" s="2"/>
      <c r="AJN84" s="2"/>
      <c r="AJO84" s="2"/>
      <c r="AJP84" s="2"/>
      <c r="AJQ84" s="2"/>
      <c r="AJR84" s="2"/>
      <c r="AJS84" s="2"/>
      <c r="AJT84" s="2"/>
      <c r="AJU84" s="2"/>
      <c r="AJV84" s="2"/>
      <c r="AJW84" s="2"/>
      <c r="AJX84" s="2"/>
      <c r="AJY84" s="2"/>
      <c r="AJZ84" s="2"/>
      <c r="AKA84" s="2"/>
      <c r="AKB84" s="2"/>
      <c r="AKC84" s="2"/>
      <c r="AKD84" s="2"/>
      <c r="AKE84" s="2"/>
      <c r="AKF84" s="2"/>
      <c r="AKG84" s="2"/>
      <c r="AKH84" s="2"/>
      <c r="AKI84" s="2"/>
      <c r="AKJ84" s="2"/>
      <c r="AKK84" s="2"/>
      <c r="AKL84" s="2"/>
      <c r="AKM84" s="2"/>
      <c r="AKN84" s="2"/>
      <c r="AKO84" s="2"/>
      <c r="AKP84" s="2"/>
      <c r="AKQ84" s="2"/>
      <c r="AKR84" s="2"/>
      <c r="AKS84" s="2"/>
      <c r="AKT84" s="2"/>
      <c r="AKU84" s="2"/>
      <c r="AKV84" s="2"/>
      <c r="AKW84" s="2"/>
      <c r="AKX84" s="2"/>
      <c r="AKY84" s="2"/>
      <c r="AKZ84" s="2"/>
      <c r="ALA84" s="2"/>
      <c r="ALB84" s="2"/>
      <c r="ALC84" s="2"/>
      <c r="ALD84" s="2"/>
      <c r="ALE84" s="2"/>
      <c r="ALF84" s="2"/>
      <c r="ALG84" s="2"/>
      <c r="ALH84" s="2"/>
      <c r="ALI84" s="2"/>
      <c r="ALJ84" s="2"/>
      <c r="ALK84" s="2"/>
      <c r="ALL84" s="2"/>
      <c r="ALM84" s="2"/>
      <c r="ALN84" s="2"/>
      <c r="ALO84" s="2"/>
      <c r="ALP84" s="2"/>
      <c r="ALQ84" s="2"/>
      <c r="ALR84" s="2"/>
      <c r="ALS84" s="2"/>
      <c r="ALT84" s="2"/>
      <c r="ALU84" s="2"/>
      <c r="ALV84" s="2"/>
      <c r="ALW84" s="2"/>
      <c r="ALX84" s="2"/>
      <c r="ALY84" s="2"/>
      <c r="ALZ84" s="2"/>
      <c r="AMA84" s="2"/>
      <c r="AMB84" s="2"/>
      <c r="AMC84" s="2"/>
      <c r="AMD84" s="2"/>
      <c r="AME84" s="2"/>
    </row>
    <row r="85" spans="1:1019" ht="15" customHeight="1" x14ac:dyDescent="0.3">
      <c r="A85" s="36">
        <v>4.12</v>
      </c>
      <c r="B85" s="43" t="s">
        <v>119</v>
      </c>
      <c r="C85" s="45" t="s">
        <v>62</v>
      </c>
      <c r="D85" s="37" t="s">
        <v>120</v>
      </c>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c r="TA85" s="2"/>
      <c r="TB85" s="2"/>
      <c r="TC85" s="2"/>
      <c r="TD85" s="2"/>
      <c r="TE85" s="2"/>
      <c r="TF85" s="2"/>
      <c r="TG85" s="2"/>
      <c r="TH85" s="2"/>
      <c r="TI85" s="2"/>
      <c r="TJ85" s="2"/>
      <c r="TK85" s="2"/>
      <c r="TL85" s="2"/>
      <c r="TM85" s="2"/>
      <c r="TN85" s="2"/>
      <c r="TO85" s="2"/>
      <c r="TP85" s="2"/>
      <c r="TQ85" s="2"/>
      <c r="TR85" s="2"/>
      <c r="TS85" s="2"/>
      <c r="TT85" s="2"/>
      <c r="TU85" s="2"/>
      <c r="TV85" s="2"/>
      <c r="TW85" s="2"/>
      <c r="TX85" s="2"/>
      <c r="TY85" s="2"/>
      <c r="TZ85" s="2"/>
      <c r="UA85" s="2"/>
      <c r="UB85" s="2"/>
      <c r="UC85" s="2"/>
      <c r="UD85" s="2"/>
      <c r="UE85" s="2"/>
      <c r="UF85" s="2"/>
      <c r="UG85" s="2"/>
      <c r="UH85" s="2"/>
      <c r="UI85" s="2"/>
      <c r="UJ85" s="2"/>
      <c r="UK85" s="2"/>
      <c r="UL85" s="2"/>
      <c r="UM85" s="2"/>
      <c r="UN85" s="2"/>
      <c r="UO85" s="2"/>
      <c r="UP85" s="2"/>
      <c r="UQ85" s="2"/>
      <c r="UR85" s="2"/>
      <c r="US85" s="2"/>
      <c r="UT85" s="2"/>
      <c r="UU85" s="2"/>
      <c r="UV85" s="2"/>
      <c r="UW85" s="2"/>
      <c r="UX85" s="2"/>
      <c r="UY85" s="2"/>
      <c r="UZ85" s="2"/>
      <c r="VA85" s="2"/>
      <c r="VB85" s="2"/>
      <c r="VC85" s="2"/>
      <c r="VD85" s="2"/>
      <c r="VE85" s="2"/>
      <c r="VF85" s="2"/>
      <c r="VG85" s="2"/>
      <c r="VH85" s="2"/>
      <c r="VI85" s="2"/>
      <c r="VJ85" s="2"/>
      <c r="VK85" s="2"/>
      <c r="VL85" s="2"/>
      <c r="VM85" s="2"/>
      <c r="VN85" s="2"/>
      <c r="VO85" s="2"/>
      <c r="VP85" s="2"/>
      <c r="VQ85" s="2"/>
      <c r="VR85" s="2"/>
      <c r="VS85" s="2"/>
      <c r="VT85" s="2"/>
      <c r="VU85" s="2"/>
      <c r="VV85" s="2"/>
      <c r="VW85" s="2"/>
      <c r="VX85" s="2"/>
      <c r="VY85" s="2"/>
      <c r="VZ85" s="2"/>
      <c r="WA85" s="2"/>
      <c r="WB85" s="2"/>
      <c r="WC85" s="2"/>
      <c r="WD85" s="2"/>
      <c r="WE85" s="2"/>
      <c r="WF85" s="2"/>
      <c r="WG85" s="2"/>
      <c r="WH85" s="2"/>
      <c r="WI85" s="2"/>
      <c r="WJ85" s="2"/>
      <c r="WK85" s="2"/>
      <c r="WL85" s="2"/>
      <c r="WM85" s="2"/>
      <c r="WN85" s="2"/>
      <c r="WO85" s="2"/>
      <c r="WP85" s="2"/>
      <c r="WQ85" s="2"/>
      <c r="WR85" s="2"/>
      <c r="WS85" s="2"/>
      <c r="WT85" s="2"/>
      <c r="WU85" s="2"/>
      <c r="WV85" s="2"/>
      <c r="WW85" s="2"/>
      <c r="WX85" s="2"/>
      <c r="WY85" s="2"/>
      <c r="WZ85" s="2"/>
      <c r="XA85" s="2"/>
      <c r="XB85" s="2"/>
      <c r="XC85" s="2"/>
      <c r="XD85" s="2"/>
      <c r="XE85" s="2"/>
      <c r="XF85" s="2"/>
      <c r="XG85" s="2"/>
      <c r="XH85" s="2"/>
      <c r="XI85" s="2"/>
      <c r="XJ85" s="2"/>
      <c r="XK85" s="2"/>
      <c r="XL85" s="2"/>
      <c r="XM85" s="2"/>
      <c r="XN85" s="2"/>
      <c r="XO85" s="2"/>
      <c r="XP85" s="2"/>
      <c r="XQ85" s="2"/>
      <c r="XR85" s="2"/>
      <c r="XS85" s="2"/>
      <c r="XT85" s="2"/>
      <c r="XU85" s="2"/>
      <c r="XV85" s="2"/>
      <c r="XW85" s="2"/>
      <c r="XX85" s="2"/>
      <c r="XY85" s="2"/>
      <c r="XZ85" s="2"/>
      <c r="YA85" s="2"/>
      <c r="YB85" s="2"/>
      <c r="YC85" s="2"/>
      <c r="YD85" s="2"/>
      <c r="YE85" s="2"/>
      <c r="YF85" s="2"/>
      <c r="YG85" s="2"/>
      <c r="YH85" s="2"/>
      <c r="YI85" s="2"/>
      <c r="YJ85" s="2"/>
      <c r="YK85" s="2"/>
      <c r="YL85" s="2"/>
      <c r="YM85" s="2"/>
      <c r="YN85" s="2"/>
      <c r="YO85" s="2"/>
      <c r="YP85" s="2"/>
      <c r="YQ85" s="2"/>
      <c r="YR85" s="2"/>
      <c r="YS85" s="2"/>
      <c r="YT85" s="2"/>
      <c r="YU85" s="2"/>
      <c r="YV85" s="2"/>
      <c r="YW85" s="2"/>
      <c r="YX85" s="2"/>
      <c r="YY85" s="2"/>
      <c r="YZ85" s="2"/>
      <c r="ZA85" s="2"/>
      <c r="ZB85" s="2"/>
      <c r="ZC85" s="2"/>
      <c r="ZD85" s="2"/>
      <c r="ZE85" s="2"/>
      <c r="ZF85" s="2"/>
      <c r="ZG85" s="2"/>
      <c r="ZH85" s="2"/>
      <c r="ZI85" s="2"/>
      <c r="ZJ85" s="2"/>
      <c r="ZK85" s="2"/>
      <c r="ZL85" s="2"/>
      <c r="ZM85" s="2"/>
      <c r="ZN85" s="2"/>
      <c r="ZO85" s="2"/>
      <c r="ZP85" s="2"/>
      <c r="ZQ85" s="2"/>
      <c r="ZR85" s="2"/>
      <c r="ZS85" s="2"/>
      <c r="ZT85" s="2"/>
      <c r="ZU85" s="2"/>
      <c r="ZV85" s="2"/>
      <c r="ZW85" s="2"/>
      <c r="ZX85" s="2"/>
      <c r="ZY85" s="2"/>
      <c r="ZZ85" s="2"/>
      <c r="AAA85" s="2"/>
      <c r="AAB85" s="2"/>
      <c r="AAC85" s="2"/>
      <c r="AAD85" s="2"/>
      <c r="AAE85" s="2"/>
      <c r="AAF85" s="2"/>
      <c r="AAG85" s="2"/>
      <c r="AAH85" s="2"/>
      <c r="AAI85" s="2"/>
      <c r="AAJ85" s="2"/>
      <c r="AAK85" s="2"/>
      <c r="AAL85" s="2"/>
      <c r="AAM85" s="2"/>
      <c r="AAN85" s="2"/>
      <c r="AAO85" s="2"/>
      <c r="AAP85" s="2"/>
      <c r="AAQ85" s="2"/>
      <c r="AAR85" s="2"/>
      <c r="AAS85" s="2"/>
      <c r="AAT85" s="2"/>
      <c r="AAU85" s="2"/>
      <c r="AAV85" s="2"/>
      <c r="AAW85" s="2"/>
      <c r="AAX85" s="2"/>
      <c r="AAY85" s="2"/>
      <c r="AAZ85" s="2"/>
      <c r="ABA85" s="2"/>
      <c r="ABB85" s="2"/>
      <c r="ABC85" s="2"/>
      <c r="ABD85" s="2"/>
      <c r="ABE85" s="2"/>
      <c r="ABF85" s="2"/>
      <c r="ABG85" s="2"/>
      <c r="ABH85" s="2"/>
      <c r="ABI85" s="2"/>
      <c r="ABJ85" s="2"/>
      <c r="ABK85" s="2"/>
      <c r="ABL85" s="2"/>
      <c r="ABM85" s="2"/>
      <c r="ABN85" s="2"/>
      <c r="ABO85" s="2"/>
      <c r="ABP85" s="2"/>
      <c r="ABQ85" s="2"/>
      <c r="ABR85" s="2"/>
      <c r="ABS85" s="2"/>
      <c r="ABT85" s="2"/>
      <c r="ABU85" s="2"/>
      <c r="ABV85" s="2"/>
      <c r="ABW85" s="2"/>
      <c r="ABX85" s="2"/>
      <c r="ABY85" s="2"/>
      <c r="ABZ85" s="2"/>
      <c r="ACA85" s="2"/>
      <c r="ACB85" s="2"/>
      <c r="ACC85" s="2"/>
      <c r="ACD85" s="2"/>
      <c r="ACE85" s="2"/>
      <c r="ACF85" s="2"/>
      <c r="ACG85" s="2"/>
      <c r="ACH85" s="2"/>
      <c r="ACI85" s="2"/>
      <c r="ACJ85" s="2"/>
      <c r="ACK85" s="2"/>
      <c r="ACL85" s="2"/>
      <c r="ACM85" s="2"/>
      <c r="ACN85" s="2"/>
      <c r="ACO85" s="2"/>
      <c r="ACP85" s="2"/>
      <c r="ACQ85" s="2"/>
      <c r="ACR85" s="2"/>
      <c r="ACS85" s="2"/>
      <c r="ACT85" s="2"/>
      <c r="ACU85" s="2"/>
      <c r="ACV85" s="2"/>
      <c r="ACW85" s="2"/>
      <c r="ACX85" s="2"/>
      <c r="ACY85" s="2"/>
      <c r="ACZ85" s="2"/>
      <c r="ADA85" s="2"/>
      <c r="ADB85" s="2"/>
      <c r="ADC85" s="2"/>
      <c r="ADD85" s="2"/>
      <c r="ADE85" s="2"/>
      <c r="ADF85" s="2"/>
      <c r="ADG85" s="2"/>
      <c r="ADH85" s="2"/>
      <c r="ADI85" s="2"/>
      <c r="ADJ85" s="2"/>
      <c r="ADK85" s="2"/>
      <c r="ADL85" s="2"/>
      <c r="ADM85" s="2"/>
      <c r="ADN85" s="2"/>
      <c r="ADO85" s="2"/>
      <c r="ADP85" s="2"/>
      <c r="ADQ85" s="2"/>
      <c r="ADR85" s="2"/>
      <c r="ADS85" s="2"/>
      <c r="ADT85" s="2"/>
      <c r="ADU85" s="2"/>
      <c r="ADV85" s="2"/>
      <c r="ADW85" s="2"/>
      <c r="ADX85" s="2"/>
      <c r="ADY85" s="2"/>
      <c r="ADZ85" s="2"/>
      <c r="AEA85" s="2"/>
      <c r="AEB85" s="2"/>
      <c r="AEC85" s="2"/>
      <c r="AED85" s="2"/>
      <c r="AEE85" s="2"/>
      <c r="AEF85" s="2"/>
      <c r="AEG85" s="2"/>
      <c r="AEH85" s="2"/>
      <c r="AEI85" s="2"/>
      <c r="AEJ85" s="2"/>
      <c r="AEK85" s="2"/>
      <c r="AEL85" s="2"/>
      <c r="AEM85" s="2"/>
      <c r="AEN85" s="2"/>
      <c r="AEO85" s="2"/>
      <c r="AEP85" s="2"/>
      <c r="AEQ85" s="2"/>
      <c r="AER85" s="2"/>
      <c r="AES85" s="2"/>
      <c r="AET85" s="2"/>
      <c r="AEU85" s="2"/>
      <c r="AEV85" s="2"/>
      <c r="AEW85" s="2"/>
      <c r="AEX85" s="2"/>
      <c r="AEY85" s="2"/>
      <c r="AEZ85" s="2"/>
      <c r="AFA85" s="2"/>
      <c r="AFB85" s="2"/>
      <c r="AFC85" s="2"/>
      <c r="AFD85" s="2"/>
      <c r="AFE85" s="2"/>
      <c r="AFF85" s="2"/>
      <c r="AFG85" s="2"/>
      <c r="AFH85" s="2"/>
      <c r="AFI85" s="2"/>
      <c r="AFJ85" s="2"/>
      <c r="AFK85" s="2"/>
      <c r="AFL85" s="2"/>
      <c r="AFM85" s="2"/>
      <c r="AFN85" s="2"/>
      <c r="AFO85" s="2"/>
      <c r="AFP85" s="2"/>
      <c r="AFQ85" s="2"/>
      <c r="AFR85" s="2"/>
      <c r="AFS85" s="2"/>
      <c r="AFT85" s="2"/>
      <c r="AFU85" s="2"/>
      <c r="AFV85" s="2"/>
      <c r="AFW85" s="2"/>
      <c r="AFX85" s="2"/>
      <c r="AFY85" s="2"/>
      <c r="AFZ85" s="2"/>
      <c r="AGA85" s="2"/>
      <c r="AGB85" s="2"/>
      <c r="AGC85" s="2"/>
      <c r="AGD85" s="2"/>
      <c r="AGE85" s="2"/>
      <c r="AGF85" s="2"/>
      <c r="AGG85" s="2"/>
      <c r="AGH85" s="2"/>
      <c r="AGI85" s="2"/>
      <c r="AGJ85" s="2"/>
      <c r="AGK85" s="2"/>
      <c r="AGL85" s="2"/>
      <c r="AGM85" s="2"/>
      <c r="AGN85" s="2"/>
      <c r="AGO85" s="2"/>
      <c r="AGP85" s="2"/>
      <c r="AGQ85" s="2"/>
      <c r="AGR85" s="2"/>
      <c r="AGS85" s="2"/>
      <c r="AGT85" s="2"/>
      <c r="AGU85" s="2"/>
      <c r="AGV85" s="2"/>
      <c r="AGW85" s="2"/>
      <c r="AGX85" s="2"/>
      <c r="AGY85" s="2"/>
      <c r="AGZ85" s="2"/>
      <c r="AHA85" s="2"/>
      <c r="AHB85" s="2"/>
      <c r="AHC85" s="2"/>
      <c r="AHD85" s="2"/>
      <c r="AHE85" s="2"/>
      <c r="AHF85" s="2"/>
      <c r="AHG85" s="2"/>
      <c r="AHH85" s="2"/>
      <c r="AHI85" s="2"/>
      <c r="AHJ85" s="2"/>
      <c r="AHK85" s="2"/>
      <c r="AHL85" s="2"/>
      <c r="AHM85" s="2"/>
      <c r="AHN85" s="2"/>
      <c r="AHO85" s="2"/>
      <c r="AHP85" s="2"/>
      <c r="AHQ85" s="2"/>
      <c r="AHR85" s="2"/>
      <c r="AHS85" s="2"/>
      <c r="AHT85" s="2"/>
      <c r="AHU85" s="2"/>
      <c r="AHV85" s="2"/>
      <c r="AHW85" s="2"/>
      <c r="AHX85" s="2"/>
      <c r="AHY85" s="2"/>
      <c r="AHZ85" s="2"/>
      <c r="AIA85" s="2"/>
      <c r="AIB85" s="2"/>
      <c r="AIC85" s="2"/>
      <c r="AID85" s="2"/>
      <c r="AIE85" s="2"/>
      <c r="AIF85" s="2"/>
      <c r="AIG85" s="2"/>
      <c r="AIH85" s="2"/>
      <c r="AII85" s="2"/>
      <c r="AIJ85" s="2"/>
      <c r="AIK85" s="2"/>
      <c r="AIL85" s="2"/>
      <c r="AIM85" s="2"/>
      <c r="AIN85" s="2"/>
      <c r="AIO85" s="2"/>
      <c r="AIP85" s="2"/>
      <c r="AIQ85" s="2"/>
      <c r="AIR85" s="2"/>
      <c r="AIS85" s="2"/>
      <c r="AIT85" s="2"/>
      <c r="AIU85" s="2"/>
      <c r="AIV85" s="2"/>
      <c r="AIW85" s="2"/>
      <c r="AIX85" s="2"/>
      <c r="AIY85" s="2"/>
      <c r="AIZ85" s="2"/>
      <c r="AJA85" s="2"/>
      <c r="AJB85" s="2"/>
      <c r="AJC85" s="2"/>
      <c r="AJD85" s="2"/>
      <c r="AJE85" s="2"/>
      <c r="AJF85" s="2"/>
      <c r="AJG85" s="2"/>
      <c r="AJH85" s="2"/>
      <c r="AJI85" s="2"/>
      <c r="AJJ85" s="2"/>
      <c r="AJK85" s="2"/>
      <c r="AJL85" s="2"/>
      <c r="AJM85" s="2"/>
      <c r="AJN85" s="2"/>
      <c r="AJO85" s="2"/>
      <c r="AJP85" s="2"/>
      <c r="AJQ85" s="2"/>
      <c r="AJR85" s="2"/>
      <c r="AJS85" s="2"/>
      <c r="AJT85" s="2"/>
      <c r="AJU85" s="2"/>
      <c r="AJV85" s="2"/>
      <c r="AJW85" s="2"/>
      <c r="AJX85" s="2"/>
      <c r="AJY85" s="2"/>
      <c r="AJZ85" s="2"/>
      <c r="AKA85" s="2"/>
      <c r="AKB85" s="2"/>
      <c r="AKC85" s="2"/>
      <c r="AKD85" s="2"/>
      <c r="AKE85" s="2"/>
      <c r="AKF85" s="2"/>
      <c r="AKG85" s="2"/>
      <c r="AKH85" s="2"/>
      <c r="AKI85" s="2"/>
      <c r="AKJ85" s="2"/>
      <c r="AKK85" s="2"/>
      <c r="AKL85" s="2"/>
      <c r="AKM85" s="2"/>
      <c r="AKN85" s="2"/>
      <c r="AKO85" s="2"/>
      <c r="AKP85" s="2"/>
      <c r="AKQ85" s="2"/>
      <c r="AKR85" s="2"/>
      <c r="AKS85" s="2"/>
      <c r="AKT85" s="2"/>
      <c r="AKU85" s="2"/>
      <c r="AKV85" s="2"/>
      <c r="AKW85" s="2"/>
      <c r="AKX85" s="2"/>
      <c r="AKY85" s="2"/>
      <c r="AKZ85" s="2"/>
      <c r="ALA85" s="2"/>
      <c r="ALB85" s="2"/>
      <c r="ALC85" s="2"/>
      <c r="ALD85" s="2"/>
      <c r="ALE85" s="2"/>
      <c r="ALF85" s="2"/>
      <c r="ALG85" s="2"/>
      <c r="ALH85" s="2"/>
      <c r="ALI85" s="2"/>
      <c r="ALJ85" s="2"/>
      <c r="ALK85" s="2"/>
      <c r="ALL85" s="2"/>
      <c r="ALM85" s="2"/>
      <c r="ALN85" s="2"/>
      <c r="ALO85" s="2"/>
      <c r="ALP85" s="2"/>
      <c r="ALQ85" s="2"/>
      <c r="ALR85" s="2"/>
      <c r="ALS85" s="2"/>
      <c r="ALT85" s="2"/>
      <c r="ALU85" s="2"/>
      <c r="ALV85" s="2"/>
      <c r="ALW85" s="2"/>
      <c r="ALX85" s="2"/>
      <c r="ALY85" s="2"/>
      <c r="ALZ85" s="2"/>
      <c r="AMA85" s="2"/>
      <c r="AMB85" s="2"/>
      <c r="AMC85" s="2"/>
      <c r="AMD85" s="2"/>
      <c r="AME85" s="2"/>
    </row>
    <row r="86" spans="1:1019" ht="30.75" customHeight="1" x14ac:dyDescent="0.3">
      <c r="A86" s="45" t="s">
        <v>40</v>
      </c>
      <c r="B86" s="43" t="s">
        <v>121</v>
      </c>
      <c r="C86" s="45" t="s">
        <v>62</v>
      </c>
      <c r="D86" s="11">
        <v>38</v>
      </c>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c r="VM86" s="2"/>
      <c r="VN86" s="2"/>
      <c r="VO86" s="2"/>
      <c r="VP86" s="2"/>
      <c r="VQ86" s="2"/>
      <c r="VR86" s="2"/>
      <c r="VS86" s="2"/>
      <c r="VT86" s="2"/>
      <c r="VU86" s="2"/>
      <c r="VV86" s="2"/>
      <c r="VW86" s="2"/>
      <c r="VX86" s="2"/>
      <c r="VY86" s="2"/>
      <c r="VZ86" s="2"/>
      <c r="WA86" s="2"/>
      <c r="WB86" s="2"/>
      <c r="WC86" s="2"/>
      <c r="WD86" s="2"/>
      <c r="WE86" s="2"/>
      <c r="WF86" s="2"/>
      <c r="WG86" s="2"/>
      <c r="WH86" s="2"/>
      <c r="WI86" s="2"/>
      <c r="WJ86" s="2"/>
      <c r="WK86" s="2"/>
      <c r="WL86" s="2"/>
      <c r="WM86" s="2"/>
      <c r="WN86" s="2"/>
      <c r="WO86" s="2"/>
      <c r="WP86" s="2"/>
      <c r="WQ86" s="2"/>
      <c r="WR86" s="2"/>
      <c r="WS86" s="2"/>
      <c r="WT86" s="2"/>
      <c r="WU86" s="2"/>
      <c r="WV86" s="2"/>
      <c r="WW86" s="2"/>
      <c r="WX86" s="2"/>
      <c r="WY86" s="2"/>
      <c r="WZ86" s="2"/>
      <c r="XA86" s="2"/>
      <c r="XB86" s="2"/>
      <c r="XC86" s="2"/>
      <c r="XD86" s="2"/>
      <c r="XE86" s="2"/>
      <c r="XF86" s="2"/>
      <c r="XG86" s="2"/>
      <c r="XH86" s="2"/>
      <c r="XI86" s="2"/>
      <c r="XJ86" s="2"/>
      <c r="XK86" s="2"/>
      <c r="XL86" s="2"/>
      <c r="XM86" s="2"/>
      <c r="XN86" s="2"/>
      <c r="XO86" s="2"/>
      <c r="XP86" s="2"/>
      <c r="XQ86" s="2"/>
      <c r="XR86" s="2"/>
      <c r="XS86" s="2"/>
      <c r="XT86" s="2"/>
      <c r="XU86" s="2"/>
      <c r="XV86" s="2"/>
      <c r="XW86" s="2"/>
      <c r="XX86" s="2"/>
      <c r="XY86" s="2"/>
      <c r="XZ86" s="2"/>
      <c r="YA86" s="2"/>
      <c r="YB86" s="2"/>
      <c r="YC86" s="2"/>
      <c r="YD86" s="2"/>
      <c r="YE86" s="2"/>
      <c r="YF86" s="2"/>
      <c r="YG86" s="2"/>
      <c r="YH86" s="2"/>
      <c r="YI86" s="2"/>
      <c r="YJ86" s="2"/>
      <c r="YK86" s="2"/>
      <c r="YL86" s="2"/>
      <c r="YM86" s="2"/>
      <c r="YN86" s="2"/>
      <c r="YO86" s="2"/>
      <c r="YP86" s="2"/>
      <c r="YQ86" s="2"/>
      <c r="YR86" s="2"/>
      <c r="YS86" s="2"/>
      <c r="YT86" s="2"/>
      <c r="YU86" s="2"/>
      <c r="YV86" s="2"/>
      <c r="YW86" s="2"/>
      <c r="YX86" s="2"/>
      <c r="YY86" s="2"/>
      <c r="YZ86" s="2"/>
      <c r="ZA86" s="2"/>
      <c r="ZB86" s="2"/>
      <c r="ZC86" s="2"/>
      <c r="ZD86" s="2"/>
      <c r="ZE86" s="2"/>
      <c r="ZF86" s="2"/>
      <c r="ZG86" s="2"/>
      <c r="ZH86" s="2"/>
      <c r="ZI86" s="2"/>
      <c r="ZJ86" s="2"/>
      <c r="ZK86" s="2"/>
      <c r="ZL86" s="2"/>
      <c r="ZM86" s="2"/>
      <c r="ZN86" s="2"/>
      <c r="ZO86" s="2"/>
      <c r="ZP86" s="2"/>
      <c r="ZQ86" s="2"/>
      <c r="ZR86" s="2"/>
      <c r="ZS86" s="2"/>
      <c r="ZT86" s="2"/>
      <c r="ZU86" s="2"/>
      <c r="ZV86" s="2"/>
      <c r="ZW86" s="2"/>
      <c r="ZX86" s="2"/>
      <c r="ZY86" s="2"/>
      <c r="ZZ86" s="2"/>
      <c r="AAA86" s="2"/>
      <c r="AAB86" s="2"/>
      <c r="AAC86" s="2"/>
      <c r="AAD86" s="2"/>
      <c r="AAE86" s="2"/>
      <c r="AAF86" s="2"/>
      <c r="AAG86" s="2"/>
      <c r="AAH86" s="2"/>
      <c r="AAI86" s="2"/>
      <c r="AAJ86" s="2"/>
      <c r="AAK86" s="2"/>
      <c r="AAL86" s="2"/>
      <c r="AAM86" s="2"/>
      <c r="AAN86" s="2"/>
      <c r="AAO86" s="2"/>
      <c r="AAP86" s="2"/>
      <c r="AAQ86" s="2"/>
      <c r="AAR86" s="2"/>
      <c r="AAS86" s="2"/>
      <c r="AAT86" s="2"/>
      <c r="AAU86" s="2"/>
      <c r="AAV86" s="2"/>
      <c r="AAW86" s="2"/>
      <c r="AAX86" s="2"/>
      <c r="AAY86" s="2"/>
      <c r="AAZ86" s="2"/>
      <c r="ABA86" s="2"/>
      <c r="ABB86" s="2"/>
      <c r="ABC86" s="2"/>
      <c r="ABD86" s="2"/>
      <c r="ABE86" s="2"/>
      <c r="ABF86" s="2"/>
      <c r="ABG86" s="2"/>
      <c r="ABH86" s="2"/>
      <c r="ABI86" s="2"/>
      <c r="ABJ86" s="2"/>
      <c r="ABK86" s="2"/>
      <c r="ABL86" s="2"/>
      <c r="ABM86" s="2"/>
      <c r="ABN86" s="2"/>
      <c r="ABO86" s="2"/>
      <c r="ABP86" s="2"/>
      <c r="ABQ86" s="2"/>
      <c r="ABR86" s="2"/>
      <c r="ABS86" s="2"/>
      <c r="ABT86" s="2"/>
      <c r="ABU86" s="2"/>
      <c r="ABV86" s="2"/>
      <c r="ABW86" s="2"/>
      <c r="ABX86" s="2"/>
      <c r="ABY86" s="2"/>
      <c r="ABZ86" s="2"/>
      <c r="ACA86" s="2"/>
      <c r="ACB86" s="2"/>
      <c r="ACC86" s="2"/>
      <c r="ACD86" s="2"/>
      <c r="ACE86" s="2"/>
      <c r="ACF86" s="2"/>
      <c r="ACG86" s="2"/>
      <c r="ACH86" s="2"/>
      <c r="ACI86" s="2"/>
      <c r="ACJ86" s="2"/>
      <c r="ACK86" s="2"/>
      <c r="ACL86" s="2"/>
      <c r="ACM86" s="2"/>
      <c r="ACN86" s="2"/>
      <c r="ACO86" s="2"/>
      <c r="ACP86" s="2"/>
      <c r="ACQ86" s="2"/>
      <c r="ACR86" s="2"/>
      <c r="ACS86" s="2"/>
      <c r="ACT86" s="2"/>
      <c r="ACU86" s="2"/>
      <c r="ACV86" s="2"/>
      <c r="ACW86" s="2"/>
      <c r="ACX86" s="2"/>
      <c r="ACY86" s="2"/>
      <c r="ACZ86" s="2"/>
      <c r="ADA86" s="2"/>
      <c r="ADB86" s="2"/>
      <c r="ADC86" s="2"/>
      <c r="ADD86" s="2"/>
      <c r="ADE86" s="2"/>
      <c r="ADF86" s="2"/>
      <c r="ADG86" s="2"/>
      <c r="ADH86" s="2"/>
      <c r="ADI86" s="2"/>
      <c r="ADJ86" s="2"/>
      <c r="ADK86" s="2"/>
      <c r="ADL86" s="2"/>
      <c r="ADM86" s="2"/>
      <c r="ADN86" s="2"/>
      <c r="ADO86" s="2"/>
      <c r="ADP86" s="2"/>
      <c r="ADQ86" s="2"/>
      <c r="ADR86" s="2"/>
      <c r="ADS86" s="2"/>
      <c r="ADT86" s="2"/>
      <c r="ADU86" s="2"/>
      <c r="ADV86" s="2"/>
      <c r="ADW86" s="2"/>
      <c r="ADX86" s="2"/>
      <c r="ADY86" s="2"/>
      <c r="ADZ86" s="2"/>
      <c r="AEA86" s="2"/>
      <c r="AEB86" s="2"/>
      <c r="AEC86" s="2"/>
      <c r="AED86" s="2"/>
      <c r="AEE86" s="2"/>
      <c r="AEF86" s="2"/>
      <c r="AEG86" s="2"/>
      <c r="AEH86" s="2"/>
      <c r="AEI86" s="2"/>
      <c r="AEJ86" s="2"/>
      <c r="AEK86" s="2"/>
      <c r="AEL86" s="2"/>
      <c r="AEM86" s="2"/>
      <c r="AEN86" s="2"/>
      <c r="AEO86" s="2"/>
      <c r="AEP86" s="2"/>
      <c r="AEQ86" s="2"/>
      <c r="AER86" s="2"/>
      <c r="AES86" s="2"/>
      <c r="AET86" s="2"/>
      <c r="AEU86" s="2"/>
      <c r="AEV86" s="2"/>
      <c r="AEW86" s="2"/>
      <c r="AEX86" s="2"/>
      <c r="AEY86" s="2"/>
      <c r="AEZ86" s="2"/>
      <c r="AFA86" s="2"/>
      <c r="AFB86" s="2"/>
      <c r="AFC86" s="2"/>
      <c r="AFD86" s="2"/>
      <c r="AFE86" s="2"/>
      <c r="AFF86" s="2"/>
      <c r="AFG86" s="2"/>
      <c r="AFH86" s="2"/>
      <c r="AFI86" s="2"/>
      <c r="AFJ86" s="2"/>
      <c r="AFK86" s="2"/>
      <c r="AFL86" s="2"/>
      <c r="AFM86" s="2"/>
      <c r="AFN86" s="2"/>
      <c r="AFO86" s="2"/>
      <c r="AFP86" s="2"/>
      <c r="AFQ86" s="2"/>
      <c r="AFR86" s="2"/>
      <c r="AFS86" s="2"/>
      <c r="AFT86" s="2"/>
      <c r="AFU86" s="2"/>
      <c r="AFV86" s="2"/>
      <c r="AFW86" s="2"/>
      <c r="AFX86" s="2"/>
      <c r="AFY86" s="2"/>
      <c r="AFZ86" s="2"/>
      <c r="AGA86" s="2"/>
      <c r="AGB86" s="2"/>
      <c r="AGC86" s="2"/>
      <c r="AGD86" s="2"/>
      <c r="AGE86" s="2"/>
      <c r="AGF86" s="2"/>
      <c r="AGG86" s="2"/>
      <c r="AGH86" s="2"/>
      <c r="AGI86" s="2"/>
      <c r="AGJ86" s="2"/>
      <c r="AGK86" s="2"/>
      <c r="AGL86" s="2"/>
      <c r="AGM86" s="2"/>
      <c r="AGN86" s="2"/>
      <c r="AGO86" s="2"/>
      <c r="AGP86" s="2"/>
      <c r="AGQ86" s="2"/>
      <c r="AGR86" s="2"/>
      <c r="AGS86" s="2"/>
      <c r="AGT86" s="2"/>
      <c r="AGU86" s="2"/>
      <c r="AGV86" s="2"/>
      <c r="AGW86" s="2"/>
      <c r="AGX86" s="2"/>
      <c r="AGY86" s="2"/>
      <c r="AGZ86" s="2"/>
      <c r="AHA86" s="2"/>
      <c r="AHB86" s="2"/>
      <c r="AHC86" s="2"/>
      <c r="AHD86" s="2"/>
      <c r="AHE86" s="2"/>
      <c r="AHF86" s="2"/>
      <c r="AHG86" s="2"/>
      <c r="AHH86" s="2"/>
      <c r="AHI86" s="2"/>
      <c r="AHJ86" s="2"/>
      <c r="AHK86" s="2"/>
      <c r="AHL86" s="2"/>
      <c r="AHM86" s="2"/>
      <c r="AHN86" s="2"/>
      <c r="AHO86" s="2"/>
      <c r="AHP86" s="2"/>
      <c r="AHQ86" s="2"/>
      <c r="AHR86" s="2"/>
      <c r="AHS86" s="2"/>
      <c r="AHT86" s="2"/>
      <c r="AHU86" s="2"/>
      <c r="AHV86" s="2"/>
      <c r="AHW86" s="2"/>
      <c r="AHX86" s="2"/>
      <c r="AHY86" s="2"/>
      <c r="AHZ86" s="2"/>
      <c r="AIA86" s="2"/>
      <c r="AIB86" s="2"/>
      <c r="AIC86" s="2"/>
      <c r="AID86" s="2"/>
      <c r="AIE86" s="2"/>
      <c r="AIF86" s="2"/>
      <c r="AIG86" s="2"/>
      <c r="AIH86" s="2"/>
      <c r="AII86" s="2"/>
      <c r="AIJ86" s="2"/>
      <c r="AIK86" s="2"/>
      <c r="AIL86" s="2"/>
      <c r="AIM86" s="2"/>
      <c r="AIN86" s="2"/>
      <c r="AIO86" s="2"/>
      <c r="AIP86" s="2"/>
      <c r="AIQ86" s="2"/>
      <c r="AIR86" s="2"/>
      <c r="AIS86" s="2"/>
      <c r="AIT86" s="2"/>
      <c r="AIU86" s="2"/>
      <c r="AIV86" s="2"/>
      <c r="AIW86" s="2"/>
      <c r="AIX86" s="2"/>
      <c r="AIY86" s="2"/>
      <c r="AIZ86" s="2"/>
      <c r="AJA86" s="2"/>
      <c r="AJB86" s="2"/>
      <c r="AJC86" s="2"/>
      <c r="AJD86" s="2"/>
      <c r="AJE86" s="2"/>
      <c r="AJF86" s="2"/>
      <c r="AJG86" s="2"/>
      <c r="AJH86" s="2"/>
      <c r="AJI86" s="2"/>
      <c r="AJJ86" s="2"/>
      <c r="AJK86" s="2"/>
      <c r="AJL86" s="2"/>
      <c r="AJM86" s="2"/>
      <c r="AJN86" s="2"/>
      <c r="AJO86" s="2"/>
      <c r="AJP86" s="2"/>
      <c r="AJQ86" s="2"/>
      <c r="AJR86" s="2"/>
      <c r="AJS86" s="2"/>
      <c r="AJT86" s="2"/>
      <c r="AJU86" s="2"/>
      <c r="AJV86" s="2"/>
      <c r="AJW86" s="2"/>
      <c r="AJX86" s="2"/>
      <c r="AJY86" s="2"/>
      <c r="AJZ86" s="2"/>
      <c r="AKA86" s="2"/>
      <c r="AKB86" s="2"/>
      <c r="AKC86" s="2"/>
      <c r="AKD86" s="2"/>
      <c r="AKE86" s="2"/>
      <c r="AKF86" s="2"/>
      <c r="AKG86" s="2"/>
      <c r="AKH86" s="2"/>
      <c r="AKI86" s="2"/>
      <c r="AKJ86" s="2"/>
      <c r="AKK86" s="2"/>
      <c r="AKL86" s="2"/>
      <c r="AKM86" s="2"/>
      <c r="AKN86" s="2"/>
      <c r="AKO86" s="2"/>
      <c r="AKP86" s="2"/>
      <c r="AKQ86" s="2"/>
      <c r="AKR86" s="2"/>
      <c r="AKS86" s="2"/>
      <c r="AKT86" s="2"/>
      <c r="AKU86" s="2"/>
      <c r="AKV86" s="2"/>
      <c r="AKW86" s="2"/>
      <c r="AKX86" s="2"/>
      <c r="AKY86" s="2"/>
      <c r="AKZ86" s="2"/>
      <c r="ALA86" s="2"/>
      <c r="ALB86" s="2"/>
      <c r="ALC86" s="2"/>
      <c r="ALD86" s="2"/>
      <c r="ALE86" s="2"/>
      <c r="ALF86" s="2"/>
      <c r="ALG86" s="2"/>
      <c r="ALH86" s="2"/>
      <c r="ALI86" s="2"/>
      <c r="ALJ86" s="2"/>
      <c r="ALK86" s="2"/>
      <c r="ALL86" s="2"/>
      <c r="ALM86" s="2"/>
      <c r="ALN86" s="2"/>
      <c r="ALO86" s="2"/>
      <c r="ALP86" s="2"/>
      <c r="ALQ86" s="2"/>
      <c r="ALR86" s="2"/>
      <c r="ALS86" s="2"/>
      <c r="ALT86" s="2"/>
      <c r="ALU86" s="2"/>
      <c r="ALV86" s="2"/>
      <c r="ALW86" s="2"/>
      <c r="ALX86" s="2"/>
      <c r="ALY86" s="2"/>
      <c r="ALZ86" s="2"/>
      <c r="AMA86" s="2"/>
      <c r="AMB86" s="2"/>
      <c r="AMC86" s="2"/>
      <c r="AMD86" s="2"/>
      <c r="AME86" s="2"/>
    </row>
    <row r="87" spans="1:1019" ht="31.5" customHeight="1" x14ac:dyDescent="0.3">
      <c r="A87" s="45" t="s">
        <v>95</v>
      </c>
      <c r="B87" s="43" t="s">
        <v>122</v>
      </c>
      <c r="C87" s="45" t="s">
        <v>62</v>
      </c>
      <c r="D87" s="11">
        <v>75</v>
      </c>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c r="TA87" s="2"/>
      <c r="TB87" s="2"/>
      <c r="TC87" s="2"/>
      <c r="TD87" s="2"/>
      <c r="TE87" s="2"/>
      <c r="TF87" s="2"/>
      <c r="TG87" s="2"/>
      <c r="TH87" s="2"/>
      <c r="TI87" s="2"/>
      <c r="TJ87" s="2"/>
      <c r="TK87" s="2"/>
      <c r="TL87" s="2"/>
      <c r="TM87" s="2"/>
      <c r="TN87" s="2"/>
      <c r="TO87" s="2"/>
      <c r="TP87" s="2"/>
      <c r="TQ87" s="2"/>
      <c r="TR87" s="2"/>
      <c r="TS87" s="2"/>
      <c r="TT87" s="2"/>
      <c r="TU87" s="2"/>
      <c r="TV87" s="2"/>
      <c r="TW87" s="2"/>
      <c r="TX87" s="2"/>
      <c r="TY87" s="2"/>
      <c r="TZ87" s="2"/>
      <c r="UA87" s="2"/>
      <c r="UB87" s="2"/>
      <c r="UC87" s="2"/>
      <c r="UD87" s="2"/>
      <c r="UE87" s="2"/>
      <c r="UF87" s="2"/>
      <c r="UG87" s="2"/>
      <c r="UH87" s="2"/>
      <c r="UI87" s="2"/>
      <c r="UJ87" s="2"/>
      <c r="UK87" s="2"/>
      <c r="UL87" s="2"/>
      <c r="UM87" s="2"/>
      <c r="UN87" s="2"/>
      <c r="UO87" s="2"/>
      <c r="UP87" s="2"/>
      <c r="UQ87" s="2"/>
      <c r="UR87" s="2"/>
      <c r="US87" s="2"/>
      <c r="UT87" s="2"/>
      <c r="UU87" s="2"/>
      <c r="UV87" s="2"/>
      <c r="UW87" s="2"/>
      <c r="UX87" s="2"/>
      <c r="UY87" s="2"/>
      <c r="UZ87" s="2"/>
      <c r="VA87" s="2"/>
      <c r="VB87" s="2"/>
      <c r="VC87" s="2"/>
      <c r="VD87" s="2"/>
      <c r="VE87" s="2"/>
      <c r="VF87" s="2"/>
      <c r="VG87" s="2"/>
      <c r="VH87" s="2"/>
      <c r="VI87" s="2"/>
      <c r="VJ87" s="2"/>
      <c r="VK87" s="2"/>
      <c r="VL87" s="2"/>
      <c r="VM87" s="2"/>
      <c r="VN87" s="2"/>
      <c r="VO87" s="2"/>
      <c r="VP87" s="2"/>
      <c r="VQ87" s="2"/>
      <c r="VR87" s="2"/>
      <c r="VS87" s="2"/>
      <c r="VT87" s="2"/>
      <c r="VU87" s="2"/>
      <c r="VV87" s="2"/>
      <c r="VW87" s="2"/>
      <c r="VX87" s="2"/>
      <c r="VY87" s="2"/>
      <c r="VZ87" s="2"/>
      <c r="WA87" s="2"/>
      <c r="WB87" s="2"/>
      <c r="WC87" s="2"/>
      <c r="WD87" s="2"/>
      <c r="WE87" s="2"/>
      <c r="WF87" s="2"/>
      <c r="WG87" s="2"/>
      <c r="WH87" s="2"/>
      <c r="WI87" s="2"/>
      <c r="WJ87" s="2"/>
      <c r="WK87" s="2"/>
      <c r="WL87" s="2"/>
      <c r="WM87" s="2"/>
      <c r="WN87" s="2"/>
      <c r="WO87" s="2"/>
      <c r="WP87" s="2"/>
      <c r="WQ87" s="2"/>
      <c r="WR87" s="2"/>
      <c r="WS87" s="2"/>
      <c r="WT87" s="2"/>
      <c r="WU87" s="2"/>
      <c r="WV87" s="2"/>
      <c r="WW87" s="2"/>
      <c r="WX87" s="2"/>
      <c r="WY87" s="2"/>
      <c r="WZ87" s="2"/>
      <c r="XA87" s="2"/>
      <c r="XB87" s="2"/>
      <c r="XC87" s="2"/>
      <c r="XD87" s="2"/>
      <c r="XE87" s="2"/>
      <c r="XF87" s="2"/>
      <c r="XG87" s="2"/>
      <c r="XH87" s="2"/>
      <c r="XI87" s="2"/>
      <c r="XJ87" s="2"/>
      <c r="XK87" s="2"/>
      <c r="XL87" s="2"/>
      <c r="XM87" s="2"/>
      <c r="XN87" s="2"/>
      <c r="XO87" s="2"/>
      <c r="XP87" s="2"/>
      <c r="XQ87" s="2"/>
      <c r="XR87" s="2"/>
      <c r="XS87" s="2"/>
      <c r="XT87" s="2"/>
      <c r="XU87" s="2"/>
      <c r="XV87" s="2"/>
      <c r="XW87" s="2"/>
      <c r="XX87" s="2"/>
      <c r="XY87" s="2"/>
      <c r="XZ87" s="2"/>
      <c r="YA87" s="2"/>
      <c r="YB87" s="2"/>
      <c r="YC87" s="2"/>
      <c r="YD87" s="2"/>
      <c r="YE87" s="2"/>
      <c r="YF87" s="2"/>
      <c r="YG87" s="2"/>
      <c r="YH87" s="2"/>
      <c r="YI87" s="2"/>
      <c r="YJ87" s="2"/>
      <c r="YK87" s="2"/>
      <c r="YL87" s="2"/>
      <c r="YM87" s="2"/>
      <c r="YN87" s="2"/>
      <c r="YO87" s="2"/>
      <c r="YP87" s="2"/>
      <c r="YQ87" s="2"/>
      <c r="YR87" s="2"/>
      <c r="YS87" s="2"/>
      <c r="YT87" s="2"/>
      <c r="YU87" s="2"/>
      <c r="YV87" s="2"/>
      <c r="YW87" s="2"/>
      <c r="YX87" s="2"/>
      <c r="YY87" s="2"/>
      <c r="YZ87" s="2"/>
      <c r="ZA87" s="2"/>
      <c r="ZB87" s="2"/>
      <c r="ZC87" s="2"/>
      <c r="ZD87" s="2"/>
      <c r="ZE87" s="2"/>
      <c r="ZF87" s="2"/>
      <c r="ZG87" s="2"/>
      <c r="ZH87" s="2"/>
      <c r="ZI87" s="2"/>
      <c r="ZJ87" s="2"/>
      <c r="ZK87" s="2"/>
      <c r="ZL87" s="2"/>
      <c r="ZM87" s="2"/>
      <c r="ZN87" s="2"/>
      <c r="ZO87" s="2"/>
      <c r="ZP87" s="2"/>
      <c r="ZQ87" s="2"/>
      <c r="ZR87" s="2"/>
      <c r="ZS87" s="2"/>
      <c r="ZT87" s="2"/>
      <c r="ZU87" s="2"/>
      <c r="ZV87" s="2"/>
      <c r="ZW87" s="2"/>
      <c r="ZX87" s="2"/>
      <c r="ZY87" s="2"/>
      <c r="ZZ87" s="2"/>
      <c r="AAA87" s="2"/>
      <c r="AAB87" s="2"/>
      <c r="AAC87" s="2"/>
      <c r="AAD87" s="2"/>
      <c r="AAE87" s="2"/>
      <c r="AAF87" s="2"/>
      <c r="AAG87" s="2"/>
      <c r="AAH87" s="2"/>
      <c r="AAI87" s="2"/>
      <c r="AAJ87" s="2"/>
      <c r="AAK87" s="2"/>
      <c r="AAL87" s="2"/>
      <c r="AAM87" s="2"/>
      <c r="AAN87" s="2"/>
      <c r="AAO87" s="2"/>
      <c r="AAP87" s="2"/>
      <c r="AAQ87" s="2"/>
      <c r="AAR87" s="2"/>
      <c r="AAS87" s="2"/>
      <c r="AAT87" s="2"/>
      <c r="AAU87" s="2"/>
      <c r="AAV87" s="2"/>
      <c r="AAW87" s="2"/>
      <c r="AAX87" s="2"/>
      <c r="AAY87" s="2"/>
      <c r="AAZ87" s="2"/>
      <c r="ABA87" s="2"/>
      <c r="ABB87" s="2"/>
      <c r="ABC87" s="2"/>
      <c r="ABD87" s="2"/>
      <c r="ABE87" s="2"/>
      <c r="ABF87" s="2"/>
      <c r="ABG87" s="2"/>
      <c r="ABH87" s="2"/>
      <c r="ABI87" s="2"/>
      <c r="ABJ87" s="2"/>
      <c r="ABK87" s="2"/>
      <c r="ABL87" s="2"/>
      <c r="ABM87" s="2"/>
      <c r="ABN87" s="2"/>
      <c r="ABO87" s="2"/>
      <c r="ABP87" s="2"/>
      <c r="ABQ87" s="2"/>
      <c r="ABR87" s="2"/>
      <c r="ABS87" s="2"/>
      <c r="ABT87" s="2"/>
      <c r="ABU87" s="2"/>
      <c r="ABV87" s="2"/>
      <c r="ABW87" s="2"/>
      <c r="ABX87" s="2"/>
      <c r="ABY87" s="2"/>
      <c r="ABZ87" s="2"/>
      <c r="ACA87" s="2"/>
      <c r="ACB87" s="2"/>
      <c r="ACC87" s="2"/>
      <c r="ACD87" s="2"/>
      <c r="ACE87" s="2"/>
      <c r="ACF87" s="2"/>
      <c r="ACG87" s="2"/>
      <c r="ACH87" s="2"/>
      <c r="ACI87" s="2"/>
      <c r="ACJ87" s="2"/>
      <c r="ACK87" s="2"/>
      <c r="ACL87" s="2"/>
      <c r="ACM87" s="2"/>
      <c r="ACN87" s="2"/>
      <c r="ACO87" s="2"/>
      <c r="ACP87" s="2"/>
      <c r="ACQ87" s="2"/>
      <c r="ACR87" s="2"/>
      <c r="ACS87" s="2"/>
      <c r="ACT87" s="2"/>
      <c r="ACU87" s="2"/>
      <c r="ACV87" s="2"/>
      <c r="ACW87" s="2"/>
      <c r="ACX87" s="2"/>
      <c r="ACY87" s="2"/>
      <c r="ACZ87" s="2"/>
      <c r="ADA87" s="2"/>
      <c r="ADB87" s="2"/>
      <c r="ADC87" s="2"/>
      <c r="ADD87" s="2"/>
      <c r="ADE87" s="2"/>
      <c r="ADF87" s="2"/>
      <c r="ADG87" s="2"/>
      <c r="ADH87" s="2"/>
      <c r="ADI87" s="2"/>
      <c r="ADJ87" s="2"/>
      <c r="ADK87" s="2"/>
      <c r="ADL87" s="2"/>
      <c r="ADM87" s="2"/>
      <c r="ADN87" s="2"/>
      <c r="ADO87" s="2"/>
      <c r="ADP87" s="2"/>
      <c r="ADQ87" s="2"/>
      <c r="ADR87" s="2"/>
      <c r="ADS87" s="2"/>
      <c r="ADT87" s="2"/>
      <c r="ADU87" s="2"/>
      <c r="ADV87" s="2"/>
      <c r="ADW87" s="2"/>
      <c r="ADX87" s="2"/>
      <c r="ADY87" s="2"/>
      <c r="ADZ87" s="2"/>
      <c r="AEA87" s="2"/>
      <c r="AEB87" s="2"/>
      <c r="AEC87" s="2"/>
      <c r="AED87" s="2"/>
      <c r="AEE87" s="2"/>
      <c r="AEF87" s="2"/>
      <c r="AEG87" s="2"/>
      <c r="AEH87" s="2"/>
      <c r="AEI87" s="2"/>
      <c r="AEJ87" s="2"/>
      <c r="AEK87" s="2"/>
      <c r="AEL87" s="2"/>
      <c r="AEM87" s="2"/>
      <c r="AEN87" s="2"/>
      <c r="AEO87" s="2"/>
      <c r="AEP87" s="2"/>
      <c r="AEQ87" s="2"/>
      <c r="AER87" s="2"/>
      <c r="AES87" s="2"/>
      <c r="AET87" s="2"/>
      <c r="AEU87" s="2"/>
      <c r="AEV87" s="2"/>
      <c r="AEW87" s="2"/>
      <c r="AEX87" s="2"/>
      <c r="AEY87" s="2"/>
      <c r="AEZ87" s="2"/>
      <c r="AFA87" s="2"/>
      <c r="AFB87" s="2"/>
      <c r="AFC87" s="2"/>
      <c r="AFD87" s="2"/>
      <c r="AFE87" s="2"/>
      <c r="AFF87" s="2"/>
      <c r="AFG87" s="2"/>
      <c r="AFH87" s="2"/>
      <c r="AFI87" s="2"/>
      <c r="AFJ87" s="2"/>
      <c r="AFK87" s="2"/>
      <c r="AFL87" s="2"/>
      <c r="AFM87" s="2"/>
      <c r="AFN87" s="2"/>
      <c r="AFO87" s="2"/>
      <c r="AFP87" s="2"/>
      <c r="AFQ87" s="2"/>
      <c r="AFR87" s="2"/>
      <c r="AFS87" s="2"/>
      <c r="AFT87" s="2"/>
      <c r="AFU87" s="2"/>
      <c r="AFV87" s="2"/>
      <c r="AFW87" s="2"/>
      <c r="AFX87" s="2"/>
      <c r="AFY87" s="2"/>
      <c r="AFZ87" s="2"/>
      <c r="AGA87" s="2"/>
      <c r="AGB87" s="2"/>
      <c r="AGC87" s="2"/>
      <c r="AGD87" s="2"/>
      <c r="AGE87" s="2"/>
      <c r="AGF87" s="2"/>
      <c r="AGG87" s="2"/>
      <c r="AGH87" s="2"/>
      <c r="AGI87" s="2"/>
      <c r="AGJ87" s="2"/>
      <c r="AGK87" s="2"/>
      <c r="AGL87" s="2"/>
      <c r="AGM87" s="2"/>
      <c r="AGN87" s="2"/>
      <c r="AGO87" s="2"/>
      <c r="AGP87" s="2"/>
      <c r="AGQ87" s="2"/>
      <c r="AGR87" s="2"/>
      <c r="AGS87" s="2"/>
      <c r="AGT87" s="2"/>
      <c r="AGU87" s="2"/>
      <c r="AGV87" s="2"/>
      <c r="AGW87" s="2"/>
      <c r="AGX87" s="2"/>
      <c r="AGY87" s="2"/>
      <c r="AGZ87" s="2"/>
      <c r="AHA87" s="2"/>
      <c r="AHB87" s="2"/>
      <c r="AHC87" s="2"/>
      <c r="AHD87" s="2"/>
      <c r="AHE87" s="2"/>
      <c r="AHF87" s="2"/>
      <c r="AHG87" s="2"/>
      <c r="AHH87" s="2"/>
      <c r="AHI87" s="2"/>
      <c r="AHJ87" s="2"/>
      <c r="AHK87" s="2"/>
      <c r="AHL87" s="2"/>
      <c r="AHM87" s="2"/>
      <c r="AHN87" s="2"/>
      <c r="AHO87" s="2"/>
      <c r="AHP87" s="2"/>
      <c r="AHQ87" s="2"/>
      <c r="AHR87" s="2"/>
      <c r="AHS87" s="2"/>
      <c r="AHT87" s="2"/>
      <c r="AHU87" s="2"/>
      <c r="AHV87" s="2"/>
      <c r="AHW87" s="2"/>
      <c r="AHX87" s="2"/>
      <c r="AHY87" s="2"/>
      <c r="AHZ87" s="2"/>
      <c r="AIA87" s="2"/>
      <c r="AIB87" s="2"/>
      <c r="AIC87" s="2"/>
      <c r="AID87" s="2"/>
      <c r="AIE87" s="2"/>
      <c r="AIF87" s="2"/>
      <c r="AIG87" s="2"/>
      <c r="AIH87" s="2"/>
      <c r="AII87" s="2"/>
      <c r="AIJ87" s="2"/>
      <c r="AIK87" s="2"/>
      <c r="AIL87" s="2"/>
      <c r="AIM87" s="2"/>
      <c r="AIN87" s="2"/>
      <c r="AIO87" s="2"/>
      <c r="AIP87" s="2"/>
      <c r="AIQ87" s="2"/>
      <c r="AIR87" s="2"/>
      <c r="AIS87" s="2"/>
      <c r="AIT87" s="2"/>
      <c r="AIU87" s="2"/>
      <c r="AIV87" s="2"/>
      <c r="AIW87" s="2"/>
      <c r="AIX87" s="2"/>
      <c r="AIY87" s="2"/>
      <c r="AIZ87" s="2"/>
      <c r="AJA87" s="2"/>
      <c r="AJB87" s="2"/>
      <c r="AJC87" s="2"/>
      <c r="AJD87" s="2"/>
      <c r="AJE87" s="2"/>
      <c r="AJF87" s="2"/>
      <c r="AJG87" s="2"/>
      <c r="AJH87" s="2"/>
      <c r="AJI87" s="2"/>
      <c r="AJJ87" s="2"/>
      <c r="AJK87" s="2"/>
      <c r="AJL87" s="2"/>
      <c r="AJM87" s="2"/>
      <c r="AJN87" s="2"/>
      <c r="AJO87" s="2"/>
      <c r="AJP87" s="2"/>
      <c r="AJQ87" s="2"/>
      <c r="AJR87" s="2"/>
      <c r="AJS87" s="2"/>
      <c r="AJT87" s="2"/>
      <c r="AJU87" s="2"/>
      <c r="AJV87" s="2"/>
      <c r="AJW87" s="2"/>
      <c r="AJX87" s="2"/>
      <c r="AJY87" s="2"/>
      <c r="AJZ87" s="2"/>
      <c r="AKA87" s="2"/>
      <c r="AKB87" s="2"/>
      <c r="AKC87" s="2"/>
      <c r="AKD87" s="2"/>
      <c r="AKE87" s="2"/>
      <c r="AKF87" s="2"/>
      <c r="AKG87" s="2"/>
      <c r="AKH87" s="2"/>
      <c r="AKI87" s="2"/>
      <c r="AKJ87" s="2"/>
      <c r="AKK87" s="2"/>
      <c r="AKL87" s="2"/>
      <c r="AKM87" s="2"/>
      <c r="AKN87" s="2"/>
      <c r="AKO87" s="2"/>
      <c r="AKP87" s="2"/>
      <c r="AKQ87" s="2"/>
      <c r="AKR87" s="2"/>
      <c r="AKS87" s="2"/>
      <c r="AKT87" s="2"/>
      <c r="AKU87" s="2"/>
      <c r="AKV87" s="2"/>
      <c r="AKW87" s="2"/>
      <c r="AKX87" s="2"/>
      <c r="AKY87" s="2"/>
      <c r="AKZ87" s="2"/>
      <c r="ALA87" s="2"/>
      <c r="ALB87" s="2"/>
      <c r="ALC87" s="2"/>
      <c r="ALD87" s="2"/>
      <c r="ALE87" s="2"/>
      <c r="ALF87" s="2"/>
      <c r="ALG87" s="2"/>
      <c r="ALH87" s="2"/>
      <c r="ALI87" s="2"/>
      <c r="ALJ87" s="2"/>
      <c r="ALK87" s="2"/>
      <c r="ALL87" s="2"/>
      <c r="ALM87" s="2"/>
      <c r="ALN87" s="2"/>
      <c r="ALO87" s="2"/>
      <c r="ALP87" s="2"/>
      <c r="ALQ87" s="2"/>
      <c r="ALR87" s="2"/>
      <c r="ALS87" s="2"/>
      <c r="ALT87" s="2"/>
      <c r="ALU87" s="2"/>
      <c r="ALV87" s="2"/>
      <c r="ALW87" s="2"/>
      <c r="ALX87" s="2"/>
      <c r="ALY87" s="2"/>
      <c r="ALZ87" s="2"/>
      <c r="AMA87" s="2"/>
      <c r="AMB87" s="2"/>
      <c r="AMC87" s="2"/>
      <c r="AMD87" s="2"/>
      <c r="AME87" s="2"/>
    </row>
    <row r="88" spans="1:1019" ht="16.8" customHeight="1" x14ac:dyDescent="0.3">
      <c r="A88" s="45"/>
      <c r="B88" s="47" t="s">
        <v>123</v>
      </c>
      <c r="C88" s="45" t="s">
        <v>62</v>
      </c>
      <c r="D88" s="43">
        <f>D84*(D86+D87)/(4*D86)</f>
        <v>1091.6328126315791</v>
      </c>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c r="TA88" s="2"/>
      <c r="TB88" s="2"/>
      <c r="TC88" s="2"/>
      <c r="TD88" s="2"/>
      <c r="TE88" s="2"/>
      <c r="TF88" s="2"/>
      <c r="TG88" s="2"/>
      <c r="TH88" s="2"/>
      <c r="TI88" s="2"/>
      <c r="TJ88" s="2"/>
      <c r="TK88" s="2"/>
      <c r="TL88" s="2"/>
      <c r="TM88" s="2"/>
      <c r="TN88" s="2"/>
      <c r="TO88" s="2"/>
      <c r="TP88" s="2"/>
      <c r="TQ88" s="2"/>
      <c r="TR88" s="2"/>
      <c r="TS88" s="2"/>
      <c r="TT88" s="2"/>
      <c r="TU88" s="2"/>
      <c r="TV88" s="2"/>
      <c r="TW88" s="2"/>
      <c r="TX88" s="2"/>
      <c r="TY88" s="2"/>
      <c r="TZ88" s="2"/>
      <c r="UA88" s="2"/>
      <c r="UB88" s="2"/>
      <c r="UC88" s="2"/>
      <c r="UD88" s="2"/>
      <c r="UE88" s="2"/>
      <c r="UF88" s="2"/>
      <c r="UG88" s="2"/>
      <c r="UH88" s="2"/>
      <c r="UI88" s="2"/>
      <c r="UJ88" s="2"/>
      <c r="UK88" s="2"/>
      <c r="UL88" s="2"/>
      <c r="UM88" s="2"/>
      <c r="UN88" s="2"/>
      <c r="UO88" s="2"/>
      <c r="UP88" s="2"/>
      <c r="UQ88" s="2"/>
      <c r="UR88" s="2"/>
      <c r="US88" s="2"/>
      <c r="UT88" s="2"/>
      <c r="UU88" s="2"/>
      <c r="UV88" s="2"/>
      <c r="UW88" s="2"/>
      <c r="UX88" s="2"/>
      <c r="UY88" s="2"/>
      <c r="UZ88" s="2"/>
      <c r="VA88" s="2"/>
      <c r="VB88" s="2"/>
      <c r="VC88" s="2"/>
      <c r="VD88" s="2"/>
      <c r="VE88" s="2"/>
      <c r="VF88" s="2"/>
      <c r="VG88" s="2"/>
      <c r="VH88" s="2"/>
      <c r="VI88" s="2"/>
      <c r="VJ88" s="2"/>
      <c r="VK88" s="2"/>
      <c r="VL88" s="2"/>
      <c r="VM88" s="2"/>
      <c r="VN88" s="2"/>
      <c r="VO88" s="2"/>
      <c r="VP88" s="2"/>
      <c r="VQ88" s="2"/>
      <c r="VR88" s="2"/>
      <c r="VS88" s="2"/>
      <c r="VT88" s="2"/>
      <c r="VU88" s="2"/>
      <c r="VV88" s="2"/>
      <c r="VW88" s="2"/>
      <c r="VX88" s="2"/>
      <c r="VY88" s="2"/>
      <c r="VZ88" s="2"/>
      <c r="WA88" s="2"/>
      <c r="WB88" s="2"/>
      <c r="WC88" s="2"/>
      <c r="WD88" s="2"/>
      <c r="WE88" s="2"/>
      <c r="WF88" s="2"/>
      <c r="WG88" s="2"/>
      <c r="WH88" s="2"/>
      <c r="WI88" s="2"/>
      <c r="WJ88" s="2"/>
      <c r="WK88" s="2"/>
      <c r="WL88" s="2"/>
      <c r="WM88" s="2"/>
      <c r="WN88" s="2"/>
      <c r="WO88" s="2"/>
      <c r="WP88" s="2"/>
      <c r="WQ88" s="2"/>
      <c r="WR88" s="2"/>
      <c r="WS88" s="2"/>
      <c r="WT88" s="2"/>
      <c r="WU88" s="2"/>
      <c r="WV88" s="2"/>
      <c r="WW88" s="2"/>
      <c r="WX88" s="2"/>
      <c r="WY88" s="2"/>
      <c r="WZ88" s="2"/>
      <c r="XA88" s="2"/>
      <c r="XB88" s="2"/>
      <c r="XC88" s="2"/>
      <c r="XD88" s="2"/>
      <c r="XE88" s="2"/>
      <c r="XF88" s="2"/>
      <c r="XG88" s="2"/>
      <c r="XH88" s="2"/>
      <c r="XI88" s="2"/>
      <c r="XJ88" s="2"/>
      <c r="XK88" s="2"/>
      <c r="XL88" s="2"/>
      <c r="XM88" s="2"/>
      <c r="XN88" s="2"/>
      <c r="XO88" s="2"/>
      <c r="XP88" s="2"/>
      <c r="XQ88" s="2"/>
      <c r="XR88" s="2"/>
      <c r="XS88" s="2"/>
      <c r="XT88" s="2"/>
      <c r="XU88" s="2"/>
      <c r="XV88" s="2"/>
      <c r="XW88" s="2"/>
      <c r="XX88" s="2"/>
      <c r="XY88" s="2"/>
      <c r="XZ88" s="2"/>
      <c r="YA88" s="2"/>
      <c r="YB88" s="2"/>
      <c r="YC88" s="2"/>
      <c r="YD88" s="2"/>
      <c r="YE88" s="2"/>
      <c r="YF88" s="2"/>
      <c r="YG88" s="2"/>
      <c r="YH88" s="2"/>
      <c r="YI88" s="2"/>
      <c r="YJ88" s="2"/>
      <c r="YK88" s="2"/>
      <c r="YL88" s="2"/>
      <c r="YM88" s="2"/>
      <c r="YN88" s="2"/>
      <c r="YO88" s="2"/>
      <c r="YP88" s="2"/>
      <c r="YQ88" s="2"/>
      <c r="YR88" s="2"/>
      <c r="YS88" s="2"/>
      <c r="YT88" s="2"/>
      <c r="YU88" s="2"/>
      <c r="YV88" s="2"/>
      <c r="YW88" s="2"/>
      <c r="YX88" s="2"/>
      <c r="YY88" s="2"/>
      <c r="YZ88" s="2"/>
      <c r="ZA88" s="2"/>
      <c r="ZB88" s="2"/>
      <c r="ZC88" s="2"/>
      <c r="ZD88" s="2"/>
      <c r="ZE88" s="2"/>
      <c r="ZF88" s="2"/>
      <c r="ZG88" s="2"/>
      <c r="ZH88" s="2"/>
      <c r="ZI88" s="2"/>
      <c r="ZJ88" s="2"/>
      <c r="ZK88" s="2"/>
      <c r="ZL88" s="2"/>
      <c r="ZM88" s="2"/>
      <c r="ZN88" s="2"/>
      <c r="ZO88" s="2"/>
      <c r="ZP88" s="2"/>
      <c r="ZQ88" s="2"/>
      <c r="ZR88" s="2"/>
      <c r="ZS88" s="2"/>
      <c r="ZT88" s="2"/>
      <c r="ZU88" s="2"/>
      <c r="ZV88" s="2"/>
      <c r="ZW88" s="2"/>
      <c r="ZX88" s="2"/>
      <c r="ZY88" s="2"/>
      <c r="ZZ88" s="2"/>
      <c r="AAA88" s="2"/>
      <c r="AAB88" s="2"/>
      <c r="AAC88" s="2"/>
      <c r="AAD88" s="2"/>
      <c r="AAE88" s="2"/>
      <c r="AAF88" s="2"/>
      <c r="AAG88" s="2"/>
      <c r="AAH88" s="2"/>
      <c r="AAI88" s="2"/>
      <c r="AAJ88" s="2"/>
      <c r="AAK88" s="2"/>
      <c r="AAL88" s="2"/>
      <c r="AAM88" s="2"/>
      <c r="AAN88" s="2"/>
      <c r="AAO88" s="2"/>
      <c r="AAP88" s="2"/>
      <c r="AAQ88" s="2"/>
      <c r="AAR88" s="2"/>
      <c r="AAS88" s="2"/>
      <c r="AAT88" s="2"/>
      <c r="AAU88" s="2"/>
      <c r="AAV88" s="2"/>
      <c r="AAW88" s="2"/>
      <c r="AAX88" s="2"/>
      <c r="AAY88" s="2"/>
      <c r="AAZ88" s="2"/>
      <c r="ABA88" s="2"/>
      <c r="ABB88" s="2"/>
      <c r="ABC88" s="2"/>
      <c r="ABD88" s="2"/>
      <c r="ABE88" s="2"/>
      <c r="ABF88" s="2"/>
      <c r="ABG88" s="2"/>
      <c r="ABH88" s="2"/>
      <c r="ABI88" s="2"/>
      <c r="ABJ88" s="2"/>
      <c r="ABK88" s="2"/>
      <c r="ABL88" s="2"/>
      <c r="ABM88" s="2"/>
      <c r="ABN88" s="2"/>
      <c r="ABO88" s="2"/>
      <c r="ABP88" s="2"/>
      <c r="ABQ88" s="2"/>
      <c r="ABR88" s="2"/>
      <c r="ABS88" s="2"/>
      <c r="ABT88" s="2"/>
      <c r="ABU88" s="2"/>
      <c r="ABV88" s="2"/>
      <c r="ABW88" s="2"/>
      <c r="ABX88" s="2"/>
      <c r="ABY88" s="2"/>
      <c r="ABZ88" s="2"/>
      <c r="ACA88" s="2"/>
      <c r="ACB88" s="2"/>
      <c r="ACC88" s="2"/>
      <c r="ACD88" s="2"/>
      <c r="ACE88" s="2"/>
      <c r="ACF88" s="2"/>
      <c r="ACG88" s="2"/>
      <c r="ACH88" s="2"/>
      <c r="ACI88" s="2"/>
      <c r="ACJ88" s="2"/>
      <c r="ACK88" s="2"/>
      <c r="ACL88" s="2"/>
      <c r="ACM88" s="2"/>
      <c r="ACN88" s="2"/>
      <c r="ACO88" s="2"/>
      <c r="ACP88" s="2"/>
      <c r="ACQ88" s="2"/>
      <c r="ACR88" s="2"/>
      <c r="ACS88" s="2"/>
      <c r="ACT88" s="2"/>
      <c r="ACU88" s="2"/>
      <c r="ACV88" s="2"/>
      <c r="ACW88" s="2"/>
      <c r="ACX88" s="2"/>
      <c r="ACY88" s="2"/>
      <c r="ACZ88" s="2"/>
      <c r="ADA88" s="2"/>
      <c r="ADB88" s="2"/>
      <c r="ADC88" s="2"/>
      <c r="ADD88" s="2"/>
      <c r="ADE88" s="2"/>
      <c r="ADF88" s="2"/>
      <c r="ADG88" s="2"/>
      <c r="ADH88" s="2"/>
      <c r="ADI88" s="2"/>
      <c r="ADJ88" s="2"/>
      <c r="ADK88" s="2"/>
      <c r="ADL88" s="2"/>
      <c r="ADM88" s="2"/>
      <c r="ADN88" s="2"/>
      <c r="ADO88" s="2"/>
      <c r="ADP88" s="2"/>
      <c r="ADQ88" s="2"/>
      <c r="ADR88" s="2"/>
      <c r="ADS88" s="2"/>
      <c r="ADT88" s="2"/>
      <c r="ADU88" s="2"/>
      <c r="ADV88" s="2"/>
      <c r="ADW88" s="2"/>
      <c r="ADX88" s="2"/>
      <c r="ADY88" s="2"/>
      <c r="ADZ88" s="2"/>
      <c r="AEA88" s="2"/>
      <c r="AEB88" s="2"/>
      <c r="AEC88" s="2"/>
      <c r="AED88" s="2"/>
      <c r="AEE88" s="2"/>
      <c r="AEF88" s="2"/>
      <c r="AEG88" s="2"/>
      <c r="AEH88" s="2"/>
      <c r="AEI88" s="2"/>
      <c r="AEJ88" s="2"/>
      <c r="AEK88" s="2"/>
      <c r="AEL88" s="2"/>
      <c r="AEM88" s="2"/>
      <c r="AEN88" s="2"/>
      <c r="AEO88" s="2"/>
      <c r="AEP88" s="2"/>
      <c r="AEQ88" s="2"/>
      <c r="AER88" s="2"/>
      <c r="AES88" s="2"/>
      <c r="AET88" s="2"/>
      <c r="AEU88" s="2"/>
      <c r="AEV88" s="2"/>
      <c r="AEW88" s="2"/>
      <c r="AEX88" s="2"/>
      <c r="AEY88" s="2"/>
      <c r="AEZ88" s="2"/>
      <c r="AFA88" s="2"/>
      <c r="AFB88" s="2"/>
      <c r="AFC88" s="2"/>
      <c r="AFD88" s="2"/>
      <c r="AFE88" s="2"/>
      <c r="AFF88" s="2"/>
      <c r="AFG88" s="2"/>
      <c r="AFH88" s="2"/>
      <c r="AFI88" s="2"/>
      <c r="AFJ88" s="2"/>
      <c r="AFK88" s="2"/>
      <c r="AFL88" s="2"/>
      <c r="AFM88" s="2"/>
      <c r="AFN88" s="2"/>
      <c r="AFO88" s="2"/>
      <c r="AFP88" s="2"/>
      <c r="AFQ88" s="2"/>
      <c r="AFR88" s="2"/>
      <c r="AFS88" s="2"/>
      <c r="AFT88" s="2"/>
      <c r="AFU88" s="2"/>
      <c r="AFV88" s="2"/>
      <c r="AFW88" s="2"/>
      <c r="AFX88" s="2"/>
      <c r="AFY88" s="2"/>
      <c r="AFZ88" s="2"/>
      <c r="AGA88" s="2"/>
      <c r="AGB88" s="2"/>
      <c r="AGC88" s="2"/>
      <c r="AGD88" s="2"/>
      <c r="AGE88" s="2"/>
      <c r="AGF88" s="2"/>
      <c r="AGG88" s="2"/>
      <c r="AGH88" s="2"/>
      <c r="AGI88" s="2"/>
      <c r="AGJ88" s="2"/>
      <c r="AGK88" s="2"/>
      <c r="AGL88" s="2"/>
      <c r="AGM88" s="2"/>
      <c r="AGN88" s="2"/>
      <c r="AGO88" s="2"/>
      <c r="AGP88" s="2"/>
      <c r="AGQ88" s="2"/>
      <c r="AGR88" s="2"/>
      <c r="AGS88" s="2"/>
      <c r="AGT88" s="2"/>
      <c r="AGU88" s="2"/>
      <c r="AGV88" s="2"/>
      <c r="AGW88" s="2"/>
      <c r="AGX88" s="2"/>
      <c r="AGY88" s="2"/>
      <c r="AGZ88" s="2"/>
      <c r="AHA88" s="2"/>
      <c r="AHB88" s="2"/>
      <c r="AHC88" s="2"/>
      <c r="AHD88" s="2"/>
      <c r="AHE88" s="2"/>
      <c r="AHF88" s="2"/>
      <c r="AHG88" s="2"/>
      <c r="AHH88" s="2"/>
      <c r="AHI88" s="2"/>
      <c r="AHJ88" s="2"/>
      <c r="AHK88" s="2"/>
      <c r="AHL88" s="2"/>
      <c r="AHM88" s="2"/>
      <c r="AHN88" s="2"/>
      <c r="AHO88" s="2"/>
      <c r="AHP88" s="2"/>
      <c r="AHQ88" s="2"/>
      <c r="AHR88" s="2"/>
      <c r="AHS88" s="2"/>
      <c r="AHT88" s="2"/>
      <c r="AHU88" s="2"/>
      <c r="AHV88" s="2"/>
      <c r="AHW88" s="2"/>
      <c r="AHX88" s="2"/>
      <c r="AHY88" s="2"/>
      <c r="AHZ88" s="2"/>
      <c r="AIA88" s="2"/>
      <c r="AIB88" s="2"/>
      <c r="AIC88" s="2"/>
      <c r="AID88" s="2"/>
      <c r="AIE88" s="2"/>
      <c r="AIF88" s="2"/>
      <c r="AIG88" s="2"/>
      <c r="AIH88" s="2"/>
      <c r="AII88" s="2"/>
      <c r="AIJ88" s="2"/>
      <c r="AIK88" s="2"/>
      <c r="AIL88" s="2"/>
      <c r="AIM88" s="2"/>
      <c r="AIN88" s="2"/>
      <c r="AIO88" s="2"/>
      <c r="AIP88" s="2"/>
      <c r="AIQ88" s="2"/>
      <c r="AIR88" s="2"/>
      <c r="AIS88" s="2"/>
      <c r="AIT88" s="2"/>
      <c r="AIU88" s="2"/>
      <c r="AIV88" s="2"/>
      <c r="AIW88" s="2"/>
      <c r="AIX88" s="2"/>
      <c r="AIY88" s="2"/>
      <c r="AIZ88" s="2"/>
      <c r="AJA88" s="2"/>
      <c r="AJB88" s="2"/>
      <c r="AJC88" s="2"/>
      <c r="AJD88" s="2"/>
      <c r="AJE88" s="2"/>
      <c r="AJF88" s="2"/>
      <c r="AJG88" s="2"/>
      <c r="AJH88" s="2"/>
      <c r="AJI88" s="2"/>
      <c r="AJJ88" s="2"/>
      <c r="AJK88" s="2"/>
      <c r="AJL88" s="2"/>
      <c r="AJM88" s="2"/>
      <c r="AJN88" s="2"/>
      <c r="AJO88" s="2"/>
      <c r="AJP88" s="2"/>
      <c r="AJQ88" s="2"/>
      <c r="AJR88" s="2"/>
      <c r="AJS88" s="2"/>
      <c r="AJT88" s="2"/>
      <c r="AJU88" s="2"/>
      <c r="AJV88" s="2"/>
      <c r="AJW88" s="2"/>
      <c r="AJX88" s="2"/>
      <c r="AJY88" s="2"/>
      <c r="AJZ88" s="2"/>
      <c r="AKA88" s="2"/>
      <c r="AKB88" s="2"/>
      <c r="AKC88" s="2"/>
      <c r="AKD88" s="2"/>
      <c r="AKE88" s="2"/>
      <c r="AKF88" s="2"/>
      <c r="AKG88" s="2"/>
      <c r="AKH88" s="2"/>
      <c r="AKI88" s="2"/>
      <c r="AKJ88" s="2"/>
      <c r="AKK88" s="2"/>
      <c r="AKL88" s="2"/>
      <c r="AKM88" s="2"/>
      <c r="AKN88" s="2"/>
      <c r="AKO88" s="2"/>
      <c r="AKP88" s="2"/>
      <c r="AKQ88" s="2"/>
      <c r="AKR88" s="2"/>
      <c r="AKS88" s="2"/>
      <c r="AKT88" s="2"/>
      <c r="AKU88" s="2"/>
      <c r="AKV88" s="2"/>
      <c r="AKW88" s="2"/>
      <c r="AKX88" s="2"/>
      <c r="AKY88" s="2"/>
      <c r="AKZ88" s="2"/>
      <c r="ALA88" s="2"/>
      <c r="ALB88" s="2"/>
      <c r="ALC88" s="2"/>
      <c r="ALD88" s="2"/>
      <c r="ALE88" s="2"/>
      <c r="ALF88" s="2"/>
      <c r="ALG88" s="2"/>
      <c r="ALH88" s="2"/>
      <c r="ALI88" s="2"/>
      <c r="ALJ88" s="2"/>
      <c r="ALK88" s="2"/>
      <c r="ALL88" s="2"/>
      <c r="ALM88" s="2"/>
      <c r="ALN88" s="2"/>
      <c r="ALO88" s="2"/>
      <c r="ALP88" s="2"/>
      <c r="ALQ88" s="2"/>
      <c r="ALR88" s="2"/>
      <c r="ALS88" s="2"/>
      <c r="ALT88" s="2"/>
      <c r="ALU88" s="2"/>
      <c r="ALV88" s="2"/>
      <c r="ALW88" s="2"/>
      <c r="ALX88" s="2"/>
      <c r="ALY88" s="2"/>
      <c r="ALZ88" s="2"/>
      <c r="AMA88" s="2"/>
      <c r="AMB88" s="2"/>
      <c r="AMC88" s="2"/>
      <c r="AMD88" s="2"/>
      <c r="AME88" s="2"/>
    </row>
    <row r="89" spans="1:1019" ht="33.75" customHeight="1" x14ac:dyDescent="0.3">
      <c r="A89" s="45">
        <v>4.13</v>
      </c>
      <c r="B89" s="43" t="s">
        <v>124</v>
      </c>
      <c r="C89" s="45" t="s">
        <v>62</v>
      </c>
      <c r="D89" s="43" t="s">
        <v>125</v>
      </c>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c r="TA89" s="2"/>
      <c r="TB89" s="2"/>
      <c r="TC89" s="2"/>
      <c r="TD89" s="2"/>
      <c r="TE89" s="2"/>
      <c r="TF89" s="2"/>
      <c r="TG89" s="2"/>
      <c r="TH89" s="2"/>
      <c r="TI89" s="2"/>
      <c r="TJ89" s="2"/>
      <c r="TK89" s="2"/>
      <c r="TL89" s="2"/>
      <c r="TM89" s="2"/>
      <c r="TN89" s="2"/>
      <c r="TO89" s="2"/>
      <c r="TP89" s="2"/>
      <c r="TQ89" s="2"/>
      <c r="TR89" s="2"/>
      <c r="TS89" s="2"/>
      <c r="TT89" s="2"/>
      <c r="TU89" s="2"/>
      <c r="TV89" s="2"/>
      <c r="TW89" s="2"/>
      <c r="TX89" s="2"/>
      <c r="TY89" s="2"/>
      <c r="TZ89" s="2"/>
      <c r="UA89" s="2"/>
      <c r="UB89" s="2"/>
      <c r="UC89" s="2"/>
      <c r="UD89" s="2"/>
      <c r="UE89" s="2"/>
      <c r="UF89" s="2"/>
      <c r="UG89" s="2"/>
      <c r="UH89" s="2"/>
      <c r="UI89" s="2"/>
      <c r="UJ89" s="2"/>
      <c r="UK89" s="2"/>
      <c r="UL89" s="2"/>
      <c r="UM89" s="2"/>
      <c r="UN89" s="2"/>
      <c r="UO89" s="2"/>
      <c r="UP89" s="2"/>
      <c r="UQ89" s="2"/>
      <c r="UR89" s="2"/>
      <c r="US89" s="2"/>
      <c r="UT89" s="2"/>
      <c r="UU89" s="2"/>
      <c r="UV89" s="2"/>
      <c r="UW89" s="2"/>
      <c r="UX89" s="2"/>
      <c r="UY89" s="2"/>
      <c r="UZ89" s="2"/>
      <c r="VA89" s="2"/>
      <c r="VB89" s="2"/>
      <c r="VC89" s="2"/>
      <c r="VD89" s="2"/>
      <c r="VE89" s="2"/>
      <c r="VF89" s="2"/>
      <c r="VG89" s="2"/>
      <c r="VH89" s="2"/>
      <c r="VI89" s="2"/>
      <c r="VJ89" s="2"/>
      <c r="VK89" s="2"/>
      <c r="VL89" s="2"/>
      <c r="VM89" s="2"/>
      <c r="VN89" s="2"/>
      <c r="VO89" s="2"/>
      <c r="VP89" s="2"/>
      <c r="VQ89" s="2"/>
      <c r="VR89" s="2"/>
      <c r="VS89" s="2"/>
      <c r="VT89" s="2"/>
      <c r="VU89" s="2"/>
      <c r="VV89" s="2"/>
      <c r="VW89" s="2"/>
      <c r="VX89" s="2"/>
      <c r="VY89" s="2"/>
      <c r="VZ89" s="2"/>
      <c r="WA89" s="2"/>
      <c r="WB89" s="2"/>
      <c r="WC89" s="2"/>
      <c r="WD89" s="2"/>
      <c r="WE89" s="2"/>
      <c r="WF89" s="2"/>
      <c r="WG89" s="2"/>
      <c r="WH89" s="2"/>
      <c r="WI89" s="2"/>
      <c r="WJ89" s="2"/>
      <c r="WK89" s="2"/>
      <c r="WL89" s="2"/>
      <c r="WM89" s="2"/>
      <c r="WN89" s="2"/>
      <c r="WO89" s="2"/>
      <c r="WP89" s="2"/>
      <c r="WQ89" s="2"/>
      <c r="WR89" s="2"/>
      <c r="WS89" s="2"/>
      <c r="WT89" s="2"/>
      <c r="WU89" s="2"/>
      <c r="WV89" s="2"/>
      <c r="WW89" s="2"/>
      <c r="WX89" s="2"/>
      <c r="WY89" s="2"/>
      <c r="WZ89" s="2"/>
      <c r="XA89" s="2"/>
      <c r="XB89" s="2"/>
      <c r="XC89" s="2"/>
      <c r="XD89" s="2"/>
      <c r="XE89" s="2"/>
      <c r="XF89" s="2"/>
      <c r="XG89" s="2"/>
      <c r="XH89" s="2"/>
      <c r="XI89" s="2"/>
      <c r="XJ89" s="2"/>
      <c r="XK89" s="2"/>
      <c r="XL89" s="2"/>
      <c r="XM89" s="2"/>
      <c r="XN89" s="2"/>
      <c r="XO89" s="2"/>
      <c r="XP89" s="2"/>
      <c r="XQ89" s="2"/>
      <c r="XR89" s="2"/>
      <c r="XS89" s="2"/>
      <c r="XT89" s="2"/>
      <c r="XU89" s="2"/>
      <c r="XV89" s="2"/>
      <c r="XW89" s="2"/>
      <c r="XX89" s="2"/>
      <c r="XY89" s="2"/>
      <c r="XZ89" s="2"/>
      <c r="YA89" s="2"/>
      <c r="YB89" s="2"/>
      <c r="YC89" s="2"/>
      <c r="YD89" s="2"/>
      <c r="YE89" s="2"/>
      <c r="YF89" s="2"/>
      <c r="YG89" s="2"/>
      <c r="YH89" s="2"/>
      <c r="YI89" s="2"/>
      <c r="YJ89" s="2"/>
      <c r="YK89" s="2"/>
      <c r="YL89" s="2"/>
      <c r="YM89" s="2"/>
      <c r="YN89" s="2"/>
      <c r="YO89" s="2"/>
      <c r="YP89" s="2"/>
      <c r="YQ89" s="2"/>
      <c r="YR89" s="2"/>
      <c r="YS89" s="2"/>
      <c r="YT89" s="2"/>
      <c r="YU89" s="2"/>
      <c r="YV89" s="2"/>
      <c r="YW89" s="2"/>
      <c r="YX89" s="2"/>
      <c r="YY89" s="2"/>
      <c r="YZ89" s="2"/>
      <c r="ZA89" s="2"/>
      <c r="ZB89" s="2"/>
      <c r="ZC89" s="2"/>
      <c r="ZD89" s="2"/>
      <c r="ZE89" s="2"/>
      <c r="ZF89" s="2"/>
      <c r="ZG89" s="2"/>
      <c r="ZH89" s="2"/>
      <c r="ZI89" s="2"/>
      <c r="ZJ89" s="2"/>
      <c r="ZK89" s="2"/>
      <c r="ZL89" s="2"/>
      <c r="ZM89" s="2"/>
      <c r="ZN89" s="2"/>
      <c r="ZO89" s="2"/>
      <c r="ZP89" s="2"/>
      <c r="ZQ89" s="2"/>
      <c r="ZR89" s="2"/>
      <c r="ZS89" s="2"/>
      <c r="ZT89" s="2"/>
      <c r="ZU89" s="2"/>
      <c r="ZV89" s="2"/>
      <c r="ZW89" s="2"/>
      <c r="ZX89" s="2"/>
      <c r="ZY89" s="2"/>
      <c r="ZZ89" s="2"/>
      <c r="AAA89" s="2"/>
      <c r="AAB89" s="2"/>
      <c r="AAC89" s="2"/>
      <c r="AAD89" s="2"/>
      <c r="AAE89" s="2"/>
      <c r="AAF89" s="2"/>
      <c r="AAG89" s="2"/>
      <c r="AAH89" s="2"/>
      <c r="AAI89" s="2"/>
      <c r="AAJ89" s="2"/>
      <c r="AAK89" s="2"/>
      <c r="AAL89" s="2"/>
      <c r="AAM89" s="2"/>
      <c r="AAN89" s="2"/>
      <c r="AAO89" s="2"/>
      <c r="AAP89" s="2"/>
      <c r="AAQ89" s="2"/>
      <c r="AAR89" s="2"/>
      <c r="AAS89" s="2"/>
      <c r="AAT89" s="2"/>
      <c r="AAU89" s="2"/>
      <c r="AAV89" s="2"/>
      <c r="AAW89" s="2"/>
      <c r="AAX89" s="2"/>
      <c r="AAY89" s="2"/>
      <c r="AAZ89" s="2"/>
      <c r="ABA89" s="2"/>
      <c r="ABB89" s="2"/>
      <c r="ABC89" s="2"/>
      <c r="ABD89" s="2"/>
      <c r="ABE89" s="2"/>
      <c r="ABF89" s="2"/>
      <c r="ABG89" s="2"/>
      <c r="ABH89" s="2"/>
      <c r="ABI89" s="2"/>
      <c r="ABJ89" s="2"/>
      <c r="ABK89" s="2"/>
      <c r="ABL89" s="2"/>
      <c r="ABM89" s="2"/>
      <c r="ABN89" s="2"/>
      <c r="ABO89" s="2"/>
      <c r="ABP89" s="2"/>
      <c r="ABQ89" s="2"/>
      <c r="ABR89" s="2"/>
      <c r="ABS89" s="2"/>
      <c r="ABT89" s="2"/>
      <c r="ABU89" s="2"/>
      <c r="ABV89" s="2"/>
      <c r="ABW89" s="2"/>
      <c r="ABX89" s="2"/>
      <c r="ABY89" s="2"/>
      <c r="ABZ89" s="2"/>
      <c r="ACA89" s="2"/>
      <c r="ACB89" s="2"/>
      <c r="ACC89" s="2"/>
      <c r="ACD89" s="2"/>
      <c r="ACE89" s="2"/>
      <c r="ACF89" s="2"/>
      <c r="ACG89" s="2"/>
      <c r="ACH89" s="2"/>
      <c r="ACI89" s="2"/>
      <c r="ACJ89" s="2"/>
      <c r="ACK89" s="2"/>
      <c r="ACL89" s="2"/>
      <c r="ACM89" s="2"/>
      <c r="ACN89" s="2"/>
      <c r="ACO89" s="2"/>
      <c r="ACP89" s="2"/>
      <c r="ACQ89" s="2"/>
      <c r="ACR89" s="2"/>
      <c r="ACS89" s="2"/>
      <c r="ACT89" s="2"/>
      <c r="ACU89" s="2"/>
      <c r="ACV89" s="2"/>
      <c r="ACW89" s="2"/>
      <c r="ACX89" s="2"/>
      <c r="ACY89" s="2"/>
      <c r="ACZ89" s="2"/>
      <c r="ADA89" s="2"/>
      <c r="ADB89" s="2"/>
      <c r="ADC89" s="2"/>
      <c r="ADD89" s="2"/>
      <c r="ADE89" s="2"/>
      <c r="ADF89" s="2"/>
      <c r="ADG89" s="2"/>
      <c r="ADH89" s="2"/>
      <c r="ADI89" s="2"/>
      <c r="ADJ89" s="2"/>
      <c r="ADK89" s="2"/>
      <c r="ADL89" s="2"/>
      <c r="ADM89" s="2"/>
      <c r="ADN89" s="2"/>
      <c r="ADO89" s="2"/>
      <c r="ADP89" s="2"/>
      <c r="ADQ89" s="2"/>
      <c r="ADR89" s="2"/>
      <c r="ADS89" s="2"/>
      <c r="ADT89" s="2"/>
      <c r="ADU89" s="2"/>
      <c r="ADV89" s="2"/>
      <c r="ADW89" s="2"/>
      <c r="ADX89" s="2"/>
      <c r="ADY89" s="2"/>
      <c r="ADZ89" s="2"/>
      <c r="AEA89" s="2"/>
      <c r="AEB89" s="2"/>
      <c r="AEC89" s="2"/>
      <c r="AED89" s="2"/>
      <c r="AEE89" s="2"/>
      <c r="AEF89" s="2"/>
      <c r="AEG89" s="2"/>
      <c r="AEH89" s="2"/>
      <c r="AEI89" s="2"/>
      <c r="AEJ89" s="2"/>
      <c r="AEK89" s="2"/>
      <c r="AEL89" s="2"/>
      <c r="AEM89" s="2"/>
      <c r="AEN89" s="2"/>
      <c r="AEO89" s="2"/>
      <c r="AEP89" s="2"/>
      <c r="AEQ89" s="2"/>
      <c r="AER89" s="2"/>
      <c r="AES89" s="2"/>
      <c r="AET89" s="2"/>
      <c r="AEU89" s="2"/>
      <c r="AEV89" s="2"/>
      <c r="AEW89" s="2"/>
      <c r="AEX89" s="2"/>
      <c r="AEY89" s="2"/>
      <c r="AEZ89" s="2"/>
      <c r="AFA89" s="2"/>
      <c r="AFB89" s="2"/>
      <c r="AFC89" s="2"/>
      <c r="AFD89" s="2"/>
      <c r="AFE89" s="2"/>
      <c r="AFF89" s="2"/>
      <c r="AFG89" s="2"/>
      <c r="AFH89" s="2"/>
      <c r="AFI89" s="2"/>
      <c r="AFJ89" s="2"/>
      <c r="AFK89" s="2"/>
      <c r="AFL89" s="2"/>
      <c r="AFM89" s="2"/>
      <c r="AFN89" s="2"/>
      <c r="AFO89" s="2"/>
      <c r="AFP89" s="2"/>
      <c r="AFQ89" s="2"/>
      <c r="AFR89" s="2"/>
      <c r="AFS89" s="2"/>
      <c r="AFT89" s="2"/>
      <c r="AFU89" s="2"/>
      <c r="AFV89" s="2"/>
      <c r="AFW89" s="2"/>
      <c r="AFX89" s="2"/>
      <c r="AFY89" s="2"/>
      <c r="AFZ89" s="2"/>
      <c r="AGA89" s="2"/>
      <c r="AGB89" s="2"/>
      <c r="AGC89" s="2"/>
      <c r="AGD89" s="2"/>
      <c r="AGE89" s="2"/>
      <c r="AGF89" s="2"/>
      <c r="AGG89" s="2"/>
      <c r="AGH89" s="2"/>
      <c r="AGI89" s="2"/>
      <c r="AGJ89" s="2"/>
      <c r="AGK89" s="2"/>
      <c r="AGL89" s="2"/>
      <c r="AGM89" s="2"/>
      <c r="AGN89" s="2"/>
      <c r="AGO89" s="2"/>
      <c r="AGP89" s="2"/>
      <c r="AGQ89" s="2"/>
      <c r="AGR89" s="2"/>
      <c r="AGS89" s="2"/>
      <c r="AGT89" s="2"/>
      <c r="AGU89" s="2"/>
      <c r="AGV89" s="2"/>
      <c r="AGW89" s="2"/>
      <c r="AGX89" s="2"/>
      <c r="AGY89" s="2"/>
      <c r="AGZ89" s="2"/>
      <c r="AHA89" s="2"/>
      <c r="AHB89" s="2"/>
      <c r="AHC89" s="2"/>
      <c r="AHD89" s="2"/>
      <c r="AHE89" s="2"/>
      <c r="AHF89" s="2"/>
      <c r="AHG89" s="2"/>
      <c r="AHH89" s="2"/>
      <c r="AHI89" s="2"/>
      <c r="AHJ89" s="2"/>
      <c r="AHK89" s="2"/>
      <c r="AHL89" s="2"/>
      <c r="AHM89" s="2"/>
      <c r="AHN89" s="2"/>
      <c r="AHO89" s="2"/>
      <c r="AHP89" s="2"/>
      <c r="AHQ89" s="2"/>
      <c r="AHR89" s="2"/>
      <c r="AHS89" s="2"/>
      <c r="AHT89" s="2"/>
      <c r="AHU89" s="2"/>
      <c r="AHV89" s="2"/>
      <c r="AHW89" s="2"/>
      <c r="AHX89" s="2"/>
      <c r="AHY89" s="2"/>
      <c r="AHZ89" s="2"/>
      <c r="AIA89" s="2"/>
      <c r="AIB89" s="2"/>
      <c r="AIC89" s="2"/>
      <c r="AID89" s="2"/>
      <c r="AIE89" s="2"/>
      <c r="AIF89" s="2"/>
      <c r="AIG89" s="2"/>
      <c r="AIH89" s="2"/>
      <c r="AII89" s="2"/>
      <c r="AIJ89" s="2"/>
      <c r="AIK89" s="2"/>
      <c r="AIL89" s="2"/>
      <c r="AIM89" s="2"/>
      <c r="AIN89" s="2"/>
      <c r="AIO89" s="2"/>
      <c r="AIP89" s="2"/>
      <c r="AIQ89" s="2"/>
      <c r="AIR89" s="2"/>
      <c r="AIS89" s="2"/>
      <c r="AIT89" s="2"/>
      <c r="AIU89" s="2"/>
      <c r="AIV89" s="2"/>
      <c r="AIW89" s="2"/>
      <c r="AIX89" s="2"/>
      <c r="AIY89" s="2"/>
      <c r="AIZ89" s="2"/>
      <c r="AJA89" s="2"/>
      <c r="AJB89" s="2"/>
      <c r="AJC89" s="2"/>
      <c r="AJD89" s="2"/>
      <c r="AJE89" s="2"/>
      <c r="AJF89" s="2"/>
      <c r="AJG89" s="2"/>
      <c r="AJH89" s="2"/>
      <c r="AJI89" s="2"/>
      <c r="AJJ89" s="2"/>
      <c r="AJK89" s="2"/>
      <c r="AJL89" s="2"/>
      <c r="AJM89" s="2"/>
      <c r="AJN89" s="2"/>
      <c r="AJO89" s="2"/>
      <c r="AJP89" s="2"/>
      <c r="AJQ89" s="2"/>
      <c r="AJR89" s="2"/>
      <c r="AJS89" s="2"/>
      <c r="AJT89" s="2"/>
      <c r="AJU89" s="2"/>
      <c r="AJV89" s="2"/>
      <c r="AJW89" s="2"/>
      <c r="AJX89" s="2"/>
      <c r="AJY89" s="2"/>
      <c r="AJZ89" s="2"/>
      <c r="AKA89" s="2"/>
      <c r="AKB89" s="2"/>
      <c r="AKC89" s="2"/>
      <c r="AKD89" s="2"/>
      <c r="AKE89" s="2"/>
      <c r="AKF89" s="2"/>
      <c r="AKG89" s="2"/>
      <c r="AKH89" s="2"/>
      <c r="AKI89" s="2"/>
      <c r="AKJ89" s="2"/>
      <c r="AKK89" s="2"/>
      <c r="AKL89" s="2"/>
      <c r="AKM89" s="2"/>
      <c r="AKN89" s="2"/>
      <c r="AKO89" s="2"/>
      <c r="AKP89" s="2"/>
      <c r="AKQ89" s="2"/>
      <c r="AKR89" s="2"/>
      <c r="AKS89" s="2"/>
      <c r="AKT89" s="2"/>
      <c r="AKU89" s="2"/>
      <c r="AKV89" s="2"/>
      <c r="AKW89" s="2"/>
      <c r="AKX89" s="2"/>
      <c r="AKY89" s="2"/>
      <c r="AKZ89" s="2"/>
      <c r="ALA89" s="2"/>
      <c r="ALB89" s="2"/>
      <c r="ALC89" s="2"/>
      <c r="ALD89" s="2"/>
      <c r="ALE89" s="2"/>
      <c r="ALF89" s="2"/>
      <c r="ALG89" s="2"/>
      <c r="ALH89" s="2"/>
      <c r="ALI89" s="2"/>
      <c r="ALJ89" s="2"/>
      <c r="ALK89" s="2"/>
      <c r="ALL89" s="2"/>
      <c r="ALM89" s="2"/>
      <c r="ALN89" s="2"/>
      <c r="ALO89" s="2"/>
      <c r="ALP89" s="2"/>
      <c r="ALQ89" s="2"/>
      <c r="ALR89" s="2"/>
      <c r="ALS89" s="2"/>
      <c r="ALT89" s="2"/>
      <c r="ALU89" s="2"/>
      <c r="ALV89" s="2"/>
      <c r="ALW89" s="2"/>
      <c r="ALX89" s="2"/>
      <c r="ALY89" s="2"/>
      <c r="ALZ89" s="2"/>
      <c r="AMA89" s="2"/>
      <c r="AMB89" s="2"/>
      <c r="AMC89" s="2"/>
      <c r="AMD89" s="2"/>
      <c r="AME89" s="2"/>
    </row>
    <row r="90" spans="1:1019" ht="19.5" customHeight="1" x14ac:dyDescent="0.3">
      <c r="A90" s="45"/>
      <c r="B90" s="43"/>
      <c r="C90" s="36" t="s">
        <v>62</v>
      </c>
      <c r="D90" s="43" t="s">
        <v>126</v>
      </c>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c r="TA90" s="2"/>
      <c r="TB90" s="2"/>
      <c r="TC90" s="2"/>
      <c r="TD90" s="2"/>
      <c r="TE90" s="2"/>
      <c r="TF90" s="2"/>
      <c r="TG90" s="2"/>
      <c r="TH90" s="2"/>
      <c r="TI90" s="2"/>
      <c r="TJ90" s="2"/>
      <c r="TK90" s="2"/>
      <c r="TL90" s="2"/>
      <c r="TM90" s="2"/>
      <c r="TN90" s="2"/>
      <c r="TO90" s="2"/>
      <c r="TP90" s="2"/>
      <c r="TQ90" s="2"/>
      <c r="TR90" s="2"/>
      <c r="TS90" s="2"/>
      <c r="TT90" s="2"/>
      <c r="TU90" s="2"/>
      <c r="TV90" s="2"/>
      <c r="TW90" s="2"/>
      <c r="TX90" s="2"/>
      <c r="TY90" s="2"/>
      <c r="TZ90" s="2"/>
      <c r="UA90" s="2"/>
      <c r="UB90" s="2"/>
      <c r="UC90" s="2"/>
      <c r="UD90" s="2"/>
      <c r="UE90" s="2"/>
      <c r="UF90" s="2"/>
      <c r="UG90" s="2"/>
      <c r="UH90" s="2"/>
      <c r="UI90" s="2"/>
      <c r="UJ90" s="2"/>
      <c r="UK90" s="2"/>
      <c r="UL90" s="2"/>
      <c r="UM90" s="2"/>
      <c r="UN90" s="2"/>
      <c r="UO90" s="2"/>
      <c r="UP90" s="2"/>
      <c r="UQ90" s="2"/>
      <c r="UR90" s="2"/>
      <c r="US90" s="2"/>
      <c r="UT90" s="2"/>
      <c r="UU90" s="2"/>
      <c r="UV90" s="2"/>
      <c r="UW90" s="2"/>
      <c r="UX90" s="2"/>
      <c r="UY90" s="2"/>
      <c r="UZ90" s="2"/>
      <c r="VA90" s="2"/>
      <c r="VB90" s="2"/>
      <c r="VC90" s="2"/>
      <c r="VD90" s="2"/>
      <c r="VE90" s="2"/>
      <c r="VF90" s="2"/>
      <c r="VG90" s="2"/>
      <c r="VH90" s="2"/>
      <c r="VI90" s="2"/>
      <c r="VJ90" s="2"/>
      <c r="VK90" s="2"/>
      <c r="VL90" s="2"/>
      <c r="VM90" s="2"/>
      <c r="VN90" s="2"/>
      <c r="VO90" s="2"/>
      <c r="VP90" s="2"/>
      <c r="VQ90" s="2"/>
      <c r="VR90" s="2"/>
      <c r="VS90" s="2"/>
      <c r="VT90" s="2"/>
      <c r="VU90" s="2"/>
      <c r="VV90" s="2"/>
      <c r="VW90" s="2"/>
      <c r="VX90" s="2"/>
      <c r="VY90" s="2"/>
      <c r="VZ90" s="2"/>
      <c r="WA90" s="2"/>
      <c r="WB90" s="2"/>
      <c r="WC90" s="2"/>
      <c r="WD90" s="2"/>
      <c r="WE90" s="2"/>
      <c r="WF90" s="2"/>
      <c r="WG90" s="2"/>
      <c r="WH90" s="2"/>
      <c r="WI90" s="2"/>
      <c r="WJ90" s="2"/>
      <c r="WK90" s="2"/>
      <c r="WL90" s="2"/>
      <c r="WM90" s="2"/>
      <c r="WN90" s="2"/>
      <c r="WO90" s="2"/>
      <c r="WP90" s="2"/>
      <c r="WQ90" s="2"/>
      <c r="WR90" s="2"/>
      <c r="WS90" s="2"/>
      <c r="WT90" s="2"/>
      <c r="WU90" s="2"/>
      <c r="WV90" s="2"/>
      <c r="WW90" s="2"/>
      <c r="WX90" s="2"/>
      <c r="WY90" s="2"/>
      <c r="WZ90" s="2"/>
      <c r="XA90" s="2"/>
      <c r="XB90" s="2"/>
      <c r="XC90" s="2"/>
      <c r="XD90" s="2"/>
      <c r="XE90" s="2"/>
      <c r="XF90" s="2"/>
      <c r="XG90" s="2"/>
      <c r="XH90" s="2"/>
      <c r="XI90" s="2"/>
      <c r="XJ90" s="2"/>
      <c r="XK90" s="2"/>
      <c r="XL90" s="2"/>
      <c r="XM90" s="2"/>
      <c r="XN90" s="2"/>
      <c r="XO90" s="2"/>
      <c r="XP90" s="2"/>
      <c r="XQ90" s="2"/>
      <c r="XR90" s="2"/>
      <c r="XS90" s="2"/>
      <c r="XT90" s="2"/>
      <c r="XU90" s="2"/>
      <c r="XV90" s="2"/>
      <c r="XW90" s="2"/>
      <c r="XX90" s="2"/>
      <c r="XY90" s="2"/>
      <c r="XZ90" s="2"/>
      <c r="YA90" s="2"/>
      <c r="YB90" s="2"/>
      <c r="YC90" s="2"/>
      <c r="YD90" s="2"/>
      <c r="YE90" s="2"/>
      <c r="YF90" s="2"/>
      <c r="YG90" s="2"/>
      <c r="YH90" s="2"/>
      <c r="YI90" s="2"/>
      <c r="YJ90" s="2"/>
      <c r="YK90" s="2"/>
      <c r="YL90" s="2"/>
      <c r="YM90" s="2"/>
      <c r="YN90" s="2"/>
      <c r="YO90" s="2"/>
      <c r="YP90" s="2"/>
      <c r="YQ90" s="2"/>
      <c r="YR90" s="2"/>
      <c r="YS90" s="2"/>
      <c r="YT90" s="2"/>
      <c r="YU90" s="2"/>
      <c r="YV90" s="2"/>
      <c r="YW90" s="2"/>
      <c r="YX90" s="2"/>
      <c r="YY90" s="2"/>
      <c r="YZ90" s="2"/>
      <c r="ZA90" s="2"/>
      <c r="ZB90" s="2"/>
      <c r="ZC90" s="2"/>
      <c r="ZD90" s="2"/>
      <c r="ZE90" s="2"/>
      <c r="ZF90" s="2"/>
      <c r="ZG90" s="2"/>
      <c r="ZH90" s="2"/>
      <c r="ZI90" s="2"/>
      <c r="ZJ90" s="2"/>
      <c r="ZK90" s="2"/>
      <c r="ZL90" s="2"/>
      <c r="ZM90" s="2"/>
      <c r="ZN90" s="2"/>
      <c r="ZO90" s="2"/>
      <c r="ZP90" s="2"/>
      <c r="ZQ90" s="2"/>
      <c r="ZR90" s="2"/>
      <c r="ZS90" s="2"/>
      <c r="ZT90" s="2"/>
      <c r="ZU90" s="2"/>
      <c r="ZV90" s="2"/>
      <c r="ZW90" s="2"/>
      <c r="ZX90" s="2"/>
      <c r="ZY90" s="2"/>
      <c r="ZZ90" s="2"/>
      <c r="AAA90" s="2"/>
      <c r="AAB90" s="2"/>
      <c r="AAC90" s="2"/>
      <c r="AAD90" s="2"/>
      <c r="AAE90" s="2"/>
      <c r="AAF90" s="2"/>
      <c r="AAG90" s="2"/>
      <c r="AAH90" s="2"/>
      <c r="AAI90" s="2"/>
      <c r="AAJ90" s="2"/>
      <c r="AAK90" s="2"/>
      <c r="AAL90" s="2"/>
      <c r="AAM90" s="2"/>
      <c r="AAN90" s="2"/>
      <c r="AAO90" s="2"/>
      <c r="AAP90" s="2"/>
      <c r="AAQ90" s="2"/>
      <c r="AAR90" s="2"/>
      <c r="AAS90" s="2"/>
      <c r="AAT90" s="2"/>
      <c r="AAU90" s="2"/>
      <c r="AAV90" s="2"/>
      <c r="AAW90" s="2"/>
      <c r="AAX90" s="2"/>
      <c r="AAY90" s="2"/>
      <c r="AAZ90" s="2"/>
      <c r="ABA90" s="2"/>
      <c r="ABB90" s="2"/>
      <c r="ABC90" s="2"/>
      <c r="ABD90" s="2"/>
      <c r="ABE90" s="2"/>
      <c r="ABF90" s="2"/>
      <c r="ABG90" s="2"/>
      <c r="ABH90" s="2"/>
      <c r="ABI90" s="2"/>
      <c r="ABJ90" s="2"/>
      <c r="ABK90" s="2"/>
      <c r="ABL90" s="2"/>
      <c r="ABM90" s="2"/>
      <c r="ABN90" s="2"/>
      <c r="ABO90" s="2"/>
      <c r="ABP90" s="2"/>
      <c r="ABQ90" s="2"/>
      <c r="ABR90" s="2"/>
      <c r="ABS90" s="2"/>
      <c r="ABT90" s="2"/>
      <c r="ABU90" s="2"/>
      <c r="ABV90" s="2"/>
      <c r="ABW90" s="2"/>
      <c r="ABX90" s="2"/>
      <c r="ABY90" s="2"/>
      <c r="ABZ90" s="2"/>
      <c r="ACA90" s="2"/>
      <c r="ACB90" s="2"/>
      <c r="ACC90" s="2"/>
      <c r="ACD90" s="2"/>
      <c r="ACE90" s="2"/>
      <c r="ACF90" s="2"/>
      <c r="ACG90" s="2"/>
      <c r="ACH90" s="2"/>
      <c r="ACI90" s="2"/>
      <c r="ACJ90" s="2"/>
      <c r="ACK90" s="2"/>
      <c r="ACL90" s="2"/>
      <c r="ACM90" s="2"/>
      <c r="ACN90" s="2"/>
      <c r="ACO90" s="2"/>
      <c r="ACP90" s="2"/>
      <c r="ACQ90" s="2"/>
      <c r="ACR90" s="2"/>
      <c r="ACS90" s="2"/>
      <c r="ACT90" s="2"/>
      <c r="ACU90" s="2"/>
      <c r="ACV90" s="2"/>
      <c r="ACW90" s="2"/>
      <c r="ACX90" s="2"/>
      <c r="ACY90" s="2"/>
      <c r="ACZ90" s="2"/>
      <c r="ADA90" s="2"/>
      <c r="ADB90" s="2"/>
      <c r="ADC90" s="2"/>
      <c r="ADD90" s="2"/>
      <c r="ADE90" s="2"/>
      <c r="ADF90" s="2"/>
      <c r="ADG90" s="2"/>
      <c r="ADH90" s="2"/>
      <c r="ADI90" s="2"/>
      <c r="ADJ90" s="2"/>
      <c r="ADK90" s="2"/>
      <c r="ADL90" s="2"/>
      <c r="ADM90" s="2"/>
      <c r="ADN90" s="2"/>
      <c r="ADO90" s="2"/>
      <c r="ADP90" s="2"/>
      <c r="ADQ90" s="2"/>
      <c r="ADR90" s="2"/>
      <c r="ADS90" s="2"/>
      <c r="ADT90" s="2"/>
      <c r="ADU90" s="2"/>
      <c r="ADV90" s="2"/>
      <c r="ADW90" s="2"/>
      <c r="ADX90" s="2"/>
      <c r="ADY90" s="2"/>
      <c r="ADZ90" s="2"/>
      <c r="AEA90" s="2"/>
      <c r="AEB90" s="2"/>
      <c r="AEC90" s="2"/>
      <c r="AED90" s="2"/>
      <c r="AEE90" s="2"/>
      <c r="AEF90" s="2"/>
      <c r="AEG90" s="2"/>
      <c r="AEH90" s="2"/>
      <c r="AEI90" s="2"/>
      <c r="AEJ90" s="2"/>
      <c r="AEK90" s="2"/>
      <c r="AEL90" s="2"/>
      <c r="AEM90" s="2"/>
      <c r="AEN90" s="2"/>
      <c r="AEO90" s="2"/>
      <c r="AEP90" s="2"/>
      <c r="AEQ90" s="2"/>
      <c r="AER90" s="2"/>
      <c r="AES90" s="2"/>
      <c r="AET90" s="2"/>
      <c r="AEU90" s="2"/>
      <c r="AEV90" s="2"/>
      <c r="AEW90" s="2"/>
      <c r="AEX90" s="2"/>
      <c r="AEY90" s="2"/>
      <c r="AEZ90" s="2"/>
      <c r="AFA90" s="2"/>
      <c r="AFB90" s="2"/>
      <c r="AFC90" s="2"/>
      <c r="AFD90" s="2"/>
      <c r="AFE90" s="2"/>
      <c r="AFF90" s="2"/>
      <c r="AFG90" s="2"/>
      <c r="AFH90" s="2"/>
      <c r="AFI90" s="2"/>
      <c r="AFJ90" s="2"/>
      <c r="AFK90" s="2"/>
      <c r="AFL90" s="2"/>
      <c r="AFM90" s="2"/>
      <c r="AFN90" s="2"/>
      <c r="AFO90" s="2"/>
      <c r="AFP90" s="2"/>
      <c r="AFQ90" s="2"/>
      <c r="AFR90" s="2"/>
      <c r="AFS90" s="2"/>
      <c r="AFT90" s="2"/>
      <c r="AFU90" s="2"/>
      <c r="AFV90" s="2"/>
      <c r="AFW90" s="2"/>
      <c r="AFX90" s="2"/>
      <c r="AFY90" s="2"/>
      <c r="AFZ90" s="2"/>
      <c r="AGA90" s="2"/>
      <c r="AGB90" s="2"/>
      <c r="AGC90" s="2"/>
      <c r="AGD90" s="2"/>
      <c r="AGE90" s="2"/>
      <c r="AGF90" s="2"/>
      <c r="AGG90" s="2"/>
      <c r="AGH90" s="2"/>
      <c r="AGI90" s="2"/>
      <c r="AGJ90" s="2"/>
      <c r="AGK90" s="2"/>
      <c r="AGL90" s="2"/>
      <c r="AGM90" s="2"/>
      <c r="AGN90" s="2"/>
      <c r="AGO90" s="2"/>
      <c r="AGP90" s="2"/>
      <c r="AGQ90" s="2"/>
      <c r="AGR90" s="2"/>
      <c r="AGS90" s="2"/>
      <c r="AGT90" s="2"/>
      <c r="AGU90" s="2"/>
      <c r="AGV90" s="2"/>
      <c r="AGW90" s="2"/>
      <c r="AGX90" s="2"/>
      <c r="AGY90" s="2"/>
      <c r="AGZ90" s="2"/>
      <c r="AHA90" s="2"/>
      <c r="AHB90" s="2"/>
      <c r="AHC90" s="2"/>
      <c r="AHD90" s="2"/>
      <c r="AHE90" s="2"/>
      <c r="AHF90" s="2"/>
      <c r="AHG90" s="2"/>
      <c r="AHH90" s="2"/>
      <c r="AHI90" s="2"/>
      <c r="AHJ90" s="2"/>
      <c r="AHK90" s="2"/>
      <c r="AHL90" s="2"/>
      <c r="AHM90" s="2"/>
      <c r="AHN90" s="2"/>
      <c r="AHO90" s="2"/>
      <c r="AHP90" s="2"/>
      <c r="AHQ90" s="2"/>
      <c r="AHR90" s="2"/>
      <c r="AHS90" s="2"/>
      <c r="AHT90" s="2"/>
      <c r="AHU90" s="2"/>
      <c r="AHV90" s="2"/>
      <c r="AHW90" s="2"/>
      <c r="AHX90" s="2"/>
      <c r="AHY90" s="2"/>
      <c r="AHZ90" s="2"/>
      <c r="AIA90" s="2"/>
      <c r="AIB90" s="2"/>
      <c r="AIC90" s="2"/>
      <c r="AID90" s="2"/>
      <c r="AIE90" s="2"/>
      <c r="AIF90" s="2"/>
      <c r="AIG90" s="2"/>
      <c r="AIH90" s="2"/>
      <c r="AII90" s="2"/>
      <c r="AIJ90" s="2"/>
      <c r="AIK90" s="2"/>
      <c r="AIL90" s="2"/>
      <c r="AIM90" s="2"/>
      <c r="AIN90" s="2"/>
      <c r="AIO90" s="2"/>
      <c r="AIP90" s="2"/>
      <c r="AIQ90" s="2"/>
      <c r="AIR90" s="2"/>
      <c r="AIS90" s="2"/>
      <c r="AIT90" s="2"/>
      <c r="AIU90" s="2"/>
      <c r="AIV90" s="2"/>
      <c r="AIW90" s="2"/>
      <c r="AIX90" s="2"/>
      <c r="AIY90" s="2"/>
      <c r="AIZ90" s="2"/>
      <c r="AJA90" s="2"/>
      <c r="AJB90" s="2"/>
      <c r="AJC90" s="2"/>
      <c r="AJD90" s="2"/>
      <c r="AJE90" s="2"/>
      <c r="AJF90" s="2"/>
      <c r="AJG90" s="2"/>
      <c r="AJH90" s="2"/>
      <c r="AJI90" s="2"/>
      <c r="AJJ90" s="2"/>
      <c r="AJK90" s="2"/>
      <c r="AJL90" s="2"/>
      <c r="AJM90" s="2"/>
      <c r="AJN90" s="2"/>
      <c r="AJO90" s="2"/>
      <c r="AJP90" s="2"/>
      <c r="AJQ90" s="2"/>
      <c r="AJR90" s="2"/>
      <c r="AJS90" s="2"/>
      <c r="AJT90" s="2"/>
      <c r="AJU90" s="2"/>
      <c r="AJV90" s="2"/>
      <c r="AJW90" s="2"/>
      <c r="AJX90" s="2"/>
      <c r="AJY90" s="2"/>
      <c r="AJZ90" s="2"/>
      <c r="AKA90" s="2"/>
      <c r="AKB90" s="2"/>
      <c r="AKC90" s="2"/>
      <c r="AKD90" s="2"/>
      <c r="AKE90" s="2"/>
      <c r="AKF90" s="2"/>
      <c r="AKG90" s="2"/>
      <c r="AKH90" s="2"/>
      <c r="AKI90" s="2"/>
      <c r="AKJ90" s="2"/>
      <c r="AKK90" s="2"/>
      <c r="AKL90" s="2"/>
      <c r="AKM90" s="2"/>
      <c r="AKN90" s="2"/>
      <c r="AKO90" s="2"/>
      <c r="AKP90" s="2"/>
      <c r="AKQ90" s="2"/>
      <c r="AKR90" s="2"/>
      <c r="AKS90" s="2"/>
      <c r="AKT90" s="2"/>
      <c r="AKU90" s="2"/>
      <c r="AKV90" s="2"/>
      <c r="AKW90" s="2"/>
      <c r="AKX90" s="2"/>
      <c r="AKY90" s="2"/>
      <c r="AKZ90" s="2"/>
      <c r="ALA90" s="2"/>
      <c r="ALB90" s="2"/>
      <c r="ALC90" s="2"/>
      <c r="ALD90" s="2"/>
      <c r="ALE90" s="2"/>
      <c r="ALF90" s="2"/>
      <c r="ALG90" s="2"/>
      <c r="ALH90" s="2"/>
      <c r="ALI90" s="2"/>
      <c r="ALJ90" s="2"/>
      <c r="ALK90" s="2"/>
      <c r="ALL90" s="2"/>
      <c r="ALM90" s="2"/>
      <c r="ALN90" s="2"/>
      <c r="ALO90" s="2"/>
      <c r="ALP90" s="2"/>
      <c r="ALQ90" s="2"/>
      <c r="ALR90" s="2"/>
      <c r="ALS90" s="2"/>
      <c r="ALT90" s="2"/>
      <c r="ALU90" s="2"/>
      <c r="ALV90" s="2"/>
      <c r="ALW90" s="2"/>
      <c r="ALX90" s="2"/>
      <c r="ALY90" s="2"/>
      <c r="ALZ90" s="2"/>
      <c r="AMA90" s="2"/>
      <c r="AMB90" s="2"/>
      <c r="AMC90" s="2"/>
      <c r="AMD90" s="2"/>
      <c r="AME90" s="2"/>
    </row>
    <row r="91" spans="1:1019" ht="32.4" customHeight="1" x14ac:dyDescent="0.3">
      <c r="A91" s="45" t="s">
        <v>40</v>
      </c>
      <c r="B91" s="43" t="s">
        <v>127</v>
      </c>
      <c r="C91" s="45" t="s">
        <v>62</v>
      </c>
      <c r="D91" s="11">
        <v>1600</v>
      </c>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c r="TA91" s="2"/>
      <c r="TB91" s="2"/>
      <c r="TC91" s="2"/>
      <c r="TD91" s="2"/>
      <c r="TE91" s="2"/>
      <c r="TF91" s="2"/>
      <c r="TG91" s="2"/>
      <c r="TH91" s="2"/>
      <c r="TI91" s="2"/>
      <c r="TJ91" s="2"/>
      <c r="TK91" s="2"/>
      <c r="TL91" s="2"/>
      <c r="TM91" s="2"/>
      <c r="TN91" s="2"/>
      <c r="TO91" s="2"/>
      <c r="TP91" s="2"/>
      <c r="TQ91" s="2"/>
      <c r="TR91" s="2"/>
      <c r="TS91" s="2"/>
      <c r="TT91" s="2"/>
      <c r="TU91" s="2"/>
      <c r="TV91" s="2"/>
      <c r="TW91" s="2"/>
      <c r="TX91" s="2"/>
      <c r="TY91" s="2"/>
      <c r="TZ91" s="2"/>
      <c r="UA91" s="2"/>
      <c r="UB91" s="2"/>
      <c r="UC91" s="2"/>
      <c r="UD91" s="2"/>
      <c r="UE91" s="2"/>
      <c r="UF91" s="2"/>
      <c r="UG91" s="2"/>
      <c r="UH91" s="2"/>
      <c r="UI91" s="2"/>
      <c r="UJ91" s="2"/>
      <c r="UK91" s="2"/>
      <c r="UL91" s="2"/>
      <c r="UM91" s="2"/>
      <c r="UN91" s="2"/>
      <c r="UO91" s="2"/>
      <c r="UP91" s="2"/>
      <c r="UQ91" s="2"/>
      <c r="UR91" s="2"/>
      <c r="US91" s="2"/>
      <c r="UT91" s="2"/>
      <c r="UU91" s="2"/>
      <c r="UV91" s="2"/>
      <c r="UW91" s="2"/>
      <c r="UX91" s="2"/>
      <c r="UY91" s="2"/>
      <c r="UZ91" s="2"/>
      <c r="VA91" s="2"/>
      <c r="VB91" s="2"/>
      <c r="VC91" s="2"/>
      <c r="VD91" s="2"/>
      <c r="VE91" s="2"/>
      <c r="VF91" s="2"/>
      <c r="VG91" s="2"/>
      <c r="VH91" s="2"/>
      <c r="VI91" s="2"/>
      <c r="VJ91" s="2"/>
      <c r="VK91" s="2"/>
      <c r="VL91" s="2"/>
      <c r="VM91" s="2"/>
      <c r="VN91" s="2"/>
      <c r="VO91" s="2"/>
      <c r="VP91" s="2"/>
      <c r="VQ91" s="2"/>
      <c r="VR91" s="2"/>
      <c r="VS91" s="2"/>
      <c r="VT91" s="2"/>
      <c r="VU91" s="2"/>
      <c r="VV91" s="2"/>
      <c r="VW91" s="2"/>
      <c r="VX91" s="2"/>
      <c r="VY91" s="2"/>
      <c r="VZ91" s="2"/>
      <c r="WA91" s="2"/>
      <c r="WB91" s="2"/>
      <c r="WC91" s="2"/>
      <c r="WD91" s="2"/>
      <c r="WE91" s="2"/>
      <c r="WF91" s="2"/>
      <c r="WG91" s="2"/>
      <c r="WH91" s="2"/>
      <c r="WI91" s="2"/>
      <c r="WJ91" s="2"/>
      <c r="WK91" s="2"/>
      <c r="WL91" s="2"/>
      <c r="WM91" s="2"/>
      <c r="WN91" s="2"/>
      <c r="WO91" s="2"/>
      <c r="WP91" s="2"/>
      <c r="WQ91" s="2"/>
      <c r="WR91" s="2"/>
      <c r="WS91" s="2"/>
      <c r="WT91" s="2"/>
      <c r="WU91" s="2"/>
      <c r="WV91" s="2"/>
      <c r="WW91" s="2"/>
      <c r="WX91" s="2"/>
      <c r="WY91" s="2"/>
      <c r="WZ91" s="2"/>
      <c r="XA91" s="2"/>
      <c r="XB91" s="2"/>
      <c r="XC91" s="2"/>
      <c r="XD91" s="2"/>
      <c r="XE91" s="2"/>
      <c r="XF91" s="2"/>
      <c r="XG91" s="2"/>
      <c r="XH91" s="2"/>
      <c r="XI91" s="2"/>
      <c r="XJ91" s="2"/>
      <c r="XK91" s="2"/>
      <c r="XL91" s="2"/>
      <c r="XM91" s="2"/>
      <c r="XN91" s="2"/>
      <c r="XO91" s="2"/>
      <c r="XP91" s="2"/>
      <c r="XQ91" s="2"/>
      <c r="XR91" s="2"/>
      <c r="XS91" s="2"/>
      <c r="XT91" s="2"/>
      <c r="XU91" s="2"/>
      <c r="XV91" s="2"/>
      <c r="XW91" s="2"/>
      <c r="XX91" s="2"/>
      <c r="XY91" s="2"/>
      <c r="XZ91" s="2"/>
      <c r="YA91" s="2"/>
      <c r="YB91" s="2"/>
      <c r="YC91" s="2"/>
      <c r="YD91" s="2"/>
      <c r="YE91" s="2"/>
      <c r="YF91" s="2"/>
      <c r="YG91" s="2"/>
      <c r="YH91" s="2"/>
      <c r="YI91" s="2"/>
      <c r="YJ91" s="2"/>
      <c r="YK91" s="2"/>
      <c r="YL91" s="2"/>
      <c r="YM91" s="2"/>
      <c r="YN91" s="2"/>
      <c r="YO91" s="2"/>
      <c r="YP91" s="2"/>
      <c r="YQ91" s="2"/>
      <c r="YR91" s="2"/>
      <c r="YS91" s="2"/>
      <c r="YT91" s="2"/>
      <c r="YU91" s="2"/>
      <c r="YV91" s="2"/>
      <c r="YW91" s="2"/>
      <c r="YX91" s="2"/>
      <c r="YY91" s="2"/>
      <c r="YZ91" s="2"/>
      <c r="ZA91" s="2"/>
      <c r="ZB91" s="2"/>
      <c r="ZC91" s="2"/>
      <c r="ZD91" s="2"/>
      <c r="ZE91" s="2"/>
      <c r="ZF91" s="2"/>
      <c r="ZG91" s="2"/>
      <c r="ZH91" s="2"/>
      <c r="ZI91" s="2"/>
      <c r="ZJ91" s="2"/>
      <c r="ZK91" s="2"/>
      <c r="ZL91" s="2"/>
      <c r="ZM91" s="2"/>
      <c r="ZN91" s="2"/>
      <c r="ZO91" s="2"/>
      <c r="ZP91" s="2"/>
      <c r="ZQ91" s="2"/>
      <c r="ZR91" s="2"/>
      <c r="ZS91" s="2"/>
      <c r="ZT91" s="2"/>
      <c r="ZU91" s="2"/>
      <c r="ZV91" s="2"/>
      <c r="ZW91" s="2"/>
      <c r="ZX91" s="2"/>
      <c r="ZY91" s="2"/>
      <c r="ZZ91" s="2"/>
      <c r="AAA91" s="2"/>
      <c r="AAB91" s="2"/>
      <c r="AAC91" s="2"/>
      <c r="AAD91" s="2"/>
      <c r="AAE91" s="2"/>
      <c r="AAF91" s="2"/>
      <c r="AAG91" s="2"/>
      <c r="AAH91" s="2"/>
      <c r="AAI91" s="2"/>
      <c r="AAJ91" s="2"/>
      <c r="AAK91" s="2"/>
      <c r="AAL91" s="2"/>
      <c r="AAM91" s="2"/>
      <c r="AAN91" s="2"/>
      <c r="AAO91" s="2"/>
      <c r="AAP91" s="2"/>
      <c r="AAQ91" s="2"/>
      <c r="AAR91" s="2"/>
      <c r="AAS91" s="2"/>
      <c r="AAT91" s="2"/>
      <c r="AAU91" s="2"/>
      <c r="AAV91" s="2"/>
      <c r="AAW91" s="2"/>
      <c r="AAX91" s="2"/>
      <c r="AAY91" s="2"/>
      <c r="AAZ91" s="2"/>
      <c r="ABA91" s="2"/>
      <c r="ABB91" s="2"/>
      <c r="ABC91" s="2"/>
      <c r="ABD91" s="2"/>
      <c r="ABE91" s="2"/>
      <c r="ABF91" s="2"/>
      <c r="ABG91" s="2"/>
      <c r="ABH91" s="2"/>
      <c r="ABI91" s="2"/>
      <c r="ABJ91" s="2"/>
      <c r="ABK91" s="2"/>
      <c r="ABL91" s="2"/>
      <c r="ABM91" s="2"/>
      <c r="ABN91" s="2"/>
      <c r="ABO91" s="2"/>
      <c r="ABP91" s="2"/>
      <c r="ABQ91" s="2"/>
      <c r="ABR91" s="2"/>
      <c r="ABS91" s="2"/>
      <c r="ABT91" s="2"/>
      <c r="ABU91" s="2"/>
      <c r="ABV91" s="2"/>
      <c r="ABW91" s="2"/>
      <c r="ABX91" s="2"/>
      <c r="ABY91" s="2"/>
      <c r="ABZ91" s="2"/>
      <c r="ACA91" s="2"/>
      <c r="ACB91" s="2"/>
      <c r="ACC91" s="2"/>
      <c r="ACD91" s="2"/>
      <c r="ACE91" s="2"/>
      <c r="ACF91" s="2"/>
      <c r="ACG91" s="2"/>
      <c r="ACH91" s="2"/>
      <c r="ACI91" s="2"/>
      <c r="ACJ91" s="2"/>
      <c r="ACK91" s="2"/>
      <c r="ACL91" s="2"/>
      <c r="ACM91" s="2"/>
      <c r="ACN91" s="2"/>
      <c r="ACO91" s="2"/>
      <c r="ACP91" s="2"/>
      <c r="ACQ91" s="2"/>
      <c r="ACR91" s="2"/>
      <c r="ACS91" s="2"/>
      <c r="ACT91" s="2"/>
      <c r="ACU91" s="2"/>
      <c r="ACV91" s="2"/>
      <c r="ACW91" s="2"/>
      <c r="ACX91" s="2"/>
      <c r="ACY91" s="2"/>
      <c r="ACZ91" s="2"/>
      <c r="ADA91" s="2"/>
      <c r="ADB91" s="2"/>
      <c r="ADC91" s="2"/>
      <c r="ADD91" s="2"/>
      <c r="ADE91" s="2"/>
      <c r="ADF91" s="2"/>
      <c r="ADG91" s="2"/>
      <c r="ADH91" s="2"/>
      <c r="ADI91" s="2"/>
      <c r="ADJ91" s="2"/>
      <c r="ADK91" s="2"/>
      <c r="ADL91" s="2"/>
      <c r="ADM91" s="2"/>
      <c r="ADN91" s="2"/>
      <c r="ADO91" s="2"/>
      <c r="ADP91" s="2"/>
      <c r="ADQ91" s="2"/>
      <c r="ADR91" s="2"/>
      <c r="ADS91" s="2"/>
      <c r="ADT91" s="2"/>
      <c r="ADU91" s="2"/>
      <c r="ADV91" s="2"/>
      <c r="ADW91" s="2"/>
      <c r="ADX91" s="2"/>
      <c r="ADY91" s="2"/>
      <c r="ADZ91" s="2"/>
      <c r="AEA91" s="2"/>
      <c r="AEB91" s="2"/>
      <c r="AEC91" s="2"/>
      <c r="AED91" s="2"/>
      <c r="AEE91" s="2"/>
      <c r="AEF91" s="2"/>
      <c r="AEG91" s="2"/>
      <c r="AEH91" s="2"/>
      <c r="AEI91" s="2"/>
      <c r="AEJ91" s="2"/>
      <c r="AEK91" s="2"/>
      <c r="AEL91" s="2"/>
      <c r="AEM91" s="2"/>
      <c r="AEN91" s="2"/>
      <c r="AEO91" s="2"/>
      <c r="AEP91" s="2"/>
      <c r="AEQ91" s="2"/>
      <c r="AER91" s="2"/>
      <c r="AES91" s="2"/>
      <c r="AET91" s="2"/>
      <c r="AEU91" s="2"/>
      <c r="AEV91" s="2"/>
      <c r="AEW91" s="2"/>
      <c r="AEX91" s="2"/>
      <c r="AEY91" s="2"/>
      <c r="AEZ91" s="2"/>
      <c r="AFA91" s="2"/>
      <c r="AFB91" s="2"/>
      <c r="AFC91" s="2"/>
      <c r="AFD91" s="2"/>
      <c r="AFE91" s="2"/>
      <c r="AFF91" s="2"/>
      <c r="AFG91" s="2"/>
      <c r="AFH91" s="2"/>
      <c r="AFI91" s="2"/>
      <c r="AFJ91" s="2"/>
      <c r="AFK91" s="2"/>
      <c r="AFL91" s="2"/>
      <c r="AFM91" s="2"/>
      <c r="AFN91" s="2"/>
      <c r="AFO91" s="2"/>
      <c r="AFP91" s="2"/>
      <c r="AFQ91" s="2"/>
      <c r="AFR91" s="2"/>
      <c r="AFS91" s="2"/>
      <c r="AFT91" s="2"/>
      <c r="AFU91" s="2"/>
      <c r="AFV91" s="2"/>
      <c r="AFW91" s="2"/>
      <c r="AFX91" s="2"/>
      <c r="AFY91" s="2"/>
      <c r="AFZ91" s="2"/>
      <c r="AGA91" s="2"/>
      <c r="AGB91" s="2"/>
      <c r="AGC91" s="2"/>
      <c r="AGD91" s="2"/>
      <c r="AGE91" s="2"/>
      <c r="AGF91" s="2"/>
      <c r="AGG91" s="2"/>
      <c r="AGH91" s="2"/>
      <c r="AGI91" s="2"/>
      <c r="AGJ91" s="2"/>
      <c r="AGK91" s="2"/>
      <c r="AGL91" s="2"/>
      <c r="AGM91" s="2"/>
      <c r="AGN91" s="2"/>
      <c r="AGO91" s="2"/>
      <c r="AGP91" s="2"/>
      <c r="AGQ91" s="2"/>
      <c r="AGR91" s="2"/>
      <c r="AGS91" s="2"/>
      <c r="AGT91" s="2"/>
      <c r="AGU91" s="2"/>
      <c r="AGV91" s="2"/>
      <c r="AGW91" s="2"/>
      <c r="AGX91" s="2"/>
      <c r="AGY91" s="2"/>
      <c r="AGZ91" s="2"/>
      <c r="AHA91" s="2"/>
      <c r="AHB91" s="2"/>
      <c r="AHC91" s="2"/>
      <c r="AHD91" s="2"/>
      <c r="AHE91" s="2"/>
      <c r="AHF91" s="2"/>
      <c r="AHG91" s="2"/>
      <c r="AHH91" s="2"/>
      <c r="AHI91" s="2"/>
      <c r="AHJ91" s="2"/>
      <c r="AHK91" s="2"/>
      <c r="AHL91" s="2"/>
      <c r="AHM91" s="2"/>
      <c r="AHN91" s="2"/>
      <c r="AHO91" s="2"/>
      <c r="AHP91" s="2"/>
      <c r="AHQ91" s="2"/>
      <c r="AHR91" s="2"/>
      <c r="AHS91" s="2"/>
      <c r="AHT91" s="2"/>
      <c r="AHU91" s="2"/>
      <c r="AHV91" s="2"/>
      <c r="AHW91" s="2"/>
      <c r="AHX91" s="2"/>
      <c r="AHY91" s="2"/>
      <c r="AHZ91" s="2"/>
      <c r="AIA91" s="2"/>
      <c r="AIB91" s="2"/>
      <c r="AIC91" s="2"/>
      <c r="AID91" s="2"/>
      <c r="AIE91" s="2"/>
      <c r="AIF91" s="2"/>
      <c r="AIG91" s="2"/>
      <c r="AIH91" s="2"/>
      <c r="AII91" s="2"/>
      <c r="AIJ91" s="2"/>
      <c r="AIK91" s="2"/>
      <c r="AIL91" s="2"/>
      <c r="AIM91" s="2"/>
      <c r="AIN91" s="2"/>
      <c r="AIO91" s="2"/>
      <c r="AIP91" s="2"/>
      <c r="AIQ91" s="2"/>
      <c r="AIR91" s="2"/>
      <c r="AIS91" s="2"/>
      <c r="AIT91" s="2"/>
      <c r="AIU91" s="2"/>
      <c r="AIV91" s="2"/>
      <c r="AIW91" s="2"/>
      <c r="AIX91" s="2"/>
      <c r="AIY91" s="2"/>
      <c r="AIZ91" s="2"/>
      <c r="AJA91" s="2"/>
      <c r="AJB91" s="2"/>
      <c r="AJC91" s="2"/>
      <c r="AJD91" s="2"/>
      <c r="AJE91" s="2"/>
      <c r="AJF91" s="2"/>
      <c r="AJG91" s="2"/>
      <c r="AJH91" s="2"/>
      <c r="AJI91" s="2"/>
      <c r="AJJ91" s="2"/>
      <c r="AJK91" s="2"/>
      <c r="AJL91" s="2"/>
      <c r="AJM91" s="2"/>
      <c r="AJN91" s="2"/>
      <c r="AJO91" s="2"/>
      <c r="AJP91" s="2"/>
      <c r="AJQ91" s="2"/>
      <c r="AJR91" s="2"/>
      <c r="AJS91" s="2"/>
      <c r="AJT91" s="2"/>
      <c r="AJU91" s="2"/>
      <c r="AJV91" s="2"/>
      <c r="AJW91" s="2"/>
      <c r="AJX91" s="2"/>
      <c r="AJY91" s="2"/>
      <c r="AJZ91" s="2"/>
      <c r="AKA91" s="2"/>
      <c r="AKB91" s="2"/>
      <c r="AKC91" s="2"/>
      <c r="AKD91" s="2"/>
      <c r="AKE91" s="2"/>
      <c r="AKF91" s="2"/>
      <c r="AKG91" s="2"/>
      <c r="AKH91" s="2"/>
      <c r="AKI91" s="2"/>
      <c r="AKJ91" s="2"/>
      <c r="AKK91" s="2"/>
      <c r="AKL91" s="2"/>
      <c r="AKM91" s="2"/>
      <c r="AKN91" s="2"/>
      <c r="AKO91" s="2"/>
      <c r="AKP91" s="2"/>
      <c r="AKQ91" s="2"/>
      <c r="AKR91" s="2"/>
      <c r="AKS91" s="2"/>
      <c r="AKT91" s="2"/>
      <c r="AKU91" s="2"/>
      <c r="AKV91" s="2"/>
      <c r="AKW91" s="2"/>
      <c r="AKX91" s="2"/>
      <c r="AKY91" s="2"/>
      <c r="AKZ91" s="2"/>
      <c r="ALA91" s="2"/>
      <c r="ALB91" s="2"/>
      <c r="ALC91" s="2"/>
      <c r="ALD91" s="2"/>
      <c r="ALE91" s="2"/>
      <c r="ALF91" s="2"/>
      <c r="ALG91" s="2"/>
      <c r="ALH91" s="2"/>
      <c r="ALI91" s="2"/>
      <c r="ALJ91" s="2"/>
      <c r="ALK91" s="2"/>
      <c r="ALL91" s="2"/>
      <c r="ALM91" s="2"/>
      <c r="ALN91" s="2"/>
      <c r="ALO91" s="2"/>
      <c r="ALP91" s="2"/>
      <c r="ALQ91" s="2"/>
      <c r="ALR91" s="2"/>
      <c r="ALS91" s="2"/>
      <c r="ALT91" s="2"/>
      <c r="ALU91" s="2"/>
      <c r="ALV91" s="2"/>
      <c r="ALW91" s="2"/>
      <c r="ALX91" s="2"/>
      <c r="ALY91" s="2"/>
      <c r="ALZ91" s="2"/>
      <c r="AMA91" s="2"/>
      <c r="AMB91" s="2"/>
      <c r="AMC91" s="2"/>
      <c r="AMD91" s="2"/>
      <c r="AME91" s="2"/>
    </row>
    <row r="92" spans="1:1019" ht="19.2" customHeight="1" x14ac:dyDescent="0.3">
      <c r="A92" s="48" t="s">
        <v>95</v>
      </c>
      <c r="B92" s="43" t="s">
        <v>128</v>
      </c>
      <c r="C92" s="45" t="s">
        <v>62</v>
      </c>
      <c r="D92" s="11">
        <v>2.5</v>
      </c>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c r="TA92" s="2"/>
      <c r="TB92" s="2"/>
      <c r="TC92" s="2"/>
      <c r="TD92" s="2"/>
      <c r="TE92" s="2"/>
      <c r="TF92" s="2"/>
      <c r="TG92" s="2"/>
      <c r="TH92" s="2"/>
      <c r="TI92" s="2"/>
      <c r="TJ92" s="2"/>
      <c r="TK92" s="2"/>
      <c r="TL92" s="2"/>
      <c r="TM92" s="2"/>
      <c r="TN92" s="2"/>
      <c r="TO92" s="2"/>
      <c r="TP92" s="2"/>
      <c r="TQ92" s="2"/>
      <c r="TR92" s="2"/>
      <c r="TS92" s="2"/>
      <c r="TT92" s="2"/>
      <c r="TU92" s="2"/>
      <c r="TV92" s="2"/>
      <c r="TW92" s="2"/>
      <c r="TX92" s="2"/>
      <c r="TY92" s="2"/>
      <c r="TZ92" s="2"/>
      <c r="UA92" s="2"/>
      <c r="UB92" s="2"/>
      <c r="UC92" s="2"/>
      <c r="UD92" s="2"/>
      <c r="UE92" s="2"/>
      <c r="UF92" s="2"/>
      <c r="UG92" s="2"/>
      <c r="UH92" s="2"/>
      <c r="UI92" s="2"/>
      <c r="UJ92" s="2"/>
      <c r="UK92" s="2"/>
      <c r="UL92" s="2"/>
      <c r="UM92" s="2"/>
      <c r="UN92" s="2"/>
      <c r="UO92" s="2"/>
      <c r="UP92" s="2"/>
      <c r="UQ92" s="2"/>
      <c r="UR92" s="2"/>
      <c r="US92" s="2"/>
      <c r="UT92" s="2"/>
      <c r="UU92" s="2"/>
      <c r="UV92" s="2"/>
      <c r="UW92" s="2"/>
      <c r="UX92" s="2"/>
      <c r="UY92" s="2"/>
      <c r="UZ92" s="2"/>
      <c r="VA92" s="2"/>
      <c r="VB92" s="2"/>
      <c r="VC92" s="2"/>
      <c r="VD92" s="2"/>
      <c r="VE92" s="2"/>
      <c r="VF92" s="2"/>
      <c r="VG92" s="2"/>
      <c r="VH92" s="2"/>
      <c r="VI92" s="2"/>
      <c r="VJ92" s="2"/>
      <c r="VK92" s="2"/>
      <c r="VL92" s="2"/>
      <c r="VM92" s="2"/>
      <c r="VN92" s="2"/>
      <c r="VO92" s="2"/>
      <c r="VP92" s="2"/>
      <c r="VQ92" s="2"/>
      <c r="VR92" s="2"/>
      <c r="VS92" s="2"/>
      <c r="VT92" s="2"/>
      <c r="VU92" s="2"/>
      <c r="VV92" s="2"/>
      <c r="VW92" s="2"/>
      <c r="VX92" s="2"/>
      <c r="VY92" s="2"/>
      <c r="VZ92" s="2"/>
      <c r="WA92" s="2"/>
      <c r="WB92" s="2"/>
      <c r="WC92" s="2"/>
      <c r="WD92" s="2"/>
      <c r="WE92" s="2"/>
      <c r="WF92" s="2"/>
      <c r="WG92" s="2"/>
      <c r="WH92" s="2"/>
      <c r="WI92" s="2"/>
      <c r="WJ92" s="2"/>
      <c r="WK92" s="2"/>
      <c r="WL92" s="2"/>
      <c r="WM92" s="2"/>
      <c r="WN92" s="2"/>
      <c r="WO92" s="2"/>
      <c r="WP92" s="2"/>
      <c r="WQ92" s="2"/>
      <c r="WR92" s="2"/>
      <c r="WS92" s="2"/>
      <c r="WT92" s="2"/>
      <c r="WU92" s="2"/>
      <c r="WV92" s="2"/>
      <c r="WW92" s="2"/>
      <c r="WX92" s="2"/>
      <c r="WY92" s="2"/>
      <c r="WZ92" s="2"/>
      <c r="XA92" s="2"/>
      <c r="XB92" s="2"/>
      <c r="XC92" s="2"/>
      <c r="XD92" s="2"/>
      <c r="XE92" s="2"/>
      <c r="XF92" s="2"/>
      <c r="XG92" s="2"/>
      <c r="XH92" s="2"/>
      <c r="XI92" s="2"/>
      <c r="XJ92" s="2"/>
      <c r="XK92" s="2"/>
      <c r="XL92" s="2"/>
      <c r="XM92" s="2"/>
      <c r="XN92" s="2"/>
      <c r="XO92" s="2"/>
      <c r="XP92" s="2"/>
      <c r="XQ92" s="2"/>
      <c r="XR92" s="2"/>
      <c r="XS92" s="2"/>
      <c r="XT92" s="2"/>
      <c r="XU92" s="2"/>
      <c r="XV92" s="2"/>
      <c r="XW92" s="2"/>
      <c r="XX92" s="2"/>
      <c r="XY92" s="2"/>
      <c r="XZ92" s="2"/>
      <c r="YA92" s="2"/>
      <c r="YB92" s="2"/>
      <c r="YC92" s="2"/>
      <c r="YD92" s="2"/>
      <c r="YE92" s="2"/>
      <c r="YF92" s="2"/>
      <c r="YG92" s="2"/>
      <c r="YH92" s="2"/>
      <c r="YI92" s="2"/>
      <c r="YJ92" s="2"/>
      <c r="YK92" s="2"/>
      <c r="YL92" s="2"/>
      <c r="YM92" s="2"/>
      <c r="YN92" s="2"/>
      <c r="YO92" s="2"/>
      <c r="YP92" s="2"/>
      <c r="YQ92" s="2"/>
      <c r="YR92" s="2"/>
      <c r="YS92" s="2"/>
      <c r="YT92" s="2"/>
      <c r="YU92" s="2"/>
      <c r="YV92" s="2"/>
      <c r="YW92" s="2"/>
      <c r="YX92" s="2"/>
      <c r="YY92" s="2"/>
      <c r="YZ92" s="2"/>
      <c r="ZA92" s="2"/>
      <c r="ZB92" s="2"/>
      <c r="ZC92" s="2"/>
      <c r="ZD92" s="2"/>
      <c r="ZE92" s="2"/>
      <c r="ZF92" s="2"/>
      <c r="ZG92" s="2"/>
      <c r="ZH92" s="2"/>
      <c r="ZI92" s="2"/>
      <c r="ZJ92" s="2"/>
      <c r="ZK92" s="2"/>
      <c r="ZL92" s="2"/>
      <c r="ZM92" s="2"/>
      <c r="ZN92" s="2"/>
      <c r="ZO92" s="2"/>
      <c r="ZP92" s="2"/>
      <c r="ZQ92" s="2"/>
      <c r="ZR92" s="2"/>
      <c r="ZS92" s="2"/>
      <c r="ZT92" s="2"/>
      <c r="ZU92" s="2"/>
      <c r="ZV92" s="2"/>
      <c r="ZW92" s="2"/>
      <c r="ZX92" s="2"/>
      <c r="ZY92" s="2"/>
      <c r="ZZ92" s="2"/>
      <c r="AAA92" s="2"/>
      <c r="AAB92" s="2"/>
      <c r="AAC92" s="2"/>
      <c r="AAD92" s="2"/>
      <c r="AAE92" s="2"/>
      <c r="AAF92" s="2"/>
      <c r="AAG92" s="2"/>
      <c r="AAH92" s="2"/>
      <c r="AAI92" s="2"/>
      <c r="AAJ92" s="2"/>
      <c r="AAK92" s="2"/>
      <c r="AAL92" s="2"/>
      <c r="AAM92" s="2"/>
      <c r="AAN92" s="2"/>
      <c r="AAO92" s="2"/>
      <c r="AAP92" s="2"/>
      <c r="AAQ92" s="2"/>
      <c r="AAR92" s="2"/>
      <c r="AAS92" s="2"/>
      <c r="AAT92" s="2"/>
      <c r="AAU92" s="2"/>
      <c r="AAV92" s="2"/>
      <c r="AAW92" s="2"/>
      <c r="AAX92" s="2"/>
      <c r="AAY92" s="2"/>
      <c r="AAZ92" s="2"/>
      <c r="ABA92" s="2"/>
      <c r="ABB92" s="2"/>
      <c r="ABC92" s="2"/>
      <c r="ABD92" s="2"/>
      <c r="ABE92" s="2"/>
      <c r="ABF92" s="2"/>
      <c r="ABG92" s="2"/>
      <c r="ABH92" s="2"/>
      <c r="ABI92" s="2"/>
      <c r="ABJ92" s="2"/>
      <c r="ABK92" s="2"/>
      <c r="ABL92" s="2"/>
      <c r="ABM92" s="2"/>
      <c r="ABN92" s="2"/>
      <c r="ABO92" s="2"/>
      <c r="ABP92" s="2"/>
      <c r="ABQ92" s="2"/>
      <c r="ABR92" s="2"/>
      <c r="ABS92" s="2"/>
      <c r="ABT92" s="2"/>
      <c r="ABU92" s="2"/>
      <c r="ABV92" s="2"/>
      <c r="ABW92" s="2"/>
      <c r="ABX92" s="2"/>
      <c r="ABY92" s="2"/>
      <c r="ABZ92" s="2"/>
      <c r="ACA92" s="2"/>
      <c r="ACB92" s="2"/>
      <c r="ACC92" s="2"/>
      <c r="ACD92" s="2"/>
      <c r="ACE92" s="2"/>
      <c r="ACF92" s="2"/>
      <c r="ACG92" s="2"/>
      <c r="ACH92" s="2"/>
      <c r="ACI92" s="2"/>
      <c r="ACJ92" s="2"/>
      <c r="ACK92" s="2"/>
      <c r="ACL92" s="2"/>
      <c r="ACM92" s="2"/>
      <c r="ACN92" s="2"/>
      <c r="ACO92" s="2"/>
      <c r="ACP92" s="2"/>
      <c r="ACQ92" s="2"/>
      <c r="ACR92" s="2"/>
      <c r="ACS92" s="2"/>
      <c r="ACT92" s="2"/>
      <c r="ACU92" s="2"/>
      <c r="ACV92" s="2"/>
      <c r="ACW92" s="2"/>
      <c r="ACX92" s="2"/>
      <c r="ACY92" s="2"/>
      <c r="ACZ92" s="2"/>
      <c r="ADA92" s="2"/>
      <c r="ADB92" s="2"/>
      <c r="ADC92" s="2"/>
      <c r="ADD92" s="2"/>
      <c r="ADE92" s="2"/>
      <c r="ADF92" s="2"/>
      <c r="ADG92" s="2"/>
      <c r="ADH92" s="2"/>
      <c r="ADI92" s="2"/>
      <c r="ADJ92" s="2"/>
      <c r="ADK92" s="2"/>
      <c r="ADL92" s="2"/>
      <c r="ADM92" s="2"/>
      <c r="ADN92" s="2"/>
      <c r="ADO92" s="2"/>
      <c r="ADP92" s="2"/>
      <c r="ADQ92" s="2"/>
      <c r="ADR92" s="2"/>
      <c r="ADS92" s="2"/>
      <c r="ADT92" s="2"/>
      <c r="ADU92" s="2"/>
      <c r="ADV92" s="2"/>
      <c r="ADW92" s="2"/>
      <c r="ADX92" s="2"/>
      <c r="ADY92" s="2"/>
      <c r="ADZ92" s="2"/>
      <c r="AEA92" s="2"/>
      <c r="AEB92" s="2"/>
      <c r="AEC92" s="2"/>
      <c r="AED92" s="2"/>
      <c r="AEE92" s="2"/>
      <c r="AEF92" s="2"/>
      <c r="AEG92" s="2"/>
      <c r="AEH92" s="2"/>
      <c r="AEI92" s="2"/>
      <c r="AEJ92" s="2"/>
      <c r="AEK92" s="2"/>
      <c r="AEL92" s="2"/>
      <c r="AEM92" s="2"/>
      <c r="AEN92" s="2"/>
      <c r="AEO92" s="2"/>
      <c r="AEP92" s="2"/>
      <c r="AEQ92" s="2"/>
      <c r="AER92" s="2"/>
      <c r="AES92" s="2"/>
      <c r="AET92" s="2"/>
      <c r="AEU92" s="2"/>
      <c r="AEV92" s="2"/>
      <c r="AEW92" s="2"/>
      <c r="AEX92" s="2"/>
      <c r="AEY92" s="2"/>
      <c r="AEZ92" s="2"/>
      <c r="AFA92" s="2"/>
      <c r="AFB92" s="2"/>
      <c r="AFC92" s="2"/>
      <c r="AFD92" s="2"/>
      <c r="AFE92" s="2"/>
      <c r="AFF92" s="2"/>
      <c r="AFG92" s="2"/>
      <c r="AFH92" s="2"/>
      <c r="AFI92" s="2"/>
      <c r="AFJ92" s="2"/>
      <c r="AFK92" s="2"/>
      <c r="AFL92" s="2"/>
      <c r="AFM92" s="2"/>
      <c r="AFN92" s="2"/>
      <c r="AFO92" s="2"/>
      <c r="AFP92" s="2"/>
      <c r="AFQ92" s="2"/>
      <c r="AFR92" s="2"/>
      <c r="AFS92" s="2"/>
      <c r="AFT92" s="2"/>
      <c r="AFU92" s="2"/>
      <c r="AFV92" s="2"/>
      <c r="AFW92" s="2"/>
      <c r="AFX92" s="2"/>
      <c r="AFY92" s="2"/>
      <c r="AFZ92" s="2"/>
      <c r="AGA92" s="2"/>
      <c r="AGB92" s="2"/>
      <c r="AGC92" s="2"/>
      <c r="AGD92" s="2"/>
      <c r="AGE92" s="2"/>
      <c r="AGF92" s="2"/>
      <c r="AGG92" s="2"/>
      <c r="AGH92" s="2"/>
      <c r="AGI92" s="2"/>
      <c r="AGJ92" s="2"/>
      <c r="AGK92" s="2"/>
      <c r="AGL92" s="2"/>
      <c r="AGM92" s="2"/>
      <c r="AGN92" s="2"/>
      <c r="AGO92" s="2"/>
      <c r="AGP92" s="2"/>
      <c r="AGQ92" s="2"/>
      <c r="AGR92" s="2"/>
      <c r="AGS92" s="2"/>
      <c r="AGT92" s="2"/>
      <c r="AGU92" s="2"/>
      <c r="AGV92" s="2"/>
      <c r="AGW92" s="2"/>
      <c r="AGX92" s="2"/>
      <c r="AGY92" s="2"/>
      <c r="AGZ92" s="2"/>
      <c r="AHA92" s="2"/>
      <c r="AHB92" s="2"/>
      <c r="AHC92" s="2"/>
      <c r="AHD92" s="2"/>
      <c r="AHE92" s="2"/>
      <c r="AHF92" s="2"/>
      <c r="AHG92" s="2"/>
      <c r="AHH92" s="2"/>
      <c r="AHI92" s="2"/>
      <c r="AHJ92" s="2"/>
      <c r="AHK92" s="2"/>
      <c r="AHL92" s="2"/>
      <c r="AHM92" s="2"/>
      <c r="AHN92" s="2"/>
      <c r="AHO92" s="2"/>
      <c r="AHP92" s="2"/>
      <c r="AHQ92" s="2"/>
      <c r="AHR92" s="2"/>
      <c r="AHS92" s="2"/>
      <c r="AHT92" s="2"/>
      <c r="AHU92" s="2"/>
      <c r="AHV92" s="2"/>
      <c r="AHW92" s="2"/>
      <c r="AHX92" s="2"/>
      <c r="AHY92" s="2"/>
      <c r="AHZ92" s="2"/>
      <c r="AIA92" s="2"/>
      <c r="AIB92" s="2"/>
      <c r="AIC92" s="2"/>
      <c r="AID92" s="2"/>
      <c r="AIE92" s="2"/>
      <c r="AIF92" s="2"/>
      <c r="AIG92" s="2"/>
      <c r="AIH92" s="2"/>
      <c r="AII92" s="2"/>
      <c r="AIJ92" s="2"/>
      <c r="AIK92" s="2"/>
      <c r="AIL92" s="2"/>
      <c r="AIM92" s="2"/>
      <c r="AIN92" s="2"/>
      <c r="AIO92" s="2"/>
      <c r="AIP92" s="2"/>
      <c r="AIQ92" s="2"/>
      <c r="AIR92" s="2"/>
      <c r="AIS92" s="2"/>
      <c r="AIT92" s="2"/>
      <c r="AIU92" s="2"/>
      <c r="AIV92" s="2"/>
      <c r="AIW92" s="2"/>
      <c r="AIX92" s="2"/>
      <c r="AIY92" s="2"/>
      <c r="AIZ92" s="2"/>
      <c r="AJA92" s="2"/>
      <c r="AJB92" s="2"/>
      <c r="AJC92" s="2"/>
      <c r="AJD92" s="2"/>
      <c r="AJE92" s="2"/>
      <c r="AJF92" s="2"/>
      <c r="AJG92" s="2"/>
      <c r="AJH92" s="2"/>
      <c r="AJI92" s="2"/>
      <c r="AJJ92" s="2"/>
      <c r="AJK92" s="2"/>
      <c r="AJL92" s="2"/>
      <c r="AJM92" s="2"/>
      <c r="AJN92" s="2"/>
      <c r="AJO92" s="2"/>
      <c r="AJP92" s="2"/>
      <c r="AJQ92" s="2"/>
      <c r="AJR92" s="2"/>
      <c r="AJS92" s="2"/>
      <c r="AJT92" s="2"/>
      <c r="AJU92" s="2"/>
      <c r="AJV92" s="2"/>
      <c r="AJW92" s="2"/>
      <c r="AJX92" s="2"/>
      <c r="AJY92" s="2"/>
      <c r="AJZ92" s="2"/>
      <c r="AKA92" s="2"/>
      <c r="AKB92" s="2"/>
      <c r="AKC92" s="2"/>
      <c r="AKD92" s="2"/>
      <c r="AKE92" s="2"/>
      <c r="AKF92" s="2"/>
      <c r="AKG92" s="2"/>
      <c r="AKH92" s="2"/>
      <c r="AKI92" s="2"/>
      <c r="AKJ92" s="2"/>
      <c r="AKK92" s="2"/>
      <c r="AKL92" s="2"/>
      <c r="AKM92" s="2"/>
      <c r="AKN92" s="2"/>
      <c r="AKO92" s="2"/>
      <c r="AKP92" s="2"/>
      <c r="AKQ92" s="2"/>
      <c r="AKR92" s="2"/>
      <c r="AKS92" s="2"/>
      <c r="AKT92" s="2"/>
      <c r="AKU92" s="2"/>
      <c r="AKV92" s="2"/>
      <c r="AKW92" s="2"/>
      <c r="AKX92" s="2"/>
      <c r="AKY92" s="2"/>
      <c r="AKZ92" s="2"/>
      <c r="ALA92" s="2"/>
      <c r="ALB92" s="2"/>
      <c r="ALC92" s="2"/>
      <c r="ALD92" s="2"/>
      <c r="ALE92" s="2"/>
      <c r="ALF92" s="2"/>
      <c r="ALG92" s="2"/>
      <c r="ALH92" s="2"/>
      <c r="ALI92" s="2"/>
      <c r="ALJ92" s="2"/>
      <c r="ALK92" s="2"/>
      <c r="ALL92" s="2"/>
      <c r="ALM92" s="2"/>
      <c r="ALN92" s="2"/>
      <c r="ALO92" s="2"/>
      <c r="ALP92" s="2"/>
      <c r="ALQ92" s="2"/>
      <c r="ALR92" s="2"/>
      <c r="ALS92" s="2"/>
      <c r="ALT92" s="2"/>
      <c r="ALU92" s="2"/>
      <c r="ALV92" s="2"/>
      <c r="ALW92" s="2"/>
      <c r="ALX92" s="2"/>
      <c r="ALY92" s="2"/>
      <c r="ALZ92" s="2"/>
      <c r="AMA92" s="2"/>
      <c r="AMB92" s="2"/>
      <c r="AMC92" s="2"/>
      <c r="AMD92" s="2"/>
      <c r="AME92" s="2"/>
    </row>
    <row r="93" spans="1:1019" ht="19.5" customHeight="1" x14ac:dyDescent="0.3">
      <c r="A93" s="49"/>
      <c r="B93" s="50" t="s">
        <v>129</v>
      </c>
      <c r="C93" s="38" t="s">
        <v>62</v>
      </c>
      <c r="D93" s="21">
        <f>(D91*1000)/(D92*D88)</f>
        <v>586.27772323659246</v>
      </c>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c r="ZZ93" s="2"/>
      <c r="AAA93" s="2"/>
      <c r="AAB93" s="2"/>
      <c r="AAC93" s="2"/>
      <c r="AAD93" s="2"/>
      <c r="AAE93" s="2"/>
      <c r="AAF93" s="2"/>
      <c r="AAG93" s="2"/>
      <c r="AAH93" s="2"/>
      <c r="AAI93" s="2"/>
      <c r="AAJ93" s="2"/>
      <c r="AAK93" s="2"/>
      <c r="AAL93" s="2"/>
      <c r="AAM93" s="2"/>
      <c r="AAN93" s="2"/>
      <c r="AAO93" s="2"/>
      <c r="AAP93" s="2"/>
      <c r="AAQ93" s="2"/>
      <c r="AAR93" s="2"/>
      <c r="AAS93" s="2"/>
      <c r="AAT93" s="2"/>
      <c r="AAU93" s="2"/>
      <c r="AAV93" s="2"/>
      <c r="AAW93" s="2"/>
      <c r="AAX93" s="2"/>
      <c r="AAY93" s="2"/>
      <c r="AAZ93" s="2"/>
      <c r="ABA93" s="2"/>
      <c r="ABB93" s="2"/>
      <c r="ABC93" s="2"/>
      <c r="ABD93" s="2"/>
      <c r="ABE93" s="2"/>
      <c r="ABF93" s="2"/>
      <c r="ABG93" s="2"/>
      <c r="ABH93" s="2"/>
      <c r="ABI93" s="2"/>
      <c r="ABJ93" s="2"/>
      <c r="ABK93" s="2"/>
      <c r="ABL93" s="2"/>
      <c r="ABM93" s="2"/>
      <c r="ABN93" s="2"/>
      <c r="ABO93" s="2"/>
      <c r="ABP93" s="2"/>
      <c r="ABQ93" s="2"/>
      <c r="ABR93" s="2"/>
      <c r="ABS93" s="2"/>
      <c r="ABT93" s="2"/>
      <c r="ABU93" s="2"/>
      <c r="ABV93" s="2"/>
      <c r="ABW93" s="2"/>
      <c r="ABX93" s="2"/>
      <c r="ABY93" s="2"/>
      <c r="ABZ93" s="2"/>
      <c r="ACA93" s="2"/>
      <c r="ACB93" s="2"/>
      <c r="ACC93" s="2"/>
      <c r="ACD93" s="2"/>
      <c r="ACE93" s="2"/>
      <c r="ACF93" s="2"/>
      <c r="ACG93" s="2"/>
      <c r="ACH93" s="2"/>
      <c r="ACI93" s="2"/>
      <c r="ACJ93" s="2"/>
      <c r="ACK93" s="2"/>
      <c r="ACL93" s="2"/>
      <c r="ACM93" s="2"/>
      <c r="ACN93" s="2"/>
      <c r="ACO93" s="2"/>
      <c r="ACP93" s="2"/>
      <c r="ACQ93" s="2"/>
      <c r="ACR93" s="2"/>
      <c r="ACS93" s="2"/>
      <c r="ACT93" s="2"/>
      <c r="ACU93" s="2"/>
      <c r="ACV93" s="2"/>
      <c r="ACW93" s="2"/>
      <c r="ACX93" s="2"/>
      <c r="ACY93" s="2"/>
      <c r="ACZ93" s="2"/>
      <c r="ADA93" s="2"/>
      <c r="ADB93" s="2"/>
      <c r="ADC93" s="2"/>
      <c r="ADD93" s="2"/>
      <c r="ADE93" s="2"/>
      <c r="ADF93" s="2"/>
      <c r="ADG93" s="2"/>
      <c r="ADH93" s="2"/>
      <c r="ADI93" s="2"/>
      <c r="ADJ93" s="2"/>
      <c r="ADK93" s="2"/>
      <c r="ADL93" s="2"/>
      <c r="ADM93" s="2"/>
      <c r="ADN93" s="2"/>
      <c r="ADO93" s="2"/>
      <c r="ADP93" s="2"/>
      <c r="ADQ93" s="2"/>
      <c r="ADR93" s="2"/>
      <c r="ADS93" s="2"/>
      <c r="ADT93" s="2"/>
      <c r="ADU93" s="2"/>
      <c r="ADV93" s="2"/>
      <c r="ADW93" s="2"/>
      <c r="ADX93" s="2"/>
      <c r="ADY93" s="2"/>
      <c r="ADZ93" s="2"/>
      <c r="AEA93" s="2"/>
      <c r="AEB93" s="2"/>
      <c r="AEC93" s="2"/>
      <c r="AED93" s="2"/>
      <c r="AEE93" s="2"/>
      <c r="AEF93" s="2"/>
      <c r="AEG93" s="2"/>
      <c r="AEH93" s="2"/>
      <c r="AEI93" s="2"/>
      <c r="AEJ93" s="2"/>
      <c r="AEK93" s="2"/>
      <c r="AEL93" s="2"/>
      <c r="AEM93" s="2"/>
      <c r="AEN93" s="2"/>
      <c r="AEO93" s="2"/>
      <c r="AEP93" s="2"/>
      <c r="AEQ93" s="2"/>
      <c r="AER93" s="2"/>
      <c r="AES93" s="2"/>
      <c r="AET93" s="2"/>
      <c r="AEU93" s="2"/>
      <c r="AEV93" s="2"/>
      <c r="AEW93" s="2"/>
      <c r="AEX93" s="2"/>
      <c r="AEY93" s="2"/>
      <c r="AEZ93" s="2"/>
      <c r="AFA93" s="2"/>
      <c r="AFB93" s="2"/>
      <c r="AFC93" s="2"/>
      <c r="AFD93" s="2"/>
      <c r="AFE93" s="2"/>
      <c r="AFF93" s="2"/>
      <c r="AFG93" s="2"/>
      <c r="AFH93" s="2"/>
      <c r="AFI93" s="2"/>
      <c r="AFJ93" s="2"/>
      <c r="AFK93" s="2"/>
      <c r="AFL93" s="2"/>
      <c r="AFM93" s="2"/>
      <c r="AFN93" s="2"/>
      <c r="AFO93" s="2"/>
      <c r="AFP93" s="2"/>
      <c r="AFQ93" s="2"/>
      <c r="AFR93" s="2"/>
      <c r="AFS93" s="2"/>
      <c r="AFT93" s="2"/>
      <c r="AFU93" s="2"/>
      <c r="AFV93" s="2"/>
      <c r="AFW93" s="2"/>
      <c r="AFX93" s="2"/>
      <c r="AFY93" s="2"/>
      <c r="AFZ93" s="2"/>
      <c r="AGA93" s="2"/>
      <c r="AGB93" s="2"/>
      <c r="AGC93" s="2"/>
      <c r="AGD93" s="2"/>
      <c r="AGE93" s="2"/>
      <c r="AGF93" s="2"/>
      <c r="AGG93" s="2"/>
      <c r="AGH93" s="2"/>
      <c r="AGI93" s="2"/>
      <c r="AGJ93" s="2"/>
      <c r="AGK93" s="2"/>
      <c r="AGL93" s="2"/>
      <c r="AGM93" s="2"/>
      <c r="AGN93" s="2"/>
      <c r="AGO93" s="2"/>
      <c r="AGP93" s="2"/>
      <c r="AGQ93" s="2"/>
      <c r="AGR93" s="2"/>
      <c r="AGS93" s="2"/>
      <c r="AGT93" s="2"/>
      <c r="AGU93" s="2"/>
      <c r="AGV93" s="2"/>
      <c r="AGW93" s="2"/>
      <c r="AGX93" s="2"/>
      <c r="AGY93" s="2"/>
      <c r="AGZ93" s="2"/>
      <c r="AHA93" s="2"/>
      <c r="AHB93" s="2"/>
      <c r="AHC93" s="2"/>
      <c r="AHD93" s="2"/>
      <c r="AHE93" s="2"/>
      <c r="AHF93" s="2"/>
      <c r="AHG93" s="2"/>
      <c r="AHH93" s="2"/>
      <c r="AHI93" s="2"/>
      <c r="AHJ93" s="2"/>
      <c r="AHK93" s="2"/>
      <c r="AHL93" s="2"/>
      <c r="AHM93" s="2"/>
      <c r="AHN93" s="2"/>
      <c r="AHO93" s="2"/>
      <c r="AHP93" s="2"/>
      <c r="AHQ93" s="2"/>
      <c r="AHR93" s="2"/>
      <c r="AHS93" s="2"/>
      <c r="AHT93" s="2"/>
      <c r="AHU93" s="2"/>
      <c r="AHV93" s="2"/>
      <c r="AHW93" s="2"/>
      <c r="AHX93" s="2"/>
      <c r="AHY93" s="2"/>
      <c r="AHZ93" s="2"/>
      <c r="AIA93" s="2"/>
      <c r="AIB93" s="2"/>
      <c r="AIC93" s="2"/>
      <c r="AID93" s="2"/>
      <c r="AIE93" s="2"/>
      <c r="AIF93" s="2"/>
      <c r="AIG93" s="2"/>
      <c r="AIH93" s="2"/>
      <c r="AII93" s="2"/>
      <c r="AIJ93" s="2"/>
      <c r="AIK93" s="2"/>
      <c r="AIL93" s="2"/>
      <c r="AIM93" s="2"/>
      <c r="AIN93" s="2"/>
      <c r="AIO93" s="2"/>
      <c r="AIP93" s="2"/>
      <c r="AIQ93" s="2"/>
      <c r="AIR93" s="2"/>
      <c r="AIS93" s="2"/>
      <c r="AIT93" s="2"/>
      <c r="AIU93" s="2"/>
      <c r="AIV93" s="2"/>
      <c r="AIW93" s="2"/>
      <c r="AIX93" s="2"/>
      <c r="AIY93" s="2"/>
      <c r="AIZ93" s="2"/>
      <c r="AJA93" s="2"/>
      <c r="AJB93" s="2"/>
      <c r="AJC93" s="2"/>
      <c r="AJD93" s="2"/>
      <c r="AJE93" s="2"/>
      <c r="AJF93" s="2"/>
      <c r="AJG93" s="2"/>
      <c r="AJH93" s="2"/>
      <c r="AJI93" s="2"/>
      <c r="AJJ93" s="2"/>
      <c r="AJK93" s="2"/>
      <c r="AJL93" s="2"/>
      <c r="AJM93" s="2"/>
      <c r="AJN93" s="2"/>
      <c r="AJO93" s="2"/>
      <c r="AJP93" s="2"/>
      <c r="AJQ93" s="2"/>
      <c r="AJR93" s="2"/>
      <c r="AJS93" s="2"/>
      <c r="AJT93" s="2"/>
      <c r="AJU93" s="2"/>
      <c r="AJV93" s="2"/>
      <c r="AJW93" s="2"/>
      <c r="AJX93" s="2"/>
      <c r="AJY93" s="2"/>
      <c r="AJZ93" s="2"/>
      <c r="AKA93" s="2"/>
      <c r="AKB93" s="2"/>
      <c r="AKC93" s="2"/>
      <c r="AKD93" s="2"/>
      <c r="AKE93" s="2"/>
      <c r="AKF93" s="2"/>
      <c r="AKG93" s="2"/>
      <c r="AKH93" s="2"/>
      <c r="AKI93" s="2"/>
      <c r="AKJ93" s="2"/>
      <c r="AKK93" s="2"/>
      <c r="AKL93" s="2"/>
      <c r="AKM93" s="2"/>
      <c r="AKN93" s="2"/>
      <c r="AKO93" s="2"/>
      <c r="AKP93" s="2"/>
      <c r="AKQ93" s="2"/>
      <c r="AKR93" s="2"/>
      <c r="AKS93" s="2"/>
      <c r="AKT93" s="2"/>
      <c r="AKU93" s="2"/>
      <c r="AKV93" s="2"/>
      <c r="AKW93" s="2"/>
      <c r="AKX93" s="2"/>
      <c r="AKY93" s="2"/>
      <c r="AKZ93" s="2"/>
      <c r="ALA93" s="2"/>
      <c r="ALB93" s="2"/>
      <c r="ALC93" s="2"/>
      <c r="ALD93" s="2"/>
      <c r="ALE93" s="2"/>
      <c r="ALF93" s="2"/>
      <c r="ALG93" s="2"/>
      <c r="ALH93" s="2"/>
      <c r="ALI93" s="2"/>
      <c r="ALJ93" s="2"/>
      <c r="ALK93" s="2"/>
      <c r="ALL93" s="2"/>
      <c r="ALM93" s="2"/>
      <c r="ALN93" s="2"/>
      <c r="ALO93" s="2"/>
      <c r="ALP93" s="2"/>
      <c r="ALQ93" s="2"/>
      <c r="ALR93" s="2"/>
      <c r="ALS93" s="2"/>
      <c r="ALT93" s="2"/>
      <c r="ALU93" s="2"/>
      <c r="ALV93" s="2"/>
      <c r="ALW93" s="2"/>
      <c r="ALX93" s="2"/>
      <c r="ALY93" s="2"/>
      <c r="ALZ93" s="2"/>
      <c r="AMA93" s="2"/>
      <c r="AMB93" s="2"/>
      <c r="AMC93" s="2"/>
      <c r="AMD93" s="2"/>
      <c r="AME93" s="2"/>
    </row>
    <row r="94" spans="1:1019" ht="21" customHeight="1" x14ac:dyDescent="0.3">
      <c r="A94" s="22"/>
      <c r="B94" s="23" t="s">
        <v>130</v>
      </c>
      <c r="C94" s="24"/>
      <c r="D94" s="25" t="str">
        <f>IF(500&lt;D93,"OK","CHECK")</f>
        <v>OK</v>
      </c>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c r="TA94" s="2"/>
      <c r="TB94" s="2"/>
      <c r="TC94" s="2"/>
      <c r="TD94" s="2"/>
      <c r="TE94" s="2"/>
      <c r="TF94" s="2"/>
      <c r="TG94" s="2"/>
      <c r="TH94" s="2"/>
      <c r="TI94" s="2"/>
      <c r="TJ94" s="2"/>
      <c r="TK94" s="2"/>
      <c r="TL94" s="2"/>
      <c r="TM94" s="2"/>
      <c r="TN94" s="2"/>
      <c r="TO94" s="2"/>
      <c r="TP94" s="2"/>
      <c r="TQ94" s="2"/>
      <c r="TR94" s="2"/>
      <c r="TS94" s="2"/>
      <c r="TT94" s="2"/>
      <c r="TU94" s="2"/>
      <c r="TV94" s="2"/>
      <c r="TW94" s="2"/>
      <c r="TX94" s="2"/>
      <c r="TY94" s="2"/>
      <c r="TZ94" s="2"/>
      <c r="UA94" s="2"/>
      <c r="UB94" s="2"/>
      <c r="UC94" s="2"/>
      <c r="UD94" s="2"/>
      <c r="UE94" s="2"/>
      <c r="UF94" s="2"/>
      <c r="UG94" s="2"/>
      <c r="UH94" s="2"/>
      <c r="UI94" s="2"/>
      <c r="UJ94" s="2"/>
      <c r="UK94" s="2"/>
      <c r="UL94" s="2"/>
      <c r="UM94" s="2"/>
      <c r="UN94" s="2"/>
      <c r="UO94" s="2"/>
      <c r="UP94" s="2"/>
      <c r="UQ94" s="2"/>
      <c r="UR94" s="2"/>
      <c r="US94" s="2"/>
      <c r="UT94" s="2"/>
      <c r="UU94" s="2"/>
      <c r="UV94" s="2"/>
      <c r="UW94" s="2"/>
      <c r="UX94" s="2"/>
      <c r="UY94" s="2"/>
      <c r="UZ94" s="2"/>
      <c r="VA94" s="2"/>
      <c r="VB94" s="2"/>
      <c r="VC94" s="2"/>
      <c r="VD94" s="2"/>
      <c r="VE94" s="2"/>
      <c r="VF94" s="2"/>
      <c r="VG94" s="2"/>
      <c r="VH94" s="2"/>
      <c r="VI94" s="2"/>
      <c r="VJ94" s="2"/>
      <c r="VK94" s="2"/>
      <c r="VL94" s="2"/>
      <c r="VM94" s="2"/>
      <c r="VN94" s="2"/>
      <c r="VO94" s="2"/>
      <c r="VP94" s="2"/>
      <c r="VQ94" s="2"/>
      <c r="VR94" s="2"/>
      <c r="VS94" s="2"/>
      <c r="VT94" s="2"/>
      <c r="VU94" s="2"/>
      <c r="VV94" s="2"/>
      <c r="VW94" s="2"/>
      <c r="VX94" s="2"/>
      <c r="VY94" s="2"/>
      <c r="VZ94" s="2"/>
      <c r="WA94" s="2"/>
      <c r="WB94" s="2"/>
      <c r="WC94" s="2"/>
      <c r="WD94" s="2"/>
      <c r="WE94" s="2"/>
      <c r="WF94" s="2"/>
      <c r="WG94" s="2"/>
      <c r="WH94" s="2"/>
      <c r="WI94" s="2"/>
      <c r="WJ94" s="2"/>
      <c r="WK94" s="2"/>
      <c r="WL94" s="2"/>
      <c r="WM94" s="2"/>
      <c r="WN94" s="2"/>
      <c r="WO94" s="2"/>
      <c r="WP94" s="2"/>
      <c r="WQ94" s="2"/>
      <c r="WR94" s="2"/>
      <c r="WS94" s="2"/>
      <c r="WT94" s="2"/>
      <c r="WU94" s="2"/>
      <c r="WV94" s="2"/>
      <c r="WW94" s="2"/>
      <c r="WX94" s="2"/>
      <c r="WY94" s="2"/>
      <c r="WZ94" s="2"/>
      <c r="XA94" s="2"/>
      <c r="XB94" s="2"/>
      <c r="XC94" s="2"/>
      <c r="XD94" s="2"/>
      <c r="XE94" s="2"/>
      <c r="XF94" s="2"/>
      <c r="XG94" s="2"/>
      <c r="XH94" s="2"/>
      <c r="XI94" s="2"/>
      <c r="XJ94" s="2"/>
      <c r="XK94" s="2"/>
      <c r="XL94" s="2"/>
      <c r="XM94" s="2"/>
      <c r="XN94" s="2"/>
      <c r="XO94" s="2"/>
      <c r="XP94" s="2"/>
      <c r="XQ94" s="2"/>
      <c r="XR94" s="2"/>
      <c r="XS94" s="2"/>
      <c r="XT94" s="2"/>
      <c r="XU94" s="2"/>
      <c r="XV94" s="2"/>
      <c r="XW94" s="2"/>
      <c r="XX94" s="2"/>
      <c r="XY94" s="2"/>
      <c r="XZ94" s="2"/>
      <c r="YA94" s="2"/>
      <c r="YB94" s="2"/>
      <c r="YC94" s="2"/>
      <c r="YD94" s="2"/>
      <c r="YE94" s="2"/>
      <c r="YF94" s="2"/>
      <c r="YG94" s="2"/>
      <c r="YH94" s="2"/>
      <c r="YI94" s="2"/>
      <c r="YJ94" s="2"/>
      <c r="YK94" s="2"/>
      <c r="YL94" s="2"/>
      <c r="YM94" s="2"/>
      <c r="YN94" s="2"/>
      <c r="YO94" s="2"/>
      <c r="YP94" s="2"/>
      <c r="YQ94" s="2"/>
      <c r="YR94" s="2"/>
      <c r="YS94" s="2"/>
      <c r="YT94" s="2"/>
      <c r="YU94" s="2"/>
      <c r="YV94" s="2"/>
      <c r="YW94" s="2"/>
      <c r="YX94" s="2"/>
      <c r="YY94" s="2"/>
      <c r="YZ94" s="2"/>
      <c r="ZA94" s="2"/>
      <c r="ZB94" s="2"/>
      <c r="ZC94" s="2"/>
      <c r="ZD94" s="2"/>
      <c r="ZE94" s="2"/>
      <c r="ZF94" s="2"/>
      <c r="ZG94" s="2"/>
      <c r="ZH94" s="2"/>
      <c r="ZI94" s="2"/>
      <c r="ZJ94" s="2"/>
      <c r="ZK94" s="2"/>
      <c r="ZL94" s="2"/>
      <c r="ZM94" s="2"/>
      <c r="ZN94" s="2"/>
      <c r="ZO94" s="2"/>
      <c r="ZP94" s="2"/>
      <c r="ZQ94" s="2"/>
      <c r="ZR94" s="2"/>
      <c r="ZS94" s="2"/>
      <c r="ZT94" s="2"/>
      <c r="ZU94" s="2"/>
      <c r="ZV94" s="2"/>
      <c r="ZW94" s="2"/>
      <c r="ZX94" s="2"/>
      <c r="ZY94" s="2"/>
      <c r="ZZ94" s="2"/>
      <c r="AAA94" s="2"/>
      <c r="AAB94" s="2"/>
      <c r="AAC94" s="2"/>
      <c r="AAD94" s="2"/>
      <c r="AAE94" s="2"/>
      <c r="AAF94" s="2"/>
      <c r="AAG94" s="2"/>
      <c r="AAH94" s="2"/>
      <c r="AAI94" s="2"/>
      <c r="AAJ94" s="2"/>
      <c r="AAK94" s="2"/>
      <c r="AAL94" s="2"/>
      <c r="AAM94" s="2"/>
      <c r="AAN94" s="2"/>
      <c r="AAO94" s="2"/>
      <c r="AAP94" s="2"/>
      <c r="AAQ94" s="2"/>
      <c r="AAR94" s="2"/>
      <c r="AAS94" s="2"/>
      <c r="AAT94" s="2"/>
      <c r="AAU94" s="2"/>
      <c r="AAV94" s="2"/>
      <c r="AAW94" s="2"/>
      <c r="AAX94" s="2"/>
      <c r="AAY94" s="2"/>
      <c r="AAZ94" s="2"/>
      <c r="ABA94" s="2"/>
      <c r="ABB94" s="2"/>
      <c r="ABC94" s="2"/>
      <c r="ABD94" s="2"/>
      <c r="ABE94" s="2"/>
      <c r="ABF94" s="2"/>
      <c r="ABG94" s="2"/>
      <c r="ABH94" s="2"/>
      <c r="ABI94" s="2"/>
      <c r="ABJ94" s="2"/>
      <c r="ABK94" s="2"/>
      <c r="ABL94" s="2"/>
      <c r="ABM94" s="2"/>
      <c r="ABN94" s="2"/>
      <c r="ABO94" s="2"/>
      <c r="ABP94" s="2"/>
      <c r="ABQ94" s="2"/>
      <c r="ABR94" s="2"/>
      <c r="ABS94" s="2"/>
      <c r="ABT94" s="2"/>
      <c r="ABU94" s="2"/>
      <c r="ABV94" s="2"/>
      <c r="ABW94" s="2"/>
      <c r="ABX94" s="2"/>
      <c r="ABY94" s="2"/>
      <c r="ABZ94" s="2"/>
      <c r="ACA94" s="2"/>
      <c r="ACB94" s="2"/>
      <c r="ACC94" s="2"/>
      <c r="ACD94" s="2"/>
      <c r="ACE94" s="2"/>
      <c r="ACF94" s="2"/>
      <c r="ACG94" s="2"/>
      <c r="ACH94" s="2"/>
      <c r="ACI94" s="2"/>
      <c r="ACJ94" s="2"/>
      <c r="ACK94" s="2"/>
      <c r="ACL94" s="2"/>
      <c r="ACM94" s="2"/>
      <c r="ACN94" s="2"/>
      <c r="ACO94" s="2"/>
      <c r="ACP94" s="2"/>
      <c r="ACQ94" s="2"/>
      <c r="ACR94" s="2"/>
      <c r="ACS94" s="2"/>
      <c r="ACT94" s="2"/>
      <c r="ACU94" s="2"/>
      <c r="ACV94" s="2"/>
      <c r="ACW94" s="2"/>
      <c r="ACX94" s="2"/>
      <c r="ACY94" s="2"/>
      <c r="ACZ94" s="2"/>
      <c r="ADA94" s="2"/>
      <c r="ADB94" s="2"/>
      <c r="ADC94" s="2"/>
      <c r="ADD94" s="2"/>
      <c r="ADE94" s="2"/>
      <c r="ADF94" s="2"/>
      <c r="ADG94" s="2"/>
      <c r="ADH94" s="2"/>
      <c r="ADI94" s="2"/>
      <c r="ADJ94" s="2"/>
      <c r="ADK94" s="2"/>
      <c r="ADL94" s="2"/>
      <c r="ADM94" s="2"/>
      <c r="ADN94" s="2"/>
      <c r="ADO94" s="2"/>
      <c r="ADP94" s="2"/>
      <c r="ADQ94" s="2"/>
      <c r="ADR94" s="2"/>
      <c r="ADS94" s="2"/>
      <c r="ADT94" s="2"/>
      <c r="ADU94" s="2"/>
      <c r="ADV94" s="2"/>
      <c r="ADW94" s="2"/>
      <c r="ADX94" s="2"/>
      <c r="ADY94" s="2"/>
      <c r="ADZ94" s="2"/>
      <c r="AEA94" s="2"/>
      <c r="AEB94" s="2"/>
      <c r="AEC94" s="2"/>
      <c r="AED94" s="2"/>
      <c r="AEE94" s="2"/>
      <c r="AEF94" s="2"/>
      <c r="AEG94" s="2"/>
      <c r="AEH94" s="2"/>
      <c r="AEI94" s="2"/>
      <c r="AEJ94" s="2"/>
      <c r="AEK94" s="2"/>
      <c r="AEL94" s="2"/>
      <c r="AEM94" s="2"/>
      <c r="AEN94" s="2"/>
      <c r="AEO94" s="2"/>
      <c r="AEP94" s="2"/>
      <c r="AEQ94" s="2"/>
      <c r="AER94" s="2"/>
      <c r="AES94" s="2"/>
      <c r="AET94" s="2"/>
      <c r="AEU94" s="2"/>
      <c r="AEV94" s="2"/>
      <c r="AEW94" s="2"/>
      <c r="AEX94" s="2"/>
      <c r="AEY94" s="2"/>
      <c r="AEZ94" s="2"/>
      <c r="AFA94" s="2"/>
      <c r="AFB94" s="2"/>
      <c r="AFC94" s="2"/>
      <c r="AFD94" s="2"/>
      <c r="AFE94" s="2"/>
      <c r="AFF94" s="2"/>
      <c r="AFG94" s="2"/>
      <c r="AFH94" s="2"/>
      <c r="AFI94" s="2"/>
      <c r="AFJ94" s="2"/>
      <c r="AFK94" s="2"/>
      <c r="AFL94" s="2"/>
      <c r="AFM94" s="2"/>
      <c r="AFN94" s="2"/>
      <c r="AFO94" s="2"/>
      <c r="AFP94" s="2"/>
      <c r="AFQ94" s="2"/>
      <c r="AFR94" s="2"/>
      <c r="AFS94" s="2"/>
      <c r="AFT94" s="2"/>
      <c r="AFU94" s="2"/>
      <c r="AFV94" s="2"/>
      <c r="AFW94" s="2"/>
      <c r="AFX94" s="2"/>
      <c r="AFY94" s="2"/>
      <c r="AFZ94" s="2"/>
      <c r="AGA94" s="2"/>
      <c r="AGB94" s="2"/>
      <c r="AGC94" s="2"/>
      <c r="AGD94" s="2"/>
      <c r="AGE94" s="2"/>
      <c r="AGF94" s="2"/>
      <c r="AGG94" s="2"/>
      <c r="AGH94" s="2"/>
      <c r="AGI94" s="2"/>
      <c r="AGJ94" s="2"/>
      <c r="AGK94" s="2"/>
      <c r="AGL94" s="2"/>
      <c r="AGM94" s="2"/>
      <c r="AGN94" s="2"/>
      <c r="AGO94" s="2"/>
      <c r="AGP94" s="2"/>
      <c r="AGQ94" s="2"/>
      <c r="AGR94" s="2"/>
      <c r="AGS94" s="2"/>
      <c r="AGT94" s="2"/>
      <c r="AGU94" s="2"/>
      <c r="AGV94" s="2"/>
      <c r="AGW94" s="2"/>
      <c r="AGX94" s="2"/>
      <c r="AGY94" s="2"/>
      <c r="AGZ94" s="2"/>
      <c r="AHA94" s="2"/>
      <c r="AHB94" s="2"/>
      <c r="AHC94" s="2"/>
      <c r="AHD94" s="2"/>
      <c r="AHE94" s="2"/>
      <c r="AHF94" s="2"/>
      <c r="AHG94" s="2"/>
      <c r="AHH94" s="2"/>
      <c r="AHI94" s="2"/>
      <c r="AHJ94" s="2"/>
      <c r="AHK94" s="2"/>
      <c r="AHL94" s="2"/>
      <c r="AHM94" s="2"/>
      <c r="AHN94" s="2"/>
      <c r="AHO94" s="2"/>
      <c r="AHP94" s="2"/>
      <c r="AHQ94" s="2"/>
      <c r="AHR94" s="2"/>
      <c r="AHS94" s="2"/>
      <c r="AHT94" s="2"/>
      <c r="AHU94" s="2"/>
      <c r="AHV94" s="2"/>
      <c r="AHW94" s="2"/>
      <c r="AHX94" s="2"/>
      <c r="AHY94" s="2"/>
      <c r="AHZ94" s="2"/>
      <c r="AIA94" s="2"/>
      <c r="AIB94" s="2"/>
      <c r="AIC94" s="2"/>
      <c r="AID94" s="2"/>
      <c r="AIE94" s="2"/>
      <c r="AIF94" s="2"/>
      <c r="AIG94" s="2"/>
      <c r="AIH94" s="2"/>
      <c r="AII94" s="2"/>
      <c r="AIJ94" s="2"/>
      <c r="AIK94" s="2"/>
      <c r="AIL94" s="2"/>
      <c r="AIM94" s="2"/>
      <c r="AIN94" s="2"/>
      <c r="AIO94" s="2"/>
      <c r="AIP94" s="2"/>
      <c r="AIQ94" s="2"/>
      <c r="AIR94" s="2"/>
      <c r="AIS94" s="2"/>
      <c r="AIT94" s="2"/>
      <c r="AIU94" s="2"/>
      <c r="AIV94" s="2"/>
      <c r="AIW94" s="2"/>
      <c r="AIX94" s="2"/>
      <c r="AIY94" s="2"/>
      <c r="AIZ94" s="2"/>
      <c r="AJA94" s="2"/>
      <c r="AJB94" s="2"/>
      <c r="AJC94" s="2"/>
      <c r="AJD94" s="2"/>
      <c r="AJE94" s="2"/>
      <c r="AJF94" s="2"/>
      <c r="AJG94" s="2"/>
      <c r="AJH94" s="2"/>
      <c r="AJI94" s="2"/>
      <c r="AJJ94" s="2"/>
      <c r="AJK94" s="2"/>
      <c r="AJL94" s="2"/>
      <c r="AJM94" s="2"/>
      <c r="AJN94" s="2"/>
      <c r="AJO94" s="2"/>
      <c r="AJP94" s="2"/>
      <c r="AJQ94" s="2"/>
      <c r="AJR94" s="2"/>
      <c r="AJS94" s="2"/>
      <c r="AJT94" s="2"/>
      <c r="AJU94" s="2"/>
      <c r="AJV94" s="2"/>
      <c r="AJW94" s="2"/>
      <c r="AJX94" s="2"/>
      <c r="AJY94" s="2"/>
      <c r="AJZ94" s="2"/>
      <c r="AKA94" s="2"/>
      <c r="AKB94" s="2"/>
      <c r="AKC94" s="2"/>
      <c r="AKD94" s="2"/>
      <c r="AKE94" s="2"/>
      <c r="AKF94" s="2"/>
      <c r="AKG94" s="2"/>
      <c r="AKH94" s="2"/>
      <c r="AKI94" s="2"/>
      <c r="AKJ94" s="2"/>
      <c r="AKK94" s="2"/>
      <c r="AKL94" s="2"/>
      <c r="AKM94" s="2"/>
      <c r="AKN94" s="2"/>
      <c r="AKO94" s="2"/>
      <c r="AKP94" s="2"/>
      <c r="AKQ94" s="2"/>
      <c r="AKR94" s="2"/>
      <c r="AKS94" s="2"/>
      <c r="AKT94" s="2"/>
      <c r="AKU94" s="2"/>
      <c r="AKV94" s="2"/>
      <c r="AKW94" s="2"/>
      <c r="AKX94" s="2"/>
      <c r="AKY94" s="2"/>
      <c r="AKZ94" s="2"/>
      <c r="ALA94" s="2"/>
      <c r="ALB94" s="2"/>
      <c r="ALC94" s="2"/>
      <c r="ALD94" s="2"/>
      <c r="ALE94" s="2"/>
      <c r="ALF94" s="2"/>
      <c r="ALG94" s="2"/>
      <c r="ALH94" s="2"/>
      <c r="ALI94" s="2"/>
      <c r="ALJ94" s="2"/>
      <c r="ALK94" s="2"/>
      <c r="ALL94" s="2"/>
      <c r="ALM94" s="2"/>
      <c r="ALN94" s="2"/>
      <c r="ALO94" s="2"/>
      <c r="ALP94" s="2"/>
      <c r="ALQ94" s="2"/>
      <c r="ALR94" s="2"/>
      <c r="ALS94" s="2"/>
      <c r="ALT94" s="2"/>
      <c r="ALU94" s="2"/>
      <c r="ALV94" s="2"/>
      <c r="ALW94" s="2"/>
      <c r="ALX94" s="2"/>
      <c r="ALY94" s="2"/>
      <c r="ALZ94" s="2"/>
      <c r="AMA94" s="2"/>
      <c r="AMB94" s="2"/>
      <c r="AMC94" s="2"/>
      <c r="AMD94" s="2"/>
      <c r="AME94" s="2"/>
    </row>
    <row r="95" spans="1:1019" ht="17.25" customHeight="1" x14ac:dyDescent="0.3">
      <c r="A95" s="76">
        <v>4.4000000000000004</v>
      </c>
      <c r="B95" s="78" t="s">
        <v>131</v>
      </c>
      <c r="C95" s="78"/>
      <c r="D95" s="78"/>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c r="TA95" s="2"/>
      <c r="TB95" s="2"/>
      <c r="TC95" s="2"/>
      <c r="TD95" s="2"/>
      <c r="TE95" s="2"/>
      <c r="TF95" s="2"/>
      <c r="TG95" s="2"/>
      <c r="TH95" s="2"/>
      <c r="TI95" s="2"/>
      <c r="TJ95" s="2"/>
      <c r="TK95" s="2"/>
      <c r="TL95" s="2"/>
      <c r="TM95" s="2"/>
      <c r="TN95" s="2"/>
      <c r="TO95" s="2"/>
      <c r="TP95" s="2"/>
      <c r="TQ95" s="2"/>
      <c r="TR95" s="2"/>
      <c r="TS95" s="2"/>
      <c r="TT95" s="2"/>
      <c r="TU95" s="2"/>
      <c r="TV95" s="2"/>
      <c r="TW95" s="2"/>
      <c r="TX95" s="2"/>
      <c r="TY95" s="2"/>
      <c r="TZ95" s="2"/>
      <c r="UA95" s="2"/>
      <c r="UB95" s="2"/>
      <c r="UC95" s="2"/>
      <c r="UD95" s="2"/>
      <c r="UE95" s="2"/>
      <c r="UF95" s="2"/>
      <c r="UG95" s="2"/>
      <c r="UH95" s="2"/>
      <c r="UI95" s="2"/>
      <c r="UJ95" s="2"/>
      <c r="UK95" s="2"/>
      <c r="UL95" s="2"/>
      <c r="UM95" s="2"/>
      <c r="UN95" s="2"/>
      <c r="UO95" s="2"/>
      <c r="UP95" s="2"/>
      <c r="UQ95" s="2"/>
      <c r="UR95" s="2"/>
      <c r="US95" s="2"/>
      <c r="UT95" s="2"/>
      <c r="UU95" s="2"/>
      <c r="UV95" s="2"/>
      <c r="UW95" s="2"/>
      <c r="UX95" s="2"/>
      <c r="UY95" s="2"/>
      <c r="UZ95" s="2"/>
      <c r="VA95" s="2"/>
      <c r="VB95" s="2"/>
      <c r="VC95" s="2"/>
      <c r="VD95" s="2"/>
      <c r="VE95" s="2"/>
      <c r="VF95" s="2"/>
      <c r="VG95" s="2"/>
      <c r="VH95" s="2"/>
      <c r="VI95" s="2"/>
      <c r="VJ95" s="2"/>
      <c r="VK95" s="2"/>
      <c r="VL95" s="2"/>
      <c r="VM95" s="2"/>
      <c r="VN95" s="2"/>
      <c r="VO95" s="2"/>
      <c r="VP95" s="2"/>
      <c r="VQ95" s="2"/>
      <c r="VR95" s="2"/>
      <c r="VS95" s="2"/>
      <c r="VT95" s="2"/>
      <c r="VU95" s="2"/>
      <c r="VV95" s="2"/>
      <c r="VW95" s="2"/>
      <c r="VX95" s="2"/>
      <c r="VY95" s="2"/>
      <c r="VZ95" s="2"/>
      <c r="WA95" s="2"/>
      <c r="WB95" s="2"/>
      <c r="WC95" s="2"/>
      <c r="WD95" s="2"/>
      <c r="WE95" s="2"/>
      <c r="WF95" s="2"/>
      <c r="WG95" s="2"/>
      <c r="WH95" s="2"/>
      <c r="WI95" s="2"/>
      <c r="WJ95" s="2"/>
      <c r="WK95" s="2"/>
      <c r="WL95" s="2"/>
      <c r="WM95" s="2"/>
      <c r="WN95" s="2"/>
      <c r="WO95" s="2"/>
      <c r="WP95" s="2"/>
      <c r="WQ95" s="2"/>
      <c r="WR95" s="2"/>
      <c r="WS95" s="2"/>
      <c r="WT95" s="2"/>
      <c r="WU95" s="2"/>
      <c r="WV95" s="2"/>
      <c r="WW95" s="2"/>
      <c r="WX95" s="2"/>
      <c r="WY95" s="2"/>
      <c r="WZ95" s="2"/>
      <c r="XA95" s="2"/>
      <c r="XB95" s="2"/>
      <c r="XC95" s="2"/>
      <c r="XD95" s="2"/>
      <c r="XE95" s="2"/>
      <c r="XF95" s="2"/>
      <c r="XG95" s="2"/>
      <c r="XH95" s="2"/>
      <c r="XI95" s="2"/>
      <c r="XJ95" s="2"/>
      <c r="XK95" s="2"/>
      <c r="XL95" s="2"/>
      <c r="XM95" s="2"/>
      <c r="XN95" s="2"/>
      <c r="XO95" s="2"/>
      <c r="XP95" s="2"/>
      <c r="XQ95" s="2"/>
      <c r="XR95" s="2"/>
      <c r="XS95" s="2"/>
      <c r="XT95" s="2"/>
      <c r="XU95" s="2"/>
      <c r="XV95" s="2"/>
      <c r="XW95" s="2"/>
      <c r="XX95" s="2"/>
      <c r="XY95" s="2"/>
      <c r="XZ95" s="2"/>
      <c r="YA95" s="2"/>
      <c r="YB95" s="2"/>
      <c r="YC95" s="2"/>
      <c r="YD95" s="2"/>
      <c r="YE95" s="2"/>
      <c r="YF95" s="2"/>
      <c r="YG95" s="2"/>
      <c r="YH95" s="2"/>
      <c r="YI95" s="2"/>
      <c r="YJ95" s="2"/>
      <c r="YK95" s="2"/>
      <c r="YL95" s="2"/>
      <c r="YM95" s="2"/>
      <c r="YN95" s="2"/>
      <c r="YO95" s="2"/>
      <c r="YP95" s="2"/>
      <c r="YQ95" s="2"/>
      <c r="YR95" s="2"/>
      <c r="YS95" s="2"/>
      <c r="YT95" s="2"/>
      <c r="YU95" s="2"/>
      <c r="YV95" s="2"/>
      <c r="YW95" s="2"/>
      <c r="YX95" s="2"/>
      <c r="YY95" s="2"/>
      <c r="YZ95" s="2"/>
      <c r="ZA95" s="2"/>
      <c r="ZB95" s="2"/>
      <c r="ZC95" s="2"/>
      <c r="ZD95" s="2"/>
      <c r="ZE95" s="2"/>
      <c r="ZF95" s="2"/>
      <c r="ZG95" s="2"/>
      <c r="ZH95" s="2"/>
      <c r="ZI95" s="2"/>
      <c r="ZJ95" s="2"/>
      <c r="ZK95" s="2"/>
      <c r="ZL95" s="2"/>
      <c r="ZM95" s="2"/>
      <c r="ZN95" s="2"/>
      <c r="ZO95" s="2"/>
      <c r="ZP95" s="2"/>
      <c r="ZQ95" s="2"/>
      <c r="ZR95" s="2"/>
      <c r="ZS95" s="2"/>
      <c r="ZT95" s="2"/>
      <c r="ZU95" s="2"/>
      <c r="ZV95" s="2"/>
      <c r="ZW95" s="2"/>
      <c r="ZX95" s="2"/>
      <c r="ZY95" s="2"/>
      <c r="ZZ95" s="2"/>
      <c r="AAA95" s="2"/>
      <c r="AAB95" s="2"/>
      <c r="AAC95" s="2"/>
      <c r="AAD95" s="2"/>
      <c r="AAE95" s="2"/>
      <c r="AAF95" s="2"/>
      <c r="AAG95" s="2"/>
      <c r="AAH95" s="2"/>
      <c r="AAI95" s="2"/>
      <c r="AAJ95" s="2"/>
      <c r="AAK95" s="2"/>
      <c r="AAL95" s="2"/>
      <c r="AAM95" s="2"/>
      <c r="AAN95" s="2"/>
      <c r="AAO95" s="2"/>
      <c r="AAP95" s="2"/>
      <c r="AAQ95" s="2"/>
      <c r="AAR95" s="2"/>
      <c r="AAS95" s="2"/>
      <c r="AAT95" s="2"/>
      <c r="AAU95" s="2"/>
      <c r="AAV95" s="2"/>
      <c r="AAW95" s="2"/>
      <c r="AAX95" s="2"/>
      <c r="AAY95" s="2"/>
      <c r="AAZ95" s="2"/>
      <c r="ABA95" s="2"/>
      <c r="ABB95" s="2"/>
      <c r="ABC95" s="2"/>
      <c r="ABD95" s="2"/>
      <c r="ABE95" s="2"/>
      <c r="ABF95" s="2"/>
      <c r="ABG95" s="2"/>
      <c r="ABH95" s="2"/>
      <c r="ABI95" s="2"/>
      <c r="ABJ95" s="2"/>
      <c r="ABK95" s="2"/>
      <c r="ABL95" s="2"/>
      <c r="ABM95" s="2"/>
      <c r="ABN95" s="2"/>
      <c r="ABO95" s="2"/>
      <c r="ABP95" s="2"/>
      <c r="ABQ95" s="2"/>
      <c r="ABR95" s="2"/>
      <c r="ABS95" s="2"/>
      <c r="ABT95" s="2"/>
      <c r="ABU95" s="2"/>
      <c r="ABV95" s="2"/>
      <c r="ABW95" s="2"/>
      <c r="ABX95" s="2"/>
      <c r="ABY95" s="2"/>
      <c r="ABZ95" s="2"/>
      <c r="ACA95" s="2"/>
      <c r="ACB95" s="2"/>
      <c r="ACC95" s="2"/>
      <c r="ACD95" s="2"/>
      <c r="ACE95" s="2"/>
      <c r="ACF95" s="2"/>
      <c r="ACG95" s="2"/>
      <c r="ACH95" s="2"/>
      <c r="ACI95" s="2"/>
      <c r="ACJ95" s="2"/>
      <c r="ACK95" s="2"/>
      <c r="ACL95" s="2"/>
      <c r="ACM95" s="2"/>
      <c r="ACN95" s="2"/>
      <c r="ACO95" s="2"/>
      <c r="ACP95" s="2"/>
      <c r="ACQ95" s="2"/>
      <c r="ACR95" s="2"/>
      <c r="ACS95" s="2"/>
      <c r="ACT95" s="2"/>
      <c r="ACU95" s="2"/>
      <c r="ACV95" s="2"/>
      <c r="ACW95" s="2"/>
      <c r="ACX95" s="2"/>
      <c r="ACY95" s="2"/>
      <c r="ACZ95" s="2"/>
      <c r="ADA95" s="2"/>
      <c r="ADB95" s="2"/>
      <c r="ADC95" s="2"/>
      <c r="ADD95" s="2"/>
      <c r="ADE95" s="2"/>
      <c r="ADF95" s="2"/>
      <c r="ADG95" s="2"/>
      <c r="ADH95" s="2"/>
      <c r="ADI95" s="2"/>
      <c r="ADJ95" s="2"/>
      <c r="ADK95" s="2"/>
      <c r="ADL95" s="2"/>
      <c r="ADM95" s="2"/>
      <c r="ADN95" s="2"/>
      <c r="ADO95" s="2"/>
      <c r="ADP95" s="2"/>
      <c r="ADQ95" s="2"/>
      <c r="ADR95" s="2"/>
      <c r="ADS95" s="2"/>
      <c r="ADT95" s="2"/>
      <c r="ADU95" s="2"/>
      <c r="ADV95" s="2"/>
      <c r="ADW95" s="2"/>
      <c r="ADX95" s="2"/>
      <c r="ADY95" s="2"/>
      <c r="ADZ95" s="2"/>
      <c r="AEA95" s="2"/>
      <c r="AEB95" s="2"/>
      <c r="AEC95" s="2"/>
      <c r="AED95" s="2"/>
      <c r="AEE95" s="2"/>
      <c r="AEF95" s="2"/>
      <c r="AEG95" s="2"/>
      <c r="AEH95" s="2"/>
      <c r="AEI95" s="2"/>
      <c r="AEJ95" s="2"/>
      <c r="AEK95" s="2"/>
      <c r="AEL95" s="2"/>
      <c r="AEM95" s="2"/>
      <c r="AEN95" s="2"/>
      <c r="AEO95" s="2"/>
      <c r="AEP95" s="2"/>
      <c r="AEQ95" s="2"/>
      <c r="AER95" s="2"/>
      <c r="AES95" s="2"/>
      <c r="AET95" s="2"/>
      <c r="AEU95" s="2"/>
      <c r="AEV95" s="2"/>
      <c r="AEW95" s="2"/>
      <c r="AEX95" s="2"/>
      <c r="AEY95" s="2"/>
      <c r="AEZ95" s="2"/>
      <c r="AFA95" s="2"/>
      <c r="AFB95" s="2"/>
      <c r="AFC95" s="2"/>
      <c r="AFD95" s="2"/>
      <c r="AFE95" s="2"/>
      <c r="AFF95" s="2"/>
      <c r="AFG95" s="2"/>
      <c r="AFH95" s="2"/>
      <c r="AFI95" s="2"/>
      <c r="AFJ95" s="2"/>
      <c r="AFK95" s="2"/>
      <c r="AFL95" s="2"/>
      <c r="AFM95" s="2"/>
      <c r="AFN95" s="2"/>
      <c r="AFO95" s="2"/>
      <c r="AFP95" s="2"/>
      <c r="AFQ95" s="2"/>
      <c r="AFR95" s="2"/>
      <c r="AFS95" s="2"/>
      <c r="AFT95" s="2"/>
      <c r="AFU95" s="2"/>
      <c r="AFV95" s="2"/>
      <c r="AFW95" s="2"/>
      <c r="AFX95" s="2"/>
      <c r="AFY95" s="2"/>
      <c r="AFZ95" s="2"/>
      <c r="AGA95" s="2"/>
      <c r="AGB95" s="2"/>
      <c r="AGC95" s="2"/>
      <c r="AGD95" s="2"/>
      <c r="AGE95" s="2"/>
      <c r="AGF95" s="2"/>
      <c r="AGG95" s="2"/>
      <c r="AGH95" s="2"/>
      <c r="AGI95" s="2"/>
      <c r="AGJ95" s="2"/>
      <c r="AGK95" s="2"/>
      <c r="AGL95" s="2"/>
      <c r="AGM95" s="2"/>
      <c r="AGN95" s="2"/>
      <c r="AGO95" s="2"/>
      <c r="AGP95" s="2"/>
      <c r="AGQ95" s="2"/>
      <c r="AGR95" s="2"/>
      <c r="AGS95" s="2"/>
      <c r="AGT95" s="2"/>
      <c r="AGU95" s="2"/>
      <c r="AGV95" s="2"/>
      <c r="AGW95" s="2"/>
      <c r="AGX95" s="2"/>
      <c r="AGY95" s="2"/>
      <c r="AGZ95" s="2"/>
      <c r="AHA95" s="2"/>
      <c r="AHB95" s="2"/>
      <c r="AHC95" s="2"/>
      <c r="AHD95" s="2"/>
      <c r="AHE95" s="2"/>
      <c r="AHF95" s="2"/>
      <c r="AHG95" s="2"/>
      <c r="AHH95" s="2"/>
      <c r="AHI95" s="2"/>
      <c r="AHJ95" s="2"/>
      <c r="AHK95" s="2"/>
      <c r="AHL95" s="2"/>
      <c r="AHM95" s="2"/>
      <c r="AHN95" s="2"/>
      <c r="AHO95" s="2"/>
      <c r="AHP95" s="2"/>
      <c r="AHQ95" s="2"/>
      <c r="AHR95" s="2"/>
      <c r="AHS95" s="2"/>
      <c r="AHT95" s="2"/>
      <c r="AHU95" s="2"/>
      <c r="AHV95" s="2"/>
      <c r="AHW95" s="2"/>
      <c r="AHX95" s="2"/>
      <c r="AHY95" s="2"/>
      <c r="AHZ95" s="2"/>
      <c r="AIA95" s="2"/>
      <c r="AIB95" s="2"/>
      <c r="AIC95" s="2"/>
      <c r="AID95" s="2"/>
      <c r="AIE95" s="2"/>
      <c r="AIF95" s="2"/>
      <c r="AIG95" s="2"/>
      <c r="AIH95" s="2"/>
      <c r="AII95" s="2"/>
      <c r="AIJ95" s="2"/>
      <c r="AIK95" s="2"/>
      <c r="AIL95" s="2"/>
      <c r="AIM95" s="2"/>
      <c r="AIN95" s="2"/>
      <c r="AIO95" s="2"/>
      <c r="AIP95" s="2"/>
      <c r="AIQ95" s="2"/>
      <c r="AIR95" s="2"/>
      <c r="AIS95" s="2"/>
      <c r="AIT95" s="2"/>
      <c r="AIU95" s="2"/>
      <c r="AIV95" s="2"/>
      <c r="AIW95" s="2"/>
      <c r="AIX95" s="2"/>
      <c r="AIY95" s="2"/>
      <c r="AIZ95" s="2"/>
      <c r="AJA95" s="2"/>
      <c r="AJB95" s="2"/>
      <c r="AJC95" s="2"/>
      <c r="AJD95" s="2"/>
      <c r="AJE95" s="2"/>
      <c r="AJF95" s="2"/>
      <c r="AJG95" s="2"/>
      <c r="AJH95" s="2"/>
      <c r="AJI95" s="2"/>
      <c r="AJJ95" s="2"/>
      <c r="AJK95" s="2"/>
      <c r="AJL95" s="2"/>
      <c r="AJM95" s="2"/>
      <c r="AJN95" s="2"/>
      <c r="AJO95" s="2"/>
      <c r="AJP95" s="2"/>
      <c r="AJQ95" s="2"/>
      <c r="AJR95" s="2"/>
      <c r="AJS95" s="2"/>
      <c r="AJT95" s="2"/>
      <c r="AJU95" s="2"/>
      <c r="AJV95" s="2"/>
      <c r="AJW95" s="2"/>
      <c r="AJX95" s="2"/>
      <c r="AJY95" s="2"/>
      <c r="AJZ95" s="2"/>
      <c r="AKA95" s="2"/>
      <c r="AKB95" s="2"/>
      <c r="AKC95" s="2"/>
      <c r="AKD95" s="2"/>
      <c r="AKE95" s="2"/>
      <c r="AKF95" s="2"/>
      <c r="AKG95" s="2"/>
      <c r="AKH95" s="2"/>
      <c r="AKI95" s="2"/>
      <c r="AKJ95" s="2"/>
      <c r="AKK95" s="2"/>
      <c r="AKL95" s="2"/>
      <c r="AKM95" s="2"/>
      <c r="AKN95" s="2"/>
      <c r="AKO95" s="2"/>
      <c r="AKP95" s="2"/>
      <c r="AKQ95" s="2"/>
      <c r="AKR95" s="2"/>
      <c r="AKS95" s="2"/>
      <c r="AKT95" s="2"/>
      <c r="AKU95" s="2"/>
      <c r="AKV95" s="2"/>
      <c r="AKW95" s="2"/>
      <c r="AKX95" s="2"/>
      <c r="AKY95" s="2"/>
      <c r="AKZ95" s="2"/>
      <c r="ALA95" s="2"/>
      <c r="ALB95" s="2"/>
      <c r="ALC95" s="2"/>
      <c r="ALD95" s="2"/>
      <c r="ALE95" s="2"/>
      <c r="ALF95" s="2"/>
      <c r="ALG95" s="2"/>
      <c r="ALH95" s="2"/>
      <c r="ALI95" s="2"/>
      <c r="ALJ95" s="2"/>
      <c r="ALK95" s="2"/>
      <c r="ALL95" s="2"/>
      <c r="ALM95" s="2"/>
      <c r="ALN95" s="2"/>
      <c r="ALO95" s="2"/>
      <c r="ALP95" s="2"/>
      <c r="ALQ95" s="2"/>
      <c r="ALR95" s="2"/>
      <c r="ALS95" s="2"/>
      <c r="ALT95" s="2"/>
      <c r="ALU95" s="2"/>
      <c r="ALV95" s="2"/>
      <c r="ALW95" s="2"/>
      <c r="ALX95" s="2"/>
      <c r="ALY95" s="2"/>
      <c r="ALZ95" s="2"/>
      <c r="AMA95" s="2"/>
      <c r="AMB95" s="2"/>
      <c r="AMC95" s="2"/>
      <c r="AMD95" s="2"/>
      <c r="AME95" s="2"/>
    </row>
    <row r="96" spans="1:1019" ht="37.5" customHeight="1" x14ac:dyDescent="0.3">
      <c r="A96" s="76"/>
      <c r="B96" s="77" t="s">
        <v>132</v>
      </c>
      <c r="C96" s="77"/>
      <c r="D96" s="77"/>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c r="TA96" s="2"/>
      <c r="TB96" s="2"/>
      <c r="TC96" s="2"/>
      <c r="TD96" s="2"/>
      <c r="TE96" s="2"/>
      <c r="TF96" s="2"/>
      <c r="TG96" s="2"/>
      <c r="TH96" s="2"/>
      <c r="TI96" s="2"/>
      <c r="TJ96" s="2"/>
      <c r="TK96" s="2"/>
      <c r="TL96" s="2"/>
      <c r="TM96" s="2"/>
      <c r="TN96" s="2"/>
      <c r="TO96" s="2"/>
      <c r="TP96" s="2"/>
      <c r="TQ96" s="2"/>
      <c r="TR96" s="2"/>
      <c r="TS96" s="2"/>
      <c r="TT96" s="2"/>
      <c r="TU96" s="2"/>
      <c r="TV96" s="2"/>
      <c r="TW96" s="2"/>
      <c r="TX96" s="2"/>
      <c r="TY96" s="2"/>
      <c r="TZ96" s="2"/>
      <c r="UA96" s="2"/>
      <c r="UB96" s="2"/>
      <c r="UC96" s="2"/>
      <c r="UD96" s="2"/>
      <c r="UE96" s="2"/>
      <c r="UF96" s="2"/>
      <c r="UG96" s="2"/>
      <c r="UH96" s="2"/>
      <c r="UI96" s="2"/>
      <c r="UJ96" s="2"/>
      <c r="UK96" s="2"/>
      <c r="UL96" s="2"/>
      <c r="UM96" s="2"/>
      <c r="UN96" s="2"/>
      <c r="UO96" s="2"/>
      <c r="UP96" s="2"/>
      <c r="UQ96" s="2"/>
      <c r="UR96" s="2"/>
      <c r="US96" s="2"/>
      <c r="UT96" s="2"/>
      <c r="UU96" s="2"/>
      <c r="UV96" s="2"/>
      <c r="UW96" s="2"/>
      <c r="UX96" s="2"/>
      <c r="UY96" s="2"/>
      <c r="UZ96" s="2"/>
      <c r="VA96" s="2"/>
      <c r="VB96" s="2"/>
      <c r="VC96" s="2"/>
      <c r="VD96" s="2"/>
      <c r="VE96" s="2"/>
      <c r="VF96" s="2"/>
      <c r="VG96" s="2"/>
      <c r="VH96" s="2"/>
      <c r="VI96" s="2"/>
      <c r="VJ96" s="2"/>
      <c r="VK96" s="2"/>
      <c r="VL96" s="2"/>
      <c r="VM96" s="2"/>
      <c r="VN96" s="2"/>
      <c r="VO96" s="2"/>
      <c r="VP96" s="2"/>
      <c r="VQ96" s="2"/>
      <c r="VR96" s="2"/>
      <c r="VS96" s="2"/>
      <c r="VT96" s="2"/>
      <c r="VU96" s="2"/>
      <c r="VV96" s="2"/>
      <c r="VW96" s="2"/>
      <c r="VX96" s="2"/>
      <c r="VY96" s="2"/>
      <c r="VZ96" s="2"/>
      <c r="WA96" s="2"/>
      <c r="WB96" s="2"/>
      <c r="WC96" s="2"/>
      <c r="WD96" s="2"/>
      <c r="WE96" s="2"/>
      <c r="WF96" s="2"/>
      <c r="WG96" s="2"/>
      <c r="WH96" s="2"/>
      <c r="WI96" s="2"/>
      <c r="WJ96" s="2"/>
      <c r="WK96" s="2"/>
      <c r="WL96" s="2"/>
      <c r="WM96" s="2"/>
      <c r="WN96" s="2"/>
      <c r="WO96" s="2"/>
      <c r="WP96" s="2"/>
      <c r="WQ96" s="2"/>
      <c r="WR96" s="2"/>
      <c r="WS96" s="2"/>
      <c r="WT96" s="2"/>
      <c r="WU96" s="2"/>
      <c r="WV96" s="2"/>
      <c r="WW96" s="2"/>
      <c r="WX96" s="2"/>
      <c r="WY96" s="2"/>
      <c r="WZ96" s="2"/>
      <c r="XA96" s="2"/>
      <c r="XB96" s="2"/>
      <c r="XC96" s="2"/>
      <c r="XD96" s="2"/>
      <c r="XE96" s="2"/>
      <c r="XF96" s="2"/>
      <c r="XG96" s="2"/>
      <c r="XH96" s="2"/>
      <c r="XI96" s="2"/>
      <c r="XJ96" s="2"/>
      <c r="XK96" s="2"/>
      <c r="XL96" s="2"/>
      <c r="XM96" s="2"/>
      <c r="XN96" s="2"/>
      <c r="XO96" s="2"/>
      <c r="XP96" s="2"/>
      <c r="XQ96" s="2"/>
      <c r="XR96" s="2"/>
      <c r="XS96" s="2"/>
      <c r="XT96" s="2"/>
      <c r="XU96" s="2"/>
      <c r="XV96" s="2"/>
      <c r="XW96" s="2"/>
      <c r="XX96" s="2"/>
      <c r="XY96" s="2"/>
      <c r="XZ96" s="2"/>
      <c r="YA96" s="2"/>
      <c r="YB96" s="2"/>
      <c r="YC96" s="2"/>
      <c r="YD96" s="2"/>
      <c r="YE96" s="2"/>
      <c r="YF96" s="2"/>
      <c r="YG96" s="2"/>
      <c r="YH96" s="2"/>
      <c r="YI96" s="2"/>
      <c r="YJ96" s="2"/>
      <c r="YK96" s="2"/>
      <c r="YL96" s="2"/>
      <c r="YM96" s="2"/>
      <c r="YN96" s="2"/>
      <c r="YO96" s="2"/>
      <c r="YP96" s="2"/>
      <c r="YQ96" s="2"/>
      <c r="YR96" s="2"/>
      <c r="YS96" s="2"/>
      <c r="YT96" s="2"/>
      <c r="YU96" s="2"/>
      <c r="YV96" s="2"/>
      <c r="YW96" s="2"/>
      <c r="YX96" s="2"/>
      <c r="YY96" s="2"/>
      <c r="YZ96" s="2"/>
      <c r="ZA96" s="2"/>
      <c r="ZB96" s="2"/>
      <c r="ZC96" s="2"/>
      <c r="ZD96" s="2"/>
      <c r="ZE96" s="2"/>
      <c r="ZF96" s="2"/>
      <c r="ZG96" s="2"/>
      <c r="ZH96" s="2"/>
      <c r="ZI96" s="2"/>
      <c r="ZJ96" s="2"/>
      <c r="ZK96" s="2"/>
      <c r="ZL96" s="2"/>
      <c r="ZM96" s="2"/>
      <c r="ZN96" s="2"/>
      <c r="ZO96" s="2"/>
      <c r="ZP96" s="2"/>
      <c r="ZQ96" s="2"/>
      <c r="ZR96" s="2"/>
      <c r="ZS96" s="2"/>
      <c r="ZT96" s="2"/>
      <c r="ZU96" s="2"/>
      <c r="ZV96" s="2"/>
      <c r="ZW96" s="2"/>
      <c r="ZX96" s="2"/>
      <c r="ZY96" s="2"/>
      <c r="ZZ96" s="2"/>
      <c r="AAA96" s="2"/>
      <c r="AAB96" s="2"/>
      <c r="AAC96" s="2"/>
      <c r="AAD96" s="2"/>
      <c r="AAE96" s="2"/>
      <c r="AAF96" s="2"/>
      <c r="AAG96" s="2"/>
      <c r="AAH96" s="2"/>
      <c r="AAI96" s="2"/>
      <c r="AAJ96" s="2"/>
      <c r="AAK96" s="2"/>
      <c r="AAL96" s="2"/>
      <c r="AAM96" s="2"/>
      <c r="AAN96" s="2"/>
      <c r="AAO96" s="2"/>
      <c r="AAP96" s="2"/>
      <c r="AAQ96" s="2"/>
      <c r="AAR96" s="2"/>
      <c r="AAS96" s="2"/>
      <c r="AAT96" s="2"/>
      <c r="AAU96" s="2"/>
      <c r="AAV96" s="2"/>
      <c r="AAW96" s="2"/>
      <c r="AAX96" s="2"/>
      <c r="AAY96" s="2"/>
      <c r="AAZ96" s="2"/>
      <c r="ABA96" s="2"/>
      <c r="ABB96" s="2"/>
      <c r="ABC96" s="2"/>
      <c r="ABD96" s="2"/>
      <c r="ABE96" s="2"/>
      <c r="ABF96" s="2"/>
      <c r="ABG96" s="2"/>
      <c r="ABH96" s="2"/>
      <c r="ABI96" s="2"/>
      <c r="ABJ96" s="2"/>
      <c r="ABK96" s="2"/>
      <c r="ABL96" s="2"/>
      <c r="ABM96" s="2"/>
      <c r="ABN96" s="2"/>
      <c r="ABO96" s="2"/>
      <c r="ABP96" s="2"/>
      <c r="ABQ96" s="2"/>
      <c r="ABR96" s="2"/>
      <c r="ABS96" s="2"/>
      <c r="ABT96" s="2"/>
      <c r="ABU96" s="2"/>
      <c r="ABV96" s="2"/>
      <c r="ABW96" s="2"/>
      <c r="ABX96" s="2"/>
      <c r="ABY96" s="2"/>
      <c r="ABZ96" s="2"/>
      <c r="ACA96" s="2"/>
      <c r="ACB96" s="2"/>
      <c r="ACC96" s="2"/>
      <c r="ACD96" s="2"/>
      <c r="ACE96" s="2"/>
      <c r="ACF96" s="2"/>
      <c r="ACG96" s="2"/>
      <c r="ACH96" s="2"/>
      <c r="ACI96" s="2"/>
      <c r="ACJ96" s="2"/>
      <c r="ACK96" s="2"/>
      <c r="ACL96" s="2"/>
      <c r="ACM96" s="2"/>
      <c r="ACN96" s="2"/>
      <c r="ACO96" s="2"/>
      <c r="ACP96" s="2"/>
      <c r="ACQ96" s="2"/>
      <c r="ACR96" s="2"/>
      <c r="ACS96" s="2"/>
      <c r="ACT96" s="2"/>
      <c r="ACU96" s="2"/>
      <c r="ACV96" s="2"/>
      <c r="ACW96" s="2"/>
      <c r="ACX96" s="2"/>
      <c r="ACY96" s="2"/>
      <c r="ACZ96" s="2"/>
      <c r="ADA96" s="2"/>
      <c r="ADB96" s="2"/>
      <c r="ADC96" s="2"/>
      <c r="ADD96" s="2"/>
      <c r="ADE96" s="2"/>
      <c r="ADF96" s="2"/>
      <c r="ADG96" s="2"/>
      <c r="ADH96" s="2"/>
      <c r="ADI96" s="2"/>
      <c r="ADJ96" s="2"/>
      <c r="ADK96" s="2"/>
      <c r="ADL96" s="2"/>
      <c r="ADM96" s="2"/>
      <c r="ADN96" s="2"/>
      <c r="ADO96" s="2"/>
      <c r="ADP96" s="2"/>
      <c r="ADQ96" s="2"/>
      <c r="ADR96" s="2"/>
      <c r="ADS96" s="2"/>
      <c r="ADT96" s="2"/>
      <c r="ADU96" s="2"/>
      <c r="ADV96" s="2"/>
      <c r="ADW96" s="2"/>
      <c r="ADX96" s="2"/>
      <c r="ADY96" s="2"/>
      <c r="ADZ96" s="2"/>
      <c r="AEA96" s="2"/>
      <c r="AEB96" s="2"/>
      <c r="AEC96" s="2"/>
      <c r="AED96" s="2"/>
      <c r="AEE96" s="2"/>
      <c r="AEF96" s="2"/>
      <c r="AEG96" s="2"/>
      <c r="AEH96" s="2"/>
      <c r="AEI96" s="2"/>
      <c r="AEJ96" s="2"/>
      <c r="AEK96" s="2"/>
      <c r="AEL96" s="2"/>
      <c r="AEM96" s="2"/>
      <c r="AEN96" s="2"/>
      <c r="AEO96" s="2"/>
      <c r="AEP96" s="2"/>
      <c r="AEQ96" s="2"/>
      <c r="AER96" s="2"/>
      <c r="AES96" s="2"/>
      <c r="AET96" s="2"/>
      <c r="AEU96" s="2"/>
      <c r="AEV96" s="2"/>
      <c r="AEW96" s="2"/>
      <c r="AEX96" s="2"/>
      <c r="AEY96" s="2"/>
      <c r="AEZ96" s="2"/>
      <c r="AFA96" s="2"/>
      <c r="AFB96" s="2"/>
      <c r="AFC96" s="2"/>
      <c r="AFD96" s="2"/>
      <c r="AFE96" s="2"/>
      <c r="AFF96" s="2"/>
      <c r="AFG96" s="2"/>
      <c r="AFH96" s="2"/>
      <c r="AFI96" s="2"/>
      <c r="AFJ96" s="2"/>
      <c r="AFK96" s="2"/>
      <c r="AFL96" s="2"/>
      <c r="AFM96" s="2"/>
      <c r="AFN96" s="2"/>
      <c r="AFO96" s="2"/>
      <c r="AFP96" s="2"/>
      <c r="AFQ96" s="2"/>
      <c r="AFR96" s="2"/>
      <c r="AFS96" s="2"/>
      <c r="AFT96" s="2"/>
      <c r="AFU96" s="2"/>
      <c r="AFV96" s="2"/>
      <c r="AFW96" s="2"/>
      <c r="AFX96" s="2"/>
      <c r="AFY96" s="2"/>
      <c r="AFZ96" s="2"/>
      <c r="AGA96" s="2"/>
      <c r="AGB96" s="2"/>
      <c r="AGC96" s="2"/>
      <c r="AGD96" s="2"/>
      <c r="AGE96" s="2"/>
      <c r="AGF96" s="2"/>
      <c r="AGG96" s="2"/>
      <c r="AGH96" s="2"/>
      <c r="AGI96" s="2"/>
      <c r="AGJ96" s="2"/>
      <c r="AGK96" s="2"/>
      <c r="AGL96" s="2"/>
      <c r="AGM96" s="2"/>
      <c r="AGN96" s="2"/>
      <c r="AGO96" s="2"/>
      <c r="AGP96" s="2"/>
      <c r="AGQ96" s="2"/>
      <c r="AGR96" s="2"/>
      <c r="AGS96" s="2"/>
      <c r="AGT96" s="2"/>
      <c r="AGU96" s="2"/>
      <c r="AGV96" s="2"/>
      <c r="AGW96" s="2"/>
      <c r="AGX96" s="2"/>
      <c r="AGY96" s="2"/>
      <c r="AGZ96" s="2"/>
      <c r="AHA96" s="2"/>
      <c r="AHB96" s="2"/>
      <c r="AHC96" s="2"/>
      <c r="AHD96" s="2"/>
      <c r="AHE96" s="2"/>
      <c r="AHF96" s="2"/>
      <c r="AHG96" s="2"/>
      <c r="AHH96" s="2"/>
      <c r="AHI96" s="2"/>
      <c r="AHJ96" s="2"/>
      <c r="AHK96" s="2"/>
      <c r="AHL96" s="2"/>
      <c r="AHM96" s="2"/>
      <c r="AHN96" s="2"/>
      <c r="AHO96" s="2"/>
      <c r="AHP96" s="2"/>
      <c r="AHQ96" s="2"/>
      <c r="AHR96" s="2"/>
      <c r="AHS96" s="2"/>
      <c r="AHT96" s="2"/>
      <c r="AHU96" s="2"/>
      <c r="AHV96" s="2"/>
      <c r="AHW96" s="2"/>
      <c r="AHX96" s="2"/>
      <c r="AHY96" s="2"/>
      <c r="AHZ96" s="2"/>
      <c r="AIA96" s="2"/>
      <c r="AIB96" s="2"/>
      <c r="AIC96" s="2"/>
      <c r="AID96" s="2"/>
      <c r="AIE96" s="2"/>
      <c r="AIF96" s="2"/>
      <c r="AIG96" s="2"/>
      <c r="AIH96" s="2"/>
      <c r="AII96" s="2"/>
      <c r="AIJ96" s="2"/>
      <c r="AIK96" s="2"/>
      <c r="AIL96" s="2"/>
      <c r="AIM96" s="2"/>
      <c r="AIN96" s="2"/>
      <c r="AIO96" s="2"/>
      <c r="AIP96" s="2"/>
      <c r="AIQ96" s="2"/>
      <c r="AIR96" s="2"/>
      <c r="AIS96" s="2"/>
      <c r="AIT96" s="2"/>
      <c r="AIU96" s="2"/>
      <c r="AIV96" s="2"/>
      <c r="AIW96" s="2"/>
      <c r="AIX96" s="2"/>
      <c r="AIY96" s="2"/>
      <c r="AIZ96" s="2"/>
      <c r="AJA96" s="2"/>
      <c r="AJB96" s="2"/>
      <c r="AJC96" s="2"/>
      <c r="AJD96" s="2"/>
      <c r="AJE96" s="2"/>
      <c r="AJF96" s="2"/>
      <c r="AJG96" s="2"/>
      <c r="AJH96" s="2"/>
      <c r="AJI96" s="2"/>
      <c r="AJJ96" s="2"/>
      <c r="AJK96" s="2"/>
      <c r="AJL96" s="2"/>
      <c r="AJM96" s="2"/>
      <c r="AJN96" s="2"/>
      <c r="AJO96" s="2"/>
      <c r="AJP96" s="2"/>
      <c r="AJQ96" s="2"/>
      <c r="AJR96" s="2"/>
      <c r="AJS96" s="2"/>
      <c r="AJT96" s="2"/>
      <c r="AJU96" s="2"/>
      <c r="AJV96" s="2"/>
      <c r="AJW96" s="2"/>
      <c r="AJX96" s="2"/>
      <c r="AJY96" s="2"/>
      <c r="AJZ96" s="2"/>
      <c r="AKA96" s="2"/>
      <c r="AKB96" s="2"/>
      <c r="AKC96" s="2"/>
      <c r="AKD96" s="2"/>
      <c r="AKE96" s="2"/>
      <c r="AKF96" s="2"/>
      <c r="AKG96" s="2"/>
      <c r="AKH96" s="2"/>
      <c r="AKI96" s="2"/>
      <c r="AKJ96" s="2"/>
      <c r="AKK96" s="2"/>
      <c r="AKL96" s="2"/>
      <c r="AKM96" s="2"/>
      <c r="AKN96" s="2"/>
      <c r="AKO96" s="2"/>
      <c r="AKP96" s="2"/>
      <c r="AKQ96" s="2"/>
      <c r="AKR96" s="2"/>
      <c r="AKS96" s="2"/>
      <c r="AKT96" s="2"/>
      <c r="AKU96" s="2"/>
      <c r="AKV96" s="2"/>
      <c r="AKW96" s="2"/>
      <c r="AKX96" s="2"/>
      <c r="AKY96" s="2"/>
      <c r="AKZ96" s="2"/>
      <c r="ALA96" s="2"/>
      <c r="ALB96" s="2"/>
      <c r="ALC96" s="2"/>
      <c r="ALD96" s="2"/>
      <c r="ALE96" s="2"/>
      <c r="ALF96" s="2"/>
      <c r="ALG96" s="2"/>
      <c r="ALH96" s="2"/>
      <c r="ALI96" s="2"/>
      <c r="ALJ96" s="2"/>
      <c r="ALK96" s="2"/>
      <c r="ALL96" s="2"/>
      <c r="ALM96" s="2"/>
      <c r="ALN96" s="2"/>
      <c r="ALO96" s="2"/>
      <c r="ALP96" s="2"/>
      <c r="ALQ96" s="2"/>
      <c r="ALR96" s="2"/>
      <c r="ALS96" s="2"/>
      <c r="ALT96" s="2"/>
      <c r="ALU96" s="2"/>
      <c r="ALV96" s="2"/>
      <c r="ALW96" s="2"/>
      <c r="ALX96" s="2"/>
      <c r="ALY96" s="2"/>
      <c r="ALZ96" s="2"/>
      <c r="AMA96" s="2"/>
      <c r="AMB96" s="2"/>
      <c r="AMC96" s="2"/>
      <c r="AMD96" s="2"/>
      <c r="AME96" s="2"/>
    </row>
    <row r="97" spans="1:1019" ht="21" customHeight="1" x14ac:dyDescent="0.3">
      <c r="A97" s="19">
        <v>5</v>
      </c>
      <c r="B97" s="71" t="s">
        <v>133</v>
      </c>
      <c r="C97" s="71"/>
      <c r="D97" s="7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c r="TA97" s="2"/>
      <c r="TB97" s="2"/>
      <c r="TC97" s="2"/>
      <c r="TD97" s="2"/>
      <c r="TE97" s="2"/>
      <c r="TF97" s="2"/>
      <c r="TG97" s="2"/>
      <c r="TH97" s="2"/>
      <c r="TI97" s="2"/>
      <c r="TJ97" s="2"/>
      <c r="TK97" s="2"/>
      <c r="TL97" s="2"/>
      <c r="TM97" s="2"/>
      <c r="TN97" s="2"/>
      <c r="TO97" s="2"/>
      <c r="TP97" s="2"/>
      <c r="TQ97" s="2"/>
      <c r="TR97" s="2"/>
      <c r="TS97" s="2"/>
      <c r="TT97" s="2"/>
      <c r="TU97" s="2"/>
      <c r="TV97" s="2"/>
      <c r="TW97" s="2"/>
      <c r="TX97" s="2"/>
      <c r="TY97" s="2"/>
      <c r="TZ97" s="2"/>
      <c r="UA97" s="2"/>
      <c r="UB97" s="2"/>
      <c r="UC97" s="2"/>
      <c r="UD97" s="2"/>
      <c r="UE97" s="2"/>
      <c r="UF97" s="2"/>
      <c r="UG97" s="2"/>
      <c r="UH97" s="2"/>
      <c r="UI97" s="2"/>
      <c r="UJ97" s="2"/>
      <c r="UK97" s="2"/>
      <c r="UL97" s="2"/>
      <c r="UM97" s="2"/>
      <c r="UN97" s="2"/>
      <c r="UO97" s="2"/>
      <c r="UP97" s="2"/>
      <c r="UQ97" s="2"/>
      <c r="UR97" s="2"/>
      <c r="US97" s="2"/>
      <c r="UT97" s="2"/>
      <c r="UU97" s="2"/>
      <c r="UV97" s="2"/>
      <c r="UW97" s="2"/>
      <c r="UX97" s="2"/>
      <c r="UY97" s="2"/>
      <c r="UZ97" s="2"/>
      <c r="VA97" s="2"/>
      <c r="VB97" s="2"/>
      <c r="VC97" s="2"/>
      <c r="VD97" s="2"/>
      <c r="VE97" s="2"/>
      <c r="VF97" s="2"/>
      <c r="VG97" s="2"/>
      <c r="VH97" s="2"/>
      <c r="VI97" s="2"/>
      <c r="VJ97" s="2"/>
      <c r="VK97" s="2"/>
      <c r="VL97" s="2"/>
      <c r="VM97" s="2"/>
      <c r="VN97" s="2"/>
      <c r="VO97" s="2"/>
      <c r="VP97" s="2"/>
      <c r="VQ97" s="2"/>
      <c r="VR97" s="2"/>
      <c r="VS97" s="2"/>
      <c r="VT97" s="2"/>
      <c r="VU97" s="2"/>
      <c r="VV97" s="2"/>
      <c r="VW97" s="2"/>
      <c r="VX97" s="2"/>
      <c r="VY97" s="2"/>
      <c r="VZ97" s="2"/>
      <c r="WA97" s="2"/>
      <c r="WB97" s="2"/>
      <c r="WC97" s="2"/>
      <c r="WD97" s="2"/>
      <c r="WE97" s="2"/>
      <c r="WF97" s="2"/>
      <c r="WG97" s="2"/>
      <c r="WH97" s="2"/>
      <c r="WI97" s="2"/>
      <c r="WJ97" s="2"/>
      <c r="WK97" s="2"/>
      <c r="WL97" s="2"/>
      <c r="WM97" s="2"/>
      <c r="WN97" s="2"/>
      <c r="WO97" s="2"/>
      <c r="WP97" s="2"/>
      <c r="WQ97" s="2"/>
      <c r="WR97" s="2"/>
      <c r="WS97" s="2"/>
      <c r="WT97" s="2"/>
      <c r="WU97" s="2"/>
      <c r="WV97" s="2"/>
      <c r="WW97" s="2"/>
      <c r="WX97" s="2"/>
      <c r="WY97" s="2"/>
      <c r="WZ97" s="2"/>
      <c r="XA97" s="2"/>
      <c r="XB97" s="2"/>
      <c r="XC97" s="2"/>
      <c r="XD97" s="2"/>
      <c r="XE97" s="2"/>
      <c r="XF97" s="2"/>
      <c r="XG97" s="2"/>
      <c r="XH97" s="2"/>
      <c r="XI97" s="2"/>
      <c r="XJ97" s="2"/>
      <c r="XK97" s="2"/>
      <c r="XL97" s="2"/>
      <c r="XM97" s="2"/>
      <c r="XN97" s="2"/>
      <c r="XO97" s="2"/>
      <c r="XP97" s="2"/>
      <c r="XQ97" s="2"/>
      <c r="XR97" s="2"/>
      <c r="XS97" s="2"/>
      <c r="XT97" s="2"/>
      <c r="XU97" s="2"/>
      <c r="XV97" s="2"/>
      <c r="XW97" s="2"/>
      <c r="XX97" s="2"/>
      <c r="XY97" s="2"/>
      <c r="XZ97" s="2"/>
      <c r="YA97" s="2"/>
      <c r="YB97" s="2"/>
      <c r="YC97" s="2"/>
      <c r="YD97" s="2"/>
      <c r="YE97" s="2"/>
      <c r="YF97" s="2"/>
      <c r="YG97" s="2"/>
      <c r="YH97" s="2"/>
      <c r="YI97" s="2"/>
      <c r="YJ97" s="2"/>
      <c r="YK97" s="2"/>
      <c r="YL97" s="2"/>
      <c r="YM97" s="2"/>
      <c r="YN97" s="2"/>
      <c r="YO97" s="2"/>
      <c r="YP97" s="2"/>
      <c r="YQ97" s="2"/>
      <c r="YR97" s="2"/>
      <c r="YS97" s="2"/>
      <c r="YT97" s="2"/>
      <c r="YU97" s="2"/>
      <c r="YV97" s="2"/>
      <c r="YW97" s="2"/>
      <c r="YX97" s="2"/>
      <c r="YY97" s="2"/>
      <c r="YZ97" s="2"/>
      <c r="ZA97" s="2"/>
      <c r="ZB97" s="2"/>
      <c r="ZC97" s="2"/>
      <c r="ZD97" s="2"/>
      <c r="ZE97" s="2"/>
      <c r="ZF97" s="2"/>
      <c r="ZG97" s="2"/>
      <c r="ZH97" s="2"/>
      <c r="ZI97" s="2"/>
      <c r="ZJ97" s="2"/>
      <c r="ZK97" s="2"/>
      <c r="ZL97" s="2"/>
      <c r="ZM97" s="2"/>
      <c r="ZN97" s="2"/>
      <c r="ZO97" s="2"/>
      <c r="ZP97" s="2"/>
      <c r="ZQ97" s="2"/>
      <c r="ZR97" s="2"/>
      <c r="ZS97" s="2"/>
      <c r="ZT97" s="2"/>
      <c r="ZU97" s="2"/>
      <c r="ZV97" s="2"/>
      <c r="ZW97" s="2"/>
      <c r="ZX97" s="2"/>
      <c r="ZY97" s="2"/>
      <c r="ZZ97" s="2"/>
      <c r="AAA97" s="2"/>
      <c r="AAB97" s="2"/>
      <c r="AAC97" s="2"/>
      <c r="AAD97" s="2"/>
      <c r="AAE97" s="2"/>
      <c r="AAF97" s="2"/>
      <c r="AAG97" s="2"/>
      <c r="AAH97" s="2"/>
      <c r="AAI97" s="2"/>
      <c r="AAJ97" s="2"/>
      <c r="AAK97" s="2"/>
      <c r="AAL97" s="2"/>
      <c r="AAM97" s="2"/>
      <c r="AAN97" s="2"/>
      <c r="AAO97" s="2"/>
      <c r="AAP97" s="2"/>
      <c r="AAQ97" s="2"/>
      <c r="AAR97" s="2"/>
      <c r="AAS97" s="2"/>
      <c r="AAT97" s="2"/>
      <c r="AAU97" s="2"/>
      <c r="AAV97" s="2"/>
      <c r="AAW97" s="2"/>
      <c r="AAX97" s="2"/>
      <c r="AAY97" s="2"/>
      <c r="AAZ97" s="2"/>
      <c r="ABA97" s="2"/>
      <c r="ABB97" s="2"/>
      <c r="ABC97" s="2"/>
      <c r="ABD97" s="2"/>
      <c r="ABE97" s="2"/>
      <c r="ABF97" s="2"/>
      <c r="ABG97" s="2"/>
      <c r="ABH97" s="2"/>
      <c r="ABI97" s="2"/>
      <c r="ABJ97" s="2"/>
      <c r="ABK97" s="2"/>
      <c r="ABL97" s="2"/>
      <c r="ABM97" s="2"/>
      <c r="ABN97" s="2"/>
      <c r="ABO97" s="2"/>
      <c r="ABP97" s="2"/>
      <c r="ABQ97" s="2"/>
      <c r="ABR97" s="2"/>
      <c r="ABS97" s="2"/>
      <c r="ABT97" s="2"/>
      <c r="ABU97" s="2"/>
      <c r="ABV97" s="2"/>
      <c r="ABW97" s="2"/>
      <c r="ABX97" s="2"/>
      <c r="ABY97" s="2"/>
      <c r="ABZ97" s="2"/>
      <c r="ACA97" s="2"/>
      <c r="ACB97" s="2"/>
      <c r="ACC97" s="2"/>
      <c r="ACD97" s="2"/>
      <c r="ACE97" s="2"/>
      <c r="ACF97" s="2"/>
      <c r="ACG97" s="2"/>
      <c r="ACH97" s="2"/>
      <c r="ACI97" s="2"/>
      <c r="ACJ97" s="2"/>
      <c r="ACK97" s="2"/>
      <c r="ACL97" s="2"/>
      <c r="ACM97" s="2"/>
      <c r="ACN97" s="2"/>
      <c r="ACO97" s="2"/>
      <c r="ACP97" s="2"/>
      <c r="ACQ97" s="2"/>
      <c r="ACR97" s="2"/>
      <c r="ACS97" s="2"/>
      <c r="ACT97" s="2"/>
      <c r="ACU97" s="2"/>
      <c r="ACV97" s="2"/>
      <c r="ACW97" s="2"/>
      <c r="ACX97" s="2"/>
      <c r="ACY97" s="2"/>
      <c r="ACZ97" s="2"/>
      <c r="ADA97" s="2"/>
      <c r="ADB97" s="2"/>
      <c r="ADC97" s="2"/>
      <c r="ADD97" s="2"/>
      <c r="ADE97" s="2"/>
      <c r="ADF97" s="2"/>
      <c r="ADG97" s="2"/>
      <c r="ADH97" s="2"/>
      <c r="ADI97" s="2"/>
      <c r="ADJ97" s="2"/>
      <c r="ADK97" s="2"/>
      <c r="ADL97" s="2"/>
      <c r="ADM97" s="2"/>
      <c r="ADN97" s="2"/>
      <c r="ADO97" s="2"/>
      <c r="ADP97" s="2"/>
      <c r="ADQ97" s="2"/>
      <c r="ADR97" s="2"/>
      <c r="ADS97" s="2"/>
      <c r="ADT97" s="2"/>
      <c r="ADU97" s="2"/>
      <c r="ADV97" s="2"/>
      <c r="ADW97" s="2"/>
      <c r="ADX97" s="2"/>
      <c r="ADY97" s="2"/>
      <c r="ADZ97" s="2"/>
      <c r="AEA97" s="2"/>
      <c r="AEB97" s="2"/>
      <c r="AEC97" s="2"/>
      <c r="AED97" s="2"/>
      <c r="AEE97" s="2"/>
      <c r="AEF97" s="2"/>
      <c r="AEG97" s="2"/>
      <c r="AEH97" s="2"/>
      <c r="AEI97" s="2"/>
      <c r="AEJ97" s="2"/>
      <c r="AEK97" s="2"/>
      <c r="AEL97" s="2"/>
      <c r="AEM97" s="2"/>
      <c r="AEN97" s="2"/>
      <c r="AEO97" s="2"/>
      <c r="AEP97" s="2"/>
      <c r="AEQ97" s="2"/>
      <c r="AER97" s="2"/>
      <c r="AES97" s="2"/>
      <c r="AET97" s="2"/>
      <c r="AEU97" s="2"/>
      <c r="AEV97" s="2"/>
      <c r="AEW97" s="2"/>
      <c r="AEX97" s="2"/>
      <c r="AEY97" s="2"/>
      <c r="AEZ97" s="2"/>
      <c r="AFA97" s="2"/>
      <c r="AFB97" s="2"/>
      <c r="AFC97" s="2"/>
      <c r="AFD97" s="2"/>
      <c r="AFE97" s="2"/>
      <c r="AFF97" s="2"/>
      <c r="AFG97" s="2"/>
      <c r="AFH97" s="2"/>
      <c r="AFI97" s="2"/>
      <c r="AFJ97" s="2"/>
      <c r="AFK97" s="2"/>
      <c r="AFL97" s="2"/>
      <c r="AFM97" s="2"/>
      <c r="AFN97" s="2"/>
      <c r="AFO97" s="2"/>
      <c r="AFP97" s="2"/>
      <c r="AFQ97" s="2"/>
      <c r="AFR97" s="2"/>
      <c r="AFS97" s="2"/>
      <c r="AFT97" s="2"/>
      <c r="AFU97" s="2"/>
      <c r="AFV97" s="2"/>
      <c r="AFW97" s="2"/>
      <c r="AFX97" s="2"/>
      <c r="AFY97" s="2"/>
      <c r="AFZ97" s="2"/>
      <c r="AGA97" s="2"/>
      <c r="AGB97" s="2"/>
      <c r="AGC97" s="2"/>
      <c r="AGD97" s="2"/>
      <c r="AGE97" s="2"/>
      <c r="AGF97" s="2"/>
      <c r="AGG97" s="2"/>
      <c r="AGH97" s="2"/>
      <c r="AGI97" s="2"/>
      <c r="AGJ97" s="2"/>
      <c r="AGK97" s="2"/>
      <c r="AGL97" s="2"/>
      <c r="AGM97" s="2"/>
      <c r="AGN97" s="2"/>
      <c r="AGO97" s="2"/>
      <c r="AGP97" s="2"/>
      <c r="AGQ97" s="2"/>
      <c r="AGR97" s="2"/>
      <c r="AGS97" s="2"/>
      <c r="AGT97" s="2"/>
      <c r="AGU97" s="2"/>
      <c r="AGV97" s="2"/>
      <c r="AGW97" s="2"/>
      <c r="AGX97" s="2"/>
      <c r="AGY97" s="2"/>
      <c r="AGZ97" s="2"/>
      <c r="AHA97" s="2"/>
      <c r="AHB97" s="2"/>
      <c r="AHC97" s="2"/>
      <c r="AHD97" s="2"/>
      <c r="AHE97" s="2"/>
      <c r="AHF97" s="2"/>
      <c r="AHG97" s="2"/>
      <c r="AHH97" s="2"/>
      <c r="AHI97" s="2"/>
      <c r="AHJ97" s="2"/>
      <c r="AHK97" s="2"/>
      <c r="AHL97" s="2"/>
      <c r="AHM97" s="2"/>
      <c r="AHN97" s="2"/>
      <c r="AHO97" s="2"/>
      <c r="AHP97" s="2"/>
      <c r="AHQ97" s="2"/>
      <c r="AHR97" s="2"/>
      <c r="AHS97" s="2"/>
      <c r="AHT97" s="2"/>
      <c r="AHU97" s="2"/>
      <c r="AHV97" s="2"/>
      <c r="AHW97" s="2"/>
      <c r="AHX97" s="2"/>
      <c r="AHY97" s="2"/>
      <c r="AHZ97" s="2"/>
      <c r="AIA97" s="2"/>
      <c r="AIB97" s="2"/>
      <c r="AIC97" s="2"/>
      <c r="AID97" s="2"/>
      <c r="AIE97" s="2"/>
      <c r="AIF97" s="2"/>
      <c r="AIG97" s="2"/>
      <c r="AIH97" s="2"/>
      <c r="AII97" s="2"/>
      <c r="AIJ97" s="2"/>
      <c r="AIK97" s="2"/>
      <c r="AIL97" s="2"/>
      <c r="AIM97" s="2"/>
      <c r="AIN97" s="2"/>
      <c r="AIO97" s="2"/>
      <c r="AIP97" s="2"/>
      <c r="AIQ97" s="2"/>
      <c r="AIR97" s="2"/>
      <c r="AIS97" s="2"/>
      <c r="AIT97" s="2"/>
      <c r="AIU97" s="2"/>
      <c r="AIV97" s="2"/>
      <c r="AIW97" s="2"/>
      <c r="AIX97" s="2"/>
      <c r="AIY97" s="2"/>
      <c r="AIZ97" s="2"/>
      <c r="AJA97" s="2"/>
      <c r="AJB97" s="2"/>
      <c r="AJC97" s="2"/>
      <c r="AJD97" s="2"/>
      <c r="AJE97" s="2"/>
      <c r="AJF97" s="2"/>
      <c r="AJG97" s="2"/>
      <c r="AJH97" s="2"/>
      <c r="AJI97" s="2"/>
      <c r="AJJ97" s="2"/>
      <c r="AJK97" s="2"/>
      <c r="AJL97" s="2"/>
      <c r="AJM97" s="2"/>
      <c r="AJN97" s="2"/>
      <c r="AJO97" s="2"/>
      <c r="AJP97" s="2"/>
      <c r="AJQ97" s="2"/>
      <c r="AJR97" s="2"/>
      <c r="AJS97" s="2"/>
      <c r="AJT97" s="2"/>
      <c r="AJU97" s="2"/>
      <c r="AJV97" s="2"/>
      <c r="AJW97" s="2"/>
      <c r="AJX97" s="2"/>
      <c r="AJY97" s="2"/>
      <c r="AJZ97" s="2"/>
      <c r="AKA97" s="2"/>
      <c r="AKB97" s="2"/>
      <c r="AKC97" s="2"/>
      <c r="AKD97" s="2"/>
      <c r="AKE97" s="2"/>
      <c r="AKF97" s="2"/>
      <c r="AKG97" s="2"/>
      <c r="AKH97" s="2"/>
      <c r="AKI97" s="2"/>
      <c r="AKJ97" s="2"/>
      <c r="AKK97" s="2"/>
      <c r="AKL97" s="2"/>
      <c r="AKM97" s="2"/>
      <c r="AKN97" s="2"/>
      <c r="AKO97" s="2"/>
      <c r="AKP97" s="2"/>
      <c r="AKQ97" s="2"/>
      <c r="AKR97" s="2"/>
      <c r="AKS97" s="2"/>
      <c r="AKT97" s="2"/>
      <c r="AKU97" s="2"/>
      <c r="AKV97" s="2"/>
      <c r="AKW97" s="2"/>
      <c r="AKX97" s="2"/>
      <c r="AKY97" s="2"/>
      <c r="AKZ97" s="2"/>
      <c r="ALA97" s="2"/>
      <c r="ALB97" s="2"/>
      <c r="ALC97" s="2"/>
      <c r="ALD97" s="2"/>
      <c r="ALE97" s="2"/>
      <c r="ALF97" s="2"/>
      <c r="ALG97" s="2"/>
      <c r="ALH97" s="2"/>
      <c r="ALI97" s="2"/>
      <c r="ALJ97" s="2"/>
      <c r="ALK97" s="2"/>
      <c r="ALL97" s="2"/>
      <c r="ALM97" s="2"/>
      <c r="ALN97" s="2"/>
      <c r="ALO97" s="2"/>
      <c r="ALP97" s="2"/>
      <c r="ALQ97" s="2"/>
      <c r="ALR97" s="2"/>
      <c r="ALS97" s="2"/>
      <c r="ALT97" s="2"/>
      <c r="ALU97" s="2"/>
      <c r="ALV97" s="2"/>
      <c r="ALW97" s="2"/>
      <c r="ALX97" s="2"/>
      <c r="ALY97" s="2"/>
      <c r="ALZ97" s="2"/>
      <c r="AMA97" s="2"/>
      <c r="AMB97" s="2"/>
      <c r="AMC97" s="2"/>
      <c r="AMD97" s="2"/>
      <c r="AME97" s="2"/>
    </row>
    <row r="98" spans="1:1019" ht="39.75" customHeight="1" x14ac:dyDescent="0.3">
      <c r="A98" s="36">
        <v>5.0999999999999996</v>
      </c>
      <c r="B98" s="37" t="s">
        <v>134</v>
      </c>
      <c r="C98" s="38" t="s">
        <v>62</v>
      </c>
      <c r="D98" s="43">
        <f>D73</f>
        <v>1238.51025</v>
      </c>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c r="ZZ98" s="2"/>
      <c r="AAA98" s="2"/>
      <c r="AAB98" s="2"/>
      <c r="AAC98" s="2"/>
      <c r="AAD98" s="2"/>
      <c r="AAE98" s="2"/>
      <c r="AAF98" s="2"/>
      <c r="AAG98" s="2"/>
      <c r="AAH98" s="2"/>
      <c r="AAI98" s="2"/>
      <c r="AAJ98" s="2"/>
      <c r="AAK98" s="2"/>
      <c r="AAL98" s="2"/>
      <c r="AAM98" s="2"/>
      <c r="AAN98" s="2"/>
      <c r="AAO98" s="2"/>
      <c r="AAP98" s="2"/>
      <c r="AAQ98" s="2"/>
      <c r="AAR98" s="2"/>
      <c r="AAS98" s="2"/>
      <c r="AAT98" s="2"/>
      <c r="AAU98" s="2"/>
      <c r="AAV98" s="2"/>
      <c r="AAW98" s="2"/>
      <c r="AAX98" s="2"/>
      <c r="AAY98" s="2"/>
      <c r="AAZ98" s="2"/>
      <c r="ABA98" s="2"/>
      <c r="ABB98" s="2"/>
      <c r="ABC98" s="2"/>
      <c r="ABD98" s="2"/>
      <c r="ABE98" s="2"/>
      <c r="ABF98" s="2"/>
      <c r="ABG98" s="2"/>
      <c r="ABH98" s="2"/>
      <c r="ABI98" s="2"/>
      <c r="ABJ98" s="2"/>
      <c r="ABK98" s="2"/>
      <c r="ABL98" s="2"/>
      <c r="ABM98" s="2"/>
      <c r="ABN98" s="2"/>
      <c r="ABO98" s="2"/>
      <c r="ABP98" s="2"/>
      <c r="ABQ98" s="2"/>
      <c r="ABR98" s="2"/>
      <c r="ABS98" s="2"/>
      <c r="ABT98" s="2"/>
      <c r="ABU98" s="2"/>
      <c r="ABV98" s="2"/>
      <c r="ABW98" s="2"/>
      <c r="ABX98" s="2"/>
      <c r="ABY98" s="2"/>
      <c r="ABZ98" s="2"/>
      <c r="ACA98" s="2"/>
      <c r="ACB98" s="2"/>
      <c r="ACC98" s="2"/>
      <c r="ACD98" s="2"/>
      <c r="ACE98" s="2"/>
      <c r="ACF98" s="2"/>
      <c r="ACG98" s="2"/>
      <c r="ACH98" s="2"/>
      <c r="ACI98" s="2"/>
      <c r="ACJ98" s="2"/>
      <c r="ACK98" s="2"/>
      <c r="ACL98" s="2"/>
      <c r="ACM98" s="2"/>
      <c r="ACN98" s="2"/>
      <c r="ACO98" s="2"/>
      <c r="ACP98" s="2"/>
      <c r="ACQ98" s="2"/>
      <c r="ACR98" s="2"/>
      <c r="ACS98" s="2"/>
      <c r="ACT98" s="2"/>
      <c r="ACU98" s="2"/>
      <c r="ACV98" s="2"/>
      <c r="ACW98" s="2"/>
      <c r="ACX98" s="2"/>
      <c r="ACY98" s="2"/>
      <c r="ACZ98" s="2"/>
      <c r="ADA98" s="2"/>
      <c r="ADB98" s="2"/>
      <c r="ADC98" s="2"/>
      <c r="ADD98" s="2"/>
      <c r="ADE98" s="2"/>
      <c r="ADF98" s="2"/>
      <c r="ADG98" s="2"/>
      <c r="ADH98" s="2"/>
      <c r="ADI98" s="2"/>
      <c r="ADJ98" s="2"/>
      <c r="ADK98" s="2"/>
      <c r="ADL98" s="2"/>
      <c r="ADM98" s="2"/>
      <c r="ADN98" s="2"/>
      <c r="ADO98" s="2"/>
      <c r="ADP98" s="2"/>
      <c r="ADQ98" s="2"/>
      <c r="ADR98" s="2"/>
      <c r="ADS98" s="2"/>
      <c r="ADT98" s="2"/>
      <c r="ADU98" s="2"/>
      <c r="ADV98" s="2"/>
      <c r="ADW98" s="2"/>
      <c r="ADX98" s="2"/>
      <c r="ADY98" s="2"/>
      <c r="ADZ98" s="2"/>
      <c r="AEA98" s="2"/>
      <c r="AEB98" s="2"/>
      <c r="AEC98" s="2"/>
      <c r="AED98" s="2"/>
      <c r="AEE98" s="2"/>
      <c r="AEF98" s="2"/>
      <c r="AEG98" s="2"/>
      <c r="AEH98" s="2"/>
      <c r="AEI98" s="2"/>
      <c r="AEJ98" s="2"/>
      <c r="AEK98" s="2"/>
      <c r="AEL98" s="2"/>
      <c r="AEM98" s="2"/>
      <c r="AEN98" s="2"/>
      <c r="AEO98" s="2"/>
      <c r="AEP98" s="2"/>
      <c r="AEQ98" s="2"/>
      <c r="AER98" s="2"/>
      <c r="AES98" s="2"/>
      <c r="AET98" s="2"/>
      <c r="AEU98" s="2"/>
      <c r="AEV98" s="2"/>
      <c r="AEW98" s="2"/>
      <c r="AEX98" s="2"/>
      <c r="AEY98" s="2"/>
      <c r="AEZ98" s="2"/>
      <c r="AFA98" s="2"/>
      <c r="AFB98" s="2"/>
      <c r="AFC98" s="2"/>
      <c r="AFD98" s="2"/>
      <c r="AFE98" s="2"/>
      <c r="AFF98" s="2"/>
      <c r="AFG98" s="2"/>
      <c r="AFH98" s="2"/>
      <c r="AFI98" s="2"/>
      <c r="AFJ98" s="2"/>
      <c r="AFK98" s="2"/>
      <c r="AFL98" s="2"/>
      <c r="AFM98" s="2"/>
      <c r="AFN98" s="2"/>
      <c r="AFO98" s="2"/>
      <c r="AFP98" s="2"/>
      <c r="AFQ98" s="2"/>
      <c r="AFR98" s="2"/>
      <c r="AFS98" s="2"/>
      <c r="AFT98" s="2"/>
      <c r="AFU98" s="2"/>
      <c r="AFV98" s="2"/>
      <c r="AFW98" s="2"/>
      <c r="AFX98" s="2"/>
      <c r="AFY98" s="2"/>
      <c r="AFZ98" s="2"/>
      <c r="AGA98" s="2"/>
      <c r="AGB98" s="2"/>
      <c r="AGC98" s="2"/>
      <c r="AGD98" s="2"/>
      <c r="AGE98" s="2"/>
      <c r="AGF98" s="2"/>
      <c r="AGG98" s="2"/>
      <c r="AGH98" s="2"/>
      <c r="AGI98" s="2"/>
      <c r="AGJ98" s="2"/>
      <c r="AGK98" s="2"/>
      <c r="AGL98" s="2"/>
      <c r="AGM98" s="2"/>
      <c r="AGN98" s="2"/>
      <c r="AGO98" s="2"/>
      <c r="AGP98" s="2"/>
      <c r="AGQ98" s="2"/>
      <c r="AGR98" s="2"/>
      <c r="AGS98" s="2"/>
      <c r="AGT98" s="2"/>
      <c r="AGU98" s="2"/>
      <c r="AGV98" s="2"/>
      <c r="AGW98" s="2"/>
      <c r="AGX98" s="2"/>
      <c r="AGY98" s="2"/>
      <c r="AGZ98" s="2"/>
      <c r="AHA98" s="2"/>
      <c r="AHB98" s="2"/>
      <c r="AHC98" s="2"/>
      <c r="AHD98" s="2"/>
      <c r="AHE98" s="2"/>
      <c r="AHF98" s="2"/>
      <c r="AHG98" s="2"/>
      <c r="AHH98" s="2"/>
      <c r="AHI98" s="2"/>
      <c r="AHJ98" s="2"/>
      <c r="AHK98" s="2"/>
      <c r="AHL98" s="2"/>
      <c r="AHM98" s="2"/>
      <c r="AHN98" s="2"/>
      <c r="AHO98" s="2"/>
      <c r="AHP98" s="2"/>
      <c r="AHQ98" s="2"/>
      <c r="AHR98" s="2"/>
      <c r="AHS98" s="2"/>
      <c r="AHT98" s="2"/>
      <c r="AHU98" s="2"/>
      <c r="AHV98" s="2"/>
      <c r="AHW98" s="2"/>
      <c r="AHX98" s="2"/>
      <c r="AHY98" s="2"/>
      <c r="AHZ98" s="2"/>
      <c r="AIA98" s="2"/>
      <c r="AIB98" s="2"/>
      <c r="AIC98" s="2"/>
      <c r="AID98" s="2"/>
      <c r="AIE98" s="2"/>
      <c r="AIF98" s="2"/>
      <c r="AIG98" s="2"/>
      <c r="AIH98" s="2"/>
      <c r="AII98" s="2"/>
      <c r="AIJ98" s="2"/>
      <c r="AIK98" s="2"/>
      <c r="AIL98" s="2"/>
      <c r="AIM98" s="2"/>
      <c r="AIN98" s="2"/>
      <c r="AIO98" s="2"/>
      <c r="AIP98" s="2"/>
      <c r="AIQ98" s="2"/>
      <c r="AIR98" s="2"/>
      <c r="AIS98" s="2"/>
      <c r="AIT98" s="2"/>
      <c r="AIU98" s="2"/>
      <c r="AIV98" s="2"/>
      <c r="AIW98" s="2"/>
      <c r="AIX98" s="2"/>
      <c r="AIY98" s="2"/>
      <c r="AIZ98" s="2"/>
      <c r="AJA98" s="2"/>
      <c r="AJB98" s="2"/>
      <c r="AJC98" s="2"/>
      <c r="AJD98" s="2"/>
      <c r="AJE98" s="2"/>
      <c r="AJF98" s="2"/>
      <c r="AJG98" s="2"/>
      <c r="AJH98" s="2"/>
      <c r="AJI98" s="2"/>
      <c r="AJJ98" s="2"/>
      <c r="AJK98" s="2"/>
      <c r="AJL98" s="2"/>
      <c r="AJM98" s="2"/>
      <c r="AJN98" s="2"/>
      <c r="AJO98" s="2"/>
      <c r="AJP98" s="2"/>
      <c r="AJQ98" s="2"/>
      <c r="AJR98" s="2"/>
      <c r="AJS98" s="2"/>
      <c r="AJT98" s="2"/>
      <c r="AJU98" s="2"/>
      <c r="AJV98" s="2"/>
      <c r="AJW98" s="2"/>
      <c r="AJX98" s="2"/>
      <c r="AJY98" s="2"/>
      <c r="AJZ98" s="2"/>
      <c r="AKA98" s="2"/>
      <c r="AKB98" s="2"/>
      <c r="AKC98" s="2"/>
      <c r="AKD98" s="2"/>
      <c r="AKE98" s="2"/>
      <c r="AKF98" s="2"/>
      <c r="AKG98" s="2"/>
      <c r="AKH98" s="2"/>
      <c r="AKI98" s="2"/>
      <c r="AKJ98" s="2"/>
      <c r="AKK98" s="2"/>
      <c r="AKL98" s="2"/>
      <c r="AKM98" s="2"/>
      <c r="AKN98" s="2"/>
      <c r="AKO98" s="2"/>
      <c r="AKP98" s="2"/>
      <c r="AKQ98" s="2"/>
      <c r="AKR98" s="2"/>
      <c r="AKS98" s="2"/>
      <c r="AKT98" s="2"/>
      <c r="AKU98" s="2"/>
      <c r="AKV98" s="2"/>
      <c r="AKW98" s="2"/>
      <c r="AKX98" s="2"/>
      <c r="AKY98" s="2"/>
      <c r="AKZ98" s="2"/>
      <c r="ALA98" s="2"/>
      <c r="ALB98" s="2"/>
      <c r="ALC98" s="2"/>
      <c r="ALD98" s="2"/>
      <c r="ALE98" s="2"/>
      <c r="ALF98" s="2"/>
      <c r="ALG98" s="2"/>
      <c r="ALH98" s="2"/>
      <c r="ALI98" s="2"/>
      <c r="ALJ98" s="2"/>
      <c r="ALK98" s="2"/>
      <c r="ALL98" s="2"/>
      <c r="ALM98" s="2"/>
      <c r="ALN98" s="2"/>
      <c r="ALO98" s="2"/>
      <c r="ALP98" s="2"/>
      <c r="ALQ98" s="2"/>
      <c r="ALR98" s="2"/>
      <c r="ALS98" s="2"/>
      <c r="ALT98" s="2"/>
      <c r="ALU98" s="2"/>
      <c r="ALV98" s="2"/>
      <c r="ALW98" s="2"/>
      <c r="ALX98" s="2"/>
      <c r="ALY98" s="2"/>
      <c r="ALZ98" s="2"/>
      <c r="AMA98" s="2"/>
      <c r="AMB98" s="2"/>
      <c r="AMC98" s="2"/>
      <c r="AMD98" s="2"/>
      <c r="AME98" s="2"/>
    </row>
    <row r="99" spans="1:1019" ht="40.5" customHeight="1" x14ac:dyDescent="0.3">
      <c r="A99" s="36">
        <v>5.2</v>
      </c>
      <c r="B99" s="37" t="s">
        <v>135</v>
      </c>
      <c r="C99" s="38" t="s">
        <v>62</v>
      </c>
      <c r="D99" s="43">
        <f>D14</f>
        <v>1000</v>
      </c>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c r="TA99" s="2"/>
      <c r="TB99" s="2"/>
      <c r="TC99" s="2"/>
      <c r="TD99" s="2"/>
      <c r="TE99" s="2"/>
      <c r="TF99" s="2"/>
      <c r="TG99" s="2"/>
      <c r="TH99" s="2"/>
      <c r="TI99" s="2"/>
      <c r="TJ99" s="2"/>
      <c r="TK99" s="2"/>
      <c r="TL99" s="2"/>
      <c r="TM99" s="2"/>
      <c r="TN99" s="2"/>
      <c r="TO99" s="2"/>
      <c r="TP99" s="2"/>
      <c r="TQ99" s="2"/>
      <c r="TR99" s="2"/>
      <c r="TS99" s="2"/>
      <c r="TT99" s="2"/>
      <c r="TU99" s="2"/>
      <c r="TV99" s="2"/>
      <c r="TW99" s="2"/>
      <c r="TX99" s="2"/>
      <c r="TY99" s="2"/>
      <c r="TZ99" s="2"/>
      <c r="UA99" s="2"/>
      <c r="UB99" s="2"/>
      <c r="UC99" s="2"/>
      <c r="UD99" s="2"/>
      <c r="UE99" s="2"/>
      <c r="UF99" s="2"/>
      <c r="UG99" s="2"/>
      <c r="UH99" s="2"/>
      <c r="UI99" s="2"/>
      <c r="UJ99" s="2"/>
      <c r="UK99" s="2"/>
      <c r="UL99" s="2"/>
      <c r="UM99" s="2"/>
      <c r="UN99" s="2"/>
      <c r="UO99" s="2"/>
      <c r="UP99" s="2"/>
      <c r="UQ99" s="2"/>
      <c r="UR99" s="2"/>
      <c r="US99" s="2"/>
      <c r="UT99" s="2"/>
      <c r="UU99" s="2"/>
      <c r="UV99" s="2"/>
      <c r="UW99" s="2"/>
      <c r="UX99" s="2"/>
      <c r="UY99" s="2"/>
      <c r="UZ99" s="2"/>
      <c r="VA99" s="2"/>
      <c r="VB99" s="2"/>
      <c r="VC99" s="2"/>
      <c r="VD99" s="2"/>
      <c r="VE99" s="2"/>
      <c r="VF99" s="2"/>
      <c r="VG99" s="2"/>
      <c r="VH99" s="2"/>
      <c r="VI99" s="2"/>
      <c r="VJ99" s="2"/>
      <c r="VK99" s="2"/>
      <c r="VL99" s="2"/>
      <c r="VM99" s="2"/>
      <c r="VN99" s="2"/>
      <c r="VO99" s="2"/>
      <c r="VP99" s="2"/>
      <c r="VQ99" s="2"/>
      <c r="VR99" s="2"/>
      <c r="VS99" s="2"/>
      <c r="VT99" s="2"/>
      <c r="VU99" s="2"/>
      <c r="VV99" s="2"/>
      <c r="VW99" s="2"/>
      <c r="VX99" s="2"/>
      <c r="VY99" s="2"/>
      <c r="VZ99" s="2"/>
      <c r="WA99" s="2"/>
      <c r="WB99" s="2"/>
      <c r="WC99" s="2"/>
      <c r="WD99" s="2"/>
      <c r="WE99" s="2"/>
      <c r="WF99" s="2"/>
      <c r="WG99" s="2"/>
      <c r="WH99" s="2"/>
      <c r="WI99" s="2"/>
      <c r="WJ99" s="2"/>
      <c r="WK99" s="2"/>
      <c r="WL99" s="2"/>
      <c r="WM99" s="2"/>
      <c r="WN99" s="2"/>
      <c r="WO99" s="2"/>
      <c r="WP99" s="2"/>
      <c r="WQ99" s="2"/>
      <c r="WR99" s="2"/>
      <c r="WS99" s="2"/>
      <c r="WT99" s="2"/>
      <c r="WU99" s="2"/>
      <c r="WV99" s="2"/>
      <c r="WW99" s="2"/>
      <c r="WX99" s="2"/>
      <c r="WY99" s="2"/>
      <c r="WZ99" s="2"/>
      <c r="XA99" s="2"/>
      <c r="XB99" s="2"/>
      <c r="XC99" s="2"/>
      <c r="XD99" s="2"/>
      <c r="XE99" s="2"/>
      <c r="XF99" s="2"/>
      <c r="XG99" s="2"/>
      <c r="XH99" s="2"/>
      <c r="XI99" s="2"/>
      <c r="XJ99" s="2"/>
      <c r="XK99" s="2"/>
      <c r="XL99" s="2"/>
      <c r="XM99" s="2"/>
      <c r="XN99" s="2"/>
      <c r="XO99" s="2"/>
      <c r="XP99" s="2"/>
      <c r="XQ99" s="2"/>
      <c r="XR99" s="2"/>
      <c r="XS99" s="2"/>
      <c r="XT99" s="2"/>
      <c r="XU99" s="2"/>
      <c r="XV99" s="2"/>
      <c r="XW99" s="2"/>
      <c r="XX99" s="2"/>
      <c r="XY99" s="2"/>
      <c r="XZ99" s="2"/>
      <c r="YA99" s="2"/>
      <c r="YB99" s="2"/>
      <c r="YC99" s="2"/>
      <c r="YD99" s="2"/>
      <c r="YE99" s="2"/>
      <c r="YF99" s="2"/>
      <c r="YG99" s="2"/>
      <c r="YH99" s="2"/>
      <c r="YI99" s="2"/>
      <c r="YJ99" s="2"/>
      <c r="YK99" s="2"/>
      <c r="YL99" s="2"/>
      <c r="YM99" s="2"/>
      <c r="YN99" s="2"/>
      <c r="YO99" s="2"/>
      <c r="YP99" s="2"/>
      <c r="YQ99" s="2"/>
      <c r="YR99" s="2"/>
      <c r="YS99" s="2"/>
      <c r="YT99" s="2"/>
      <c r="YU99" s="2"/>
      <c r="YV99" s="2"/>
      <c r="YW99" s="2"/>
      <c r="YX99" s="2"/>
      <c r="YY99" s="2"/>
      <c r="YZ99" s="2"/>
      <c r="ZA99" s="2"/>
      <c r="ZB99" s="2"/>
      <c r="ZC99" s="2"/>
      <c r="ZD99" s="2"/>
      <c r="ZE99" s="2"/>
      <c r="ZF99" s="2"/>
      <c r="ZG99" s="2"/>
      <c r="ZH99" s="2"/>
      <c r="ZI99" s="2"/>
      <c r="ZJ99" s="2"/>
      <c r="ZK99" s="2"/>
      <c r="ZL99" s="2"/>
      <c r="ZM99" s="2"/>
      <c r="ZN99" s="2"/>
      <c r="ZO99" s="2"/>
      <c r="ZP99" s="2"/>
      <c r="ZQ99" s="2"/>
      <c r="ZR99" s="2"/>
      <c r="ZS99" s="2"/>
      <c r="ZT99" s="2"/>
      <c r="ZU99" s="2"/>
      <c r="ZV99" s="2"/>
      <c r="ZW99" s="2"/>
      <c r="ZX99" s="2"/>
      <c r="ZY99" s="2"/>
      <c r="ZZ99" s="2"/>
      <c r="AAA99" s="2"/>
      <c r="AAB99" s="2"/>
      <c r="AAC99" s="2"/>
      <c r="AAD99" s="2"/>
      <c r="AAE99" s="2"/>
      <c r="AAF99" s="2"/>
      <c r="AAG99" s="2"/>
      <c r="AAH99" s="2"/>
      <c r="AAI99" s="2"/>
      <c r="AAJ99" s="2"/>
      <c r="AAK99" s="2"/>
      <c r="AAL99" s="2"/>
      <c r="AAM99" s="2"/>
      <c r="AAN99" s="2"/>
      <c r="AAO99" s="2"/>
      <c r="AAP99" s="2"/>
      <c r="AAQ99" s="2"/>
      <c r="AAR99" s="2"/>
      <c r="AAS99" s="2"/>
      <c r="AAT99" s="2"/>
      <c r="AAU99" s="2"/>
      <c r="AAV99" s="2"/>
      <c r="AAW99" s="2"/>
      <c r="AAX99" s="2"/>
      <c r="AAY99" s="2"/>
      <c r="AAZ99" s="2"/>
      <c r="ABA99" s="2"/>
      <c r="ABB99" s="2"/>
      <c r="ABC99" s="2"/>
      <c r="ABD99" s="2"/>
      <c r="ABE99" s="2"/>
      <c r="ABF99" s="2"/>
      <c r="ABG99" s="2"/>
      <c r="ABH99" s="2"/>
      <c r="ABI99" s="2"/>
      <c r="ABJ99" s="2"/>
      <c r="ABK99" s="2"/>
      <c r="ABL99" s="2"/>
      <c r="ABM99" s="2"/>
      <c r="ABN99" s="2"/>
      <c r="ABO99" s="2"/>
      <c r="ABP99" s="2"/>
      <c r="ABQ99" s="2"/>
      <c r="ABR99" s="2"/>
      <c r="ABS99" s="2"/>
      <c r="ABT99" s="2"/>
      <c r="ABU99" s="2"/>
      <c r="ABV99" s="2"/>
      <c r="ABW99" s="2"/>
      <c r="ABX99" s="2"/>
      <c r="ABY99" s="2"/>
      <c r="ABZ99" s="2"/>
      <c r="ACA99" s="2"/>
      <c r="ACB99" s="2"/>
      <c r="ACC99" s="2"/>
      <c r="ACD99" s="2"/>
      <c r="ACE99" s="2"/>
      <c r="ACF99" s="2"/>
      <c r="ACG99" s="2"/>
      <c r="ACH99" s="2"/>
      <c r="ACI99" s="2"/>
      <c r="ACJ99" s="2"/>
      <c r="ACK99" s="2"/>
      <c r="ACL99" s="2"/>
      <c r="ACM99" s="2"/>
      <c r="ACN99" s="2"/>
      <c r="ACO99" s="2"/>
      <c r="ACP99" s="2"/>
      <c r="ACQ99" s="2"/>
      <c r="ACR99" s="2"/>
      <c r="ACS99" s="2"/>
      <c r="ACT99" s="2"/>
      <c r="ACU99" s="2"/>
      <c r="ACV99" s="2"/>
      <c r="ACW99" s="2"/>
      <c r="ACX99" s="2"/>
      <c r="ACY99" s="2"/>
      <c r="ACZ99" s="2"/>
      <c r="ADA99" s="2"/>
      <c r="ADB99" s="2"/>
      <c r="ADC99" s="2"/>
      <c r="ADD99" s="2"/>
      <c r="ADE99" s="2"/>
      <c r="ADF99" s="2"/>
      <c r="ADG99" s="2"/>
      <c r="ADH99" s="2"/>
      <c r="ADI99" s="2"/>
      <c r="ADJ99" s="2"/>
      <c r="ADK99" s="2"/>
      <c r="ADL99" s="2"/>
      <c r="ADM99" s="2"/>
      <c r="ADN99" s="2"/>
      <c r="ADO99" s="2"/>
      <c r="ADP99" s="2"/>
      <c r="ADQ99" s="2"/>
      <c r="ADR99" s="2"/>
      <c r="ADS99" s="2"/>
      <c r="ADT99" s="2"/>
      <c r="ADU99" s="2"/>
      <c r="ADV99" s="2"/>
      <c r="ADW99" s="2"/>
      <c r="ADX99" s="2"/>
      <c r="ADY99" s="2"/>
      <c r="ADZ99" s="2"/>
      <c r="AEA99" s="2"/>
      <c r="AEB99" s="2"/>
      <c r="AEC99" s="2"/>
      <c r="AED99" s="2"/>
      <c r="AEE99" s="2"/>
      <c r="AEF99" s="2"/>
      <c r="AEG99" s="2"/>
      <c r="AEH99" s="2"/>
      <c r="AEI99" s="2"/>
      <c r="AEJ99" s="2"/>
      <c r="AEK99" s="2"/>
      <c r="AEL99" s="2"/>
      <c r="AEM99" s="2"/>
      <c r="AEN99" s="2"/>
      <c r="AEO99" s="2"/>
      <c r="AEP99" s="2"/>
      <c r="AEQ99" s="2"/>
      <c r="AER99" s="2"/>
      <c r="AES99" s="2"/>
      <c r="AET99" s="2"/>
      <c r="AEU99" s="2"/>
      <c r="AEV99" s="2"/>
      <c r="AEW99" s="2"/>
      <c r="AEX99" s="2"/>
      <c r="AEY99" s="2"/>
      <c r="AEZ99" s="2"/>
      <c r="AFA99" s="2"/>
      <c r="AFB99" s="2"/>
      <c r="AFC99" s="2"/>
      <c r="AFD99" s="2"/>
      <c r="AFE99" s="2"/>
      <c r="AFF99" s="2"/>
      <c r="AFG99" s="2"/>
      <c r="AFH99" s="2"/>
      <c r="AFI99" s="2"/>
      <c r="AFJ99" s="2"/>
      <c r="AFK99" s="2"/>
      <c r="AFL99" s="2"/>
      <c r="AFM99" s="2"/>
      <c r="AFN99" s="2"/>
      <c r="AFO99" s="2"/>
      <c r="AFP99" s="2"/>
      <c r="AFQ99" s="2"/>
      <c r="AFR99" s="2"/>
      <c r="AFS99" s="2"/>
      <c r="AFT99" s="2"/>
      <c r="AFU99" s="2"/>
      <c r="AFV99" s="2"/>
      <c r="AFW99" s="2"/>
      <c r="AFX99" s="2"/>
      <c r="AFY99" s="2"/>
      <c r="AFZ99" s="2"/>
      <c r="AGA99" s="2"/>
      <c r="AGB99" s="2"/>
      <c r="AGC99" s="2"/>
      <c r="AGD99" s="2"/>
      <c r="AGE99" s="2"/>
      <c r="AGF99" s="2"/>
      <c r="AGG99" s="2"/>
      <c r="AGH99" s="2"/>
      <c r="AGI99" s="2"/>
      <c r="AGJ99" s="2"/>
      <c r="AGK99" s="2"/>
      <c r="AGL99" s="2"/>
      <c r="AGM99" s="2"/>
      <c r="AGN99" s="2"/>
      <c r="AGO99" s="2"/>
      <c r="AGP99" s="2"/>
      <c r="AGQ99" s="2"/>
      <c r="AGR99" s="2"/>
      <c r="AGS99" s="2"/>
      <c r="AGT99" s="2"/>
      <c r="AGU99" s="2"/>
      <c r="AGV99" s="2"/>
      <c r="AGW99" s="2"/>
      <c r="AGX99" s="2"/>
      <c r="AGY99" s="2"/>
      <c r="AGZ99" s="2"/>
      <c r="AHA99" s="2"/>
      <c r="AHB99" s="2"/>
      <c r="AHC99" s="2"/>
      <c r="AHD99" s="2"/>
      <c r="AHE99" s="2"/>
      <c r="AHF99" s="2"/>
      <c r="AHG99" s="2"/>
      <c r="AHH99" s="2"/>
      <c r="AHI99" s="2"/>
      <c r="AHJ99" s="2"/>
      <c r="AHK99" s="2"/>
      <c r="AHL99" s="2"/>
      <c r="AHM99" s="2"/>
      <c r="AHN99" s="2"/>
      <c r="AHO99" s="2"/>
      <c r="AHP99" s="2"/>
      <c r="AHQ99" s="2"/>
      <c r="AHR99" s="2"/>
      <c r="AHS99" s="2"/>
      <c r="AHT99" s="2"/>
      <c r="AHU99" s="2"/>
      <c r="AHV99" s="2"/>
      <c r="AHW99" s="2"/>
      <c r="AHX99" s="2"/>
      <c r="AHY99" s="2"/>
      <c r="AHZ99" s="2"/>
      <c r="AIA99" s="2"/>
      <c r="AIB99" s="2"/>
      <c r="AIC99" s="2"/>
      <c r="AID99" s="2"/>
      <c r="AIE99" s="2"/>
      <c r="AIF99" s="2"/>
      <c r="AIG99" s="2"/>
      <c r="AIH99" s="2"/>
      <c r="AII99" s="2"/>
      <c r="AIJ99" s="2"/>
      <c r="AIK99" s="2"/>
      <c r="AIL99" s="2"/>
      <c r="AIM99" s="2"/>
      <c r="AIN99" s="2"/>
      <c r="AIO99" s="2"/>
      <c r="AIP99" s="2"/>
      <c r="AIQ99" s="2"/>
      <c r="AIR99" s="2"/>
      <c r="AIS99" s="2"/>
      <c r="AIT99" s="2"/>
      <c r="AIU99" s="2"/>
      <c r="AIV99" s="2"/>
      <c r="AIW99" s="2"/>
      <c r="AIX99" s="2"/>
      <c r="AIY99" s="2"/>
      <c r="AIZ99" s="2"/>
      <c r="AJA99" s="2"/>
      <c r="AJB99" s="2"/>
      <c r="AJC99" s="2"/>
      <c r="AJD99" s="2"/>
      <c r="AJE99" s="2"/>
      <c r="AJF99" s="2"/>
      <c r="AJG99" s="2"/>
      <c r="AJH99" s="2"/>
      <c r="AJI99" s="2"/>
      <c r="AJJ99" s="2"/>
      <c r="AJK99" s="2"/>
      <c r="AJL99" s="2"/>
      <c r="AJM99" s="2"/>
      <c r="AJN99" s="2"/>
      <c r="AJO99" s="2"/>
      <c r="AJP99" s="2"/>
      <c r="AJQ99" s="2"/>
      <c r="AJR99" s="2"/>
      <c r="AJS99" s="2"/>
      <c r="AJT99" s="2"/>
      <c r="AJU99" s="2"/>
      <c r="AJV99" s="2"/>
      <c r="AJW99" s="2"/>
      <c r="AJX99" s="2"/>
      <c r="AJY99" s="2"/>
      <c r="AJZ99" s="2"/>
      <c r="AKA99" s="2"/>
      <c r="AKB99" s="2"/>
      <c r="AKC99" s="2"/>
      <c r="AKD99" s="2"/>
      <c r="AKE99" s="2"/>
      <c r="AKF99" s="2"/>
      <c r="AKG99" s="2"/>
      <c r="AKH99" s="2"/>
      <c r="AKI99" s="2"/>
      <c r="AKJ99" s="2"/>
      <c r="AKK99" s="2"/>
      <c r="AKL99" s="2"/>
      <c r="AKM99" s="2"/>
      <c r="AKN99" s="2"/>
      <c r="AKO99" s="2"/>
      <c r="AKP99" s="2"/>
      <c r="AKQ99" s="2"/>
      <c r="AKR99" s="2"/>
      <c r="AKS99" s="2"/>
      <c r="AKT99" s="2"/>
      <c r="AKU99" s="2"/>
      <c r="AKV99" s="2"/>
      <c r="AKW99" s="2"/>
      <c r="AKX99" s="2"/>
      <c r="AKY99" s="2"/>
      <c r="AKZ99" s="2"/>
      <c r="ALA99" s="2"/>
      <c r="ALB99" s="2"/>
      <c r="ALC99" s="2"/>
      <c r="ALD99" s="2"/>
      <c r="ALE99" s="2"/>
      <c r="ALF99" s="2"/>
      <c r="ALG99" s="2"/>
      <c r="ALH99" s="2"/>
      <c r="ALI99" s="2"/>
      <c r="ALJ99" s="2"/>
      <c r="ALK99" s="2"/>
      <c r="ALL99" s="2"/>
      <c r="ALM99" s="2"/>
      <c r="ALN99" s="2"/>
      <c r="ALO99" s="2"/>
      <c r="ALP99" s="2"/>
      <c r="ALQ99" s="2"/>
      <c r="ALR99" s="2"/>
      <c r="ALS99" s="2"/>
      <c r="ALT99" s="2"/>
      <c r="ALU99" s="2"/>
      <c r="ALV99" s="2"/>
      <c r="ALW99" s="2"/>
      <c r="ALX99" s="2"/>
      <c r="ALY99" s="2"/>
      <c r="ALZ99" s="2"/>
      <c r="AMA99" s="2"/>
      <c r="AMB99" s="2"/>
      <c r="AMC99" s="2"/>
      <c r="AMD99" s="2"/>
      <c r="AME99" s="2"/>
    </row>
    <row r="100" spans="1:1019" ht="22.05" customHeight="1" x14ac:dyDescent="0.3">
      <c r="A100" s="36">
        <v>5.3</v>
      </c>
      <c r="B100" s="37" t="s">
        <v>136</v>
      </c>
      <c r="C100" s="38" t="s">
        <v>62</v>
      </c>
      <c r="D100" s="43">
        <f>D17-D16</f>
        <v>35</v>
      </c>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c r="TA100" s="2"/>
      <c r="TB100" s="2"/>
      <c r="TC100" s="2"/>
      <c r="TD100" s="2"/>
      <c r="TE100" s="2"/>
      <c r="TF100" s="2"/>
      <c r="TG100" s="2"/>
      <c r="TH100" s="2"/>
      <c r="TI100" s="2"/>
      <c r="TJ100" s="2"/>
      <c r="TK100" s="2"/>
      <c r="TL100" s="2"/>
      <c r="TM100" s="2"/>
      <c r="TN100" s="2"/>
      <c r="TO100" s="2"/>
      <c r="TP100" s="2"/>
      <c r="TQ100" s="2"/>
      <c r="TR100" s="2"/>
      <c r="TS100" s="2"/>
      <c r="TT100" s="2"/>
      <c r="TU100" s="2"/>
      <c r="TV100" s="2"/>
      <c r="TW100" s="2"/>
      <c r="TX100" s="2"/>
      <c r="TY100" s="2"/>
      <c r="TZ100" s="2"/>
      <c r="UA100" s="2"/>
      <c r="UB100" s="2"/>
      <c r="UC100" s="2"/>
      <c r="UD100" s="2"/>
      <c r="UE100" s="2"/>
      <c r="UF100" s="2"/>
      <c r="UG100" s="2"/>
      <c r="UH100" s="2"/>
      <c r="UI100" s="2"/>
      <c r="UJ100" s="2"/>
      <c r="UK100" s="2"/>
      <c r="UL100" s="2"/>
      <c r="UM100" s="2"/>
      <c r="UN100" s="2"/>
      <c r="UO100" s="2"/>
      <c r="UP100" s="2"/>
      <c r="UQ100" s="2"/>
      <c r="UR100" s="2"/>
      <c r="US100" s="2"/>
      <c r="UT100" s="2"/>
      <c r="UU100" s="2"/>
      <c r="UV100" s="2"/>
      <c r="UW100" s="2"/>
      <c r="UX100" s="2"/>
      <c r="UY100" s="2"/>
      <c r="UZ100" s="2"/>
      <c r="VA100" s="2"/>
      <c r="VB100" s="2"/>
      <c r="VC100" s="2"/>
      <c r="VD100" s="2"/>
      <c r="VE100" s="2"/>
      <c r="VF100" s="2"/>
      <c r="VG100" s="2"/>
      <c r="VH100" s="2"/>
      <c r="VI100" s="2"/>
      <c r="VJ100" s="2"/>
      <c r="VK100" s="2"/>
      <c r="VL100" s="2"/>
      <c r="VM100" s="2"/>
      <c r="VN100" s="2"/>
      <c r="VO100" s="2"/>
      <c r="VP100" s="2"/>
      <c r="VQ100" s="2"/>
      <c r="VR100" s="2"/>
      <c r="VS100" s="2"/>
      <c r="VT100" s="2"/>
      <c r="VU100" s="2"/>
      <c r="VV100" s="2"/>
      <c r="VW100" s="2"/>
      <c r="VX100" s="2"/>
      <c r="VY100" s="2"/>
      <c r="VZ100" s="2"/>
      <c r="WA100" s="2"/>
      <c r="WB100" s="2"/>
      <c r="WC100" s="2"/>
      <c r="WD100" s="2"/>
      <c r="WE100" s="2"/>
      <c r="WF100" s="2"/>
      <c r="WG100" s="2"/>
      <c r="WH100" s="2"/>
      <c r="WI100" s="2"/>
      <c r="WJ100" s="2"/>
      <c r="WK100" s="2"/>
      <c r="WL100" s="2"/>
      <c r="WM100" s="2"/>
      <c r="WN100" s="2"/>
      <c r="WO100" s="2"/>
      <c r="WP100" s="2"/>
      <c r="WQ100" s="2"/>
      <c r="WR100" s="2"/>
      <c r="WS100" s="2"/>
      <c r="WT100" s="2"/>
      <c r="WU100" s="2"/>
      <c r="WV100" s="2"/>
      <c r="WW100" s="2"/>
      <c r="WX100" s="2"/>
      <c r="WY100" s="2"/>
      <c r="WZ100" s="2"/>
      <c r="XA100" s="2"/>
      <c r="XB100" s="2"/>
      <c r="XC100" s="2"/>
      <c r="XD100" s="2"/>
      <c r="XE100" s="2"/>
      <c r="XF100" s="2"/>
      <c r="XG100" s="2"/>
      <c r="XH100" s="2"/>
      <c r="XI100" s="2"/>
      <c r="XJ100" s="2"/>
      <c r="XK100" s="2"/>
      <c r="XL100" s="2"/>
      <c r="XM100" s="2"/>
      <c r="XN100" s="2"/>
      <c r="XO100" s="2"/>
      <c r="XP100" s="2"/>
      <c r="XQ100" s="2"/>
      <c r="XR100" s="2"/>
      <c r="XS100" s="2"/>
      <c r="XT100" s="2"/>
      <c r="XU100" s="2"/>
      <c r="XV100" s="2"/>
      <c r="XW100" s="2"/>
      <c r="XX100" s="2"/>
      <c r="XY100" s="2"/>
      <c r="XZ100" s="2"/>
      <c r="YA100" s="2"/>
      <c r="YB100" s="2"/>
      <c r="YC100" s="2"/>
      <c r="YD100" s="2"/>
      <c r="YE100" s="2"/>
      <c r="YF100" s="2"/>
      <c r="YG100" s="2"/>
      <c r="YH100" s="2"/>
      <c r="YI100" s="2"/>
      <c r="YJ100" s="2"/>
      <c r="YK100" s="2"/>
      <c r="YL100" s="2"/>
      <c r="YM100" s="2"/>
      <c r="YN100" s="2"/>
      <c r="YO100" s="2"/>
      <c r="YP100" s="2"/>
      <c r="YQ100" s="2"/>
      <c r="YR100" s="2"/>
      <c r="YS100" s="2"/>
      <c r="YT100" s="2"/>
      <c r="YU100" s="2"/>
      <c r="YV100" s="2"/>
      <c r="YW100" s="2"/>
      <c r="YX100" s="2"/>
      <c r="YY100" s="2"/>
      <c r="YZ100" s="2"/>
      <c r="ZA100" s="2"/>
      <c r="ZB100" s="2"/>
      <c r="ZC100" s="2"/>
      <c r="ZD100" s="2"/>
      <c r="ZE100" s="2"/>
      <c r="ZF100" s="2"/>
      <c r="ZG100" s="2"/>
      <c r="ZH100" s="2"/>
      <c r="ZI100" s="2"/>
      <c r="ZJ100" s="2"/>
      <c r="ZK100" s="2"/>
      <c r="ZL100" s="2"/>
      <c r="ZM100" s="2"/>
      <c r="ZN100" s="2"/>
      <c r="ZO100" s="2"/>
      <c r="ZP100" s="2"/>
      <c r="ZQ100" s="2"/>
      <c r="ZR100" s="2"/>
      <c r="ZS100" s="2"/>
      <c r="ZT100" s="2"/>
      <c r="ZU100" s="2"/>
      <c r="ZV100" s="2"/>
      <c r="ZW100" s="2"/>
      <c r="ZX100" s="2"/>
      <c r="ZY100" s="2"/>
      <c r="ZZ100" s="2"/>
      <c r="AAA100" s="2"/>
      <c r="AAB100" s="2"/>
      <c r="AAC100" s="2"/>
      <c r="AAD100" s="2"/>
      <c r="AAE100" s="2"/>
      <c r="AAF100" s="2"/>
      <c r="AAG100" s="2"/>
      <c r="AAH100" s="2"/>
      <c r="AAI100" s="2"/>
      <c r="AAJ100" s="2"/>
      <c r="AAK100" s="2"/>
      <c r="AAL100" s="2"/>
      <c r="AAM100" s="2"/>
      <c r="AAN100" s="2"/>
      <c r="AAO100" s="2"/>
      <c r="AAP100" s="2"/>
      <c r="AAQ100" s="2"/>
      <c r="AAR100" s="2"/>
      <c r="AAS100" s="2"/>
      <c r="AAT100" s="2"/>
      <c r="AAU100" s="2"/>
      <c r="AAV100" s="2"/>
      <c r="AAW100" s="2"/>
      <c r="AAX100" s="2"/>
      <c r="AAY100" s="2"/>
      <c r="AAZ100" s="2"/>
      <c r="ABA100" s="2"/>
      <c r="ABB100" s="2"/>
      <c r="ABC100" s="2"/>
      <c r="ABD100" s="2"/>
      <c r="ABE100" s="2"/>
      <c r="ABF100" s="2"/>
      <c r="ABG100" s="2"/>
      <c r="ABH100" s="2"/>
      <c r="ABI100" s="2"/>
      <c r="ABJ100" s="2"/>
      <c r="ABK100" s="2"/>
      <c r="ABL100" s="2"/>
      <c r="ABM100" s="2"/>
      <c r="ABN100" s="2"/>
      <c r="ABO100" s="2"/>
      <c r="ABP100" s="2"/>
      <c r="ABQ100" s="2"/>
      <c r="ABR100" s="2"/>
      <c r="ABS100" s="2"/>
      <c r="ABT100" s="2"/>
      <c r="ABU100" s="2"/>
      <c r="ABV100" s="2"/>
      <c r="ABW100" s="2"/>
      <c r="ABX100" s="2"/>
      <c r="ABY100" s="2"/>
      <c r="ABZ100" s="2"/>
      <c r="ACA100" s="2"/>
      <c r="ACB100" s="2"/>
      <c r="ACC100" s="2"/>
      <c r="ACD100" s="2"/>
      <c r="ACE100" s="2"/>
      <c r="ACF100" s="2"/>
      <c r="ACG100" s="2"/>
      <c r="ACH100" s="2"/>
      <c r="ACI100" s="2"/>
      <c r="ACJ100" s="2"/>
      <c r="ACK100" s="2"/>
      <c r="ACL100" s="2"/>
      <c r="ACM100" s="2"/>
      <c r="ACN100" s="2"/>
      <c r="ACO100" s="2"/>
      <c r="ACP100" s="2"/>
      <c r="ACQ100" s="2"/>
      <c r="ACR100" s="2"/>
      <c r="ACS100" s="2"/>
      <c r="ACT100" s="2"/>
      <c r="ACU100" s="2"/>
      <c r="ACV100" s="2"/>
      <c r="ACW100" s="2"/>
      <c r="ACX100" s="2"/>
      <c r="ACY100" s="2"/>
      <c r="ACZ100" s="2"/>
      <c r="ADA100" s="2"/>
      <c r="ADB100" s="2"/>
      <c r="ADC100" s="2"/>
      <c r="ADD100" s="2"/>
      <c r="ADE100" s="2"/>
      <c r="ADF100" s="2"/>
      <c r="ADG100" s="2"/>
      <c r="ADH100" s="2"/>
      <c r="ADI100" s="2"/>
      <c r="ADJ100" s="2"/>
      <c r="ADK100" s="2"/>
      <c r="ADL100" s="2"/>
      <c r="ADM100" s="2"/>
      <c r="ADN100" s="2"/>
      <c r="ADO100" s="2"/>
      <c r="ADP100" s="2"/>
      <c r="ADQ100" s="2"/>
      <c r="ADR100" s="2"/>
      <c r="ADS100" s="2"/>
      <c r="ADT100" s="2"/>
      <c r="ADU100" s="2"/>
      <c r="ADV100" s="2"/>
      <c r="ADW100" s="2"/>
      <c r="ADX100" s="2"/>
      <c r="ADY100" s="2"/>
      <c r="ADZ100" s="2"/>
      <c r="AEA100" s="2"/>
      <c r="AEB100" s="2"/>
      <c r="AEC100" s="2"/>
      <c r="AED100" s="2"/>
      <c r="AEE100" s="2"/>
      <c r="AEF100" s="2"/>
      <c r="AEG100" s="2"/>
      <c r="AEH100" s="2"/>
      <c r="AEI100" s="2"/>
      <c r="AEJ100" s="2"/>
      <c r="AEK100" s="2"/>
      <c r="AEL100" s="2"/>
      <c r="AEM100" s="2"/>
      <c r="AEN100" s="2"/>
      <c r="AEO100" s="2"/>
      <c r="AEP100" s="2"/>
      <c r="AEQ100" s="2"/>
      <c r="AER100" s="2"/>
      <c r="AES100" s="2"/>
      <c r="AET100" s="2"/>
      <c r="AEU100" s="2"/>
      <c r="AEV100" s="2"/>
      <c r="AEW100" s="2"/>
      <c r="AEX100" s="2"/>
      <c r="AEY100" s="2"/>
      <c r="AEZ100" s="2"/>
      <c r="AFA100" s="2"/>
      <c r="AFB100" s="2"/>
      <c r="AFC100" s="2"/>
      <c r="AFD100" s="2"/>
      <c r="AFE100" s="2"/>
      <c r="AFF100" s="2"/>
      <c r="AFG100" s="2"/>
      <c r="AFH100" s="2"/>
      <c r="AFI100" s="2"/>
      <c r="AFJ100" s="2"/>
      <c r="AFK100" s="2"/>
      <c r="AFL100" s="2"/>
      <c r="AFM100" s="2"/>
      <c r="AFN100" s="2"/>
      <c r="AFO100" s="2"/>
      <c r="AFP100" s="2"/>
      <c r="AFQ100" s="2"/>
      <c r="AFR100" s="2"/>
      <c r="AFS100" s="2"/>
      <c r="AFT100" s="2"/>
      <c r="AFU100" s="2"/>
      <c r="AFV100" s="2"/>
      <c r="AFW100" s="2"/>
      <c r="AFX100" s="2"/>
      <c r="AFY100" s="2"/>
      <c r="AFZ100" s="2"/>
      <c r="AGA100" s="2"/>
      <c r="AGB100" s="2"/>
      <c r="AGC100" s="2"/>
      <c r="AGD100" s="2"/>
      <c r="AGE100" s="2"/>
      <c r="AGF100" s="2"/>
      <c r="AGG100" s="2"/>
      <c r="AGH100" s="2"/>
      <c r="AGI100" s="2"/>
      <c r="AGJ100" s="2"/>
      <c r="AGK100" s="2"/>
      <c r="AGL100" s="2"/>
      <c r="AGM100" s="2"/>
      <c r="AGN100" s="2"/>
      <c r="AGO100" s="2"/>
      <c r="AGP100" s="2"/>
      <c r="AGQ100" s="2"/>
      <c r="AGR100" s="2"/>
      <c r="AGS100" s="2"/>
      <c r="AGT100" s="2"/>
      <c r="AGU100" s="2"/>
      <c r="AGV100" s="2"/>
      <c r="AGW100" s="2"/>
      <c r="AGX100" s="2"/>
      <c r="AGY100" s="2"/>
      <c r="AGZ100" s="2"/>
      <c r="AHA100" s="2"/>
      <c r="AHB100" s="2"/>
      <c r="AHC100" s="2"/>
      <c r="AHD100" s="2"/>
      <c r="AHE100" s="2"/>
      <c r="AHF100" s="2"/>
      <c r="AHG100" s="2"/>
      <c r="AHH100" s="2"/>
      <c r="AHI100" s="2"/>
      <c r="AHJ100" s="2"/>
      <c r="AHK100" s="2"/>
      <c r="AHL100" s="2"/>
      <c r="AHM100" s="2"/>
      <c r="AHN100" s="2"/>
      <c r="AHO100" s="2"/>
      <c r="AHP100" s="2"/>
      <c r="AHQ100" s="2"/>
      <c r="AHR100" s="2"/>
      <c r="AHS100" s="2"/>
      <c r="AHT100" s="2"/>
      <c r="AHU100" s="2"/>
      <c r="AHV100" s="2"/>
      <c r="AHW100" s="2"/>
      <c r="AHX100" s="2"/>
      <c r="AHY100" s="2"/>
      <c r="AHZ100" s="2"/>
      <c r="AIA100" s="2"/>
      <c r="AIB100" s="2"/>
      <c r="AIC100" s="2"/>
      <c r="AID100" s="2"/>
      <c r="AIE100" s="2"/>
      <c r="AIF100" s="2"/>
      <c r="AIG100" s="2"/>
      <c r="AIH100" s="2"/>
      <c r="AII100" s="2"/>
      <c r="AIJ100" s="2"/>
      <c r="AIK100" s="2"/>
      <c r="AIL100" s="2"/>
      <c r="AIM100" s="2"/>
      <c r="AIN100" s="2"/>
      <c r="AIO100" s="2"/>
      <c r="AIP100" s="2"/>
      <c r="AIQ100" s="2"/>
      <c r="AIR100" s="2"/>
      <c r="AIS100" s="2"/>
      <c r="AIT100" s="2"/>
      <c r="AIU100" s="2"/>
      <c r="AIV100" s="2"/>
      <c r="AIW100" s="2"/>
      <c r="AIX100" s="2"/>
      <c r="AIY100" s="2"/>
      <c r="AIZ100" s="2"/>
      <c r="AJA100" s="2"/>
      <c r="AJB100" s="2"/>
      <c r="AJC100" s="2"/>
      <c r="AJD100" s="2"/>
      <c r="AJE100" s="2"/>
      <c r="AJF100" s="2"/>
      <c r="AJG100" s="2"/>
      <c r="AJH100" s="2"/>
      <c r="AJI100" s="2"/>
      <c r="AJJ100" s="2"/>
      <c r="AJK100" s="2"/>
      <c r="AJL100" s="2"/>
      <c r="AJM100" s="2"/>
      <c r="AJN100" s="2"/>
      <c r="AJO100" s="2"/>
      <c r="AJP100" s="2"/>
      <c r="AJQ100" s="2"/>
      <c r="AJR100" s="2"/>
      <c r="AJS100" s="2"/>
      <c r="AJT100" s="2"/>
      <c r="AJU100" s="2"/>
      <c r="AJV100" s="2"/>
      <c r="AJW100" s="2"/>
      <c r="AJX100" s="2"/>
      <c r="AJY100" s="2"/>
      <c r="AJZ100" s="2"/>
      <c r="AKA100" s="2"/>
      <c r="AKB100" s="2"/>
      <c r="AKC100" s="2"/>
      <c r="AKD100" s="2"/>
      <c r="AKE100" s="2"/>
      <c r="AKF100" s="2"/>
      <c r="AKG100" s="2"/>
      <c r="AKH100" s="2"/>
      <c r="AKI100" s="2"/>
      <c r="AKJ100" s="2"/>
      <c r="AKK100" s="2"/>
      <c r="AKL100" s="2"/>
      <c r="AKM100" s="2"/>
      <c r="AKN100" s="2"/>
      <c r="AKO100" s="2"/>
      <c r="AKP100" s="2"/>
      <c r="AKQ100" s="2"/>
      <c r="AKR100" s="2"/>
      <c r="AKS100" s="2"/>
      <c r="AKT100" s="2"/>
      <c r="AKU100" s="2"/>
      <c r="AKV100" s="2"/>
      <c r="AKW100" s="2"/>
      <c r="AKX100" s="2"/>
      <c r="AKY100" s="2"/>
      <c r="AKZ100" s="2"/>
      <c r="ALA100" s="2"/>
      <c r="ALB100" s="2"/>
      <c r="ALC100" s="2"/>
      <c r="ALD100" s="2"/>
      <c r="ALE100" s="2"/>
      <c r="ALF100" s="2"/>
      <c r="ALG100" s="2"/>
      <c r="ALH100" s="2"/>
      <c r="ALI100" s="2"/>
      <c r="ALJ100" s="2"/>
      <c r="ALK100" s="2"/>
      <c r="ALL100" s="2"/>
      <c r="ALM100" s="2"/>
      <c r="ALN100" s="2"/>
      <c r="ALO100" s="2"/>
      <c r="ALP100" s="2"/>
      <c r="ALQ100" s="2"/>
      <c r="ALR100" s="2"/>
      <c r="ALS100" s="2"/>
      <c r="ALT100" s="2"/>
      <c r="ALU100" s="2"/>
      <c r="ALV100" s="2"/>
      <c r="ALW100" s="2"/>
      <c r="ALX100" s="2"/>
      <c r="ALY100" s="2"/>
      <c r="ALZ100" s="2"/>
      <c r="AMA100" s="2"/>
      <c r="AMB100" s="2"/>
      <c r="AMC100" s="2"/>
      <c r="AMD100" s="2"/>
      <c r="AME100" s="2"/>
    </row>
    <row r="101" spans="1:1019" ht="20.399999999999999" customHeight="1" x14ac:dyDescent="0.3">
      <c r="A101" s="36">
        <v>5.4</v>
      </c>
      <c r="B101" s="37" t="s">
        <v>137</v>
      </c>
      <c r="C101" s="38" t="s">
        <v>62</v>
      </c>
      <c r="D101" s="37" t="s">
        <v>138</v>
      </c>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c r="VM101" s="2"/>
      <c r="VN101" s="2"/>
      <c r="VO101" s="2"/>
      <c r="VP101" s="2"/>
      <c r="VQ101" s="2"/>
      <c r="VR101" s="2"/>
      <c r="VS101" s="2"/>
      <c r="VT101" s="2"/>
      <c r="VU101" s="2"/>
      <c r="VV101" s="2"/>
      <c r="VW101" s="2"/>
      <c r="VX101" s="2"/>
      <c r="VY101" s="2"/>
      <c r="VZ101" s="2"/>
      <c r="WA101" s="2"/>
      <c r="WB101" s="2"/>
      <c r="WC101" s="2"/>
      <c r="WD101" s="2"/>
      <c r="WE101" s="2"/>
      <c r="WF101" s="2"/>
      <c r="WG101" s="2"/>
      <c r="WH101" s="2"/>
      <c r="WI101" s="2"/>
      <c r="WJ101" s="2"/>
      <c r="WK101" s="2"/>
      <c r="WL101" s="2"/>
      <c r="WM101" s="2"/>
      <c r="WN101" s="2"/>
      <c r="WO101" s="2"/>
      <c r="WP101" s="2"/>
      <c r="WQ101" s="2"/>
      <c r="WR101" s="2"/>
      <c r="WS101" s="2"/>
      <c r="WT101" s="2"/>
      <c r="WU101" s="2"/>
      <c r="WV101" s="2"/>
      <c r="WW101" s="2"/>
      <c r="WX101" s="2"/>
      <c r="WY101" s="2"/>
      <c r="WZ101" s="2"/>
      <c r="XA101" s="2"/>
      <c r="XB101" s="2"/>
      <c r="XC101" s="2"/>
      <c r="XD101" s="2"/>
      <c r="XE101" s="2"/>
      <c r="XF101" s="2"/>
      <c r="XG101" s="2"/>
      <c r="XH101" s="2"/>
      <c r="XI101" s="2"/>
      <c r="XJ101" s="2"/>
      <c r="XK101" s="2"/>
      <c r="XL101" s="2"/>
      <c r="XM101" s="2"/>
      <c r="XN101" s="2"/>
      <c r="XO101" s="2"/>
      <c r="XP101" s="2"/>
      <c r="XQ101" s="2"/>
      <c r="XR101" s="2"/>
      <c r="XS101" s="2"/>
      <c r="XT101" s="2"/>
      <c r="XU101" s="2"/>
      <c r="XV101" s="2"/>
      <c r="XW101" s="2"/>
      <c r="XX101" s="2"/>
      <c r="XY101" s="2"/>
      <c r="XZ101" s="2"/>
      <c r="YA101" s="2"/>
      <c r="YB101" s="2"/>
      <c r="YC101" s="2"/>
      <c r="YD101" s="2"/>
      <c r="YE101" s="2"/>
      <c r="YF101" s="2"/>
      <c r="YG101" s="2"/>
      <c r="YH101" s="2"/>
      <c r="YI101" s="2"/>
      <c r="YJ101" s="2"/>
      <c r="YK101" s="2"/>
      <c r="YL101" s="2"/>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c r="ZZ101" s="2"/>
      <c r="AAA101" s="2"/>
      <c r="AAB101" s="2"/>
      <c r="AAC101" s="2"/>
      <c r="AAD101" s="2"/>
      <c r="AAE101" s="2"/>
      <c r="AAF101" s="2"/>
      <c r="AAG101" s="2"/>
      <c r="AAH101" s="2"/>
      <c r="AAI101" s="2"/>
      <c r="AAJ101" s="2"/>
      <c r="AAK101" s="2"/>
      <c r="AAL101" s="2"/>
      <c r="AAM101" s="2"/>
      <c r="AAN101" s="2"/>
      <c r="AAO101" s="2"/>
      <c r="AAP101" s="2"/>
      <c r="AAQ101" s="2"/>
      <c r="AAR101" s="2"/>
      <c r="AAS101" s="2"/>
      <c r="AAT101" s="2"/>
      <c r="AAU101" s="2"/>
      <c r="AAV101" s="2"/>
      <c r="AAW101" s="2"/>
      <c r="AAX101" s="2"/>
      <c r="AAY101" s="2"/>
      <c r="AAZ101" s="2"/>
      <c r="ABA101" s="2"/>
      <c r="ABB101" s="2"/>
      <c r="ABC101" s="2"/>
      <c r="ABD101" s="2"/>
      <c r="ABE101" s="2"/>
      <c r="ABF101" s="2"/>
      <c r="ABG101" s="2"/>
      <c r="ABH101" s="2"/>
      <c r="ABI101" s="2"/>
      <c r="ABJ101" s="2"/>
      <c r="ABK101" s="2"/>
      <c r="ABL101" s="2"/>
      <c r="ABM101" s="2"/>
      <c r="ABN101" s="2"/>
      <c r="ABO101" s="2"/>
      <c r="ABP101" s="2"/>
      <c r="ABQ101" s="2"/>
      <c r="ABR101" s="2"/>
      <c r="ABS101" s="2"/>
      <c r="ABT101" s="2"/>
      <c r="ABU101" s="2"/>
      <c r="ABV101" s="2"/>
      <c r="ABW101" s="2"/>
      <c r="ABX101" s="2"/>
      <c r="ABY101" s="2"/>
      <c r="ABZ101" s="2"/>
      <c r="ACA101" s="2"/>
      <c r="ACB101" s="2"/>
      <c r="ACC101" s="2"/>
      <c r="ACD101" s="2"/>
      <c r="ACE101" s="2"/>
      <c r="ACF101" s="2"/>
      <c r="ACG101" s="2"/>
      <c r="ACH101" s="2"/>
      <c r="ACI101" s="2"/>
      <c r="ACJ101" s="2"/>
      <c r="ACK101" s="2"/>
      <c r="ACL101" s="2"/>
      <c r="ACM101" s="2"/>
      <c r="ACN101" s="2"/>
      <c r="ACO101" s="2"/>
      <c r="ACP101" s="2"/>
      <c r="ACQ101" s="2"/>
      <c r="ACR101" s="2"/>
      <c r="ACS101" s="2"/>
      <c r="ACT101" s="2"/>
      <c r="ACU101" s="2"/>
      <c r="ACV101" s="2"/>
      <c r="ACW101" s="2"/>
      <c r="ACX101" s="2"/>
      <c r="ACY101" s="2"/>
      <c r="ACZ101" s="2"/>
      <c r="ADA101" s="2"/>
      <c r="ADB101" s="2"/>
      <c r="ADC101" s="2"/>
      <c r="ADD101" s="2"/>
      <c r="ADE101" s="2"/>
      <c r="ADF101" s="2"/>
      <c r="ADG101" s="2"/>
      <c r="ADH101" s="2"/>
      <c r="ADI101" s="2"/>
      <c r="ADJ101" s="2"/>
      <c r="ADK101" s="2"/>
      <c r="ADL101" s="2"/>
      <c r="ADM101" s="2"/>
      <c r="ADN101" s="2"/>
      <c r="ADO101" s="2"/>
      <c r="ADP101" s="2"/>
      <c r="ADQ101" s="2"/>
      <c r="ADR101" s="2"/>
      <c r="ADS101" s="2"/>
      <c r="ADT101" s="2"/>
      <c r="ADU101" s="2"/>
      <c r="ADV101" s="2"/>
      <c r="ADW101" s="2"/>
      <c r="ADX101" s="2"/>
      <c r="ADY101" s="2"/>
      <c r="ADZ101" s="2"/>
      <c r="AEA101" s="2"/>
      <c r="AEB101" s="2"/>
      <c r="AEC101" s="2"/>
      <c r="AED101" s="2"/>
      <c r="AEE101" s="2"/>
      <c r="AEF101" s="2"/>
      <c r="AEG101" s="2"/>
      <c r="AEH101" s="2"/>
      <c r="AEI101" s="2"/>
      <c r="AEJ101" s="2"/>
      <c r="AEK101" s="2"/>
      <c r="AEL101" s="2"/>
      <c r="AEM101" s="2"/>
      <c r="AEN101" s="2"/>
      <c r="AEO101" s="2"/>
      <c r="AEP101" s="2"/>
      <c r="AEQ101" s="2"/>
      <c r="AER101" s="2"/>
      <c r="AES101" s="2"/>
      <c r="AET101" s="2"/>
      <c r="AEU101" s="2"/>
      <c r="AEV101" s="2"/>
      <c r="AEW101" s="2"/>
      <c r="AEX101" s="2"/>
      <c r="AEY101" s="2"/>
      <c r="AEZ101" s="2"/>
      <c r="AFA101" s="2"/>
      <c r="AFB101" s="2"/>
      <c r="AFC101" s="2"/>
      <c r="AFD101" s="2"/>
      <c r="AFE101" s="2"/>
      <c r="AFF101" s="2"/>
      <c r="AFG101" s="2"/>
      <c r="AFH101" s="2"/>
      <c r="AFI101" s="2"/>
      <c r="AFJ101" s="2"/>
      <c r="AFK101" s="2"/>
      <c r="AFL101" s="2"/>
      <c r="AFM101" s="2"/>
      <c r="AFN101" s="2"/>
      <c r="AFO101" s="2"/>
      <c r="AFP101" s="2"/>
      <c r="AFQ101" s="2"/>
      <c r="AFR101" s="2"/>
      <c r="AFS101" s="2"/>
      <c r="AFT101" s="2"/>
      <c r="AFU101" s="2"/>
      <c r="AFV101" s="2"/>
      <c r="AFW101" s="2"/>
      <c r="AFX101" s="2"/>
      <c r="AFY101" s="2"/>
      <c r="AFZ101" s="2"/>
      <c r="AGA101" s="2"/>
      <c r="AGB101" s="2"/>
      <c r="AGC101" s="2"/>
      <c r="AGD101" s="2"/>
      <c r="AGE101" s="2"/>
      <c r="AGF101" s="2"/>
      <c r="AGG101" s="2"/>
      <c r="AGH101" s="2"/>
      <c r="AGI101" s="2"/>
      <c r="AGJ101" s="2"/>
      <c r="AGK101" s="2"/>
      <c r="AGL101" s="2"/>
      <c r="AGM101" s="2"/>
      <c r="AGN101" s="2"/>
      <c r="AGO101" s="2"/>
      <c r="AGP101" s="2"/>
      <c r="AGQ101" s="2"/>
      <c r="AGR101" s="2"/>
      <c r="AGS101" s="2"/>
      <c r="AGT101" s="2"/>
      <c r="AGU101" s="2"/>
      <c r="AGV101" s="2"/>
      <c r="AGW101" s="2"/>
      <c r="AGX101" s="2"/>
      <c r="AGY101" s="2"/>
      <c r="AGZ101" s="2"/>
      <c r="AHA101" s="2"/>
      <c r="AHB101" s="2"/>
      <c r="AHC101" s="2"/>
      <c r="AHD101" s="2"/>
      <c r="AHE101" s="2"/>
      <c r="AHF101" s="2"/>
      <c r="AHG101" s="2"/>
      <c r="AHH101" s="2"/>
      <c r="AHI101" s="2"/>
      <c r="AHJ101" s="2"/>
      <c r="AHK101" s="2"/>
      <c r="AHL101" s="2"/>
      <c r="AHM101" s="2"/>
      <c r="AHN101" s="2"/>
      <c r="AHO101" s="2"/>
      <c r="AHP101" s="2"/>
      <c r="AHQ101" s="2"/>
      <c r="AHR101" s="2"/>
      <c r="AHS101" s="2"/>
      <c r="AHT101" s="2"/>
      <c r="AHU101" s="2"/>
      <c r="AHV101" s="2"/>
      <c r="AHW101" s="2"/>
      <c r="AHX101" s="2"/>
      <c r="AHY101" s="2"/>
      <c r="AHZ101" s="2"/>
      <c r="AIA101" s="2"/>
      <c r="AIB101" s="2"/>
      <c r="AIC101" s="2"/>
      <c r="AID101" s="2"/>
      <c r="AIE101" s="2"/>
      <c r="AIF101" s="2"/>
      <c r="AIG101" s="2"/>
      <c r="AIH101" s="2"/>
      <c r="AII101" s="2"/>
      <c r="AIJ101" s="2"/>
      <c r="AIK101" s="2"/>
      <c r="AIL101" s="2"/>
      <c r="AIM101" s="2"/>
      <c r="AIN101" s="2"/>
      <c r="AIO101" s="2"/>
      <c r="AIP101" s="2"/>
      <c r="AIQ101" s="2"/>
      <c r="AIR101" s="2"/>
      <c r="AIS101" s="2"/>
      <c r="AIT101" s="2"/>
      <c r="AIU101" s="2"/>
      <c r="AIV101" s="2"/>
      <c r="AIW101" s="2"/>
      <c r="AIX101" s="2"/>
      <c r="AIY101" s="2"/>
      <c r="AIZ101" s="2"/>
      <c r="AJA101" s="2"/>
      <c r="AJB101" s="2"/>
      <c r="AJC101" s="2"/>
      <c r="AJD101" s="2"/>
      <c r="AJE101" s="2"/>
      <c r="AJF101" s="2"/>
      <c r="AJG101" s="2"/>
      <c r="AJH101" s="2"/>
      <c r="AJI101" s="2"/>
      <c r="AJJ101" s="2"/>
      <c r="AJK101" s="2"/>
      <c r="AJL101" s="2"/>
      <c r="AJM101" s="2"/>
      <c r="AJN101" s="2"/>
      <c r="AJO101" s="2"/>
      <c r="AJP101" s="2"/>
      <c r="AJQ101" s="2"/>
      <c r="AJR101" s="2"/>
      <c r="AJS101" s="2"/>
      <c r="AJT101" s="2"/>
      <c r="AJU101" s="2"/>
      <c r="AJV101" s="2"/>
      <c r="AJW101" s="2"/>
      <c r="AJX101" s="2"/>
      <c r="AJY101" s="2"/>
      <c r="AJZ101" s="2"/>
      <c r="AKA101" s="2"/>
      <c r="AKB101" s="2"/>
      <c r="AKC101" s="2"/>
      <c r="AKD101" s="2"/>
      <c r="AKE101" s="2"/>
      <c r="AKF101" s="2"/>
      <c r="AKG101" s="2"/>
      <c r="AKH101" s="2"/>
      <c r="AKI101" s="2"/>
      <c r="AKJ101" s="2"/>
      <c r="AKK101" s="2"/>
      <c r="AKL101" s="2"/>
      <c r="AKM101" s="2"/>
      <c r="AKN101" s="2"/>
      <c r="AKO101" s="2"/>
      <c r="AKP101" s="2"/>
      <c r="AKQ101" s="2"/>
      <c r="AKR101" s="2"/>
      <c r="AKS101" s="2"/>
      <c r="AKT101" s="2"/>
      <c r="AKU101" s="2"/>
      <c r="AKV101" s="2"/>
      <c r="AKW101" s="2"/>
      <c r="AKX101" s="2"/>
      <c r="AKY101" s="2"/>
      <c r="AKZ101" s="2"/>
      <c r="ALA101" s="2"/>
      <c r="ALB101" s="2"/>
      <c r="ALC101" s="2"/>
      <c r="ALD101" s="2"/>
      <c r="ALE101" s="2"/>
      <c r="ALF101" s="2"/>
      <c r="ALG101" s="2"/>
      <c r="ALH101" s="2"/>
      <c r="ALI101" s="2"/>
      <c r="ALJ101" s="2"/>
      <c r="ALK101" s="2"/>
      <c r="ALL101" s="2"/>
      <c r="ALM101" s="2"/>
      <c r="ALN101" s="2"/>
      <c r="ALO101" s="2"/>
      <c r="ALP101" s="2"/>
      <c r="ALQ101" s="2"/>
      <c r="ALR101" s="2"/>
      <c r="ALS101" s="2"/>
      <c r="ALT101" s="2"/>
      <c r="ALU101" s="2"/>
      <c r="ALV101" s="2"/>
      <c r="ALW101" s="2"/>
      <c r="ALX101" s="2"/>
      <c r="ALY101" s="2"/>
      <c r="ALZ101" s="2"/>
      <c r="AMA101" s="2"/>
      <c r="AMB101" s="2"/>
      <c r="AMC101" s="2"/>
      <c r="AMD101" s="2"/>
      <c r="AME101" s="2"/>
    </row>
    <row r="102" spans="1:1019" ht="22.95" customHeight="1" x14ac:dyDescent="0.3">
      <c r="A102" s="39"/>
      <c r="B102" s="40" t="s">
        <v>139</v>
      </c>
      <c r="C102" s="38" t="s">
        <v>62</v>
      </c>
      <c r="D102" s="37" t="s">
        <v>140</v>
      </c>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c r="TA102" s="2"/>
      <c r="TB102" s="2"/>
      <c r="TC102" s="2"/>
      <c r="TD102" s="2"/>
      <c r="TE102" s="2"/>
      <c r="TF102" s="2"/>
      <c r="TG102" s="2"/>
      <c r="TH102" s="2"/>
      <c r="TI102" s="2"/>
      <c r="TJ102" s="2"/>
      <c r="TK102" s="2"/>
      <c r="TL102" s="2"/>
      <c r="TM102" s="2"/>
      <c r="TN102" s="2"/>
      <c r="TO102" s="2"/>
      <c r="TP102" s="2"/>
      <c r="TQ102" s="2"/>
      <c r="TR102" s="2"/>
      <c r="TS102" s="2"/>
      <c r="TT102" s="2"/>
      <c r="TU102" s="2"/>
      <c r="TV102" s="2"/>
      <c r="TW102" s="2"/>
      <c r="TX102" s="2"/>
      <c r="TY102" s="2"/>
      <c r="TZ102" s="2"/>
      <c r="UA102" s="2"/>
      <c r="UB102" s="2"/>
      <c r="UC102" s="2"/>
      <c r="UD102" s="2"/>
      <c r="UE102" s="2"/>
      <c r="UF102" s="2"/>
      <c r="UG102" s="2"/>
      <c r="UH102" s="2"/>
      <c r="UI102" s="2"/>
      <c r="UJ102" s="2"/>
      <c r="UK102" s="2"/>
      <c r="UL102" s="2"/>
      <c r="UM102" s="2"/>
      <c r="UN102" s="2"/>
      <c r="UO102" s="2"/>
      <c r="UP102" s="2"/>
      <c r="UQ102" s="2"/>
      <c r="UR102" s="2"/>
      <c r="US102" s="2"/>
      <c r="UT102" s="2"/>
      <c r="UU102" s="2"/>
      <c r="UV102" s="2"/>
      <c r="UW102" s="2"/>
      <c r="UX102" s="2"/>
      <c r="UY102" s="2"/>
      <c r="UZ102" s="2"/>
      <c r="VA102" s="2"/>
      <c r="VB102" s="2"/>
      <c r="VC102" s="2"/>
      <c r="VD102" s="2"/>
      <c r="VE102" s="2"/>
      <c r="VF102" s="2"/>
      <c r="VG102" s="2"/>
      <c r="VH102" s="2"/>
      <c r="VI102" s="2"/>
      <c r="VJ102" s="2"/>
      <c r="VK102" s="2"/>
      <c r="VL102" s="2"/>
      <c r="VM102" s="2"/>
      <c r="VN102" s="2"/>
      <c r="VO102" s="2"/>
      <c r="VP102" s="2"/>
      <c r="VQ102" s="2"/>
      <c r="VR102" s="2"/>
      <c r="VS102" s="2"/>
      <c r="VT102" s="2"/>
      <c r="VU102" s="2"/>
      <c r="VV102" s="2"/>
      <c r="VW102" s="2"/>
      <c r="VX102" s="2"/>
      <c r="VY102" s="2"/>
      <c r="VZ102" s="2"/>
      <c r="WA102" s="2"/>
      <c r="WB102" s="2"/>
      <c r="WC102" s="2"/>
      <c r="WD102" s="2"/>
      <c r="WE102" s="2"/>
      <c r="WF102" s="2"/>
      <c r="WG102" s="2"/>
      <c r="WH102" s="2"/>
      <c r="WI102" s="2"/>
      <c r="WJ102" s="2"/>
      <c r="WK102" s="2"/>
      <c r="WL102" s="2"/>
      <c r="WM102" s="2"/>
      <c r="WN102" s="2"/>
      <c r="WO102" s="2"/>
      <c r="WP102" s="2"/>
      <c r="WQ102" s="2"/>
      <c r="WR102" s="2"/>
      <c r="WS102" s="2"/>
      <c r="WT102" s="2"/>
      <c r="WU102" s="2"/>
      <c r="WV102" s="2"/>
      <c r="WW102" s="2"/>
      <c r="WX102" s="2"/>
      <c r="WY102" s="2"/>
      <c r="WZ102" s="2"/>
      <c r="XA102" s="2"/>
      <c r="XB102" s="2"/>
      <c r="XC102" s="2"/>
      <c r="XD102" s="2"/>
      <c r="XE102" s="2"/>
      <c r="XF102" s="2"/>
      <c r="XG102" s="2"/>
      <c r="XH102" s="2"/>
      <c r="XI102" s="2"/>
      <c r="XJ102" s="2"/>
      <c r="XK102" s="2"/>
      <c r="XL102" s="2"/>
      <c r="XM102" s="2"/>
      <c r="XN102" s="2"/>
      <c r="XO102" s="2"/>
      <c r="XP102" s="2"/>
      <c r="XQ102" s="2"/>
      <c r="XR102" s="2"/>
      <c r="XS102" s="2"/>
      <c r="XT102" s="2"/>
      <c r="XU102" s="2"/>
      <c r="XV102" s="2"/>
      <c r="XW102" s="2"/>
      <c r="XX102" s="2"/>
      <c r="XY102" s="2"/>
      <c r="XZ102" s="2"/>
      <c r="YA102" s="2"/>
      <c r="YB102" s="2"/>
      <c r="YC102" s="2"/>
      <c r="YD102" s="2"/>
      <c r="YE102" s="2"/>
      <c r="YF102" s="2"/>
      <c r="YG102" s="2"/>
      <c r="YH102" s="2"/>
      <c r="YI102" s="2"/>
      <c r="YJ102" s="2"/>
      <c r="YK102" s="2"/>
      <c r="YL102" s="2"/>
      <c r="YM102" s="2"/>
      <c r="YN102" s="2"/>
      <c r="YO102" s="2"/>
      <c r="YP102" s="2"/>
      <c r="YQ102" s="2"/>
      <c r="YR102" s="2"/>
      <c r="YS102" s="2"/>
      <c r="YT102" s="2"/>
      <c r="YU102" s="2"/>
      <c r="YV102" s="2"/>
      <c r="YW102" s="2"/>
      <c r="YX102" s="2"/>
      <c r="YY102" s="2"/>
      <c r="YZ102" s="2"/>
      <c r="ZA102" s="2"/>
      <c r="ZB102" s="2"/>
      <c r="ZC102" s="2"/>
      <c r="ZD102" s="2"/>
      <c r="ZE102" s="2"/>
      <c r="ZF102" s="2"/>
      <c r="ZG102" s="2"/>
      <c r="ZH102" s="2"/>
      <c r="ZI102" s="2"/>
      <c r="ZJ102" s="2"/>
      <c r="ZK102" s="2"/>
      <c r="ZL102" s="2"/>
      <c r="ZM102" s="2"/>
      <c r="ZN102" s="2"/>
      <c r="ZO102" s="2"/>
      <c r="ZP102" s="2"/>
      <c r="ZQ102" s="2"/>
      <c r="ZR102" s="2"/>
      <c r="ZS102" s="2"/>
      <c r="ZT102" s="2"/>
      <c r="ZU102" s="2"/>
      <c r="ZV102" s="2"/>
      <c r="ZW102" s="2"/>
      <c r="ZX102" s="2"/>
      <c r="ZY102" s="2"/>
      <c r="ZZ102" s="2"/>
      <c r="AAA102" s="2"/>
      <c r="AAB102" s="2"/>
      <c r="AAC102" s="2"/>
      <c r="AAD102" s="2"/>
      <c r="AAE102" s="2"/>
      <c r="AAF102" s="2"/>
      <c r="AAG102" s="2"/>
      <c r="AAH102" s="2"/>
      <c r="AAI102" s="2"/>
      <c r="AAJ102" s="2"/>
      <c r="AAK102" s="2"/>
      <c r="AAL102" s="2"/>
      <c r="AAM102" s="2"/>
      <c r="AAN102" s="2"/>
      <c r="AAO102" s="2"/>
      <c r="AAP102" s="2"/>
      <c r="AAQ102" s="2"/>
      <c r="AAR102" s="2"/>
      <c r="AAS102" s="2"/>
      <c r="AAT102" s="2"/>
      <c r="AAU102" s="2"/>
      <c r="AAV102" s="2"/>
      <c r="AAW102" s="2"/>
      <c r="AAX102" s="2"/>
      <c r="AAY102" s="2"/>
      <c r="AAZ102" s="2"/>
      <c r="ABA102" s="2"/>
      <c r="ABB102" s="2"/>
      <c r="ABC102" s="2"/>
      <c r="ABD102" s="2"/>
      <c r="ABE102" s="2"/>
      <c r="ABF102" s="2"/>
      <c r="ABG102" s="2"/>
      <c r="ABH102" s="2"/>
      <c r="ABI102" s="2"/>
      <c r="ABJ102" s="2"/>
      <c r="ABK102" s="2"/>
      <c r="ABL102" s="2"/>
      <c r="ABM102" s="2"/>
      <c r="ABN102" s="2"/>
      <c r="ABO102" s="2"/>
      <c r="ABP102" s="2"/>
      <c r="ABQ102" s="2"/>
      <c r="ABR102" s="2"/>
      <c r="ABS102" s="2"/>
      <c r="ABT102" s="2"/>
      <c r="ABU102" s="2"/>
      <c r="ABV102" s="2"/>
      <c r="ABW102" s="2"/>
      <c r="ABX102" s="2"/>
      <c r="ABY102" s="2"/>
      <c r="ABZ102" s="2"/>
      <c r="ACA102" s="2"/>
      <c r="ACB102" s="2"/>
      <c r="ACC102" s="2"/>
      <c r="ACD102" s="2"/>
      <c r="ACE102" s="2"/>
      <c r="ACF102" s="2"/>
      <c r="ACG102" s="2"/>
      <c r="ACH102" s="2"/>
      <c r="ACI102" s="2"/>
      <c r="ACJ102" s="2"/>
      <c r="ACK102" s="2"/>
      <c r="ACL102" s="2"/>
      <c r="ACM102" s="2"/>
      <c r="ACN102" s="2"/>
      <c r="ACO102" s="2"/>
      <c r="ACP102" s="2"/>
      <c r="ACQ102" s="2"/>
      <c r="ACR102" s="2"/>
      <c r="ACS102" s="2"/>
      <c r="ACT102" s="2"/>
      <c r="ACU102" s="2"/>
      <c r="ACV102" s="2"/>
      <c r="ACW102" s="2"/>
      <c r="ACX102" s="2"/>
      <c r="ACY102" s="2"/>
      <c r="ACZ102" s="2"/>
      <c r="ADA102" s="2"/>
      <c r="ADB102" s="2"/>
      <c r="ADC102" s="2"/>
      <c r="ADD102" s="2"/>
      <c r="ADE102" s="2"/>
      <c r="ADF102" s="2"/>
      <c r="ADG102" s="2"/>
      <c r="ADH102" s="2"/>
      <c r="ADI102" s="2"/>
      <c r="ADJ102" s="2"/>
      <c r="ADK102" s="2"/>
      <c r="ADL102" s="2"/>
      <c r="ADM102" s="2"/>
      <c r="ADN102" s="2"/>
      <c r="ADO102" s="2"/>
      <c r="ADP102" s="2"/>
      <c r="ADQ102" s="2"/>
      <c r="ADR102" s="2"/>
      <c r="ADS102" s="2"/>
      <c r="ADT102" s="2"/>
      <c r="ADU102" s="2"/>
      <c r="ADV102" s="2"/>
      <c r="ADW102" s="2"/>
      <c r="ADX102" s="2"/>
      <c r="ADY102" s="2"/>
      <c r="ADZ102" s="2"/>
      <c r="AEA102" s="2"/>
      <c r="AEB102" s="2"/>
      <c r="AEC102" s="2"/>
      <c r="AED102" s="2"/>
      <c r="AEE102" s="2"/>
      <c r="AEF102" s="2"/>
      <c r="AEG102" s="2"/>
      <c r="AEH102" s="2"/>
      <c r="AEI102" s="2"/>
      <c r="AEJ102" s="2"/>
      <c r="AEK102" s="2"/>
      <c r="AEL102" s="2"/>
      <c r="AEM102" s="2"/>
      <c r="AEN102" s="2"/>
      <c r="AEO102" s="2"/>
      <c r="AEP102" s="2"/>
      <c r="AEQ102" s="2"/>
      <c r="AER102" s="2"/>
      <c r="AES102" s="2"/>
      <c r="AET102" s="2"/>
      <c r="AEU102" s="2"/>
      <c r="AEV102" s="2"/>
      <c r="AEW102" s="2"/>
      <c r="AEX102" s="2"/>
      <c r="AEY102" s="2"/>
      <c r="AEZ102" s="2"/>
      <c r="AFA102" s="2"/>
      <c r="AFB102" s="2"/>
      <c r="AFC102" s="2"/>
      <c r="AFD102" s="2"/>
      <c r="AFE102" s="2"/>
      <c r="AFF102" s="2"/>
      <c r="AFG102" s="2"/>
      <c r="AFH102" s="2"/>
      <c r="AFI102" s="2"/>
      <c r="AFJ102" s="2"/>
      <c r="AFK102" s="2"/>
      <c r="AFL102" s="2"/>
      <c r="AFM102" s="2"/>
      <c r="AFN102" s="2"/>
      <c r="AFO102" s="2"/>
      <c r="AFP102" s="2"/>
      <c r="AFQ102" s="2"/>
      <c r="AFR102" s="2"/>
      <c r="AFS102" s="2"/>
      <c r="AFT102" s="2"/>
      <c r="AFU102" s="2"/>
      <c r="AFV102" s="2"/>
      <c r="AFW102" s="2"/>
      <c r="AFX102" s="2"/>
      <c r="AFY102" s="2"/>
      <c r="AFZ102" s="2"/>
      <c r="AGA102" s="2"/>
      <c r="AGB102" s="2"/>
      <c r="AGC102" s="2"/>
      <c r="AGD102" s="2"/>
      <c r="AGE102" s="2"/>
      <c r="AGF102" s="2"/>
      <c r="AGG102" s="2"/>
      <c r="AGH102" s="2"/>
      <c r="AGI102" s="2"/>
      <c r="AGJ102" s="2"/>
      <c r="AGK102" s="2"/>
      <c r="AGL102" s="2"/>
      <c r="AGM102" s="2"/>
      <c r="AGN102" s="2"/>
      <c r="AGO102" s="2"/>
      <c r="AGP102" s="2"/>
      <c r="AGQ102" s="2"/>
      <c r="AGR102" s="2"/>
      <c r="AGS102" s="2"/>
      <c r="AGT102" s="2"/>
      <c r="AGU102" s="2"/>
      <c r="AGV102" s="2"/>
      <c r="AGW102" s="2"/>
      <c r="AGX102" s="2"/>
      <c r="AGY102" s="2"/>
      <c r="AGZ102" s="2"/>
      <c r="AHA102" s="2"/>
      <c r="AHB102" s="2"/>
      <c r="AHC102" s="2"/>
      <c r="AHD102" s="2"/>
      <c r="AHE102" s="2"/>
      <c r="AHF102" s="2"/>
      <c r="AHG102" s="2"/>
      <c r="AHH102" s="2"/>
      <c r="AHI102" s="2"/>
      <c r="AHJ102" s="2"/>
      <c r="AHK102" s="2"/>
      <c r="AHL102" s="2"/>
      <c r="AHM102" s="2"/>
      <c r="AHN102" s="2"/>
      <c r="AHO102" s="2"/>
      <c r="AHP102" s="2"/>
      <c r="AHQ102" s="2"/>
      <c r="AHR102" s="2"/>
      <c r="AHS102" s="2"/>
      <c r="AHT102" s="2"/>
      <c r="AHU102" s="2"/>
      <c r="AHV102" s="2"/>
      <c r="AHW102" s="2"/>
      <c r="AHX102" s="2"/>
      <c r="AHY102" s="2"/>
      <c r="AHZ102" s="2"/>
      <c r="AIA102" s="2"/>
      <c r="AIB102" s="2"/>
      <c r="AIC102" s="2"/>
      <c r="AID102" s="2"/>
      <c r="AIE102" s="2"/>
      <c r="AIF102" s="2"/>
      <c r="AIG102" s="2"/>
      <c r="AIH102" s="2"/>
      <c r="AII102" s="2"/>
      <c r="AIJ102" s="2"/>
      <c r="AIK102" s="2"/>
      <c r="AIL102" s="2"/>
      <c r="AIM102" s="2"/>
      <c r="AIN102" s="2"/>
      <c r="AIO102" s="2"/>
      <c r="AIP102" s="2"/>
      <c r="AIQ102" s="2"/>
      <c r="AIR102" s="2"/>
      <c r="AIS102" s="2"/>
      <c r="AIT102" s="2"/>
      <c r="AIU102" s="2"/>
      <c r="AIV102" s="2"/>
      <c r="AIW102" s="2"/>
      <c r="AIX102" s="2"/>
      <c r="AIY102" s="2"/>
      <c r="AIZ102" s="2"/>
      <c r="AJA102" s="2"/>
      <c r="AJB102" s="2"/>
      <c r="AJC102" s="2"/>
      <c r="AJD102" s="2"/>
      <c r="AJE102" s="2"/>
      <c r="AJF102" s="2"/>
      <c r="AJG102" s="2"/>
      <c r="AJH102" s="2"/>
      <c r="AJI102" s="2"/>
      <c r="AJJ102" s="2"/>
      <c r="AJK102" s="2"/>
      <c r="AJL102" s="2"/>
      <c r="AJM102" s="2"/>
      <c r="AJN102" s="2"/>
      <c r="AJO102" s="2"/>
      <c r="AJP102" s="2"/>
      <c r="AJQ102" s="2"/>
      <c r="AJR102" s="2"/>
      <c r="AJS102" s="2"/>
      <c r="AJT102" s="2"/>
      <c r="AJU102" s="2"/>
      <c r="AJV102" s="2"/>
      <c r="AJW102" s="2"/>
      <c r="AJX102" s="2"/>
      <c r="AJY102" s="2"/>
      <c r="AJZ102" s="2"/>
      <c r="AKA102" s="2"/>
      <c r="AKB102" s="2"/>
      <c r="AKC102" s="2"/>
      <c r="AKD102" s="2"/>
      <c r="AKE102" s="2"/>
      <c r="AKF102" s="2"/>
      <c r="AKG102" s="2"/>
      <c r="AKH102" s="2"/>
      <c r="AKI102" s="2"/>
      <c r="AKJ102" s="2"/>
      <c r="AKK102" s="2"/>
      <c r="AKL102" s="2"/>
      <c r="AKM102" s="2"/>
      <c r="AKN102" s="2"/>
      <c r="AKO102" s="2"/>
      <c r="AKP102" s="2"/>
      <c r="AKQ102" s="2"/>
      <c r="AKR102" s="2"/>
      <c r="AKS102" s="2"/>
      <c r="AKT102" s="2"/>
      <c r="AKU102" s="2"/>
      <c r="AKV102" s="2"/>
      <c r="AKW102" s="2"/>
      <c r="AKX102" s="2"/>
      <c r="AKY102" s="2"/>
      <c r="AKZ102" s="2"/>
      <c r="ALA102" s="2"/>
      <c r="ALB102" s="2"/>
      <c r="ALC102" s="2"/>
      <c r="ALD102" s="2"/>
      <c r="ALE102" s="2"/>
      <c r="ALF102" s="2"/>
      <c r="ALG102" s="2"/>
      <c r="ALH102" s="2"/>
      <c r="ALI102" s="2"/>
      <c r="ALJ102" s="2"/>
      <c r="ALK102" s="2"/>
      <c r="ALL102" s="2"/>
      <c r="ALM102" s="2"/>
      <c r="ALN102" s="2"/>
      <c r="ALO102" s="2"/>
      <c r="ALP102" s="2"/>
      <c r="ALQ102" s="2"/>
      <c r="ALR102" s="2"/>
      <c r="ALS102" s="2"/>
      <c r="ALT102" s="2"/>
      <c r="ALU102" s="2"/>
      <c r="ALV102" s="2"/>
      <c r="ALW102" s="2"/>
      <c r="ALX102" s="2"/>
      <c r="ALY102" s="2"/>
      <c r="ALZ102" s="2"/>
      <c r="AMA102" s="2"/>
      <c r="AMB102" s="2"/>
      <c r="AMC102" s="2"/>
      <c r="AMD102" s="2"/>
      <c r="AME102" s="2"/>
    </row>
    <row r="103" spans="1:1019" ht="21.6" customHeight="1" x14ac:dyDescent="0.3">
      <c r="A103" s="39"/>
      <c r="B103" s="41"/>
      <c r="C103" s="26" t="s">
        <v>62</v>
      </c>
      <c r="D103" s="27">
        <f>D100/IMPOWER((D98/D99),1.64)</f>
        <v>24.644084647586045</v>
      </c>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c r="TA103" s="2"/>
      <c r="TB103" s="2"/>
      <c r="TC103" s="2"/>
      <c r="TD103" s="2"/>
      <c r="TE103" s="2"/>
      <c r="TF103" s="2"/>
      <c r="TG103" s="2"/>
      <c r="TH103" s="2"/>
      <c r="TI103" s="2"/>
      <c r="TJ103" s="2"/>
      <c r="TK103" s="2"/>
      <c r="TL103" s="2"/>
      <c r="TM103" s="2"/>
      <c r="TN103" s="2"/>
      <c r="TO103" s="2"/>
      <c r="TP103" s="2"/>
      <c r="TQ103" s="2"/>
      <c r="TR103" s="2"/>
      <c r="TS103" s="2"/>
      <c r="TT103" s="2"/>
      <c r="TU103" s="2"/>
      <c r="TV103" s="2"/>
      <c r="TW103" s="2"/>
      <c r="TX103" s="2"/>
      <c r="TY103" s="2"/>
      <c r="TZ103" s="2"/>
      <c r="UA103" s="2"/>
      <c r="UB103" s="2"/>
      <c r="UC103" s="2"/>
      <c r="UD103" s="2"/>
      <c r="UE103" s="2"/>
      <c r="UF103" s="2"/>
      <c r="UG103" s="2"/>
      <c r="UH103" s="2"/>
      <c r="UI103" s="2"/>
      <c r="UJ103" s="2"/>
      <c r="UK103" s="2"/>
      <c r="UL103" s="2"/>
      <c r="UM103" s="2"/>
      <c r="UN103" s="2"/>
      <c r="UO103" s="2"/>
      <c r="UP103" s="2"/>
      <c r="UQ103" s="2"/>
      <c r="UR103" s="2"/>
      <c r="US103" s="2"/>
      <c r="UT103" s="2"/>
      <c r="UU103" s="2"/>
      <c r="UV103" s="2"/>
      <c r="UW103" s="2"/>
      <c r="UX103" s="2"/>
      <c r="UY103" s="2"/>
      <c r="UZ103" s="2"/>
      <c r="VA103" s="2"/>
      <c r="VB103" s="2"/>
      <c r="VC103" s="2"/>
      <c r="VD103" s="2"/>
      <c r="VE103" s="2"/>
      <c r="VF103" s="2"/>
      <c r="VG103" s="2"/>
      <c r="VH103" s="2"/>
      <c r="VI103" s="2"/>
      <c r="VJ103" s="2"/>
      <c r="VK103" s="2"/>
      <c r="VL103" s="2"/>
      <c r="VM103" s="2"/>
      <c r="VN103" s="2"/>
      <c r="VO103" s="2"/>
      <c r="VP103" s="2"/>
      <c r="VQ103" s="2"/>
      <c r="VR103" s="2"/>
      <c r="VS103" s="2"/>
      <c r="VT103" s="2"/>
      <c r="VU103" s="2"/>
      <c r="VV103" s="2"/>
      <c r="VW103" s="2"/>
      <c r="VX103" s="2"/>
      <c r="VY103" s="2"/>
      <c r="VZ103" s="2"/>
      <c r="WA103" s="2"/>
      <c r="WB103" s="2"/>
      <c r="WC103" s="2"/>
      <c r="WD103" s="2"/>
      <c r="WE103" s="2"/>
      <c r="WF103" s="2"/>
      <c r="WG103" s="2"/>
      <c r="WH103" s="2"/>
      <c r="WI103" s="2"/>
      <c r="WJ103" s="2"/>
      <c r="WK103" s="2"/>
      <c r="WL103" s="2"/>
      <c r="WM103" s="2"/>
      <c r="WN103" s="2"/>
      <c r="WO103" s="2"/>
      <c r="WP103" s="2"/>
      <c r="WQ103" s="2"/>
      <c r="WR103" s="2"/>
      <c r="WS103" s="2"/>
      <c r="WT103" s="2"/>
      <c r="WU103" s="2"/>
      <c r="WV103" s="2"/>
      <c r="WW103" s="2"/>
      <c r="WX103" s="2"/>
      <c r="WY103" s="2"/>
      <c r="WZ103" s="2"/>
      <c r="XA103" s="2"/>
      <c r="XB103" s="2"/>
      <c r="XC103" s="2"/>
      <c r="XD103" s="2"/>
      <c r="XE103" s="2"/>
      <c r="XF103" s="2"/>
      <c r="XG103" s="2"/>
      <c r="XH103" s="2"/>
      <c r="XI103" s="2"/>
      <c r="XJ103" s="2"/>
      <c r="XK103" s="2"/>
      <c r="XL103" s="2"/>
      <c r="XM103" s="2"/>
      <c r="XN103" s="2"/>
      <c r="XO103" s="2"/>
      <c r="XP103" s="2"/>
      <c r="XQ103" s="2"/>
      <c r="XR103" s="2"/>
      <c r="XS103" s="2"/>
      <c r="XT103" s="2"/>
      <c r="XU103" s="2"/>
      <c r="XV103" s="2"/>
      <c r="XW103" s="2"/>
      <c r="XX103" s="2"/>
      <c r="XY103" s="2"/>
      <c r="XZ103" s="2"/>
      <c r="YA103" s="2"/>
      <c r="YB103" s="2"/>
      <c r="YC103" s="2"/>
      <c r="YD103" s="2"/>
      <c r="YE103" s="2"/>
      <c r="YF103" s="2"/>
      <c r="YG103" s="2"/>
      <c r="YH103" s="2"/>
      <c r="YI103" s="2"/>
      <c r="YJ103" s="2"/>
      <c r="YK103" s="2"/>
      <c r="YL103" s="2"/>
      <c r="YM103" s="2"/>
      <c r="YN103" s="2"/>
      <c r="YO103" s="2"/>
      <c r="YP103" s="2"/>
      <c r="YQ103" s="2"/>
      <c r="YR103" s="2"/>
      <c r="YS103" s="2"/>
      <c r="YT103" s="2"/>
      <c r="YU103" s="2"/>
      <c r="YV103" s="2"/>
      <c r="YW103" s="2"/>
      <c r="YX103" s="2"/>
      <c r="YY103" s="2"/>
      <c r="YZ103" s="2"/>
      <c r="ZA103" s="2"/>
      <c r="ZB103" s="2"/>
      <c r="ZC103" s="2"/>
      <c r="ZD103" s="2"/>
      <c r="ZE103" s="2"/>
      <c r="ZF103" s="2"/>
      <c r="ZG103" s="2"/>
      <c r="ZH103" s="2"/>
      <c r="ZI103" s="2"/>
      <c r="ZJ103" s="2"/>
      <c r="ZK103" s="2"/>
      <c r="ZL103" s="2"/>
      <c r="ZM103" s="2"/>
      <c r="ZN103" s="2"/>
      <c r="ZO103" s="2"/>
      <c r="ZP103" s="2"/>
      <c r="ZQ103" s="2"/>
      <c r="ZR103" s="2"/>
      <c r="ZS103" s="2"/>
      <c r="ZT103" s="2"/>
      <c r="ZU103" s="2"/>
      <c r="ZV103" s="2"/>
      <c r="ZW103" s="2"/>
      <c r="ZX103" s="2"/>
      <c r="ZY103" s="2"/>
      <c r="ZZ103" s="2"/>
      <c r="AAA103" s="2"/>
      <c r="AAB103" s="2"/>
      <c r="AAC103" s="2"/>
      <c r="AAD103" s="2"/>
      <c r="AAE103" s="2"/>
      <c r="AAF103" s="2"/>
      <c r="AAG103" s="2"/>
      <c r="AAH103" s="2"/>
      <c r="AAI103" s="2"/>
      <c r="AAJ103" s="2"/>
      <c r="AAK103" s="2"/>
      <c r="AAL103" s="2"/>
      <c r="AAM103" s="2"/>
      <c r="AAN103" s="2"/>
      <c r="AAO103" s="2"/>
      <c r="AAP103" s="2"/>
      <c r="AAQ103" s="2"/>
      <c r="AAR103" s="2"/>
      <c r="AAS103" s="2"/>
      <c r="AAT103" s="2"/>
      <c r="AAU103" s="2"/>
      <c r="AAV103" s="2"/>
      <c r="AAW103" s="2"/>
      <c r="AAX103" s="2"/>
      <c r="AAY103" s="2"/>
      <c r="AAZ103" s="2"/>
      <c r="ABA103" s="2"/>
      <c r="ABB103" s="2"/>
      <c r="ABC103" s="2"/>
      <c r="ABD103" s="2"/>
      <c r="ABE103" s="2"/>
      <c r="ABF103" s="2"/>
      <c r="ABG103" s="2"/>
      <c r="ABH103" s="2"/>
      <c r="ABI103" s="2"/>
      <c r="ABJ103" s="2"/>
      <c r="ABK103" s="2"/>
      <c r="ABL103" s="2"/>
      <c r="ABM103" s="2"/>
      <c r="ABN103" s="2"/>
      <c r="ABO103" s="2"/>
      <c r="ABP103" s="2"/>
      <c r="ABQ103" s="2"/>
      <c r="ABR103" s="2"/>
      <c r="ABS103" s="2"/>
      <c r="ABT103" s="2"/>
      <c r="ABU103" s="2"/>
      <c r="ABV103" s="2"/>
      <c r="ABW103" s="2"/>
      <c r="ABX103" s="2"/>
      <c r="ABY103" s="2"/>
      <c r="ABZ103" s="2"/>
      <c r="ACA103" s="2"/>
      <c r="ACB103" s="2"/>
      <c r="ACC103" s="2"/>
      <c r="ACD103" s="2"/>
      <c r="ACE103" s="2"/>
      <c r="ACF103" s="2"/>
      <c r="ACG103" s="2"/>
      <c r="ACH103" s="2"/>
      <c r="ACI103" s="2"/>
      <c r="ACJ103" s="2"/>
      <c r="ACK103" s="2"/>
      <c r="ACL103" s="2"/>
      <c r="ACM103" s="2"/>
      <c r="ACN103" s="2"/>
      <c r="ACO103" s="2"/>
      <c r="ACP103" s="2"/>
      <c r="ACQ103" s="2"/>
      <c r="ACR103" s="2"/>
      <c r="ACS103" s="2"/>
      <c r="ACT103" s="2"/>
      <c r="ACU103" s="2"/>
      <c r="ACV103" s="2"/>
      <c r="ACW103" s="2"/>
      <c r="ACX103" s="2"/>
      <c r="ACY103" s="2"/>
      <c r="ACZ103" s="2"/>
      <c r="ADA103" s="2"/>
      <c r="ADB103" s="2"/>
      <c r="ADC103" s="2"/>
      <c r="ADD103" s="2"/>
      <c r="ADE103" s="2"/>
      <c r="ADF103" s="2"/>
      <c r="ADG103" s="2"/>
      <c r="ADH103" s="2"/>
      <c r="ADI103" s="2"/>
      <c r="ADJ103" s="2"/>
      <c r="ADK103" s="2"/>
      <c r="ADL103" s="2"/>
      <c r="ADM103" s="2"/>
      <c r="ADN103" s="2"/>
      <c r="ADO103" s="2"/>
      <c r="ADP103" s="2"/>
      <c r="ADQ103" s="2"/>
      <c r="ADR103" s="2"/>
      <c r="ADS103" s="2"/>
      <c r="ADT103" s="2"/>
      <c r="ADU103" s="2"/>
      <c r="ADV103" s="2"/>
      <c r="ADW103" s="2"/>
      <c r="ADX103" s="2"/>
      <c r="ADY103" s="2"/>
      <c r="ADZ103" s="2"/>
      <c r="AEA103" s="2"/>
      <c r="AEB103" s="2"/>
      <c r="AEC103" s="2"/>
      <c r="AED103" s="2"/>
      <c r="AEE103" s="2"/>
      <c r="AEF103" s="2"/>
      <c r="AEG103" s="2"/>
      <c r="AEH103" s="2"/>
      <c r="AEI103" s="2"/>
      <c r="AEJ103" s="2"/>
      <c r="AEK103" s="2"/>
      <c r="AEL103" s="2"/>
      <c r="AEM103" s="2"/>
      <c r="AEN103" s="2"/>
      <c r="AEO103" s="2"/>
      <c r="AEP103" s="2"/>
      <c r="AEQ103" s="2"/>
      <c r="AER103" s="2"/>
      <c r="AES103" s="2"/>
      <c r="AET103" s="2"/>
      <c r="AEU103" s="2"/>
      <c r="AEV103" s="2"/>
      <c r="AEW103" s="2"/>
      <c r="AEX103" s="2"/>
      <c r="AEY103" s="2"/>
      <c r="AEZ103" s="2"/>
      <c r="AFA103" s="2"/>
      <c r="AFB103" s="2"/>
      <c r="AFC103" s="2"/>
      <c r="AFD103" s="2"/>
      <c r="AFE103" s="2"/>
      <c r="AFF103" s="2"/>
      <c r="AFG103" s="2"/>
      <c r="AFH103" s="2"/>
      <c r="AFI103" s="2"/>
      <c r="AFJ103" s="2"/>
      <c r="AFK103" s="2"/>
      <c r="AFL103" s="2"/>
      <c r="AFM103" s="2"/>
      <c r="AFN103" s="2"/>
      <c r="AFO103" s="2"/>
      <c r="AFP103" s="2"/>
      <c r="AFQ103" s="2"/>
      <c r="AFR103" s="2"/>
      <c r="AFS103" s="2"/>
      <c r="AFT103" s="2"/>
      <c r="AFU103" s="2"/>
      <c r="AFV103" s="2"/>
      <c r="AFW103" s="2"/>
      <c r="AFX103" s="2"/>
      <c r="AFY103" s="2"/>
      <c r="AFZ103" s="2"/>
      <c r="AGA103" s="2"/>
      <c r="AGB103" s="2"/>
      <c r="AGC103" s="2"/>
      <c r="AGD103" s="2"/>
      <c r="AGE103" s="2"/>
      <c r="AGF103" s="2"/>
      <c r="AGG103" s="2"/>
      <c r="AGH103" s="2"/>
      <c r="AGI103" s="2"/>
      <c r="AGJ103" s="2"/>
      <c r="AGK103" s="2"/>
      <c r="AGL103" s="2"/>
      <c r="AGM103" s="2"/>
      <c r="AGN103" s="2"/>
      <c r="AGO103" s="2"/>
      <c r="AGP103" s="2"/>
      <c r="AGQ103" s="2"/>
      <c r="AGR103" s="2"/>
      <c r="AGS103" s="2"/>
      <c r="AGT103" s="2"/>
      <c r="AGU103" s="2"/>
      <c r="AGV103" s="2"/>
      <c r="AGW103" s="2"/>
      <c r="AGX103" s="2"/>
      <c r="AGY103" s="2"/>
      <c r="AGZ103" s="2"/>
      <c r="AHA103" s="2"/>
      <c r="AHB103" s="2"/>
      <c r="AHC103" s="2"/>
      <c r="AHD103" s="2"/>
      <c r="AHE103" s="2"/>
      <c r="AHF103" s="2"/>
      <c r="AHG103" s="2"/>
      <c r="AHH103" s="2"/>
      <c r="AHI103" s="2"/>
      <c r="AHJ103" s="2"/>
      <c r="AHK103" s="2"/>
      <c r="AHL103" s="2"/>
      <c r="AHM103" s="2"/>
      <c r="AHN103" s="2"/>
      <c r="AHO103" s="2"/>
      <c r="AHP103" s="2"/>
      <c r="AHQ103" s="2"/>
      <c r="AHR103" s="2"/>
      <c r="AHS103" s="2"/>
      <c r="AHT103" s="2"/>
      <c r="AHU103" s="2"/>
      <c r="AHV103" s="2"/>
      <c r="AHW103" s="2"/>
      <c r="AHX103" s="2"/>
      <c r="AHY103" s="2"/>
      <c r="AHZ103" s="2"/>
      <c r="AIA103" s="2"/>
      <c r="AIB103" s="2"/>
      <c r="AIC103" s="2"/>
      <c r="AID103" s="2"/>
      <c r="AIE103" s="2"/>
      <c r="AIF103" s="2"/>
      <c r="AIG103" s="2"/>
      <c r="AIH103" s="2"/>
      <c r="AII103" s="2"/>
      <c r="AIJ103" s="2"/>
      <c r="AIK103" s="2"/>
      <c r="AIL103" s="2"/>
      <c r="AIM103" s="2"/>
      <c r="AIN103" s="2"/>
      <c r="AIO103" s="2"/>
      <c r="AIP103" s="2"/>
      <c r="AIQ103" s="2"/>
      <c r="AIR103" s="2"/>
      <c r="AIS103" s="2"/>
      <c r="AIT103" s="2"/>
      <c r="AIU103" s="2"/>
      <c r="AIV103" s="2"/>
      <c r="AIW103" s="2"/>
      <c r="AIX103" s="2"/>
      <c r="AIY103" s="2"/>
      <c r="AIZ103" s="2"/>
      <c r="AJA103" s="2"/>
      <c r="AJB103" s="2"/>
      <c r="AJC103" s="2"/>
      <c r="AJD103" s="2"/>
      <c r="AJE103" s="2"/>
      <c r="AJF103" s="2"/>
      <c r="AJG103" s="2"/>
      <c r="AJH103" s="2"/>
      <c r="AJI103" s="2"/>
      <c r="AJJ103" s="2"/>
      <c r="AJK103" s="2"/>
      <c r="AJL103" s="2"/>
      <c r="AJM103" s="2"/>
      <c r="AJN103" s="2"/>
      <c r="AJO103" s="2"/>
      <c r="AJP103" s="2"/>
      <c r="AJQ103" s="2"/>
      <c r="AJR103" s="2"/>
      <c r="AJS103" s="2"/>
      <c r="AJT103" s="2"/>
      <c r="AJU103" s="2"/>
      <c r="AJV103" s="2"/>
      <c r="AJW103" s="2"/>
      <c r="AJX103" s="2"/>
      <c r="AJY103" s="2"/>
      <c r="AJZ103" s="2"/>
      <c r="AKA103" s="2"/>
      <c r="AKB103" s="2"/>
      <c r="AKC103" s="2"/>
      <c r="AKD103" s="2"/>
      <c r="AKE103" s="2"/>
      <c r="AKF103" s="2"/>
      <c r="AKG103" s="2"/>
      <c r="AKH103" s="2"/>
      <c r="AKI103" s="2"/>
      <c r="AKJ103" s="2"/>
      <c r="AKK103" s="2"/>
      <c r="AKL103" s="2"/>
      <c r="AKM103" s="2"/>
      <c r="AKN103" s="2"/>
      <c r="AKO103" s="2"/>
      <c r="AKP103" s="2"/>
      <c r="AKQ103" s="2"/>
      <c r="AKR103" s="2"/>
      <c r="AKS103" s="2"/>
      <c r="AKT103" s="2"/>
      <c r="AKU103" s="2"/>
      <c r="AKV103" s="2"/>
      <c r="AKW103" s="2"/>
      <c r="AKX103" s="2"/>
      <c r="AKY103" s="2"/>
      <c r="AKZ103" s="2"/>
      <c r="ALA103" s="2"/>
      <c r="ALB103" s="2"/>
      <c r="ALC103" s="2"/>
      <c r="ALD103" s="2"/>
      <c r="ALE103" s="2"/>
      <c r="ALF103" s="2"/>
      <c r="ALG103" s="2"/>
      <c r="ALH103" s="2"/>
      <c r="ALI103" s="2"/>
      <c r="ALJ103" s="2"/>
      <c r="ALK103" s="2"/>
      <c r="ALL103" s="2"/>
      <c r="ALM103" s="2"/>
      <c r="ALN103" s="2"/>
      <c r="ALO103" s="2"/>
      <c r="ALP103" s="2"/>
      <c r="ALQ103" s="2"/>
      <c r="ALR103" s="2"/>
      <c r="ALS103" s="2"/>
      <c r="ALT103" s="2"/>
      <c r="ALU103" s="2"/>
      <c r="ALV103" s="2"/>
      <c r="ALW103" s="2"/>
      <c r="ALX103" s="2"/>
      <c r="ALY103" s="2"/>
      <c r="ALZ103" s="2"/>
      <c r="AMA103" s="2"/>
      <c r="AMB103" s="2"/>
      <c r="AMC103" s="2"/>
      <c r="AMD103" s="2"/>
      <c r="AME103" s="2"/>
    </row>
    <row r="104" spans="1:1019" ht="21.6" customHeight="1" x14ac:dyDescent="0.3">
      <c r="A104" s="28"/>
      <c r="B104" s="29" t="s">
        <v>141</v>
      </c>
      <c r="C104" s="30" t="s">
        <v>62</v>
      </c>
      <c r="D104" s="31" t="str">
        <f>IF(D103&lt;D16,"OK","CHECK")</f>
        <v>OK</v>
      </c>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c r="TA104" s="2"/>
      <c r="TB104" s="2"/>
      <c r="TC104" s="2"/>
      <c r="TD104" s="2"/>
      <c r="TE104" s="2"/>
      <c r="TF104" s="2"/>
      <c r="TG104" s="2"/>
      <c r="TH104" s="2"/>
      <c r="TI104" s="2"/>
      <c r="TJ104" s="2"/>
      <c r="TK104" s="2"/>
      <c r="TL104" s="2"/>
      <c r="TM104" s="2"/>
      <c r="TN104" s="2"/>
      <c r="TO104" s="2"/>
      <c r="TP104" s="2"/>
      <c r="TQ104" s="2"/>
      <c r="TR104" s="2"/>
      <c r="TS104" s="2"/>
      <c r="TT104" s="2"/>
      <c r="TU104" s="2"/>
      <c r="TV104" s="2"/>
      <c r="TW104" s="2"/>
      <c r="TX104" s="2"/>
      <c r="TY104" s="2"/>
      <c r="TZ104" s="2"/>
      <c r="UA104" s="2"/>
      <c r="UB104" s="2"/>
      <c r="UC104" s="2"/>
      <c r="UD104" s="2"/>
      <c r="UE104" s="2"/>
      <c r="UF104" s="2"/>
      <c r="UG104" s="2"/>
      <c r="UH104" s="2"/>
      <c r="UI104" s="2"/>
      <c r="UJ104" s="2"/>
      <c r="UK104" s="2"/>
      <c r="UL104" s="2"/>
      <c r="UM104" s="2"/>
      <c r="UN104" s="2"/>
      <c r="UO104" s="2"/>
      <c r="UP104" s="2"/>
      <c r="UQ104" s="2"/>
      <c r="UR104" s="2"/>
      <c r="US104" s="2"/>
      <c r="UT104" s="2"/>
      <c r="UU104" s="2"/>
      <c r="UV104" s="2"/>
      <c r="UW104" s="2"/>
      <c r="UX104" s="2"/>
      <c r="UY104" s="2"/>
      <c r="UZ104" s="2"/>
      <c r="VA104" s="2"/>
      <c r="VB104" s="2"/>
      <c r="VC104" s="2"/>
      <c r="VD104" s="2"/>
      <c r="VE104" s="2"/>
      <c r="VF104" s="2"/>
      <c r="VG104" s="2"/>
      <c r="VH104" s="2"/>
      <c r="VI104" s="2"/>
      <c r="VJ104" s="2"/>
      <c r="VK104" s="2"/>
      <c r="VL104" s="2"/>
      <c r="VM104" s="2"/>
      <c r="VN104" s="2"/>
      <c r="VO104" s="2"/>
      <c r="VP104" s="2"/>
      <c r="VQ104" s="2"/>
      <c r="VR104" s="2"/>
      <c r="VS104" s="2"/>
      <c r="VT104" s="2"/>
      <c r="VU104" s="2"/>
      <c r="VV104" s="2"/>
      <c r="VW104" s="2"/>
      <c r="VX104" s="2"/>
      <c r="VY104" s="2"/>
      <c r="VZ104" s="2"/>
      <c r="WA104" s="2"/>
      <c r="WB104" s="2"/>
      <c r="WC104" s="2"/>
      <c r="WD104" s="2"/>
      <c r="WE104" s="2"/>
      <c r="WF104" s="2"/>
      <c r="WG104" s="2"/>
      <c r="WH104" s="2"/>
      <c r="WI104" s="2"/>
      <c r="WJ104" s="2"/>
      <c r="WK104" s="2"/>
      <c r="WL104" s="2"/>
      <c r="WM104" s="2"/>
      <c r="WN104" s="2"/>
      <c r="WO104" s="2"/>
      <c r="WP104" s="2"/>
      <c r="WQ104" s="2"/>
      <c r="WR104" s="2"/>
      <c r="WS104" s="2"/>
      <c r="WT104" s="2"/>
      <c r="WU104" s="2"/>
      <c r="WV104" s="2"/>
      <c r="WW104" s="2"/>
      <c r="WX104" s="2"/>
      <c r="WY104" s="2"/>
      <c r="WZ104" s="2"/>
      <c r="XA104" s="2"/>
      <c r="XB104" s="2"/>
      <c r="XC104" s="2"/>
      <c r="XD104" s="2"/>
      <c r="XE104" s="2"/>
      <c r="XF104" s="2"/>
      <c r="XG104" s="2"/>
      <c r="XH104" s="2"/>
      <c r="XI104" s="2"/>
      <c r="XJ104" s="2"/>
      <c r="XK104" s="2"/>
      <c r="XL104" s="2"/>
      <c r="XM104" s="2"/>
      <c r="XN104" s="2"/>
      <c r="XO104" s="2"/>
      <c r="XP104" s="2"/>
      <c r="XQ104" s="2"/>
      <c r="XR104" s="2"/>
      <c r="XS104" s="2"/>
      <c r="XT104" s="2"/>
      <c r="XU104" s="2"/>
      <c r="XV104" s="2"/>
      <c r="XW104" s="2"/>
      <c r="XX104" s="2"/>
      <c r="XY104" s="2"/>
      <c r="XZ104" s="2"/>
      <c r="YA104" s="2"/>
      <c r="YB104" s="2"/>
      <c r="YC104" s="2"/>
      <c r="YD104" s="2"/>
      <c r="YE104" s="2"/>
      <c r="YF104" s="2"/>
      <c r="YG104" s="2"/>
      <c r="YH104" s="2"/>
      <c r="YI104" s="2"/>
      <c r="YJ104" s="2"/>
      <c r="YK104" s="2"/>
      <c r="YL104" s="2"/>
      <c r="YM104" s="2"/>
      <c r="YN104" s="2"/>
      <c r="YO104" s="2"/>
      <c r="YP104" s="2"/>
      <c r="YQ104" s="2"/>
      <c r="YR104" s="2"/>
      <c r="YS104" s="2"/>
      <c r="YT104" s="2"/>
      <c r="YU104" s="2"/>
      <c r="YV104" s="2"/>
      <c r="YW104" s="2"/>
      <c r="YX104" s="2"/>
      <c r="YY104" s="2"/>
      <c r="YZ104" s="2"/>
      <c r="ZA104" s="2"/>
      <c r="ZB104" s="2"/>
      <c r="ZC104" s="2"/>
      <c r="ZD104" s="2"/>
      <c r="ZE104" s="2"/>
      <c r="ZF104" s="2"/>
      <c r="ZG104" s="2"/>
      <c r="ZH104" s="2"/>
      <c r="ZI104" s="2"/>
      <c r="ZJ104" s="2"/>
      <c r="ZK104" s="2"/>
      <c r="ZL104" s="2"/>
      <c r="ZM104" s="2"/>
      <c r="ZN104" s="2"/>
      <c r="ZO104" s="2"/>
      <c r="ZP104" s="2"/>
      <c r="ZQ104" s="2"/>
      <c r="ZR104" s="2"/>
      <c r="ZS104" s="2"/>
      <c r="ZT104" s="2"/>
      <c r="ZU104" s="2"/>
      <c r="ZV104" s="2"/>
      <c r="ZW104" s="2"/>
      <c r="ZX104" s="2"/>
      <c r="ZY104" s="2"/>
      <c r="ZZ104" s="2"/>
      <c r="AAA104" s="2"/>
      <c r="AAB104" s="2"/>
      <c r="AAC104" s="2"/>
      <c r="AAD104" s="2"/>
      <c r="AAE104" s="2"/>
      <c r="AAF104" s="2"/>
      <c r="AAG104" s="2"/>
      <c r="AAH104" s="2"/>
      <c r="AAI104" s="2"/>
      <c r="AAJ104" s="2"/>
      <c r="AAK104" s="2"/>
      <c r="AAL104" s="2"/>
      <c r="AAM104" s="2"/>
      <c r="AAN104" s="2"/>
      <c r="AAO104" s="2"/>
      <c r="AAP104" s="2"/>
      <c r="AAQ104" s="2"/>
      <c r="AAR104" s="2"/>
      <c r="AAS104" s="2"/>
      <c r="AAT104" s="2"/>
      <c r="AAU104" s="2"/>
      <c r="AAV104" s="2"/>
      <c r="AAW104" s="2"/>
      <c r="AAX104" s="2"/>
      <c r="AAY104" s="2"/>
      <c r="AAZ104" s="2"/>
      <c r="ABA104" s="2"/>
      <c r="ABB104" s="2"/>
      <c r="ABC104" s="2"/>
      <c r="ABD104" s="2"/>
      <c r="ABE104" s="2"/>
      <c r="ABF104" s="2"/>
      <c r="ABG104" s="2"/>
      <c r="ABH104" s="2"/>
      <c r="ABI104" s="2"/>
      <c r="ABJ104" s="2"/>
      <c r="ABK104" s="2"/>
      <c r="ABL104" s="2"/>
      <c r="ABM104" s="2"/>
      <c r="ABN104" s="2"/>
      <c r="ABO104" s="2"/>
      <c r="ABP104" s="2"/>
      <c r="ABQ104" s="2"/>
      <c r="ABR104" s="2"/>
      <c r="ABS104" s="2"/>
      <c r="ABT104" s="2"/>
      <c r="ABU104" s="2"/>
      <c r="ABV104" s="2"/>
      <c r="ABW104" s="2"/>
      <c r="ABX104" s="2"/>
      <c r="ABY104" s="2"/>
      <c r="ABZ104" s="2"/>
      <c r="ACA104" s="2"/>
      <c r="ACB104" s="2"/>
      <c r="ACC104" s="2"/>
      <c r="ACD104" s="2"/>
      <c r="ACE104" s="2"/>
      <c r="ACF104" s="2"/>
      <c r="ACG104" s="2"/>
      <c r="ACH104" s="2"/>
      <c r="ACI104" s="2"/>
      <c r="ACJ104" s="2"/>
      <c r="ACK104" s="2"/>
      <c r="ACL104" s="2"/>
      <c r="ACM104" s="2"/>
      <c r="ACN104" s="2"/>
      <c r="ACO104" s="2"/>
      <c r="ACP104" s="2"/>
      <c r="ACQ104" s="2"/>
      <c r="ACR104" s="2"/>
      <c r="ACS104" s="2"/>
      <c r="ACT104" s="2"/>
      <c r="ACU104" s="2"/>
      <c r="ACV104" s="2"/>
      <c r="ACW104" s="2"/>
      <c r="ACX104" s="2"/>
      <c r="ACY104" s="2"/>
      <c r="ACZ104" s="2"/>
      <c r="ADA104" s="2"/>
      <c r="ADB104" s="2"/>
      <c r="ADC104" s="2"/>
      <c r="ADD104" s="2"/>
      <c r="ADE104" s="2"/>
      <c r="ADF104" s="2"/>
      <c r="ADG104" s="2"/>
      <c r="ADH104" s="2"/>
      <c r="ADI104" s="2"/>
      <c r="ADJ104" s="2"/>
      <c r="ADK104" s="2"/>
      <c r="ADL104" s="2"/>
      <c r="ADM104" s="2"/>
      <c r="ADN104" s="2"/>
      <c r="ADO104" s="2"/>
      <c r="ADP104" s="2"/>
      <c r="ADQ104" s="2"/>
      <c r="ADR104" s="2"/>
      <c r="ADS104" s="2"/>
      <c r="ADT104" s="2"/>
      <c r="ADU104" s="2"/>
      <c r="ADV104" s="2"/>
      <c r="ADW104" s="2"/>
      <c r="ADX104" s="2"/>
      <c r="ADY104" s="2"/>
      <c r="ADZ104" s="2"/>
      <c r="AEA104" s="2"/>
      <c r="AEB104" s="2"/>
      <c r="AEC104" s="2"/>
      <c r="AED104" s="2"/>
      <c r="AEE104" s="2"/>
      <c r="AEF104" s="2"/>
      <c r="AEG104" s="2"/>
      <c r="AEH104" s="2"/>
      <c r="AEI104" s="2"/>
      <c r="AEJ104" s="2"/>
      <c r="AEK104" s="2"/>
      <c r="AEL104" s="2"/>
      <c r="AEM104" s="2"/>
      <c r="AEN104" s="2"/>
      <c r="AEO104" s="2"/>
      <c r="AEP104" s="2"/>
      <c r="AEQ104" s="2"/>
      <c r="AER104" s="2"/>
      <c r="AES104" s="2"/>
      <c r="AET104" s="2"/>
      <c r="AEU104" s="2"/>
      <c r="AEV104" s="2"/>
      <c r="AEW104" s="2"/>
      <c r="AEX104" s="2"/>
      <c r="AEY104" s="2"/>
      <c r="AEZ104" s="2"/>
      <c r="AFA104" s="2"/>
      <c r="AFB104" s="2"/>
      <c r="AFC104" s="2"/>
      <c r="AFD104" s="2"/>
      <c r="AFE104" s="2"/>
      <c r="AFF104" s="2"/>
      <c r="AFG104" s="2"/>
      <c r="AFH104" s="2"/>
      <c r="AFI104" s="2"/>
      <c r="AFJ104" s="2"/>
      <c r="AFK104" s="2"/>
      <c r="AFL104" s="2"/>
      <c r="AFM104" s="2"/>
      <c r="AFN104" s="2"/>
      <c r="AFO104" s="2"/>
      <c r="AFP104" s="2"/>
      <c r="AFQ104" s="2"/>
      <c r="AFR104" s="2"/>
      <c r="AFS104" s="2"/>
      <c r="AFT104" s="2"/>
      <c r="AFU104" s="2"/>
      <c r="AFV104" s="2"/>
      <c r="AFW104" s="2"/>
      <c r="AFX104" s="2"/>
      <c r="AFY104" s="2"/>
      <c r="AFZ104" s="2"/>
      <c r="AGA104" s="2"/>
      <c r="AGB104" s="2"/>
      <c r="AGC104" s="2"/>
      <c r="AGD104" s="2"/>
      <c r="AGE104" s="2"/>
      <c r="AGF104" s="2"/>
      <c r="AGG104" s="2"/>
      <c r="AGH104" s="2"/>
      <c r="AGI104" s="2"/>
      <c r="AGJ104" s="2"/>
      <c r="AGK104" s="2"/>
      <c r="AGL104" s="2"/>
      <c r="AGM104" s="2"/>
      <c r="AGN104" s="2"/>
      <c r="AGO104" s="2"/>
      <c r="AGP104" s="2"/>
      <c r="AGQ104" s="2"/>
      <c r="AGR104" s="2"/>
      <c r="AGS104" s="2"/>
      <c r="AGT104" s="2"/>
      <c r="AGU104" s="2"/>
      <c r="AGV104" s="2"/>
      <c r="AGW104" s="2"/>
      <c r="AGX104" s="2"/>
      <c r="AGY104" s="2"/>
      <c r="AGZ104" s="2"/>
      <c r="AHA104" s="2"/>
      <c r="AHB104" s="2"/>
      <c r="AHC104" s="2"/>
      <c r="AHD104" s="2"/>
      <c r="AHE104" s="2"/>
      <c r="AHF104" s="2"/>
      <c r="AHG104" s="2"/>
      <c r="AHH104" s="2"/>
      <c r="AHI104" s="2"/>
      <c r="AHJ104" s="2"/>
      <c r="AHK104" s="2"/>
      <c r="AHL104" s="2"/>
      <c r="AHM104" s="2"/>
      <c r="AHN104" s="2"/>
      <c r="AHO104" s="2"/>
      <c r="AHP104" s="2"/>
      <c r="AHQ104" s="2"/>
      <c r="AHR104" s="2"/>
      <c r="AHS104" s="2"/>
      <c r="AHT104" s="2"/>
      <c r="AHU104" s="2"/>
      <c r="AHV104" s="2"/>
      <c r="AHW104" s="2"/>
      <c r="AHX104" s="2"/>
      <c r="AHY104" s="2"/>
      <c r="AHZ104" s="2"/>
      <c r="AIA104" s="2"/>
      <c r="AIB104" s="2"/>
      <c r="AIC104" s="2"/>
      <c r="AID104" s="2"/>
      <c r="AIE104" s="2"/>
      <c r="AIF104" s="2"/>
      <c r="AIG104" s="2"/>
      <c r="AIH104" s="2"/>
      <c r="AII104" s="2"/>
      <c r="AIJ104" s="2"/>
      <c r="AIK104" s="2"/>
      <c r="AIL104" s="2"/>
      <c r="AIM104" s="2"/>
      <c r="AIN104" s="2"/>
      <c r="AIO104" s="2"/>
      <c r="AIP104" s="2"/>
      <c r="AIQ104" s="2"/>
      <c r="AIR104" s="2"/>
      <c r="AIS104" s="2"/>
      <c r="AIT104" s="2"/>
      <c r="AIU104" s="2"/>
      <c r="AIV104" s="2"/>
      <c r="AIW104" s="2"/>
      <c r="AIX104" s="2"/>
      <c r="AIY104" s="2"/>
      <c r="AIZ104" s="2"/>
      <c r="AJA104" s="2"/>
      <c r="AJB104" s="2"/>
      <c r="AJC104" s="2"/>
      <c r="AJD104" s="2"/>
      <c r="AJE104" s="2"/>
      <c r="AJF104" s="2"/>
      <c r="AJG104" s="2"/>
      <c r="AJH104" s="2"/>
      <c r="AJI104" s="2"/>
      <c r="AJJ104" s="2"/>
      <c r="AJK104" s="2"/>
      <c r="AJL104" s="2"/>
      <c r="AJM104" s="2"/>
      <c r="AJN104" s="2"/>
      <c r="AJO104" s="2"/>
      <c r="AJP104" s="2"/>
      <c r="AJQ104" s="2"/>
      <c r="AJR104" s="2"/>
      <c r="AJS104" s="2"/>
      <c r="AJT104" s="2"/>
      <c r="AJU104" s="2"/>
      <c r="AJV104" s="2"/>
      <c r="AJW104" s="2"/>
      <c r="AJX104" s="2"/>
      <c r="AJY104" s="2"/>
      <c r="AJZ104" s="2"/>
      <c r="AKA104" s="2"/>
      <c r="AKB104" s="2"/>
      <c r="AKC104" s="2"/>
      <c r="AKD104" s="2"/>
      <c r="AKE104" s="2"/>
      <c r="AKF104" s="2"/>
      <c r="AKG104" s="2"/>
      <c r="AKH104" s="2"/>
      <c r="AKI104" s="2"/>
      <c r="AKJ104" s="2"/>
      <c r="AKK104" s="2"/>
      <c r="AKL104" s="2"/>
      <c r="AKM104" s="2"/>
      <c r="AKN104" s="2"/>
      <c r="AKO104" s="2"/>
      <c r="AKP104" s="2"/>
      <c r="AKQ104" s="2"/>
      <c r="AKR104" s="2"/>
      <c r="AKS104" s="2"/>
      <c r="AKT104" s="2"/>
      <c r="AKU104" s="2"/>
      <c r="AKV104" s="2"/>
      <c r="AKW104" s="2"/>
      <c r="AKX104" s="2"/>
      <c r="AKY104" s="2"/>
      <c r="AKZ104" s="2"/>
      <c r="ALA104" s="2"/>
      <c r="ALB104" s="2"/>
      <c r="ALC104" s="2"/>
      <c r="ALD104" s="2"/>
      <c r="ALE104" s="2"/>
      <c r="ALF104" s="2"/>
      <c r="ALG104" s="2"/>
      <c r="ALH104" s="2"/>
      <c r="ALI104" s="2"/>
      <c r="ALJ104" s="2"/>
      <c r="ALK104" s="2"/>
      <c r="ALL104" s="2"/>
      <c r="ALM104" s="2"/>
      <c r="ALN104" s="2"/>
      <c r="ALO104" s="2"/>
      <c r="ALP104" s="2"/>
      <c r="ALQ104" s="2"/>
      <c r="ALR104" s="2"/>
      <c r="ALS104" s="2"/>
      <c r="ALT104" s="2"/>
      <c r="ALU104" s="2"/>
      <c r="ALV104" s="2"/>
      <c r="ALW104" s="2"/>
      <c r="ALX104" s="2"/>
      <c r="ALY104" s="2"/>
      <c r="ALZ104" s="2"/>
      <c r="AMA104" s="2"/>
      <c r="AMB104" s="2"/>
      <c r="AMC104" s="2"/>
      <c r="AMD104" s="2"/>
      <c r="AME104" s="2"/>
    </row>
    <row r="105" spans="1:1019" ht="20.399999999999999" customHeight="1" x14ac:dyDescent="0.3">
      <c r="A105" s="76">
        <v>5.5</v>
      </c>
      <c r="B105" s="79" t="s">
        <v>108</v>
      </c>
      <c r="C105" s="79"/>
      <c r="D105" s="79"/>
    </row>
    <row r="106" spans="1:1019" ht="33.6" customHeight="1" x14ac:dyDescent="0.3">
      <c r="A106" s="76"/>
      <c r="B106" s="80" t="s">
        <v>142</v>
      </c>
      <c r="C106" s="80"/>
      <c r="D106" s="80"/>
    </row>
    <row r="107" spans="1:1019" ht="33.6" customHeight="1" x14ac:dyDescent="0.3">
      <c r="A107" s="32"/>
      <c r="B107" s="33"/>
      <c r="C107" s="33"/>
      <c r="D107" s="33"/>
    </row>
    <row r="108" spans="1:1019" ht="33.6" customHeight="1" x14ac:dyDescent="0.3">
      <c r="A108" s="32"/>
      <c r="B108" s="32"/>
      <c r="C108" s="32"/>
      <c r="D108" s="32"/>
    </row>
    <row r="109" spans="1:1019" ht="33.6" customHeight="1" x14ac:dyDescent="0.3">
      <c r="A109" s="32"/>
      <c r="B109" s="32"/>
      <c r="C109" s="32"/>
      <c r="D109" s="32"/>
    </row>
    <row r="110" spans="1:1019" ht="33.6" customHeight="1" x14ac:dyDescent="0.3">
      <c r="A110" s="32"/>
      <c r="B110" s="33"/>
      <c r="C110" s="33"/>
      <c r="D110" s="33"/>
    </row>
    <row r="111" spans="1:1019" ht="33.6" customHeight="1" x14ac:dyDescent="0.3">
      <c r="A111" s="32"/>
      <c r="B111" s="33"/>
      <c r="C111" s="33"/>
      <c r="D111" s="33"/>
    </row>
  </sheetData>
  <mergeCells count="32">
    <mergeCell ref="A95:A96"/>
    <mergeCell ref="B95:D95"/>
    <mergeCell ref="B96:D96"/>
    <mergeCell ref="B97:D97"/>
    <mergeCell ref="A105:A106"/>
    <mergeCell ref="B105:D105"/>
    <mergeCell ref="B106:D106"/>
    <mergeCell ref="B77:D77"/>
    <mergeCell ref="B41:D41"/>
    <mergeCell ref="B42:D42"/>
    <mergeCell ref="A52:A53"/>
    <mergeCell ref="B52:D52"/>
    <mergeCell ref="B53:D53"/>
    <mergeCell ref="B54:D54"/>
    <mergeCell ref="A56:A58"/>
    <mergeCell ref="B65:D65"/>
    <mergeCell ref="A75:A76"/>
    <mergeCell ref="B75:D75"/>
    <mergeCell ref="B76:D76"/>
    <mergeCell ref="A37:A38"/>
    <mergeCell ref="B37:B38"/>
    <mergeCell ref="A1:A3"/>
    <mergeCell ref="B1:D3"/>
    <mergeCell ref="B4:C4"/>
    <mergeCell ref="B5:C5"/>
    <mergeCell ref="B6:C6"/>
    <mergeCell ref="B7:C7"/>
    <mergeCell ref="B8:C8"/>
    <mergeCell ref="B9:D9"/>
    <mergeCell ref="A20:A25"/>
    <mergeCell ref="B31:D31"/>
    <mergeCell ref="B34:D34"/>
  </mergeCells>
  <hyperlinks>
    <hyperlink ref="D7" r:id="rId1" xr:uid="{29BE4596-0E7B-4B2C-8201-97047002999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2BFE-3B9A-4CDC-B4D7-EB2233D09675}">
  <dimension ref="A1:AMJ112"/>
  <sheetViews>
    <sheetView workbookViewId="0">
      <selection activeCell="G7" sqref="G7"/>
    </sheetView>
  </sheetViews>
  <sheetFormatPr defaultRowHeight="14.4" x14ac:dyDescent="0.3"/>
  <cols>
    <col min="1" max="1" width="14.88671875" style="34" customWidth="1"/>
    <col min="2" max="2" width="47.88671875" style="1" customWidth="1"/>
    <col min="3" max="3" width="6" style="35" customWidth="1"/>
    <col min="4" max="4" width="44.44140625" style="1" customWidth="1"/>
    <col min="5" max="1024" width="9" style="1" customWidth="1"/>
  </cols>
  <sheetData>
    <row r="1" spans="1:4" customFormat="1" ht="18.75" customHeight="1" x14ac:dyDescent="0.3">
      <c r="A1" s="68"/>
      <c r="B1" s="69" t="s">
        <v>143</v>
      </c>
      <c r="C1" s="69"/>
      <c r="D1" s="69"/>
    </row>
    <row r="2" spans="1:4" customFormat="1" ht="18.75" customHeight="1" x14ac:dyDescent="0.3">
      <c r="A2" s="68"/>
      <c r="B2" s="69"/>
      <c r="C2" s="69"/>
      <c r="D2" s="69"/>
    </row>
    <row r="3" spans="1:4" customFormat="1" ht="17.25" customHeight="1" x14ac:dyDescent="0.3">
      <c r="A3" s="68"/>
      <c r="B3" s="69"/>
      <c r="C3" s="69"/>
      <c r="D3" s="69"/>
    </row>
    <row r="4" spans="1:4" customFormat="1" ht="17.25" customHeight="1" x14ac:dyDescent="0.3">
      <c r="A4" s="3" t="s">
        <v>1</v>
      </c>
      <c r="B4" s="70" t="s">
        <v>2</v>
      </c>
      <c r="C4" s="70"/>
      <c r="D4" s="4" t="s">
        <v>144</v>
      </c>
    </row>
    <row r="5" spans="1:4" customFormat="1" ht="17.25" customHeight="1" x14ac:dyDescent="0.3">
      <c r="A5" s="3" t="s">
        <v>4</v>
      </c>
      <c r="B5" s="70"/>
      <c r="C5" s="70"/>
      <c r="D5" s="5" t="s">
        <v>145</v>
      </c>
    </row>
    <row r="6" spans="1:4" customFormat="1" ht="17.25" customHeight="1" x14ac:dyDescent="0.3">
      <c r="A6" s="3" t="s">
        <v>6</v>
      </c>
      <c r="B6" s="70"/>
      <c r="C6" s="70"/>
      <c r="D6" s="4" t="s">
        <v>7</v>
      </c>
    </row>
    <row r="7" spans="1:4" customFormat="1" ht="30" customHeight="1" x14ac:dyDescent="0.3">
      <c r="A7" s="6" t="s">
        <v>8</v>
      </c>
      <c r="B7" s="70"/>
      <c r="C7" s="70"/>
      <c r="D7" s="65" t="s">
        <v>166</v>
      </c>
    </row>
    <row r="8" spans="1:4" customFormat="1" ht="18.75" customHeight="1" x14ac:dyDescent="0.3">
      <c r="A8" s="7" t="s">
        <v>9</v>
      </c>
      <c r="B8" s="70"/>
      <c r="C8" s="70"/>
      <c r="D8" s="5" t="s">
        <v>165</v>
      </c>
    </row>
    <row r="9" spans="1:4" s="2" customFormat="1" ht="20.25" customHeight="1" x14ac:dyDescent="0.3">
      <c r="A9" s="8">
        <v>1</v>
      </c>
      <c r="B9" s="71" t="s">
        <v>10</v>
      </c>
      <c r="C9" s="71"/>
      <c r="D9" s="71"/>
    </row>
    <row r="10" spans="1:4" s="2" customFormat="1" ht="21" customHeight="1" x14ac:dyDescent="0.3">
      <c r="A10" s="61">
        <v>1.1000000000000001</v>
      </c>
      <c r="B10" s="63" t="s">
        <v>11</v>
      </c>
      <c r="C10" s="64" t="s">
        <v>12</v>
      </c>
      <c r="D10" s="9" t="s">
        <v>13</v>
      </c>
    </row>
    <row r="11" spans="1:4" s="2" customFormat="1" ht="24" customHeight="1" x14ac:dyDescent="0.3">
      <c r="A11" s="36">
        <v>1.2</v>
      </c>
      <c r="B11" s="37" t="s">
        <v>14</v>
      </c>
      <c r="C11" s="45" t="s">
        <v>12</v>
      </c>
      <c r="D11" s="10" t="s">
        <v>15</v>
      </c>
    </row>
    <row r="12" spans="1:4" s="2" customFormat="1" ht="21" customHeight="1" x14ac:dyDescent="0.3">
      <c r="A12" s="36">
        <v>1.3</v>
      </c>
      <c r="B12" s="37" t="s">
        <v>16</v>
      </c>
      <c r="C12" s="45" t="s">
        <v>12</v>
      </c>
      <c r="D12" s="10" t="s">
        <v>17</v>
      </c>
    </row>
    <row r="13" spans="1:4" s="2" customFormat="1" ht="18" customHeight="1" x14ac:dyDescent="0.3">
      <c r="A13" s="36">
        <v>1.4</v>
      </c>
      <c r="B13" s="37" t="s">
        <v>18</v>
      </c>
      <c r="C13" s="45" t="s">
        <v>12</v>
      </c>
      <c r="D13" s="10" t="s">
        <v>19</v>
      </c>
    </row>
    <row r="14" spans="1:4" s="2" customFormat="1" ht="39.75" customHeight="1" x14ac:dyDescent="0.3">
      <c r="A14" s="36">
        <v>1.5</v>
      </c>
      <c r="B14" s="37" t="s">
        <v>20</v>
      </c>
      <c r="C14" s="45" t="s">
        <v>12</v>
      </c>
      <c r="D14" s="11">
        <v>630</v>
      </c>
    </row>
    <row r="15" spans="1:4" s="2" customFormat="1" ht="38.25" customHeight="1" x14ac:dyDescent="0.3">
      <c r="A15" s="36">
        <v>1.6</v>
      </c>
      <c r="B15" s="37" t="s">
        <v>21</v>
      </c>
      <c r="C15" s="45" t="s">
        <v>12</v>
      </c>
      <c r="D15" s="11">
        <v>50</v>
      </c>
    </row>
    <row r="16" spans="1:4" s="2" customFormat="1" ht="24" customHeight="1" x14ac:dyDescent="0.3">
      <c r="A16" s="36">
        <v>1.7</v>
      </c>
      <c r="B16" s="37" t="s">
        <v>22</v>
      </c>
      <c r="C16" s="45" t="s">
        <v>12</v>
      </c>
      <c r="D16" s="11">
        <v>50</v>
      </c>
    </row>
    <row r="17" spans="1:4" s="2" customFormat="1" ht="18.75" customHeight="1" x14ac:dyDescent="0.3">
      <c r="A17" s="36">
        <v>1.8</v>
      </c>
      <c r="B17" s="37" t="s">
        <v>23</v>
      </c>
      <c r="C17" s="45" t="s">
        <v>12</v>
      </c>
      <c r="D17" s="11">
        <v>85</v>
      </c>
    </row>
    <row r="18" spans="1:4" s="2" customFormat="1" ht="21.75" customHeight="1" x14ac:dyDescent="0.3">
      <c r="A18" s="36">
        <v>1.9</v>
      </c>
      <c r="B18" s="37" t="s">
        <v>24</v>
      </c>
      <c r="C18" s="45" t="s">
        <v>12</v>
      </c>
      <c r="D18" s="11">
        <v>70</v>
      </c>
    </row>
    <row r="19" spans="1:4" s="2" customFormat="1" ht="24" customHeight="1" x14ac:dyDescent="0.3">
      <c r="A19" s="44">
        <v>1.1000000000000001</v>
      </c>
      <c r="B19" s="37" t="s">
        <v>25</v>
      </c>
      <c r="C19" s="45" t="s">
        <v>12</v>
      </c>
      <c r="D19" s="10" t="s">
        <v>26</v>
      </c>
    </row>
    <row r="20" spans="1:4" s="2" customFormat="1" ht="15" customHeight="1" x14ac:dyDescent="0.3">
      <c r="A20" s="72">
        <v>1.1100000000000001</v>
      </c>
      <c r="B20" s="53" t="s">
        <v>27</v>
      </c>
      <c r="C20" s="45" t="s">
        <v>12</v>
      </c>
      <c r="D20" s="10" t="s">
        <v>146</v>
      </c>
    </row>
    <row r="21" spans="1:4" s="2" customFormat="1" ht="15" customHeight="1" x14ac:dyDescent="0.3">
      <c r="A21" s="72"/>
      <c r="B21" s="53" t="s">
        <v>29</v>
      </c>
      <c r="C21" s="45" t="s">
        <v>12</v>
      </c>
      <c r="D21" s="10" t="s">
        <v>147</v>
      </c>
    </row>
    <row r="22" spans="1:4" s="2" customFormat="1" ht="18" customHeight="1" x14ac:dyDescent="0.3">
      <c r="A22" s="72"/>
      <c r="B22" s="37" t="s">
        <v>31</v>
      </c>
      <c r="C22" s="56" t="s">
        <v>12</v>
      </c>
      <c r="D22" s="12">
        <v>1</v>
      </c>
    </row>
    <row r="23" spans="1:4" s="2" customFormat="1" ht="21" customHeight="1" x14ac:dyDescent="0.3">
      <c r="A23" s="72"/>
      <c r="B23" s="37" t="s">
        <v>32</v>
      </c>
      <c r="C23" s="56" t="s">
        <v>12</v>
      </c>
      <c r="D23" s="12">
        <v>1</v>
      </c>
    </row>
    <row r="24" spans="1:4" s="2" customFormat="1" ht="18" customHeight="1" x14ac:dyDescent="0.3">
      <c r="A24" s="72"/>
      <c r="B24" s="37" t="s">
        <v>33</v>
      </c>
      <c r="C24" s="56" t="s">
        <v>12</v>
      </c>
      <c r="D24" s="11">
        <v>75</v>
      </c>
    </row>
    <row r="25" spans="1:4" s="2" customFormat="1" ht="16.5" customHeight="1" x14ac:dyDescent="0.3">
      <c r="A25" s="72"/>
      <c r="B25" s="63" t="s">
        <v>34</v>
      </c>
      <c r="C25" s="56" t="s">
        <v>12</v>
      </c>
      <c r="D25" s="11">
        <v>12</v>
      </c>
    </row>
    <row r="26" spans="1:4" s="2" customFormat="1" ht="17.25" customHeight="1" x14ac:dyDescent="0.3">
      <c r="A26" s="61">
        <v>1.1200000000000001</v>
      </c>
      <c r="B26" s="63" t="s">
        <v>35</v>
      </c>
      <c r="C26" s="56"/>
      <c r="D26" s="11">
        <f>75*6</f>
        <v>450</v>
      </c>
    </row>
    <row r="27" spans="1:4" s="2" customFormat="1" ht="24" customHeight="1" x14ac:dyDescent="0.3">
      <c r="A27" s="36">
        <v>1.1299999999999999</v>
      </c>
      <c r="B27" s="37" t="s">
        <v>36</v>
      </c>
      <c r="C27" s="56" t="s">
        <v>12</v>
      </c>
      <c r="D27" s="13">
        <f>D23*D22*D24*D25</f>
        <v>900</v>
      </c>
    </row>
    <row r="28" spans="1:4" s="2" customFormat="1" ht="23.25" customHeight="1" x14ac:dyDescent="0.3">
      <c r="A28" s="61">
        <v>1.1399999999999999</v>
      </c>
      <c r="B28" s="37" t="s">
        <v>37</v>
      </c>
      <c r="C28" s="45" t="s">
        <v>12</v>
      </c>
      <c r="D28" s="10" t="s">
        <v>38</v>
      </c>
    </row>
    <row r="29" spans="1:4" s="2" customFormat="1" ht="21" customHeight="1" x14ac:dyDescent="0.3">
      <c r="A29" s="36">
        <v>1.1499999999999999</v>
      </c>
      <c r="B29" s="37" t="s">
        <v>39</v>
      </c>
      <c r="C29" s="59"/>
      <c r="D29" s="10"/>
    </row>
    <row r="30" spans="1:4" s="2" customFormat="1" ht="26.25" customHeight="1" x14ac:dyDescent="0.3">
      <c r="A30" s="36" t="s">
        <v>40</v>
      </c>
      <c r="B30" s="43" t="s">
        <v>41</v>
      </c>
      <c r="C30" s="45" t="s">
        <v>12</v>
      </c>
      <c r="D30" s="10" t="s">
        <v>42</v>
      </c>
    </row>
    <row r="31" spans="1:4" s="2" customFormat="1" ht="23.25" customHeight="1" x14ac:dyDescent="0.3">
      <c r="A31" s="36">
        <v>1.1599999999999999</v>
      </c>
      <c r="B31" s="67" t="s">
        <v>43</v>
      </c>
      <c r="C31" s="67"/>
      <c r="D31" s="67"/>
    </row>
    <row r="32" spans="1:4" s="2" customFormat="1" ht="23.25" customHeight="1" x14ac:dyDescent="0.3">
      <c r="A32" s="36"/>
      <c r="B32" s="43" t="s">
        <v>44</v>
      </c>
      <c r="C32" s="45" t="s">
        <v>12</v>
      </c>
      <c r="D32" s="10" t="s">
        <v>45</v>
      </c>
    </row>
    <row r="33" spans="1:4" s="2" customFormat="1" ht="21.75" customHeight="1" x14ac:dyDescent="0.3">
      <c r="A33" s="36"/>
      <c r="B33" s="43" t="s">
        <v>46</v>
      </c>
      <c r="C33" s="45" t="s">
        <v>12</v>
      </c>
      <c r="D33" s="10" t="s">
        <v>47</v>
      </c>
    </row>
    <row r="34" spans="1:4" s="2" customFormat="1" ht="18" customHeight="1" x14ac:dyDescent="0.3">
      <c r="A34" s="52">
        <v>1.17</v>
      </c>
      <c r="B34" s="67" t="s">
        <v>48</v>
      </c>
      <c r="C34" s="67"/>
      <c r="D34" s="67"/>
    </row>
    <row r="35" spans="1:4" s="2" customFormat="1" ht="18" customHeight="1" x14ac:dyDescent="0.3">
      <c r="A35" s="60"/>
      <c r="B35" s="43" t="s">
        <v>49</v>
      </c>
      <c r="C35" s="45" t="s">
        <v>12</v>
      </c>
      <c r="D35" s="10" t="s">
        <v>50</v>
      </c>
    </row>
    <row r="36" spans="1:4" s="2" customFormat="1" ht="20.25" customHeight="1" x14ac:dyDescent="0.3">
      <c r="A36" s="61"/>
      <c r="B36" s="43" t="s">
        <v>51</v>
      </c>
      <c r="C36" s="45" t="s">
        <v>12</v>
      </c>
      <c r="D36" s="10" t="s">
        <v>52</v>
      </c>
    </row>
    <row r="37" spans="1:4" s="2" customFormat="1" ht="21" customHeight="1" x14ac:dyDescent="0.3">
      <c r="A37" s="66">
        <v>1.18</v>
      </c>
      <c r="B37" s="67" t="s">
        <v>53</v>
      </c>
      <c r="C37" s="45" t="s">
        <v>12</v>
      </c>
      <c r="D37" s="10" t="s">
        <v>54</v>
      </c>
    </row>
    <row r="38" spans="1:4" s="2" customFormat="1" ht="21" customHeight="1" x14ac:dyDescent="0.3">
      <c r="A38" s="66"/>
      <c r="B38" s="67"/>
      <c r="C38" s="45" t="s">
        <v>12</v>
      </c>
      <c r="D38" s="10" t="s">
        <v>55</v>
      </c>
    </row>
    <row r="39" spans="1:4" s="2" customFormat="1" ht="21.75" customHeight="1" x14ac:dyDescent="0.3">
      <c r="A39" s="36">
        <v>1.19</v>
      </c>
      <c r="B39" s="37" t="s">
        <v>25</v>
      </c>
      <c r="C39" s="45" t="s">
        <v>12</v>
      </c>
      <c r="D39" s="10" t="s">
        <v>56</v>
      </c>
    </row>
    <row r="40" spans="1:4" s="2" customFormat="1" ht="24" customHeight="1" x14ac:dyDescent="0.3">
      <c r="A40" s="62">
        <v>1.2</v>
      </c>
      <c r="B40" s="37" t="s">
        <v>57</v>
      </c>
      <c r="C40" s="45" t="s">
        <v>12</v>
      </c>
      <c r="D40" s="37" t="s">
        <v>58</v>
      </c>
    </row>
    <row r="41" spans="1:4" s="2" customFormat="1" ht="21" customHeight="1" x14ac:dyDescent="0.3">
      <c r="A41" s="14">
        <v>2</v>
      </c>
      <c r="B41" s="74" t="s">
        <v>59</v>
      </c>
      <c r="C41" s="74"/>
      <c r="D41" s="74"/>
    </row>
    <row r="42" spans="1:4" s="2" customFormat="1" ht="24" customHeight="1" x14ac:dyDescent="0.3">
      <c r="A42" s="36">
        <v>2.1</v>
      </c>
      <c r="B42" s="75" t="s">
        <v>60</v>
      </c>
      <c r="C42" s="75"/>
      <c r="D42" s="75"/>
    </row>
    <row r="43" spans="1:4" s="2" customFormat="1" ht="93.6" x14ac:dyDescent="0.3">
      <c r="A43" s="36"/>
      <c r="B43" s="37" t="s">
        <v>61</v>
      </c>
      <c r="C43" s="45" t="s">
        <v>62</v>
      </c>
      <c r="D43" s="37" t="s">
        <v>148</v>
      </c>
    </row>
    <row r="44" spans="1:4" s="2" customFormat="1" ht="37.5" customHeight="1" x14ac:dyDescent="0.3">
      <c r="A44" s="59"/>
      <c r="B44" s="47" t="s">
        <v>64</v>
      </c>
      <c r="C44" s="45" t="s">
        <v>62</v>
      </c>
      <c r="D44" s="43">
        <v>50</v>
      </c>
    </row>
    <row r="45" spans="1:4" s="2" customFormat="1" ht="15.75" customHeight="1" x14ac:dyDescent="0.3">
      <c r="A45" s="59"/>
      <c r="B45" s="47" t="s">
        <v>65</v>
      </c>
      <c r="C45" s="45" t="s">
        <v>62</v>
      </c>
      <c r="D45" s="11">
        <v>1</v>
      </c>
    </row>
    <row r="46" spans="1:4" s="2" customFormat="1" ht="21.75" customHeight="1" x14ac:dyDescent="0.3">
      <c r="A46" s="59"/>
      <c r="B46" s="47" t="s">
        <v>66</v>
      </c>
      <c r="C46" s="45" t="s">
        <v>62</v>
      </c>
      <c r="D46" s="43">
        <f>D17</f>
        <v>85</v>
      </c>
    </row>
    <row r="47" spans="1:4" s="2" customFormat="1" ht="21" customHeight="1" x14ac:dyDescent="0.3">
      <c r="A47" s="59"/>
      <c r="B47" s="47" t="s">
        <v>67</v>
      </c>
      <c r="C47" s="45" t="s">
        <v>62</v>
      </c>
      <c r="D47" s="11">
        <v>200</v>
      </c>
    </row>
    <row r="48" spans="1:4" s="2" customFormat="1" ht="23.25" customHeight="1" x14ac:dyDescent="0.3">
      <c r="A48" s="37"/>
      <c r="B48" s="37" t="s">
        <v>68</v>
      </c>
      <c r="C48" s="45" t="s">
        <v>62</v>
      </c>
      <c r="D48" s="43">
        <f>(D44*1000/SQRT(D45))/(14*IMPOWER(10,4)*SQRT(LOG10((D46+258)/(D47+258))*-1))</f>
        <v>1.0078517940743343</v>
      </c>
    </row>
    <row r="49" spans="1:4" s="2" customFormat="1" ht="21" customHeight="1" x14ac:dyDescent="0.3">
      <c r="A49" s="37"/>
      <c r="B49" s="37" t="s">
        <v>69</v>
      </c>
      <c r="C49" s="45"/>
      <c r="D49" s="50">
        <f>D48*645.16</f>
        <v>650.22566346499752</v>
      </c>
    </row>
    <row r="50" spans="1:4" s="2" customFormat="1" ht="29.25" customHeight="1" x14ac:dyDescent="0.3">
      <c r="A50" s="36">
        <v>2.2000000000000002</v>
      </c>
      <c r="B50" s="37" t="s">
        <v>70</v>
      </c>
      <c r="C50" s="45"/>
      <c r="D50" s="15" t="s">
        <v>71</v>
      </c>
    </row>
    <row r="51" spans="1:4" s="2" customFormat="1" ht="33" customHeight="1" x14ac:dyDescent="0.3">
      <c r="A51" s="52">
        <v>2.2000000000000002</v>
      </c>
      <c r="B51" s="53" t="s">
        <v>72</v>
      </c>
      <c r="C51" s="56" t="s">
        <v>62</v>
      </c>
      <c r="D51" s="16">
        <f>D27</f>
        <v>900</v>
      </c>
    </row>
    <row r="52" spans="1:4" s="2" customFormat="1" ht="22.5" customHeight="1" x14ac:dyDescent="0.3">
      <c r="A52" s="76">
        <v>2.2999999999999998</v>
      </c>
      <c r="B52" s="77" t="s">
        <v>73</v>
      </c>
      <c r="C52" s="77"/>
      <c r="D52" s="77"/>
    </row>
    <row r="53" spans="1:4" s="2" customFormat="1" ht="36" customHeight="1" x14ac:dyDescent="0.3">
      <c r="A53" s="76"/>
      <c r="B53" s="77" t="s">
        <v>149</v>
      </c>
      <c r="C53" s="77"/>
      <c r="D53" s="77"/>
    </row>
    <row r="54" spans="1:4" s="2" customFormat="1" ht="21.75" customHeight="1" x14ac:dyDescent="0.3">
      <c r="A54" s="17">
        <v>3</v>
      </c>
      <c r="B54" s="73" t="s">
        <v>75</v>
      </c>
      <c r="C54" s="73"/>
      <c r="D54" s="73"/>
    </row>
    <row r="55" spans="1:4" s="2" customFormat="1" ht="21.75" customHeight="1" x14ac:dyDescent="0.3">
      <c r="A55" s="44">
        <v>3.1</v>
      </c>
      <c r="B55" s="37" t="s">
        <v>76</v>
      </c>
      <c r="C55" s="45" t="s">
        <v>12</v>
      </c>
      <c r="D55" s="37" t="s">
        <v>77</v>
      </c>
    </row>
    <row r="56" spans="1:4" s="2" customFormat="1" ht="31.8" customHeight="1" x14ac:dyDescent="0.3">
      <c r="A56" s="72">
        <v>3.11</v>
      </c>
      <c r="B56" s="10" t="s">
        <v>78</v>
      </c>
      <c r="C56" s="18" t="s">
        <v>12</v>
      </c>
      <c r="D56" s="11">
        <v>1350</v>
      </c>
    </row>
    <row r="57" spans="1:4" s="2" customFormat="1" ht="23.25" customHeight="1" x14ac:dyDescent="0.3">
      <c r="A57" s="72"/>
      <c r="B57" s="58" t="s">
        <v>79</v>
      </c>
      <c r="C57" s="45" t="s">
        <v>12</v>
      </c>
      <c r="D57" s="37" t="s">
        <v>150</v>
      </c>
    </row>
    <row r="58" spans="1:4" s="2" customFormat="1" ht="17.25" customHeight="1" x14ac:dyDescent="0.3">
      <c r="A58" s="72"/>
      <c r="B58" s="37" t="s">
        <v>81</v>
      </c>
      <c r="C58" s="45" t="s">
        <v>12</v>
      </c>
      <c r="D58" s="13">
        <f>D23*D56</f>
        <v>1350</v>
      </c>
    </row>
    <row r="59" spans="1:4" s="2" customFormat="1" ht="19.5" customHeight="1" x14ac:dyDescent="0.3">
      <c r="A59" s="36">
        <v>3.12</v>
      </c>
      <c r="B59" s="37" t="s">
        <v>82</v>
      </c>
      <c r="C59" s="45" t="s">
        <v>12</v>
      </c>
      <c r="D59" s="11">
        <v>150</v>
      </c>
    </row>
    <row r="60" spans="1:4" s="2" customFormat="1" ht="19.5" customHeight="1" x14ac:dyDescent="0.3">
      <c r="A60" s="36">
        <v>3.13</v>
      </c>
      <c r="B60" s="37" t="s">
        <v>83</v>
      </c>
      <c r="C60" s="45" t="s">
        <v>12</v>
      </c>
      <c r="D60" s="10" t="s">
        <v>151</v>
      </c>
    </row>
    <row r="61" spans="1:4" s="2" customFormat="1" ht="19.5" customHeight="1" x14ac:dyDescent="0.3">
      <c r="A61" s="36">
        <v>3.14</v>
      </c>
      <c r="B61" s="37" t="s">
        <v>85</v>
      </c>
      <c r="C61" s="45" t="s">
        <v>12</v>
      </c>
      <c r="D61" s="10" t="s">
        <v>86</v>
      </c>
    </row>
    <row r="62" spans="1:4" s="2" customFormat="1" ht="26.25" customHeight="1" x14ac:dyDescent="0.3">
      <c r="A62" s="36">
        <v>3.15</v>
      </c>
      <c r="B62" s="37" t="s">
        <v>87</v>
      </c>
      <c r="C62" s="45" t="s">
        <v>12</v>
      </c>
      <c r="D62" s="10" t="s">
        <v>88</v>
      </c>
    </row>
    <row r="63" spans="1:4" s="2" customFormat="1" ht="20.25" customHeight="1" x14ac:dyDescent="0.3">
      <c r="A63" s="36">
        <v>3.16</v>
      </c>
      <c r="B63" s="37" t="s">
        <v>89</v>
      </c>
      <c r="C63" s="45" t="s">
        <v>12</v>
      </c>
      <c r="D63" s="10" t="s">
        <v>90</v>
      </c>
    </row>
    <row r="64" spans="1:4" s="2" customFormat="1" ht="30.75" customHeight="1" x14ac:dyDescent="0.3">
      <c r="A64" s="36">
        <v>3.17</v>
      </c>
      <c r="B64" s="37" t="s">
        <v>91</v>
      </c>
      <c r="C64" s="45" t="s">
        <v>12</v>
      </c>
      <c r="D64" s="10" t="s">
        <v>92</v>
      </c>
    </row>
    <row r="65" spans="1:4" s="2" customFormat="1" ht="19.5" customHeight="1" x14ac:dyDescent="0.3">
      <c r="A65" s="36">
        <v>3.18</v>
      </c>
      <c r="B65" s="75" t="s">
        <v>93</v>
      </c>
      <c r="C65" s="75"/>
      <c r="D65" s="75"/>
    </row>
    <row r="66" spans="1:4" s="2" customFormat="1" ht="21" customHeight="1" x14ac:dyDescent="0.3">
      <c r="A66" s="47" t="s">
        <v>40</v>
      </c>
      <c r="B66" s="37" t="s">
        <v>94</v>
      </c>
      <c r="C66" s="45" t="s">
        <v>62</v>
      </c>
      <c r="D66" s="43">
        <v>0.9</v>
      </c>
    </row>
    <row r="67" spans="1:4" s="2" customFormat="1" ht="34.5" customHeight="1" x14ac:dyDescent="0.3">
      <c r="A67" s="47" t="s">
        <v>95</v>
      </c>
      <c r="B67" s="37" t="s">
        <v>96</v>
      </c>
      <c r="C67" s="45" t="s">
        <v>62</v>
      </c>
      <c r="D67" s="43">
        <v>0.87</v>
      </c>
    </row>
    <row r="68" spans="1:4" s="2" customFormat="1" ht="18.75" customHeight="1" x14ac:dyDescent="0.3">
      <c r="A68" s="51" t="s">
        <v>97</v>
      </c>
      <c r="B68" s="37" t="s">
        <v>98</v>
      </c>
      <c r="C68" s="45" t="s">
        <v>62</v>
      </c>
      <c r="D68" s="43">
        <v>0.9</v>
      </c>
    </row>
    <row r="69" spans="1:4" s="2" customFormat="1" ht="18" customHeight="1" x14ac:dyDescent="0.3">
      <c r="A69" s="51" t="s">
        <v>99</v>
      </c>
      <c r="B69" s="37" t="s">
        <v>100</v>
      </c>
      <c r="C69" s="45" t="s">
        <v>62</v>
      </c>
      <c r="D69" s="43">
        <v>0.95</v>
      </c>
    </row>
    <row r="70" spans="1:4" s="2" customFormat="1" ht="18" customHeight="1" x14ac:dyDescent="0.3">
      <c r="A70" s="51" t="s">
        <v>101</v>
      </c>
      <c r="B70" s="37" t="s">
        <v>102</v>
      </c>
      <c r="C70" s="45" t="s">
        <v>62</v>
      </c>
      <c r="D70" s="43">
        <v>1</v>
      </c>
    </row>
    <row r="71" spans="1:4" s="2" customFormat="1" ht="19.5" customHeight="1" x14ac:dyDescent="0.3">
      <c r="A71" s="51" t="s">
        <v>103</v>
      </c>
      <c r="B71" s="37" t="s">
        <v>104</v>
      </c>
      <c r="C71" s="45" t="s">
        <v>62</v>
      </c>
      <c r="D71" s="57">
        <f>D66*D67*D68*D69*D70</f>
        <v>0.66946499999999998</v>
      </c>
    </row>
    <row r="72" spans="1:4" s="2" customFormat="1" ht="33.75" customHeight="1" x14ac:dyDescent="0.3">
      <c r="A72" s="52">
        <v>3.19</v>
      </c>
      <c r="B72" s="53" t="s">
        <v>105</v>
      </c>
      <c r="C72" s="45" t="s">
        <v>62</v>
      </c>
      <c r="D72" s="11" t="s">
        <v>152</v>
      </c>
    </row>
    <row r="73" spans="1:4" s="2" customFormat="1" ht="18" customHeight="1" x14ac:dyDescent="0.3">
      <c r="A73" s="52"/>
      <c r="B73" s="54"/>
      <c r="C73" s="45" t="s">
        <v>62</v>
      </c>
      <c r="D73" s="13">
        <f>D58*D71</f>
        <v>903.77774999999997</v>
      </c>
    </row>
    <row r="74" spans="1:4" s="2" customFormat="1" ht="18.600000000000001" customHeight="1" x14ac:dyDescent="0.3">
      <c r="A74" s="55">
        <v>3.2</v>
      </c>
      <c r="B74" s="53" t="s">
        <v>107</v>
      </c>
      <c r="C74" s="56" t="s">
        <v>62</v>
      </c>
      <c r="D74" s="16">
        <f>D14</f>
        <v>630</v>
      </c>
    </row>
    <row r="75" spans="1:4" s="2" customFormat="1" ht="15" customHeight="1" x14ac:dyDescent="0.3">
      <c r="A75" s="76">
        <v>3.21</v>
      </c>
      <c r="B75" s="78" t="s">
        <v>108</v>
      </c>
      <c r="C75" s="78"/>
      <c r="D75" s="78"/>
    </row>
    <row r="76" spans="1:4" s="2" customFormat="1" ht="35.25" customHeight="1" x14ac:dyDescent="0.3">
      <c r="A76" s="76"/>
      <c r="B76" s="77" t="s">
        <v>153</v>
      </c>
      <c r="C76" s="77"/>
      <c r="D76" s="77"/>
    </row>
    <row r="77" spans="1:4" s="2" customFormat="1" ht="15" customHeight="1" x14ac:dyDescent="0.3">
      <c r="A77" s="19">
        <v>4</v>
      </c>
      <c r="B77" s="73" t="s">
        <v>110</v>
      </c>
      <c r="C77" s="73"/>
      <c r="D77" s="73"/>
    </row>
    <row r="78" spans="1:4" s="2" customFormat="1" ht="31.5" customHeight="1" x14ac:dyDescent="0.3">
      <c r="A78" s="44">
        <v>4.0999999999999996</v>
      </c>
      <c r="B78" s="43" t="s">
        <v>111</v>
      </c>
      <c r="C78" s="45" t="s">
        <v>62</v>
      </c>
      <c r="D78" s="11" t="s">
        <v>154</v>
      </c>
    </row>
    <row r="79" spans="1:4" s="2" customFormat="1" ht="39" customHeight="1" x14ac:dyDescent="0.3">
      <c r="A79" s="36" t="s">
        <v>40</v>
      </c>
      <c r="B79" s="37" t="s">
        <v>64</v>
      </c>
      <c r="C79" s="46" t="s">
        <v>62</v>
      </c>
      <c r="D79" s="43">
        <f>D15</f>
        <v>50</v>
      </c>
    </row>
    <row r="80" spans="1:4" s="2" customFormat="1" ht="19.8" customHeight="1" x14ac:dyDescent="0.3">
      <c r="A80" s="36" t="s">
        <v>95</v>
      </c>
      <c r="B80" s="37" t="s">
        <v>113</v>
      </c>
      <c r="C80" s="46" t="s">
        <v>62</v>
      </c>
      <c r="D80" s="20">
        <v>0.25</v>
      </c>
    </row>
    <row r="81" spans="1:4" s="2" customFormat="1" ht="19.8" customHeight="1" x14ac:dyDescent="0.3">
      <c r="A81" s="36" t="s">
        <v>97</v>
      </c>
      <c r="B81" s="37" t="s">
        <v>114</v>
      </c>
      <c r="C81" s="46" t="s">
        <v>62</v>
      </c>
      <c r="D81" s="20">
        <v>0.90400000000000003</v>
      </c>
    </row>
    <row r="82" spans="1:4" s="2" customFormat="1" ht="19.8" customHeight="1" x14ac:dyDescent="0.3">
      <c r="A82" s="36"/>
      <c r="B82" s="37" t="s">
        <v>115</v>
      </c>
      <c r="C82" s="46" t="s">
        <v>62</v>
      </c>
      <c r="D82" s="20" t="s">
        <v>116</v>
      </c>
    </row>
    <row r="83" spans="1:4" s="2" customFormat="1" ht="19.8" customHeight="1" x14ac:dyDescent="0.3">
      <c r="A83" s="36"/>
      <c r="B83" s="37" t="s">
        <v>117</v>
      </c>
      <c r="C83" s="46" t="s">
        <v>62</v>
      </c>
      <c r="D83" s="50">
        <f>(0.9*16*D79*1000*D79*1000*IMPOWER(10,-4)/250)</f>
        <v>14400</v>
      </c>
    </row>
    <row r="84" spans="1:4" s="2" customFormat="1" ht="19.8" customHeight="1" x14ac:dyDescent="0.3">
      <c r="A84" s="36"/>
      <c r="B84" s="37" t="s">
        <v>118</v>
      </c>
      <c r="C84" s="46" t="s">
        <v>62</v>
      </c>
      <c r="D84" s="50">
        <f>D83*0.1019716</f>
        <v>1468.39104</v>
      </c>
    </row>
    <row r="85" spans="1:4" s="2" customFormat="1" ht="15" customHeight="1" x14ac:dyDescent="0.3">
      <c r="A85" s="36">
        <v>4.12</v>
      </c>
      <c r="B85" s="43" t="s">
        <v>119</v>
      </c>
      <c r="C85" s="45" t="s">
        <v>62</v>
      </c>
      <c r="D85" s="37" t="s">
        <v>120</v>
      </c>
    </row>
    <row r="86" spans="1:4" s="2" customFormat="1" ht="30.75" customHeight="1" x14ac:dyDescent="0.3">
      <c r="A86" s="45" t="s">
        <v>40</v>
      </c>
      <c r="B86" s="47" t="s">
        <v>121</v>
      </c>
      <c r="C86" s="45" t="s">
        <v>62</v>
      </c>
      <c r="D86" s="11">
        <v>38</v>
      </c>
    </row>
    <row r="87" spans="1:4" s="2" customFormat="1" ht="31.5" customHeight="1" x14ac:dyDescent="0.3">
      <c r="A87" s="45" t="s">
        <v>95</v>
      </c>
      <c r="B87" s="43" t="s">
        <v>122</v>
      </c>
      <c r="C87" s="45" t="s">
        <v>62</v>
      </c>
      <c r="D87" s="11">
        <v>75</v>
      </c>
    </row>
    <row r="88" spans="1:4" s="2" customFormat="1" ht="16.8" customHeight="1" x14ac:dyDescent="0.3">
      <c r="A88" s="45"/>
      <c r="B88" s="47" t="s">
        <v>123</v>
      </c>
      <c r="C88" s="45" t="s">
        <v>62</v>
      </c>
      <c r="D88" s="43">
        <f>D84*(D86+D87)/(4*D86)</f>
        <v>1091.6328126315791</v>
      </c>
    </row>
    <row r="89" spans="1:4" s="2" customFormat="1" ht="33.75" customHeight="1" x14ac:dyDescent="0.3">
      <c r="A89" s="45">
        <v>4.13</v>
      </c>
      <c r="B89" s="43" t="s">
        <v>124</v>
      </c>
      <c r="C89" s="45" t="s">
        <v>62</v>
      </c>
      <c r="D89" s="43" t="s">
        <v>125</v>
      </c>
    </row>
    <row r="90" spans="1:4" s="2" customFormat="1" ht="19.5" customHeight="1" x14ac:dyDescent="0.3">
      <c r="A90" s="45"/>
      <c r="B90" s="43"/>
      <c r="C90" s="36" t="s">
        <v>62</v>
      </c>
      <c r="D90" s="43" t="s">
        <v>126</v>
      </c>
    </row>
    <row r="91" spans="1:4" s="2" customFormat="1" ht="19.2" customHeight="1" x14ac:dyDescent="0.3">
      <c r="A91" s="45" t="s">
        <v>40</v>
      </c>
      <c r="B91" s="47" t="s">
        <v>127</v>
      </c>
      <c r="C91" s="45" t="s">
        <v>62</v>
      </c>
      <c r="D91" s="11">
        <v>1600</v>
      </c>
    </row>
    <row r="92" spans="1:4" s="2" customFormat="1" ht="19.2" customHeight="1" x14ac:dyDescent="0.3">
      <c r="A92" s="48" t="s">
        <v>95</v>
      </c>
      <c r="B92" s="47" t="s">
        <v>128</v>
      </c>
      <c r="C92" s="45" t="s">
        <v>62</v>
      </c>
      <c r="D92" s="11">
        <v>2.5</v>
      </c>
    </row>
    <row r="93" spans="1:4" s="2" customFormat="1" ht="19.5" customHeight="1" x14ac:dyDescent="0.3">
      <c r="A93" s="49"/>
      <c r="B93" s="50" t="s">
        <v>129</v>
      </c>
      <c r="C93" s="38" t="s">
        <v>62</v>
      </c>
      <c r="D93" s="21">
        <f>(D91*1000)/(D92*D88)</f>
        <v>586.27772323659246</v>
      </c>
    </row>
    <row r="94" spans="1:4" s="2" customFormat="1" ht="21" customHeight="1" x14ac:dyDescent="0.3">
      <c r="A94" s="22"/>
      <c r="B94" s="23" t="s">
        <v>130</v>
      </c>
      <c r="C94" s="24"/>
      <c r="D94" s="25" t="str">
        <f>IF(500&lt;D93,"OK","CHECK")</f>
        <v>OK</v>
      </c>
    </row>
    <row r="95" spans="1:4" s="2" customFormat="1" ht="17.25" customHeight="1" x14ac:dyDescent="0.3">
      <c r="A95" s="76">
        <v>4.4000000000000004</v>
      </c>
      <c r="B95" s="78" t="s">
        <v>131</v>
      </c>
      <c r="C95" s="78"/>
      <c r="D95" s="78"/>
    </row>
    <row r="96" spans="1:4" s="2" customFormat="1" ht="37.5" customHeight="1" x14ac:dyDescent="0.3">
      <c r="A96" s="76"/>
      <c r="B96" s="77" t="s">
        <v>132</v>
      </c>
      <c r="C96" s="77"/>
      <c r="D96" s="77"/>
    </row>
    <row r="97" spans="1:4" s="2" customFormat="1" ht="21" customHeight="1" x14ac:dyDescent="0.3">
      <c r="A97" s="19">
        <v>5</v>
      </c>
      <c r="B97" s="71" t="s">
        <v>133</v>
      </c>
      <c r="C97" s="71"/>
      <c r="D97" s="71"/>
    </row>
    <row r="98" spans="1:4" s="2" customFormat="1" ht="39.75" customHeight="1" x14ac:dyDescent="0.3">
      <c r="A98" s="36">
        <v>5.0999999999999996</v>
      </c>
      <c r="B98" s="37" t="s">
        <v>134</v>
      </c>
      <c r="C98" s="38" t="s">
        <v>62</v>
      </c>
      <c r="D98" s="43">
        <f>D73</f>
        <v>903.77774999999997</v>
      </c>
    </row>
    <row r="99" spans="1:4" s="2" customFormat="1" ht="40.5" customHeight="1" x14ac:dyDescent="0.3">
      <c r="A99" s="36">
        <v>5.2</v>
      </c>
      <c r="B99" s="37" t="s">
        <v>135</v>
      </c>
      <c r="C99" s="38" t="s">
        <v>62</v>
      </c>
      <c r="D99" s="43">
        <f>D14</f>
        <v>630</v>
      </c>
    </row>
    <row r="100" spans="1:4" s="2" customFormat="1" ht="22.05" customHeight="1" x14ac:dyDescent="0.3">
      <c r="A100" s="36">
        <v>5.3</v>
      </c>
      <c r="B100" s="37" t="s">
        <v>136</v>
      </c>
      <c r="C100" s="38" t="s">
        <v>62</v>
      </c>
      <c r="D100" s="43">
        <f>D17-D16</f>
        <v>35</v>
      </c>
    </row>
    <row r="101" spans="1:4" s="2" customFormat="1" ht="20.399999999999999" customHeight="1" x14ac:dyDescent="0.3">
      <c r="A101" s="36">
        <v>5.4</v>
      </c>
      <c r="B101" s="37" t="s">
        <v>137</v>
      </c>
      <c r="C101" s="38" t="s">
        <v>62</v>
      </c>
      <c r="D101" s="37" t="s">
        <v>138</v>
      </c>
    </row>
    <row r="102" spans="1:4" s="2" customFormat="1" ht="22.95" customHeight="1" x14ac:dyDescent="0.3">
      <c r="A102" s="39"/>
      <c r="B102" s="40" t="s">
        <v>139</v>
      </c>
      <c r="C102" s="38" t="s">
        <v>62</v>
      </c>
      <c r="D102" s="37" t="s">
        <v>140</v>
      </c>
    </row>
    <row r="103" spans="1:4" s="2" customFormat="1" ht="21.6" customHeight="1" x14ac:dyDescent="0.3">
      <c r="A103" s="39"/>
      <c r="B103" s="41"/>
      <c r="C103" s="42" t="s">
        <v>62</v>
      </c>
      <c r="D103" s="27">
        <f>D100/IMPOWER((D98/D99),1.64)</f>
        <v>19.36624613419372</v>
      </c>
    </row>
    <row r="104" spans="1:4" s="2" customFormat="1" ht="21.6" customHeight="1" x14ac:dyDescent="0.3">
      <c r="A104" s="28"/>
      <c r="B104" s="29" t="s">
        <v>141</v>
      </c>
      <c r="C104" s="30" t="s">
        <v>62</v>
      </c>
      <c r="D104" s="31" t="str">
        <f>IF(D103&lt;D16,"OK","CHECK")</f>
        <v>OK</v>
      </c>
    </row>
    <row r="105" spans="1:4" customFormat="1" ht="20.399999999999999" customHeight="1" x14ac:dyDescent="0.3">
      <c r="A105" s="76">
        <v>5.5</v>
      </c>
      <c r="B105" s="79" t="s">
        <v>108</v>
      </c>
      <c r="C105" s="79"/>
      <c r="D105" s="79"/>
    </row>
    <row r="106" spans="1:4" customFormat="1" ht="33.6" customHeight="1" x14ac:dyDescent="0.3">
      <c r="A106" s="76"/>
      <c r="B106" s="80" t="s">
        <v>155</v>
      </c>
      <c r="C106" s="80"/>
      <c r="D106" s="80"/>
    </row>
    <row r="107" spans="1:4" customFormat="1" ht="33.6" customHeight="1" x14ac:dyDescent="0.3">
      <c r="A107" s="32"/>
      <c r="B107" s="33"/>
      <c r="C107" s="33"/>
      <c r="D107" s="33"/>
    </row>
    <row r="108" spans="1:4" customFormat="1" ht="33.6" customHeight="1" x14ac:dyDescent="0.3">
      <c r="A108" s="32"/>
      <c r="B108" s="33"/>
      <c r="C108" s="33"/>
      <c r="D108" s="33"/>
    </row>
    <row r="109" spans="1:4" customFormat="1" ht="33.6" customHeight="1" x14ac:dyDescent="0.3">
      <c r="A109" s="32"/>
      <c r="B109" s="33"/>
      <c r="C109" s="33"/>
      <c r="D109" s="33"/>
    </row>
    <row r="110" spans="1:4" customFormat="1" ht="33.6" customHeight="1" x14ac:dyDescent="0.3">
      <c r="A110" s="32"/>
      <c r="B110" s="33"/>
      <c r="C110" s="33"/>
      <c r="D110" s="33"/>
    </row>
    <row r="111" spans="1:4" customFormat="1" ht="33.6" customHeight="1" x14ac:dyDescent="0.3">
      <c r="A111" s="32"/>
      <c r="B111" s="33"/>
      <c r="C111" s="33"/>
      <c r="D111" s="33"/>
    </row>
    <row r="112" spans="1:4" customFormat="1" x14ac:dyDescent="0.3">
      <c r="A112" s="34"/>
      <c r="B112" s="1"/>
      <c r="C112" s="35"/>
      <c r="D112" s="1"/>
    </row>
  </sheetData>
  <mergeCells count="32">
    <mergeCell ref="A95:A96"/>
    <mergeCell ref="B95:D95"/>
    <mergeCell ref="B96:D96"/>
    <mergeCell ref="B97:D97"/>
    <mergeCell ref="A105:A106"/>
    <mergeCell ref="B105:D105"/>
    <mergeCell ref="B106:D106"/>
    <mergeCell ref="B77:D77"/>
    <mergeCell ref="B41:D41"/>
    <mergeCell ref="B42:D42"/>
    <mergeCell ref="A52:A53"/>
    <mergeCell ref="B52:D52"/>
    <mergeCell ref="B53:D53"/>
    <mergeCell ref="B54:D54"/>
    <mergeCell ref="A56:A58"/>
    <mergeCell ref="B65:D65"/>
    <mergeCell ref="A75:A76"/>
    <mergeCell ref="B75:D75"/>
    <mergeCell ref="B76:D76"/>
    <mergeCell ref="A37:A38"/>
    <mergeCell ref="B37:B38"/>
    <mergeCell ref="A1:A3"/>
    <mergeCell ref="B1:D3"/>
    <mergeCell ref="B4:C4"/>
    <mergeCell ref="B5:C5"/>
    <mergeCell ref="B6:C6"/>
    <mergeCell ref="B7:C7"/>
    <mergeCell ref="B8:C8"/>
    <mergeCell ref="B9:D9"/>
    <mergeCell ref="A20:A25"/>
    <mergeCell ref="B31:D31"/>
    <mergeCell ref="B34:D34"/>
  </mergeCells>
  <hyperlinks>
    <hyperlink ref="D7" r:id="rId1" xr:uid="{0AB10E35-F2F0-4B0B-919B-3694D4070B19}"/>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6648-4F82-4108-A5B8-D8DDCECF356F}">
  <dimension ref="A1:AMJ112"/>
  <sheetViews>
    <sheetView zoomScaleNormal="100" workbookViewId="0">
      <selection activeCell="H8" sqref="H8"/>
    </sheetView>
  </sheetViews>
  <sheetFormatPr defaultRowHeight="14.4" x14ac:dyDescent="0.3"/>
  <cols>
    <col min="1" max="1" width="14.88671875" style="34" customWidth="1"/>
    <col min="2" max="2" width="47.88671875" style="1" customWidth="1"/>
    <col min="3" max="3" width="6" style="35" customWidth="1"/>
    <col min="4" max="4" width="46.33203125" style="1" customWidth="1"/>
    <col min="5" max="1024" width="9" style="1" customWidth="1"/>
  </cols>
  <sheetData>
    <row r="1" spans="1:4" customFormat="1" ht="18.75" customHeight="1" x14ac:dyDescent="0.3">
      <c r="A1" s="68"/>
      <c r="B1" s="69" t="s">
        <v>156</v>
      </c>
      <c r="C1" s="69"/>
      <c r="D1" s="69"/>
    </row>
    <row r="2" spans="1:4" customFormat="1" ht="18.75" customHeight="1" x14ac:dyDescent="0.3">
      <c r="A2" s="68"/>
      <c r="B2" s="69"/>
      <c r="C2" s="69"/>
      <c r="D2" s="69"/>
    </row>
    <row r="3" spans="1:4" customFormat="1" ht="17.25" customHeight="1" x14ac:dyDescent="0.3">
      <c r="A3" s="68"/>
      <c r="B3" s="69"/>
      <c r="C3" s="69"/>
      <c r="D3" s="69"/>
    </row>
    <row r="4" spans="1:4" customFormat="1" ht="17.25" customHeight="1" x14ac:dyDescent="0.3">
      <c r="A4" s="3" t="s">
        <v>1</v>
      </c>
      <c r="B4" s="70" t="s">
        <v>2</v>
      </c>
      <c r="C4" s="70"/>
      <c r="D4" s="4" t="s">
        <v>144</v>
      </c>
    </row>
    <row r="5" spans="1:4" customFormat="1" ht="17.25" customHeight="1" x14ac:dyDescent="0.3">
      <c r="A5" s="3" t="s">
        <v>4</v>
      </c>
      <c r="B5" s="70"/>
      <c r="C5" s="70"/>
      <c r="D5" s="5" t="s">
        <v>5</v>
      </c>
    </row>
    <row r="6" spans="1:4" customFormat="1" ht="17.25" customHeight="1" x14ac:dyDescent="0.3">
      <c r="A6" s="3" t="s">
        <v>6</v>
      </c>
      <c r="B6" s="70"/>
      <c r="C6" s="70"/>
      <c r="D6" s="4" t="s">
        <v>7</v>
      </c>
    </row>
    <row r="7" spans="1:4" customFormat="1" ht="30" customHeight="1" x14ac:dyDescent="0.3">
      <c r="A7" s="6" t="s">
        <v>8</v>
      </c>
      <c r="B7" s="70"/>
      <c r="C7" s="70"/>
      <c r="D7" s="65" t="s">
        <v>166</v>
      </c>
    </row>
    <row r="8" spans="1:4" customFormat="1" ht="18.75" customHeight="1" x14ac:dyDescent="0.3">
      <c r="A8" s="7" t="s">
        <v>9</v>
      </c>
      <c r="B8" s="70"/>
      <c r="C8" s="70"/>
      <c r="D8" s="5" t="s">
        <v>165</v>
      </c>
    </row>
    <row r="9" spans="1:4" s="2" customFormat="1" ht="20.25" customHeight="1" x14ac:dyDescent="0.3">
      <c r="A9" s="8">
        <v>1</v>
      </c>
      <c r="B9" s="71" t="s">
        <v>10</v>
      </c>
      <c r="C9" s="71"/>
      <c r="D9" s="71"/>
    </row>
    <row r="10" spans="1:4" s="2" customFormat="1" ht="21" customHeight="1" x14ac:dyDescent="0.3">
      <c r="A10" s="61">
        <v>1.1000000000000001</v>
      </c>
      <c r="B10" s="63" t="s">
        <v>11</v>
      </c>
      <c r="C10" s="64" t="s">
        <v>12</v>
      </c>
      <c r="D10" s="9" t="s">
        <v>13</v>
      </c>
    </row>
    <row r="11" spans="1:4" s="2" customFormat="1" ht="24" customHeight="1" x14ac:dyDescent="0.3">
      <c r="A11" s="36">
        <v>1.2</v>
      </c>
      <c r="B11" s="37" t="s">
        <v>14</v>
      </c>
      <c r="C11" s="45" t="s">
        <v>12</v>
      </c>
      <c r="D11" s="10" t="s">
        <v>15</v>
      </c>
    </row>
    <row r="12" spans="1:4" s="2" customFormat="1" ht="21" customHeight="1" x14ac:dyDescent="0.3">
      <c r="A12" s="36">
        <v>1.3</v>
      </c>
      <c r="B12" s="37" t="s">
        <v>16</v>
      </c>
      <c r="C12" s="45" t="s">
        <v>12</v>
      </c>
      <c r="D12" s="10" t="s">
        <v>17</v>
      </c>
    </row>
    <row r="13" spans="1:4" s="2" customFormat="1" ht="18" customHeight="1" x14ac:dyDescent="0.3">
      <c r="A13" s="36">
        <v>1.4</v>
      </c>
      <c r="B13" s="37" t="s">
        <v>18</v>
      </c>
      <c r="C13" s="45" t="s">
        <v>12</v>
      </c>
      <c r="D13" s="10" t="s">
        <v>19</v>
      </c>
    </row>
    <row r="14" spans="1:4" s="2" customFormat="1" ht="39.75" customHeight="1" x14ac:dyDescent="0.3">
      <c r="A14" s="36">
        <v>1.5</v>
      </c>
      <c r="B14" s="37" t="s">
        <v>20</v>
      </c>
      <c r="C14" s="45" t="s">
        <v>12</v>
      </c>
      <c r="D14" s="11">
        <v>800</v>
      </c>
    </row>
    <row r="15" spans="1:4" s="2" customFormat="1" ht="38.25" customHeight="1" x14ac:dyDescent="0.3">
      <c r="A15" s="36">
        <v>1.6</v>
      </c>
      <c r="B15" s="37" t="s">
        <v>21</v>
      </c>
      <c r="C15" s="45" t="s">
        <v>12</v>
      </c>
      <c r="D15" s="11">
        <v>50</v>
      </c>
    </row>
    <row r="16" spans="1:4" s="2" customFormat="1" ht="24" customHeight="1" x14ac:dyDescent="0.3">
      <c r="A16" s="36">
        <v>1.7</v>
      </c>
      <c r="B16" s="37" t="s">
        <v>22</v>
      </c>
      <c r="C16" s="45" t="s">
        <v>12</v>
      </c>
      <c r="D16" s="11">
        <v>50</v>
      </c>
    </row>
    <row r="17" spans="1:4" s="2" customFormat="1" ht="18.75" customHeight="1" x14ac:dyDescent="0.3">
      <c r="A17" s="36">
        <v>1.8</v>
      </c>
      <c r="B17" s="37" t="s">
        <v>23</v>
      </c>
      <c r="C17" s="45" t="s">
        <v>12</v>
      </c>
      <c r="D17" s="11">
        <v>85</v>
      </c>
    </row>
    <row r="18" spans="1:4" s="2" customFormat="1" ht="21.75" customHeight="1" x14ac:dyDescent="0.3">
      <c r="A18" s="36">
        <v>1.9</v>
      </c>
      <c r="B18" s="37" t="s">
        <v>24</v>
      </c>
      <c r="C18" s="45" t="s">
        <v>12</v>
      </c>
      <c r="D18" s="11">
        <v>70</v>
      </c>
    </row>
    <row r="19" spans="1:4" s="2" customFormat="1" ht="24" customHeight="1" x14ac:dyDescent="0.3">
      <c r="A19" s="44">
        <v>1.1000000000000001</v>
      </c>
      <c r="B19" s="37" t="s">
        <v>25</v>
      </c>
      <c r="C19" s="45" t="s">
        <v>12</v>
      </c>
      <c r="D19" s="10" t="s">
        <v>26</v>
      </c>
    </row>
    <row r="20" spans="1:4" s="2" customFormat="1" ht="15" customHeight="1" x14ac:dyDescent="0.3">
      <c r="A20" s="72">
        <v>1.1100000000000001</v>
      </c>
      <c r="B20" s="53" t="s">
        <v>27</v>
      </c>
      <c r="C20" s="45" t="s">
        <v>12</v>
      </c>
      <c r="D20" s="10" t="s">
        <v>157</v>
      </c>
    </row>
    <row r="21" spans="1:4" s="2" customFormat="1" ht="15" customHeight="1" x14ac:dyDescent="0.3">
      <c r="A21" s="72"/>
      <c r="B21" s="53" t="s">
        <v>29</v>
      </c>
      <c r="C21" s="45" t="s">
        <v>12</v>
      </c>
      <c r="D21" s="10" t="s">
        <v>158</v>
      </c>
    </row>
    <row r="22" spans="1:4" s="2" customFormat="1" ht="18" customHeight="1" x14ac:dyDescent="0.3">
      <c r="A22" s="72"/>
      <c r="B22" s="37" t="s">
        <v>31</v>
      </c>
      <c r="C22" s="56" t="s">
        <v>12</v>
      </c>
      <c r="D22" s="12">
        <v>1</v>
      </c>
    </row>
    <row r="23" spans="1:4" s="2" customFormat="1" ht="21" customHeight="1" x14ac:dyDescent="0.3">
      <c r="A23" s="72"/>
      <c r="B23" s="37" t="s">
        <v>32</v>
      </c>
      <c r="C23" s="56" t="s">
        <v>12</v>
      </c>
      <c r="D23" s="12">
        <v>1</v>
      </c>
    </row>
    <row r="24" spans="1:4" s="2" customFormat="1" ht="18" customHeight="1" x14ac:dyDescent="0.3">
      <c r="A24" s="72"/>
      <c r="B24" s="37" t="s">
        <v>33</v>
      </c>
      <c r="C24" s="56" t="s">
        <v>12</v>
      </c>
      <c r="D24" s="11">
        <v>100</v>
      </c>
    </row>
    <row r="25" spans="1:4" s="2" customFormat="1" ht="16.5" customHeight="1" x14ac:dyDescent="0.3">
      <c r="A25" s="72"/>
      <c r="B25" s="63" t="s">
        <v>34</v>
      </c>
      <c r="C25" s="56" t="s">
        <v>12</v>
      </c>
      <c r="D25" s="11">
        <v>10</v>
      </c>
    </row>
    <row r="26" spans="1:4" s="2" customFormat="1" ht="17.25" customHeight="1" x14ac:dyDescent="0.3">
      <c r="A26" s="61">
        <v>1.1200000000000001</v>
      </c>
      <c r="B26" s="63" t="s">
        <v>35</v>
      </c>
      <c r="C26" s="56"/>
      <c r="D26" s="11">
        <f>100*6</f>
        <v>600</v>
      </c>
    </row>
    <row r="27" spans="1:4" s="2" customFormat="1" ht="24" customHeight="1" x14ac:dyDescent="0.3">
      <c r="A27" s="36">
        <v>1.1299999999999999</v>
      </c>
      <c r="B27" s="37" t="s">
        <v>36</v>
      </c>
      <c r="C27" s="56" t="s">
        <v>12</v>
      </c>
      <c r="D27" s="13">
        <f>D23*D22*D24*D25</f>
        <v>1000</v>
      </c>
    </row>
    <row r="28" spans="1:4" s="2" customFormat="1" ht="23.25" customHeight="1" x14ac:dyDescent="0.3">
      <c r="A28" s="61">
        <v>1.1399999999999999</v>
      </c>
      <c r="B28" s="37" t="s">
        <v>37</v>
      </c>
      <c r="C28" s="45" t="s">
        <v>12</v>
      </c>
      <c r="D28" s="10" t="s">
        <v>38</v>
      </c>
    </row>
    <row r="29" spans="1:4" s="2" customFormat="1" ht="21" customHeight="1" x14ac:dyDescent="0.3">
      <c r="A29" s="36">
        <v>1.1499999999999999</v>
      </c>
      <c r="B29" s="37" t="s">
        <v>39</v>
      </c>
      <c r="C29" s="59"/>
      <c r="D29" s="10"/>
    </row>
    <row r="30" spans="1:4" s="2" customFormat="1" ht="26.25" customHeight="1" x14ac:dyDescent="0.3">
      <c r="A30" s="36" t="s">
        <v>40</v>
      </c>
      <c r="B30" s="43" t="s">
        <v>41</v>
      </c>
      <c r="C30" s="45" t="s">
        <v>12</v>
      </c>
      <c r="D30" s="10" t="s">
        <v>42</v>
      </c>
    </row>
    <row r="31" spans="1:4" s="2" customFormat="1" ht="23.25" customHeight="1" x14ac:dyDescent="0.3">
      <c r="A31" s="36">
        <v>1.1599999999999999</v>
      </c>
      <c r="B31" s="67" t="s">
        <v>43</v>
      </c>
      <c r="C31" s="67"/>
      <c r="D31" s="67"/>
    </row>
    <row r="32" spans="1:4" s="2" customFormat="1" ht="23.25" customHeight="1" x14ac:dyDescent="0.3">
      <c r="A32" s="36"/>
      <c r="B32" s="43" t="s">
        <v>44</v>
      </c>
      <c r="C32" s="45" t="s">
        <v>12</v>
      </c>
      <c r="D32" s="10" t="s">
        <v>45</v>
      </c>
    </row>
    <row r="33" spans="1:4" s="2" customFormat="1" ht="21.75" customHeight="1" x14ac:dyDescent="0.3">
      <c r="A33" s="36"/>
      <c r="B33" s="43" t="s">
        <v>46</v>
      </c>
      <c r="C33" s="45" t="s">
        <v>12</v>
      </c>
      <c r="D33" s="10" t="s">
        <v>47</v>
      </c>
    </row>
    <row r="34" spans="1:4" s="2" customFormat="1" ht="18" customHeight="1" x14ac:dyDescent="0.3">
      <c r="A34" s="52">
        <v>1.17</v>
      </c>
      <c r="B34" s="67" t="s">
        <v>48</v>
      </c>
      <c r="C34" s="67"/>
      <c r="D34" s="67"/>
    </row>
    <row r="35" spans="1:4" s="2" customFormat="1" ht="18" customHeight="1" x14ac:dyDescent="0.3">
      <c r="A35" s="60"/>
      <c r="B35" s="43" t="s">
        <v>49</v>
      </c>
      <c r="C35" s="45" t="s">
        <v>12</v>
      </c>
      <c r="D35" s="10" t="s">
        <v>50</v>
      </c>
    </row>
    <row r="36" spans="1:4" s="2" customFormat="1" ht="20.25" customHeight="1" x14ac:dyDescent="0.3">
      <c r="A36" s="61"/>
      <c r="B36" s="43" t="s">
        <v>51</v>
      </c>
      <c r="C36" s="45" t="s">
        <v>12</v>
      </c>
      <c r="D36" s="10" t="s">
        <v>52</v>
      </c>
    </row>
    <row r="37" spans="1:4" s="2" customFormat="1" ht="21" customHeight="1" x14ac:dyDescent="0.3">
      <c r="A37" s="66">
        <v>1.18</v>
      </c>
      <c r="B37" s="67" t="s">
        <v>53</v>
      </c>
      <c r="C37" s="45" t="s">
        <v>12</v>
      </c>
      <c r="D37" s="10" t="s">
        <v>54</v>
      </c>
    </row>
    <row r="38" spans="1:4" s="2" customFormat="1" ht="21" customHeight="1" x14ac:dyDescent="0.3">
      <c r="A38" s="66"/>
      <c r="B38" s="67"/>
      <c r="C38" s="45" t="s">
        <v>12</v>
      </c>
      <c r="D38" s="10" t="s">
        <v>55</v>
      </c>
    </row>
    <row r="39" spans="1:4" s="2" customFormat="1" ht="21.75" customHeight="1" x14ac:dyDescent="0.3">
      <c r="A39" s="36">
        <v>1.19</v>
      </c>
      <c r="B39" s="37" t="s">
        <v>25</v>
      </c>
      <c r="C39" s="45" t="s">
        <v>12</v>
      </c>
      <c r="D39" s="10" t="s">
        <v>56</v>
      </c>
    </row>
    <row r="40" spans="1:4" s="2" customFormat="1" ht="24" customHeight="1" x14ac:dyDescent="0.3">
      <c r="A40" s="62">
        <v>1.2</v>
      </c>
      <c r="B40" s="37" t="s">
        <v>57</v>
      </c>
      <c r="C40" s="45" t="s">
        <v>12</v>
      </c>
      <c r="D40" s="37" t="s">
        <v>58</v>
      </c>
    </row>
    <row r="41" spans="1:4" s="2" customFormat="1" ht="21" customHeight="1" x14ac:dyDescent="0.3">
      <c r="A41" s="14">
        <v>2</v>
      </c>
      <c r="B41" s="74" t="s">
        <v>59</v>
      </c>
      <c r="C41" s="74"/>
      <c r="D41" s="74"/>
    </row>
    <row r="42" spans="1:4" s="2" customFormat="1" ht="24" customHeight="1" x14ac:dyDescent="0.3">
      <c r="A42" s="36">
        <v>2.1</v>
      </c>
      <c r="B42" s="75" t="s">
        <v>60</v>
      </c>
      <c r="C42" s="75"/>
      <c r="D42" s="75"/>
    </row>
    <row r="43" spans="1:4" s="2" customFormat="1" ht="93.6" x14ac:dyDescent="0.3">
      <c r="A43" s="36"/>
      <c r="B43" s="37" t="s">
        <v>61</v>
      </c>
      <c r="C43" s="45" t="s">
        <v>62</v>
      </c>
      <c r="D43" s="37" t="s">
        <v>148</v>
      </c>
    </row>
    <row r="44" spans="1:4" s="2" customFormat="1" ht="37.5" customHeight="1" x14ac:dyDescent="0.3">
      <c r="A44" s="59"/>
      <c r="B44" s="47" t="s">
        <v>64</v>
      </c>
      <c r="C44" s="45" t="s">
        <v>62</v>
      </c>
      <c r="D44" s="43">
        <v>50</v>
      </c>
    </row>
    <row r="45" spans="1:4" s="2" customFormat="1" ht="15.75" customHeight="1" x14ac:dyDescent="0.3">
      <c r="A45" s="59"/>
      <c r="B45" s="47" t="s">
        <v>65</v>
      </c>
      <c r="C45" s="45" t="s">
        <v>62</v>
      </c>
      <c r="D45" s="11">
        <v>1</v>
      </c>
    </row>
    <row r="46" spans="1:4" s="2" customFormat="1" ht="21.75" customHeight="1" x14ac:dyDescent="0.3">
      <c r="A46" s="59"/>
      <c r="B46" s="47" t="s">
        <v>66</v>
      </c>
      <c r="C46" s="45" t="s">
        <v>62</v>
      </c>
      <c r="D46" s="43">
        <f>D17</f>
        <v>85</v>
      </c>
    </row>
    <row r="47" spans="1:4" s="2" customFormat="1" ht="21" customHeight="1" x14ac:dyDescent="0.3">
      <c r="A47" s="59"/>
      <c r="B47" s="47" t="s">
        <v>67</v>
      </c>
      <c r="C47" s="45" t="s">
        <v>62</v>
      </c>
      <c r="D47" s="11">
        <v>200</v>
      </c>
    </row>
    <row r="48" spans="1:4" s="2" customFormat="1" ht="23.25" customHeight="1" x14ac:dyDescent="0.3">
      <c r="A48" s="37"/>
      <c r="B48" s="37" t="s">
        <v>68</v>
      </c>
      <c r="C48" s="45" t="s">
        <v>62</v>
      </c>
      <c r="D48" s="43">
        <f>(D44*1000/SQRT(D45))/(14*IMPOWER(10,4)*SQRT(LOG10((D46+258)/(D47+258))*-1))</f>
        <v>1.0078517940743343</v>
      </c>
    </row>
    <row r="49" spans="1:4" s="2" customFormat="1" ht="21" customHeight="1" x14ac:dyDescent="0.3">
      <c r="A49" s="37"/>
      <c r="B49" s="37" t="s">
        <v>69</v>
      </c>
      <c r="C49" s="45"/>
      <c r="D49" s="50">
        <f>D48*645.16</f>
        <v>650.22566346499752</v>
      </c>
    </row>
    <row r="50" spans="1:4" s="2" customFormat="1" ht="29.25" customHeight="1" x14ac:dyDescent="0.3">
      <c r="A50" s="36">
        <v>2.2000000000000002</v>
      </c>
      <c r="B50" s="37" t="s">
        <v>70</v>
      </c>
      <c r="C50" s="45"/>
      <c r="D50" s="15" t="s">
        <v>71</v>
      </c>
    </row>
    <row r="51" spans="1:4" s="2" customFormat="1" ht="33" customHeight="1" x14ac:dyDescent="0.3">
      <c r="A51" s="52">
        <v>2.2000000000000002</v>
      </c>
      <c r="B51" s="53" t="s">
        <v>72</v>
      </c>
      <c r="C51" s="56" t="s">
        <v>62</v>
      </c>
      <c r="D51" s="16">
        <f>D27</f>
        <v>1000</v>
      </c>
    </row>
    <row r="52" spans="1:4" s="2" customFormat="1" ht="22.5" customHeight="1" x14ac:dyDescent="0.3">
      <c r="A52" s="76">
        <v>2.2999999999999998</v>
      </c>
      <c r="B52" s="77" t="s">
        <v>73</v>
      </c>
      <c r="C52" s="77"/>
      <c r="D52" s="77"/>
    </row>
    <row r="53" spans="1:4" s="2" customFormat="1" ht="36" customHeight="1" x14ac:dyDescent="0.3">
      <c r="A53" s="76"/>
      <c r="B53" s="77" t="s">
        <v>159</v>
      </c>
      <c r="C53" s="77"/>
      <c r="D53" s="77"/>
    </row>
    <row r="54" spans="1:4" s="2" customFormat="1" ht="21.75" customHeight="1" x14ac:dyDescent="0.3">
      <c r="A54" s="17">
        <v>3</v>
      </c>
      <c r="B54" s="73" t="s">
        <v>75</v>
      </c>
      <c r="C54" s="73"/>
      <c r="D54" s="73"/>
    </row>
    <row r="55" spans="1:4" s="2" customFormat="1" ht="21.75" customHeight="1" x14ac:dyDescent="0.3">
      <c r="A55" s="44">
        <v>3.1</v>
      </c>
      <c r="B55" s="37" t="s">
        <v>76</v>
      </c>
      <c r="C55" s="45" t="s">
        <v>12</v>
      </c>
      <c r="D55" s="37" t="s">
        <v>77</v>
      </c>
    </row>
    <row r="56" spans="1:4" s="2" customFormat="1" ht="31.8" customHeight="1" x14ac:dyDescent="0.3">
      <c r="A56" s="72">
        <v>3.11</v>
      </c>
      <c r="B56" s="10" t="s">
        <v>78</v>
      </c>
      <c r="C56" s="18" t="s">
        <v>12</v>
      </c>
      <c r="D56" s="11">
        <v>1500</v>
      </c>
    </row>
    <row r="57" spans="1:4" s="2" customFormat="1" ht="23.25" customHeight="1" x14ac:dyDescent="0.3">
      <c r="A57" s="72"/>
      <c r="B57" s="58" t="s">
        <v>79</v>
      </c>
      <c r="C57" s="45" t="s">
        <v>12</v>
      </c>
      <c r="D57" s="37" t="s">
        <v>160</v>
      </c>
    </row>
    <row r="58" spans="1:4" s="2" customFormat="1" ht="17.25" customHeight="1" x14ac:dyDescent="0.3">
      <c r="A58" s="72"/>
      <c r="B58" s="37" t="s">
        <v>81</v>
      </c>
      <c r="C58" s="45" t="s">
        <v>12</v>
      </c>
      <c r="D58" s="13">
        <f>D23*D56</f>
        <v>1500</v>
      </c>
    </row>
    <row r="59" spans="1:4" s="2" customFormat="1" ht="19.5" customHeight="1" x14ac:dyDescent="0.3">
      <c r="A59" s="36">
        <v>3.12</v>
      </c>
      <c r="B59" s="37" t="s">
        <v>82</v>
      </c>
      <c r="C59" s="45" t="s">
        <v>12</v>
      </c>
      <c r="D59" s="11">
        <v>150</v>
      </c>
    </row>
    <row r="60" spans="1:4" s="2" customFormat="1" ht="19.5" customHeight="1" x14ac:dyDescent="0.3">
      <c r="A60" s="36">
        <v>3.13</v>
      </c>
      <c r="B60" s="37" t="s">
        <v>83</v>
      </c>
      <c r="C60" s="45" t="s">
        <v>12</v>
      </c>
      <c r="D60" s="10" t="s">
        <v>161</v>
      </c>
    </row>
    <row r="61" spans="1:4" s="2" customFormat="1" ht="19.5" customHeight="1" x14ac:dyDescent="0.3">
      <c r="A61" s="36">
        <v>3.14</v>
      </c>
      <c r="B61" s="37" t="s">
        <v>85</v>
      </c>
      <c r="C61" s="45" t="s">
        <v>12</v>
      </c>
      <c r="D61" s="10" t="s">
        <v>86</v>
      </c>
    </row>
    <row r="62" spans="1:4" s="2" customFormat="1" ht="26.25" customHeight="1" x14ac:dyDescent="0.3">
      <c r="A62" s="36">
        <v>3.15</v>
      </c>
      <c r="B62" s="37" t="s">
        <v>87</v>
      </c>
      <c r="C62" s="45" t="s">
        <v>12</v>
      </c>
      <c r="D62" s="10" t="s">
        <v>88</v>
      </c>
    </row>
    <row r="63" spans="1:4" s="2" customFormat="1" ht="20.25" customHeight="1" x14ac:dyDescent="0.3">
      <c r="A63" s="36">
        <v>3.16</v>
      </c>
      <c r="B63" s="37" t="s">
        <v>89</v>
      </c>
      <c r="C63" s="45" t="s">
        <v>12</v>
      </c>
      <c r="D63" s="10" t="s">
        <v>90</v>
      </c>
    </row>
    <row r="64" spans="1:4" s="2" customFormat="1" ht="30.75" customHeight="1" x14ac:dyDescent="0.3">
      <c r="A64" s="36">
        <v>3.17</v>
      </c>
      <c r="B64" s="37" t="s">
        <v>91</v>
      </c>
      <c r="C64" s="45" t="s">
        <v>12</v>
      </c>
      <c r="D64" s="10" t="s">
        <v>92</v>
      </c>
    </row>
    <row r="65" spans="1:4" s="2" customFormat="1" ht="19.5" customHeight="1" x14ac:dyDescent="0.3">
      <c r="A65" s="36">
        <v>3.18</v>
      </c>
      <c r="B65" s="75" t="s">
        <v>93</v>
      </c>
      <c r="C65" s="75"/>
      <c r="D65" s="75"/>
    </row>
    <row r="66" spans="1:4" s="2" customFormat="1" ht="21" customHeight="1" x14ac:dyDescent="0.3">
      <c r="A66" s="47" t="s">
        <v>40</v>
      </c>
      <c r="B66" s="37" t="s">
        <v>94</v>
      </c>
      <c r="C66" s="45" t="s">
        <v>62</v>
      </c>
      <c r="D66" s="43">
        <v>0.9</v>
      </c>
    </row>
    <row r="67" spans="1:4" s="2" customFormat="1" ht="34.5" customHeight="1" x14ac:dyDescent="0.3">
      <c r="A67" s="47" t="s">
        <v>95</v>
      </c>
      <c r="B67" s="37" t="s">
        <v>96</v>
      </c>
      <c r="C67" s="45" t="s">
        <v>62</v>
      </c>
      <c r="D67" s="43">
        <v>0.87</v>
      </c>
    </row>
    <row r="68" spans="1:4" s="2" customFormat="1" ht="18.75" customHeight="1" x14ac:dyDescent="0.3">
      <c r="A68" s="51" t="s">
        <v>97</v>
      </c>
      <c r="B68" s="37" t="s">
        <v>98</v>
      </c>
      <c r="C68" s="45" t="s">
        <v>62</v>
      </c>
      <c r="D68" s="43">
        <v>0.9</v>
      </c>
    </row>
    <row r="69" spans="1:4" s="2" customFormat="1" ht="18" customHeight="1" x14ac:dyDescent="0.3">
      <c r="A69" s="51" t="s">
        <v>99</v>
      </c>
      <c r="B69" s="37" t="s">
        <v>100</v>
      </c>
      <c r="C69" s="45" t="s">
        <v>62</v>
      </c>
      <c r="D69" s="43">
        <v>0.95</v>
      </c>
    </row>
    <row r="70" spans="1:4" s="2" customFormat="1" ht="18" customHeight="1" x14ac:dyDescent="0.3">
      <c r="A70" s="51" t="s">
        <v>101</v>
      </c>
      <c r="B70" s="37" t="s">
        <v>102</v>
      </c>
      <c r="C70" s="45" t="s">
        <v>62</v>
      </c>
      <c r="D70" s="43">
        <v>1</v>
      </c>
    </row>
    <row r="71" spans="1:4" s="2" customFormat="1" ht="19.5" customHeight="1" x14ac:dyDescent="0.3">
      <c r="A71" s="51" t="s">
        <v>103</v>
      </c>
      <c r="B71" s="37" t="s">
        <v>104</v>
      </c>
      <c r="C71" s="45" t="s">
        <v>62</v>
      </c>
      <c r="D71" s="57">
        <f>D66*D67*D68*D69*D70</f>
        <v>0.66946499999999998</v>
      </c>
    </row>
    <row r="72" spans="1:4" s="2" customFormat="1" ht="33.75" customHeight="1" x14ac:dyDescent="0.3">
      <c r="A72" s="52">
        <v>3.19</v>
      </c>
      <c r="B72" s="53" t="s">
        <v>105</v>
      </c>
      <c r="C72" s="45" t="s">
        <v>62</v>
      </c>
      <c r="D72" s="11" t="s">
        <v>162</v>
      </c>
    </row>
    <row r="73" spans="1:4" s="2" customFormat="1" ht="18" customHeight="1" x14ac:dyDescent="0.3">
      <c r="A73" s="52"/>
      <c r="B73" s="54"/>
      <c r="C73" s="45" t="s">
        <v>62</v>
      </c>
      <c r="D73" s="13">
        <f>D58*D71</f>
        <v>1004.1975</v>
      </c>
    </row>
    <row r="74" spans="1:4" s="2" customFormat="1" ht="18.600000000000001" customHeight="1" x14ac:dyDescent="0.3">
      <c r="A74" s="55">
        <v>3.2</v>
      </c>
      <c r="B74" s="53" t="s">
        <v>107</v>
      </c>
      <c r="C74" s="56" t="s">
        <v>62</v>
      </c>
      <c r="D74" s="16">
        <f>D14</f>
        <v>800</v>
      </c>
    </row>
    <row r="75" spans="1:4" s="2" customFormat="1" ht="15" customHeight="1" x14ac:dyDescent="0.3">
      <c r="A75" s="76">
        <v>3.21</v>
      </c>
      <c r="B75" s="78" t="s">
        <v>108</v>
      </c>
      <c r="C75" s="78"/>
      <c r="D75" s="78"/>
    </row>
    <row r="76" spans="1:4" s="2" customFormat="1" ht="35.25" customHeight="1" x14ac:dyDescent="0.3">
      <c r="A76" s="76"/>
      <c r="B76" s="77" t="s">
        <v>163</v>
      </c>
      <c r="C76" s="77"/>
      <c r="D76" s="77"/>
    </row>
    <row r="77" spans="1:4" s="2" customFormat="1" ht="15" customHeight="1" x14ac:dyDescent="0.3">
      <c r="A77" s="19">
        <v>4</v>
      </c>
      <c r="B77" s="73" t="s">
        <v>110</v>
      </c>
      <c r="C77" s="73"/>
      <c r="D77" s="73"/>
    </row>
    <row r="78" spans="1:4" s="2" customFormat="1" ht="31.5" customHeight="1" x14ac:dyDescent="0.3">
      <c r="A78" s="44">
        <v>4.0999999999999996</v>
      </c>
      <c r="B78" s="43" t="s">
        <v>111</v>
      </c>
      <c r="C78" s="45" t="s">
        <v>62</v>
      </c>
      <c r="D78" s="11" t="s">
        <v>154</v>
      </c>
    </row>
    <row r="79" spans="1:4" s="2" customFormat="1" ht="39" customHeight="1" x14ac:dyDescent="0.3">
      <c r="A79" s="36" t="s">
        <v>40</v>
      </c>
      <c r="B79" s="37" t="s">
        <v>64</v>
      </c>
      <c r="C79" s="46" t="s">
        <v>62</v>
      </c>
      <c r="D79" s="43">
        <f>D15</f>
        <v>50</v>
      </c>
    </row>
    <row r="80" spans="1:4" s="2" customFormat="1" ht="19.8" customHeight="1" x14ac:dyDescent="0.3">
      <c r="A80" s="36" t="s">
        <v>95</v>
      </c>
      <c r="B80" s="37" t="s">
        <v>113</v>
      </c>
      <c r="C80" s="46" t="s">
        <v>62</v>
      </c>
      <c r="D80" s="20">
        <v>0.25</v>
      </c>
    </row>
    <row r="81" spans="1:4" s="2" customFormat="1" ht="19.8" customHeight="1" x14ac:dyDescent="0.3">
      <c r="A81" s="36" t="s">
        <v>97</v>
      </c>
      <c r="B81" s="37" t="s">
        <v>114</v>
      </c>
      <c r="C81" s="46" t="s">
        <v>62</v>
      </c>
      <c r="D81" s="20">
        <v>0.90400000000000003</v>
      </c>
    </row>
    <row r="82" spans="1:4" s="2" customFormat="1" ht="29.85" customHeight="1" x14ac:dyDescent="0.3">
      <c r="A82" s="36"/>
      <c r="B82" s="37" t="s">
        <v>115</v>
      </c>
      <c r="C82" s="46" t="s">
        <v>62</v>
      </c>
      <c r="D82" s="20" t="s">
        <v>116</v>
      </c>
    </row>
    <row r="83" spans="1:4" s="2" customFormat="1" ht="19.8" customHeight="1" x14ac:dyDescent="0.3">
      <c r="A83" s="36"/>
      <c r="B83" s="37" t="s">
        <v>117</v>
      </c>
      <c r="C83" s="46" t="s">
        <v>62</v>
      </c>
      <c r="D83" s="50">
        <f>(0.9*16*D79*1000*D79*1000*IMPOWER(10,-4)/250)</f>
        <v>14400</v>
      </c>
    </row>
    <row r="84" spans="1:4" s="2" customFormat="1" ht="33.75" customHeight="1" x14ac:dyDescent="0.3">
      <c r="A84" s="36"/>
      <c r="B84" s="37" t="s">
        <v>118</v>
      </c>
      <c r="C84" s="46" t="s">
        <v>62</v>
      </c>
      <c r="D84" s="50">
        <f>D83*0.1019716</f>
        <v>1468.39104</v>
      </c>
    </row>
    <row r="85" spans="1:4" s="2" customFormat="1" ht="15" customHeight="1" x14ac:dyDescent="0.3">
      <c r="A85" s="36">
        <v>4.12</v>
      </c>
      <c r="B85" s="43" t="s">
        <v>119</v>
      </c>
      <c r="C85" s="45" t="s">
        <v>62</v>
      </c>
      <c r="D85" s="37" t="s">
        <v>120</v>
      </c>
    </row>
    <row r="86" spans="1:4" s="2" customFormat="1" ht="30.75" customHeight="1" x14ac:dyDescent="0.3">
      <c r="A86" s="45" t="s">
        <v>40</v>
      </c>
      <c r="B86" s="47" t="s">
        <v>121</v>
      </c>
      <c r="C86" s="45" t="s">
        <v>62</v>
      </c>
      <c r="D86" s="11">
        <v>38</v>
      </c>
    </row>
    <row r="87" spans="1:4" s="2" customFormat="1" ht="31.5" customHeight="1" x14ac:dyDescent="0.3">
      <c r="A87" s="45" t="s">
        <v>95</v>
      </c>
      <c r="B87" s="43" t="s">
        <v>122</v>
      </c>
      <c r="C87" s="45" t="s">
        <v>62</v>
      </c>
      <c r="D87" s="11">
        <v>75</v>
      </c>
    </row>
    <row r="88" spans="1:4" s="2" customFormat="1" ht="16.8" customHeight="1" x14ac:dyDescent="0.3">
      <c r="A88" s="45"/>
      <c r="B88" s="47" t="s">
        <v>123</v>
      </c>
      <c r="C88" s="45" t="s">
        <v>62</v>
      </c>
      <c r="D88" s="43">
        <f>D84*(D86+D87)/(4*D86)</f>
        <v>1091.6328126315791</v>
      </c>
    </row>
    <row r="89" spans="1:4" s="2" customFormat="1" ht="33.75" customHeight="1" x14ac:dyDescent="0.3">
      <c r="A89" s="45">
        <v>4.13</v>
      </c>
      <c r="B89" s="43" t="s">
        <v>124</v>
      </c>
      <c r="C89" s="45" t="s">
        <v>62</v>
      </c>
      <c r="D89" s="43" t="s">
        <v>125</v>
      </c>
    </row>
    <row r="90" spans="1:4" s="2" customFormat="1" ht="19.5" customHeight="1" x14ac:dyDescent="0.3">
      <c r="A90" s="45"/>
      <c r="B90" s="43"/>
      <c r="C90" s="36" t="s">
        <v>62</v>
      </c>
      <c r="D90" s="43" t="s">
        <v>126</v>
      </c>
    </row>
    <row r="91" spans="1:4" s="2" customFormat="1" ht="33.6" x14ac:dyDescent="0.3">
      <c r="A91" s="45" t="s">
        <v>40</v>
      </c>
      <c r="B91" s="47" t="s">
        <v>127</v>
      </c>
      <c r="C91" s="45" t="s">
        <v>62</v>
      </c>
      <c r="D91" s="11">
        <v>1600</v>
      </c>
    </row>
    <row r="92" spans="1:4" s="2" customFormat="1" ht="19.2" customHeight="1" x14ac:dyDescent="0.3">
      <c r="A92" s="48" t="s">
        <v>95</v>
      </c>
      <c r="B92" s="47" t="s">
        <v>128</v>
      </c>
      <c r="C92" s="45" t="s">
        <v>62</v>
      </c>
      <c r="D92" s="11">
        <v>2.5</v>
      </c>
    </row>
    <row r="93" spans="1:4" s="2" customFormat="1" ht="19.5" customHeight="1" x14ac:dyDescent="0.3">
      <c r="A93" s="49"/>
      <c r="B93" s="50" t="s">
        <v>129</v>
      </c>
      <c r="C93" s="38" t="s">
        <v>62</v>
      </c>
      <c r="D93" s="21">
        <f>(D91*1000)/(D92*D88)</f>
        <v>586.27772323659246</v>
      </c>
    </row>
    <row r="94" spans="1:4" s="2" customFormat="1" ht="21" customHeight="1" x14ac:dyDescent="0.3">
      <c r="A94" s="22"/>
      <c r="B94" s="23" t="s">
        <v>130</v>
      </c>
      <c r="C94" s="24"/>
      <c r="D94" s="25" t="str">
        <f>IF(500&lt;D93,"OK","CHECK")</f>
        <v>OK</v>
      </c>
    </row>
    <row r="95" spans="1:4" s="2" customFormat="1" ht="17.25" customHeight="1" x14ac:dyDescent="0.3">
      <c r="A95" s="76">
        <v>4.4000000000000004</v>
      </c>
      <c r="B95" s="78" t="s">
        <v>131</v>
      </c>
      <c r="C95" s="78"/>
      <c r="D95" s="78"/>
    </row>
    <row r="96" spans="1:4" s="2" customFormat="1" ht="37.5" customHeight="1" x14ac:dyDescent="0.3">
      <c r="A96" s="76"/>
      <c r="B96" s="77" t="s">
        <v>132</v>
      </c>
      <c r="C96" s="77"/>
      <c r="D96" s="77"/>
    </row>
    <row r="97" spans="1:4" s="2" customFormat="1" ht="21" customHeight="1" x14ac:dyDescent="0.3">
      <c r="A97" s="19">
        <v>5</v>
      </c>
      <c r="B97" s="71" t="s">
        <v>133</v>
      </c>
      <c r="C97" s="71"/>
      <c r="D97" s="71"/>
    </row>
    <row r="98" spans="1:4" s="2" customFormat="1" ht="39.75" customHeight="1" x14ac:dyDescent="0.3">
      <c r="A98" s="36">
        <v>5.0999999999999996</v>
      </c>
      <c r="B98" s="37" t="s">
        <v>134</v>
      </c>
      <c r="C98" s="38" t="s">
        <v>62</v>
      </c>
      <c r="D98" s="43">
        <f>D73</f>
        <v>1004.1975</v>
      </c>
    </row>
    <row r="99" spans="1:4" s="2" customFormat="1" ht="40.5" customHeight="1" x14ac:dyDescent="0.3">
      <c r="A99" s="36">
        <v>5.2</v>
      </c>
      <c r="B99" s="37" t="s">
        <v>135</v>
      </c>
      <c r="C99" s="38" t="s">
        <v>62</v>
      </c>
      <c r="D99" s="43">
        <f>D14</f>
        <v>800</v>
      </c>
    </row>
    <row r="100" spans="1:4" s="2" customFormat="1" ht="22.05" customHeight="1" x14ac:dyDescent="0.3">
      <c r="A100" s="36">
        <v>5.3</v>
      </c>
      <c r="B100" s="37" t="s">
        <v>136</v>
      </c>
      <c r="C100" s="38" t="s">
        <v>62</v>
      </c>
      <c r="D100" s="43">
        <f>D17-D16</f>
        <v>35</v>
      </c>
    </row>
    <row r="101" spans="1:4" s="2" customFormat="1" ht="20.399999999999999" customHeight="1" x14ac:dyDescent="0.3">
      <c r="A101" s="36">
        <v>5.4</v>
      </c>
      <c r="B101" s="37" t="s">
        <v>137</v>
      </c>
      <c r="C101" s="38" t="s">
        <v>62</v>
      </c>
      <c r="D101" s="37" t="s">
        <v>138</v>
      </c>
    </row>
    <row r="102" spans="1:4" s="2" customFormat="1" ht="22.95" customHeight="1" x14ac:dyDescent="0.3">
      <c r="A102" s="39"/>
      <c r="B102" s="40" t="s">
        <v>139</v>
      </c>
      <c r="C102" s="38" t="s">
        <v>62</v>
      </c>
      <c r="D102" s="37" t="s">
        <v>140</v>
      </c>
    </row>
    <row r="103" spans="1:4" s="2" customFormat="1" ht="21.6" customHeight="1" x14ac:dyDescent="0.3">
      <c r="A103" s="39"/>
      <c r="B103" s="41"/>
      <c r="C103" s="42" t="s">
        <v>62</v>
      </c>
      <c r="D103" s="27">
        <f>D100/IMPOWER((D98/D99),1.64)</f>
        <v>24.10750359718935</v>
      </c>
    </row>
    <row r="104" spans="1:4" s="2" customFormat="1" ht="21.6" customHeight="1" x14ac:dyDescent="0.3">
      <c r="A104" s="28"/>
      <c r="B104" s="29" t="s">
        <v>141</v>
      </c>
      <c r="C104" s="30" t="s">
        <v>62</v>
      </c>
      <c r="D104" s="31" t="str">
        <f>IF(D103&lt;D16,"OK","CHECK")</f>
        <v>OK</v>
      </c>
    </row>
    <row r="105" spans="1:4" customFormat="1" ht="20.399999999999999" customHeight="1" x14ac:dyDescent="0.3">
      <c r="A105" s="76">
        <v>5.5</v>
      </c>
      <c r="B105" s="79" t="s">
        <v>108</v>
      </c>
      <c r="C105" s="79"/>
      <c r="D105" s="79"/>
    </row>
    <row r="106" spans="1:4" customFormat="1" ht="33.6" customHeight="1" x14ac:dyDescent="0.3">
      <c r="A106" s="76"/>
      <c r="B106" s="80" t="s">
        <v>164</v>
      </c>
      <c r="C106" s="80"/>
      <c r="D106" s="80"/>
    </row>
    <row r="107" spans="1:4" customFormat="1" ht="33.6" customHeight="1" x14ac:dyDescent="0.3">
      <c r="A107" s="32"/>
      <c r="B107" s="33"/>
      <c r="C107" s="33"/>
      <c r="D107" s="33"/>
    </row>
    <row r="108" spans="1:4" customFormat="1" ht="33.6" customHeight="1" x14ac:dyDescent="0.3">
      <c r="A108" s="32"/>
      <c r="B108" s="33"/>
      <c r="C108" s="33"/>
      <c r="D108" s="33"/>
    </row>
    <row r="109" spans="1:4" customFormat="1" ht="33.6" customHeight="1" x14ac:dyDescent="0.3">
      <c r="A109" s="32"/>
      <c r="B109" s="33"/>
      <c r="C109" s="33"/>
      <c r="D109" s="33"/>
    </row>
    <row r="110" spans="1:4" customFormat="1" ht="33.6" customHeight="1" x14ac:dyDescent="0.3">
      <c r="A110" s="32"/>
      <c r="B110" s="33"/>
      <c r="C110" s="33"/>
      <c r="D110" s="33"/>
    </row>
    <row r="111" spans="1:4" customFormat="1" ht="33.6" customHeight="1" x14ac:dyDescent="0.3">
      <c r="A111" s="32"/>
      <c r="B111" s="33"/>
      <c r="C111" s="33"/>
      <c r="D111" s="33"/>
    </row>
    <row r="112" spans="1:4" customFormat="1" x14ac:dyDescent="0.3">
      <c r="A112" s="34"/>
      <c r="B112" s="1"/>
      <c r="C112" s="35"/>
      <c r="D112" s="1"/>
    </row>
  </sheetData>
  <mergeCells count="32">
    <mergeCell ref="A95:A96"/>
    <mergeCell ref="B95:D95"/>
    <mergeCell ref="B96:D96"/>
    <mergeCell ref="B97:D97"/>
    <mergeCell ref="A105:A106"/>
    <mergeCell ref="B105:D105"/>
    <mergeCell ref="B106:D106"/>
    <mergeCell ref="B77:D77"/>
    <mergeCell ref="B41:D41"/>
    <mergeCell ref="B42:D42"/>
    <mergeCell ref="A52:A53"/>
    <mergeCell ref="B52:D52"/>
    <mergeCell ref="B53:D53"/>
    <mergeCell ref="B54:D54"/>
    <mergeCell ref="A56:A58"/>
    <mergeCell ref="B65:D65"/>
    <mergeCell ref="A75:A76"/>
    <mergeCell ref="B75:D75"/>
    <mergeCell ref="B76:D76"/>
    <mergeCell ref="A37:A38"/>
    <mergeCell ref="B37:B38"/>
    <mergeCell ref="A1:A3"/>
    <mergeCell ref="B1:D3"/>
    <mergeCell ref="B4:C4"/>
    <mergeCell ref="B5:C5"/>
    <mergeCell ref="B6:C6"/>
    <mergeCell ref="B7:C7"/>
    <mergeCell ref="B8:C8"/>
    <mergeCell ref="B9:D9"/>
    <mergeCell ref="A20:A25"/>
    <mergeCell ref="B31:D31"/>
    <mergeCell ref="B34:D34"/>
  </mergeCells>
  <hyperlinks>
    <hyperlink ref="D7" r:id="rId1" xr:uid="{79FA9A1C-573E-482B-BFCF-7FBB8C98BC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1000A</vt:lpstr>
      <vt:lpstr>630A</vt:lpstr>
      <vt:lpstr>800A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Ankesh Mishra</dc:creator>
  <cp:lastModifiedBy>Ankesh Mishra</cp:lastModifiedBy>
  <dcterms:created xsi:type="dcterms:W3CDTF">2025-03-03T10:37:13Z</dcterms:created>
  <dcterms:modified xsi:type="dcterms:W3CDTF">2025-03-19T07:59:54Z</dcterms:modified>
</cp:coreProperties>
</file>