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ANKESH MISHRA\@FLASYS\Sales\@Online Selling Service\Solar Documents Bundle\@12345\Unlocked\"/>
    </mc:Choice>
  </mc:AlternateContent>
  <xr:revisionPtr revIDLastSave="0" documentId="13_ncr:1_{382FAD95-030F-4663-8356-A995DF4CCA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.C Current At Various Poi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70" i="1" l="1"/>
  <c r="L70" i="1"/>
  <c r="F70" i="1"/>
  <c r="U69" i="1"/>
  <c r="L69" i="1"/>
  <c r="F69" i="1"/>
  <c r="U68" i="1"/>
  <c r="L68" i="1"/>
  <c r="F68" i="1"/>
  <c r="U67" i="1"/>
  <c r="L67" i="1"/>
  <c r="F67" i="1"/>
  <c r="U66" i="1"/>
  <c r="L66" i="1"/>
  <c r="F66" i="1"/>
  <c r="U65" i="1"/>
  <c r="L65" i="1"/>
  <c r="F65" i="1"/>
  <c r="U64" i="1"/>
  <c r="L64" i="1"/>
  <c r="F64" i="1"/>
  <c r="U63" i="1"/>
  <c r="L63" i="1"/>
  <c r="F63" i="1"/>
  <c r="U62" i="1"/>
  <c r="L62" i="1"/>
  <c r="F62" i="1"/>
  <c r="U61" i="1"/>
  <c r="L61" i="1"/>
  <c r="F61" i="1"/>
  <c r="U60" i="1"/>
  <c r="L60" i="1"/>
  <c r="F60" i="1"/>
  <c r="U59" i="1"/>
  <c r="L59" i="1"/>
  <c r="F59" i="1"/>
  <c r="U58" i="1"/>
  <c r="L58" i="1"/>
  <c r="F58" i="1"/>
  <c r="U57" i="1"/>
  <c r="L57" i="1"/>
  <c r="F57" i="1"/>
  <c r="U56" i="1"/>
  <c r="L56" i="1"/>
  <c r="F56" i="1"/>
  <c r="U55" i="1"/>
  <c r="L55" i="1"/>
  <c r="F55" i="1"/>
  <c r="U54" i="1"/>
  <c r="L54" i="1"/>
  <c r="F54" i="1"/>
  <c r="U53" i="1"/>
  <c r="L53" i="1"/>
  <c r="F53" i="1"/>
  <c r="U52" i="1"/>
  <c r="L52" i="1"/>
  <c r="F52" i="1"/>
  <c r="U51" i="1"/>
  <c r="L51" i="1"/>
  <c r="F51" i="1"/>
  <c r="U50" i="1"/>
  <c r="L50" i="1"/>
  <c r="F50" i="1"/>
  <c r="U49" i="1"/>
  <c r="L49" i="1"/>
  <c r="F49" i="1"/>
  <c r="U48" i="1"/>
  <c r="L48" i="1"/>
  <c r="F48" i="1"/>
  <c r="U47" i="1"/>
  <c r="L47" i="1"/>
  <c r="F47" i="1"/>
  <c r="U46" i="1"/>
  <c r="L46" i="1"/>
  <c r="F46" i="1"/>
  <c r="U45" i="1"/>
  <c r="L45" i="1"/>
  <c r="F45" i="1"/>
  <c r="U44" i="1"/>
  <c r="L44" i="1"/>
  <c r="F44" i="1"/>
  <c r="U43" i="1"/>
  <c r="L43" i="1"/>
  <c r="F43" i="1"/>
  <c r="U42" i="1"/>
  <c r="L42" i="1"/>
  <c r="F42" i="1"/>
  <c r="U41" i="1"/>
  <c r="L41" i="1"/>
  <c r="F41" i="1"/>
  <c r="U40" i="1"/>
  <c r="L40" i="1"/>
  <c r="F40" i="1"/>
  <c r="U39" i="1"/>
  <c r="L39" i="1"/>
  <c r="F39" i="1"/>
  <c r="U38" i="1"/>
  <c r="L38" i="1"/>
  <c r="F38" i="1"/>
  <c r="U37" i="1"/>
  <c r="L37" i="1"/>
  <c r="F37" i="1"/>
  <c r="U36" i="1"/>
  <c r="L36" i="1"/>
  <c r="F36" i="1"/>
  <c r="U35" i="1"/>
  <c r="L35" i="1"/>
  <c r="F35" i="1"/>
  <c r="U34" i="1"/>
  <c r="L34" i="1"/>
  <c r="F34" i="1"/>
  <c r="U33" i="1"/>
  <c r="L33" i="1"/>
  <c r="F33" i="1"/>
  <c r="U32" i="1"/>
  <c r="L32" i="1"/>
  <c r="F32" i="1"/>
  <c r="U31" i="1"/>
  <c r="L31" i="1"/>
  <c r="F31" i="1"/>
  <c r="E20" i="1"/>
  <c r="E18" i="1"/>
  <c r="E19" i="1" s="1"/>
  <c r="E10" i="1"/>
  <c r="B7" i="1"/>
  <c r="E21" i="1" l="1"/>
  <c r="J31" i="1" s="1"/>
  <c r="K31" i="1" s="1"/>
  <c r="E22" i="1"/>
  <c r="E24" i="1" s="1"/>
  <c r="N31" i="1" l="1"/>
  <c r="O31" i="1" s="1"/>
  <c r="V31" i="1"/>
  <c r="W32" i="1" l="1"/>
  <c r="W33" i="1"/>
  <c r="Y33" i="1" l="1"/>
  <c r="J33" i="1"/>
  <c r="J32" i="1"/>
  <c r="Y32" i="1"/>
  <c r="K32" i="1" l="1"/>
  <c r="N32" i="1" s="1"/>
  <c r="O32" i="1" s="1"/>
  <c r="V32" i="1"/>
  <c r="V33" i="1"/>
  <c r="K33" i="1"/>
  <c r="N33" i="1" s="1"/>
  <c r="O33" i="1" s="1"/>
  <c r="W44" i="1" l="1"/>
  <c r="W40" i="1"/>
  <c r="W42" i="1"/>
  <c r="W39" i="1"/>
  <c r="W35" i="1"/>
  <c r="W41" i="1"/>
  <c r="W36" i="1"/>
  <c r="W38" i="1"/>
  <c r="W34" i="1"/>
  <c r="W37" i="1"/>
  <c r="W43" i="1"/>
  <c r="J38" i="1" l="1"/>
  <c r="Y38" i="1"/>
  <c r="J43" i="1"/>
  <c r="Y43" i="1"/>
  <c r="Y34" i="1"/>
  <c r="J34" i="1"/>
  <c r="J40" i="1"/>
  <c r="Y40" i="1"/>
  <c r="J37" i="1"/>
  <c r="Y37" i="1"/>
  <c r="Y36" i="1"/>
  <c r="J36" i="1"/>
  <c r="Y41" i="1"/>
  <c r="J41" i="1"/>
  <c r="J35" i="1"/>
  <c r="Y35" i="1"/>
  <c r="Y39" i="1"/>
  <c r="J39" i="1"/>
  <c r="Y42" i="1"/>
  <c r="J42" i="1"/>
  <c r="Y44" i="1"/>
  <c r="J44" i="1"/>
  <c r="V41" i="1" l="1"/>
  <c r="W61" i="1" s="1"/>
  <c r="K41" i="1"/>
  <c r="N41" i="1" s="1"/>
  <c r="O41" i="1" s="1"/>
  <c r="K37" i="1"/>
  <c r="N37" i="1" s="1"/>
  <c r="O37" i="1" s="1"/>
  <c r="V37" i="1"/>
  <c r="V38" i="1"/>
  <c r="K38" i="1"/>
  <c r="N38" i="1" s="1"/>
  <c r="O38" i="1" s="1"/>
  <c r="K35" i="1"/>
  <c r="N35" i="1" s="1"/>
  <c r="O35" i="1" s="1"/>
  <c r="V35" i="1"/>
  <c r="W54" i="1" s="1"/>
  <c r="K36" i="1"/>
  <c r="N36" i="1" s="1"/>
  <c r="O36" i="1" s="1"/>
  <c r="V36" i="1"/>
  <c r="W59" i="1" s="1"/>
  <c r="K40" i="1"/>
  <c r="N40" i="1" s="1"/>
  <c r="O40" i="1" s="1"/>
  <c r="V40" i="1"/>
  <c r="W60" i="1" s="1"/>
  <c r="K44" i="1"/>
  <c r="N44" i="1" s="1"/>
  <c r="O44" i="1" s="1"/>
  <c r="V44" i="1"/>
  <c r="V34" i="1"/>
  <c r="K34" i="1"/>
  <c r="N34" i="1" s="1"/>
  <c r="O34" i="1" s="1"/>
  <c r="K43" i="1"/>
  <c r="N43" i="1" s="1"/>
  <c r="O43" i="1" s="1"/>
  <c r="V43" i="1"/>
  <c r="V42" i="1"/>
  <c r="K42" i="1"/>
  <c r="N42" i="1" s="1"/>
  <c r="O42" i="1" s="1"/>
  <c r="V39" i="1"/>
  <c r="K39" i="1"/>
  <c r="N39" i="1" s="1"/>
  <c r="O39" i="1" s="1"/>
  <c r="W45" i="1" l="1"/>
  <c r="W47" i="1"/>
  <c r="W46" i="1"/>
  <c r="J54" i="1"/>
  <c r="Y54" i="1"/>
  <c r="Y60" i="1"/>
  <c r="J60" i="1"/>
  <c r="W56" i="1"/>
  <c r="W55" i="1"/>
  <c r="J59" i="1"/>
  <c r="Y59" i="1"/>
  <c r="J61" i="1"/>
  <c r="Y61" i="1"/>
  <c r="K61" i="1" l="1"/>
  <c r="N61" i="1" s="1"/>
  <c r="O61" i="1" s="1"/>
  <c r="V61" i="1"/>
  <c r="W64" i="1" s="1"/>
  <c r="J56" i="1"/>
  <c r="Y56" i="1"/>
  <c r="V60" i="1"/>
  <c r="W63" i="1" s="1"/>
  <c r="K60" i="1"/>
  <c r="N60" i="1" s="1"/>
  <c r="O60" i="1" s="1"/>
  <c r="K59" i="1"/>
  <c r="N59" i="1" s="1"/>
  <c r="O59" i="1" s="1"/>
  <c r="V59" i="1"/>
  <c r="W62" i="1" s="1"/>
  <c r="Y55" i="1"/>
  <c r="J55" i="1"/>
  <c r="V54" i="1"/>
  <c r="K54" i="1"/>
  <c r="N54" i="1" s="1"/>
  <c r="O54" i="1" s="1"/>
  <c r="J46" i="1"/>
  <c r="Y46" i="1"/>
  <c r="Y47" i="1"/>
  <c r="J47" i="1"/>
  <c r="J45" i="1"/>
  <c r="Y45" i="1"/>
  <c r="V47" i="1" l="1"/>
  <c r="W50" i="1" s="1"/>
  <c r="K47" i="1"/>
  <c r="N47" i="1" s="1"/>
  <c r="O47" i="1" s="1"/>
  <c r="V46" i="1"/>
  <c r="K46" i="1"/>
  <c r="N46" i="1" s="1"/>
  <c r="O46" i="1" s="1"/>
  <c r="V55" i="1"/>
  <c r="W57" i="1" s="1"/>
  <c r="K55" i="1"/>
  <c r="N55" i="1" s="1"/>
  <c r="O55" i="1" s="1"/>
  <c r="J64" i="1"/>
  <c r="Y64" i="1"/>
  <c r="J62" i="1"/>
  <c r="Y62" i="1"/>
  <c r="Y63" i="1"/>
  <c r="J63" i="1"/>
  <c r="K56" i="1"/>
  <c r="N56" i="1" s="1"/>
  <c r="O56" i="1" s="1"/>
  <c r="V56" i="1"/>
  <c r="K45" i="1"/>
  <c r="N45" i="1" s="1"/>
  <c r="O45" i="1" s="1"/>
  <c r="V45" i="1"/>
  <c r="W48" i="1" s="1"/>
  <c r="V63" i="1" l="1"/>
  <c r="K63" i="1"/>
  <c r="N63" i="1" s="1"/>
  <c r="O63" i="1" s="1"/>
  <c r="W58" i="1"/>
  <c r="W49" i="1"/>
  <c r="J48" i="1"/>
  <c r="Y48" i="1"/>
  <c r="V62" i="1"/>
  <c r="W65" i="1" s="1"/>
  <c r="K62" i="1"/>
  <c r="N62" i="1" s="1"/>
  <c r="O62" i="1" s="1"/>
  <c r="K64" i="1"/>
  <c r="N64" i="1" s="1"/>
  <c r="O64" i="1" s="1"/>
  <c r="V64" i="1"/>
  <c r="Y57" i="1"/>
  <c r="J57" i="1"/>
  <c r="Y50" i="1"/>
  <c r="J50" i="1"/>
  <c r="V50" i="1" l="1"/>
  <c r="W53" i="1" s="1"/>
  <c r="K50" i="1"/>
  <c r="N50" i="1" s="1"/>
  <c r="O50" i="1" s="1"/>
  <c r="V57" i="1"/>
  <c r="K57" i="1"/>
  <c r="N57" i="1" s="1"/>
  <c r="O57" i="1" s="1"/>
  <c r="K48" i="1"/>
  <c r="N48" i="1" s="1"/>
  <c r="O48" i="1" s="1"/>
  <c r="V48" i="1"/>
  <c r="W51" i="1" s="1"/>
  <c r="Y65" i="1"/>
  <c r="J65" i="1"/>
  <c r="Y49" i="1"/>
  <c r="J49" i="1"/>
  <c r="Y58" i="1"/>
  <c r="J58" i="1"/>
  <c r="W67" i="1"/>
  <c r="W66" i="1"/>
  <c r="J67" i="1" l="1"/>
  <c r="Y67" i="1"/>
  <c r="V49" i="1"/>
  <c r="W52" i="1" s="1"/>
  <c r="K49" i="1"/>
  <c r="N49" i="1" s="1"/>
  <c r="O49" i="1" s="1"/>
  <c r="Y51" i="1"/>
  <c r="J51" i="1"/>
  <c r="Y66" i="1"/>
  <c r="J66" i="1"/>
  <c r="V58" i="1"/>
  <c r="K58" i="1"/>
  <c r="N58" i="1" s="1"/>
  <c r="O58" i="1" s="1"/>
  <c r="V65" i="1"/>
  <c r="W68" i="1" s="1"/>
  <c r="K65" i="1"/>
  <c r="N65" i="1" s="1"/>
  <c r="O65" i="1" s="1"/>
  <c r="J53" i="1"/>
  <c r="Y53" i="1"/>
  <c r="Y68" i="1" l="1"/>
  <c r="J68" i="1"/>
  <c r="K53" i="1"/>
  <c r="N53" i="1" s="1"/>
  <c r="O53" i="1" s="1"/>
  <c r="V53" i="1"/>
  <c r="V66" i="1"/>
  <c r="W69" i="1" s="1"/>
  <c r="K66" i="1"/>
  <c r="N66" i="1" s="1"/>
  <c r="O66" i="1" s="1"/>
  <c r="K51" i="1"/>
  <c r="N51" i="1" s="1"/>
  <c r="O51" i="1" s="1"/>
  <c r="V51" i="1"/>
  <c r="Y52" i="1"/>
  <c r="J52" i="1"/>
  <c r="K67" i="1"/>
  <c r="N67" i="1" s="1"/>
  <c r="O67" i="1" s="1"/>
  <c r="V67" i="1"/>
  <c r="W70" i="1" s="1"/>
  <c r="Y70" i="1" l="1"/>
  <c r="J70" i="1"/>
  <c r="V52" i="1"/>
  <c r="K52" i="1"/>
  <c r="N52" i="1" s="1"/>
  <c r="O52" i="1" s="1"/>
  <c r="J69" i="1"/>
  <c r="Y69" i="1"/>
  <c r="V68" i="1"/>
  <c r="K68" i="1"/>
  <c r="N68" i="1" s="1"/>
  <c r="O68" i="1" s="1"/>
  <c r="K69" i="1" l="1"/>
  <c r="N69" i="1" s="1"/>
  <c r="O69" i="1" s="1"/>
  <c r="V69" i="1"/>
  <c r="V70" i="1"/>
  <c r="K70" i="1"/>
  <c r="N70" i="1" s="1"/>
  <c r="O70" i="1" s="1"/>
</calcChain>
</file>

<file path=xl/sharedStrings.xml><?xml version="1.0" encoding="utf-8"?>
<sst xmlns="http://schemas.openxmlformats.org/spreadsheetml/2006/main" count="169" uniqueCount="96">
  <si>
    <t>Calculate Short Circuit Current at Various Point of Distribution Network</t>
  </si>
  <si>
    <t>Transformer Detail</t>
  </si>
  <si>
    <t>System Voltage Primary (E1) :</t>
  </si>
  <si>
    <t>KV</t>
  </si>
  <si>
    <t>System Voltage Secondary (E2):</t>
  </si>
  <si>
    <t>V</t>
  </si>
  <si>
    <t>MVA</t>
  </si>
  <si>
    <t>Transformer rating (P):</t>
  </si>
  <si>
    <t>KVA</t>
  </si>
  <si>
    <t>Transformer %Impedance (Z):</t>
  </si>
  <si>
    <t>Transformation ratio (K):</t>
  </si>
  <si>
    <t>SC Current withstand time (t):</t>
  </si>
  <si>
    <t>Sec</t>
  </si>
  <si>
    <t>Constant for PVC Aluminium cable (C):</t>
  </si>
  <si>
    <t>Constant for PVC Copper cable (C):</t>
  </si>
  <si>
    <t>Constant for XLPE Aluminium cable (C):</t>
  </si>
  <si>
    <t>Constant for XLPE Copper cables (C):</t>
  </si>
  <si>
    <t>Fault Current at Secondary of Transformer</t>
  </si>
  <si>
    <t>Total Impedance of Upstream network (Zup) :</t>
  </si>
  <si>
    <t>Ω</t>
  </si>
  <si>
    <t>Zup=(E1*E1) / Psc</t>
  </si>
  <si>
    <t>Impedance on Low Voltage Side (Zup (low)):</t>
  </si>
  <si>
    <t>Zup(Low)=ZupxKxK</t>
  </si>
  <si>
    <t>Impedance of the transformer (Zt):</t>
  </si>
  <si>
    <t>Zt=(E2*E2) / (P*1000)*%Z /100</t>
  </si>
  <si>
    <t>Total Impedance on Transformer Low Voltage Side :</t>
  </si>
  <si>
    <t>Fault Current on the Sec. of Transformer (Isc):</t>
  </si>
  <si>
    <t>KA</t>
  </si>
  <si>
    <t>Isc=E2 / (1.732*(Zup+Zt)</t>
  </si>
  <si>
    <t>Enter Constant (C) for Cable Conductor:</t>
  </si>
  <si>
    <t>The minimum size of the conductor in Sq.mm required to withstand shortcircuit current Isc in kA for t sec</t>
  </si>
  <si>
    <t>Sq.mm</t>
  </si>
  <si>
    <t>S=IscxCxSqrt(t)</t>
  </si>
  <si>
    <t>Fault Current at various Point of Distribution Network</t>
  </si>
  <si>
    <t>Panel Detail</t>
  </si>
  <si>
    <t xml:space="preserve">Cable Detail </t>
  </si>
  <si>
    <t>Fault Current at Location of</t>
  </si>
  <si>
    <t>Cable Size</t>
  </si>
  <si>
    <t>Remarks</t>
  </si>
  <si>
    <t>From</t>
  </si>
  <si>
    <t>To</t>
  </si>
  <si>
    <t>Impedance of cable</t>
  </si>
  <si>
    <t>No of Cable Runs</t>
  </si>
  <si>
    <t>Cable Length (Meter)</t>
  </si>
  <si>
    <t>Constant for Cable C</t>
  </si>
  <si>
    <t>Z up to up stream</t>
  </si>
  <si>
    <t>Total Z</t>
  </si>
  <si>
    <t>Fault current withstand time in sec</t>
  </si>
  <si>
    <t>Fault Current Ics  in kA</t>
  </si>
  <si>
    <t>Required Size of Cable in Sq.mm</t>
  </si>
  <si>
    <t>Actual Cable Size Sq.mm</t>
  </si>
  <si>
    <r>
      <rPr>
        <b/>
        <sz val="10"/>
        <color theme="1"/>
        <rFont val="Arial Narrow"/>
      </rPr>
      <t>R (</t>
    </r>
    <r>
      <rPr>
        <b/>
        <sz val="10"/>
        <color theme="1"/>
        <rFont val="Calibri"/>
      </rPr>
      <t>Ω/Km)</t>
    </r>
  </si>
  <si>
    <t>X (Ω/Km)</t>
  </si>
  <si>
    <t>Z</t>
  </si>
  <si>
    <t>Transformer-1</t>
  </si>
  <si>
    <t>DG PANEL-1</t>
  </si>
  <si>
    <t>2x150</t>
  </si>
  <si>
    <t>SMSB-A&amp;B</t>
  </si>
  <si>
    <t>8x300</t>
  </si>
  <si>
    <t>SMSB-C&amp;D</t>
  </si>
  <si>
    <t>1x300</t>
  </si>
  <si>
    <t>MLP</t>
  </si>
  <si>
    <t>2x185</t>
  </si>
  <si>
    <t>AHU-1</t>
  </si>
  <si>
    <t xml:space="preserve">UPS-B1 </t>
  </si>
  <si>
    <t xml:space="preserve">UPS-ACOP </t>
  </si>
  <si>
    <t>CAFETERIA</t>
  </si>
  <si>
    <t>AHU-2</t>
  </si>
  <si>
    <t>UPS-C1</t>
  </si>
  <si>
    <t>UPS-D1</t>
  </si>
  <si>
    <t>LC</t>
  </si>
  <si>
    <t>MLP-B</t>
  </si>
  <si>
    <t>1x95</t>
  </si>
  <si>
    <t>MLP-C</t>
  </si>
  <si>
    <t>MLP-D</t>
  </si>
  <si>
    <t>LDB-01B</t>
  </si>
  <si>
    <t>LDB-01C</t>
  </si>
  <si>
    <t>LDB-01D</t>
  </si>
  <si>
    <t>R1</t>
  </si>
  <si>
    <t>AHU PANEL-B</t>
  </si>
  <si>
    <t>AHU PANEL-C</t>
  </si>
  <si>
    <t>AHU PANEL-D</t>
  </si>
  <si>
    <t>AHU-41C</t>
  </si>
  <si>
    <t>1x6</t>
  </si>
  <si>
    <t>LDB-41C</t>
  </si>
  <si>
    <t>1x10</t>
  </si>
  <si>
    <t>UPSBBT-B</t>
  </si>
  <si>
    <t>UPSBBT-C</t>
  </si>
  <si>
    <t>UPSBBT-D</t>
  </si>
  <si>
    <t>UPS FDB-01B</t>
  </si>
  <si>
    <t>1x25</t>
  </si>
  <si>
    <t>UPS FDB-01C</t>
  </si>
  <si>
    <t>UDB-01B</t>
  </si>
  <si>
    <t>1x16</t>
  </si>
  <si>
    <t>UDB-01C</t>
  </si>
  <si>
    <t>UDB-01D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</si>
</sst>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7" x14ac:knownFonts="1">
    <font>
      <sz val="10"/>
      <color rgb="FF000000"/>
      <name val="Arial"/>
      <scheme val="minor"/>
    </font>
    <font>
      <sz val="10"/>
      <color theme="1"/>
      <name val="Arial"/>
    </font>
    <font>
      <b/>
      <u/>
      <sz val="18"/>
      <color rgb="FF0000FF"/>
      <name val="Arial Narrow"/>
    </font>
    <font>
      <sz val="10"/>
      <name val="Arial"/>
    </font>
    <font>
      <b/>
      <sz val="12"/>
      <color rgb="FF0000FF"/>
      <name val="Arial"/>
    </font>
    <font>
      <b/>
      <sz val="10"/>
      <color theme="1"/>
      <name val="Arial"/>
    </font>
    <font>
      <b/>
      <sz val="12"/>
      <color theme="1"/>
      <name val="Arial"/>
    </font>
    <font>
      <b/>
      <sz val="10"/>
      <color rgb="FF0000FF"/>
      <name val="Arial"/>
    </font>
    <font>
      <b/>
      <sz val="12"/>
      <color rgb="FF993300"/>
      <name val="Arial"/>
    </font>
    <font>
      <b/>
      <sz val="10"/>
      <color rgb="FF993300"/>
      <name val="Arial"/>
    </font>
    <font>
      <b/>
      <u/>
      <sz val="16"/>
      <color rgb="FF003366"/>
      <name val="Arial Narrow"/>
    </font>
    <font>
      <b/>
      <sz val="12"/>
      <color theme="1"/>
      <name val="Arial Narrow"/>
    </font>
    <font>
      <b/>
      <sz val="10"/>
      <color theme="1"/>
      <name val="Arial Narrow"/>
    </font>
    <font>
      <sz val="10"/>
      <color rgb="FF003366"/>
      <name val="Arial"/>
    </font>
    <font>
      <b/>
      <sz val="10"/>
      <color rgb="FF003366"/>
      <name val="Arial"/>
    </font>
    <font>
      <b/>
      <sz val="10"/>
      <color rgb="FFFF0000"/>
      <name val="Arial"/>
    </font>
    <font>
      <b/>
      <sz val="10"/>
      <color theme="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theme="9" tint="0.39997558519241921"/>
        <bgColor rgb="FFFFFFC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rgb="FFFFFF0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rgb="FFFFFFCC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5" fillId="3" borderId="7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/>
    </xf>
    <xf numFmtId="0" fontId="1" fillId="3" borderId="7" xfId="0" applyFont="1" applyFill="1" applyBorder="1"/>
    <xf numFmtId="165" fontId="1" fillId="3" borderId="7" xfId="0" applyNumberFormat="1" applyFont="1" applyFill="1" applyBorder="1" applyAlignment="1">
      <alignment horizontal="center" vertical="center"/>
    </xf>
    <xf numFmtId="165" fontId="13" fillId="2" borderId="7" xfId="0" applyNumberFormat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3" fillId="2" borderId="7" xfId="0" applyFont="1" applyFill="1" applyBorder="1" applyAlignment="1">
      <alignment horizontal="left"/>
    </xf>
    <xf numFmtId="0" fontId="1" fillId="5" borderId="7" xfId="0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166" fontId="14" fillId="2" borderId="7" xfId="0" applyNumberFormat="1" applyFont="1" applyFill="1" applyBorder="1" applyAlignment="1">
      <alignment horizontal="center" vertical="center"/>
    </xf>
    <xf numFmtId="0" fontId="1" fillId="0" borderId="7" xfId="0" applyFont="1" applyBorder="1"/>
    <xf numFmtId="0" fontId="1" fillId="3" borderId="7" xfId="0" applyFont="1" applyFill="1" applyBorder="1" applyAlignment="1">
      <alignment horizontal="left"/>
    </xf>
    <xf numFmtId="0" fontId="1" fillId="5" borderId="7" xfId="0" applyFont="1" applyFill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12" fillId="4" borderId="20" xfId="0" applyFont="1" applyFill="1" applyBorder="1" applyAlignment="1">
      <alignment horizontal="center" vertical="center" wrapText="1"/>
    </xf>
    <xf numFmtId="0" fontId="3" fillId="0" borderId="22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21" xfId="0" applyFont="1" applyBorder="1"/>
    <xf numFmtId="0" fontId="12" fillId="4" borderId="20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10" fillId="6" borderId="16" xfId="0" applyFont="1" applyFill="1" applyBorder="1" applyAlignment="1">
      <alignment horizontal="center" vertical="center" wrapText="1"/>
    </xf>
    <xf numFmtId="0" fontId="3" fillId="7" borderId="17" xfId="0" applyFont="1" applyFill="1" applyBorder="1"/>
    <xf numFmtId="0" fontId="3" fillId="7" borderId="18" xfId="0" applyFont="1" applyFill="1" applyBorder="1"/>
    <xf numFmtId="0" fontId="1" fillId="8" borderId="1" xfId="0" applyFont="1" applyFill="1" applyBorder="1"/>
    <xf numFmtId="0" fontId="5" fillId="8" borderId="8" xfId="0" applyFont="1" applyFill="1" applyBorder="1" applyAlignment="1">
      <alignment horizontal="left" wrapText="1"/>
    </xf>
    <xf numFmtId="0" fontId="3" fillId="9" borderId="9" xfId="0" applyFont="1" applyFill="1" applyBorder="1"/>
    <xf numFmtId="0" fontId="3" fillId="9" borderId="10" xfId="0" applyFont="1" applyFill="1" applyBorder="1"/>
    <xf numFmtId="1" fontId="5" fillId="8" borderId="11" xfId="0" applyNumberFormat="1" applyFont="1" applyFill="1" applyBorder="1" applyAlignment="1">
      <alignment horizontal="center" vertical="center" wrapText="1"/>
    </xf>
    <xf numFmtId="0" fontId="5" fillId="8" borderId="1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/>
    </xf>
    <xf numFmtId="0" fontId="3" fillId="9" borderId="12" xfId="0" applyFont="1" applyFill="1" applyBorder="1"/>
    <xf numFmtId="0" fontId="3" fillId="9" borderId="13" xfId="0" applyFont="1" applyFill="1" applyBorder="1"/>
    <xf numFmtId="0" fontId="3" fillId="9" borderId="14" xfId="0" applyFont="1" applyFill="1" applyBorder="1"/>
    <xf numFmtId="0" fontId="3" fillId="9" borderId="15" xfId="0" applyFont="1" applyFill="1" applyBorder="1"/>
    <xf numFmtId="0" fontId="9" fillId="8" borderId="1" xfId="0" applyFont="1" applyFill="1" applyBorder="1" applyAlignment="1">
      <alignment horizontal="left"/>
    </xf>
    <xf numFmtId="0" fontId="1" fillId="8" borderId="2" xfId="0" applyFont="1" applyFill="1" applyBorder="1" applyAlignment="1">
      <alignment horizontal="left" wrapText="1"/>
    </xf>
    <xf numFmtId="0" fontId="3" fillId="9" borderId="3" xfId="0" applyFont="1" applyFill="1" applyBorder="1"/>
    <xf numFmtId="0" fontId="3" fillId="9" borderId="4" xfId="0" applyFont="1" applyFill="1" applyBorder="1"/>
    <xf numFmtId="0" fontId="8" fillId="8" borderId="1" xfId="0" applyFont="1" applyFill="1" applyBorder="1" applyAlignment="1">
      <alignment horizontal="left"/>
    </xf>
    <xf numFmtId="0" fontId="8" fillId="8" borderId="2" xfId="0" applyFont="1" applyFill="1" applyBorder="1" applyAlignment="1">
      <alignment horizontal="left" wrapText="1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/>
    <xf numFmtId="0" fontId="4" fillId="8" borderId="5" xfId="0" applyFont="1" applyFill="1" applyBorder="1" applyAlignment="1">
      <alignment horizontal="left" vertical="center" wrapText="1"/>
    </xf>
    <xf numFmtId="0" fontId="3" fillId="9" borderId="6" xfId="0" applyFont="1" applyFill="1" applyBorder="1"/>
    <xf numFmtId="0" fontId="5" fillId="8" borderId="1" xfId="0" applyFont="1" applyFill="1" applyBorder="1" applyAlignment="1">
      <alignment wrapText="1"/>
    </xf>
    <xf numFmtId="0" fontId="5" fillId="8" borderId="1" xfId="0" applyFont="1" applyFill="1" applyBorder="1" applyAlignment="1">
      <alignment horizontal="left"/>
    </xf>
    <xf numFmtId="165" fontId="1" fillId="8" borderId="1" xfId="0" applyNumberFormat="1" applyFont="1" applyFill="1" applyBorder="1" applyAlignment="1">
      <alignment horizontal="center" vertical="center"/>
    </xf>
    <xf numFmtId="165" fontId="5" fillId="8" borderId="1" xfId="0" applyNumberFormat="1" applyFont="1" applyFill="1" applyBorder="1" applyAlignment="1">
      <alignment horizontal="center" vertical="center"/>
    </xf>
    <xf numFmtId="164" fontId="5" fillId="8" borderId="1" xfId="0" applyNumberFormat="1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left" wrapText="1"/>
    </xf>
    <xf numFmtId="0" fontId="6" fillId="8" borderId="1" xfId="0" applyFont="1" applyFill="1" applyBorder="1" applyAlignment="1">
      <alignment wrapText="1"/>
    </xf>
    <xf numFmtId="2" fontId="8" fillId="8" borderId="1" xfId="0" applyNumberFormat="1" applyFont="1" applyFill="1" applyBorder="1" applyAlignment="1">
      <alignment horizontal="center" vertical="center"/>
    </xf>
    <xf numFmtId="165" fontId="5" fillId="8" borderId="1" xfId="0" applyNumberFormat="1" applyFont="1" applyFill="1" applyBorder="1"/>
    <xf numFmtId="165" fontId="15" fillId="8" borderId="1" xfId="0" applyNumberFormat="1" applyFont="1" applyFill="1" applyBorder="1" applyAlignment="1">
      <alignment horizontal="center"/>
    </xf>
    <xf numFmtId="0" fontId="11" fillId="10" borderId="16" xfId="0" applyFont="1" applyFill="1" applyBorder="1" applyAlignment="1">
      <alignment horizontal="center" vertical="center" wrapText="1"/>
    </xf>
    <xf numFmtId="0" fontId="3" fillId="11" borderId="19" xfId="0" applyFont="1" applyFill="1" applyBorder="1"/>
    <xf numFmtId="0" fontId="3" fillId="11" borderId="17" xfId="0" applyFont="1" applyFill="1" applyBorder="1"/>
    <xf numFmtId="0" fontId="3" fillId="11" borderId="18" xfId="0" applyFont="1" applyFill="1" applyBorder="1"/>
    <xf numFmtId="0" fontId="2" fillId="12" borderId="2" xfId="0" applyFont="1" applyFill="1" applyBorder="1" applyAlignment="1">
      <alignment horizontal="center" vertical="center"/>
    </xf>
    <xf numFmtId="0" fontId="3" fillId="13" borderId="3" xfId="0" applyFont="1" applyFill="1" applyBorder="1"/>
    <xf numFmtId="0" fontId="3" fillId="13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00"/>
  <sheetViews>
    <sheetView showGridLines="0" tabSelected="1" workbookViewId="0">
      <selection activeCell="K9" sqref="K9"/>
    </sheetView>
  </sheetViews>
  <sheetFormatPr defaultColWidth="12.6640625" defaultRowHeight="15" customHeight="1" x14ac:dyDescent="0.25"/>
  <cols>
    <col min="1" max="1" width="1.77734375" customWidth="1"/>
    <col min="2" max="2" width="25" customWidth="1"/>
    <col min="3" max="3" width="27.77734375" customWidth="1"/>
    <col min="4" max="4" width="9.109375" customWidth="1"/>
    <col min="5" max="5" width="10.21875" customWidth="1"/>
    <col min="6" max="6" width="8" customWidth="1"/>
    <col min="7" max="7" width="6.21875" customWidth="1"/>
    <col min="8" max="8" width="8.109375" customWidth="1"/>
    <col min="9" max="9" width="8.77734375" customWidth="1"/>
    <col min="10" max="10" width="9.33203125" customWidth="1"/>
    <col min="11" max="11" width="9.109375" customWidth="1"/>
    <col min="12" max="12" width="15.77734375" customWidth="1"/>
    <col min="13" max="13" width="11.109375" customWidth="1"/>
    <col min="14" max="14" width="9.88671875" customWidth="1"/>
    <col min="15" max="15" width="12" customWidth="1"/>
    <col min="16" max="16" width="10.6640625" customWidth="1"/>
    <col min="17" max="17" width="30.88671875" customWidth="1"/>
    <col min="18" max="18" width="25.6640625" customWidth="1"/>
    <col min="19" max="19" width="31.77734375" customWidth="1"/>
    <col min="20" max="20" width="8" hidden="1" customWidth="1"/>
    <col min="21" max="21" width="13.6640625" hidden="1" customWidth="1"/>
    <col min="22" max="22" width="8" hidden="1" customWidth="1"/>
    <col min="23" max="23" width="9.6640625" hidden="1" customWidth="1"/>
    <col min="24" max="26" width="8" hidden="1" customWidth="1"/>
    <col min="27" max="40" width="8" customWidth="1"/>
  </cols>
  <sheetData>
    <row r="1" spans="1:40" ht="5.25" customHeight="1" x14ac:dyDescent="0.25">
      <c r="A1" s="28"/>
      <c r="B1" s="28"/>
      <c r="C1" s="28"/>
      <c r="D1" s="28"/>
      <c r="E1" s="28"/>
      <c r="F1" s="28"/>
      <c r="G1" s="34"/>
      <c r="H1" s="28"/>
      <c r="I1" s="28"/>
      <c r="J1" s="28"/>
      <c r="K1" s="28"/>
      <c r="L1" s="37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</row>
    <row r="2" spans="1:40" ht="23.25" customHeight="1" x14ac:dyDescent="0.25">
      <c r="A2" s="28"/>
      <c r="B2" s="68" t="s">
        <v>0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70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</row>
    <row r="3" spans="1:40" ht="6.75" customHeight="1" x14ac:dyDescent="0.25">
      <c r="A3" s="28"/>
      <c r="B3" s="28"/>
      <c r="C3" s="28"/>
      <c r="D3" s="28"/>
      <c r="E3" s="28"/>
      <c r="F3" s="28"/>
      <c r="G3" s="34"/>
      <c r="H3" s="28"/>
      <c r="I3" s="28"/>
      <c r="J3" s="28"/>
      <c r="K3" s="28"/>
      <c r="L3" s="37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</row>
    <row r="4" spans="1:40" ht="15.75" customHeight="1" x14ac:dyDescent="0.3">
      <c r="A4" s="28"/>
      <c r="B4" s="59" t="s">
        <v>1</v>
      </c>
      <c r="C4" s="51"/>
      <c r="D4" s="52"/>
      <c r="E4" s="60"/>
      <c r="F4" s="28"/>
      <c r="G4" s="34"/>
      <c r="H4" s="28"/>
      <c r="I4" s="28"/>
      <c r="J4" s="28"/>
      <c r="K4" s="28"/>
      <c r="L4" s="37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</row>
    <row r="5" spans="1:40" ht="12.75" customHeight="1" x14ac:dyDescent="0.25">
      <c r="A5" s="28"/>
      <c r="B5" s="43" t="s">
        <v>2</v>
      </c>
      <c r="C5" s="44"/>
      <c r="D5" s="45"/>
      <c r="E5" s="1">
        <v>11</v>
      </c>
      <c r="F5" s="49" t="s">
        <v>3</v>
      </c>
      <c r="G5" s="34"/>
      <c r="H5" s="28"/>
      <c r="I5" s="28"/>
      <c r="J5" s="28"/>
      <c r="K5" s="28"/>
      <c r="L5" s="57"/>
      <c r="M5" s="44"/>
      <c r="N5" s="45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</row>
    <row r="6" spans="1:40" ht="12.75" customHeight="1" x14ac:dyDescent="0.25">
      <c r="A6" s="28"/>
      <c r="B6" s="43" t="s">
        <v>4</v>
      </c>
      <c r="C6" s="44"/>
      <c r="D6" s="45"/>
      <c r="E6" s="1">
        <v>415</v>
      </c>
      <c r="F6" s="49" t="s">
        <v>5</v>
      </c>
      <c r="G6" s="34"/>
      <c r="H6" s="28"/>
      <c r="I6" s="28"/>
      <c r="J6" s="28"/>
      <c r="K6" s="28"/>
      <c r="L6" s="58"/>
      <c r="M6" s="44"/>
      <c r="N6" s="45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</row>
    <row r="7" spans="1:40" ht="12.75" customHeight="1" x14ac:dyDescent="0.25">
      <c r="A7" s="28"/>
      <c r="B7" s="43" t="str">
        <f>"Short Circuit MVA @"&amp;E5&amp;" Side (Psc):"</f>
        <v>Short Circuit MVA @11 Side (Psc):</v>
      </c>
      <c r="C7" s="44"/>
      <c r="D7" s="45"/>
      <c r="E7" s="1">
        <v>193</v>
      </c>
      <c r="F7" s="49" t="s">
        <v>6</v>
      </c>
      <c r="G7" s="34"/>
      <c r="H7" s="28"/>
      <c r="I7" s="28"/>
      <c r="J7" s="28"/>
      <c r="K7" s="28"/>
      <c r="L7" s="58"/>
      <c r="M7" s="44"/>
      <c r="N7" s="45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</row>
    <row r="8" spans="1:40" ht="12.75" customHeight="1" x14ac:dyDescent="0.25">
      <c r="A8" s="28"/>
      <c r="B8" s="43" t="s">
        <v>7</v>
      </c>
      <c r="C8" s="44"/>
      <c r="D8" s="45"/>
      <c r="E8" s="1">
        <v>1600</v>
      </c>
      <c r="F8" s="49" t="s">
        <v>8</v>
      </c>
      <c r="G8" s="34"/>
      <c r="H8" s="28"/>
      <c r="I8" s="28"/>
      <c r="J8" s="28"/>
      <c r="K8" s="28"/>
      <c r="L8" s="37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</row>
    <row r="9" spans="1:40" ht="12.75" customHeight="1" x14ac:dyDescent="0.25">
      <c r="A9" s="28"/>
      <c r="B9" s="43" t="s">
        <v>9</v>
      </c>
      <c r="C9" s="44"/>
      <c r="D9" s="45"/>
      <c r="E9" s="1">
        <v>6.25</v>
      </c>
      <c r="F9" s="49"/>
      <c r="G9" s="34"/>
      <c r="H9" s="28"/>
      <c r="I9" s="28"/>
      <c r="J9" s="28"/>
      <c r="K9" s="28"/>
      <c r="L9" s="37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</row>
    <row r="10" spans="1:40" ht="12.75" customHeight="1" x14ac:dyDescent="0.25">
      <c r="A10" s="28"/>
      <c r="B10" s="43" t="s">
        <v>10</v>
      </c>
      <c r="C10" s="44"/>
      <c r="D10" s="45"/>
      <c r="E10" s="56">
        <f>(E6/(E5*1000))</f>
        <v>3.7727272727272727E-2</v>
      </c>
      <c r="F10" s="49"/>
      <c r="G10" s="34"/>
      <c r="H10" s="28"/>
      <c r="I10" s="28"/>
      <c r="J10" s="28"/>
      <c r="K10" s="28"/>
      <c r="L10" s="37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</row>
    <row r="11" spans="1:40" ht="12.75" customHeight="1" x14ac:dyDescent="0.25">
      <c r="A11" s="28"/>
      <c r="B11" s="43" t="s">
        <v>11</v>
      </c>
      <c r="C11" s="44"/>
      <c r="D11" s="45"/>
      <c r="E11" s="1">
        <v>1</v>
      </c>
      <c r="F11" s="49" t="s">
        <v>12</v>
      </c>
      <c r="G11" s="34"/>
      <c r="H11" s="28"/>
      <c r="I11" s="28"/>
      <c r="J11" s="28"/>
      <c r="K11" s="28"/>
      <c r="L11" s="37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</row>
    <row r="12" spans="1:40" ht="12.75" customHeight="1" x14ac:dyDescent="0.25">
      <c r="A12" s="28"/>
      <c r="B12" s="43" t="s">
        <v>13</v>
      </c>
      <c r="C12" s="44"/>
      <c r="D12" s="45"/>
      <c r="E12" s="1">
        <v>13.2</v>
      </c>
      <c r="F12" s="49"/>
      <c r="G12" s="34"/>
      <c r="H12" s="28"/>
      <c r="I12" s="28"/>
      <c r="J12" s="28"/>
      <c r="K12" s="28"/>
      <c r="L12" s="37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</row>
    <row r="13" spans="1:40" ht="12.75" customHeight="1" x14ac:dyDescent="0.25">
      <c r="A13" s="28"/>
      <c r="B13" s="43" t="s">
        <v>14</v>
      </c>
      <c r="C13" s="44"/>
      <c r="D13" s="45"/>
      <c r="E13" s="1">
        <v>8.69</v>
      </c>
      <c r="F13" s="49"/>
      <c r="G13" s="34"/>
      <c r="H13" s="28"/>
      <c r="I13" s="28"/>
      <c r="J13" s="28"/>
      <c r="K13" s="28"/>
      <c r="L13" s="37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</row>
    <row r="14" spans="1:40" ht="12.75" customHeight="1" x14ac:dyDescent="0.25">
      <c r="A14" s="28"/>
      <c r="B14" s="43" t="s">
        <v>15</v>
      </c>
      <c r="C14" s="44"/>
      <c r="D14" s="45"/>
      <c r="E14" s="1">
        <v>10.63</v>
      </c>
      <c r="F14" s="49"/>
      <c r="G14" s="34"/>
      <c r="H14" s="28"/>
      <c r="I14" s="28"/>
      <c r="J14" s="28"/>
      <c r="K14" s="28"/>
      <c r="L14" s="37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</row>
    <row r="15" spans="1:40" ht="12.75" customHeight="1" x14ac:dyDescent="0.25">
      <c r="A15" s="28"/>
      <c r="B15" s="43" t="s">
        <v>16</v>
      </c>
      <c r="C15" s="44"/>
      <c r="D15" s="45"/>
      <c r="E15" s="1">
        <v>6.99</v>
      </c>
      <c r="F15" s="49"/>
      <c r="G15" s="34"/>
      <c r="H15" s="28"/>
      <c r="I15" s="28"/>
      <c r="J15" s="28"/>
      <c r="K15" s="28"/>
      <c r="L15" s="37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</row>
    <row r="16" spans="1:40" ht="12.75" customHeight="1" x14ac:dyDescent="0.25">
      <c r="A16" s="28"/>
      <c r="B16" s="43"/>
      <c r="C16" s="44"/>
      <c r="D16" s="45"/>
      <c r="E16" s="48"/>
      <c r="F16" s="49"/>
      <c r="G16" s="34"/>
      <c r="H16" s="28"/>
      <c r="I16" s="28"/>
      <c r="J16" s="28"/>
      <c r="K16" s="28"/>
      <c r="L16" s="37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</row>
    <row r="17" spans="1:40" ht="16.5" customHeight="1" x14ac:dyDescent="0.25">
      <c r="A17" s="28"/>
      <c r="B17" s="50" t="s">
        <v>17</v>
      </c>
      <c r="C17" s="51"/>
      <c r="D17" s="52"/>
      <c r="E17" s="28"/>
      <c r="F17" s="53"/>
      <c r="G17" s="34"/>
      <c r="H17" s="28"/>
      <c r="I17" s="28"/>
      <c r="J17" s="28"/>
      <c r="K17" s="28"/>
      <c r="L17" s="37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</row>
    <row r="18" spans="1:40" ht="12.75" customHeight="1" x14ac:dyDescent="0.25">
      <c r="A18" s="28"/>
      <c r="B18" s="43" t="s">
        <v>18</v>
      </c>
      <c r="C18" s="44"/>
      <c r="D18" s="45"/>
      <c r="E18" s="54">
        <f>(E5*E5)/E7</f>
        <v>0.62694300518134716</v>
      </c>
      <c r="F18" s="53" t="s">
        <v>19</v>
      </c>
      <c r="G18" s="34"/>
      <c r="H18" s="28" t="s">
        <v>20</v>
      </c>
      <c r="I18" s="28"/>
      <c r="J18" s="28"/>
      <c r="K18" s="28"/>
      <c r="L18" s="37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</row>
    <row r="19" spans="1:40" ht="12.75" customHeight="1" x14ac:dyDescent="0.25">
      <c r="A19" s="28"/>
      <c r="B19" s="43" t="s">
        <v>21</v>
      </c>
      <c r="C19" s="44"/>
      <c r="D19" s="45"/>
      <c r="E19" s="54">
        <f>E18*E10*E10</f>
        <v>8.9235751295336781E-4</v>
      </c>
      <c r="F19" s="53" t="s">
        <v>19</v>
      </c>
      <c r="G19" s="34"/>
      <c r="H19" s="28" t="s">
        <v>22</v>
      </c>
      <c r="I19" s="28"/>
      <c r="J19" s="28"/>
      <c r="K19" s="28"/>
      <c r="L19" s="37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</row>
    <row r="20" spans="1:40" ht="12.75" customHeight="1" x14ac:dyDescent="0.25">
      <c r="A20" s="28"/>
      <c r="B20" s="43" t="s">
        <v>23</v>
      </c>
      <c r="C20" s="44"/>
      <c r="D20" s="45"/>
      <c r="E20" s="54">
        <f>((E6*E6)/(E8*1000))*E9/100</f>
        <v>6.7275390624999994E-3</v>
      </c>
      <c r="F20" s="53" t="s">
        <v>19</v>
      </c>
      <c r="G20" s="34"/>
      <c r="H20" s="28" t="s">
        <v>24</v>
      </c>
      <c r="I20" s="28"/>
      <c r="J20" s="28"/>
      <c r="K20" s="28"/>
      <c r="L20" s="37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</row>
    <row r="21" spans="1:40" ht="12.75" customHeight="1" x14ac:dyDescent="0.25">
      <c r="A21" s="28"/>
      <c r="B21" s="43" t="s">
        <v>25</v>
      </c>
      <c r="C21" s="44"/>
      <c r="D21" s="45"/>
      <c r="E21" s="55">
        <f>E19+E20</f>
        <v>7.6198965754533674E-3</v>
      </c>
      <c r="F21" s="53" t="s">
        <v>19</v>
      </c>
      <c r="G21" s="34"/>
      <c r="H21" s="37"/>
      <c r="I21" s="37"/>
      <c r="J21" s="37"/>
      <c r="K21" s="37"/>
      <c r="L21" s="37"/>
      <c r="M21" s="37"/>
      <c r="N21" s="37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</row>
    <row r="22" spans="1:40" ht="15.75" customHeight="1" x14ac:dyDescent="0.3">
      <c r="A22" s="28"/>
      <c r="B22" s="47" t="s">
        <v>26</v>
      </c>
      <c r="C22" s="44"/>
      <c r="D22" s="45"/>
      <c r="E22" s="61">
        <f>E6/(1.732*(E19+E20))/1000</f>
        <v>31.444966204934985</v>
      </c>
      <c r="F22" s="46" t="s">
        <v>27</v>
      </c>
      <c r="G22" s="34"/>
      <c r="H22" s="28" t="s">
        <v>28</v>
      </c>
      <c r="I22" s="28"/>
      <c r="J22" s="28"/>
      <c r="K22" s="28"/>
      <c r="L22" s="37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</row>
    <row r="23" spans="1:40" ht="12.75" customHeight="1" x14ac:dyDescent="0.25">
      <c r="A23" s="28"/>
      <c r="B23" s="43" t="s">
        <v>29</v>
      </c>
      <c r="C23" s="44"/>
      <c r="D23" s="45"/>
      <c r="E23" s="1">
        <v>10.63</v>
      </c>
      <c r="F23" s="42"/>
      <c r="G23" s="34"/>
      <c r="H23" s="28"/>
      <c r="I23" s="28"/>
      <c r="J23" s="28"/>
      <c r="K23" s="28"/>
      <c r="L23" s="37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</row>
    <row r="24" spans="1:40" ht="12.75" customHeight="1" x14ac:dyDescent="0.25">
      <c r="A24" s="28"/>
      <c r="B24" s="29" t="s">
        <v>30</v>
      </c>
      <c r="C24" s="30"/>
      <c r="D24" s="31"/>
      <c r="E24" s="32">
        <f>E22*E23*SQRT(E11)</f>
        <v>334.25999075845891</v>
      </c>
      <c r="F24" s="33" t="s">
        <v>31</v>
      </c>
      <c r="G24" s="34"/>
      <c r="H24" s="35" t="s">
        <v>32</v>
      </c>
      <c r="I24" s="31"/>
      <c r="J24" s="36"/>
      <c r="K24" s="28"/>
      <c r="L24" s="37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</row>
    <row r="25" spans="1:40" ht="12.75" customHeight="1" x14ac:dyDescent="0.25">
      <c r="A25" s="28"/>
      <c r="B25" s="38"/>
      <c r="C25" s="39"/>
      <c r="D25" s="40"/>
      <c r="E25" s="41"/>
      <c r="F25" s="41"/>
      <c r="G25" s="34"/>
      <c r="H25" s="38"/>
      <c r="I25" s="40"/>
      <c r="J25" s="36"/>
      <c r="K25" s="28"/>
      <c r="L25" s="37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</row>
    <row r="26" spans="1:40" ht="4.5" customHeight="1" x14ac:dyDescent="0.25">
      <c r="A26" s="28"/>
      <c r="B26" s="28"/>
      <c r="C26" s="28"/>
      <c r="D26" s="28"/>
      <c r="E26" s="28"/>
      <c r="F26" s="28"/>
      <c r="G26" s="34"/>
      <c r="H26" s="28"/>
      <c r="I26" s="28"/>
      <c r="J26" s="28"/>
      <c r="K26" s="28"/>
      <c r="L26" s="37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</row>
    <row r="27" spans="1:40" ht="20.25" customHeight="1" x14ac:dyDescent="0.25">
      <c r="A27" s="28"/>
      <c r="B27" s="25" t="s">
        <v>33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7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</row>
    <row r="28" spans="1:40" ht="15.75" customHeight="1" x14ac:dyDescent="0.25">
      <c r="A28" s="28"/>
      <c r="B28" s="64" t="s">
        <v>34</v>
      </c>
      <c r="C28" s="65"/>
      <c r="D28" s="64" t="s">
        <v>35</v>
      </c>
      <c r="E28" s="66"/>
      <c r="F28" s="66"/>
      <c r="G28" s="66"/>
      <c r="H28" s="66"/>
      <c r="I28" s="66"/>
      <c r="J28" s="66"/>
      <c r="K28" s="67"/>
      <c r="L28" s="64" t="s">
        <v>36</v>
      </c>
      <c r="M28" s="66"/>
      <c r="N28" s="67"/>
      <c r="O28" s="64" t="s">
        <v>37</v>
      </c>
      <c r="P28" s="67"/>
      <c r="Q28" s="18" t="s">
        <v>38</v>
      </c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</row>
    <row r="29" spans="1:40" ht="26.25" customHeight="1" x14ac:dyDescent="0.25">
      <c r="A29" s="49"/>
      <c r="B29" s="23" t="s">
        <v>39</v>
      </c>
      <c r="C29" s="23" t="s">
        <v>40</v>
      </c>
      <c r="D29" s="24" t="s">
        <v>41</v>
      </c>
      <c r="E29" s="20"/>
      <c r="F29" s="21"/>
      <c r="G29" s="18" t="s">
        <v>42</v>
      </c>
      <c r="H29" s="18" t="s">
        <v>43</v>
      </c>
      <c r="I29" s="18" t="s">
        <v>44</v>
      </c>
      <c r="J29" s="18" t="s">
        <v>45</v>
      </c>
      <c r="K29" s="18" t="s">
        <v>46</v>
      </c>
      <c r="L29" s="18" t="s">
        <v>36</v>
      </c>
      <c r="M29" s="18" t="s">
        <v>47</v>
      </c>
      <c r="N29" s="18" t="s">
        <v>48</v>
      </c>
      <c r="O29" s="18" t="s">
        <v>49</v>
      </c>
      <c r="P29" s="18" t="s">
        <v>50</v>
      </c>
      <c r="Q29" s="22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</row>
    <row r="30" spans="1:40" ht="12.75" customHeight="1" x14ac:dyDescent="0.3">
      <c r="A30" s="49"/>
      <c r="B30" s="19"/>
      <c r="C30" s="19"/>
      <c r="D30" s="2" t="s">
        <v>51</v>
      </c>
      <c r="E30" s="2" t="s">
        <v>52</v>
      </c>
      <c r="F30" s="2" t="s">
        <v>53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</row>
    <row r="31" spans="1:40" ht="12.75" customHeight="1" x14ac:dyDescent="0.25">
      <c r="A31" s="49"/>
      <c r="B31" s="3" t="s">
        <v>54</v>
      </c>
      <c r="C31" s="3" t="s">
        <v>55</v>
      </c>
      <c r="D31" s="4">
        <v>1.2899999999999999E-4</v>
      </c>
      <c r="E31" s="4">
        <v>7.0500000000000006E-5</v>
      </c>
      <c r="F31" s="5">
        <f t="shared" ref="F31:F70" si="0">SQRT((D31*H31/G31)^2+(E31*H31/G31)^2)</f>
        <v>5.1452678501706789E-3</v>
      </c>
      <c r="G31" s="6">
        <v>10</v>
      </c>
      <c r="H31" s="6">
        <v>350</v>
      </c>
      <c r="I31" s="7">
        <v>11.1</v>
      </c>
      <c r="J31" s="5">
        <f>E21</f>
        <v>7.6198965754533674E-3</v>
      </c>
      <c r="K31" s="5">
        <f>F31+J31</f>
        <v>1.2765164425624045E-2</v>
      </c>
      <c r="L31" s="8" t="str">
        <f t="shared" ref="L31:L70" si="1">C31</f>
        <v>DG PANEL-1</v>
      </c>
      <c r="M31" s="9">
        <v>0.2</v>
      </c>
      <c r="N31" s="10">
        <f t="shared" ref="N31:N70" si="2">IF(B31="",0,$E$6/(1.732*K31)/1000)</f>
        <v>18.77041159135068</v>
      </c>
      <c r="O31" s="11">
        <f t="shared" ref="O31:O70" si="3">N31*I31*SQRT(M31)</f>
        <v>93.177654150280475</v>
      </c>
      <c r="P31" s="9" t="s">
        <v>56</v>
      </c>
      <c r="Q31" s="9"/>
      <c r="R31" s="49"/>
      <c r="S31" s="49"/>
      <c r="T31" s="49"/>
      <c r="U31" s="28" t="str">
        <f t="shared" ref="U31:U70" si="4">C31</f>
        <v>DG PANEL-1</v>
      </c>
      <c r="V31" s="62">
        <f>K31</f>
        <v>1.2765164425624045E-2</v>
      </c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</row>
    <row r="32" spans="1:40" ht="12.75" customHeight="1" x14ac:dyDescent="0.25">
      <c r="A32" s="49"/>
      <c r="B32" s="3" t="s">
        <v>55</v>
      </c>
      <c r="C32" s="12" t="s">
        <v>57</v>
      </c>
      <c r="D32" s="4">
        <v>1.2899999999999999E-4</v>
      </c>
      <c r="E32" s="4">
        <v>7.0500000000000006E-5</v>
      </c>
      <c r="F32" s="5">
        <f t="shared" si="0"/>
        <v>2.7563934911628633E-4</v>
      </c>
      <c r="G32" s="6">
        <v>8</v>
      </c>
      <c r="H32" s="6">
        <v>15</v>
      </c>
      <c r="I32" s="7">
        <v>11.1</v>
      </c>
      <c r="J32" s="5">
        <f t="shared" ref="J32:J70" si="5">W32</f>
        <v>1.2765164425624045E-2</v>
      </c>
      <c r="K32" s="5">
        <f t="shared" ref="K32:K70" si="6">Y32</f>
        <v>1.3040803774740331E-2</v>
      </c>
      <c r="L32" s="8" t="str">
        <f t="shared" si="1"/>
        <v>SMSB-A&amp;B</v>
      </c>
      <c r="M32" s="9">
        <v>0.2</v>
      </c>
      <c r="N32" s="10">
        <f t="shared" si="2"/>
        <v>18.37366733209679</v>
      </c>
      <c r="O32" s="11">
        <f t="shared" si="3"/>
        <v>91.208187514189092</v>
      </c>
      <c r="P32" s="9" t="s">
        <v>58</v>
      </c>
      <c r="Q32" s="9"/>
      <c r="R32" s="49"/>
      <c r="S32" s="49"/>
      <c r="T32" s="49"/>
      <c r="U32" s="28" t="str">
        <f t="shared" si="4"/>
        <v>SMSB-A&amp;B</v>
      </c>
      <c r="V32" s="62">
        <f t="shared" ref="V32:V70" si="7">Y32</f>
        <v>1.3040803774740331E-2</v>
      </c>
      <c r="W32" s="62">
        <f t="shared" ref="W32:W70" si="8">VLOOKUP(B32,$U$31:$V$70,2,0)</f>
        <v>1.2765164425624045E-2</v>
      </c>
      <c r="X32" s="49"/>
      <c r="Y32" s="63">
        <f t="shared" ref="Y32:Y70" si="9">IF(B32="",0,W32+F32)</f>
        <v>1.3040803774740331E-2</v>
      </c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</row>
    <row r="33" spans="1:40" ht="12.75" customHeight="1" x14ac:dyDescent="0.25">
      <c r="A33" s="49"/>
      <c r="B33" s="3" t="s">
        <v>55</v>
      </c>
      <c r="C33" s="3" t="s">
        <v>59</v>
      </c>
      <c r="D33" s="4">
        <v>1.2899999999999999E-4</v>
      </c>
      <c r="E33" s="4">
        <v>7.0500000000000006E-5</v>
      </c>
      <c r="F33" s="5">
        <f t="shared" si="0"/>
        <v>2.7563934911628633E-4</v>
      </c>
      <c r="G33" s="6">
        <v>8</v>
      </c>
      <c r="H33" s="6">
        <v>15</v>
      </c>
      <c r="I33" s="7">
        <v>11.1</v>
      </c>
      <c r="J33" s="5">
        <f t="shared" si="5"/>
        <v>1.2765164425624045E-2</v>
      </c>
      <c r="K33" s="5">
        <f t="shared" si="6"/>
        <v>1.3040803774740331E-2</v>
      </c>
      <c r="L33" s="8" t="str">
        <f t="shared" si="1"/>
        <v>SMSB-C&amp;D</v>
      </c>
      <c r="M33" s="9">
        <v>0.2</v>
      </c>
      <c r="N33" s="10">
        <f t="shared" si="2"/>
        <v>18.37366733209679</v>
      </c>
      <c r="O33" s="11">
        <f t="shared" si="3"/>
        <v>91.208187514189092</v>
      </c>
      <c r="P33" s="9" t="s">
        <v>60</v>
      </c>
      <c r="Q33" s="9"/>
      <c r="R33" s="49"/>
      <c r="S33" s="49"/>
      <c r="T33" s="49"/>
      <c r="U33" s="28" t="str">
        <f t="shared" si="4"/>
        <v>SMSB-C&amp;D</v>
      </c>
      <c r="V33" s="62">
        <f t="shared" si="7"/>
        <v>1.3040803774740331E-2</v>
      </c>
      <c r="W33" s="62">
        <f t="shared" si="8"/>
        <v>1.2765164425624045E-2</v>
      </c>
      <c r="X33" s="49"/>
      <c r="Y33" s="63">
        <f t="shared" si="9"/>
        <v>1.3040803774740331E-2</v>
      </c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</row>
    <row r="34" spans="1:40" ht="12.75" customHeight="1" x14ac:dyDescent="0.25">
      <c r="A34" s="49"/>
      <c r="B34" s="3" t="s">
        <v>57</v>
      </c>
      <c r="C34" s="3" t="s">
        <v>61</v>
      </c>
      <c r="D34" s="4">
        <v>2.0999999999999998E-4</v>
      </c>
      <c r="E34" s="4">
        <v>7.1799999999999997E-5</v>
      </c>
      <c r="F34" s="5">
        <f t="shared" si="0"/>
        <v>1.6645141182939842E-3</v>
      </c>
      <c r="G34" s="6">
        <v>2</v>
      </c>
      <c r="H34" s="6">
        <v>15</v>
      </c>
      <c r="I34" s="7">
        <v>11.1</v>
      </c>
      <c r="J34" s="5">
        <f t="shared" si="5"/>
        <v>1.3040803774740331E-2</v>
      </c>
      <c r="K34" s="5">
        <f t="shared" si="6"/>
        <v>1.4705317893034316E-2</v>
      </c>
      <c r="L34" s="8" t="str">
        <f t="shared" si="1"/>
        <v>MLP</v>
      </c>
      <c r="M34" s="9">
        <v>0.2</v>
      </c>
      <c r="N34" s="10">
        <f t="shared" si="2"/>
        <v>16.293927954711496</v>
      </c>
      <c r="O34" s="11">
        <f t="shared" si="3"/>
        <v>80.884213770426214</v>
      </c>
      <c r="P34" s="9" t="s">
        <v>62</v>
      </c>
      <c r="Q34" s="9"/>
      <c r="R34" s="49"/>
      <c r="S34" s="49"/>
      <c r="T34" s="49"/>
      <c r="U34" s="28" t="str">
        <f t="shared" si="4"/>
        <v>MLP</v>
      </c>
      <c r="V34" s="62">
        <f t="shared" si="7"/>
        <v>1.4705317893034316E-2</v>
      </c>
      <c r="W34" s="62">
        <f t="shared" si="8"/>
        <v>1.3040803774740331E-2</v>
      </c>
      <c r="X34" s="49"/>
      <c r="Y34" s="63">
        <f t="shared" si="9"/>
        <v>1.4705317893034316E-2</v>
      </c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</row>
    <row r="35" spans="1:40" ht="12.75" customHeight="1" x14ac:dyDescent="0.25">
      <c r="A35" s="49"/>
      <c r="B35" s="3" t="s">
        <v>59</v>
      </c>
      <c r="C35" s="3" t="s">
        <v>63</v>
      </c>
      <c r="D35" s="4">
        <v>2.6400000000000002E-4</v>
      </c>
      <c r="E35" s="4">
        <v>7.1600000000000006E-5</v>
      </c>
      <c r="F35" s="5">
        <f t="shared" si="0"/>
        <v>2.0515284545918441E-3</v>
      </c>
      <c r="G35" s="6">
        <v>2</v>
      </c>
      <c r="H35" s="6">
        <v>15</v>
      </c>
      <c r="I35" s="7">
        <v>11.1</v>
      </c>
      <c r="J35" s="5">
        <f t="shared" si="5"/>
        <v>1.3040803774740331E-2</v>
      </c>
      <c r="K35" s="5">
        <f t="shared" si="6"/>
        <v>1.5092332229332175E-2</v>
      </c>
      <c r="L35" s="8" t="str">
        <f t="shared" si="1"/>
        <v>AHU-1</v>
      </c>
      <c r="M35" s="9">
        <v>0.2</v>
      </c>
      <c r="N35" s="10">
        <f t="shared" si="2"/>
        <v>15.876100966989739</v>
      </c>
      <c r="O35" s="11">
        <f t="shared" si="3"/>
        <v>78.810090975243028</v>
      </c>
      <c r="P35" s="9" t="s">
        <v>56</v>
      </c>
      <c r="Q35" s="9"/>
      <c r="R35" s="49"/>
      <c r="S35" s="49"/>
      <c r="T35" s="49"/>
      <c r="U35" s="28" t="str">
        <f t="shared" si="4"/>
        <v>AHU-1</v>
      </c>
      <c r="V35" s="62">
        <f t="shared" si="7"/>
        <v>1.5092332229332175E-2</v>
      </c>
      <c r="W35" s="62">
        <f t="shared" si="8"/>
        <v>1.3040803774740331E-2</v>
      </c>
      <c r="X35" s="49"/>
      <c r="Y35" s="63">
        <f t="shared" si="9"/>
        <v>1.5092332229332175E-2</v>
      </c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</row>
    <row r="36" spans="1:40" ht="12.75" customHeight="1" x14ac:dyDescent="0.25">
      <c r="A36" s="49"/>
      <c r="B36" s="3" t="s">
        <v>57</v>
      </c>
      <c r="C36" s="3" t="s">
        <v>64</v>
      </c>
      <c r="D36" s="4">
        <v>1.6000000000000001E-4</v>
      </c>
      <c r="E36" s="4">
        <v>8.3900000000000006E-5</v>
      </c>
      <c r="F36" s="5">
        <f t="shared" si="0"/>
        <v>2.7099487541280185E-3</v>
      </c>
      <c r="G36" s="6">
        <v>2</v>
      </c>
      <c r="H36" s="6">
        <v>30</v>
      </c>
      <c r="I36" s="7">
        <v>11.1</v>
      </c>
      <c r="J36" s="5">
        <f t="shared" si="5"/>
        <v>1.3040803774740331E-2</v>
      </c>
      <c r="K36" s="5">
        <f t="shared" si="6"/>
        <v>1.5750752528868348E-2</v>
      </c>
      <c r="L36" s="8" t="str">
        <f t="shared" si="1"/>
        <v xml:space="preserve">UPS-B1 </v>
      </c>
      <c r="M36" s="9">
        <v>0.2</v>
      </c>
      <c r="N36" s="10">
        <f t="shared" si="2"/>
        <v>15.212440793611156</v>
      </c>
      <c r="O36" s="11">
        <f t="shared" si="3"/>
        <v>75.515634814415975</v>
      </c>
      <c r="P36" s="9" t="s">
        <v>56</v>
      </c>
      <c r="Q36" s="9"/>
      <c r="R36" s="49"/>
      <c r="S36" s="49"/>
      <c r="T36" s="49"/>
      <c r="U36" s="28" t="str">
        <f t="shared" si="4"/>
        <v xml:space="preserve">UPS-B1 </v>
      </c>
      <c r="V36" s="62">
        <f t="shared" si="7"/>
        <v>1.5750752528868348E-2</v>
      </c>
      <c r="W36" s="62">
        <f t="shared" si="8"/>
        <v>1.3040803774740331E-2</v>
      </c>
      <c r="X36" s="49"/>
      <c r="Y36" s="63">
        <f t="shared" si="9"/>
        <v>1.5750752528868348E-2</v>
      </c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</row>
    <row r="37" spans="1:40" ht="12.75" customHeight="1" x14ac:dyDescent="0.25">
      <c r="A37" s="49"/>
      <c r="B37" s="3" t="s">
        <v>57</v>
      </c>
      <c r="C37" s="3" t="s">
        <v>65</v>
      </c>
      <c r="D37" s="4">
        <v>1.6000000000000001E-4</v>
      </c>
      <c r="E37" s="4">
        <v>8.3900000000000006E-5</v>
      </c>
      <c r="F37" s="5">
        <f t="shared" si="0"/>
        <v>2.7099487541280185E-3</v>
      </c>
      <c r="G37" s="6">
        <v>2</v>
      </c>
      <c r="H37" s="6">
        <v>30</v>
      </c>
      <c r="I37" s="7">
        <v>11.1</v>
      </c>
      <c r="J37" s="5">
        <f t="shared" si="5"/>
        <v>1.3040803774740331E-2</v>
      </c>
      <c r="K37" s="5">
        <f t="shared" si="6"/>
        <v>1.5750752528868348E-2</v>
      </c>
      <c r="L37" s="8" t="str">
        <f t="shared" si="1"/>
        <v xml:space="preserve">UPS-ACOP </v>
      </c>
      <c r="M37" s="9">
        <v>0.2</v>
      </c>
      <c r="N37" s="10">
        <f t="shared" si="2"/>
        <v>15.212440793611156</v>
      </c>
      <c r="O37" s="11">
        <f t="shared" si="3"/>
        <v>75.515634814415975</v>
      </c>
      <c r="P37" s="9" t="s">
        <v>56</v>
      </c>
      <c r="Q37" s="9"/>
      <c r="R37" s="49"/>
      <c r="S37" s="49"/>
      <c r="T37" s="49"/>
      <c r="U37" s="28" t="str">
        <f t="shared" si="4"/>
        <v xml:space="preserve">UPS-ACOP </v>
      </c>
      <c r="V37" s="62">
        <f t="shared" si="7"/>
        <v>1.5750752528868348E-2</v>
      </c>
      <c r="W37" s="62">
        <f t="shared" si="8"/>
        <v>1.3040803774740331E-2</v>
      </c>
      <c r="X37" s="49"/>
      <c r="Y37" s="63">
        <f t="shared" si="9"/>
        <v>1.5750752528868348E-2</v>
      </c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</row>
    <row r="38" spans="1:40" ht="12.75" customHeight="1" x14ac:dyDescent="0.25">
      <c r="A38" s="49"/>
      <c r="B38" s="3" t="s">
        <v>57</v>
      </c>
      <c r="C38" s="3" t="s">
        <v>66</v>
      </c>
      <c r="D38" s="4">
        <v>2.0999999999999998E-4</v>
      </c>
      <c r="E38" s="4">
        <v>7.1799999999999997E-5</v>
      </c>
      <c r="F38" s="5">
        <f t="shared" si="0"/>
        <v>3.9948338839055617E-2</v>
      </c>
      <c r="G38" s="6">
        <v>2</v>
      </c>
      <c r="H38" s="6">
        <v>360</v>
      </c>
      <c r="I38" s="7">
        <v>11.1</v>
      </c>
      <c r="J38" s="5">
        <f t="shared" si="5"/>
        <v>1.3040803774740331E-2</v>
      </c>
      <c r="K38" s="5">
        <f t="shared" si="6"/>
        <v>5.2989142613795948E-2</v>
      </c>
      <c r="L38" s="8" t="str">
        <f t="shared" si="1"/>
        <v>CAFETERIA</v>
      </c>
      <c r="M38" s="9">
        <v>0.2</v>
      </c>
      <c r="N38" s="10">
        <f t="shared" si="2"/>
        <v>4.5218204802175483</v>
      </c>
      <c r="O38" s="11">
        <f t="shared" si="3"/>
        <v>22.44663750631414</v>
      </c>
      <c r="P38" s="9" t="s">
        <v>62</v>
      </c>
      <c r="Q38" s="9"/>
      <c r="R38" s="49"/>
      <c r="S38" s="49"/>
      <c r="T38" s="49"/>
      <c r="U38" s="28" t="str">
        <f t="shared" si="4"/>
        <v>CAFETERIA</v>
      </c>
      <c r="V38" s="62">
        <f t="shared" si="7"/>
        <v>5.2989142613795948E-2</v>
      </c>
      <c r="W38" s="62">
        <f t="shared" si="8"/>
        <v>1.3040803774740331E-2</v>
      </c>
      <c r="X38" s="49"/>
      <c r="Y38" s="63">
        <f t="shared" si="9"/>
        <v>5.2989142613795948E-2</v>
      </c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</row>
    <row r="39" spans="1:40" ht="12.75" customHeight="1" x14ac:dyDescent="0.25">
      <c r="A39" s="49"/>
      <c r="B39" s="3" t="s">
        <v>59</v>
      </c>
      <c r="C39" s="3" t="s">
        <v>67</v>
      </c>
      <c r="D39" s="4">
        <v>2.6400000000000002E-4</v>
      </c>
      <c r="E39" s="4">
        <v>7.1600000000000006E-5</v>
      </c>
      <c r="F39" s="5">
        <f t="shared" si="0"/>
        <v>2.0515284545918441E-3</v>
      </c>
      <c r="G39" s="6">
        <v>2</v>
      </c>
      <c r="H39" s="6">
        <v>15</v>
      </c>
      <c r="I39" s="7">
        <v>11.1</v>
      </c>
      <c r="J39" s="5">
        <f t="shared" si="5"/>
        <v>1.3040803774740331E-2</v>
      </c>
      <c r="K39" s="5">
        <f t="shared" si="6"/>
        <v>1.5092332229332175E-2</v>
      </c>
      <c r="L39" s="8" t="str">
        <f t="shared" si="1"/>
        <v>AHU-2</v>
      </c>
      <c r="M39" s="9">
        <v>0.2</v>
      </c>
      <c r="N39" s="10">
        <f t="shared" si="2"/>
        <v>15.876100966989739</v>
      </c>
      <c r="O39" s="11">
        <f t="shared" si="3"/>
        <v>78.810090975243028</v>
      </c>
      <c r="P39" s="9" t="s">
        <v>60</v>
      </c>
      <c r="Q39" s="9"/>
      <c r="R39" s="49"/>
      <c r="S39" s="49"/>
      <c r="T39" s="49"/>
      <c r="U39" s="28" t="str">
        <f t="shared" si="4"/>
        <v>AHU-2</v>
      </c>
      <c r="V39" s="62">
        <f t="shared" si="7"/>
        <v>1.5092332229332175E-2</v>
      </c>
      <c r="W39" s="62">
        <f t="shared" si="8"/>
        <v>1.3040803774740331E-2</v>
      </c>
      <c r="X39" s="49"/>
      <c r="Y39" s="63">
        <f t="shared" si="9"/>
        <v>1.5092332229332175E-2</v>
      </c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</row>
    <row r="40" spans="1:40" ht="12.75" customHeight="1" x14ac:dyDescent="0.25">
      <c r="A40" s="49"/>
      <c r="B40" s="3" t="s">
        <v>59</v>
      </c>
      <c r="C40" s="3" t="s">
        <v>68</v>
      </c>
      <c r="D40" s="4">
        <v>1.6000000000000001E-4</v>
      </c>
      <c r="E40" s="4">
        <v>8.3900000000000006E-5</v>
      </c>
      <c r="F40" s="5">
        <f t="shared" si="0"/>
        <v>1.8066325027520124E-3</v>
      </c>
      <c r="G40" s="6">
        <v>2</v>
      </c>
      <c r="H40" s="6">
        <v>20</v>
      </c>
      <c r="I40" s="7">
        <v>11.1</v>
      </c>
      <c r="J40" s="5">
        <f t="shared" si="5"/>
        <v>1.3040803774740331E-2</v>
      </c>
      <c r="K40" s="5">
        <f t="shared" si="6"/>
        <v>1.4847436277492344E-2</v>
      </c>
      <c r="L40" s="8" t="str">
        <f t="shared" si="1"/>
        <v>UPS-C1</v>
      </c>
      <c r="M40" s="9">
        <v>0.2</v>
      </c>
      <c r="N40" s="10">
        <f t="shared" si="2"/>
        <v>16.13796387619179</v>
      </c>
      <c r="O40" s="11">
        <f t="shared" si="3"/>
        <v>80.109997025233866</v>
      </c>
      <c r="P40" s="9" t="s">
        <v>56</v>
      </c>
      <c r="Q40" s="9"/>
      <c r="R40" s="49"/>
      <c r="S40" s="49"/>
      <c r="T40" s="49"/>
      <c r="U40" s="28" t="str">
        <f t="shared" si="4"/>
        <v>UPS-C1</v>
      </c>
      <c r="V40" s="62">
        <f t="shared" si="7"/>
        <v>1.4847436277492344E-2</v>
      </c>
      <c r="W40" s="62">
        <f t="shared" si="8"/>
        <v>1.3040803774740331E-2</v>
      </c>
      <c r="X40" s="49"/>
      <c r="Y40" s="63">
        <f t="shared" si="9"/>
        <v>1.4847436277492344E-2</v>
      </c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</row>
    <row r="41" spans="1:40" ht="12.75" customHeight="1" x14ac:dyDescent="0.25">
      <c r="A41" s="49"/>
      <c r="B41" s="3" t="s">
        <v>59</v>
      </c>
      <c r="C41" s="3" t="s">
        <v>69</v>
      </c>
      <c r="D41" s="4">
        <v>1.6000000000000001E-4</v>
      </c>
      <c r="E41" s="4">
        <v>8.3900000000000006E-5</v>
      </c>
      <c r="F41" s="5">
        <f t="shared" si="0"/>
        <v>1.8066325027520124E-3</v>
      </c>
      <c r="G41" s="6">
        <v>2</v>
      </c>
      <c r="H41" s="6">
        <v>20</v>
      </c>
      <c r="I41" s="7">
        <v>11.1</v>
      </c>
      <c r="J41" s="5">
        <f t="shared" si="5"/>
        <v>1.3040803774740331E-2</v>
      </c>
      <c r="K41" s="5">
        <f t="shared" si="6"/>
        <v>1.4847436277492344E-2</v>
      </c>
      <c r="L41" s="8" t="str">
        <f t="shared" si="1"/>
        <v>UPS-D1</v>
      </c>
      <c r="M41" s="9">
        <v>0.2</v>
      </c>
      <c r="N41" s="10">
        <f t="shared" si="2"/>
        <v>16.13796387619179</v>
      </c>
      <c r="O41" s="11">
        <f t="shared" si="3"/>
        <v>80.109997025233866</v>
      </c>
      <c r="P41" s="9" t="s">
        <v>56</v>
      </c>
      <c r="Q41" s="9"/>
      <c r="R41" s="49"/>
      <c r="S41" s="49"/>
      <c r="T41" s="49"/>
      <c r="U41" s="28" t="str">
        <f t="shared" si="4"/>
        <v>UPS-D1</v>
      </c>
      <c r="V41" s="62">
        <f t="shared" si="7"/>
        <v>1.4847436277492344E-2</v>
      </c>
      <c r="W41" s="62">
        <f t="shared" si="8"/>
        <v>1.3040803774740331E-2</v>
      </c>
      <c r="X41" s="49"/>
      <c r="Y41" s="63">
        <f t="shared" si="9"/>
        <v>1.4847436277492344E-2</v>
      </c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</row>
    <row r="42" spans="1:40" ht="12.75" customHeight="1" x14ac:dyDescent="0.25">
      <c r="A42" s="49"/>
      <c r="B42" s="3" t="s">
        <v>59</v>
      </c>
      <c r="C42" s="3" t="s">
        <v>65</v>
      </c>
      <c r="D42" s="4">
        <v>1.6000000000000001E-4</v>
      </c>
      <c r="E42" s="4">
        <v>8.3900000000000006E-5</v>
      </c>
      <c r="F42" s="5">
        <f t="shared" si="0"/>
        <v>1.8066325027520124E-3</v>
      </c>
      <c r="G42" s="6">
        <v>2</v>
      </c>
      <c r="H42" s="6">
        <v>20</v>
      </c>
      <c r="I42" s="7">
        <v>11.1</v>
      </c>
      <c r="J42" s="5">
        <f t="shared" si="5"/>
        <v>1.3040803774740331E-2</v>
      </c>
      <c r="K42" s="5">
        <f t="shared" si="6"/>
        <v>1.4847436277492344E-2</v>
      </c>
      <c r="L42" s="8" t="str">
        <f t="shared" si="1"/>
        <v xml:space="preserve">UPS-ACOP </v>
      </c>
      <c r="M42" s="9">
        <v>0.2</v>
      </c>
      <c r="N42" s="10">
        <f t="shared" si="2"/>
        <v>16.13796387619179</v>
      </c>
      <c r="O42" s="11">
        <f t="shared" si="3"/>
        <v>80.109997025233866</v>
      </c>
      <c r="P42" s="9" t="s">
        <v>56</v>
      </c>
      <c r="Q42" s="9"/>
      <c r="R42" s="49"/>
      <c r="S42" s="49"/>
      <c r="T42" s="49"/>
      <c r="U42" s="28" t="str">
        <f t="shared" si="4"/>
        <v xml:space="preserve">UPS-ACOP </v>
      </c>
      <c r="V42" s="62">
        <f t="shared" si="7"/>
        <v>1.4847436277492344E-2</v>
      </c>
      <c r="W42" s="62">
        <f t="shared" si="8"/>
        <v>1.3040803774740331E-2</v>
      </c>
      <c r="X42" s="49"/>
      <c r="Y42" s="63">
        <f t="shared" si="9"/>
        <v>1.4847436277492344E-2</v>
      </c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</row>
    <row r="43" spans="1:40" ht="12.75" customHeight="1" x14ac:dyDescent="0.25">
      <c r="A43" s="49"/>
      <c r="B43" s="3" t="s">
        <v>57</v>
      </c>
      <c r="C43" s="3" t="s">
        <v>70</v>
      </c>
      <c r="D43" s="4">
        <v>2.0999999999999998E-4</v>
      </c>
      <c r="E43" s="4">
        <v>7.1799999999999997E-5</v>
      </c>
      <c r="F43" s="5">
        <f t="shared" si="0"/>
        <v>1.6645141182939843E-2</v>
      </c>
      <c r="G43" s="6">
        <v>2</v>
      </c>
      <c r="H43" s="6">
        <v>150</v>
      </c>
      <c r="I43" s="7">
        <v>11.1</v>
      </c>
      <c r="J43" s="5">
        <f t="shared" si="5"/>
        <v>1.3040803774740331E-2</v>
      </c>
      <c r="K43" s="5">
        <f t="shared" si="6"/>
        <v>2.9685944957680174E-2</v>
      </c>
      <c r="L43" s="8" t="str">
        <f t="shared" si="1"/>
        <v>LC</v>
      </c>
      <c r="M43" s="9">
        <v>0.2</v>
      </c>
      <c r="N43" s="10">
        <f t="shared" si="2"/>
        <v>8.0714085619242208</v>
      </c>
      <c r="O43" s="11">
        <f t="shared" si="3"/>
        <v>40.067044445372758</v>
      </c>
      <c r="P43" s="9" t="s">
        <v>56</v>
      </c>
      <c r="Q43" s="9"/>
      <c r="R43" s="49"/>
      <c r="S43" s="49"/>
      <c r="T43" s="49"/>
      <c r="U43" s="28" t="str">
        <f t="shared" si="4"/>
        <v>LC</v>
      </c>
      <c r="V43" s="62">
        <f t="shared" si="7"/>
        <v>2.9685944957680174E-2</v>
      </c>
      <c r="W43" s="62">
        <f t="shared" si="8"/>
        <v>1.3040803774740331E-2</v>
      </c>
      <c r="X43" s="49"/>
      <c r="Y43" s="63">
        <f t="shared" si="9"/>
        <v>2.9685944957680174E-2</v>
      </c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</row>
    <row r="44" spans="1:40" ht="12.75" customHeight="1" x14ac:dyDescent="0.25">
      <c r="A44" s="49"/>
      <c r="B44" s="3" t="s">
        <v>59</v>
      </c>
      <c r="C44" s="3" t="s">
        <v>70</v>
      </c>
      <c r="D44" s="4">
        <v>2.0999999999999998E-4</v>
      </c>
      <c r="E44" s="4">
        <v>7.1799999999999997E-5</v>
      </c>
      <c r="F44" s="5">
        <f t="shared" si="0"/>
        <v>1.6645141182939843E-2</v>
      </c>
      <c r="G44" s="6">
        <v>2</v>
      </c>
      <c r="H44" s="6">
        <v>150</v>
      </c>
      <c r="I44" s="7">
        <v>11.1</v>
      </c>
      <c r="J44" s="5">
        <f t="shared" si="5"/>
        <v>1.3040803774740331E-2</v>
      </c>
      <c r="K44" s="5">
        <f t="shared" si="6"/>
        <v>2.9685944957680174E-2</v>
      </c>
      <c r="L44" s="8" t="str">
        <f t="shared" si="1"/>
        <v>LC</v>
      </c>
      <c r="M44" s="9">
        <v>0.2</v>
      </c>
      <c r="N44" s="10">
        <f t="shared" si="2"/>
        <v>8.0714085619242208</v>
      </c>
      <c r="O44" s="11">
        <f t="shared" si="3"/>
        <v>40.067044445372758</v>
      </c>
      <c r="P44" s="9" t="s">
        <v>56</v>
      </c>
      <c r="Q44" s="9"/>
      <c r="R44" s="49"/>
      <c r="S44" s="49"/>
      <c r="T44" s="49"/>
      <c r="U44" s="28" t="str">
        <f t="shared" si="4"/>
        <v>LC</v>
      </c>
      <c r="V44" s="62">
        <f t="shared" si="7"/>
        <v>2.9685944957680174E-2</v>
      </c>
      <c r="W44" s="62">
        <f t="shared" si="8"/>
        <v>1.3040803774740331E-2</v>
      </c>
      <c r="X44" s="49"/>
      <c r="Y44" s="63">
        <f t="shared" si="9"/>
        <v>2.9685944957680174E-2</v>
      </c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</row>
    <row r="45" spans="1:40" ht="12.75" customHeight="1" x14ac:dyDescent="0.25">
      <c r="A45" s="49"/>
      <c r="B45" s="3" t="s">
        <v>61</v>
      </c>
      <c r="C45" s="3" t="s">
        <v>71</v>
      </c>
      <c r="D45" s="4">
        <v>4.0899999999999997E-4</v>
      </c>
      <c r="E45" s="4">
        <v>7.2399999999999998E-5</v>
      </c>
      <c r="F45" s="5">
        <f t="shared" si="0"/>
        <v>2.4921515523739723E-2</v>
      </c>
      <c r="G45" s="6">
        <v>1</v>
      </c>
      <c r="H45" s="6">
        <v>60</v>
      </c>
      <c r="I45" s="7">
        <v>11.1</v>
      </c>
      <c r="J45" s="5">
        <f t="shared" si="5"/>
        <v>1.4705317893034316E-2</v>
      </c>
      <c r="K45" s="5">
        <f t="shared" si="6"/>
        <v>3.9626833416774039E-2</v>
      </c>
      <c r="L45" s="8" t="str">
        <f t="shared" si="1"/>
        <v>MLP-B</v>
      </c>
      <c r="M45" s="9">
        <v>0.2</v>
      </c>
      <c r="N45" s="10">
        <f t="shared" si="2"/>
        <v>6.0465944321154135</v>
      </c>
      <c r="O45" s="11">
        <f t="shared" si="3"/>
        <v>30.015723525331598</v>
      </c>
      <c r="P45" s="9" t="s">
        <v>72</v>
      </c>
      <c r="Q45" s="9"/>
      <c r="R45" s="49"/>
      <c r="S45" s="49"/>
      <c r="T45" s="49"/>
      <c r="U45" s="28" t="str">
        <f t="shared" si="4"/>
        <v>MLP-B</v>
      </c>
      <c r="V45" s="62">
        <f t="shared" si="7"/>
        <v>3.9626833416774039E-2</v>
      </c>
      <c r="W45" s="62">
        <f t="shared" si="8"/>
        <v>1.4705317893034316E-2</v>
      </c>
      <c r="X45" s="49"/>
      <c r="Y45" s="63">
        <f t="shared" si="9"/>
        <v>3.9626833416774039E-2</v>
      </c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</row>
    <row r="46" spans="1:40" ht="12.75" customHeight="1" x14ac:dyDescent="0.25">
      <c r="A46" s="49"/>
      <c r="B46" s="3" t="s">
        <v>61</v>
      </c>
      <c r="C46" s="3" t="s">
        <v>73</v>
      </c>
      <c r="D46" s="4">
        <v>4.0899999999999997E-4</v>
      </c>
      <c r="E46" s="4">
        <v>7.2399999999999998E-5</v>
      </c>
      <c r="F46" s="5">
        <f t="shared" si="0"/>
        <v>1.9937212418991775E-2</v>
      </c>
      <c r="G46" s="6">
        <v>1</v>
      </c>
      <c r="H46" s="6">
        <v>48</v>
      </c>
      <c r="I46" s="7">
        <v>11.1</v>
      </c>
      <c r="J46" s="5">
        <f t="shared" si="5"/>
        <v>1.4705317893034316E-2</v>
      </c>
      <c r="K46" s="5">
        <f t="shared" si="6"/>
        <v>3.464253031202609E-2</v>
      </c>
      <c r="L46" s="8" t="str">
        <f t="shared" si="1"/>
        <v>MLP-C</v>
      </c>
      <c r="M46" s="9">
        <v>0.2</v>
      </c>
      <c r="N46" s="10">
        <f t="shared" si="2"/>
        <v>6.9165672409631025</v>
      </c>
      <c r="O46" s="11">
        <f t="shared" si="3"/>
        <v>34.334330238266496</v>
      </c>
      <c r="P46" s="9" t="s">
        <v>72</v>
      </c>
      <c r="Q46" s="9"/>
      <c r="R46" s="49"/>
      <c r="S46" s="49"/>
      <c r="T46" s="49"/>
      <c r="U46" s="28" t="str">
        <f t="shared" si="4"/>
        <v>MLP-C</v>
      </c>
      <c r="V46" s="62">
        <f t="shared" si="7"/>
        <v>3.464253031202609E-2</v>
      </c>
      <c r="W46" s="62">
        <f t="shared" si="8"/>
        <v>1.4705317893034316E-2</v>
      </c>
      <c r="X46" s="49"/>
      <c r="Y46" s="63">
        <f t="shared" si="9"/>
        <v>3.464253031202609E-2</v>
      </c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</row>
    <row r="47" spans="1:40" ht="12.75" customHeight="1" x14ac:dyDescent="0.25">
      <c r="A47" s="49"/>
      <c r="B47" s="3" t="s">
        <v>61</v>
      </c>
      <c r="C47" s="3" t="s">
        <v>74</v>
      </c>
      <c r="D47" s="4">
        <v>4.0899999999999997E-4</v>
      </c>
      <c r="E47" s="4">
        <v>7.2399999999999998E-5</v>
      </c>
      <c r="F47" s="5">
        <f t="shared" si="0"/>
        <v>2.4921515523739723E-2</v>
      </c>
      <c r="G47" s="6">
        <v>1</v>
      </c>
      <c r="H47" s="6">
        <v>60</v>
      </c>
      <c r="I47" s="7">
        <v>11.1</v>
      </c>
      <c r="J47" s="5">
        <f t="shared" si="5"/>
        <v>1.4705317893034316E-2</v>
      </c>
      <c r="K47" s="5">
        <f t="shared" si="6"/>
        <v>3.9626833416774039E-2</v>
      </c>
      <c r="L47" s="8" t="str">
        <f t="shared" si="1"/>
        <v>MLP-D</v>
      </c>
      <c r="M47" s="9">
        <v>0.2</v>
      </c>
      <c r="N47" s="10">
        <f t="shared" si="2"/>
        <v>6.0465944321154135</v>
      </c>
      <c r="O47" s="11">
        <f t="shared" si="3"/>
        <v>30.015723525331598</v>
      </c>
      <c r="P47" s="9" t="s">
        <v>72</v>
      </c>
      <c r="Q47" s="9"/>
      <c r="R47" s="49"/>
      <c r="S47" s="49"/>
      <c r="T47" s="49"/>
      <c r="U47" s="28" t="str">
        <f t="shared" si="4"/>
        <v>MLP-D</v>
      </c>
      <c r="V47" s="62">
        <f t="shared" si="7"/>
        <v>3.9626833416774039E-2</v>
      </c>
      <c r="W47" s="62">
        <f t="shared" si="8"/>
        <v>1.4705317893034316E-2</v>
      </c>
      <c r="X47" s="49"/>
      <c r="Y47" s="63">
        <f t="shared" si="9"/>
        <v>3.9626833416774039E-2</v>
      </c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</row>
    <row r="48" spans="1:40" ht="12.75" customHeight="1" x14ac:dyDescent="0.25">
      <c r="A48" s="49"/>
      <c r="B48" s="3" t="s">
        <v>71</v>
      </c>
      <c r="C48" s="3" t="s">
        <v>75</v>
      </c>
      <c r="D48" s="4">
        <v>3.9399999999999999E-3</v>
      </c>
      <c r="E48" s="4">
        <v>8.3700000000000002E-5</v>
      </c>
      <c r="F48" s="5">
        <f t="shared" si="0"/>
        <v>7.881777893343607E-2</v>
      </c>
      <c r="G48" s="6">
        <v>1</v>
      </c>
      <c r="H48" s="6">
        <v>20</v>
      </c>
      <c r="I48" s="7">
        <v>11.1</v>
      </c>
      <c r="J48" s="5">
        <f t="shared" si="5"/>
        <v>3.9626833416774039E-2</v>
      </c>
      <c r="K48" s="5">
        <f t="shared" si="6"/>
        <v>0.11844461235021012</v>
      </c>
      <c r="L48" s="8" t="str">
        <f t="shared" si="1"/>
        <v>LDB-01B</v>
      </c>
      <c r="M48" s="9">
        <v>0.2</v>
      </c>
      <c r="N48" s="10">
        <f t="shared" si="2"/>
        <v>2.0229488327571525</v>
      </c>
      <c r="O48" s="11">
        <f t="shared" si="3"/>
        <v>10.042061453208438</v>
      </c>
      <c r="P48" s="9">
        <v>10</v>
      </c>
      <c r="Q48" s="9"/>
      <c r="R48" s="49"/>
      <c r="S48" s="49"/>
      <c r="T48" s="49"/>
      <c r="U48" s="28" t="str">
        <f t="shared" si="4"/>
        <v>LDB-01B</v>
      </c>
      <c r="V48" s="62">
        <f t="shared" si="7"/>
        <v>0.11844461235021012</v>
      </c>
      <c r="W48" s="62">
        <f t="shared" si="8"/>
        <v>3.9626833416774039E-2</v>
      </c>
      <c r="X48" s="49"/>
      <c r="Y48" s="63">
        <f t="shared" si="9"/>
        <v>0.11844461235021012</v>
      </c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</row>
    <row r="49" spans="1:40" ht="12.75" customHeight="1" x14ac:dyDescent="0.25">
      <c r="A49" s="49"/>
      <c r="B49" s="3" t="s">
        <v>73</v>
      </c>
      <c r="C49" s="3" t="s">
        <v>76</v>
      </c>
      <c r="D49" s="4">
        <v>3.9399999999999999E-3</v>
      </c>
      <c r="E49" s="4">
        <v>8.3700000000000002E-5</v>
      </c>
      <c r="F49" s="5">
        <f t="shared" si="0"/>
        <v>7.881777893343607E-2</v>
      </c>
      <c r="G49" s="6">
        <v>1</v>
      </c>
      <c r="H49" s="6">
        <v>20</v>
      </c>
      <c r="I49" s="7">
        <v>11.1</v>
      </c>
      <c r="J49" s="5">
        <f t="shared" si="5"/>
        <v>3.464253031202609E-2</v>
      </c>
      <c r="K49" s="5">
        <f t="shared" si="6"/>
        <v>0.11346030924546216</v>
      </c>
      <c r="L49" s="8" t="str">
        <f t="shared" si="1"/>
        <v>LDB-01C</v>
      </c>
      <c r="M49" s="9">
        <v>0.2</v>
      </c>
      <c r="N49" s="10">
        <f t="shared" si="2"/>
        <v>2.111816827344088</v>
      </c>
      <c r="O49" s="11">
        <f t="shared" si="3"/>
        <v>10.483208479971886</v>
      </c>
      <c r="P49" s="9">
        <v>10</v>
      </c>
      <c r="Q49" s="9"/>
      <c r="R49" s="49"/>
      <c r="S49" s="49"/>
      <c r="T49" s="49"/>
      <c r="U49" s="28" t="str">
        <f t="shared" si="4"/>
        <v>LDB-01C</v>
      </c>
      <c r="V49" s="62">
        <f t="shared" si="7"/>
        <v>0.11346030924546216</v>
      </c>
      <c r="W49" s="62">
        <f t="shared" si="8"/>
        <v>3.464253031202609E-2</v>
      </c>
      <c r="X49" s="49"/>
      <c r="Y49" s="63">
        <f t="shared" si="9"/>
        <v>0.11346030924546216</v>
      </c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</row>
    <row r="50" spans="1:40" ht="12.75" customHeight="1" x14ac:dyDescent="0.25">
      <c r="A50" s="49"/>
      <c r="B50" s="3" t="s">
        <v>74</v>
      </c>
      <c r="C50" s="3" t="s">
        <v>77</v>
      </c>
      <c r="D50" s="4">
        <v>3.9399999999999999E-3</v>
      </c>
      <c r="E50" s="4">
        <v>8.3700000000000002E-5</v>
      </c>
      <c r="F50" s="5">
        <f t="shared" si="0"/>
        <v>7.881777893343607E-2</v>
      </c>
      <c r="G50" s="6">
        <v>1</v>
      </c>
      <c r="H50" s="6">
        <v>20</v>
      </c>
      <c r="I50" s="7">
        <v>11.1</v>
      </c>
      <c r="J50" s="5">
        <f t="shared" si="5"/>
        <v>3.9626833416774039E-2</v>
      </c>
      <c r="K50" s="5">
        <f t="shared" si="6"/>
        <v>0.11844461235021012</v>
      </c>
      <c r="L50" s="8" t="str">
        <f t="shared" si="1"/>
        <v>LDB-01D</v>
      </c>
      <c r="M50" s="9">
        <v>0.2</v>
      </c>
      <c r="N50" s="10">
        <f t="shared" si="2"/>
        <v>2.0229488327571525</v>
      </c>
      <c r="O50" s="11">
        <f t="shared" si="3"/>
        <v>10.042061453208438</v>
      </c>
      <c r="P50" s="9">
        <v>10</v>
      </c>
      <c r="Q50" s="9"/>
      <c r="R50" s="49"/>
      <c r="S50" s="49"/>
      <c r="T50" s="49"/>
      <c r="U50" s="28" t="str">
        <f t="shared" si="4"/>
        <v>LDB-01D</v>
      </c>
      <c r="V50" s="62">
        <f t="shared" si="7"/>
        <v>0.11844461235021012</v>
      </c>
      <c r="W50" s="62">
        <f t="shared" si="8"/>
        <v>3.9626833416774039E-2</v>
      </c>
      <c r="X50" s="49"/>
      <c r="Y50" s="63">
        <f t="shared" si="9"/>
        <v>0.11844461235021012</v>
      </c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</row>
    <row r="51" spans="1:40" ht="12.75" customHeight="1" x14ac:dyDescent="0.25">
      <c r="A51" s="49"/>
      <c r="B51" s="3" t="s">
        <v>75</v>
      </c>
      <c r="C51" s="3" t="s">
        <v>78</v>
      </c>
      <c r="D51" s="4">
        <v>7.980000000000001E-3</v>
      </c>
      <c r="E51" s="4"/>
      <c r="F51" s="5">
        <f t="shared" si="0"/>
        <v>0.39900000000000002</v>
      </c>
      <c r="G51" s="6">
        <v>1</v>
      </c>
      <c r="H51" s="6">
        <v>50</v>
      </c>
      <c r="I51" s="7">
        <v>11.1</v>
      </c>
      <c r="J51" s="5">
        <f t="shared" si="5"/>
        <v>0.11844461235021012</v>
      </c>
      <c r="K51" s="5">
        <f t="shared" si="6"/>
        <v>0.51744461235021011</v>
      </c>
      <c r="L51" s="8" t="str">
        <f t="shared" si="1"/>
        <v>R1</v>
      </c>
      <c r="M51" s="9">
        <v>0.2</v>
      </c>
      <c r="N51" s="10">
        <f t="shared" si="2"/>
        <v>0.46305901072569872</v>
      </c>
      <c r="O51" s="11">
        <f t="shared" si="3"/>
        <v>2.2986577647797555</v>
      </c>
      <c r="P51" s="9">
        <v>2.5</v>
      </c>
      <c r="Q51" s="9"/>
      <c r="R51" s="49"/>
      <c r="S51" s="49"/>
      <c r="T51" s="49"/>
      <c r="U51" s="28" t="str">
        <f t="shared" si="4"/>
        <v>R1</v>
      </c>
      <c r="V51" s="62">
        <f t="shared" si="7"/>
        <v>0.51744461235021011</v>
      </c>
      <c r="W51" s="62">
        <f t="shared" si="8"/>
        <v>0.11844461235021012</v>
      </c>
      <c r="X51" s="49"/>
      <c r="Y51" s="63">
        <f t="shared" si="9"/>
        <v>0.51744461235021011</v>
      </c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</row>
    <row r="52" spans="1:40" ht="12.75" customHeight="1" x14ac:dyDescent="0.25">
      <c r="A52" s="49"/>
      <c r="B52" s="3" t="s">
        <v>76</v>
      </c>
      <c r="C52" s="3" t="s">
        <v>78</v>
      </c>
      <c r="D52" s="4">
        <v>7.980000000000001E-3</v>
      </c>
      <c r="E52" s="4"/>
      <c r="F52" s="5">
        <f t="shared" si="0"/>
        <v>0.39900000000000002</v>
      </c>
      <c r="G52" s="6">
        <v>1</v>
      </c>
      <c r="H52" s="6">
        <v>50</v>
      </c>
      <c r="I52" s="7">
        <v>11.1</v>
      </c>
      <c r="J52" s="5">
        <f t="shared" si="5"/>
        <v>0.11346030924546216</v>
      </c>
      <c r="K52" s="5">
        <f t="shared" si="6"/>
        <v>0.51246030924546215</v>
      </c>
      <c r="L52" s="8" t="str">
        <f t="shared" si="1"/>
        <v>R1</v>
      </c>
      <c r="M52" s="9">
        <v>0.2</v>
      </c>
      <c r="N52" s="10">
        <f t="shared" si="2"/>
        <v>0.46756282579820629</v>
      </c>
      <c r="O52" s="11">
        <f t="shared" si="3"/>
        <v>2.3210150221654331</v>
      </c>
      <c r="P52" s="9">
        <v>2.5</v>
      </c>
      <c r="Q52" s="9"/>
      <c r="R52" s="49"/>
      <c r="S52" s="49"/>
      <c r="T52" s="49"/>
      <c r="U52" s="28" t="str">
        <f t="shared" si="4"/>
        <v>R1</v>
      </c>
      <c r="V52" s="62">
        <f t="shared" si="7"/>
        <v>0.51246030924546215</v>
      </c>
      <c r="W52" s="62">
        <f t="shared" si="8"/>
        <v>0.11346030924546216</v>
      </c>
      <c r="X52" s="49"/>
      <c r="Y52" s="63">
        <f t="shared" si="9"/>
        <v>0.51246030924546215</v>
      </c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</row>
    <row r="53" spans="1:40" ht="12.75" customHeight="1" x14ac:dyDescent="0.25">
      <c r="A53" s="49"/>
      <c r="B53" s="3" t="s">
        <v>77</v>
      </c>
      <c r="C53" s="3" t="s">
        <v>78</v>
      </c>
      <c r="D53" s="4">
        <v>7.980000000000001E-3</v>
      </c>
      <c r="E53" s="4"/>
      <c r="F53" s="5">
        <f t="shared" si="0"/>
        <v>0.39900000000000002</v>
      </c>
      <c r="G53" s="6">
        <v>1</v>
      </c>
      <c r="H53" s="6">
        <v>50</v>
      </c>
      <c r="I53" s="7">
        <v>11.1</v>
      </c>
      <c r="J53" s="5">
        <f t="shared" si="5"/>
        <v>0.11844461235021012</v>
      </c>
      <c r="K53" s="5">
        <f t="shared" si="6"/>
        <v>0.51744461235021011</v>
      </c>
      <c r="L53" s="8" t="str">
        <f t="shared" si="1"/>
        <v>R1</v>
      </c>
      <c r="M53" s="9">
        <v>0.2</v>
      </c>
      <c r="N53" s="10">
        <f t="shared" si="2"/>
        <v>0.46305901072569872</v>
      </c>
      <c r="O53" s="11">
        <f t="shared" si="3"/>
        <v>2.2986577647797555</v>
      </c>
      <c r="P53" s="9">
        <v>2.5</v>
      </c>
      <c r="Q53" s="9"/>
      <c r="R53" s="49"/>
      <c r="S53" s="49"/>
      <c r="T53" s="49"/>
      <c r="U53" s="28" t="str">
        <f t="shared" si="4"/>
        <v>R1</v>
      </c>
      <c r="V53" s="62">
        <f t="shared" si="7"/>
        <v>0.51744461235021011</v>
      </c>
      <c r="W53" s="62">
        <f t="shared" si="8"/>
        <v>0.11844461235021012</v>
      </c>
      <c r="X53" s="49"/>
      <c r="Y53" s="63">
        <f t="shared" si="9"/>
        <v>0.51744461235021011</v>
      </c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</row>
    <row r="54" spans="1:40" ht="12.75" customHeight="1" x14ac:dyDescent="0.25">
      <c r="A54" s="49"/>
      <c r="B54" s="3" t="s">
        <v>63</v>
      </c>
      <c r="C54" s="3" t="s">
        <v>79</v>
      </c>
      <c r="D54" s="4">
        <v>4.0899999999999997E-4</v>
      </c>
      <c r="E54" s="4">
        <v>7.2399999999999998E-5</v>
      </c>
      <c r="F54" s="5">
        <f t="shared" si="0"/>
        <v>2.4921515523739723E-2</v>
      </c>
      <c r="G54" s="6">
        <v>1</v>
      </c>
      <c r="H54" s="6">
        <v>60</v>
      </c>
      <c r="I54" s="7">
        <v>11.1</v>
      </c>
      <c r="J54" s="5">
        <f t="shared" si="5"/>
        <v>1.5092332229332175E-2</v>
      </c>
      <c r="K54" s="5">
        <f t="shared" si="6"/>
        <v>4.0013847753071902E-2</v>
      </c>
      <c r="L54" s="8" t="str">
        <f t="shared" si="1"/>
        <v>AHU PANEL-B</v>
      </c>
      <c r="M54" s="9">
        <v>0.2</v>
      </c>
      <c r="N54" s="10">
        <f t="shared" si="2"/>
        <v>5.9881117101975283</v>
      </c>
      <c r="O54" s="11">
        <f t="shared" si="3"/>
        <v>29.72541114671851</v>
      </c>
      <c r="P54" s="9" t="s">
        <v>72</v>
      </c>
      <c r="Q54" s="9"/>
      <c r="R54" s="49"/>
      <c r="S54" s="49"/>
      <c r="T54" s="49"/>
      <c r="U54" s="28" t="str">
        <f t="shared" si="4"/>
        <v>AHU PANEL-B</v>
      </c>
      <c r="V54" s="62">
        <f t="shared" si="7"/>
        <v>4.0013847753071902E-2</v>
      </c>
      <c r="W54" s="62">
        <f t="shared" si="8"/>
        <v>1.5092332229332175E-2</v>
      </c>
      <c r="X54" s="49"/>
      <c r="Y54" s="63">
        <f t="shared" si="9"/>
        <v>4.0013847753071902E-2</v>
      </c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</row>
    <row r="55" spans="1:40" ht="12.75" customHeight="1" x14ac:dyDescent="0.25">
      <c r="A55" s="49"/>
      <c r="B55" s="3" t="s">
        <v>67</v>
      </c>
      <c r="C55" s="3" t="s">
        <v>80</v>
      </c>
      <c r="D55" s="4">
        <v>4.0899999999999997E-4</v>
      </c>
      <c r="E55" s="4">
        <v>7.2399999999999998E-5</v>
      </c>
      <c r="F55" s="5">
        <f t="shared" si="0"/>
        <v>1.9937212418991775E-2</v>
      </c>
      <c r="G55" s="6">
        <v>1</v>
      </c>
      <c r="H55" s="6">
        <v>48</v>
      </c>
      <c r="I55" s="7">
        <v>11.1</v>
      </c>
      <c r="J55" s="5">
        <f t="shared" si="5"/>
        <v>1.5092332229332175E-2</v>
      </c>
      <c r="K55" s="5">
        <f t="shared" si="6"/>
        <v>3.5029544648323946E-2</v>
      </c>
      <c r="L55" s="8" t="str">
        <f t="shared" si="1"/>
        <v>AHU PANEL-C</v>
      </c>
      <c r="M55" s="9">
        <v>0.2</v>
      </c>
      <c r="N55" s="10">
        <f t="shared" si="2"/>
        <v>6.840151440897916</v>
      </c>
      <c r="O55" s="11">
        <f t="shared" si="3"/>
        <v>33.954996788094739</v>
      </c>
      <c r="P55" s="9" t="s">
        <v>72</v>
      </c>
      <c r="Q55" s="9"/>
      <c r="R55" s="49"/>
      <c r="S55" s="49"/>
      <c r="T55" s="49"/>
      <c r="U55" s="28" t="str">
        <f t="shared" si="4"/>
        <v>AHU PANEL-C</v>
      </c>
      <c r="V55" s="62">
        <f t="shared" si="7"/>
        <v>3.5029544648323946E-2</v>
      </c>
      <c r="W55" s="62">
        <f t="shared" si="8"/>
        <v>1.5092332229332175E-2</v>
      </c>
      <c r="X55" s="49"/>
      <c r="Y55" s="63">
        <f t="shared" si="9"/>
        <v>3.5029544648323946E-2</v>
      </c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</row>
    <row r="56" spans="1:40" ht="12.75" customHeight="1" x14ac:dyDescent="0.25">
      <c r="A56" s="49"/>
      <c r="B56" s="3" t="s">
        <v>67</v>
      </c>
      <c r="C56" s="3" t="s">
        <v>81</v>
      </c>
      <c r="D56" s="4">
        <v>4.0899999999999997E-4</v>
      </c>
      <c r="E56" s="4">
        <v>7.2399999999999998E-5</v>
      </c>
      <c r="F56" s="5">
        <f t="shared" si="0"/>
        <v>2.4921515523739723E-2</v>
      </c>
      <c r="G56" s="6">
        <v>1</v>
      </c>
      <c r="H56" s="6">
        <v>60</v>
      </c>
      <c r="I56" s="7">
        <v>11.1</v>
      </c>
      <c r="J56" s="5">
        <f t="shared" si="5"/>
        <v>1.5092332229332175E-2</v>
      </c>
      <c r="K56" s="5">
        <f t="shared" si="6"/>
        <v>4.0013847753071902E-2</v>
      </c>
      <c r="L56" s="8" t="str">
        <f t="shared" si="1"/>
        <v>AHU PANEL-D</v>
      </c>
      <c r="M56" s="9">
        <v>0.2</v>
      </c>
      <c r="N56" s="10">
        <f t="shared" si="2"/>
        <v>5.9881117101975283</v>
      </c>
      <c r="O56" s="11">
        <f t="shared" si="3"/>
        <v>29.72541114671851</v>
      </c>
      <c r="P56" s="9" t="s">
        <v>72</v>
      </c>
      <c r="Q56" s="9"/>
      <c r="R56" s="49"/>
      <c r="S56" s="49"/>
      <c r="T56" s="49"/>
      <c r="U56" s="28" t="str">
        <f t="shared" si="4"/>
        <v>AHU PANEL-D</v>
      </c>
      <c r="V56" s="62">
        <f t="shared" si="7"/>
        <v>4.0013847753071902E-2</v>
      </c>
      <c r="W56" s="62">
        <f t="shared" si="8"/>
        <v>1.5092332229332175E-2</v>
      </c>
      <c r="X56" s="49"/>
      <c r="Y56" s="63">
        <f t="shared" si="9"/>
        <v>4.0013847753071902E-2</v>
      </c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</row>
    <row r="57" spans="1:40" ht="12.75" customHeight="1" x14ac:dyDescent="0.25">
      <c r="A57" s="49"/>
      <c r="B57" s="3" t="s">
        <v>80</v>
      </c>
      <c r="C57" s="13" t="s">
        <v>82</v>
      </c>
      <c r="D57" s="4">
        <v>3.9399999999999999E-3</v>
      </c>
      <c r="E57" s="4">
        <v>8.8399999999999994E-5</v>
      </c>
      <c r="F57" s="5">
        <f t="shared" si="0"/>
        <v>0.11822974711974986</v>
      </c>
      <c r="G57" s="6">
        <v>1</v>
      </c>
      <c r="H57" s="6">
        <v>30</v>
      </c>
      <c r="I57" s="7">
        <v>11.1</v>
      </c>
      <c r="J57" s="5">
        <f t="shared" si="5"/>
        <v>3.5029544648323946E-2</v>
      </c>
      <c r="K57" s="5">
        <f t="shared" si="6"/>
        <v>0.15325929176807379</v>
      </c>
      <c r="L57" s="8" t="str">
        <f t="shared" si="1"/>
        <v>AHU-41C</v>
      </c>
      <c r="M57" s="9">
        <v>0.2</v>
      </c>
      <c r="N57" s="10">
        <f t="shared" si="2"/>
        <v>1.5634118332141789</v>
      </c>
      <c r="O57" s="11">
        <f t="shared" si="3"/>
        <v>7.7608872016857164</v>
      </c>
      <c r="P57" s="9" t="s">
        <v>83</v>
      </c>
      <c r="Q57" s="9"/>
      <c r="R57" s="49"/>
      <c r="S57" s="49"/>
      <c r="T57" s="49"/>
      <c r="U57" s="28" t="str">
        <f t="shared" si="4"/>
        <v>AHU-41C</v>
      </c>
      <c r="V57" s="62">
        <f t="shared" si="7"/>
        <v>0.15325929176807379</v>
      </c>
      <c r="W57" s="62">
        <f t="shared" si="8"/>
        <v>3.5029544648323946E-2</v>
      </c>
      <c r="X57" s="49"/>
      <c r="Y57" s="63">
        <f t="shared" si="9"/>
        <v>0.15325929176807379</v>
      </c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</row>
    <row r="58" spans="1:40" ht="12.75" customHeight="1" x14ac:dyDescent="0.25">
      <c r="A58" s="49"/>
      <c r="B58" s="3" t="s">
        <v>73</v>
      </c>
      <c r="C58" s="3" t="s">
        <v>84</v>
      </c>
      <c r="D58" s="4">
        <v>3.9399999999999999E-3</v>
      </c>
      <c r="E58" s="4">
        <v>8.3700000000000002E-5</v>
      </c>
      <c r="F58" s="5">
        <f t="shared" si="0"/>
        <v>0.11822666840015411</v>
      </c>
      <c r="G58" s="6">
        <v>1</v>
      </c>
      <c r="H58" s="6">
        <v>30</v>
      </c>
      <c r="I58" s="7">
        <v>11.1</v>
      </c>
      <c r="J58" s="5">
        <f t="shared" si="5"/>
        <v>3.464253031202609E-2</v>
      </c>
      <c r="K58" s="5">
        <f t="shared" si="6"/>
        <v>0.15286919871218019</v>
      </c>
      <c r="L58" s="8" t="str">
        <f t="shared" si="1"/>
        <v>LDB-41C</v>
      </c>
      <c r="M58" s="9">
        <v>0.2</v>
      </c>
      <c r="N58" s="10">
        <f t="shared" si="2"/>
        <v>1.567401362202206</v>
      </c>
      <c r="O58" s="11">
        <f t="shared" si="3"/>
        <v>7.7806915064799815</v>
      </c>
      <c r="P58" s="9" t="s">
        <v>85</v>
      </c>
      <c r="Q58" s="9"/>
      <c r="R58" s="49"/>
      <c r="S58" s="49"/>
      <c r="T58" s="49"/>
      <c r="U58" s="28" t="str">
        <f t="shared" si="4"/>
        <v>LDB-41C</v>
      </c>
      <c r="V58" s="62">
        <f t="shared" si="7"/>
        <v>0.15286919871218019</v>
      </c>
      <c r="W58" s="62">
        <f t="shared" si="8"/>
        <v>3.464253031202609E-2</v>
      </c>
      <c r="X58" s="49"/>
      <c r="Y58" s="63">
        <f t="shared" si="9"/>
        <v>0.15286919871218019</v>
      </c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</row>
    <row r="59" spans="1:40" ht="12.75" customHeight="1" x14ac:dyDescent="0.25">
      <c r="A59" s="49"/>
      <c r="B59" s="3" t="s">
        <v>64</v>
      </c>
      <c r="C59" s="3" t="s">
        <v>86</v>
      </c>
      <c r="D59" s="4">
        <v>1.2899999999999999E-4</v>
      </c>
      <c r="E59" s="4">
        <v>8.3599999999999999E-5</v>
      </c>
      <c r="F59" s="5">
        <f t="shared" si="0"/>
        <v>5.3802138433337379E-3</v>
      </c>
      <c r="G59" s="6">
        <v>2</v>
      </c>
      <c r="H59" s="6">
        <v>70</v>
      </c>
      <c r="I59" s="7">
        <v>11.1</v>
      </c>
      <c r="J59" s="5">
        <f t="shared" si="5"/>
        <v>1.5750752528868348E-2</v>
      </c>
      <c r="K59" s="5">
        <f t="shared" si="6"/>
        <v>2.1130966372202086E-2</v>
      </c>
      <c r="L59" s="8" t="str">
        <f t="shared" si="1"/>
        <v>UPSBBT-B</v>
      </c>
      <c r="M59" s="9">
        <v>0.2</v>
      </c>
      <c r="N59" s="10">
        <f t="shared" si="2"/>
        <v>11.339159131663562</v>
      </c>
      <c r="O59" s="11">
        <f t="shared" si="3"/>
        <v>56.288389989913611</v>
      </c>
      <c r="P59" s="9" t="s">
        <v>62</v>
      </c>
      <c r="Q59" s="9"/>
      <c r="R59" s="49"/>
      <c r="S59" s="49"/>
      <c r="T59" s="49"/>
      <c r="U59" s="28" t="str">
        <f t="shared" si="4"/>
        <v>UPSBBT-B</v>
      </c>
      <c r="V59" s="62">
        <f t="shared" si="7"/>
        <v>2.1130966372202086E-2</v>
      </c>
      <c r="W59" s="62">
        <f t="shared" si="8"/>
        <v>1.5750752528868348E-2</v>
      </c>
      <c r="X59" s="49"/>
      <c r="Y59" s="63">
        <f t="shared" si="9"/>
        <v>2.1130966372202086E-2</v>
      </c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</row>
    <row r="60" spans="1:40" ht="12.75" customHeight="1" x14ac:dyDescent="0.25">
      <c r="A60" s="49"/>
      <c r="B60" s="3" t="s">
        <v>68</v>
      </c>
      <c r="C60" s="3" t="s">
        <v>87</v>
      </c>
      <c r="D60" s="4">
        <v>1.2899999999999999E-4</v>
      </c>
      <c r="E60" s="4">
        <v>8.3599999999999999E-5</v>
      </c>
      <c r="F60" s="5">
        <f t="shared" si="0"/>
        <v>5.3802138433337379E-3</v>
      </c>
      <c r="G60" s="6">
        <v>2</v>
      </c>
      <c r="H60" s="6">
        <v>70</v>
      </c>
      <c r="I60" s="7">
        <v>11.1</v>
      </c>
      <c r="J60" s="5">
        <f t="shared" si="5"/>
        <v>1.4847436277492344E-2</v>
      </c>
      <c r="K60" s="5">
        <f t="shared" si="6"/>
        <v>2.0227650120826082E-2</v>
      </c>
      <c r="L60" s="8" t="str">
        <f t="shared" si="1"/>
        <v>UPSBBT-C</v>
      </c>
      <c r="M60" s="9">
        <v>0.2</v>
      </c>
      <c r="N60" s="10">
        <f t="shared" si="2"/>
        <v>11.845537611585183</v>
      </c>
      <c r="O60" s="11">
        <f t="shared" si="3"/>
        <v>58.802088671567631</v>
      </c>
      <c r="P60" s="9" t="s">
        <v>62</v>
      </c>
      <c r="Q60" s="9"/>
      <c r="R60" s="49"/>
      <c r="S60" s="49"/>
      <c r="T60" s="49"/>
      <c r="U60" s="28" t="str">
        <f t="shared" si="4"/>
        <v>UPSBBT-C</v>
      </c>
      <c r="V60" s="62">
        <f t="shared" si="7"/>
        <v>2.0227650120826082E-2</v>
      </c>
      <c r="W60" s="62">
        <f t="shared" si="8"/>
        <v>1.4847436277492344E-2</v>
      </c>
      <c r="X60" s="49"/>
      <c r="Y60" s="63">
        <f t="shared" si="9"/>
        <v>2.0227650120826082E-2</v>
      </c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</row>
    <row r="61" spans="1:40" ht="12.75" customHeight="1" x14ac:dyDescent="0.25">
      <c r="A61" s="49"/>
      <c r="B61" s="3" t="s">
        <v>69</v>
      </c>
      <c r="C61" s="3" t="s">
        <v>88</v>
      </c>
      <c r="D61" s="4">
        <v>1.2899999999999999E-4</v>
      </c>
      <c r="E61" s="4">
        <v>8.3599999999999999E-5</v>
      </c>
      <c r="F61" s="5">
        <f t="shared" si="0"/>
        <v>5.3802138433337379E-3</v>
      </c>
      <c r="G61" s="6">
        <v>2</v>
      </c>
      <c r="H61" s="6">
        <v>70</v>
      </c>
      <c r="I61" s="7">
        <v>11.1</v>
      </c>
      <c r="J61" s="5">
        <f t="shared" si="5"/>
        <v>1.4847436277492344E-2</v>
      </c>
      <c r="K61" s="5">
        <f t="shared" si="6"/>
        <v>2.0227650120826082E-2</v>
      </c>
      <c r="L61" s="8" t="str">
        <f t="shared" si="1"/>
        <v>UPSBBT-D</v>
      </c>
      <c r="M61" s="9">
        <v>0.2</v>
      </c>
      <c r="N61" s="10">
        <f t="shared" si="2"/>
        <v>11.845537611585183</v>
      </c>
      <c r="O61" s="11">
        <f t="shared" si="3"/>
        <v>58.802088671567631</v>
      </c>
      <c r="P61" s="9" t="s">
        <v>62</v>
      </c>
      <c r="Q61" s="9"/>
      <c r="R61" s="49"/>
      <c r="S61" s="49"/>
      <c r="T61" s="49"/>
      <c r="U61" s="28" t="str">
        <f t="shared" si="4"/>
        <v>UPSBBT-D</v>
      </c>
      <c r="V61" s="62">
        <f t="shared" si="7"/>
        <v>2.0227650120826082E-2</v>
      </c>
      <c r="W61" s="62">
        <f t="shared" si="8"/>
        <v>1.4847436277492344E-2</v>
      </c>
      <c r="X61" s="49"/>
      <c r="Y61" s="63">
        <f t="shared" si="9"/>
        <v>2.0227650120826082E-2</v>
      </c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</row>
    <row r="62" spans="1:40" ht="12.75" customHeight="1" x14ac:dyDescent="0.25">
      <c r="A62" s="49"/>
      <c r="B62" s="3" t="s">
        <v>86</v>
      </c>
      <c r="C62" s="3" t="s">
        <v>89</v>
      </c>
      <c r="D62" s="4">
        <v>9.3100000000000008E-4</v>
      </c>
      <c r="E62" s="4">
        <v>1.03E-4</v>
      </c>
      <c r="F62" s="5">
        <f t="shared" si="0"/>
        <v>1.4050204624844439E-2</v>
      </c>
      <c r="G62" s="6">
        <v>1</v>
      </c>
      <c r="H62" s="6">
        <v>15</v>
      </c>
      <c r="I62" s="7">
        <v>11.1</v>
      </c>
      <c r="J62" s="5">
        <f t="shared" si="5"/>
        <v>2.1130966372202086E-2</v>
      </c>
      <c r="K62" s="5">
        <f t="shared" si="6"/>
        <v>3.5181170997046526E-2</v>
      </c>
      <c r="L62" s="8" t="str">
        <f t="shared" si="1"/>
        <v>UPS FDB-01B</v>
      </c>
      <c r="M62" s="9">
        <v>0.2</v>
      </c>
      <c r="N62" s="10">
        <f t="shared" si="2"/>
        <v>6.8106712627713861</v>
      </c>
      <c r="O62" s="11">
        <f t="shared" si="3"/>
        <v>33.808655093433757</v>
      </c>
      <c r="P62" s="9" t="s">
        <v>90</v>
      </c>
      <c r="Q62" s="9"/>
      <c r="R62" s="49"/>
      <c r="S62" s="49"/>
      <c r="T62" s="49"/>
      <c r="U62" s="28" t="str">
        <f t="shared" si="4"/>
        <v>UPS FDB-01B</v>
      </c>
      <c r="V62" s="62">
        <f t="shared" si="7"/>
        <v>3.5181170997046526E-2</v>
      </c>
      <c r="W62" s="62">
        <f t="shared" si="8"/>
        <v>2.1130966372202086E-2</v>
      </c>
      <c r="X62" s="49"/>
      <c r="Y62" s="63">
        <f t="shared" si="9"/>
        <v>3.5181170997046526E-2</v>
      </c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</row>
    <row r="63" spans="1:40" ht="12.75" customHeight="1" x14ac:dyDescent="0.25">
      <c r="A63" s="49"/>
      <c r="B63" s="3" t="s">
        <v>87</v>
      </c>
      <c r="C63" s="3" t="s">
        <v>91</v>
      </c>
      <c r="D63" s="4">
        <v>9.3100000000000008E-4</v>
      </c>
      <c r="E63" s="4">
        <v>1.03E-4</v>
      </c>
      <c r="F63" s="5">
        <f t="shared" si="0"/>
        <v>1.4050204624844439E-2</v>
      </c>
      <c r="G63" s="6">
        <v>1</v>
      </c>
      <c r="H63" s="6">
        <v>15</v>
      </c>
      <c r="I63" s="7">
        <v>11.1</v>
      </c>
      <c r="J63" s="5">
        <f t="shared" si="5"/>
        <v>2.0227650120826082E-2</v>
      </c>
      <c r="K63" s="5">
        <f t="shared" si="6"/>
        <v>3.4277854745670522E-2</v>
      </c>
      <c r="L63" s="8" t="str">
        <f t="shared" si="1"/>
        <v>UPS FDB-01C</v>
      </c>
      <c r="M63" s="9">
        <v>0.2</v>
      </c>
      <c r="N63" s="10">
        <f t="shared" si="2"/>
        <v>6.9901512821625644</v>
      </c>
      <c r="O63" s="11">
        <f t="shared" si="3"/>
        <v>34.69960663662863</v>
      </c>
      <c r="P63" s="9" t="s">
        <v>90</v>
      </c>
      <c r="Q63" s="9"/>
      <c r="R63" s="49"/>
      <c r="S63" s="49"/>
      <c r="T63" s="49"/>
      <c r="U63" s="28" t="str">
        <f t="shared" si="4"/>
        <v>UPS FDB-01C</v>
      </c>
      <c r="V63" s="62">
        <f t="shared" si="7"/>
        <v>3.4277854745670522E-2</v>
      </c>
      <c r="W63" s="62">
        <f t="shared" si="8"/>
        <v>2.0227650120826082E-2</v>
      </c>
      <c r="X63" s="49"/>
      <c r="Y63" s="63">
        <f t="shared" si="9"/>
        <v>3.4277854745670522E-2</v>
      </c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</row>
    <row r="64" spans="1:40" ht="12.75" customHeight="1" x14ac:dyDescent="0.25">
      <c r="A64" s="49"/>
      <c r="B64" s="3" t="s">
        <v>88</v>
      </c>
      <c r="C64" s="3" t="s">
        <v>91</v>
      </c>
      <c r="D64" s="4">
        <v>9.3100000000000008E-4</v>
      </c>
      <c r="E64" s="4">
        <v>1.03E-4</v>
      </c>
      <c r="F64" s="5">
        <f t="shared" si="0"/>
        <v>1.4050204624844439E-2</v>
      </c>
      <c r="G64" s="6">
        <v>1</v>
      </c>
      <c r="H64" s="6">
        <v>15</v>
      </c>
      <c r="I64" s="7">
        <v>11.1</v>
      </c>
      <c r="J64" s="5">
        <f t="shared" si="5"/>
        <v>2.0227650120826082E-2</v>
      </c>
      <c r="K64" s="5">
        <f t="shared" si="6"/>
        <v>3.4277854745670522E-2</v>
      </c>
      <c r="L64" s="8" t="str">
        <f t="shared" si="1"/>
        <v>UPS FDB-01C</v>
      </c>
      <c r="M64" s="9">
        <v>0.2</v>
      </c>
      <c r="N64" s="10">
        <f t="shared" si="2"/>
        <v>6.9901512821625644</v>
      </c>
      <c r="O64" s="11">
        <f t="shared" si="3"/>
        <v>34.69960663662863</v>
      </c>
      <c r="P64" s="9" t="s">
        <v>90</v>
      </c>
      <c r="Q64" s="9"/>
      <c r="R64" s="49"/>
      <c r="S64" s="49"/>
      <c r="T64" s="49"/>
      <c r="U64" s="28" t="str">
        <f t="shared" si="4"/>
        <v>UPS FDB-01C</v>
      </c>
      <c r="V64" s="62">
        <f t="shared" si="7"/>
        <v>3.4277854745670522E-2</v>
      </c>
      <c r="W64" s="62">
        <f t="shared" si="8"/>
        <v>2.0227650120826082E-2</v>
      </c>
      <c r="X64" s="49"/>
      <c r="Y64" s="63">
        <f t="shared" si="9"/>
        <v>3.4277854745670522E-2</v>
      </c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</row>
    <row r="65" spans="1:40" ht="12.75" customHeight="1" x14ac:dyDescent="0.25">
      <c r="A65" s="49"/>
      <c r="B65" s="3" t="s">
        <v>89</v>
      </c>
      <c r="C65" s="3" t="s">
        <v>92</v>
      </c>
      <c r="D65" s="4">
        <v>1.47E-3</v>
      </c>
      <c r="E65" s="4">
        <v>8.0799999999999999E-5</v>
      </c>
      <c r="F65" s="5">
        <f t="shared" si="0"/>
        <v>2.2083284266612154E-2</v>
      </c>
      <c r="G65" s="6">
        <v>1</v>
      </c>
      <c r="H65" s="6">
        <v>15</v>
      </c>
      <c r="I65" s="7">
        <v>11.1</v>
      </c>
      <c r="J65" s="5">
        <f t="shared" si="5"/>
        <v>3.5181170997046526E-2</v>
      </c>
      <c r="K65" s="5">
        <f t="shared" si="6"/>
        <v>5.7264455263658684E-2</v>
      </c>
      <c r="L65" s="8" t="str">
        <f t="shared" si="1"/>
        <v>UDB-01B</v>
      </c>
      <c r="M65" s="9">
        <v>0.2</v>
      </c>
      <c r="N65" s="10">
        <f t="shared" si="2"/>
        <v>4.1842254361282851</v>
      </c>
      <c r="O65" s="11">
        <f t="shared" si="3"/>
        <v>20.770791768573741</v>
      </c>
      <c r="P65" s="9" t="s">
        <v>93</v>
      </c>
      <c r="Q65" s="9"/>
      <c r="R65" s="49"/>
      <c r="S65" s="49"/>
      <c r="T65" s="49"/>
      <c r="U65" s="28" t="str">
        <f t="shared" si="4"/>
        <v>UDB-01B</v>
      </c>
      <c r="V65" s="62">
        <f t="shared" si="7"/>
        <v>5.7264455263658684E-2</v>
      </c>
      <c r="W65" s="62">
        <f t="shared" si="8"/>
        <v>3.5181170997046526E-2</v>
      </c>
      <c r="X65" s="49"/>
      <c r="Y65" s="63">
        <f t="shared" si="9"/>
        <v>5.7264455263658684E-2</v>
      </c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</row>
    <row r="66" spans="1:40" ht="12.75" customHeight="1" x14ac:dyDescent="0.25">
      <c r="A66" s="49"/>
      <c r="B66" s="3" t="s">
        <v>91</v>
      </c>
      <c r="C66" s="3" t="s">
        <v>94</v>
      </c>
      <c r="D66" s="4">
        <v>1.47E-3</v>
      </c>
      <c r="E66" s="4">
        <v>8.0799999999999999E-5</v>
      </c>
      <c r="F66" s="5">
        <f t="shared" si="0"/>
        <v>2.2083284266612154E-2</v>
      </c>
      <c r="G66" s="6">
        <v>1</v>
      </c>
      <c r="H66" s="6">
        <v>15</v>
      </c>
      <c r="I66" s="7">
        <v>11.1</v>
      </c>
      <c r="J66" s="5">
        <f t="shared" si="5"/>
        <v>3.4277854745670522E-2</v>
      </c>
      <c r="K66" s="5">
        <f t="shared" si="6"/>
        <v>5.6361139012282679E-2</v>
      </c>
      <c r="L66" s="8" t="str">
        <f t="shared" si="1"/>
        <v>UDB-01C</v>
      </c>
      <c r="M66" s="9">
        <v>0.2</v>
      </c>
      <c r="N66" s="10">
        <f t="shared" si="2"/>
        <v>4.2512872255476193</v>
      </c>
      <c r="O66" s="11">
        <f t="shared" si="3"/>
        <v>21.103691246606122</v>
      </c>
      <c r="P66" s="9" t="s">
        <v>93</v>
      </c>
      <c r="Q66" s="9"/>
      <c r="R66" s="49"/>
      <c r="S66" s="49"/>
      <c r="T66" s="49"/>
      <c r="U66" s="28" t="str">
        <f t="shared" si="4"/>
        <v>UDB-01C</v>
      </c>
      <c r="V66" s="62">
        <f t="shared" si="7"/>
        <v>5.6361139012282679E-2</v>
      </c>
      <c r="W66" s="62">
        <f t="shared" si="8"/>
        <v>3.4277854745670522E-2</v>
      </c>
      <c r="X66" s="49"/>
      <c r="Y66" s="63">
        <f t="shared" si="9"/>
        <v>5.6361139012282679E-2</v>
      </c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</row>
    <row r="67" spans="1:40" ht="12.75" customHeight="1" x14ac:dyDescent="0.25">
      <c r="A67" s="49"/>
      <c r="B67" s="3" t="s">
        <v>91</v>
      </c>
      <c r="C67" s="3" t="s">
        <v>95</v>
      </c>
      <c r="D67" s="4">
        <v>1.47E-3</v>
      </c>
      <c r="E67" s="4">
        <v>8.0799999999999999E-5</v>
      </c>
      <c r="F67" s="5">
        <f t="shared" si="0"/>
        <v>2.2083284266612154E-2</v>
      </c>
      <c r="G67" s="6">
        <v>1</v>
      </c>
      <c r="H67" s="6">
        <v>15</v>
      </c>
      <c r="I67" s="7">
        <v>11.1</v>
      </c>
      <c r="J67" s="5">
        <f t="shared" si="5"/>
        <v>3.4277854745670522E-2</v>
      </c>
      <c r="K67" s="5">
        <f t="shared" si="6"/>
        <v>5.6361139012282679E-2</v>
      </c>
      <c r="L67" s="8" t="str">
        <f t="shared" si="1"/>
        <v>UDB-01D</v>
      </c>
      <c r="M67" s="9">
        <v>0.2</v>
      </c>
      <c r="N67" s="10">
        <f t="shared" si="2"/>
        <v>4.2512872255476193</v>
      </c>
      <c r="O67" s="11">
        <f t="shared" si="3"/>
        <v>21.103691246606122</v>
      </c>
      <c r="P67" s="9" t="s">
        <v>93</v>
      </c>
      <c r="Q67" s="9"/>
      <c r="R67" s="49"/>
      <c r="S67" s="49"/>
      <c r="T67" s="49"/>
      <c r="U67" s="28" t="str">
        <f t="shared" si="4"/>
        <v>UDB-01D</v>
      </c>
      <c r="V67" s="62">
        <f t="shared" si="7"/>
        <v>5.6361139012282679E-2</v>
      </c>
      <c r="W67" s="62">
        <f t="shared" si="8"/>
        <v>3.4277854745670522E-2</v>
      </c>
      <c r="X67" s="49"/>
      <c r="Y67" s="63">
        <f t="shared" si="9"/>
        <v>5.6361139012282679E-2</v>
      </c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</row>
    <row r="68" spans="1:40" ht="12.75" customHeight="1" x14ac:dyDescent="0.25">
      <c r="A68" s="49"/>
      <c r="B68" s="3" t="s">
        <v>92</v>
      </c>
      <c r="C68" s="3" t="s">
        <v>78</v>
      </c>
      <c r="D68" s="4">
        <v>7.980000000000001E-3</v>
      </c>
      <c r="E68" s="4"/>
      <c r="F68" s="5">
        <f t="shared" si="0"/>
        <v>0.39900000000000002</v>
      </c>
      <c r="G68" s="6">
        <v>1</v>
      </c>
      <c r="H68" s="6">
        <v>50</v>
      </c>
      <c r="I68" s="7">
        <v>11.1</v>
      </c>
      <c r="J68" s="5">
        <f t="shared" si="5"/>
        <v>5.7264455263658684E-2</v>
      </c>
      <c r="K68" s="5">
        <f t="shared" si="6"/>
        <v>0.45626445526365872</v>
      </c>
      <c r="L68" s="8" t="str">
        <f t="shared" si="1"/>
        <v>R1</v>
      </c>
      <c r="M68" s="9">
        <v>0.2</v>
      </c>
      <c r="N68" s="10">
        <f t="shared" si="2"/>
        <v>0.52515024463558202</v>
      </c>
      <c r="O68" s="11">
        <f t="shared" si="3"/>
        <v>2.6068830528008884</v>
      </c>
      <c r="P68" s="9">
        <v>2.5</v>
      </c>
      <c r="Q68" s="9"/>
      <c r="R68" s="49"/>
      <c r="S68" s="49"/>
      <c r="T68" s="49"/>
      <c r="U68" s="28" t="str">
        <f t="shared" si="4"/>
        <v>R1</v>
      </c>
      <c r="V68" s="62">
        <f t="shared" si="7"/>
        <v>0.45626445526365872</v>
      </c>
      <c r="W68" s="62">
        <f t="shared" si="8"/>
        <v>5.7264455263658684E-2</v>
      </c>
      <c r="X68" s="49"/>
      <c r="Y68" s="63">
        <f t="shared" si="9"/>
        <v>0.45626445526365872</v>
      </c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</row>
    <row r="69" spans="1:40" ht="12.75" customHeight="1" x14ac:dyDescent="0.25">
      <c r="A69" s="49"/>
      <c r="B69" s="3" t="s">
        <v>94</v>
      </c>
      <c r="C69" s="14" t="s">
        <v>78</v>
      </c>
      <c r="D69" s="4">
        <v>7.980000000000001E-3</v>
      </c>
      <c r="E69" s="4"/>
      <c r="F69" s="5">
        <f t="shared" si="0"/>
        <v>0.39900000000000002</v>
      </c>
      <c r="G69" s="6">
        <v>1</v>
      </c>
      <c r="H69" s="6">
        <v>50</v>
      </c>
      <c r="I69" s="7">
        <v>11.1</v>
      </c>
      <c r="J69" s="5">
        <f t="shared" si="5"/>
        <v>5.6361139012282679E-2</v>
      </c>
      <c r="K69" s="5">
        <f t="shared" si="6"/>
        <v>0.4553611390122827</v>
      </c>
      <c r="L69" s="8" t="str">
        <f t="shared" si="1"/>
        <v>R1</v>
      </c>
      <c r="M69" s="9">
        <v>0.2</v>
      </c>
      <c r="N69" s="10">
        <f t="shared" si="2"/>
        <v>0.52619200404312039</v>
      </c>
      <c r="O69" s="11">
        <f t="shared" si="3"/>
        <v>2.6120544203711202</v>
      </c>
      <c r="P69" s="9">
        <v>2.5</v>
      </c>
      <c r="Q69" s="9"/>
      <c r="R69" s="49"/>
      <c r="S69" s="49"/>
      <c r="T69" s="49"/>
      <c r="U69" s="28" t="str">
        <f t="shared" si="4"/>
        <v>R1</v>
      </c>
      <c r="V69" s="62">
        <f t="shared" si="7"/>
        <v>0.4553611390122827</v>
      </c>
      <c r="W69" s="62">
        <f t="shared" si="8"/>
        <v>5.6361139012282679E-2</v>
      </c>
      <c r="X69" s="49"/>
      <c r="Y69" s="63">
        <f t="shared" si="9"/>
        <v>0.4553611390122827</v>
      </c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</row>
    <row r="70" spans="1:40" ht="12.75" customHeight="1" x14ac:dyDescent="0.25">
      <c r="A70" s="49"/>
      <c r="B70" s="3" t="s">
        <v>95</v>
      </c>
      <c r="C70" s="3" t="s">
        <v>78</v>
      </c>
      <c r="D70" s="4">
        <v>7.980000000000001E-3</v>
      </c>
      <c r="E70" s="4"/>
      <c r="F70" s="5">
        <f t="shared" si="0"/>
        <v>0.39900000000000002</v>
      </c>
      <c r="G70" s="6">
        <v>1</v>
      </c>
      <c r="H70" s="6">
        <v>50</v>
      </c>
      <c r="I70" s="7">
        <v>11.1</v>
      </c>
      <c r="J70" s="5">
        <f t="shared" si="5"/>
        <v>5.6361139012282679E-2</v>
      </c>
      <c r="K70" s="5">
        <f t="shared" si="6"/>
        <v>0.4553611390122827</v>
      </c>
      <c r="L70" s="8" t="str">
        <f t="shared" si="1"/>
        <v>R1</v>
      </c>
      <c r="M70" s="9">
        <v>0.2</v>
      </c>
      <c r="N70" s="10">
        <f t="shared" si="2"/>
        <v>0.52619200404312039</v>
      </c>
      <c r="O70" s="11">
        <f t="shared" si="3"/>
        <v>2.6120544203711202</v>
      </c>
      <c r="P70" s="9">
        <v>2.5</v>
      </c>
      <c r="Q70" s="9"/>
      <c r="R70" s="49"/>
      <c r="S70" s="49"/>
      <c r="T70" s="49"/>
      <c r="U70" s="28" t="str">
        <f t="shared" si="4"/>
        <v>R1</v>
      </c>
      <c r="V70" s="62">
        <f t="shared" si="7"/>
        <v>0.4553611390122827</v>
      </c>
      <c r="W70" s="62">
        <f t="shared" si="8"/>
        <v>5.6361139012282679E-2</v>
      </c>
      <c r="X70" s="49"/>
      <c r="Y70" s="63">
        <f t="shared" si="9"/>
        <v>0.4553611390122827</v>
      </c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</row>
    <row r="71" spans="1:40" ht="12.75" customHeight="1" x14ac:dyDescent="0.25">
      <c r="A71" s="28"/>
      <c r="B71" s="28"/>
      <c r="C71" s="28"/>
      <c r="D71" s="28"/>
      <c r="E71" s="28"/>
      <c r="F71" s="28"/>
      <c r="G71" s="34"/>
      <c r="H71" s="28"/>
      <c r="I71" s="28"/>
      <c r="J71" s="28"/>
      <c r="K71" s="28"/>
      <c r="L71" s="37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</row>
    <row r="72" spans="1:40" ht="12.75" customHeight="1" x14ac:dyDescent="0.25">
      <c r="A72" s="28"/>
      <c r="B72" s="28"/>
      <c r="C72" s="28"/>
      <c r="D72" s="28"/>
      <c r="E72" s="28"/>
      <c r="F72" s="28"/>
      <c r="G72" s="34"/>
      <c r="H72" s="28"/>
      <c r="I72" s="28"/>
      <c r="J72" s="28"/>
      <c r="K72" s="28"/>
      <c r="L72" s="37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</row>
    <row r="73" spans="1:40" ht="12.75" customHeight="1" x14ac:dyDescent="0.25">
      <c r="A73" s="28"/>
      <c r="B73" s="28"/>
      <c r="C73" s="28"/>
      <c r="D73" s="28"/>
      <c r="E73" s="28"/>
      <c r="F73" s="28"/>
      <c r="G73" s="34"/>
      <c r="H73" s="28"/>
      <c r="I73" s="28"/>
      <c r="J73" s="28"/>
      <c r="K73" s="28"/>
      <c r="L73" s="37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</row>
    <row r="74" spans="1:40" ht="12.75" customHeight="1" x14ac:dyDescent="0.25">
      <c r="A74" s="28"/>
      <c r="B74" s="28"/>
      <c r="C74" s="28"/>
      <c r="D74" s="28"/>
      <c r="E74" s="28"/>
      <c r="F74" s="28"/>
      <c r="G74" s="34"/>
      <c r="H74" s="28"/>
      <c r="I74" s="28"/>
      <c r="J74" s="28"/>
      <c r="K74" s="28"/>
      <c r="L74" s="37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</row>
    <row r="75" spans="1:40" ht="12.75" customHeight="1" x14ac:dyDescent="0.25">
      <c r="A75" s="28"/>
      <c r="B75" s="28"/>
      <c r="C75" s="28"/>
      <c r="D75" s="28"/>
      <c r="E75" s="28"/>
      <c r="F75" s="28"/>
      <c r="G75" s="34"/>
      <c r="H75" s="28"/>
      <c r="I75" s="28"/>
      <c r="J75" s="28"/>
      <c r="K75" s="28"/>
      <c r="L75" s="37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</row>
    <row r="76" spans="1:40" ht="12.75" customHeight="1" x14ac:dyDescent="0.25">
      <c r="A76" s="28"/>
      <c r="B76" s="28"/>
      <c r="C76" s="28"/>
      <c r="D76" s="28"/>
      <c r="E76" s="28"/>
      <c r="F76" s="28"/>
      <c r="G76" s="34"/>
      <c r="H76" s="28"/>
      <c r="I76" s="28"/>
      <c r="J76" s="28"/>
      <c r="K76" s="28"/>
      <c r="L76" s="37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</row>
    <row r="77" spans="1:40" ht="12.75" customHeight="1" x14ac:dyDescent="0.25">
      <c r="A77" s="28"/>
      <c r="B77" s="28"/>
      <c r="C77" s="28"/>
      <c r="D77" s="28"/>
      <c r="E77" s="28"/>
      <c r="F77" s="28"/>
      <c r="G77" s="34"/>
      <c r="H77" s="28"/>
      <c r="I77" s="28"/>
      <c r="J77" s="28"/>
      <c r="K77" s="28"/>
      <c r="L77" s="37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</row>
    <row r="78" spans="1:40" ht="12.75" customHeight="1" x14ac:dyDescent="0.25">
      <c r="A78" s="28"/>
      <c r="B78" s="28"/>
      <c r="C78" s="28"/>
      <c r="D78" s="28"/>
      <c r="E78" s="28"/>
      <c r="F78" s="28"/>
      <c r="G78" s="34"/>
      <c r="H78" s="28"/>
      <c r="I78" s="28"/>
      <c r="J78" s="28"/>
      <c r="K78" s="28"/>
      <c r="L78" s="37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</row>
    <row r="79" spans="1:40" ht="12.75" customHeight="1" x14ac:dyDescent="0.25">
      <c r="A79" s="28"/>
      <c r="B79" s="28"/>
      <c r="C79" s="28"/>
      <c r="D79" s="28"/>
      <c r="E79" s="28"/>
      <c r="F79" s="28"/>
      <c r="G79" s="34"/>
      <c r="H79" s="28"/>
      <c r="I79" s="28"/>
      <c r="J79" s="28"/>
      <c r="K79" s="28"/>
      <c r="L79" s="37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</row>
    <row r="80" spans="1:40" ht="12.75" customHeight="1" x14ac:dyDescent="0.25">
      <c r="A80" s="28"/>
      <c r="B80" s="28"/>
      <c r="C80" s="28"/>
      <c r="D80" s="28"/>
      <c r="E80" s="28"/>
      <c r="F80" s="28"/>
      <c r="G80" s="34"/>
      <c r="H80" s="28"/>
      <c r="I80" s="28"/>
      <c r="J80" s="28"/>
      <c r="K80" s="28"/>
      <c r="L80" s="37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</row>
    <row r="81" spans="1:40" ht="12.75" customHeight="1" x14ac:dyDescent="0.25">
      <c r="A81" s="28"/>
      <c r="B81" s="28"/>
      <c r="C81" s="28"/>
      <c r="D81" s="28"/>
      <c r="E81" s="28"/>
      <c r="F81" s="28"/>
      <c r="G81" s="34"/>
      <c r="H81" s="28"/>
      <c r="I81" s="28"/>
      <c r="J81" s="28"/>
      <c r="K81" s="28"/>
      <c r="L81" s="37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</row>
    <row r="82" spans="1:40" ht="12.75" customHeight="1" x14ac:dyDescent="0.25">
      <c r="A82" s="28"/>
      <c r="B82" s="28"/>
      <c r="C82" s="28"/>
      <c r="D82" s="28"/>
      <c r="E82" s="28"/>
      <c r="F82" s="28"/>
      <c r="G82" s="34"/>
      <c r="H82" s="28"/>
      <c r="I82" s="28"/>
      <c r="J82" s="28"/>
      <c r="K82" s="28"/>
      <c r="L82" s="37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</row>
    <row r="83" spans="1:40" ht="12.75" customHeight="1" x14ac:dyDescent="0.25">
      <c r="A83" s="28"/>
      <c r="B83" s="28"/>
      <c r="C83" s="28"/>
      <c r="D83" s="28"/>
      <c r="E83" s="28"/>
      <c r="F83" s="28"/>
      <c r="G83" s="34"/>
      <c r="H83" s="28"/>
      <c r="I83" s="28"/>
      <c r="J83" s="28"/>
      <c r="K83" s="28"/>
      <c r="L83" s="37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</row>
    <row r="84" spans="1:40" ht="12.75" customHeight="1" x14ac:dyDescent="0.25">
      <c r="A84" s="28"/>
      <c r="B84" s="28"/>
      <c r="C84" s="28"/>
      <c r="D84" s="28"/>
      <c r="E84" s="28"/>
      <c r="F84" s="28"/>
      <c r="G84" s="34"/>
      <c r="H84" s="28"/>
      <c r="I84" s="28"/>
      <c r="J84" s="28"/>
      <c r="K84" s="28"/>
      <c r="L84" s="37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</row>
    <row r="85" spans="1:40" ht="12.75" customHeight="1" x14ac:dyDescent="0.25">
      <c r="A85" s="28"/>
      <c r="B85" s="28"/>
      <c r="C85" s="28"/>
      <c r="D85" s="28"/>
      <c r="E85" s="28"/>
      <c r="F85" s="28"/>
      <c r="G85" s="34"/>
      <c r="H85" s="28"/>
      <c r="I85" s="28"/>
      <c r="J85" s="28"/>
      <c r="K85" s="28"/>
      <c r="L85" s="37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</row>
    <row r="86" spans="1:40" ht="12.75" customHeight="1" x14ac:dyDescent="0.25">
      <c r="A86" s="28"/>
      <c r="B86" s="28"/>
      <c r="C86" s="28"/>
      <c r="D86" s="28"/>
      <c r="E86" s="28"/>
      <c r="F86" s="28"/>
      <c r="G86" s="34"/>
      <c r="H86" s="28"/>
      <c r="I86" s="28"/>
      <c r="J86" s="28"/>
      <c r="K86" s="28"/>
      <c r="L86" s="37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</row>
    <row r="87" spans="1:40" ht="12.75" customHeight="1" x14ac:dyDescent="0.25">
      <c r="A87" s="28"/>
      <c r="B87" s="28"/>
      <c r="C87" s="28"/>
      <c r="D87" s="28"/>
      <c r="E87" s="28"/>
      <c r="F87" s="28"/>
      <c r="G87" s="34"/>
      <c r="H87" s="28"/>
      <c r="I87" s="28"/>
      <c r="J87" s="28"/>
      <c r="K87" s="28"/>
      <c r="L87" s="37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</row>
    <row r="88" spans="1:40" ht="12.75" customHeight="1" x14ac:dyDescent="0.25">
      <c r="A88" s="28"/>
      <c r="B88" s="28"/>
      <c r="C88" s="28"/>
      <c r="D88" s="28"/>
      <c r="E88" s="28"/>
      <c r="F88" s="28"/>
      <c r="G88" s="34"/>
      <c r="H88" s="28"/>
      <c r="I88" s="28"/>
      <c r="J88" s="28"/>
      <c r="K88" s="28"/>
      <c r="L88" s="37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</row>
    <row r="89" spans="1:40" ht="12.75" customHeight="1" x14ac:dyDescent="0.25">
      <c r="A89" s="28"/>
      <c r="B89" s="28"/>
      <c r="C89" s="28"/>
      <c r="D89" s="28"/>
      <c r="E89" s="28"/>
      <c r="F89" s="28"/>
      <c r="G89" s="34"/>
      <c r="H89" s="28"/>
      <c r="I89" s="28"/>
      <c r="J89" s="28"/>
      <c r="K89" s="28"/>
      <c r="L89" s="37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</row>
    <row r="90" spans="1:40" ht="12.75" customHeight="1" x14ac:dyDescent="0.25">
      <c r="A90" s="28"/>
      <c r="B90" s="28"/>
      <c r="C90" s="28"/>
      <c r="D90" s="28"/>
      <c r="E90" s="28"/>
      <c r="F90" s="28"/>
      <c r="G90" s="34"/>
      <c r="H90" s="28"/>
      <c r="I90" s="28"/>
      <c r="J90" s="28"/>
      <c r="K90" s="28"/>
      <c r="L90" s="37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</row>
    <row r="91" spans="1:40" ht="12.75" customHeight="1" x14ac:dyDescent="0.25">
      <c r="A91" s="28"/>
      <c r="B91" s="28"/>
      <c r="C91" s="28"/>
      <c r="D91" s="28"/>
      <c r="E91" s="28"/>
      <c r="F91" s="28"/>
      <c r="G91" s="34"/>
      <c r="H91" s="28"/>
      <c r="I91" s="28"/>
      <c r="J91" s="28"/>
      <c r="K91" s="28"/>
      <c r="L91" s="37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</row>
    <row r="92" spans="1:40" ht="12.75" customHeight="1" x14ac:dyDescent="0.25">
      <c r="A92" s="28"/>
      <c r="B92" s="28"/>
      <c r="C92" s="28"/>
      <c r="D92" s="28"/>
      <c r="E92" s="28"/>
      <c r="F92" s="28"/>
      <c r="G92" s="34"/>
      <c r="H92" s="28"/>
      <c r="I92" s="28"/>
      <c r="J92" s="28"/>
      <c r="K92" s="28"/>
      <c r="L92" s="37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</row>
    <row r="93" spans="1:40" ht="12.75" customHeight="1" x14ac:dyDescent="0.25">
      <c r="A93" s="28"/>
      <c r="B93" s="28"/>
      <c r="C93" s="28"/>
      <c r="D93" s="28"/>
      <c r="E93" s="28"/>
      <c r="F93" s="28"/>
      <c r="G93" s="34"/>
      <c r="H93" s="28"/>
      <c r="I93" s="28"/>
      <c r="J93" s="28"/>
      <c r="K93" s="28"/>
      <c r="L93" s="37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</row>
    <row r="94" spans="1:40" ht="12.75" customHeight="1" x14ac:dyDescent="0.25">
      <c r="A94" s="28"/>
      <c r="B94" s="28"/>
      <c r="C94" s="28"/>
      <c r="D94" s="28"/>
      <c r="E94" s="28"/>
      <c r="F94" s="28"/>
      <c r="G94" s="34"/>
      <c r="H94" s="28"/>
      <c r="I94" s="28"/>
      <c r="J94" s="28"/>
      <c r="K94" s="28"/>
      <c r="L94" s="37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</row>
    <row r="95" spans="1:40" ht="12.75" customHeight="1" x14ac:dyDescent="0.25">
      <c r="A95" s="28"/>
      <c r="B95" s="28"/>
      <c r="C95" s="28"/>
      <c r="D95" s="28"/>
      <c r="E95" s="28"/>
      <c r="F95" s="28"/>
      <c r="G95" s="34"/>
      <c r="H95" s="28"/>
      <c r="I95" s="28"/>
      <c r="J95" s="28"/>
      <c r="K95" s="28"/>
      <c r="L95" s="37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</row>
    <row r="96" spans="1:40" ht="12.75" customHeight="1" x14ac:dyDescent="0.25">
      <c r="A96" s="28"/>
      <c r="B96" s="28"/>
      <c r="C96" s="28"/>
      <c r="D96" s="28"/>
      <c r="E96" s="28"/>
      <c r="F96" s="28"/>
      <c r="G96" s="34"/>
      <c r="H96" s="28"/>
      <c r="I96" s="28"/>
      <c r="J96" s="28"/>
      <c r="K96" s="28"/>
      <c r="L96" s="37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</row>
    <row r="97" spans="1:40" ht="12.75" customHeight="1" x14ac:dyDescent="0.25">
      <c r="A97" s="28"/>
      <c r="B97" s="28"/>
      <c r="C97" s="28"/>
      <c r="D97" s="28"/>
      <c r="E97" s="28"/>
      <c r="F97" s="28"/>
      <c r="G97" s="34"/>
      <c r="H97" s="28"/>
      <c r="I97" s="28"/>
      <c r="J97" s="28"/>
      <c r="K97" s="28"/>
      <c r="L97" s="37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</row>
    <row r="98" spans="1:40" ht="12.75" customHeight="1" x14ac:dyDescent="0.25">
      <c r="A98" s="28"/>
      <c r="B98" s="28"/>
      <c r="C98" s="28"/>
      <c r="D98" s="28"/>
      <c r="E98" s="28"/>
      <c r="F98" s="28"/>
      <c r="G98" s="34"/>
      <c r="H98" s="28"/>
      <c r="I98" s="28"/>
      <c r="J98" s="28"/>
      <c r="K98" s="28"/>
      <c r="L98" s="37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</row>
    <row r="99" spans="1:40" ht="12.75" customHeight="1" x14ac:dyDescent="0.25">
      <c r="A99" s="28"/>
      <c r="B99" s="28"/>
      <c r="C99" s="28"/>
      <c r="D99" s="28"/>
      <c r="E99" s="28"/>
      <c r="F99" s="28"/>
      <c r="G99" s="34"/>
      <c r="H99" s="28"/>
      <c r="I99" s="28"/>
      <c r="J99" s="28"/>
      <c r="K99" s="28"/>
      <c r="L99" s="37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</row>
    <row r="100" spans="1:40" ht="12.75" customHeight="1" x14ac:dyDescent="0.25">
      <c r="A100" s="28"/>
      <c r="B100" s="28"/>
      <c r="C100" s="28"/>
      <c r="D100" s="28"/>
      <c r="E100" s="28"/>
      <c r="F100" s="28"/>
      <c r="G100" s="34"/>
      <c r="H100" s="28"/>
      <c r="I100" s="28"/>
      <c r="J100" s="28"/>
      <c r="K100" s="28"/>
      <c r="L100" s="37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</row>
    <row r="101" spans="1:40" ht="12.75" customHeight="1" x14ac:dyDescent="0.25">
      <c r="A101" s="28"/>
      <c r="B101" s="28"/>
      <c r="C101" s="28"/>
      <c r="D101" s="28"/>
      <c r="E101" s="28"/>
      <c r="F101" s="28"/>
      <c r="G101" s="34"/>
      <c r="H101" s="28"/>
      <c r="I101" s="28"/>
      <c r="J101" s="28"/>
      <c r="K101" s="28"/>
      <c r="L101" s="37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</row>
    <row r="102" spans="1:40" ht="12.75" customHeight="1" x14ac:dyDescent="0.25">
      <c r="A102" s="28"/>
      <c r="B102" s="28"/>
      <c r="C102" s="28"/>
      <c r="D102" s="28"/>
      <c r="E102" s="28"/>
      <c r="F102" s="28"/>
      <c r="G102" s="34"/>
      <c r="H102" s="28"/>
      <c r="I102" s="28"/>
      <c r="J102" s="28"/>
      <c r="K102" s="28"/>
      <c r="L102" s="37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</row>
    <row r="103" spans="1:40" ht="12.75" customHeight="1" x14ac:dyDescent="0.25">
      <c r="A103" s="28"/>
      <c r="B103" s="28"/>
      <c r="C103" s="28"/>
      <c r="D103" s="28"/>
      <c r="E103" s="28"/>
      <c r="F103" s="28"/>
      <c r="G103" s="34"/>
      <c r="H103" s="28"/>
      <c r="I103" s="28"/>
      <c r="J103" s="28"/>
      <c r="K103" s="28"/>
      <c r="L103" s="37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</row>
    <row r="104" spans="1:40" ht="12.75" customHeight="1" x14ac:dyDescent="0.25">
      <c r="A104" s="28"/>
      <c r="B104" s="28"/>
      <c r="C104" s="28"/>
      <c r="D104" s="28"/>
      <c r="E104" s="28"/>
      <c r="F104" s="28"/>
      <c r="G104" s="34"/>
      <c r="H104" s="28"/>
      <c r="I104" s="28"/>
      <c r="J104" s="28"/>
      <c r="K104" s="28"/>
      <c r="L104" s="37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</row>
    <row r="105" spans="1:40" ht="12.75" customHeight="1" x14ac:dyDescent="0.25">
      <c r="A105" s="28"/>
      <c r="B105" s="28"/>
      <c r="C105" s="28"/>
      <c r="D105" s="28"/>
      <c r="E105" s="28"/>
      <c r="F105" s="28"/>
      <c r="G105" s="34"/>
      <c r="H105" s="28"/>
      <c r="I105" s="28"/>
      <c r="J105" s="28"/>
      <c r="K105" s="28"/>
      <c r="L105" s="37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</row>
    <row r="106" spans="1:40" ht="12.75" customHeight="1" x14ac:dyDescent="0.25">
      <c r="A106" s="28"/>
      <c r="B106" s="28"/>
      <c r="C106" s="28"/>
      <c r="D106" s="28"/>
      <c r="E106" s="28"/>
      <c r="F106" s="28"/>
      <c r="G106" s="34"/>
      <c r="H106" s="28"/>
      <c r="I106" s="28"/>
      <c r="J106" s="28"/>
      <c r="K106" s="28"/>
      <c r="L106" s="37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</row>
    <row r="107" spans="1:40" ht="12.75" customHeight="1" x14ac:dyDescent="0.25">
      <c r="A107" s="28"/>
      <c r="B107" s="28"/>
      <c r="C107" s="28"/>
      <c r="D107" s="28"/>
      <c r="E107" s="28"/>
      <c r="F107" s="28"/>
      <c r="G107" s="34"/>
      <c r="H107" s="28"/>
      <c r="I107" s="28"/>
      <c r="J107" s="28"/>
      <c r="K107" s="28"/>
      <c r="L107" s="37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</row>
    <row r="108" spans="1:40" ht="12.75" customHeight="1" x14ac:dyDescent="0.25">
      <c r="A108" s="28"/>
      <c r="B108" s="28"/>
      <c r="C108" s="28"/>
      <c r="D108" s="28"/>
      <c r="E108" s="28"/>
      <c r="F108" s="28"/>
      <c r="G108" s="34"/>
      <c r="H108" s="28"/>
      <c r="I108" s="28"/>
      <c r="J108" s="28"/>
      <c r="K108" s="28"/>
      <c r="L108" s="37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</row>
    <row r="109" spans="1:40" ht="12.75" customHeight="1" x14ac:dyDescent="0.25">
      <c r="A109" s="28"/>
      <c r="B109" s="28"/>
      <c r="C109" s="28"/>
      <c r="D109" s="28"/>
      <c r="E109" s="28"/>
      <c r="F109" s="28"/>
      <c r="G109" s="34"/>
      <c r="H109" s="28"/>
      <c r="I109" s="28"/>
      <c r="J109" s="28"/>
      <c r="K109" s="28"/>
      <c r="L109" s="37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</row>
    <row r="110" spans="1:40" ht="12.75" customHeight="1" x14ac:dyDescent="0.25">
      <c r="A110" s="28"/>
      <c r="B110" s="28"/>
      <c r="C110" s="28"/>
      <c r="D110" s="28"/>
      <c r="E110" s="28"/>
      <c r="F110" s="28"/>
      <c r="G110" s="34"/>
      <c r="H110" s="28"/>
      <c r="I110" s="28"/>
      <c r="J110" s="28"/>
      <c r="K110" s="28"/>
      <c r="L110" s="37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</row>
    <row r="111" spans="1:40" ht="12.75" customHeight="1" x14ac:dyDescent="0.25">
      <c r="A111" s="28"/>
      <c r="B111" s="28"/>
      <c r="C111" s="28"/>
      <c r="D111" s="28"/>
      <c r="E111" s="28"/>
      <c r="F111" s="28"/>
      <c r="G111" s="34"/>
      <c r="H111" s="28"/>
      <c r="I111" s="28"/>
      <c r="J111" s="28"/>
      <c r="K111" s="28"/>
      <c r="L111" s="37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</row>
    <row r="112" spans="1:40" ht="12.75" customHeight="1" x14ac:dyDescent="0.25">
      <c r="A112" s="28"/>
      <c r="B112" s="28"/>
      <c r="C112" s="28"/>
      <c r="D112" s="28"/>
      <c r="E112" s="28"/>
      <c r="F112" s="28"/>
      <c r="G112" s="34"/>
      <c r="H112" s="28"/>
      <c r="I112" s="28"/>
      <c r="J112" s="28"/>
      <c r="K112" s="28"/>
      <c r="L112" s="37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</row>
    <row r="113" spans="1:40" ht="12.75" customHeight="1" x14ac:dyDescent="0.25">
      <c r="A113" s="28"/>
      <c r="B113" s="28"/>
      <c r="C113" s="28"/>
      <c r="D113" s="28"/>
      <c r="E113" s="28"/>
      <c r="F113" s="28"/>
      <c r="G113" s="34"/>
      <c r="H113" s="28"/>
      <c r="I113" s="28"/>
      <c r="J113" s="28"/>
      <c r="K113" s="28"/>
      <c r="L113" s="37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</row>
    <row r="114" spans="1:40" ht="12.75" customHeight="1" x14ac:dyDescent="0.25">
      <c r="A114" s="28"/>
      <c r="B114" s="28"/>
      <c r="C114" s="28"/>
      <c r="D114" s="28"/>
      <c r="E114" s="28"/>
      <c r="F114" s="28"/>
      <c r="G114" s="34"/>
      <c r="H114" s="28"/>
      <c r="I114" s="28"/>
      <c r="J114" s="28"/>
      <c r="K114" s="28"/>
      <c r="L114" s="37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</row>
    <row r="115" spans="1:40" ht="12.75" customHeight="1" x14ac:dyDescent="0.25">
      <c r="A115" s="28"/>
      <c r="B115" s="28"/>
      <c r="C115" s="28"/>
      <c r="D115" s="28"/>
      <c r="E115" s="28"/>
      <c r="F115" s="28"/>
      <c r="G115" s="34"/>
      <c r="H115" s="28"/>
      <c r="I115" s="28"/>
      <c r="J115" s="28"/>
      <c r="K115" s="28"/>
      <c r="L115" s="37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</row>
    <row r="116" spans="1:40" ht="12.75" customHeight="1" x14ac:dyDescent="0.25">
      <c r="A116" s="28"/>
      <c r="B116" s="28"/>
      <c r="C116" s="28"/>
      <c r="D116" s="28"/>
      <c r="E116" s="28"/>
      <c r="F116" s="28"/>
      <c r="G116" s="34"/>
      <c r="H116" s="28"/>
      <c r="I116" s="28"/>
      <c r="J116" s="28"/>
      <c r="K116" s="28"/>
      <c r="L116" s="37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</row>
    <row r="117" spans="1:40" ht="12.75" customHeight="1" x14ac:dyDescent="0.25">
      <c r="A117" s="28"/>
      <c r="B117" s="28"/>
      <c r="C117" s="28"/>
      <c r="D117" s="28"/>
      <c r="E117" s="28"/>
      <c r="F117" s="28"/>
      <c r="G117" s="34"/>
      <c r="H117" s="28"/>
      <c r="I117" s="28"/>
      <c r="J117" s="28"/>
      <c r="K117" s="28"/>
      <c r="L117" s="37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</row>
    <row r="118" spans="1:40" ht="12.75" customHeight="1" x14ac:dyDescent="0.25">
      <c r="A118" s="28"/>
      <c r="B118" s="28"/>
      <c r="C118" s="28"/>
      <c r="D118" s="28"/>
      <c r="E118" s="28"/>
      <c r="F118" s="28"/>
      <c r="G118" s="34"/>
      <c r="H118" s="28"/>
      <c r="I118" s="28"/>
      <c r="J118" s="28"/>
      <c r="K118" s="28"/>
      <c r="L118" s="37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</row>
    <row r="119" spans="1:40" ht="12.75" customHeight="1" x14ac:dyDescent="0.25">
      <c r="A119" s="28"/>
      <c r="B119" s="28"/>
      <c r="C119" s="28"/>
      <c r="D119" s="28"/>
      <c r="E119" s="28"/>
      <c r="F119" s="28"/>
      <c r="G119" s="34"/>
      <c r="H119" s="28"/>
      <c r="I119" s="28"/>
      <c r="J119" s="28"/>
      <c r="K119" s="28"/>
      <c r="L119" s="37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</row>
    <row r="120" spans="1:40" ht="12.75" customHeight="1" x14ac:dyDescent="0.25">
      <c r="A120" s="28"/>
      <c r="B120" s="28"/>
      <c r="C120" s="28"/>
      <c r="D120" s="28"/>
      <c r="E120" s="28"/>
      <c r="F120" s="28"/>
      <c r="G120" s="34"/>
      <c r="H120" s="28"/>
      <c r="I120" s="28"/>
      <c r="J120" s="28"/>
      <c r="K120" s="28"/>
      <c r="L120" s="37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</row>
    <row r="121" spans="1:40" ht="12.75" customHeight="1" x14ac:dyDescent="0.25">
      <c r="A121" s="28"/>
      <c r="B121" s="28"/>
      <c r="C121" s="28"/>
      <c r="D121" s="28"/>
      <c r="E121" s="28"/>
      <c r="F121" s="28"/>
      <c r="G121" s="34"/>
      <c r="H121" s="28"/>
      <c r="I121" s="28"/>
      <c r="J121" s="28"/>
      <c r="K121" s="28"/>
      <c r="L121" s="37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</row>
    <row r="122" spans="1:40" ht="12.75" customHeight="1" x14ac:dyDescent="0.25">
      <c r="A122" s="28"/>
      <c r="B122" s="28"/>
      <c r="C122" s="28"/>
      <c r="D122" s="28"/>
      <c r="E122" s="28"/>
      <c r="F122" s="28"/>
      <c r="G122" s="34"/>
      <c r="H122" s="28"/>
      <c r="I122" s="28"/>
      <c r="J122" s="28"/>
      <c r="K122" s="28"/>
      <c r="L122" s="37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</row>
    <row r="123" spans="1:40" ht="12.75" customHeight="1" x14ac:dyDescent="0.25">
      <c r="A123" s="28"/>
      <c r="B123" s="28"/>
      <c r="C123" s="28"/>
      <c r="D123" s="28"/>
      <c r="E123" s="28"/>
      <c r="F123" s="28"/>
      <c r="G123" s="34"/>
      <c r="H123" s="28"/>
      <c r="I123" s="28"/>
      <c r="J123" s="28"/>
      <c r="K123" s="28"/>
      <c r="L123" s="37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</row>
    <row r="124" spans="1:40" ht="12.75" customHeight="1" x14ac:dyDescent="0.25">
      <c r="A124" s="28"/>
      <c r="B124" s="28"/>
      <c r="C124" s="28"/>
      <c r="D124" s="28"/>
      <c r="E124" s="28"/>
      <c r="F124" s="28"/>
      <c r="G124" s="34"/>
      <c r="H124" s="28"/>
      <c r="I124" s="28"/>
      <c r="J124" s="28"/>
      <c r="K124" s="28"/>
      <c r="L124" s="37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</row>
    <row r="125" spans="1:40" ht="12.75" customHeight="1" x14ac:dyDescent="0.25">
      <c r="A125" s="28"/>
      <c r="B125" s="28"/>
      <c r="C125" s="28"/>
      <c r="D125" s="28"/>
      <c r="E125" s="28"/>
      <c r="F125" s="28"/>
      <c r="G125" s="34"/>
      <c r="H125" s="28"/>
      <c r="I125" s="28"/>
      <c r="J125" s="28"/>
      <c r="K125" s="28"/>
      <c r="L125" s="37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</row>
    <row r="126" spans="1:40" ht="12.75" customHeight="1" x14ac:dyDescent="0.25">
      <c r="A126" s="28"/>
      <c r="B126" s="28"/>
      <c r="C126" s="28"/>
      <c r="D126" s="28"/>
      <c r="E126" s="28"/>
      <c r="F126" s="28"/>
      <c r="G126" s="34"/>
      <c r="H126" s="28"/>
      <c r="I126" s="28"/>
      <c r="J126" s="28"/>
      <c r="K126" s="28"/>
      <c r="L126" s="37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</row>
    <row r="127" spans="1:40" ht="12.75" customHeight="1" x14ac:dyDescent="0.25">
      <c r="A127" s="28"/>
      <c r="B127" s="28"/>
      <c r="C127" s="28"/>
      <c r="D127" s="28"/>
      <c r="E127" s="28"/>
      <c r="F127" s="28"/>
      <c r="G127" s="34"/>
      <c r="H127" s="28"/>
      <c r="I127" s="28"/>
      <c r="J127" s="28"/>
      <c r="K127" s="28"/>
      <c r="L127" s="37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</row>
    <row r="128" spans="1:40" ht="12.75" customHeight="1" x14ac:dyDescent="0.25">
      <c r="A128" s="28"/>
      <c r="B128" s="28"/>
      <c r="C128" s="28"/>
      <c r="D128" s="28"/>
      <c r="E128" s="28"/>
      <c r="F128" s="28"/>
      <c r="G128" s="34"/>
      <c r="H128" s="28"/>
      <c r="I128" s="28"/>
      <c r="J128" s="28"/>
      <c r="K128" s="28"/>
      <c r="L128" s="37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</row>
    <row r="129" spans="1:40" ht="12.75" customHeight="1" x14ac:dyDescent="0.25">
      <c r="A129" s="28"/>
      <c r="B129" s="28"/>
      <c r="C129" s="28"/>
      <c r="D129" s="28"/>
      <c r="E129" s="28"/>
      <c r="F129" s="28"/>
      <c r="G129" s="34"/>
      <c r="H129" s="28"/>
      <c r="I129" s="28"/>
      <c r="J129" s="28"/>
      <c r="K129" s="28"/>
      <c r="L129" s="37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</row>
    <row r="130" spans="1:40" ht="12.75" customHeight="1" x14ac:dyDescent="0.25">
      <c r="A130" s="28"/>
      <c r="B130" s="28"/>
      <c r="C130" s="28"/>
      <c r="D130" s="28"/>
      <c r="E130" s="28"/>
      <c r="F130" s="28"/>
      <c r="G130" s="34"/>
      <c r="H130" s="28"/>
      <c r="I130" s="28"/>
      <c r="J130" s="28"/>
      <c r="K130" s="28"/>
      <c r="L130" s="37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</row>
    <row r="131" spans="1:40" ht="12.75" customHeight="1" x14ac:dyDescent="0.25">
      <c r="A131" s="28"/>
      <c r="B131" s="28"/>
      <c r="C131" s="28"/>
      <c r="D131" s="28"/>
      <c r="E131" s="28"/>
      <c r="F131" s="28"/>
      <c r="G131" s="34"/>
      <c r="H131" s="28"/>
      <c r="I131" s="28"/>
      <c r="J131" s="28"/>
      <c r="K131" s="28"/>
      <c r="L131" s="37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</row>
    <row r="132" spans="1:40" ht="12.75" customHeight="1" x14ac:dyDescent="0.25">
      <c r="A132" s="28"/>
      <c r="B132" s="28"/>
      <c r="C132" s="28"/>
      <c r="D132" s="28"/>
      <c r="E132" s="28"/>
      <c r="F132" s="28"/>
      <c r="G132" s="34"/>
      <c r="H132" s="28"/>
      <c r="I132" s="28"/>
      <c r="J132" s="28"/>
      <c r="K132" s="28"/>
      <c r="L132" s="37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</row>
    <row r="133" spans="1:40" ht="12.75" customHeight="1" x14ac:dyDescent="0.25">
      <c r="A133" s="28"/>
      <c r="B133" s="28"/>
      <c r="C133" s="28"/>
      <c r="D133" s="28"/>
      <c r="E133" s="28"/>
      <c r="F133" s="28"/>
      <c r="G133" s="34"/>
      <c r="H133" s="28"/>
      <c r="I133" s="28"/>
      <c r="J133" s="28"/>
      <c r="K133" s="28"/>
      <c r="L133" s="37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</row>
    <row r="134" spans="1:40" ht="12.75" customHeight="1" x14ac:dyDescent="0.25">
      <c r="A134" s="28"/>
      <c r="B134" s="28"/>
      <c r="C134" s="28"/>
      <c r="D134" s="28"/>
      <c r="E134" s="28"/>
      <c r="F134" s="28"/>
      <c r="G134" s="34"/>
      <c r="H134" s="28"/>
      <c r="I134" s="28"/>
      <c r="J134" s="28"/>
      <c r="K134" s="28"/>
      <c r="L134" s="37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</row>
    <row r="135" spans="1:40" ht="12.75" customHeight="1" x14ac:dyDescent="0.25">
      <c r="A135" s="28"/>
      <c r="B135" s="28"/>
      <c r="C135" s="28"/>
      <c r="D135" s="28"/>
      <c r="E135" s="28"/>
      <c r="F135" s="28"/>
      <c r="G135" s="34"/>
      <c r="H135" s="28"/>
      <c r="I135" s="28"/>
      <c r="J135" s="28"/>
      <c r="K135" s="28"/>
      <c r="L135" s="37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</row>
    <row r="136" spans="1:40" ht="12.75" customHeight="1" x14ac:dyDescent="0.25">
      <c r="A136" s="28"/>
      <c r="B136" s="28"/>
      <c r="C136" s="28"/>
      <c r="D136" s="28"/>
      <c r="E136" s="28"/>
      <c r="F136" s="28"/>
      <c r="G136" s="34"/>
      <c r="H136" s="28"/>
      <c r="I136" s="28"/>
      <c r="J136" s="28"/>
      <c r="K136" s="28"/>
      <c r="L136" s="37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</row>
    <row r="137" spans="1:40" ht="12.75" customHeight="1" x14ac:dyDescent="0.25">
      <c r="A137" s="28"/>
      <c r="B137" s="28"/>
      <c r="C137" s="28"/>
      <c r="D137" s="28"/>
      <c r="E137" s="28"/>
      <c r="F137" s="28"/>
      <c r="G137" s="34"/>
      <c r="H137" s="28"/>
      <c r="I137" s="28"/>
      <c r="J137" s="28"/>
      <c r="K137" s="28"/>
      <c r="L137" s="37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</row>
    <row r="138" spans="1:40" ht="12.75" customHeight="1" x14ac:dyDescent="0.25">
      <c r="A138" s="28"/>
      <c r="B138" s="28"/>
      <c r="C138" s="28"/>
      <c r="D138" s="28"/>
      <c r="E138" s="28"/>
      <c r="F138" s="28"/>
      <c r="G138" s="34"/>
      <c r="H138" s="28"/>
      <c r="I138" s="28"/>
      <c r="J138" s="28"/>
      <c r="K138" s="28"/>
      <c r="L138" s="37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</row>
    <row r="139" spans="1:40" ht="12.75" customHeight="1" x14ac:dyDescent="0.25">
      <c r="A139" s="28"/>
      <c r="B139" s="28"/>
      <c r="C139" s="28"/>
      <c r="D139" s="28"/>
      <c r="E139" s="28"/>
      <c r="F139" s="28"/>
      <c r="G139" s="34"/>
      <c r="H139" s="28"/>
      <c r="I139" s="28"/>
      <c r="J139" s="28"/>
      <c r="K139" s="28"/>
      <c r="L139" s="37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</row>
    <row r="140" spans="1:40" ht="12.75" customHeight="1" x14ac:dyDescent="0.25">
      <c r="A140" s="28"/>
      <c r="B140" s="28"/>
      <c r="C140" s="28"/>
      <c r="D140" s="28"/>
      <c r="E140" s="28"/>
      <c r="F140" s="28"/>
      <c r="G140" s="34"/>
      <c r="H140" s="28"/>
      <c r="I140" s="28"/>
      <c r="J140" s="28"/>
      <c r="K140" s="28"/>
      <c r="L140" s="37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</row>
    <row r="141" spans="1:40" ht="12.75" customHeight="1" x14ac:dyDescent="0.25">
      <c r="A141" s="28"/>
      <c r="B141" s="28"/>
      <c r="C141" s="28"/>
      <c r="D141" s="28"/>
      <c r="E141" s="28"/>
      <c r="F141" s="28"/>
      <c r="G141" s="34"/>
      <c r="H141" s="28"/>
      <c r="I141" s="28"/>
      <c r="J141" s="28"/>
      <c r="K141" s="28"/>
      <c r="L141" s="37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</row>
    <row r="142" spans="1:40" ht="12.75" customHeight="1" x14ac:dyDescent="0.25">
      <c r="A142" s="28"/>
      <c r="B142" s="28"/>
      <c r="C142" s="28"/>
      <c r="D142" s="28"/>
      <c r="E142" s="28"/>
      <c r="F142" s="28"/>
      <c r="G142" s="34"/>
      <c r="H142" s="28"/>
      <c r="I142" s="28"/>
      <c r="J142" s="28"/>
      <c r="K142" s="28"/>
      <c r="L142" s="37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</row>
    <row r="143" spans="1:40" ht="12.75" customHeight="1" x14ac:dyDescent="0.25">
      <c r="A143" s="28"/>
      <c r="B143" s="28"/>
      <c r="C143" s="28"/>
      <c r="D143" s="28"/>
      <c r="E143" s="28"/>
      <c r="F143" s="28"/>
      <c r="G143" s="34"/>
      <c r="H143" s="28"/>
      <c r="I143" s="28"/>
      <c r="J143" s="28"/>
      <c r="K143" s="28"/>
      <c r="L143" s="37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</row>
    <row r="144" spans="1:40" ht="12.75" customHeight="1" x14ac:dyDescent="0.25">
      <c r="A144" s="28"/>
      <c r="B144" s="28"/>
      <c r="C144" s="28"/>
      <c r="D144" s="28"/>
      <c r="E144" s="28"/>
      <c r="F144" s="28"/>
      <c r="G144" s="34"/>
      <c r="H144" s="28"/>
      <c r="I144" s="28"/>
      <c r="J144" s="28"/>
      <c r="K144" s="28"/>
      <c r="L144" s="37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</row>
    <row r="145" spans="1:40" ht="12.75" customHeight="1" x14ac:dyDescent="0.25">
      <c r="A145" s="28"/>
      <c r="B145" s="28"/>
      <c r="C145" s="28"/>
      <c r="D145" s="28"/>
      <c r="E145" s="28"/>
      <c r="F145" s="28"/>
      <c r="G145" s="34"/>
      <c r="H145" s="28"/>
      <c r="I145" s="28"/>
      <c r="J145" s="28"/>
      <c r="K145" s="28"/>
      <c r="L145" s="37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</row>
    <row r="146" spans="1:40" ht="12.75" customHeight="1" x14ac:dyDescent="0.25">
      <c r="A146" s="28"/>
      <c r="B146" s="28"/>
      <c r="C146" s="28"/>
      <c r="D146" s="28"/>
      <c r="E146" s="28"/>
      <c r="F146" s="28"/>
      <c r="G146" s="34"/>
      <c r="H146" s="28"/>
      <c r="I146" s="28"/>
      <c r="J146" s="28"/>
      <c r="K146" s="28"/>
      <c r="L146" s="37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</row>
    <row r="147" spans="1:40" ht="12.75" customHeight="1" x14ac:dyDescent="0.25">
      <c r="A147" s="28"/>
      <c r="B147" s="28"/>
      <c r="C147" s="28"/>
      <c r="D147" s="28"/>
      <c r="E147" s="28"/>
      <c r="F147" s="28"/>
      <c r="G147" s="34"/>
      <c r="H147" s="28"/>
      <c r="I147" s="28"/>
      <c r="J147" s="28"/>
      <c r="K147" s="28"/>
      <c r="L147" s="37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</row>
    <row r="148" spans="1:40" ht="12.75" customHeight="1" x14ac:dyDescent="0.25">
      <c r="A148" s="28"/>
      <c r="B148" s="28"/>
      <c r="C148" s="28"/>
      <c r="D148" s="28"/>
      <c r="E148" s="28"/>
      <c r="F148" s="28"/>
      <c r="G148" s="34"/>
      <c r="H148" s="28"/>
      <c r="I148" s="28"/>
      <c r="J148" s="28"/>
      <c r="K148" s="28"/>
      <c r="L148" s="37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</row>
    <row r="149" spans="1:40" ht="12.75" customHeight="1" x14ac:dyDescent="0.25">
      <c r="A149" s="28"/>
      <c r="B149" s="28"/>
      <c r="C149" s="28"/>
      <c r="D149" s="28"/>
      <c r="E149" s="28"/>
      <c r="F149" s="28"/>
      <c r="G149" s="34"/>
      <c r="H149" s="28"/>
      <c r="I149" s="28"/>
      <c r="J149" s="28"/>
      <c r="K149" s="28"/>
      <c r="L149" s="37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</row>
    <row r="150" spans="1:40" ht="12.75" customHeight="1" x14ac:dyDescent="0.25">
      <c r="A150" s="28"/>
      <c r="B150" s="28"/>
      <c r="C150" s="28"/>
      <c r="D150" s="28"/>
      <c r="E150" s="28"/>
      <c r="F150" s="28"/>
      <c r="G150" s="34"/>
      <c r="H150" s="28"/>
      <c r="I150" s="28"/>
      <c r="J150" s="28"/>
      <c r="K150" s="28"/>
      <c r="L150" s="37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</row>
    <row r="151" spans="1:40" ht="12.75" customHeight="1" x14ac:dyDescent="0.25">
      <c r="A151" s="28"/>
      <c r="B151" s="28"/>
      <c r="C151" s="28"/>
      <c r="D151" s="28"/>
      <c r="E151" s="28"/>
      <c r="F151" s="28"/>
      <c r="G151" s="34"/>
      <c r="H151" s="28"/>
      <c r="I151" s="28"/>
      <c r="J151" s="28"/>
      <c r="K151" s="28"/>
      <c r="L151" s="37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</row>
    <row r="152" spans="1:40" ht="12.75" customHeight="1" x14ac:dyDescent="0.25">
      <c r="A152" s="28"/>
      <c r="B152" s="28"/>
      <c r="C152" s="28"/>
      <c r="D152" s="28"/>
      <c r="E152" s="28"/>
      <c r="F152" s="28"/>
      <c r="G152" s="34"/>
      <c r="H152" s="28"/>
      <c r="I152" s="28"/>
      <c r="J152" s="28"/>
      <c r="K152" s="28"/>
      <c r="L152" s="37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</row>
    <row r="153" spans="1:40" ht="12.75" customHeight="1" x14ac:dyDescent="0.25">
      <c r="A153" s="28"/>
      <c r="B153" s="28"/>
      <c r="C153" s="28"/>
      <c r="D153" s="28"/>
      <c r="E153" s="28"/>
      <c r="F153" s="28"/>
      <c r="G153" s="34"/>
      <c r="H153" s="28"/>
      <c r="I153" s="28"/>
      <c r="J153" s="28"/>
      <c r="K153" s="28"/>
      <c r="L153" s="37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</row>
    <row r="154" spans="1:40" ht="12.75" customHeight="1" x14ac:dyDescent="0.25">
      <c r="A154" s="28"/>
      <c r="B154" s="28"/>
      <c r="C154" s="28"/>
      <c r="D154" s="28"/>
      <c r="E154" s="28"/>
      <c r="F154" s="28"/>
      <c r="G154" s="34"/>
      <c r="H154" s="28"/>
      <c r="I154" s="28"/>
      <c r="J154" s="28"/>
      <c r="K154" s="28"/>
      <c r="L154" s="37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</row>
    <row r="155" spans="1:40" ht="12.75" customHeight="1" x14ac:dyDescent="0.25">
      <c r="A155" s="28"/>
      <c r="B155" s="28"/>
      <c r="C155" s="28"/>
      <c r="D155" s="28"/>
      <c r="E155" s="28"/>
      <c r="F155" s="28"/>
      <c r="G155" s="34"/>
      <c r="H155" s="28"/>
      <c r="I155" s="28"/>
      <c r="J155" s="28"/>
      <c r="K155" s="28"/>
      <c r="L155" s="37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</row>
    <row r="156" spans="1:40" ht="12.75" customHeight="1" x14ac:dyDescent="0.25">
      <c r="A156" s="28"/>
      <c r="B156" s="28"/>
      <c r="C156" s="28"/>
      <c r="D156" s="28"/>
      <c r="E156" s="28"/>
      <c r="F156" s="28"/>
      <c r="G156" s="34"/>
      <c r="H156" s="28"/>
      <c r="I156" s="28"/>
      <c r="J156" s="28"/>
      <c r="K156" s="28"/>
      <c r="L156" s="37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</row>
    <row r="157" spans="1:40" ht="12.75" customHeight="1" x14ac:dyDescent="0.25">
      <c r="A157" s="28"/>
      <c r="B157" s="28"/>
      <c r="C157" s="28"/>
      <c r="D157" s="28"/>
      <c r="E157" s="28"/>
      <c r="F157" s="28"/>
      <c r="G157" s="34"/>
      <c r="H157" s="28"/>
      <c r="I157" s="28"/>
      <c r="J157" s="28"/>
      <c r="K157" s="28"/>
      <c r="L157" s="37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</row>
    <row r="158" spans="1:40" ht="12.75" customHeight="1" x14ac:dyDescent="0.25">
      <c r="A158" s="28"/>
      <c r="B158" s="28"/>
      <c r="C158" s="28"/>
      <c r="D158" s="28"/>
      <c r="E158" s="28"/>
      <c r="F158" s="28"/>
      <c r="G158" s="34"/>
      <c r="H158" s="28"/>
      <c r="I158" s="28"/>
      <c r="J158" s="28"/>
      <c r="K158" s="28"/>
      <c r="L158" s="37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</row>
    <row r="159" spans="1:40" ht="12.75" customHeight="1" x14ac:dyDescent="0.25">
      <c r="A159" s="28"/>
      <c r="B159" s="28"/>
      <c r="C159" s="28"/>
      <c r="D159" s="28"/>
      <c r="E159" s="28"/>
      <c r="F159" s="28"/>
      <c r="G159" s="34"/>
      <c r="H159" s="28"/>
      <c r="I159" s="28"/>
      <c r="J159" s="28"/>
      <c r="K159" s="28"/>
      <c r="L159" s="37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</row>
    <row r="160" spans="1:40" ht="12.75" customHeight="1" x14ac:dyDescent="0.25">
      <c r="A160" s="28"/>
      <c r="B160" s="28"/>
      <c r="C160" s="28"/>
      <c r="D160" s="28"/>
      <c r="E160" s="28"/>
      <c r="F160" s="28"/>
      <c r="G160" s="34"/>
      <c r="H160" s="28"/>
      <c r="I160" s="28"/>
      <c r="J160" s="28"/>
      <c r="K160" s="28"/>
      <c r="L160" s="37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</row>
    <row r="161" spans="1:40" ht="12.75" customHeight="1" x14ac:dyDescent="0.25">
      <c r="A161" s="28"/>
      <c r="B161" s="28"/>
      <c r="C161" s="28"/>
      <c r="D161" s="28"/>
      <c r="E161" s="28"/>
      <c r="F161" s="28"/>
      <c r="G161" s="34"/>
      <c r="H161" s="28"/>
      <c r="I161" s="28"/>
      <c r="J161" s="28"/>
      <c r="K161" s="28"/>
      <c r="L161" s="37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</row>
    <row r="162" spans="1:40" ht="12.75" customHeight="1" x14ac:dyDescent="0.25">
      <c r="A162" s="28"/>
      <c r="B162" s="28"/>
      <c r="C162" s="28"/>
      <c r="D162" s="28"/>
      <c r="E162" s="28"/>
      <c r="F162" s="28"/>
      <c r="G162" s="34"/>
      <c r="H162" s="28"/>
      <c r="I162" s="28"/>
      <c r="J162" s="28"/>
      <c r="K162" s="28"/>
      <c r="L162" s="37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</row>
    <row r="163" spans="1:40" ht="12.75" customHeight="1" x14ac:dyDescent="0.25">
      <c r="A163" s="28"/>
      <c r="B163" s="28"/>
      <c r="C163" s="28"/>
      <c r="D163" s="28"/>
      <c r="E163" s="28"/>
      <c r="F163" s="28"/>
      <c r="G163" s="34"/>
      <c r="H163" s="28"/>
      <c r="I163" s="28"/>
      <c r="J163" s="28"/>
      <c r="K163" s="28"/>
      <c r="L163" s="37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</row>
    <row r="164" spans="1:40" ht="12.75" customHeight="1" x14ac:dyDescent="0.25">
      <c r="A164" s="28"/>
      <c r="B164" s="28"/>
      <c r="C164" s="28"/>
      <c r="D164" s="28"/>
      <c r="E164" s="28"/>
      <c r="F164" s="28"/>
      <c r="G164" s="34"/>
      <c r="H164" s="28"/>
      <c r="I164" s="28"/>
      <c r="J164" s="28"/>
      <c r="K164" s="28"/>
      <c r="L164" s="37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</row>
    <row r="165" spans="1:40" ht="12.75" customHeight="1" x14ac:dyDescent="0.25">
      <c r="A165" s="28"/>
      <c r="B165" s="28"/>
      <c r="C165" s="28"/>
      <c r="D165" s="28"/>
      <c r="E165" s="28"/>
      <c r="F165" s="28"/>
      <c r="G165" s="34"/>
      <c r="H165" s="28"/>
      <c r="I165" s="28"/>
      <c r="J165" s="28"/>
      <c r="K165" s="28"/>
      <c r="L165" s="37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</row>
    <row r="166" spans="1:40" ht="12.75" customHeight="1" x14ac:dyDescent="0.25">
      <c r="A166" s="28"/>
      <c r="B166" s="28"/>
      <c r="C166" s="28"/>
      <c r="D166" s="28"/>
      <c r="E166" s="28"/>
      <c r="F166" s="28"/>
      <c r="G166" s="34"/>
      <c r="H166" s="28"/>
      <c r="I166" s="28"/>
      <c r="J166" s="28"/>
      <c r="K166" s="28"/>
      <c r="L166" s="37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</row>
    <row r="167" spans="1:40" ht="12.75" customHeight="1" x14ac:dyDescent="0.25">
      <c r="A167" s="28"/>
      <c r="B167" s="28"/>
      <c r="C167" s="28"/>
      <c r="D167" s="28"/>
      <c r="E167" s="28"/>
      <c r="F167" s="28"/>
      <c r="G167" s="34"/>
      <c r="H167" s="28"/>
      <c r="I167" s="28"/>
      <c r="J167" s="28"/>
      <c r="K167" s="28"/>
      <c r="L167" s="37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</row>
    <row r="168" spans="1:40" ht="12.75" customHeight="1" x14ac:dyDescent="0.25">
      <c r="A168" s="28"/>
      <c r="B168" s="28"/>
      <c r="C168" s="28"/>
      <c r="D168" s="28"/>
      <c r="E168" s="28"/>
      <c r="F168" s="28"/>
      <c r="G168" s="34"/>
      <c r="H168" s="28"/>
      <c r="I168" s="28"/>
      <c r="J168" s="28"/>
      <c r="K168" s="28"/>
      <c r="L168" s="37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</row>
    <row r="169" spans="1:40" ht="12.75" customHeight="1" x14ac:dyDescent="0.25">
      <c r="A169" s="28"/>
      <c r="B169" s="28"/>
      <c r="C169" s="28"/>
      <c r="D169" s="28"/>
      <c r="E169" s="28"/>
      <c r="F169" s="28"/>
      <c r="G169" s="34"/>
      <c r="H169" s="28"/>
      <c r="I169" s="28"/>
      <c r="J169" s="28"/>
      <c r="K169" s="28"/>
      <c r="L169" s="37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</row>
    <row r="170" spans="1:40" ht="12.75" customHeight="1" x14ac:dyDescent="0.25">
      <c r="A170" s="28"/>
      <c r="B170" s="28"/>
      <c r="C170" s="28"/>
      <c r="D170" s="28"/>
      <c r="E170" s="28"/>
      <c r="F170" s="28"/>
      <c r="G170" s="34"/>
      <c r="H170" s="28"/>
      <c r="I170" s="28"/>
      <c r="J170" s="28"/>
      <c r="K170" s="28"/>
      <c r="L170" s="37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</row>
    <row r="171" spans="1:40" ht="12.75" customHeight="1" x14ac:dyDescent="0.25">
      <c r="A171" s="28"/>
      <c r="B171" s="28"/>
      <c r="C171" s="28"/>
      <c r="D171" s="28"/>
      <c r="E171" s="28"/>
      <c r="F171" s="28"/>
      <c r="G171" s="34"/>
      <c r="H171" s="28"/>
      <c r="I171" s="28"/>
      <c r="J171" s="28"/>
      <c r="K171" s="28"/>
      <c r="L171" s="37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</row>
    <row r="172" spans="1:40" ht="12.75" customHeight="1" x14ac:dyDescent="0.25">
      <c r="G172" s="15"/>
      <c r="L172" s="16"/>
      <c r="U172" s="17"/>
      <c r="V172" s="17"/>
      <c r="W172" s="17"/>
    </row>
    <row r="173" spans="1:40" ht="12.75" customHeight="1" x14ac:dyDescent="0.25">
      <c r="G173" s="15"/>
      <c r="L173" s="16"/>
      <c r="U173" s="17"/>
      <c r="V173" s="17"/>
      <c r="W173" s="17"/>
    </row>
    <row r="174" spans="1:40" ht="12.75" customHeight="1" x14ac:dyDescent="0.25">
      <c r="G174" s="15"/>
      <c r="L174" s="16"/>
      <c r="U174" s="17"/>
      <c r="V174" s="17"/>
      <c r="W174" s="17"/>
    </row>
    <row r="175" spans="1:40" ht="12.75" customHeight="1" x14ac:dyDescent="0.25">
      <c r="G175" s="15"/>
      <c r="L175" s="16"/>
      <c r="U175" s="17"/>
      <c r="V175" s="17"/>
      <c r="W175" s="17"/>
    </row>
    <row r="176" spans="1:40" ht="12.75" customHeight="1" x14ac:dyDescent="0.25">
      <c r="G176" s="15"/>
      <c r="L176" s="16"/>
      <c r="U176" s="17"/>
      <c r="V176" s="17"/>
      <c r="W176" s="17"/>
    </row>
    <row r="177" spans="7:23" ht="12.75" customHeight="1" x14ac:dyDescent="0.25">
      <c r="G177" s="15"/>
      <c r="L177" s="16"/>
      <c r="U177" s="17"/>
      <c r="V177" s="17"/>
      <c r="W177" s="17"/>
    </row>
    <row r="178" spans="7:23" ht="12.75" customHeight="1" x14ac:dyDescent="0.25">
      <c r="G178" s="15"/>
      <c r="L178" s="16"/>
      <c r="U178" s="17"/>
      <c r="V178" s="17"/>
      <c r="W178" s="17"/>
    </row>
    <row r="179" spans="7:23" ht="12.75" customHeight="1" x14ac:dyDescent="0.25">
      <c r="G179" s="15"/>
      <c r="L179" s="16"/>
      <c r="U179" s="17"/>
      <c r="V179" s="17"/>
      <c r="W179" s="17"/>
    </row>
    <row r="180" spans="7:23" ht="12.75" customHeight="1" x14ac:dyDescent="0.25">
      <c r="G180" s="15"/>
      <c r="L180" s="16"/>
      <c r="U180" s="17"/>
      <c r="V180" s="17"/>
      <c r="W180" s="17"/>
    </row>
    <row r="181" spans="7:23" ht="12.75" customHeight="1" x14ac:dyDescent="0.25">
      <c r="G181" s="15"/>
      <c r="L181" s="16"/>
      <c r="U181" s="17"/>
      <c r="V181" s="17"/>
      <c r="W181" s="17"/>
    </row>
    <row r="182" spans="7:23" ht="12.75" customHeight="1" x14ac:dyDescent="0.25">
      <c r="G182" s="15"/>
      <c r="L182" s="16"/>
      <c r="U182" s="17"/>
      <c r="V182" s="17"/>
      <c r="W182" s="17"/>
    </row>
    <row r="183" spans="7:23" ht="12.75" customHeight="1" x14ac:dyDescent="0.25">
      <c r="G183" s="15"/>
      <c r="L183" s="16"/>
      <c r="U183" s="17"/>
      <c r="V183" s="17"/>
      <c r="W183" s="17"/>
    </row>
    <row r="184" spans="7:23" ht="12.75" customHeight="1" x14ac:dyDescent="0.25">
      <c r="G184" s="15"/>
      <c r="L184" s="16"/>
      <c r="U184" s="17"/>
      <c r="V184" s="17"/>
      <c r="W184" s="17"/>
    </row>
    <row r="185" spans="7:23" ht="12.75" customHeight="1" x14ac:dyDescent="0.25">
      <c r="G185" s="15"/>
      <c r="L185" s="16"/>
      <c r="U185" s="17"/>
      <c r="V185" s="17"/>
      <c r="W185" s="17"/>
    </row>
    <row r="186" spans="7:23" ht="12.75" customHeight="1" x14ac:dyDescent="0.25">
      <c r="G186" s="15"/>
      <c r="L186" s="16"/>
      <c r="U186" s="17"/>
      <c r="V186" s="17"/>
      <c r="W186" s="17"/>
    </row>
    <row r="187" spans="7:23" ht="12.75" customHeight="1" x14ac:dyDescent="0.25">
      <c r="G187" s="15"/>
      <c r="L187" s="16"/>
      <c r="U187" s="17"/>
      <c r="V187" s="17"/>
      <c r="W187" s="17"/>
    </row>
    <row r="188" spans="7:23" ht="12.75" customHeight="1" x14ac:dyDescent="0.25">
      <c r="G188" s="15"/>
      <c r="L188" s="16"/>
      <c r="U188" s="17"/>
      <c r="V188" s="17"/>
      <c r="W188" s="17"/>
    </row>
    <row r="189" spans="7:23" ht="12.75" customHeight="1" x14ac:dyDescent="0.25">
      <c r="G189" s="15"/>
      <c r="L189" s="16"/>
      <c r="U189" s="17"/>
      <c r="V189" s="17"/>
      <c r="W189" s="17"/>
    </row>
    <row r="190" spans="7:23" ht="12.75" customHeight="1" x14ac:dyDescent="0.25">
      <c r="G190" s="15"/>
      <c r="L190" s="16"/>
      <c r="U190" s="17"/>
      <c r="V190" s="17"/>
      <c r="W190" s="17"/>
    </row>
    <row r="191" spans="7:23" ht="12.75" customHeight="1" x14ac:dyDescent="0.25">
      <c r="G191" s="15"/>
      <c r="L191" s="16"/>
      <c r="U191" s="17"/>
      <c r="V191" s="17"/>
      <c r="W191" s="17"/>
    </row>
    <row r="192" spans="7:23" ht="12.75" customHeight="1" x14ac:dyDescent="0.25">
      <c r="G192" s="15"/>
      <c r="L192" s="16"/>
      <c r="U192" s="17"/>
      <c r="V192" s="17"/>
      <c r="W192" s="17"/>
    </row>
    <row r="193" spans="7:23" ht="12.75" customHeight="1" x14ac:dyDescent="0.25">
      <c r="G193" s="15"/>
      <c r="L193" s="16"/>
      <c r="U193" s="17"/>
      <c r="V193" s="17"/>
      <c r="W193" s="17"/>
    </row>
    <row r="194" spans="7:23" ht="12.75" customHeight="1" x14ac:dyDescent="0.25">
      <c r="G194" s="15"/>
      <c r="L194" s="16"/>
      <c r="U194" s="17"/>
      <c r="V194" s="17"/>
      <c r="W194" s="17"/>
    </row>
    <row r="195" spans="7:23" ht="12.75" customHeight="1" x14ac:dyDescent="0.25">
      <c r="G195" s="15"/>
      <c r="L195" s="16"/>
      <c r="U195" s="17"/>
      <c r="V195" s="17"/>
      <c r="W195" s="17"/>
    </row>
    <row r="196" spans="7:23" ht="12.75" customHeight="1" x14ac:dyDescent="0.25">
      <c r="G196" s="15"/>
      <c r="L196" s="16"/>
      <c r="U196" s="17"/>
      <c r="V196" s="17"/>
      <c r="W196" s="17"/>
    </row>
    <row r="197" spans="7:23" ht="12.75" customHeight="1" x14ac:dyDescent="0.25">
      <c r="G197" s="15"/>
      <c r="L197" s="16"/>
      <c r="U197" s="17"/>
      <c r="V197" s="17"/>
      <c r="W197" s="17"/>
    </row>
    <row r="198" spans="7:23" ht="12.75" customHeight="1" x14ac:dyDescent="0.25">
      <c r="G198" s="15"/>
      <c r="L198" s="16"/>
      <c r="U198" s="17"/>
      <c r="V198" s="17"/>
      <c r="W198" s="17"/>
    </row>
    <row r="199" spans="7:23" ht="12.75" customHeight="1" x14ac:dyDescent="0.25">
      <c r="G199" s="15"/>
      <c r="L199" s="16"/>
      <c r="U199" s="17"/>
      <c r="V199" s="17"/>
      <c r="W199" s="17"/>
    </row>
    <row r="200" spans="7:23" ht="12.75" customHeight="1" x14ac:dyDescent="0.25">
      <c r="G200" s="15"/>
      <c r="L200" s="16"/>
      <c r="U200" s="17"/>
      <c r="V200" s="17"/>
      <c r="W200" s="17"/>
    </row>
    <row r="201" spans="7:23" ht="12.75" customHeight="1" x14ac:dyDescent="0.25">
      <c r="G201" s="15"/>
      <c r="L201" s="16"/>
      <c r="U201" s="17"/>
      <c r="V201" s="17"/>
      <c r="W201" s="17"/>
    </row>
    <row r="202" spans="7:23" ht="12.75" customHeight="1" x14ac:dyDescent="0.25">
      <c r="G202" s="15"/>
      <c r="L202" s="16"/>
      <c r="U202" s="17"/>
      <c r="V202" s="17"/>
      <c r="W202" s="17"/>
    </row>
    <row r="203" spans="7:23" ht="12.75" customHeight="1" x14ac:dyDescent="0.25">
      <c r="G203" s="15"/>
      <c r="L203" s="16"/>
      <c r="U203" s="17"/>
      <c r="V203" s="17"/>
      <c r="W203" s="17"/>
    </row>
    <row r="204" spans="7:23" ht="12.75" customHeight="1" x14ac:dyDescent="0.25">
      <c r="G204" s="15"/>
      <c r="L204" s="16"/>
      <c r="U204" s="17"/>
      <c r="V204" s="17"/>
      <c r="W204" s="17"/>
    </row>
    <row r="205" spans="7:23" ht="12.75" customHeight="1" x14ac:dyDescent="0.25">
      <c r="G205" s="15"/>
      <c r="L205" s="16"/>
      <c r="U205" s="17"/>
      <c r="V205" s="17"/>
      <c r="W205" s="17"/>
    </row>
    <row r="206" spans="7:23" ht="12.75" customHeight="1" x14ac:dyDescent="0.25">
      <c r="G206" s="15"/>
      <c r="L206" s="16"/>
      <c r="U206" s="17"/>
      <c r="V206" s="17"/>
      <c r="W206" s="17"/>
    </row>
    <row r="207" spans="7:23" ht="12.75" customHeight="1" x14ac:dyDescent="0.25">
      <c r="G207" s="15"/>
      <c r="L207" s="16"/>
      <c r="U207" s="17"/>
      <c r="V207" s="17"/>
      <c r="W207" s="17"/>
    </row>
    <row r="208" spans="7:23" ht="12.75" customHeight="1" x14ac:dyDescent="0.25">
      <c r="G208" s="15"/>
      <c r="L208" s="16"/>
      <c r="U208" s="17"/>
      <c r="V208" s="17"/>
      <c r="W208" s="17"/>
    </row>
    <row r="209" spans="7:23" ht="12.75" customHeight="1" x14ac:dyDescent="0.25">
      <c r="G209" s="15"/>
      <c r="L209" s="16"/>
      <c r="U209" s="17"/>
      <c r="V209" s="17"/>
      <c r="W209" s="17"/>
    </row>
    <row r="210" spans="7:23" ht="12.75" customHeight="1" x14ac:dyDescent="0.25">
      <c r="G210" s="15"/>
      <c r="L210" s="16"/>
      <c r="U210" s="17"/>
      <c r="V210" s="17"/>
      <c r="W210" s="17"/>
    </row>
    <row r="211" spans="7:23" ht="12.75" customHeight="1" x14ac:dyDescent="0.25">
      <c r="G211" s="15"/>
      <c r="L211" s="16"/>
      <c r="U211" s="17"/>
      <c r="V211" s="17"/>
      <c r="W211" s="17"/>
    </row>
    <row r="212" spans="7:23" ht="12.75" customHeight="1" x14ac:dyDescent="0.25">
      <c r="G212" s="15"/>
      <c r="L212" s="16"/>
      <c r="U212" s="17"/>
      <c r="V212" s="17"/>
      <c r="W212" s="17"/>
    </row>
    <row r="213" spans="7:23" ht="12.75" customHeight="1" x14ac:dyDescent="0.25">
      <c r="G213" s="15"/>
      <c r="L213" s="16"/>
      <c r="U213" s="17"/>
      <c r="V213" s="17"/>
      <c r="W213" s="17"/>
    </row>
    <row r="214" spans="7:23" ht="12.75" customHeight="1" x14ac:dyDescent="0.25">
      <c r="G214" s="15"/>
      <c r="L214" s="16"/>
      <c r="U214" s="17"/>
      <c r="V214" s="17"/>
      <c r="W214" s="17"/>
    </row>
    <row r="215" spans="7:23" ht="12.75" customHeight="1" x14ac:dyDescent="0.25">
      <c r="G215" s="15"/>
      <c r="L215" s="16"/>
      <c r="U215" s="17"/>
      <c r="V215" s="17"/>
      <c r="W215" s="17"/>
    </row>
    <row r="216" spans="7:23" ht="12.75" customHeight="1" x14ac:dyDescent="0.25">
      <c r="G216" s="15"/>
      <c r="L216" s="16"/>
      <c r="U216" s="17"/>
      <c r="V216" s="17"/>
      <c r="W216" s="17"/>
    </row>
    <row r="217" spans="7:23" ht="12.75" customHeight="1" x14ac:dyDescent="0.25">
      <c r="G217" s="15"/>
      <c r="L217" s="16"/>
      <c r="U217" s="17"/>
      <c r="V217" s="17"/>
      <c r="W217" s="17"/>
    </row>
    <row r="218" spans="7:23" ht="12.75" customHeight="1" x14ac:dyDescent="0.25">
      <c r="G218" s="15"/>
      <c r="L218" s="16"/>
      <c r="U218" s="17"/>
      <c r="V218" s="17"/>
      <c r="W218" s="17"/>
    </row>
    <row r="219" spans="7:23" ht="12.75" customHeight="1" x14ac:dyDescent="0.25">
      <c r="G219" s="15"/>
      <c r="L219" s="16"/>
      <c r="U219" s="17"/>
      <c r="V219" s="17"/>
      <c r="W219" s="17"/>
    </row>
    <row r="220" spans="7:23" ht="12.75" customHeight="1" x14ac:dyDescent="0.25">
      <c r="G220" s="15"/>
      <c r="L220" s="16"/>
      <c r="U220" s="17"/>
      <c r="V220" s="17"/>
      <c r="W220" s="17"/>
    </row>
    <row r="221" spans="7:23" ht="12.75" customHeight="1" x14ac:dyDescent="0.25">
      <c r="G221" s="15"/>
      <c r="L221" s="16"/>
      <c r="U221" s="17"/>
      <c r="V221" s="17"/>
      <c r="W221" s="17"/>
    </row>
    <row r="222" spans="7:23" ht="12.75" customHeight="1" x14ac:dyDescent="0.25">
      <c r="G222" s="15"/>
      <c r="L222" s="16"/>
      <c r="U222" s="17"/>
      <c r="V222" s="17"/>
      <c r="W222" s="17"/>
    </row>
    <row r="223" spans="7:23" ht="12.75" customHeight="1" x14ac:dyDescent="0.25">
      <c r="G223" s="15"/>
      <c r="L223" s="16"/>
      <c r="U223" s="17"/>
      <c r="V223" s="17"/>
      <c r="W223" s="17"/>
    </row>
    <row r="224" spans="7:23" ht="12.75" customHeight="1" x14ac:dyDescent="0.25">
      <c r="G224" s="15"/>
      <c r="L224" s="16"/>
      <c r="U224" s="17"/>
      <c r="V224" s="17"/>
      <c r="W224" s="17"/>
    </row>
    <row r="225" spans="7:23" ht="12.75" customHeight="1" x14ac:dyDescent="0.25">
      <c r="G225" s="15"/>
      <c r="L225" s="16"/>
      <c r="U225" s="17"/>
      <c r="V225" s="17"/>
      <c r="W225" s="17"/>
    </row>
    <row r="226" spans="7:23" ht="12.75" customHeight="1" x14ac:dyDescent="0.25">
      <c r="G226" s="15"/>
      <c r="L226" s="16"/>
      <c r="U226" s="17"/>
      <c r="V226" s="17"/>
      <c r="W226" s="17"/>
    </row>
    <row r="227" spans="7:23" ht="12.75" customHeight="1" x14ac:dyDescent="0.25">
      <c r="G227" s="15"/>
      <c r="L227" s="16"/>
      <c r="U227" s="17"/>
      <c r="V227" s="17"/>
      <c r="W227" s="17"/>
    </row>
    <row r="228" spans="7:23" ht="12.75" customHeight="1" x14ac:dyDescent="0.25">
      <c r="G228" s="15"/>
      <c r="L228" s="16"/>
      <c r="U228" s="17"/>
      <c r="V228" s="17"/>
      <c r="W228" s="17"/>
    </row>
    <row r="229" spans="7:23" ht="12.75" customHeight="1" x14ac:dyDescent="0.25">
      <c r="G229" s="15"/>
      <c r="L229" s="16"/>
      <c r="U229" s="17"/>
      <c r="V229" s="17"/>
      <c r="W229" s="17"/>
    </row>
    <row r="230" spans="7:23" ht="12.75" customHeight="1" x14ac:dyDescent="0.25">
      <c r="G230" s="15"/>
      <c r="L230" s="16"/>
      <c r="U230" s="17"/>
      <c r="V230" s="17"/>
      <c r="W230" s="17"/>
    </row>
    <row r="231" spans="7:23" ht="12.75" customHeight="1" x14ac:dyDescent="0.25">
      <c r="G231" s="15"/>
      <c r="L231" s="16"/>
      <c r="U231" s="17"/>
      <c r="V231" s="17"/>
      <c r="W231" s="17"/>
    </row>
    <row r="232" spans="7:23" ht="12.75" customHeight="1" x14ac:dyDescent="0.25">
      <c r="G232" s="15"/>
      <c r="L232" s="16"/>
      <c r="U232" s="17"/>
      <c r="V232" s="17"/>
      <c r="W232" s="17"/>
    </row>
    <row r="233" spans="7:23" ht="12.75" customHeight="1" x14ac:dyDescent="0.25">
      <c r="G233" s="15"/>
      <c r="L233" s="16"/>
      <c r="U233" s="17"/>
      <c r="V233" s="17"/>
      <c r="W233" s="17"/>
    </row>
    <row r="234" spans="7:23" ht="12.75" customHeight="1" x14ac:dyDescent="0.25">
      <c r="G234" s="15"/>
      <c r="L234" s="16"/>
      <c r="U234" s="17"/>
      <c r="V234" s="17"/>
      <c r="W234" s="17"/>
    </row>
    <row r="235" spans="7:23" ht="12.75" customHeight="1" x14ac:dyDescent="0.25">
      <c r="G235" s="15"/>
      <c r="L235" s="16"/>
      <c r="U235" s="17"/>
      <c r="V235" s="17"/>
      <c r="W235" s="17"/>
    </row>
    <row r="236" spans="7:23" ht="12.75" customHeight="1" x14ac:dyDescent="0.25">
      <c r="G236" s="15"/>
      <c r="L236" s="16"/>
      <c r="U236" s="17"/>
      <c r="V236" s="17"/>
      <c r="W236" s="17"/>
    </row>
    <row r="237" spans="7:23" ht="12.75" customHeight="1" x14ac:dyDescent="0.25">
      <c r="G237" s="15"/>
      <c r="L237" s="16"/>
      <c r="U237" s="17"/>
      <c r="V237" s="17"/>
      <c r="W237" s="17"/>
    </row>
    <row r="238" spans="7:23" ht="12.75" customHeight="1" x14ac:dyDescent="0.25">
      <c r="G238" s="15"/>
      <c r="L238" s="16"/>
      <c r="U238" s="17"/>
      <c r="V238" s="17"/>
      <c r="W238" s="17"/>
    </row>
    <row r="239" spans="7:23" ht="12.75" customHeight="1" x14ac:dyDescent="0.25">
      <c r="G239" s="15"/>
      <c r="L239" s="16"/>
      <c r="U239" s="17"/>
      <c r="V239" s="17"/>
      <c r="W239" s="17"/>
    </row>
    <row r="240" spans="7:23" ht="12.75" customHeight="1" x14ac:dyDescent="0.25">
      <c r="G240" s="15"/>
      <c r="L240" s="16"/>
      <c r="U240" s="17"/>
      <c r="V240" s="17"/>
      <c r="W240" s="17"/>
    </row>
    <row r="241" spans="7:23" ht="12.75" customHeight="1" x14ac:dyDescent="0.25">
      <c r="G241" s="15"/>
      <c r="L241" s="16"/>
      <c r="U241" s="17"/>
      <c r="V241" s="17"/>
      <c r="W241" s="17"/>
    </row>
    <row r="242" spans="7:23" ht="12.75" customHeight="1" x14ac:dyDescent="0.25">
      <c r="G242" s="15"/>
      <c r="L242" s="16"/>
      <c r="U242" s="17"/>
      <c r="V242" s="17"/>
      <c r="W242" s="17"/>
    </row>
    <row r="243" spans="7:23" ht="12.75" customHeight="1" x14ac:dyDescent="0.25">
      <c r="G243" s="15"/>
      <c r="L243" s="16"/>
      <c r="U243" s="17"/>
      <c r="V243" s="17"/>
      <c r="W243" s="17"/>
    </row>
    <row r="244" spans="7:23" ht="12.75" customHeight="1" x14ac:dyDescent="0.25">
      <c r="G244" s="15"/>
      <c r="L244" s="16"/>
      <c r="U244" s="17"/>
      <c r="V244" s="17"/>
      <c r="W244" s="17"/>
    </row>
    <row r="245" spans="7:23" ht="12.75" customHeight="1" x14ac:dyDescent="0.25">
      <c r="G245" s="15"/>
      <c r="L245" s="16"/>
      <c r="U245" s="17"/>
      <c r="V245" s="17"/>
      <c r="W245" s="17"/>
    </row>
    <row r="246" spans="7:23" ht="12.75" customHeight="1" x14ac:dyDescent="0.25">
      <c r="G246" s="15"/>
      <c r="L246" s="16"/>
      <c r="U246" s="17"/>
      <c r="V246" s="17"/>
      <c r="W246" s="17"/>
    </row>
    <row r="247" spans="7:23" ht="12.75" customHeight="1" x14ac:dyDescent="0.25">
      <c r="G247" s="15"/>
      <c r="L247" s="16"/>
      <c r="U247" s="17"/>
      <c r="V247" s="17"/>
      <c r="W247" s="17"/>
    </row>
    <row r="248" spans="7:23" ht="12.75" customHeight="1" x14ac:dyDescent="0.25">
      <c r="G248" s="15"/>
      <c r="L248" s="16"/>
      <c r="U248" s="17"/>
      <c r="V248" s="17"/>
      <c r="W248" s="17"/>
    </row>
    <row r="249" spans="7:23" ht="12.75" customHeight="1" x14ac:dyDescent="0.25">
      <c r="G249" s="15"/>
      <c r="L249" s="16"/>
      <c r="U249" s="17"/>
      <c r="V249" s="17"/>
      <c r="W249" s="17"/>
    </row>
    <row r="250" spans="7:23" ht="12.75" customHeight="1" x14ac:dyDescent="0.25">
      <c r="G250" s="15"/>
      <c r="L250" s="16"/>
      <c r="U250" s="17"/>
      <c r="V250" s="17"/>
      <c r="W250" s="17"/>
    </row>
    <row r="251" spans="7:23" ht="12.75" customHeight="1" x14ac:dyDescent="0.25">
      <c r="G251" s="15"/>
      <c r="L251" s="16"/>
      <c r="U251" s="17"/>
      <c r="V251" s="17"/>
      <c r="W251" s="17"/>
    </row>
    <row r="252" spans="7:23" ht="12.75" customHeight="1" x14ac:dyDescent="0.25">
      <c r="G252" s="15"/>
      <c r="L252" s="16"/>
      <c r="U252" s="17"/>
      <c r="V252" s="17"/>
      <c r="W252" s="17"/>
    </row>
    <row r="253" spans="7:23" ht="12.75" customHeight="1" x14ac:dyDescent="0.25">
      <c r="G253" s="15"/>
      <c r="L253" s="16"/>
      <c r="U253" s="17"/>
      <c r="V253" s="17"/>
      <c r="W253" s="17"/>
    </row>
    <row r="254" spans="7:23" ht="12.75" customHeight="1" x14ac:dyDescent="0.25">
      <c r="G254" s="15"/>
      <c r="L254" s="16"/>
      <c r="U254" s="17"/>
      <c r="V254" s="17"/>
      <c r="W254" s="17"/>
    </row>
    <row r="255" spans="7:23" ht="12.75" customHeight="1" x14ac:dyDescent="0.25">
      <c r="G255" s="15"/>
      <c r="L255" s="16"/>
      <c r="U255" s="17"/>
      <c r="V255" s="17"/>
      <c r="W255" s="17"/>
    </row>
    <row r="256" spans="7:23" ht="12.75" customHeight="1" x14ac:dyDescent="0.25">
      <c r="G256" s="15"/>
      <c r="L256" s="16"/>
      <c r="U256" s="17"/>
      <c r="V256" s="17"/>
      <c r="W256" s="17"/>
    </row>
    <row r="257" spans="7:23" ht="12.75" customHeight="1" x14ac:dyDescent="0.25">
      <c r="G257" s="15"/>
      <c r="L257" s="16"/>
      <c r="U257" s="17"/>
      <c r="V257" s="17"/>
      <c r="W257" s="17"/>
    </row>
    <row r="258" spans="7:23" ht="12.75" customHeight="1" x14ac:dyDescent="0.25">
      <c r="G258" s="15"/>
      <c r="L258" s="16"/>
      <c r="U258" s="17"/>
      <c r="V258" s="17"/>
      <c r="W258" s="17"/>
    </row>
    <row r="259" spans="7:23" ht="12.75" customHeight="1" x14ac:dyDescent="0.25">
      <c r="G259" s="15"/>
      <c r="L259" s="16"/>
      <c r="U259" s="17"/>
      <c r="V259" s="17"/>
      <c r="W259" s="17"/>
    </row>
    <row r="260" spans="7:23" ht="12.75" customHeight="1" x14ac:dyDescent="0.25">
      <c r="G260" s="15"/>
      <c r="L260" s="16"/>
      <c r="U260" s="17"/>
      <c r="V260" s="17"/>
      <c r="W260" s="17"/>
    </row>
    <row r="261" spans="7:23" ht="12.75" customHeight="1" x14ac:dyDescent="0.25">
      <c r="G261" s="15"/>
      <c r="L261" s="16"/>
      <c r="U261" s="17"/>
      <c r="V261" s="17"/>
      <c r="W261" s="17"/>
    </row>
    <row r="262" spans="7:23" ht="12.75" customHeight="1" x14ac:dyDescent="0.25">
      <c r="G262" s="15"/>
      <c r="L262" s="16"/>
      <c r="U262" s="17"/>
      <c r="V262" s="17"/>
      <c r="W262" s="17"/>
    </row>
    <row r="263" spans="7:23" ht="12.75" customHeight="1" x14ac:dyDescent="0.25">
      <c r="G263" s="15"/>
      <c r="L263" s="16"/>
      <c r="U263" s="17"/>
      <c r="V263" s="17"/>
      <c r="W263" s="17"/>
    </row>
    <row r="264" spans="7:23" ht="12.75" customHeight="1" x14ac:dyDescent="0.25">
      <c r="G264" s="15"/>
      <c r="L264" s="16"/>
      <c r="U264" s="17"/>
      <c r="V264" s="17"/>
      <c r="W264" s="17"/>
    </row>
    <row r="265" spans="7:23" ht="12.75" customHeight="1" x14ac:dyDescent="0.25">
      <c r="G265" s="15"/>
      <c r="L265" s="16"/>
      <c r="U265" s="17"/>
      <c r="V265" s="17"/>
      <c r="W265" s="17"/>
    </row>
    <row r="266" spans="7:23" ht="12.75" customHeight="1" x14ac:dyDescent="0.25">
      <c r="G266" s="15"/>
      <c r="L266" s="16"/>
      <c r="U266" s="17"/>
      <c r="V266" s="17"/>
      <c r="W266" s="17"/>
    </row>
    <row r="267" spans="7:23" ht="12.75" customHeight="1" x14ac:dyDescent="0.25">
      <c r="G267" s="15"/>
      <c r="L267" s="16"/>
      <c r="U267" s="17"/>
      <c r="V267" s="17"/>
      <c r="W267" s="17"/>
    </row>
    <row r="268" spans="7:23" ht="12.75" customHeight="1" x14ac:dyDescent="0.25">
      <c r="G268" s="15"/>
      <c r="L268" s="16"/>
      <c r="U268" s="17"/>
      <c r="V268" s="17"/>
      <c r="W268" s="17"/>
    </row>
    <row r="269" spans="7:23" ht="12.75" customHeight="1" x14ac:dyDescent="0.25">
      <c r="G269" s="15"/>
      <c r="L269" s="16"/>
      <c r="U269" s="17"/>
      <c r="V269" s="17"/>
      <c r="W269" s="17"/>
    </row>
    <row r="270" spans="7:23" ht="12.75" customHeight="1" x14ac:dyDescent="0.25">
      <c r="G270" s="15"/>
      <c r="L270" s="16"/>
      <c r="U270" s="17"/>
      <c r="V270" s="17"/>
      <c r="W270" s="17"/>
    </row>
    <row r="271" spans="7:23" ht="12.75" customHeight="1" x14ac:dyDescent="0.25">
      <c r="G271" s="15"/>
      <c r="L271" s="16"/>
      <c r="U271" s="17"/>
      <c r="V271" s="17"/>
      <c r="W271" s="17"/>
    </row>
    <row r="272" spans="7:23" ht="12.75" customHeight="1" x14ac:dyDescent="0.25">
      <c r="G272" s="15"/>
      <c r="L272" s="16"/>
      <c r="U272" s="17"/>
      <c r="V272" s="17"/>
      <c r="W272" s="17"/>
    </row>
    <row r="273" spans="7:23" ht="12.75" customHeight="1" x14ac:dyDescent="0.25">
      <c r="G273" s="15"/>
      <c r="L273" s="16"/>
      <c r="U273" s="17"/>
      <c r="V273" s="17"/>
      <c r="W273" s="17"/>
    </row>
    <row r="274" spans="7:23" ht="12.75" customHeight="1" x14ac:dyDescent="0.25">
      <c r="G274" s="15"/>
      <c r="L274" s="16"/>
      <c r="U274" s="17"/>
      <c r="V274" s="17"/>
      <c r="W274" s="17"/>
    </row>
    <row r="275" spans="7:23" ht="12.75" customHeight="1" x14ac:dyDescent="0.25">
      <c r="G275" s="15"/>
      <c r="L275" s="16"/>
      <c r="U275" s="17"/>
      <c r="V275" s="17"/>
      <c r="W275" s="17"/>
    </row>
    <row r="276" spans="7:23" ht="12.75" customHeight="1" x14ac:dyDescent="0.25">
      <c r="G276" s="15"/>
      <c r="L276" s="16"/>
      <c r="U276" s="17"/>
      <c r="V276" s="17"/>
      <c r="W276" s="17"/>
    </row>
    <row r="277" spans="7:23" ht="12.75" customHeight="1" x14ac:dyDescent="0.25">
      <c r="G277" s="15"/>
      <c r="L277" s="16"/>
      <c r="U277" s="17"/>
      <c r="V277" s="17"/>
      <c r="W277" s="17"/>
    </row>
    <row r="278" spans="7:23" ht="12.75" customHeight="1" x14ac:dyDescent="0.25">
      <c r="G278" s="15"/>
      <c r="L278" s="16"/>
      <c r="U278" s="17"/>
      <c r="V278" s="17"/>
      <c r="W278" s="17"/>
    </row>
    <row r="279" spans="7:23" ht="12.75" customHeight="1" x14ac:dyDescent="0.25">
      <c r="G279" s="15"/>
      <c r="L279" s="16"/>
      <c r="U279" s="17"/>
      <c r="V279" s="17"/>
      <c r="W279" s="17"/>
    </row>
    <row r="280" spans="7:23" ht="12.75" customHeight="1" x14ac:dyDescent="0.25">
      <c r="G280" s="15"/>
      <c r="L280" s="16"/>
      <c r="U280" s="17"/>
      <c r="V280" s="17"/>
      <c r="W280" s="17"/>
    </row>
    <row r="281" spans="7:23" ht="12.75" customHeight="1" x14ac:dyDescent="0.25">
      <c r="G281" s="15"/>
      <c r="L281" s="16"/>
      <c r="U281" s="17"/>
      <c r="V281" s="17"/>
      <c r="W281" s="17"/>
    </row>
    <row r="282" spans="7:23" ht="12.75" customHeight="1" x14ac:dyDescent="0.25">
      <c r="G282" s="15"/>
      <c r="L282" s="16"/>
      <c r="U282" s="17"/>
      <c r="V282" s="17"/>
      <c r="W282" s="17"/>
    </row>
    <row r="283" spans="7:23" ht="12.75" customHeight="1" x14ac:dyDescent="0.25">
      <c r="G283" s="15"/>
      <c r="L283" s="16"/>
      <c r="U283" s="17"/>
      <c r="V283" s="17"/>
      <c r="W283" s="17"/>
    </row>
    <row r="284" spans="7:23" ht="12.75" customHeight="1" x14ac:dyDescent="0.25">
      <c r="G284" s="15"/>
      <c r="L284" s="16"/>
      <c r="U284" s="17"/>
      <c r="V284" s="17"/>
      <c r="W284" s="17"/>
    </row>
    <row r="285" spans="7:23" ht="12.75" customHeight="1" x14ac:dyDescent="0.25">
      <c r="G285" s="15"/>
      <c r="L285" s="16"/>
      <c r="U285" s="17"/>
      <c r="V285" s="17"/>
      <c r="W285" s="17"/>
    </row>
    <row r="286" spans="7:23" ht="12.75" customHeight="1" x14ac:dyDescent="0.25">
      <c r="G286" s="15"/>
      <c r="L286" s="16"/>
      <c r="U286" s="17"/>
      <c r="V286" s="17"/>
      <c r="W286" s="17"/>
    </row>
    <row r="287" spans="7:23" ht="12.75" customHeight="1" x14ac:dyDescent="0.25">
      <c r="G287" s="15"/>
      <c r="L287" s="16"/>
      <c r="U287" s="17"/>
      <c r="V287" s="17"/>
      <c r="W287" s="17"/>
    </row>
    <row r="288" spans="7:23" ht="12.75" customHeight="1" x14ac:dyDescent="0.25">
      <c r="G288" s="15"/>
      <c r="L288" s="16"/>
      <c r="U288" s="17"/>
      <c r="V288" s="17"/>
      <c r="W288" s="17"/>
    </row>
    <row r="289" spans="7:23" ht="12.75" customHeight="1" x14ac:dyDescent="0.25">
      <c r="G289" s="15"/>
      <c r="L289" s="16"/>
      <c r="U289" s="17"/>
      <c r="V289" s="17"/>
      <c r="W289" s="17"/>
    </row>
    <row r="290" spans="7:23" ht="12.75" customHeight="1" x14ac:dyDescent="0.25">
      <c r="G290" s="15"/>
      <c r="L290" s="16"/>
      <c r="U290" s="17"/>
      <c r="V290" s="17"/>
      <c r="W290" s="17"/>
    </row>
    <row r="291" spans="7:23" ht="12.75" customHeight="1" x14ac:dyDescent="0.25">
      <c r="G291" s="15"/>
      <c r="L291" s="16"/>
      <c r="U291" s="17"/>
      <c r="V291" s="17"/>
      <c r="W291" s="17"/>
    </row>
    <row r="292" spans="7:23" ht="12.75" customHeight="1" x14ac:dyDescent="0.25">
      <c r="G292" s="15"/>
      <c r="L292" s="16"/>
      <c r="U292" s="17"/>
      <c r="V292" s="17"/>
      <c r="W292" s="17"/>
    </row>
    <row r="293" spans="7:23" ht="12.75" customHeight="1" x14ac:dyDescent="0.25">
      <c r="G293" s="15"/>
      <c r="L293" s="16"/>
      <c r="U293" s="17"/>
      <c r="V293" s="17"/>
      <c r="W293" s="17"/>
    </row>
    <row r="294" spans="7:23" ht="12.75" customHeight="1" x14ac:dyDescent="0.25">
      <c r="G294" s="15"/>
      <c r="L294" s="16"/>
      <c r="U294" s="17"/>
      <c r="V294" s="17"/>
      <c r="W294" s="17"/>
    </row>
    <row r="295" spans="7:23" ht="12.75" customHeight="1" x14ac:dyDescent="0.25">
      <c r="G295" s="15"/>
      <c r="L295" s="16"/>
      <c r="U295" s="17"/>
      <c r="V295" s="17"/>
      <c r="W295" s="17"/>
    </row>
    <row r="296" spans="7:23" ht="12.75" customHeight="1" x14ac:dyDescent="0.25">
      <c r="G296" s="15"/>
      <c r="L296" s="16"/>
      <c r="U296" s="17"/>
      <c r="V296" s="17"/>
      <c r="W296" s="17"/>
    </row>
    <row r="297" spans="7:23" ht="12.75" customHeight="1" x14ac:dyDescent="0.25">
      <c r="G297" s="15"/>
      <c r="L297" s="16"/>
      <c r="U297" s="17"/>
      <c r="V297" s="17"/>
      <c r="W297" s="17"/>
    </row>
    <row r="298" spans="7:23" ht="12.75" customHeight="1" x14ac:dyDescent="0.25">
      <c r="G298" s="15"/>
      <c r="L298" s="16"/>
      <c r="U298" s="17"/>
      <c r="V298" s="17"/>
      <c r="W298" s="17"/>
    </row>
    <row r="299" spans="7:23" ht="12.75" customHeight="1" x14ac:dyDescent="0.25">
      <c r="G299" s="15"/>
      <c r="L299" s="16"/>
      <c r="U299" s="17"/>
      <c r="V299" s="17"/>
      <c r="W299" s="17"/>
    </row>
    <row r="300" spans="7:23" ht="12.75" customHeight="1" x14ac:dyDescent="0.25">
      <c r="G300" s="15"/>
      <c r="L300" s="16"/>
      <c r="U300" s="17"/>
      <c r="V300" s="17"/>
      <c r="W300" s="17"/>
    </row>
    <row r="301" spans="7:23" ht="12.75" customHeight="1" x14ac:dyDescent="0.25">
      <c r="G301" s="15"/>
      <c r="L301" s="16"/>
      <c r="U301" s="17"/>
      <c r="V301" s="17"/>
      <c r="W301" s="17"/>
    </row>
    <row r="302" spans="7:23" ht="12.75" customHeight="1" x14ac:dyDescent="0.25">
      <c r="G302" s="15"/>
      <c r="L302" s="16"/>
      <c r="U302" s="17"/>
      <c r="V302" s="17"/>
      <c r="W302" s="17"/>
    </row>
    <row r="303" spans="7:23" ht="12.75" customHeight="1" x14ac:dyDescent="0.25">
      <c r="G303" s="15"/>
      <c r="L303" s="16"/>
      <c r="U303" s="17"/>
      <c r="V303" s="17"/>
      <c r="W303" s="17"/>
    </row>
    <row r="304" spans="7:23" ht="12.75" customHeight="1" x14ac:dyDescent="0.25">
      <c r="G304" s="15"/>
      <c r="L304" s="16"/>
      <c r="U304" s="17"/>
      <c r="V304" s="17"/>
      <c r="W304" s="17"/>
    </row>
    <row r="305" spans="7:23" ht="12.75" customHeight="1" x14ac:dyDescent="0.25">
      <c r="G305" s="15"/>
      <c r="L305" s="16"/>
      <c r="U305" s="17"/>
      <c r="V305" s="17"/>
      <c r="W305" s="17"/>
    </row>
    <row r="306" spans="7:23" ht="12.75" customHeight="1" x14ac:dyDescent="0.25">
      <c r="G306" s="15"/>
      <c r="L306" s="16"/>
      <c r="U306" s="17"/>
      <c r="V306" s="17"/>
      <c r="W306" s="17"/>
    </row>
    <row r="307" spans="7:23" ht="12.75" customHeight="1" x14ac:dyDescent="0.25">
      <c r="G307" s="15"/>
      <c r="L307" s="16"/>
      <c r="U307" s="17"/>
      <c r="V307" s="17"/>
      <c r="W307" s="17"/>
    </row>
    <row r="308" spans="7:23" ht="12.75" customHeight="1" x14ac:dyDescent="0.25">
      <c r="G308" s="15"/>
      <c r="L308" s="16"/>
      <c r="U308" s="17"/>
      <c r="V308" s="17"/>
      <c r="W308" s="17"/>
    </row>
    <row r="309" spans="7:23" ht="12.75" customHeight="1" x14ac:dyDescent="0.25">
      <c r="G309" s="15"/>
      <c r="L309" s="16"/>
      <c r="U309" s="17"/>
      <c r="V309" s="17"/>
      <c r="W309" s="17"/>
    </row>
    <row r="310" spans="7:23" ht="12.75" customHeight="1" x14ac:dyDescent="0.25">
      <c r="G310" s="15"/>
      <c r="L310" s="16"/>
      <c r="U310" s="17"/>
      <c r="V310" s="17"/>
      <c r="W310" s="17"/>
    </row>
    <row r="311" spans="7:23" ht="12.75" customHeight="1" x14ac:dyDescent="0.25">
      <c r="G311" s="15"/>
      <c r="L311" s="16"/>
      <c r="U311" s="17"/>
      <c r="V311" s="17"/>
      <c r="W311" s="17"/>
    </row>
    <row r="312" spans="7:23" ht="12.75" customHeight="1" x14ac:dyDescent="0.25">
      <c r="G312" s="15"/>
      <c r="L312" s="16"/>
      <c r="U312" s="17"/>
      <c r="V312" s="17"/>
      <c r="W312" s="17"/>
    </row>
    <row r="313" spans="7:23" ht="12.75" customHeight="1" x14ac:dyDescent="0.25">
      <c r="G313" s="15"/>
      <c r="L313" s="16"/>
      <c r="U313" s="17"/>
      <c r="V313" s="17"/>
      <c r="W313" s="17"/>
    </row>
    <row r="314" spans="7:23" ht="12.75" customHeight="1" x14ac:dyDescent="0.25">
      <c r="G314" s="15"/>
      <c r="L314" s="16"/>
      <c r="U314" s="17"/>
      <c r="V314" s="17"/>
      <c r="W314" s="17"/>
    </row>
    <row r="315" spans="7:23" ht="12.75" customHeight="1" x14ac:dyDescent="0.25">
      <c r="G315" s="15"/>
      <c r="L315" s="16"/>
      <c r="U315" s="17"/>
      <c r="V315" s="17"/>
      <c r="W315" s="17"/>
    </row>
    <row r="316" spans="7:23" ht="12.75" customHeight="1" x14ac:dyDescent="0.25">
      <c r="G316" s="15"/>
      <c r="L316" s="16"/>
      <c r="U316" s="17"/>
      <c r="V316" s="17"/>
      <c r="W316" s="17"/>
    </row>
    <row r="317" spans="7:23" ht="12.75" customHeight="1" x14ac:dyDescent="0.25">
      <c r="G317" s="15"/>
      <c r="L317" s="16"/>
      <c r="U317" s="17"/>
      <c r="V317" s="17"/>
      <c r="W317" s="17"/>
    </row>
    <row r="318" spans="7:23" ht="12.75" customHeight="1" x14ac:dyDescent="0.25">
      <c r="G318" s="15"/>
      <c r="L318" s="16"/>
      <c r="U318" s="17"/>
      <c r="V318" s="17"/>
      <c r="W318" s="17"/>
    </row>
    <row r="319" spans="7:23" ht="12.75" customHeight="1" x14ac:dyDescent="0.25">
      <c r="G319" s="15"/>
      <c r="L319" s="16"/>
      <c r="U319" s="17"/>
      <c r="V319" s="17"/>
      <c r="W319" s="17"/>
    </row>
    <row r="320" spans="7:23" ht="12.75" customHeight="1" x14ac:dyDescent="0.25">
      <c r="G320" s="15"/>
      <c r="L320" s="16"/>
      <c r="U320" s="17"/>
      <c r="V320" s="17"/>
      <c r="W320" s="17"/>
    </row>
    <row r="321" spans="7:23" ht="12.75" customHeight="1" x14ac:dyDescent="0.25">
      <c r="G321" s="15"/>
      <c r="L321" s="16"/>
      <c r="U321" s="17"/>
      <c r="V321" s="17"/>
      <c r="W321" s="17"/>
    </row>
    <row r="322" spans="7:23" ht="12.75" customHeight="1" x14ac:dyDescent="0.25">
      <c r="G322" s="15"/>
      <c r="L322" s="16"/>
      <c r="U322" s="17"/>
      <c r="V322" s="17"/>
      <c r="W322" s="17"/>
    </row>
    <row r="323" spans="7:23" ht="12.75" customHeight="1" x14ac:dyDescent="0.25">
      <c r="G323" s="15"/>
      <c r="L323" s="16"/>
      <c r="U323" s="17"/>
      <c r="V323" s="17"/>
      <c r="W323" s="17"/>
    </row>
    <row r="324" spans="7:23" ht="12.75" customHeight="1" x14ac:dyDescent="0.25">
      <c r="G324" s="15"/>
      <c r="L324" s="16"/>
      <c r="U324" s="17"/>
      <c r="V324" s="17"/>
      <c r="W324" s="17"/>
    </row>
    <row r="325" spans="7:23" ht="12.75" customHeight="1" x14ac:dyDescent="0.25">
      <c r="G325" s="15"/>
      <c r="L325" s="16"/>
      <c r="U325" s="17"/>
      <c r="V325" s="17"/>
      <c r="W325" s="17"/>
    </row>
    <row r="326" spans="7:23" ht="12.75" customHeight="1" x14ac:dyDescent="0.25">
      <c r="G326" s="15"/>
      <c r="L326" s="16"/>
      <c r="U326" s="17"/>
      <c r="V326" s="17"/>
      <c r="W326" s="17"/>
    </row>
    <row r="327" spans="7:23" ht="12.75" customHeight="1" x14ac:dyDescent="0.25">
      <c r="G327" s="15"/>
      <c r="L327" s="16"/>
      <c r="U327" s="17"/>
      <c r="V327" s="17"/>
      <c r="W327" s="17"/>
    </row>
    <row r="328" spans="7:23" ht="12.75" customHeight="1" x14ac:dyDescent="0.25">
      <c r="G328" s="15"/>
      <c r="L328" s="16"/>
      <c r="U328" s="17"/>
      <c r="V328" s="17"/>
      <c r="W328" s="17"/>
    </row>
    <row r="329" spans="7:23" ht="12.75" customHeight="1" x14ac:dyDescent="0.25">
      <c r="G329" s="15"/>
      <c r="L329" s="16"/>
      <c r="U329" s="17"/>
      <c r="V329" s="17"/>
      <c r="W329" s="17"/>
    </row>
    <row r="330" spans="7:23" ht="12.75" customHeight="1" x14ac:dyDescent="0.25">
      <c r="G330" s="15"/>
      <c r="L330" s="16"/>
      <c r="U330" s="17"/>
      <c r="V330" s="17"/>
      <c r="W330" s="17"/>
    </row>
    <row r="331" spans="7:23" ht="12.75" customHeight="1" x14ac:dyDescent="0.25">
      <c r="G331" s="15"/>
      <c r="L331" s="16"/>
      <c r="U331" s="17"/>
      <c r="V331" s="17"/>
      <c r="W331" s="17"/>
    </row>
    <row r="332" spans="7:23" ht="12.75" customHeight="1" x14ac:dyDescent="0.25">
      <c r="G332" s="15"/>
      <c r="L332" s="16"/>
      <c r="U332" s="17"/>
      <c r="V332" s="17"/>
      <c r="W332" s="17"/>
    </row>
    <row r="333" spans="7:23" ht="12.75" customHeight="1" x14ac:dyDescent="0.25">
      <c r="G333" s="15"/>
      <c r="L333" s="16"/>
      <c r="U333" s="17"/>
      <c r="V333" s="17"/>
      <c r="W333" s="17"/>
    </row>
    <row r="334" spans="7:23" ht="12.75" customHeight="1" x14ac:dyDescent="0.25">
      <c r="G334" s="15"/>
      <c r="L334" s="16"/>
      <c r="U334" s="17"/>
      <c r="V334" s="17"/>
      <c r="W334" s="17"/>
    </row>
    <row r="335" spans="7:23" ht="12.75" customHeight="1" x14ac:dyDescent="0.25">
      <c r="G335" s="15"/>
      <c r="L335" s="16"/>
      <c r="U335" s="17"/>
      <c r="V335" s="17"/>
      <c r="W335" s="17"/>
    </row>
    <row r="336" spans="7:23" ht="12.75" customHeight="1" x14ac:dyDescent="0.25">
      <c r="G336" s="15"/>
      <c r="L336" s="16"/>
      <c r="U336" s="17"/>
      <c r="V336" s="17"/>
      <c r="W336" s="17"/>
    </row>
    <row r="337" spans="7:23" ht="12.75" customHeight="1" x14ac:dyDescent="0.25">
      <c r="G337" s="15"/>
      <c r="L337" s="16"/>
      <c r="U337" s="17"/>
      <c r="V337" s="17"/>
      <c r="W337" s="17"/>
    </row>
    <row r="338" spans="7:23" ht="12.75" customHeight="1" x14ac:dyDescent="0.25">
      <c r="G338" s="15"/>
      <c r="L338" s="16"/>
      <c r="U338" s="17"/>
      <c r="V338" s="17"/>
      <c r="W338" s="17"/>
    </row>
    <row r="339" spans="7:23" ht="12.75" customHeight="1" x14ac:dyDescent="0.25">
      <c r="G339" s="15"/>
      <c r="L339" s="16"/>
      <c r="U339" s="17"/>
      <c r="V339" s="17"/>
      <c r="W339" s="17"/>
    </row>
    <row r="340" spans="7:23" ht="12.75" customHeight="1" x14ac:dyDescent="0.25">
      <c r="G340" s="15"/>
      <c r="L340" s="16"/>
      <c r="U340" s="17"/>
      <c r="V340" s="17"/>
      <c r="W340" s="17"/>
    </row>
    <row r="341" spans="7:23" ht="12.75" customHeight="1" x14ac:dyDescent="0.25">
      <c r="G341" s="15"/>
      <c r="L341" s="16"/>
      <c r="U341" s="17"/>
      <c r="V341" s="17"/>
      <c r="W341" s="17"/>
    </row>
    <row r="342" spans="7:23" ht="12.75" customHeight="1" x14ac:dyDescent="0.25">
      <c r="G342" s="15"/>
      <c r="L342" s="16"/>
      <c r="U342" s="17"/>
      <c r="V342" s="17"/>
      <c r="W342" s="17"/>
    </row>
    <row r="343" spans="7:23" ht="12.75" customHeight="1" x14ac:dyDescent="0.25">
      <c r="G343" s="15"/>
      <c r="L343" s="16"/>
      <c r="U343" s="17"/>
      <c r="V343" s="17"/>
      <c r="W343" s="17"/>
    </row>
    <row r="344" spans="7:23" ht="12.75" customHeight="1" x14ac:dyDescent="0.25">
      <c r="G344" s="15"/>
      <c r="L344" s="16"/>
      <c r="U344" s="17"/>
      <c r="V344" s="17"/>
      <c r="W344" s="17"/>
    </row>
    <row r="345" spans="7:23" ht="12.75" customHeight="1" x14ac:dyDescent="0.25">
      <c r="G345" s="15"/>
      <c r="L345" s="16"/>
      <c r="U345" s="17"/>
      <c r="V345" s="17"/>
      <c r="W345" s="17"/>
    </row>
    <row r="346" spans="7:23" ht="12.75" customHeight="1" x14ac:dyDescent="0.25">
      <c r="G346" s="15"/>
      <c r="L346" s="16"/>
      <c r="U346" s="17"/>
      <c r="V346" s="17"/>
      <c r="W346" s="17"/>
    </row>
    <row r="347" spans="7:23" ht="12.75" customHeight="1" x14ac:dyDescent="0.25">
      <c r="G347" s="15"/>
      <c r="L347" s="16"/>
      <c r="U347" s="17"/>
      <c r="V347" s="17"/>
      <c r="W347" s="17"/>
    </row>
    <row r="348" spans="7:23" ht="12.75" customHeight="1" x14ac:dyDescent="0.25">
      <c r="G348" s="15"/>
      <c r="L348" s="16"/>
      <c r="U348" s="17"/>
      <c r="V348" s="17"/>
      <c r="W348" s="17"/>
    </row>
    <row r="349" spans="7:23" ht="12.75" customHeight="1" x14ac:dyDescent="0.25">
      <c r="G349" s="15"/>
      <c r="L349" s="16"/>
      <c r="U349" s="17"/>
      <c r="V349" s="17"/>
      <c r="W349" s="17"/>
    </row>
    <row r="350" spans="7:23" ht="12.75" customHeight="1" x14ac:dyDescent="0.25">
      <c r="G350" s="15"/>
      <c r="L350" s="16"/>
      <c r="U350" s="17"/>
      <c r="V350" s="17"/>
      <c r="W350" s="17"/>
    </row>
    <row r="351" spans="7:23" ht="12.75" customHeight="1" x14ac:dyDescent="0.25">
      <c r="G351" s="15"/>
      <c r="L351" s="16"/>
      <c r="U351" s="17"/>
      <c r="V351" s="17"/>
      <c r="W351" s="17"/>
    </row>
    <row r="352" spans="7:23" ht="12.75" customHeight="1" x14ac:dyDescent="0.25">
      <c r="G352" s="15"/>
      <c r="L352" s="16"/>
      <c r="U352" s="17"/>
      <c r="V352" s="17"/>
      <c r="W352" s="17"/>
    </row>
    <row r="353" spans="7:23" ht="12.75" customHeight="1" x14ac:dyDescent="0.25">
      <c r="G353" s="15"/>
      <c r="L353" s="16"/>
      <c r="U353" s="17"/>
      <c r="V353" s="17"/>
      <c r="W353" s="17"/>
    </row>
    <row r="354" spans="7:23" ht="12.75" customHeight="1" x14ac:dyDescent="0.25">
      <c r="G354" s="15"/>
      <c r="L354" s="16"/>
      <c r="U354" s="17"/>
      <c r="V354" s="17"/>
      <c r="W354" s="17"/>
    </row>
    <row r="355" spans="7:23" ht="12.75" customHeight="1" x14ac:dyDescent="0.25">
      <c r="G355" s="15"/>
      <c r="L355" s="16"/>
      <c r="U355" s="17"/>
      <c r="V355" s="17"/>
      <c r="W355" s="17"/>
    </row>
    <row r="356" spans="7:23" ht="12.75" customHeight="1" x14ac:dyDescent="0.25">
      <c r="G356" s="15"/>
      <c r="L356" s="16"/>
      <c r="U356" s="17"/>
      <c r="V356" s="17"/>
      <c r="W356" s="17"/>
    </row>
    <row r="357" spans="7:23" ht="12.75" customHeight="1" x14ac:dyDescent="0.25">
      <c r="G357" s="15"/>
      <c r="L357" s="16"/>
      <c r="U357" s="17"/>
      <c r="V357" s="17"/>
      <c r="W357" s="17"/>
    </row>
    <row r="358" spans="7:23" ht="12.75" customHeight="1" x14ac:dyDescent="0.25">
      <c r="G358" s="15"/>
      <c r="L358" s="16"/>
      <c r="U358" s="17"/>
      <c r="V358" s="17"/>
      <c r="W358" s="17"/>
    </row>
    <row r="359" spans="7:23" ht="12.75" customHeight="1" x14ac:dyDescent="0.25">
      <c r="G359" s="15"/>
      <c r="L359" s="16"/>
      <c r="U359" s="17"/>
      <c r="V359" s="17"/>
      <c r="W359" s="17"/>
    </row>
    <row r="360" spans="7:23" ht="12.75" customHeight="1" x14ac:dyDescent="0.25">
      <c r="G360" s="15"/>
      <c r="L360" s="16"/>
      <c r="U360" s="17"/>
      <c r="V360" s="17"/>
      <c r="W360" s="17"/>
    </row>
    <row r="361" spans="7:23" ht="12.75" customHeight="1" x14ac:dyDescent="0.25">
      <c r="G361" s="15"/>
      <c r="L361" s="16"/>
      <c r="U361" s="17"/>
      <c r="V361" s="17"/>
      <c r="W361" s="17"/>
    </row>
    <row r="362" spans="7:23" ht="12.75" customHeight="1" x14ac:dyDescent="0.25">
      <c r="G362" s="15"/>
      <c r="L362" s="16"/>
      <c r="U362" s="17"/>
      <c r="V362" s="17"/>
      <c r="W362" s="17"/>
    </row>
    <row r="363" spans="7:23" ht="12.75" customHeight="1" x14ac:dyDescent="0.25">
      <c r="G363" s="15"/>
      <c r="L363" s="16"/>
      <c r="U363" s="17"/>
      <c r="V363" s="17"/>
      <c r="W363" s="17"/>
    </row>
    <row r="364" spans="7:23" ht="12.75" customHeight="1" x14ac:dyDescent="0.25">
      <c r="G364" s="15"/>
      <c r="L364" s="16"/>
      <c r="U364" s="17"/>
      <c r="V364" s="17"/>
      <c r="W364" s="17"/>
    </row>
    <row r="365" spans="7:23" ht="12.75" customHeight="1" x14ac:dyDescent="0.25">
      <c r="G365" s="15"/>
      <c r="L365" s="16"/>
      <c r="U365" s="17"/>
      <c r="V365" s="17"/>
      <c r="W365" s="17"/>
    </row>
    <row r="366" spans="7:23" ht="12.75" customHeight="1" x14ac:dyDescent="0.25">
      <c r="G366" s="15"/>
      <c r="L366" s="16"/>
      <c r="U366" s="17"/>
      <c r="V366" s="17"/>
      <c r="W366" s="17"/>
    </row>
    <row r="367" spans="7:23" ht="12.75" customHeight="1" x14ac:dyDescent="0.25">
      <c r="G367" s="15"/>
      <c r="L367" s="16"/>
      <c r="U367" s="17"/>
      <c r="V367" s="17"/>
      <c r="W367" s="17"/>
    </row>
    <row r="368" spans="7:23" ht="12.75" customHeight="1" x14ac:dyDescent="0.25">
      <c r="G368" s="15"/>
      <c r="L368" s="16"/>
      <c r="U368" s="17"/>
      <c r="V368" s="17"/>
      <c r="W368" s="17"/>
    </row>
    <row r="369" spans="7:23" ht="12.75" customHeight="1" x14ac:dyDescent="0.25">
      <c r="G369" s="15"/>
      <c r="L369" s="16"/>
      <c r="U369" s="17"/>
      <c r="V369" s="17"/>
      <c r="W369" s="17"/>
    </row>
    <row r="370" spans="7:23" ht="12.75" customHeight="1" x14ac:dyDescent="0.25">
      <c r="G370" s="15"/>
      <c r="L370" s="16"/>
      <c r="U370" s="17"/>
      <c r="V370" s="17"/>
      <c r="W370" s="17"/>
    </row>
    <row r="371" spans="7:23" ht="12.75" customHeight="1" x14ac:dyDescent="0.25">
      <c r="G371" s="15"/>
      <c r="L371" s="16"/>
      <c r="U371" s="17"/>
      <c r="V371" s="17"/>
      <c r="W371" s="17"/>
    </row>
    <row r="372" spans="7:23" ht="12.75" customHeight="1" x14ac:dyDescent="0.25">
      <c r="G372" s="15"/>
      <c r="L372" s="16"/>
      <c r="U372" s="17"/>
      <c r="V372" s="17"/>
      <c r="W372" s="17"/>
    </row>
    <row r="373" spans="7:23" ht="12.75" customHeight="1" x14ac:dyDescent="0.25">
      <c r="G373" s="15"/>
      <c r="L373" s="16"/>
      <c r="U373" s="17"/>
      <c r="V373" s="17"/>
      <c r="W373" s="17"/>
    </row>
    <row r="374" spans="7:23" ht="12.75" customHeight="1" x14ac:dyDescent="0.25">
      <c r="G374" s="15"/>
      <c r="L374" s="16"/>
      <c r="U374" s="17"/>
      <c r="V374" s="17"/>
      <c r="W374" s="17"/>
    </row>
    <row r="375" spans="7:23" ht="12.75" customHeight="1" x14ac:dyDescent="0.25">
      <c r="G375" s="15"/>
      <c r="L375" s="16"/>
      <c r="U375" s="17"/>
      <c r="V375" s="17"/>
      <c r="W375" s="17"/>
    </row>
    <row r="376" spans="7:23" ht="12.75" customHeight="1" x14ac:dyDescent="0.25">
      <c r="G376" s="15"/>
      <c r="L376" s="16"/>
      <c r="U376" s="17"/>
      <c r="V376" s="17"/>
      <c r="W376" s="17"/>
    </row>
    <row r="377" spans="7:23" ht="12.75" customHeight="1" x14ac:dyDescent="0.25">
      <c r="G377" s="15"/>
      <c r="L377" s="16"/>
      <c r="U377" s="17"/>
      <c r="V377" s="17"/>
      <c r="W377" s="17"/>
    </row>
    <row r="378" spans="7:23" ht="12.75" customHeight="1" x14ac:dyDescent="0.25">
      <c r="G378" s="15"/>
      <c r="L378" s="16"/>
      <c r="U378" s="17"/>
      <c r="V378" s="17"/>
      <c r="W378" s="17"/>
    </row>
    <row r="379" spans="7:23" ht="12.75" customHeight="1" x14ac:dyDescent="0.25">
      <c r="G379" s="15"/>
      <c r="L379" s="16"/>
      <c r="U379" s="17"/>
      <c r="V379" s="17"/>
      <c r="W379" s="17"/>
    </row>
    <row r="380" spans="7:23" ht="12.75" customHeight="1" x14ac:dyDescent="0.25">
      <c r="G380" s="15"/>
      <c r="L380" s="16"/>
      <c r="U380" s="17"/>
      <c r="V380" s="17"/>
      <c r="W380" s="17"/>
    </row>
    <row r="381" spans="7:23" ht="12.75" customHeight="1" x14ac:dyDescent="0.25">
      <c r="G381" s="15"/>
      <c r="L381" s="16"/>
      <c r="U381" s="17"/>
      <c r="V381" s="17"/>
      <c r="W381" s="17"/>
    </row>
    <row r="382" spans="7:23" ht="12.75" customHeight="1" x14ac:dyDescent="0.25">
      <c r="G382" s="15"/>
      <c r="L382" s="16"/>
      <c r="U382" s="17"/>
      <c r="V382" s="17"/>
      <c r="W382" s="17"/>
    </row>
    <row r="383" spans="7:23" ht="12.75" customHeight="1" x14ac:dyDescent="0.25">
      <c r="G383" s="15"/>
      <c r="L383" s="16"/>
      <c r="U383" s="17"/>
      <c r="V383" s="17"/>
      <c r="W383" s="17"/>
    </row>
    <row r="384" spans="7:23" ht="12.75" customHeight="1" x14ac:dyDescent="0.25">
      <c r="G384" s="15"/>
      <c r="L384" s="16"/>
      <c r="U384" s="17"/>
      <c r="V384" s="17"/>
      <c r="W384" s="17"/>
    </row>
    <row r="385" spans="7:23" ht="12.75" customHeight="1" x14ac:dyDescent="0.25">
      <c r="G385" s="15"/>
      <c r="L385" s="16"/>
      <c r="U385" s="17"/>
      <c r="V385" s="17"/>
      <c r="W385" s="17"/>
    </row>
    <row r="386" spans="7:23" ht="12.75" customHeight="1" x14ac:dyDescent="0.25">
      <c r="G386" s="15"/>
      <c r="L386" s="16"/>
      <c r="U386" s="17"/>
      <c r="V386" s="17"/>
      <c r="W386" s="17"/>
    </row>
    <row r="387" spans="7:23" ht="12.75" customHeight="1" x14ac:dyDescent="0.25">
      <c r="G387" s="15"/>
      <c r="L387" s="16"/>
      <c r="U387" s="17"/>
      <c r="V387" s="17"/>
      <c r="W387" s="17"/>
    </row>
    <row r="388" spans="7:23" ht="12.75" customHeight="1" x14ac:dyDescent="0.25">
      <c r="G388" s="15"/>
      <c r="L388" s="16"/>
      <c r="U388" s="17"/>
      <c r="V388" s="17"/>
      <c r="W388" s="17"/>
    </row>
    <row r="389" spans="7:23" ht="12.75" customHeight="1" x14ac:dyDescent="0.25">
      <c r="G389" s="15"/>
      <c r="L389" s="16"/>
      <c r="U389" s="17"/>
      <c r="V389" s="17"/>
      <c r="W389" s="17"/>
    </row>
    <row r="390" spans="7:23" ht="12.75" customHeight="1" x14ac:dyDescent="0.25">
      <c r="G390" s="15"/>
      <c r="L390" s="16"/>
      <c r="U390" s="17"/>
      <c r="V390" s="17"/>
      <c r="W390" s="17"/>
    </row>
    <row r="391" spans="7:23" ht="12.75" customHeight="1" x14ac:dyDescent="0.25">
      <c r="G391" s="15"/>
      <c r="L391" s="16"/>
      <c r="U391" s="17"/>
      <c r="V391" s="17"/>
      <c r="W391" s="17"/>
    </row>
    <row r="392" spans="7:23" ht="12.75" customHeight="1" x14ac:dyDescent="0.25">
      <c r="G392" s="15"/>
      <c r="L392" s="16"/>
      <c r="U392" s="17"/>
      <c r="V392" s="17"/>
      <c r="W392" s="17"/>
    </row>
    <row r="393" spans="7:23" ht="12.75" customHeight="1" x14ac:dyDescent="0.25">
      <c r="G393" s="15"/>
      <c r="L393" s="16"/>
      <c r="U393" s="17"/>
      <c r="V393" s="17"/>
      <c r="W393" s="17"/>
    </row>
    <row r="394" spans="7:23" ht="12.75" customHeight="1" x14ac:dyDescent="0.25">
      <c r="G394" s="15"/>
      <c r="L394" s="16"/>
      <c r="U394" s="17"/>
      <c r="V394" s="17"/>
      <c r="W394" s="17"/>
    </row>
    <row r="395" spans="7:23" ht="12.75" customHeight="1" x14ac:dyDescent="0.25">
      <c r="G395" s="15"/>
      <c r="L395" s="16"/>
      <c r="U395" s="17"/>
      <c r="V395" s="17"/>
      <c r="W395" s="17"/>
    </row>
    <row r="396" spans="7:23" ht="12.75" customHeight="1" x14ac:dyDescent="0.25">
      <c r="G396" s="15"/>
      <c r="L396" s="16"/>
      <c r="U396" s="17"/>
      <c r="V396" s="17"/>
      <c r="W396" s="17"/>
    </row>
    <row r="397" spans="7:23" ht="12.75" customHeight="1" x14ac:dyDescent="0.25">
      <c r="G397" s="15"/>
      <c r="L397" s="16"/>
      <c r="U397" s="17"/>
      <c r="V397" s="17"/>
      <c r="W397" s="17"/>
    </row>
    <row r="398" spans="7:23" ht="12.75" customHeight="1" x14ac:dyDescent="0.25">
      <c r="G398" s="15"/>
      <c r="L398" s="16"/>
      <c r="U398" s="17"/>
      <c r="V398" s="17"/>
      <c r="W398" s="17"/>
    </row>
    <row r="399" spans="7:23" ht="12.75" customHeight="1" x14ac:dyDescent="0.25">
      <c r="G399" s="15"/>
      <c r="L399" s="16"/>
      <c r="U399" s="17"/>
      <c r="V399" s="17"/>
      <c r="W399" s="17"/>
    </row>
    <row r="400" spans="7:23" ht="12.75" customHeight="1" x14ac:dyDescent="0.25">
      <c r="G400" s="15"/>
      <c r="L400" s="16"/>
      <c r="U400" s="17"/>
      <c r="V400" s="17"/>
      <c r="W400" s="17"/>
    </row>
    <row r="401" spans="7:23" ht="12.75" customHeight="1" x14ac:dyDescent="0.25">
      <c r="G401" s="15"/>
      <c r="L401" s="16"/>
      <c r="U401" s="17"/>
      <c r="V401" s="17"/>
      <c r="W401" s="17"/>
    </row>
    <row r="402" spans="7:23" ht="12.75" customHeight="1" x14ac:dyDescent="0.25">
      <c r="G402" s="15"/>
      <c r="L402" s="16"/>
      <c r="U402" s="17"/>
      <c r="V402" s="17"/>
      <c r="W402" s="17"/>
    </row>
    <row r="403" spans="7:23" ht="12.75" customHeight="1" x14ac:dyDescent="0.25">
      <c r="G403" s="15"/>
      <c r="L403" s="16"/>
      <c r="U403" s="17"/>
      <c r="V403" s="17"/>
      <c r="W403" s="17"/>
    </row>
    <row r="404" spans="7:23" ht="12.75" customHeight="1" x14ac:dyDescent="0.25">
      <c r="G404" s="15"/>
      <c r="L404" s="16"/>
      <c r="U404" s="17"/>
      <c r="V404" s="17"/>
      <c r="W404" s="17"/>
    </row>
    <row r="405" spans="7:23" ht="12.75" customHeight="1" x14ac:dyDescent="0.25">
      <c r="G405" s="15"/>
      <c r="L405" s="16"/>
      <c r="U405" s="17"/>
      <c r="V405" s="17"/>
      <c r="W405" s="17"/>
    </row>
    <row r="406" spans="7:23" ht="12.75" customHeight="1" x14ac:dyDescent="0.25">
      <c r="G406" s="15"/>
      <c r="L406" s="16"/>
      <c r="U406" s="17"/>
      <c r="V406" s="17"/>
      <c r="W406" s="17"/>
    </row>
    <row r="407" spans="7:23" ht="12.75" customHeight="1" x14ac:dyDescent="0.25">
      <c r="G407" s="15"/>
      <c r="L407" s="16"/>
      <c r="U407" s="17"/>
      <c r="V407" s="17"/>
      <c r="W407" s="17"/>
    </row>
    <row r="408" spans="7:23" ht="12.75" customHeight="1" x14ac:dyDescent="0.25">
      <c r="G408" s="15"/>
      <c r="L408" s="16"/>
      <c r="U408" s="17"/>
      <c r="V408" s="17"/>
      <c r="W408" s="17"/>
    </row>
    <row r="409" spans="7:23" ht="12.75" customHeight="1" x14ac:dyDescent="0.25">
      <c r="G409" s="15"/>
      <c r="L409" s="16"/>
      <c r="U409" s="17"/>
      <c r="V409" s="17"/>
      <c r="W409" s="17"/>
    </row>
    <row r="410" spans="7:23" ht="12.75" customHeight="1" x14ac:dyDescent="0.25">
      <c r="G410" s="15"/>
      <c r="L410" s="16"/>
      <c r="U410" s="17"/>
      <c r="V410" s="17"/>
      <c r="W410" s="17"/>
    </row>
    <row r="411" spans="7:23" ht="12.75" customHeight="1" x14ac:dyDescent="0.25">
      <c r="G411" s="15"/>
      <c r="L411" s="16"/>
      <c r="U411" s="17"/>
      <c r="V411" s="17"/>
      <c r="W411" s="17"/>
    </row>
    <row r="412" spans="7:23" ht="12.75" customHeight="1" x14ac:dyDescent="0.25">
      <c r="G412" s="15"/>
      <c r="L412" s="16"/>
      <c r="U412" s="17"/>
      <c r="V412" s="17"/>
      <c r="W412" s="17"/>
    </row>
    <row r="413" spans="7:23" ht="12.75" customHeight="1" x14ac:dyDescent="0.25">
      <c r="G413" s="15"/>
      <c r="L413" s="16"/>
      <c r="U413" s="17"/>
      <c r="V413" s="17"/>
      <c r="W413" s="17"/>
    </row>
    <row r="414" spans="7:23" ht="12.75" customHeight="1" x14ac:dyDescent="0.25">
      <c r="G414" s="15"/>
      <c r="L414" s="16"/>
      <c r="U414" s="17"/>
      <c r="V414" s="17"/>
      <c r="W414" s="17"/>
    </row>
    <row r="415" spans="7:23" ht="12.75" customHeight="1" x14ac:dyDescent="0.25">
      <c r="G415" s="15"/>
      <c r="L415" s="16"/>
      <c r="U415" s="17"/>
      <c r="V415" s="17"/>
      <c r="W415" s="17"/>
    </row>
    <row r="416" spans="7:23" ht="12.75" customHeight="1" x14ac:dyDescent="0.25">
      <c r="G416" s="15"/>
      <c r="L416" s="16"/>
      <c r="U416" s="17"/>
      <c r="V416" s="17"/>
      <c r="W416" s="17"/>
    </row>
    <row r="417" spans="7:23" ht="12.75" customHeight="1" x14ac:dyDescent="0.25">
      <c r="G417" s="15"/>
      <c r="L417" s="16"/>
      <c r="U417" s="17"/>
      <c r="V417" s="17"/>
      <c r="W417" s="17"/>
    </row>
    <row r="418" spans="7:23" ht="12.75" customHeight="1" x14ac:dyDescent="0.25">
      <c r="G418" s="15"/>
      <c r="L418" s="16"/>
      <c r="U418" s="17"/>
      <c r="V418" s="17"/>
      <c r="W418" s="17"/>
    </row>
    <row r="419" spans="7:23" ht="12.75" customHeight="1" x14ac:dyDescent="0.25">
      <c r="G419" s="15"/>
      <c r="L419" s="16"/>
      <c r="U419" s="17"/>
      <c r="V419" s="17"/>
      <c r="W419" s="17"/>
    </row>
    <row r="420" spans="7:23" ht="12.75" customHeight="1" x14ac:dyDescent="0.25">
      <c r="G420" s="15"/>
      <c r="L420" s="16"/>
      <c r="U420" s="17"/>
      <c r="V420" s="17"/>
      <c r="W420" s="17"/>
    </row>
    <row r="421" spans="7:23" ht="12.75" customHeight="1" x14ac:dyDescent="0.25">
      <c r="G421" s="15"/>
      <c r="L421" s="16"/>
      <c r="U421" s="17"/>
      <c r="V421" s="17"/>
      <c r="W421" s="17"/>
    </row>
    <row r="422" spans="7:23" ht="12.75" customHeight="1" x14ac:dyDescent="0.25">
      <c r="G422" s="15"/>
      <c r="L422" s="16"/>
      <c r="U422" s="17"/>
      <c r="V422" s="17"/>
      <c r="W422" s="17"/>
    </row>
    <row r="423" spans="7:23" ht="12.75" customHeight="1" x14ac:dyDescent="0.25">
      <c r="G423" s="15"/>
      <c r="L423" s="16"/>
      <c r="U423" s="17"/>
      <c r="V423" s="17"/>
      <c r="W423" s="17"/>
    </row>
    <row r="424" spans="7:23" ht="12.75" customHeight="1" x14ac:dyDescent="0.25">
      <c r="G424" s="15"/>
      <c r="L424" s="16"/>
      <c r="U424" s="17"/>
      <c r="V424" s="17"/>
      <c r="W424" s="17"/>
    </row>
    <row r="425" spans="7:23" ht="12.75" customHeight="1" x14ac:dyDescent="0.25">
      <c r="G425" s="15"/>
      <c r="L425" s="16"/>
      <c r="U425" s="17"/>
      <c r="V425" s="17"/>
      <c r="W425" s="17"/>
    </row>
    <row r="426" spans="7:23" ht="12.75" customHeight="1" x14ac:dyDescent="0.25">
      <c r="G426" s="15"/>
      <c r="L426" s="16"/>
      <c r="U426" s="17"/>
      <c r="V426" s="17"/>
      <c r="W426" s="17"/>
    </row>
    <row r="427" spans="7:23" ht="12.75" customHeight="1" x14ac:dyDescent="0.25">
      <c r="G427" s="15"/>
      <c r="L427" s="16"/>
      <c r="U427" s="17"/>
      <c r="V427" s="17"/>
      <c r="W427" s="17"/>
    </row>
    <row r="428" spans="7:23" ht="12.75" customHeight="1" x14ac:dyDescent="0.25">
      <c r="G428" s="15"/>
      <c r="L428" s="16"/>
      <c r="U428" s="17"/>
      <c r="V428" s="17"/>
      <c r="W428" s="17"/>
    </row>
    <row r="429" spans="7:23" ht="12.75" customHeight="1" x14ac:dyDescent="0.25">
      <c r="G429" s="15"/>
      <c r="L429" s="16"/>
      <c r="U429" s="17"/>
      <c r="V429" s="17"/>
      <c r="W429" s="17"/>
    </row>
    <row r="430" spans="7:23" ht="12.75" customHeight="1" x14ac:dyDescent="0.25">
      <c r="G430" s="15"/>
      <c r="L430" s="16"/>
      <c r="U430" s="17"/>
      <c r="V430" s="17"/>
      <c r="W430" s="17"/>
    </row>
    <row r="431" spans="7:23" ht="12.75" customHeight="1" x14ac:dyDescent="0.25">
      <c r="G431" s="15"/>
      <c r="L431" s="16"/>
      <c r="U431" s="17"/>
      <c r="V431" s="17"/>
      <c r="W431" s="17"/>
    </row>
    <row r="432" spans="7:23" ht="12.75" customHeight="1" x14ac:dyDescent="0.25">
      <c r="G432" s="15"/>
      <c r="L432" s="16"/>
      <c r="U432" s="17"/>
      <c r="V432" s="17"/>
      <c r="W432" s="17"/>
    </row>
    <row r="433" spans="7:23" ht="12.75" customHeight="1" x14ac:dyDescent="0.25">
      <c r="G433" s="15"/>
      <c r="L433" s="16"/>
      <c r="U433" s="17"/>
      <c r="V433" s="17"/>
      <c r="W433" s="17"/>
    </row>
    <row r="434" spans="7:23" ht="12.75" customHeight="1" x14ac:dyDescent="0.25">
      <c r="G434" s="15"/>
      <c r="L434" s="16"/>
      <c r="U434" s="17"/>
      <c r="V434" s="17"/>
      <c r="W434" s="17"/>
    </row>
    <row r="435" spans="7:23" ht="12.75" customHeight="1" x14ac:dyDescent="0.25">
      <c r="G435" s="15"/>
      <c r="L435" s="16"/>
      <c r="U435" s="17"/>
      <c r="V435" s="17"/>
      <c r="W435" s="17"/>
    </row>
    <row r="436" spans="7:23" ht="12.75" customHeight="1" x14ac:dyDescent="0.25">
      <c r="G436" s="15"/>
      <c r="L436" s="16"/>
      <c r="U436" s="17"/>
      <c r="V436" s="17"/>
      <c r="W436" s="17"/>
    </row>
    <row r="437" spans="7:23" ht="12.75" customHeight="1" x14ac:dyDescent="0.25">
      <c r="G437" s="15"/>
      <c r="L437" s="16"/>
      <c r="U437" s="17"/>
      <c r="V437" s="17"/>
      <c r="W437" s="17"/>
    </row>
    <row r="438" spans="7:23" ht="12.75" customHeight="1" x14ac:dyDescent="0.25">
      <c r="G438" s="15"/>
      <c r="L438" s="16"/>
      <c r="U438" s="17"/>
      <c r="V438" s="17"/>
      <c r="W438" s="17"/>
    </row>
    <row r="439" spans="7:23" ht="12.75" customHeight="1" x14ac:dyDescent="0.25">
      <c r="G439" s="15"/>
      <c r="L439" s="16"/>
      <c r="U439" s="17"/>
      <c r="V439" s="17"/>
      <c r="W439" s="17"/>
    </row>
    <row r="440" spans="7:23" ht="12.75" customHeight="1" x14ac:dyDescent="0.25">
      <c r="G440" s="15"/>
      <c r="L440" s="16"/>
      <c r="U440" s="17"/>
      <c r="V440" s="17"/>
      <c r="W440" s="17"/>
    </row>
    <row r="441" spans="7:23" ht="12.75" customHeight="1" x14ac:dyDescent="0.25">
      <c r="G441" s="15"/>
      <c r="L441" s="16"/>
      <c r="U441" s="17"/>
      <c r="V441" s="17"/>
      <c r="W441" s="17"/>
    </row>
    <row r="442" spans="7:23" ht="12.75" customHeight="1" x14ac:dyDescent="0.25">
      <c r="G442" s="15"/>
      <c r="L442" s="16"/>
      <c r="U442" s="17"/>
      <c r="V442" s="17"/>
      <c r="W442" s="17"/>
    </row>
    <row r="443" spans="7:23" ht="12.75" customHeight="1" x14ac:dyDescent="0.25">
      <c r="G443" s="15"/>
      <c r="L443" s="16"/>
      <c r="U443" s="17"/>
      <c r="V443" s="17"/>
      <c r="W443" s="17"/>
    </row>
    <row r="444" spans="7:23" ht="12.75" customHeight="1" x14ac:dyDescent="0.25">
      <c r="G444" s="15"/>
      <c r="L444" s="16"/>
      <c r="U444" s="17"/>
      <c r="V444" s="17"/>
      <c r="W444" s="17"/>
    </row>
    <row r="445" spans="7:23" ht="12.75" customHeight="1" x14ac:dyDescent="0.25">
      <c r="G445" s="15"/>
      <c r="L445" s="16"/>
      <c r="U445" s="17"/>
      <c r="V445" s="17"/>
      <c r="W445" s="17"/>
    </row>
    <row r="446" spans="7:23" ht="12.75" customHeight="1" x14ac:dyDescent="0.25">
      <c r="G446" s="15"/>
      <c r="L446" s="16"/>
      <c r="U446" s="17"/>
      <c r="V446" s="17"/>
      <c r="W446" s="17"/>
    </row>
    <row r="447" spans="7:23" ht="12.75" customHeight="1" x14ac:dyDescent="0.25">
      <c r="G447" s="15"/>
      <c r="L447" s="16"/>
      <c r="U447" s="17"/>
      <c r="V447" s="17"/>
      <c r="W447" s="17"/>
    </row>
    <row r="448" spans="7:23" ht="12.75" customHeight="1" x14ac:dyDescent="0.25">
      <c r="G448" s="15"/>
      <c r="L448" s="16"/>
      <c r="U448" s="17"/>
      <c r="V448" s="17"/>
      <c r="W448" s="17"/>
    </row>
    <row r="449" spans="7:23" ht="12.75" customHeight="1" x14ac:dyDescent="0.25">
      <c r="G449" s="15"/>
      <c r="L449" s="16"/>
      <c r="U449" s="17"/>
      <c r="V449" s="17"/>
      <c r="W449" s="17"/>
    </row>
    <row r="450" spans="7:23" ht="12.75" customHeight="1" x14ac:dyDescent="0.25">
      <c r="G450" s="15"/>
      <c r="L450" s="16"/>
      <c r="U450" s="17"/>
      <c r="V450" s="17"/>
      <c r="W450" s="17"/>
    </row>
    <row r="451" spans="7:23" ht="12.75" customHeight="1" x14ac:dyDescent="0.25">
      <c r="G451" s="15"/>
      <c r="L451" s="16"/>
      <c r="U451" s="17"/>
      <c r="V451" s="17"/>
      <c r="W451" s="17"/>
    </row>
    <row r="452" spans="7:23" ht="12.75" customHeight="1" x14ac:dyDescent="0.25">
      <c r="G452" s="15"/>
      <c r="L452" s="16"/>
      <c r="U452" s="17"/>
      <c r="V452" s="17"/>
      <c r="W452" s="17"/>
    </row>
    <row r="453" spans="7:23" ht="12.75" customHeight="1" x14ac:dyDescent="0.25">
      <c r="G453" s="15"/>
      <c r="L453" s="16"/>
      <c r="U453" s="17"/>
      <c r="V453" s="17"/>
      <c r="W453" s="17"/>
    </row>
    <row r="454" spans="7:23" ht="12.75" customHeight="1" x14ac:dyDescent="0.25">
      <c r="G454" s="15"/>
      <c r="L454" s="16"/>
      <c r="U454" s="17"/>
      <c r="V454" s="17"/>
      <c r="W454" s="17"/>
    </row>
    <row r="455" spans="7:23" ht="12.75" customHeight="1" x14ac:dyDescent="0.25">
      <c r="G455" s="15"/>
      <c r="L455" s="16"/>
      <c r="U455" s="17"/>
      <c r="V455" s="17"/>
      <c r="W455" s="17"/>
    </row>
    <row r="456" spans="7:23" ht="12.75" customHeight="1" x14ac:dyDescent="0.25">
      <c r="G456" s="15"/>
      <c r="L456" s="16"/>
      <c r="U456" s="17"/>
      <c r="V456" s="17"/>
      <c r="W456" s="17"/>
    </row>
    <row r="457" spans="7:23" ht="12.75" customHeight="1" x14ac:dyDescent="0.25">
      <c r="G457" s="15"/>
      <c r="L457" s="16"/>
      <c r="U457" s="17"/>
      <c r="V457" s="17"/>
      <c r="W457" s="17"/>
    </row>
    <row r="458" spans="7:23" ht="12.75" customHeight="1" x14ac:dyDescent="0.25">
      <c r="G458" s="15"/>
      <c r="L458" s="16"/>
      <c r="U458" s="17"/>
      <c r="V458" s="17"/>
      <c r="W458" s="17"/>
    </row>
    <row r="459" spans="7:23" ht="12.75" customHeight="1" x14ac:dyDescent="0.25">
      <c r="G459" s="15"/>
      <c r="L459" s="16"/>
      <c r="U459" s="17"/>
      <c r="V459" s="17"/>
      <c r="W459" s="17"/>
    </row>
    <row r="460" spans="7:23" ht="12.75" customHeight="1" x14ac:dyDescent="0.25">
      <c r="G460" s="15"/>
      <c r="L460" s="16"/>
      <c r="U460" s="17"/>
      <c r="V460" s="17"/>
      <c r="W460" s="17"/>
    </row>
    <row r="461" spans="7:23" ht="12.75" customHeight="1" x14ac:dyDescent="0.25">
      <c r="G461" s="15"/>
      <c r="L461" s="16"/>
      <c r="U461" s="17"/>
      <c r="V461" s="17"/>
      <c r="W461" s="17"/>
    </row>
    <row r="462" spans="7:23" ht="12.75" customHeight="1" x14ac:dyDescent="0.25">
      <c r="G462" s="15"/>
      <c r="L462" s="16"/>
      <c r="U462" s="17"/>
      <c r="V462" s="17"/>
      <c r="W462" s="17"/>
    </row>
    <row r="463" spans="7:23" ht="12.75" customHeight="1" x14ac:dyDescent="0.25">
      <c r="G463" s="15"/>
      <c r="L463" s="16"/>
      <c r="U463" s="17"/>
      <c r="V463" s="17"/>
      <c r="W463" s="17"/>
    </row>
    <row r="464" spans="7:23" ht="12.75" customHeight="1" x14ac:dyDescent="0.25">
      <c r="G464" s="15"/>
      <c r="L464" s="16"/>
      <c r="U464" s="17"/>
      <c r="V464" s="17"/>
      <c r="W464" s="17"/>
    </row>
    <row r="465" spans="7:23" ht="12.75" customHeight="1" x14ac:dyDescent="0.25">
      <c r="G465" s="15"/>
      <c r="L465" s="16"/>
      <c r="U465" s="17"/>
      <c r="V465" s="17"/>
      <c r="W465" s="17"/>
    </row>
    <row r="466" spans="7:23" ht="12.75" customHeight="1" x14ac:dyDescent="0.25">
      <c r="G466" s="15"/>
      <c r="L466" s="16"/>
      <c r="U466" s="17"/>
      <c r="V466" s="17"/>
      <c r="W466" s="17"/>
    </row>
    <row r="467" spans="7:23" ht="12.75" customHeight="1" x14ac:dyDescent="0.25">
      <c r="G467" s="15"/>
      <c r="L467" s="16"/>
      <c r="U467" s="17"/>
      <c r="V467" s="17"/>
      <c r="W467" s="17"/>
    </row>
    <row r="468" spans="7:23" ht="12.75" customHeight="1" x14ac:dyDescent="0.25">
      <c r="G468" s="15"/>
      <c r="L468" s="16"/>
      <c r="U468" s="17"/>
      <c r="V468" s="17"/>
      <c r="W468" s="17"/>
    </row>
    <row r="469" spans="7:23" ht="12.75" customHeight="1" x14ac:dyDescent="0.25">
      <c r="G469" s="15"/>
      <c r="L469" s="16"/>
      <c r="U469" s="17"/>
      <c r="V469" s="17"/>
      <c r="W469" s="17"/>
    </row>
    <row r="470" spans="7:23" ht="12.75" customHeight="1" x14ac:dyDescent="0.25">
      <c r="G470" s="15"/>
      <c r="L470" s="16"/>
      <c r="U470" s="17"/>
      <c r="V470" s="17"/>
      <c r="W470" s="17"/>
    </row>
    <row r="471" spans="7:23" ht="12.75" customHeight="1" x14ac:dyDescent="0.25">
      <c r="G471" s="15"/>
      <c r="L471" s="16"/>
      <c r="U471" s="17"/>
      <c r="V471" s="17"/>
      <c r="W471" s="17"/>
    </row>
    <row r="472" spans="7:23" ht="12.75" customHeight="1" x14ac:dyDescent="0.25">
      <c r="G472" s="15"/>
      <c r="L472" s="16"/>
      <c r="U472" s="17"/>
      <c r="V472" s="17"/>
      <c r="W472" s="17"/>
    </row>
    <row r="473" spans="7:23" ht="12.75" customHeight="1" x14ac:dyDescent="0.25">
      <c r="G473" s="15"/>
      <c r="L473" s="16"/>
      <c r="U473" s="17"/>
      <c r="V473" s="17"/>
      <c r="W473" s="17"/>
    </row>
    <row r="474" spans="7:23" ht="12.75" customHeight="1" x14ac:dyDescent="0.25">
      <c r="G474" s="15"/>
      <c r="L474" s="16"/>
      <c r="U474" s="17"/>
      <c r="V474" s="17"/>
      <c r="W474" s="17"/>
    </row>
    <row r="475" spans="7:23" ht="12.75" customHeight="1" x14ac:dyDescent="0.25">
      <c r="G475" s="15"/>
      <c r="L475" s="16"/>
      <c r="U475" s="17"/>
      <c r="V475" s="17"/>
      <c r="W475" s="17"/>
    </row>
    <row r="476" spans="7:23" ht="12.75" customHeight="1" x14ac:dyDescent="0.25">
      <c r="G476" s="15"/>
      <c r="L476" s="16"/>
      <c r="U476" s="17"/>
      <c r="V476" s="17"/>
      <c r="W476" s="17"/>
    </row>
    <row r="477" spans="7:23" ht="12.75" customHeight="1" x14ac:dyDescent="0.25">
      <c r="G477" s="15"/>
      <c r="L477" s="16"/>
      <c r="U477" s="17"/>
      <c r="V477" s="17"/>
      <c r="W477" s="17"/>
    </row>
    <row r="478" spans="7:23" ht="12.75" customHeight="1" x14ac:dyDescent="0.25">
      <c r="G478" s="15"/>
      <c r="L478" s="16"/>
      <c r="U478" s="17"/>
      <c r="V478" s="17"/>
      <c r="W478" s="17"/>
    </row>
    <row r="479" spans="7:23" ht="12.75" customHeight="1" x14ac:dyDescent="0.25">
      <c r="G479" s="15"/>
      <c r="L479" s="16"/>
      <c r="U479" s="17"/>
      <c r="V479" s="17"/>
      <c r="W479" s="17"/>
    </row>
    <row r="480" spans="7:23" ht="12.75" customHeight="1" x14ac:dyDescent="0.25">
      <c r="G480" s="15"/>
      <c r="L480" s="16"/>
      <c r="U480" s="17"/>
      <c r="V480" s="17"/>
      <c r="W480" s="17"/>
    </row>
    <row r="481" spans="7:23" ht="12.75" customHeight="1" x14ac:dyDescent="0.25">
      <c r="G481" s="15"/>
      <c r="L481" s="16"/>
      <c r="U481" s="17"/>
      <c r="V481" s="17"/>
      <c r="W481" s="17"/>
    </row>
    <row r="482" spans="7:23" ht="12.75" customHeight="1" x14ac:dyDescent="0.25">
      <c r="G482" s="15"/>
      <c r="L482" s="16"/>
      <c r="U482" s="17"/>
      <c r="V482" s="17"/>
      <c r="W482" s="17"/>
    </row>
    <row r="483" spans="7:23" ht="12.75" customHeight="1" x14ac:dyDescent="0.25">
      <c r="G483" s="15"/>
      <c r="L483" s="16"/>
      <c r="U483" s="17"/>
      <c r="V483" s="17"/>
      <c r="W483" s="17"/>
    </row>
    <row r="484" spans="7:23" ht="12.75" customHeight="1" x14ac:dyDescent="0.25">
      <c r="G484" s="15"/>
      <c r="L484" s="16"/>
      <c r="U484" s="17"/>
      <c r="V484" s="17"/>
      <c r="W484" s="17"/>
    </row>
    <row r="485" spans="7:23" ht="12.75" customHeight="1" x14ac:dyDescent="0.25">
      <c r="G485" s="15"/>
      <c r="L485" s="16"/>
      <c r="U485" s="17"/>
      <c r="V485" s="17"/>
      <c r="W485" s="17"/>
    </row>
    <row r="486" spans="7:23" ht="12.75" customHeight="1" x14ac:dyDescent="0.25">
      <c r="G486" s="15"/>
      <c r="L486" s="16"/>
      <c r="U486" s="17"/>
      <c r="V486" s="17"/>
      <c r="W486" s="17"/>
    </row>
    <row r="487" spans="7:23" ht="12.75" customHeight="1" x14ac:dyDescent="0.25">
      <c r="G487" s="15"/>
      <c r="L487" s="16"/>
      <c r="U487" s="17"/>
      <c r="V487" s="17"/>
      <c r="W487" s="17"/>
    </row>
    <row r="488" spans="7:23" ht="12.75" customHeight="1" x14ac:dyDescent="0.25">
      <c r="G488" s="15"/>
      <c r="L488" s="16"/>
      <c r="U488" s="17"/>
      <c r="V488" s="17"/>
      <c r="W488" s="17"/>
    </row>
    <row r="489" spans="7:23" ht="12.75" customHeight="1" x14ac:dyDescent="0.25">
      <c r="G489" s="15"/>
      <c r="L489" s="16"/>
      <c r="U489" s="17"/>
      <c r="V489" s="17"/>
      <c r="W489" s="17"/>
    </row>
    <row r="490" spans="7:23" ht="12.75" customHeight="1" x14ac:dyDescent="0.25">
      <c r="G490" s="15"/>
      <c r="L490" s="16"/>
      <c r="U490" s="17"/>
      <c r="V490" s="17"/>
      <c r="W490" s="17"/>
    </row>
    <row r="491" spans="7:23" ht="12.75" customHeight="1" x14ac:dyDescent="0.25">
      <c r="G491" s="15"/>
      <c r="L491" s="16"/>
      <c r="U491" s="17"/>
      <c r="V491" s="17"/>
      <c r="W491" s="17"/>
    </row>
    <row r="492" spans="7:23" ht="12.75" customHeight="1" x14ac:dyDescent="0.25">
      <c r="G492" s="15"/>
      <c r="L492" s="16"/>
      <c r="U492" s="17"/>
      <c r="V492" s="17"/>
      <c r="W492" s="17"/>
    </row>
    <row r="493" spans="7:23" ht="12.75" customHeight="1" x14ac:dyDescent="0.25">
      <c r="G493" s="15"/>
      <c r="L493" s="16"/>
      <c r="U493" s="17"/>
      <c r="V493" s="17"/>
      <c r="W493" s="17"/>
    </row>
    <row r="494" spans="7:23" ht="12.75" customHeight="1" x14ac:dyDescent="0.25">
      <c r="G494" s="15"/>
      <c r="L494" s="16"/>
      <c r="U494" s="17"/>
      <c r="V494" s="17"/>
      <c r="W494" s="17"/>
    </row>
    <row r="495" spans="7:23" ht="12.75" customHeight="1" x14ac:dyDescent="0.25">
      <c r="G495" s="15"/>
      <c r="L495" s="16"/>
      <c r="U495" s="17"/>
      <c r="V495" s="17"/>
      <c r="W495" s="17"/>
    </row>
    <row r="496" spans="7:23" ht="12.75" customHeight="1" x14ac:dyDescent="0.25">
      <c r="G496" s="15"/>
      <c r="L496" s="16"/>
      <c r="U496" s="17"/>
      <c r="V496" s="17"/>
      <c r="W496" s="17"/>
    </row>
    <row r="497" spans="7:23" ht="12.75" customHeight="1" x14ac:dyDescent="0.25">
      <c r="G497" s="15"/>
      <c r="L497" s="16"/>
      <c r="U497" s="17"/>
      <c r="V497" s="17"/>
      <c r="W497" s="17"/>
    </row>
    <row r="498" spans="7:23" ht="12.75" customHeight="1" x14ac:dyDescent="0.25">
      <c r="G498" s="15"/>
      <c r="L498" s="16"/>
      <c r="U498" s="17"/>
      <c r="V498" s="17"/>
      <c r="W498" s="17"/>
    </row>
    <row r="499" spans="7:23" ht="12.75" customHeight="1" x14ac:dyDescent="0.25">
      <c r="G499" s="15"/>
      <c r="L499" s="16"/>
      <c r="U499" s="17"/>
      <c r="V499" s="17"/>
      <c r="W499" s="17"/>
    </row>
    <row r="500" spans="7:23" ht="12.75" customHeight="1" x14ac:dyDescent="0.25">
      <c r="G500" s="15"/>
      <c r="L500" s="16"/>
      <c r="U500" s="17"/>
      <c r="V500" s="17"/>
      <c r="W500" s="17"/>
    </row>
    <row r="501" spans="7:23" ht="12.75" customHeight="1" x14ac:dyDescent="0.25">
      <c r="G501" s="15"/>
      <c r="L501" s="16"/>
      <c r="U501" s="17"/>
      <c r="V501" s="17"/>
      <c r="W501" s="17"/>
    </row>
    <row r="502" spans="7:23" ht="12.75" customHeight="1" x14ac:dyDescent="0.25">
      <c r="G502" s="15"/>
      <c r="L502" s="16"/>
      <c r="U502" s="17"/>
      <c r="V502" s="17"/>
      <c r="W502" s="17"/>
    </row>
    <row r="503" spans="7:23" ht="12.75" customHeight="1" x14ac:dyDescent="0.25">
      <c r="G503" s="15"/>
      <c r="L503" s="16"/>
      <c r="U503" s="17"/>
      <c r="V503" s="17"/>
      <c r="W503" s="17"/>
    </row>
    <row r="504" spans="7:23" ht="12.75" customHeight="1" x14ac:dyDescent="0.25">
      <c r="G504" s="15"/>
      <c r="L504" s="16"/>
      <c r="U504" s="17"/>
      <c r="V504" s="17"/>
      <c r="W504" s="17"/>
    </row>
    <row r="505" spans="7:23" ht="12.75" customHeight="1" x14ac:dyDescent="0.25">
      <c r="G505" s="15"/>
      <c r="L505" s="16"/>
      <c r="U505" s="17"/>
      <c r="V505" s="17"/>
      <c r="W505" s="17"/>
    </row>
    <row r="506" spans="7:23" ht="12.75" customHeight="1" x14ac:dyDescent="0.25">
      <c r="G506" s="15"/>
      <c r="L506" s="16"/>
      <c r="U506" s="17"/>
      <c r="V506" s="17"/>
      <c r="W506" s="17"/>
    </row>
    <row r="507" spans="7:23" ht="12.75" customHeight="1" x14ac:dyDescent="0.25">
      <c r="G507" s="15"/>
      <c r="L507" s="16"/>
      <c r="U507" s="17"/>
      <c r="V507" s="17"/>
      <c r="W507" s="17"/>
    </row>
    <row r="508" spans="7:23" ht="12.75" customHeight="1" x14ac:dyDescent="0.25">
      <c r="G508" s="15"/>
      <c r="L508" s="16"/>
      <c r="U508" s="17"/>
      <c r="V508" s="17"/>
      <c r="W508" s="17"/>
    </row>
    <row r="509" spans="7:23" ht="12.75" customHeight="1" x14ac:dyDescent="0.25">
      <c r="G509" s="15"/>
      <c r="L509" s="16"/>
      <c r="U509" s="17"/>
      <c r="V509" s="17"/>
      <c r="W509" s="17"/>
    </row>
    <row r="510" spans="7:23" ht="12.75" customHeight="1" x14ac:dyDescent="0.25">
      <c r="G510" s="15"/>
      <c r="L510" s="16"/>
      <c r="U510" s="17"/>
      <c r="V510" s="17"/>
      <c r="W510" s="17"/>
    </row>
    <row r="511" spans="7:23" ht="12.75" customHeight="1" x14ac:dyDescent="0.25">
      <c r="G511" s="15"/>
      <c r="L511" s="16"/>
      <c r="U511" s="17"/>
      <c r="V511" s="17"/>
      <c r="W511" s="17"/>
    </row>
    <row r="512" spans="7:23" ht="12.75" customHeight="1" x14ac:dyDescent="0.25">
      <c r="G512" s="15"/>
      <c r="L512" s="16"/>
      <c r="U512" s="17"/>
      <c r="V512" s="17"/>
      <c r="W512" s="17"/>
    </row>
    <row r="513" spans="7:23" ht="12.75" customHeight="1" x14ac:dyDescent="0.25">
      <c r="G513" s="15"/>
      <c r="L513" s="16"/>
      <c r="U513" s="17"/>
      <c r="V513" s="17"/>
      <c r="W513" s="17"/>
    </row>
    <row r="514" spans="7:23" ht="12.75" customHeight="1" x14ac:dyDescent="0.25">
      <c r="G514" s="15"/>
      <c r="L514" s="16"/>
      <c r="U514" s="17"/>
      <c r="V514" s="17"/>
      <c r="W514" s="17"/>
    </row>
    <row r="515" spans="7:23" ht="12.75" customHeight="1" x14ac:dyDescent="0.25">
      <c r="G515" s="15"/>
      <c r="L515" s="16"/>
      <c r="U515" s="17"/>
      <c r="V515" s="17"/>
      <c r="W515" s="17"/>
    </row>
    <row r="516" spans="7:23" ht="12.75" customHeight="1" x14ac:dyDescent="0.25">
      <c r="G516" s="15"/>
      <c r="L516" s="16"/>
      <c r="U516" s="17"/>
      <c r="V516" s="17"/>
      <c r="W516" s="17"/>
    </row>
    <row r="517" spans="7:23" ht="12.75" customHeight="1" x14ac:dyDescent="0.25">
      <c r="G517" s="15"/>
      <c r="L517" s="16"/>
      <c r="U517" s="17"/>
      <c r="V517" s="17"/>
      <c r="W517" s="17"/>
    </row>
    <row r="518" spans="7:23" ht="12.75" customHeight="1" x14ac:dyDescent="0.25">
      <c r="G518" s="15"/>
      <c r="L518" s="16"/>
      <c r="U518" s="17"/>
      <c r="V518" s="17"/>
      <c r="W518" s="17"/>
    </row>
    <row r="519" spans="7:23" ht="12.75" customHeight="1" x14ac:dyDescent="0.25">
      <c r="G519" s="15"/>
      <c r="L519" s="16"/>
      <c r="U519" s="17"/>
      <c r="V519" s="17"/>
      <c r="W519" s="17"/>
    </row>
    <row r="520" spans="7:23" ht="12.75" customHeight="1" x14ac:dyDescent="0.25">
      <c r="G520" s="15"/>
      <c r="L520" s="16"/>
      <c r="U520" s="17"/>
      <c r="V520" s="17"/>
      <c r="W520" s="17"/>
    </row>
    <row r="521" spans="7:23" ht="12.75" customHeight="1" x14ac:dyDescent="0.25">
      <c r="G521" s="15"/>
      <c r="L521" s="16"/>
      <c r="U521" s="17"/>
      <c r="V521" s="17"/>
      <c r="W521" s="17"/>
    </row>
    <row r="522" spans="7:23" ht="12.75" customHeight="1" x14ac:dyDescent="0.25">
      <c r="G522" s="15"/>
      <c r="L522" s="16"/>
      <c r="U522" s="17"/>
      <c r="V522" s="17"/>
      <c r="W522" s="17"/>
    </row>
    <row r="523" spans="7:23" ht="12.75" customHeight="1" x14ac:dyDescent="0.25">
      <c r="G523" s="15"/>
      <c r="L523" s="16"/>
      <c r="U523" s="17"/>
      <c r="V523" s="17"/>
      <c r="W523" s="17"/>
    </row>
    <row r="524" spans="7:23" ht="12.75" customHeight="1" x14ac:dyDescent="0.25">
      <c r="G524" s="15"/>
      <c r="L524" s="16"/>
      <c r="U524" s="17"/>
      <c r="V524" s="17"/>
      <c r="W524" s="17"/>
    </row>
    <row r="525" spans="7:23" ht="12.75" customHeight="1" x14ac:dyDescent="0.25">
      <c r="G525" s="15"/>
      <c r="L525" s="16"/>
      <c r="U525" s="17"/>
      <c r="V525" s="17"/>
      <c r="W525" s="17"/>
    </row>
    <row r="526" spans="7:23" ht="12.75" customHeight="1" x14ac:dyDescent="0.25">
      <c r="G526" s="15"/>
      <c r="L526" s="16"/>
      <c r="U526" s="17"/>
      <c r="V526" s="17"/>
      <c r="W526" s="17"/>
    </row>
    <row r="527" spans="7:23" ht="12.75" customHeight="1" x14ac:dyDescent="0.25">
      <c r="G527" s="15"/>
      <c r="L527" s="16"/>
      <c r="U527" s="17"/>
      <c r="V527" s="17"/>
      <c r="W527" s="17"/>
    </row>
    <row r="528" spans="7:23" ht="12.75" customHeight="1" x14ac:dyDescent="0.25">
      <c r="G528" s="15"/>
      <c r="L528" s="16"/>
      <c r="U528" s="17"/>
      <c r="V528" s="17"/>
      <c r="W528" s="17"/>
    </row>
    <row r="529" spans="7:23" ht="12.75" customHeight="1" x14ac:dyDescent="0.25">
      <c r="G529" s="15"/>
      <c r="L529" s="16"/>
      <c r="U529" s="17"/>
      <c r="V529" s="17"/>
      <c r="W529" s="17"/>
    </row>
    <row r="530" spans="7:23" ht="12.75" customHeight="1" x14ac:dyDescent="0.25">
      <c r="G530" s="15"/>
      <c r="L530" s="16"/>
      <c r="U530" s="17"/>
      <c r="V530" s="17"/>
      <c r="W530" s="17"/>
    </row>
    <row r="531" spans="7:23" ht="12.75" customHeight="1" x14ac:dyDescent="0.25">
      <c r="G531" s="15"/>
      <c r="L531" s="16"/>
      <c r="U531" s="17"/>
      <c r="V531" s="17"/>
      <c r="W531" s="17"/>
    </row>
    <row r="532" spans="7:23" ht="12.75" customHeight="1" x14ac:dyDescent="0.25">
      <c r="G532" s="15"/>
      <c r="L532" s="16"/>
      <c r="U532" s="17"/>
      <c r="V532" s="17"/>
      <c r="W532" s="17"/>
    </row>
    <row r="533" spans="7:23" ht="12.75" customHeight="1" x14ac:dyDescent="0.25">
      <c r="G533" s="15"/>
      <c r="L533" s="16"/>
      <c r="U533" s="17"/>
      <c r="V533" s="17"/>
      <c r="W533" s="17"/>
    </row>
    <row r="534" spans="7:23" ht="12.75" customHeight="1" x14ac:dyDescent="0.25">
      <c r="G534" s="15"/>
      <c r="L534" s="16"/>
      <c r="U534" s="17"/>
      <c r="V534" s="17"/>
      <c r="W534" s="17"/>
    </row>
    <row r="535" spans="7:23" ht="12.75" customHeight="1" x14ac:dyDescent="0.25">
      <c r="G535" s="15"/>
      <c r="L535" s="16"/>
      <c r="U535" s="17"/>
      <c r="V535" s="17"/>
      <c r="W535" s="17"/>
    </row>
    <row r="536" spans="7:23" ht="12.75" customHeight="1" x14ac:dyDescent="0.25">
      <c r="G536" s="15"/>
      <c r="L536" s="16"/>
      <c r="U536" s="17"/>
      <c r="V536" s="17"/>
      <c r="W536" s="17"/>
    </row>
    <row r="537" spans="7:23" ht="12.75" customHeight="1" x14ac:dyDescent="0.25">
      <c r="G537" s="15"/>
      <c r="L537" s="16"/>
      <c r="U537" s="17"/>
      <c r="V537" s="17"/>
      <c r="W537" s="17"/>
    </row>
    <row r="538" spans="7:23" ht="12.75" customHeight="1" x14ac:dyDescent="0.25">
      <c r="G538" s="15"/>
      <c r="L538" s="16"/>
      <c r="U538" s="17"/>
      <c r="V538" s="17"/>
      <c r="W538" s="17"/>
    </row>
    <row r="539" spans="7:23" ht="12.75" customHeight="1" x14ac:dyDescent="0.25">
      <c r="G539" s="15"/>
      <c r="L539" s="16"/>
      <c r="U539" s="17"/>
      <c r="V539" s="17"/>
      <c r="W539" s="17"/>
    </row>
    <row r="540" spans="7:23" ht="12.75" customHeight="1" x14ac:dyDescent="0.25">
      <c r="G540" s="15"/>
      <c r="L540" s="16"/>
      <c r="U540" s="17"/>
      <c r="V540" s="17"/>
      <c r="W540" s="17"/>
    </row>
    <row r="541" spans="7:23" ht="12.75" customHeight="1" x14ac:dyDescent="0.25">
      <c r="G541" s="15"/>
      <c r="L541" s="16"/>
      <c r="U541" s="17"/>
      <c r="V541" s="17"/>
      <c r="W541" s="17"/>
    </row>
    <row r="542" spans="7:23" ht="12.75" customHeight="1" x14ac:dyDescent="0.25">
      <c r="G542" s="15"/>
      <c r="L542" s="16"/>
      <c r="U542" s="17"/>
      <c r="V542" s="17"/>
      <c r="W542" s="17"/>
    </row>
    <row r="543" spans="7:23" ht="12.75" customHeight="1" x14ac:dyDescent="0.25">
      <c r="G543" s="15"/>
      <c r="L543" s="16"/>
      <c r="U543" s="17"/>
      <c r="V543" s="17"/>
      <c r="W543" s="17"/>
    </row>
    <row r="544" spans="7:23" ht="12.75" customHeight="1" x14ac:dyDescent="0.25">
      <c r="G544" s="15"/>
      <c r="L544" s="16"/>
      <c r="U544" s="17"/>
      <c r="V544" s="17"/>
      <c r="W544" s="17"/>
    </row>
    <row r="545" spans="7:23" ht="12.75" customHeight="1" x14ac:dyDescent="0.25">
      <c r="G545" s="15"/>
      <c r="L545" s="16"/>
      <c r="U545" s="17"/>
      <c r="V545" s="17"/>
      <c r="W545" s="17"/>
    </row>
    <row r="546" spans="7:23" ht="12.75" customHeight="1" x14ac:dyDescent="0.25">
      <c r="G546" s="15"/>
      <c r="L546" s="16"/>
      <c r="U546" s="17"/>
      <c r="V546" s="17"/>
      <c r="W546" s="17"/>
    </row>
    <row r="547" spans="7:23" ht="12.75" customHeight="1" x14ac:dyDescent="0.25">
      <c r="G547" s="15"/>
      <c r="L547" s="16"/>
      <c r="U547" s="17"/>
      <c r="V547" s="17"/>
      <c r="W547" s="17"/>
    </row>
    <row r="548" spans="7:23" ht="12.75" customHeight="1" x14ac:dyDescent="0.25">
      <c r="G548" s="15"/>
      <c r="L548" s="16"/>
      <c r="U548" s="17"/>
      <c r="V548" s="17"/>
      <c r="W548" s="17"/>
    </row>
    <row r="549" spans="7:23" ht="12.75" customHeight="1" x14ac:dyDescent="0.25">
      <c r="G549" s="15"/>
      <c r="L549" s="16"/>
      <c r="U549" s="17"/>
      <c r="V549" s="17"/>
      <c r="W549" s="17"/>
    </row>
    <row r="550" spans="7:23" ht="12.75" customHeight="1" x14ac:dyDescent="0.25">
      <c r="G550" s="15"/>
      <c r="L550" s="16"/>
      <c r="U550" s="17"/>
      <c r="V550" s="17"/>
      <c r="W550" s="17"/>
    </row>
    <row r="551" spans="7:23" ht="12.75" customHeight="1" x14ac:dyDescent="0.25">
      <c r="G551" s="15"/>
      <c r="L551" s="16"/>
      <c r="U551" s="17"/>
      <c r="V551" s="17"/>
      <c r="W551" s="17"/>
    </row>
    <row r="552" spans="7:23" ht="12.75" customHeight="1" x14ac:dyDescent="0.25">
      <c r="G552" s="15"/>
      <c r="L552" s="16"/>
      <c r="U552" s="17"/>
      <c r="V552" s="17"/>
      <c r="W552" s="17"/>
    </row>
    <row r="553" spans="7:23" ht="12.75" customHeight="1" x14ac:dyDescent="0.25">
      <c r="G553" s="15"/>
      <c r="L553" s="16"/>
      <c r="U553" s="17"/>
      <c r="V553" s="17"/>
      <c r="W553" s="17"/>
    </row>
    <row r="554" spans="7:23" ht="12.75" customHeight="1" x14ac:dyDescent="0.25">
      <c r="G554" s="15"/>
      <c r="L554" s="16"/>
      <c r="U554" s="17"/>
      <c r="V554" s="17"/>
      <c r="W554" s="17"/>
    </row>
    <row r="555" spans="7:23" ht="12.75" customHeight="1" x14ac:dyDescent="0.25">
      <c r="G555" s="15"/>
      <c r="L555" s="16"/>
      <c r="U555" s="17"/>
      <c r="V555" s="17"/>
      <c r="W555" s="17"/>
    </row>
    <row r="556" spans="7:23" ht="12.75" customHeight="1" x14ac:dyDescent="0.25">
      <c r="G556" s="15"/>
      <c r="L556" s="16"/>
      <c r="U556" s="17"/>
      <c r="V556" s="17"/>
      <c r="W556" s="17"/>
    </row>
    <row r="557" spans="7:23" ht="12.75" customHeight="1" x14ac:dyDescent="0.25">
      <c r="G557" s="15"/>
      <c r="L557" s="16"/>
      <c r="U557" s="17"/>
      <c r="V557" s="17"/>
      <c r="W557" s="17"/>
    </row>
    <row r="558" spans="7:23" ht="12.75" customHeight="1" x14ac:dyDescent="0.25">
      <c r="G558" s="15"/>
      <c r="L558" s="16"/>
      <c r="U558" s="17"/>
      <c r="V558" s="17"/>
      <c r="W558" s="17"/>
    </row>
    <row r="559" spans="7:23" ht="12.75" customHeight="1" x14ac:dyDescent="0.25">
      <c r="G559" s="15"/>
      <c r="L559" s="16"/>
      <c r="U559" s="17"/>
      <c r="V559" s="17"/>
      <c r="W559" s="17"/>
    </row>
    <row r="560" spans="7:23" ht="12.75" customHeight="1" x14ac:dyDescent="0.25">
      <c r="G560" s="15"/>
      <c r="L560" s="16"/>
      <c r="U560" s="17"/>
      <c r="V560" s="17"/>
      <c r="W560" s="17"/>
    </row>
    <row r="561" spans="7:23" ht="12.75" customHeight="1" x14ac:dyDescent="0.25">
      <c r="G561" s="15"/>
      <c r="L561" s="16"/>
      <c r="U561" s="17"/>
      <c r="V561" s="17"/>
      <c r="W561" s="17"/>
    </row>
    <row r="562" spans="7:23" ht="12.75" customHeight="1" x14ac:dyDescent="0.25">
      <c r="G562" s="15"/>
      <c r="L562" s="16"/>
      <c r="U562" s="17"/>
      <c r="V562" s="17"/>
      <c r="W562" s="17"/>
    </row>
    <row r="563" spans="7:23" ht="12.75" customHeight="1" x14ac:dyDescent="0.25">
      <c r="G563" s="15"/>
      <c r="L563" s="16"/>
      <c r="U563" s="17"/>
      <c r="V563" s="17"/>
      <c r="W563" s="17"/>
    </row>
    <row r="564" spans="7:23" ht="12.75" customHeight="1" x14ac:dyDescent="0.25">
      <c r="G564" s="15"/>
      <c r="L564" s="16"/>
      <c r="U564" s="17"/>
      <c r="V564" s="17"/>
      <c r="W564" s="17"/>
    </row>
    <row r="565" spans="7:23" ht="12.75" customHeight="1" x14ac:dyDescent="0.25">
      <c r="G565" s="15"/>
      <c r="L565" s="16"/>
      <c r="U565" s="17"/>
      <c r="V565" s="17"/>
      <c r="W565" s="17"/>
    </row>
    <row r="566" spans="7:23" ht="12.75" customHeight="1" x14ac:dyDescent="0.25">
      <c r="G566" s="15"/>
      <c r="L566" s="16"/>
      <c r="U566" s="17"/>
      <c r="V566" s="17"/>
      <c r="W566" s="17"/>
    </row>
    <row r="567" spans="7:23" ht="12.75" customHeight="1" x14ac:dyDescent="0.25">
      <c r="G567" s="15"/>
      <c r="L567" s="16"/>
      <c r="U567" s="17"/>
      <c r="V567" s="17"/>
      <c r="W567" s="17"/>
    </row>
    <row r="568" spans="7:23" ht="12.75" customHeight="1" x14ac:dyDescent="0.25">
      <c r="G568" s="15"/>
      <c r="L568" s="16"/>
      <c r="U568" s="17"/>
      <c r="V568" s="17"/>
      <c r="W568" s="17"/>
    </row>
    <row r="569" spans="7:23" ht="12.75" customHeight="1" x14ac:dyDescent="0.25">
      <c r="G569" s="15"/>
      <c r="L569" s="16"/>
      <c r="U569" s="17"/>
      <c r="V569" s="17"/>
      <c r="W569" s="17"/>
    </row>
    <row r="570" spans="7:23" ht="12.75" customHeight="1" x14ac:dyDescent="0.25">
      <c r="G570" s="15"/>
      <c r="L570" s="16"/>
      <c r="U570" s="17"/>
      <c r="V570" s="17"/>
      <c r="W570" s="17"/>
    </row>
    <row r="571" spans="7:23" ht="12.75" customHeight="1" x14ac:dyDescent="0.25">
      <c r="G571" s="15"/>
      <c r="L571" s="16"/>
      <c r="U571" s="17"/>
      <c r="V571" s="17"/>
      <c r="W571" s="17"/>
    </row>
    <row r="572" spans="7:23" ht="12.75" customHeight="1" x14ac:dyDescent="0.25">
      <c r="G572" s="15"/>
      <c r="L572" s="16"/>
      <c r="U572" s="17"/>
      <c r="V572" s="17"/>
      <c r="W572" s="17"/>
    </row>
    <row r="573" spans="7:23" ht="12.75" customHeight="1" x14ac:dyDescent="0.25">
      <c r="G573" s="15"/>
      <c r="L573" s="16"/>
      <c r="U573" s="17"/>
      <c r="V573" s="17"/>
      <c r="W573" s="17"/>
    </row>
    <row r="574" spans="7:23" ht="12.75" customHeight="1" x14ac:dyDescent="0.25">
      <c r="G574" s="15"/>
      <c r="L574" s="16"/>
      <c r="U574" s="17"/>
      <c r="V574" s="17"/>
      <c r="W574" s="17"/>
    </row>
    <row r="575" spans="7:23" ht="12.75" customHeight="1" x14ac:dyDescent="0.25">
      <c r="G575" s="15"/>
      <c r="L575" s="16"/>
      <c r="U575" s="17"/>
      <c r="V575" s="17"/>
      <c r="W575" s="17"/>
    </row>
    <row r="576" spans="7:23" ht="12.75" customHeight="1" x14ac:dyDescent="0.25">
      <c r="G576" s="15"/>
      <c r="L576" s="16"/>
      <c r="U576" s="17"/>
      <c r="V576" s="17"/>
      <c r="W576" s="17"/>
    </row>
    <row r="577" spans="7:23" ht="12.75" customHeight="1" x14ac:dyDescent="0.25">
      <c r="G577" s="15"/>
      <c r="L577" s="16"/>
      <c r="U577" s="17"/>
      <c r="V577" s="17"/>
      <c r="W577" s="17"/>
    </row>
    <row r="578" spans="7:23" ht="12.75" customHeight="1" x14ac:dyDescent="0.25">
      <c r="G578" s="15"/>
      <c r="L578" s="16"/>
      <c r="U578" s="17"/>
      <c r="V578" s="17"/>
      <c r="W578" s="17"/>
    </row>
    <row r="579" spans="7:23" ht="12.75" customHeight="1" x14ac:dyDescent="0.25">
      <c r="G579" s="15"/>
      <c r="L579" s="16"/>
      <c r="U579" s="17"/>
      <c r="V579" s="17"/>
      <c r="W579" s="17"/>
    </row>
    <row r="580" spans="7:23" ht="12.75" customHeight="1" x14ac:dyDescent="0.25">
      <c r="G580" s="15"/>
      <c r="L580" s="16"/>
      <c r="U580" s="17"/>
      <c r="V580" s="17"/>
      <c r="W580" s="17"/>
    </row>
    <row r="581" spans="7:23" ht="12.75" customHeight="1" x14ac:dyDescent="0.25">
      <c r="G581" s="15"/>
      <c r="L581" s="16"/>
      <c r="U581" s="17"/>
      <c r="V581" s="17"/>
      <c r="W581" s="17"/>
    </row>
    <row r="582" spans="7:23" ht="12.75" customHeight="1" x14ac:dyDescent="0.25">
      <c r="G582" s="15"/>
      <c r="L582" s="16"/>
      <c r="U582" s="17"/>
      <c r="V582" s="17"/>
      <c r="W582" s="17"/>
    </row>
    <row r="583" spans="7:23" ht="12.75" customHeight="1" x14ac:dyDescent="0.25">
      <c r="G583" s="15"/>
      <c r="L583" s="16"/>
      <c r="U583" s="17"/>
      <c r="V583" s="17"/>
      <c r="W583" s="17"/>
    </row>
    <row r="584" spans="7:23" ht="12.75" customHeight="1" x14ac:dyDescent="0.25">
      <c r="G584" s="15"/>
      <c r="L584" s="16"/>
      <c r="U584" s="17"/>
      <c r="V584" s="17"/>
      <c r="W584" s="17"/>
    </row>
    <row r="585" spans="7:23" ht="12.75" customHeight="1" x14ac:dyDescent="0.25">
      <c r="G585" s="15"/>
      <c r="L585" s="16"/>
      <c r="U585" s="17"/>
      <c r="V585" s="17"/>
      <c r="W585" s="17"/>
    </row>
    <row r="586" spans="7:23" ht="12.75" customHeight="1" x14ac:dyDescent="0.25">
      <c r="G586" s="15"/>
      <c r="L586" s="16"/>
      <c r="U586" s="17"/>
      <c r="V586" s="17"/>
      <c r="W586" s="17"/>
    </row>
    <row r="587" spans="7:23" ht="12.75" customHeight="1" x14ac:dyDescent="0.25">
      <c r="G587" s="15"/>
      <c r="L587" s="16"/>
      <c r="U587" s="17"/>
      <c r="V587" s="17"/>
      <c r="W587" s="17"/>
    </row>
    <row r="588" spans="7:23" ht="12.75" customHeight="1" x14ac:dyDescent="0.25">
      <c r="G588" s="15"/>
      <c r="L588" s="16"/>
      <c r="U588" s="17"/>
      <c r="V588" s="17"/>
      <c r="W588" s="17"/>
    </row>
    <row r="589" spans="7:23" ht="12.75" customHeight="1" x14ac:dyDescent="0.25">
      <c r="G589" s="15"/>
      <c r="L589" s="16"/>
      <c r="U589" s="17"/>
      <c r="V589" s="17"/>
      <c r="W589" s="17"/>
    </row>
    <row r="590" spans="7:23" ht="12.75" customHeight="1" x14ac:dyDescent="0.25">
      <c r="G590" s="15"/>
      <c r="L590" s="16"/>
      <c r="U590" s="17"/>
      <c r="V590" s="17"/>
      <c r="W590" s="17"/>
    </row>
    <row r="591" spans="7:23" ht="12.75" customHeight="1" x14ac:dyDescent="0.25">
      <c r="G591" s="15"/>
      <c r="L591" s="16"/>
      <c r="U591" s="17"/>
      <c r="V591" s="17"/>
      <c r="W591" s="17"/>
    </row>
    <row r="592" spans="7:23" ht="12.75" customHeight="1" x14ac:dyDescent="0.25">
      <c r="G592" s="15"/>
      <c r="L592" s="16"/>
      <c r="U592" s="17"/>
      <c r="V592" s="17"/>
      <c r="W592" s="17"/>
    </row>
    <row r="593" spans="7:23" ht="12.75" customHeight="1" x14ac:dyDescent="0.25">
      <c r="G593" s="15"/>
      <c r="L593" s="16"/>
      <c r="U593" s="17"/>
      <c r="V593" s="17"/>
      <c r="W593" s="17"/>
    </row>
    <row r="594" spans="7:23" ht="12.75" customHeight="1" x14ac:dyDescent="0.25">
      <c r="G594" s="15"/>
      <c r="L594" s="16"/>
      <c r="U594" s="17"/>
      <c r="V594" s="17"/>
      <c r="W594" s="17"/>
    </row>
    <row r="595" spans="7:23" ht="12.75" customHeight="1" x14ac:dyDescent="0.25">
      <c r="G595" s="15"/>
      <c r="L595" s="16"/>
      <c r="U595" s="17"/>
      <c r="V595" s="17"/>
      <c r="W595" s="17"/>
    </row>
    <row r="596" spans="7:23" ht="12.75" customHeight="1" x14ac:dyDescent="0.25">
      <c r="G596" s="15"/>
      <c r="L596" s="16"/>
      <c r="U596" s="17"/>
      <c r="V596" s="17"/>
      <c r="W596" s="17"/>
    </row>
    <row r="597" spans="7:23" ht="12.75" customHeight="1" x14ac:dyDescent="0.25">
      <c r="G597" s="15"/>
      <c r="L597" s="16"/>
      <c r="U597" s="17"/>
      <c r="V597" s="17"/>
      <c r="W597" s="17"/>
    </row>
    <row r="598" spans="7:23" ht="12.75" customHeight="1" x14ac:dyDescent="0.25">
      <c r="G598" s="15"/>
      <c r="L598" s="16"/>
      <c r="U598" s="17"/>
      <c r="V598" s="17"/>
      <c r="W598" s="17"/>
    </row>
    <row r="599" spans="7:23" ht="12.75" customHeight="1" x14ac:dyDescent="0.25">
      <c r="G599" s="15"/>
      <c r="L599" s="16"/>
      <c r="U599" s="17"/>
      <c r="V599" s="17"/>
      <c r="W599" s="17"/>
    </row>
    <row r="600" spans="7:23" ht="12.75" customHeight="1" x14ac:dyDescent="0.25">
      <c r="G600" s="15"/>
      <c r="L600" s="16"/>
      <c r="U600" s="17"/>
      <c r="V600" s="17"/>
      <c r="W600" s="17"/>
    </row>
    <row r="601" spans="7:23" ht="12.75" customHeight="1" x14ac:dyDescent="0.25">
      <c r="G601" s="15"/>
      <c r="L601" s="16"/>
      <c r="U601" s="17"/>
      <c r="V601" s="17"/>
      <c r="W601" s="17"/>
    </row>
    <row r="602" spans="7:23" ht="12.75" customHeight="1" x14ac:dyDescent="0.25">
      <c r="G602" s="15"/>
      <c r="L602" s="16"/>
      <c r="U602" s="17"/>
      <c r="V602" s="17"/>
      <c r="W602" s="17"/>
    </row>
    <row r="603" spans="7:23" ht="12.75" customHeight="1" x14ac:dyDescent="0.25">
      <c r="G603" s="15"/>
      <c r="L603" s="16"/>
      <c r="U603" s="17"/>
      <c r="V603" s="17"/>
      <c r="W603" s="17"/>
    </row>
    <row r="604" spans="7:23" ht="12.75" customHeight="1" x14ac:dyDescent="0.25">
      <c r="G604" s="15"/>
      <c r="L604" s="16"/>
      <c r="U604" s="17"/>
      <c r="V604" s="17"/>
      <c r="W604" s="17"/>
    </row>
    <row r="605" spans="7:23" ht="12.75" customHeight="1" x14ac:dyDescent="0.25">
      <c r="G605" s="15"/>
      <c r="L605" s="16"/>
      <c r="U605" s="17"/>
      <c r="V605" s="17"/>
      <c r="W605" s="17"/>
    </row>
    <row r="606" spans="7:23" ht="12.75" customHeight="1" x14ac:dyDescent="0.25">
      <c r="G606" s="15"/>
      <c r="L606" s="16"/>
      <c r="U606" s="17"/>
      <c r="V606" s="17"/>
      <c r="W606" s="17"/>
    </row>
    <row r="607" spans="7:23" ht="12.75" customHeight="1" x14ac:dyDescent="0.25">
      <c r="G607" s="15"/>
      <c r="L607" s="16"/>
      <c r="U607" s="17"/>
      <c r="V607" s="17"/>
      <c r="W607" s="17"/>
    </row>
    <row r="608" spans="7:23" ht="12.75" customHeight="1" x14ac:dyDescent="0.25">
      <c r="G608" s="15"/>
      <c r="L608" s="16"/>
      <c r="U608" s="17"/>
      <c r="V608" s="17"/>
      <c r="W608" s="17"/>
    </row>
    <row r="609" spans="7:23" ht="12.75" customHeight="1" x14ac:dyDescent="0.25">
      <c r="G609" s="15"/>
      <c r="L609" s="16"/>
      <c r="U609" s="17"/>
      <c r="V609" s="17"/>
      <c r="W609" s="17"/>
    </row>
    <row r="610" spans="7:23" ht="12.75" customHeight="1" x14ac:dyDescent="0.25">
      <c r="G610" s="15"/>
      <c r="L610" s="16"/>
      <c r="U610" s="17"/>
      <c r="V610" s="17"/>
      <c r="W610" s="17"/>
    </row>
    <row r="611" spans="7:23" ht="12.75" customHeight="1" x14ac:dyDescent="0.25">
      <c r="G611" s="15"/>
      <c r="L611" s="16"/>
      <c r="U611" s="17"/>
      <c r="V611" s="17"/>
      <c r="W611" s="17"/>
    </row>
    <row r="612" spans="7:23" ht="12.75" customHeight="1" x14ac:dyDescent="0.25">
      <c r="G612" s="15"/>
      <c r="L612" s="16"/>
      <c r="U612" s="17"/>
      <c r="V612" s="17"/>
      <c r="W612" s="17"/>
    </row>
    <row r="613" spans="7:23" ht="12.75" customHeight="1" x14ac:dyDescent="0.25">
      <c r="G613" s="15"/>
      <c r="L613" s="16"/>
      <c r="U613" s="17"/>
      <c r="V613" s="17"/>
      <c r="W613" s="17"/>
    </row>
    <row r="614" spans="7:23" ht="12.75" customHeight="1" x14ac:dyDescent="0.25">
      <c r="G614" s="15"/>
      <c r="L614" s="16"/>
      <c r="U614" s="17"/>
      <c r="V614" s="17"/>
      <c r="W614" s="17"/>
    </row>
    <row r="615" spans="7:23" ht="12.75" customHeight="1" x14ac:dyDescent="0.25">
      <c r="G615" s="15"/>
      <c r="L615" s="16"/>
      <c r="U615" s="17"/>
      <c r="V615" s="17"/>
      <c r="W615" s="17"/>
    </row>
    <row r="616" spans="7:23" ht="12.75" customHeight="1" x14ac:dyDescent="0.25">
      <c r="G616" s="15"/>
      <c r="L616" s="16"/>
      <c r="U616" s="17"/>
      <c r="V616" s="17"/>
      <c r="W616" s="17"/>
    </row>
    <row r="617" spans="7:23" ht="12.75" customHeight="1" x14ac:dyDescent="0.25">
      <c r="G617" s="15"/>
      <c r="L617" s="16"/>
      <c r="U617" s="17"/>
      <c r="V617" s="17"/>
      <c r="W617" s="17"/>
    </row>
    <row r="618" spans="7:23" ht="12.75" customHeight="1" x14ac:dyDescent="0.25">
      <c r="G618" s="15"/>
      <c r="L618" s="16"/>
      <c r="U618" s="17"/>
      <c r="V618" s="17"/>
      <c r="W618" s="17"/>
    </row>
    <row r="619" spans="7:23" ht="12.75" customHeight="1" x14ac:dyDescent="0.25">
      <c r="G619" s="15"/>
      <c r="L619" s="16"/>
      <c r="U619" s="17"/>
      <c r="V619" s="17"/>
      <c r="W619" s="17"/>
    </row>
    <row r="620" spans="7:23" ht="12.75" customHeight="1" x14ac:dyDescent="0.25">
      <c r="G620" s="15"/>
      <c r="L620" s="16"/>
      <c r="U620" s="17"/>
      <c r="V620" s="17"/>
      <c r="W620" s="17"/>
    </row>
    <row r="621" spans="7:23" ht="12.75" customHeight="1" x14ac:dyDescent="0.25">
      <c r="G621" s="15"/>
      <c r="L621" s="16"/>
      <c r="U621" s="17"/>
      <c r="V621" s="17"/>
      <c r="W621" s="17"/>
    </row>
    <row r="622" spans="7:23" ht="12.75" customHeight="1" x14ac:dyDescent="0.25">
      <c r="G622" s="15"/>
      <c r="L622" s="16"/>
      <c r="U622" s="17"/>
      <c r="V622" s="17"/>
      <c r="W622" s="17"/>
    </row>
    <row r="623" spans="7:23" ht="12.75" customHeight="1" x14ac:dyDescent="0.25">
      <c r="G623" s="15"/>
      <c r="L623" s="16"/>
      <c r="U623" s="17"/>
      <c r="V623" s="17"/>
      <c r="W623" s="17"/>
    </row>
    <row r="624" spans="7:23" ht="12.75" customHeight="1" x14ac:dyDescent="0.25">
      <c r="G624" s="15"/>
      <c r="L624" s="16"/>
      <c r="U624" s="17"/>
      <c r="V624" s="17"/>
      <c r="W624" s="17"/>
    </row>
    <row r="625" spans="7:23" ht="12.75" customHeight="1" x14ac:dyDescent="0.25">
      <c r="G625" s="15"/>
      <c r="L625" s="16"/>
      <c r="U625" s="17"/>
      <c r="V625" s="17"/>
      <c r="W625" s="17"/>
    </row>
    <row r="626" spans="7:23" ht="12.75" customHeight="1" x14ac:dyDescent="0.25">
      <c r="G626" s="15"/>
      <c r="L626" s="16"/>
      <c r="U626" s="17"/>
      <c r="V626" s="17"/>
      <c r="W626" s="17"/>
    </row>
    <row r="627" spans="7:23" ht="12.75" customHeight="1" x14ac:dyDescent="0.25">
      <c r="G627" s="15"/>
      <c r="L627" s="16"/>
      <c r="U627" s="17"/>
      <c r="V627" s="17"/>
      <c r="W627" s="17"/>
    </row>
    <row r="628" spans="7:23" ht="12.75" customHeight="1" x14ac:dyDescent="0.25">
      <c r="G628" s="15"/>
      <c r="L628" s="16"/>
      <c r="U628" s="17"/>
      <c r="V628" s="17"/>
      <c r="W628" s="17"/>
    </row>
    <row r="629" spans="7:23" ht="12.75" customHeight="1" x14ac:dyDescent="0.25">
      <c r="G629" s="15"/>
      <c r="L629" s="16"/>
      <c r="U629" s="17"/>
      <c r="V629" s="17"/>
      <c r="W629" s="17"/>
    </row>
    <row r="630" spans="7:23" ht="12.75" customHeight="1" x14ac:dyDescent="0.25">
      <c r="G630" s="15"/>
      <c r="L630" s="16"/>
      <c r="U630" s="17"/>
      <c r="V630" s="17"/>
      <c r="W630" s="17"/>
    </row>
    <row r="631" spans="7:23" ht="12.75" customHeight="1" x14ac:dyDescent="0.25">
      <c r="G631" s="15"/>
      <c r="L631" s="16"/>
      <c r="U631" s="17"/>
      <c r="V631" s="17"/>
      <c r="W631" s="17"/>
    </row>
    <row r="632" spans="7:23" ht="12.75" customHeight="1" x14ac:dyDescent="0.25">
      <c r="G632" s="15"/>
      <c r="L632" s="16"/>
      <c r="U632" s="17"/>
      <c r="V632" s="17"/>
      <c r="W632" s="17"/>
    </row>
    <row r="633" spans="7:23" ht="12.75" customHeight="1" x14ac:dyDescent="0.25">
      <c r="G633" s="15"/>
      <c r="L633" s="16"/>
      <c r="U633" s="17"/>
      <c r="V633" s="17"/>
      <c r="W633" s="17"/>
    </row>
    <row r="634" spans="7:23" ht="12.75" customHeight="1" x14ac:dyDescent="0.25">
      <c r="G634" s="15"/>
      <c r="L634" s="16"/>
      <c r="U634" s="17"/>
      <c r="V634" s="17"/>
      <c r="W634" s="17"/>
    </row>
    <row r="635" spans="7:23" ht="12.75" customHeight="1" x14ac:dyDescent="0.25">
      <c r="G635" s="15"/>
      <c r="L635" s="16"/>
      <c r="U635" s="17"/>
      <c r="V635" s="17"/>
      <c r="W635" s="17"/>
    </row>
    <row r="636" spans="7:23" ht="12.75" customHeight="1" x14ac:dyDescent="0.25">
      <c r="G636" s="15"/>
      <c r="L636" s="16"/>
      <c r="U636" s="17"/>
      <c r="V636" s="17"/>
      <c r="W636" s="17"/>
    </row>
    <row r="637" spans="7:23" ht="12.75" customHeight="1" x14ac:dyDescent="0.25">
      <c r="G637" s="15"/>
      <c r="L637" s="16"/>
      <c r="U637" s="17"/>
      <c r="V637" s="17"/>
      <c r="W637" s="17"/>
    </row>
    <row r="638" spans="7:23" ht="12.75" customHeight="1" x14ac:dyDescent="0.25">
      <c r="G638" s="15"/>
      <c r="L638" s="16"/>
      <c r="U638" s="17"/>
      <c r="V638" s="17"/>
      <c r="W638" s="17"/>
    </row>
    <row r="639" spans="7:23" ht="12.75" customHeight="1" x14ac:dyDescent="0.25">
      <c r="G639" s="15"/>
      <c r="L639" s="16"/>
      <c r="U639" s="17"/>
      <c r="V639" s="17"/>
      <c r="W639" s="17"/>
    </row>
    <row r="640" spans="7:23" ht="12.75" customHeight="1" x14ac:dyDescent="0.25">
      <c r="G640" s="15"/>
      <c r="L640" s="16"/>
      <c r="U640" s="17"/>
      <c r="V640" s="17"/>
      <c r="W640" s="17"/>
    </row>
    <row r="641" spans="7:23" ht="12.75" customHeight="1" x14ac:dyDescent="0.25">
      <c r="G641" s="15"/>
      <c r="L641" s="16"/>
      <c r="U641" s="17"/>
      <c r="V641" s="17"/>
      <c r="W641" s="17"/>
    </row>
    <row r="642" spans="7:23" ht="12.75" customHeight="1" x14ac:dyDescent="0.25">
      <c r="G642" s="15"/>
      <c r="L642" s="16"/>
      <c r="U642" s="17"/>
      <c r="V642" s="17"/>
      <c r="W642" s="17"/>
    </row>
    <row r="643" spans="7:23" ht="12.75" customHeight="1" x14ac:dyDescent="0.25">
      <c r="G643" s="15"/>
      <c r="L643" s="16"/>
      <c r="U643" s="17"/>
      <c r="V643" s="17"/>
      <c r="W643" s="17"/>
    </row>
    <row r="644" spans="7:23" ht="12.75" customHeight="1" x14ac:dyDescent="0.25">
      <c r="G644" s="15"/>
      <c r="L644" s="16"/>
      <c r="U644" s="17"/>
      <c r="V644" s="17"/>
      <c r="W644" s="17"/>
    </row>
    <row r="645" spans="7:23" ht="12.75" customHeight="1" x14ac:dyDescent="0.25">
      <c r="G645" s="15"/>
      <c r="L645" s="16"/>
      <c r="U645" s="17"/>
      <c r="V645" s="17"/>
      <c r="W645" s="17"/>
    </row>
    <row r="646" spans="7:23" ht="12.75" customHeight="1" x14ac:dyDescent="0.25">
      <c r="G646" s="15"/>
      <c r="L646" s="16"/>
      <c r="U646" s="17"/>
      <c r="V646" s="17"/>
      <c r="W646" s="17"/>
    </row>
    <row r="647" spans="7:23" ht="12.75" customHeight="1" x14ac:dyDescent="0.25">
      <c r="G647" s="15"/>
      <c r="L647" s="16"/>
      <c r="U647" s="17"/>
      <c r="V647" s="17"/>
      <c r="W647" s="17"/>
    </row>
    <row r="648" spans="7:23" ht="12.75" customHeight="1" x14ac:dyDescent="0.25">
      <c r="G648" s="15"/>
      <c r="L648" s="16"/>
      <c r="U648" s="17"/>
      <c r="V648" s="17"/>
      <c r="W648" s="17"/>
    </row>
    <row r="649" spans="7:23" ht="12.75" customHeight="1" x14ac:dyDescent="0.25">
      <c r="G649" s="15"/>
      <c r="L649" s="16"/>
      <c r="U649" s="17"/>
      <c r="V649" s="17"/>
      <c r="W649" s="17"/>
    </row>
    <row r="650" spans="7:23" ht="12.75" customHeight="1" x14ac:dyDescent="0.25">
      <c r="G650" s="15"/>
      <c r="L650" s="16"/>
      <c r="U650" s="17"/>
      <c r="V650" s="17"/>
      <c r="W650" s="17"/>
    </row>
    <row r="651" spans="7:23" ht="12.75" customHeight="1" x14ac:dyDescent="0.25">
      <c r="G651" s="15"/>
      <c r="L651" s="16"/>
      <c r="U651" s="17"/>
      <c r="V651" s="17"/>
      <c r="W651" s="17"/>
    </row>
    <row r="652" spans="7:23" ht="12.75" customHeight="1" x14ac:dyDescent="0.25">
      <c r="G652" s="15"/>
      <c r="L652" s="16"/>
      <c r="U652" s="17"/>
      <c r="V652" s="17"/>
      <c r="W652" s="17"/>
    </row>
    <row r="653" spans="7:23" ht="12.75" customHeight="1" x14ac:dyDescent="0.25">
      <c r="G653" s="15"/>
      <c r="L653" s="16"/>
      <c r="U653" s="17"/>
      <c r="V653" s="17"/>
      <c r="W653" s="17"/>
    </row>
    <row r="654" spans="7:23" ht="12.75" customHeight="1" x14ac:dyDescent="0.25">
      <c r="G654" s="15"/>
      <c r="L654" s="16"/>
      <c r="U654" s="17"/>
      <c r="V654" s="17"/>
      <c r="W654" s="17"/>
    </row>
    <row r="655" spans="7:23" ht="12.75" customHeight="1" x14ac:dyDescent="0.25">
      <c r="G655" s="15"/>
      <c r="L655" s="16"/>
      <c r="U655" s="17"/>
      <c r="V655" s="17"/>
      <c r="W655" s="17"/>
    </row>
    <row r="656" spans="7:23" ht="12.75" customHeight="1" x14ac:dyDescent="0.25">
      <c r="G656" s="15"/>
      <c r="L656" s="16"/>
      <c r="U656" s="17"/>
      <c r="V656" s="17"/>
      <c r="W656" s="17"/>
    </row>
    <row r="657" spans="7:23" ht="12.75" customHeight="1" x14ac:dyDescent="0.25">
      <c r="G657" s="15"/>
      <c r="L657" s="16"/>
      <c r="U657" s="17"/>
      <c r="V657" s="17"/>
      <c r="W657" s="17"/>
    </row>
    <row r="658" spans="7:23" ht="12.75" customHeight="1" x14ac:dyDescent="0.25">
      <c r="G658" s="15"/>
      <c r="L658" s="16"/>
      <c r="U658" s="17"/>
      <c r="V658" s="17"/>
      <c r="W658" s="17"/>
    </row>
    <row r="659" spans="7:23" ht="12.75" customHeight="1" x14ac:dyDescent="0.25">
      <c r="G659" s="15"/>
      <c r="L659" s="16"/>
      <c r="U659" s="17"/>
      <c r="V659" s="17"/>
      <c r="W659" s="17"/>
    </row>
    <row r="660" spans="7:23" ht="12.75" customHeight="1" x14ac:dyDescent="0.25">
      <c r="G660" s="15"/>
      <c r="L660" s="16"/>
      <c r="U660" s="17"/>
      <c r="V660" s="17"/>
      <c r="W660" s="17"/>
    </row>
    <row r="661" spans="7:23" ht="12.75" customHeight="1" x14ac:dyDescent="0.25">
      <c r="G661" s="15"/>
      <c r="L661" s="16"/>
      <c r="U661" s="17"/>
      <c r="V661" s="17"/>
      <c r="W661" s="17"/>
    </row>
    <row r="662" spans="7:23" ht="12.75" customHeight="1" x14ac:dyDescent="0.25">
      <c r="G662" s="15"/>
      <c r="L662" s="16"/>
      <c r="U662" s="17"/>
      <c r="V662" s="17"/>
      <c r="W662" s="17"/>
    </row>
    <row r="663" spans="7:23" ht="12.75" customHeight="1" x14ac:dyDescent="0.25">
      <c r="G663" s="15"/>
      <c r="L663" s="16"/>
      <c r="U663" s="17"/>
      <c r="V663" s="17"/>
      <c r="W663" s="17"/>
    </row>
    <row r="664" spans="7:23" ht="12.75" customHeight="1" x14ac:dyDescent="0.25">
      <c r="G664" s="15"/>
      <c r="L664" s="16"/>
      <c r="U664" s="17"/>
      <c r="V664" s="17"/>
      <c r="W664" s="17"/>
    </row>
    <row r="665" spans="7:23" ht="12.75" customHeight="1" x14ac:dyDescent="0.25">
      <c r="G665" s="15"/>
      <c r="L665" s="16"/>
      <c r="U665" s="17"/>
      <c r="V665" s="17"/>
      <c r="W665" s="17"/>
    </row>
    <row r="666" spans="7:23" ht="12.75" customHeight="1" x14ac:dyDescent="0.25">
      <c r="G666" s="15"/>
      <c r="L666" s="16"/>
      <c r="U666" s="17"/>
      <c r="V666" s="17"/>
      <c r="W666" s="17"/>
    </row>
    <row r="667" spans="7:23" ht="12.75" customHeight="1" x14ac:dyDescent="0.25">
      <c r="G667" s="15"/>
      <c r="L667" s="16"/>
      <c r="U667" s="17"/>
      <c r="V667" s="17"/>
      <c r="W667" s="17"/>
    </row>
    <row r="668" spans="7:23" ht="12.75" customHeight="1" x14ac:dyDescent="0.25">
      <c r="G668" s="15"/>
      <c r="L668" s="16"/>
      <c r="U668" s="17"/>
      <c r="V668" s="17"/>
      <c r="W668" s="17"/>
    </row>
    <row r="669" spans="7:23" ht="12.75" customHeight="1" x14ac:dyDescent="0.25">
      <c r="G669" s="15"/>
      <c r="L669" s="16"/>
      <c r="U669" s="17"/>
      <c r="V669" s="17"/>
      <c r="W669" s="17"/>
    </row>
    <row r="670" spans="7:23" ht="12.75" customHeight="1" x14ac:dyDescent="0.25">
      <c r="G670" s="15"/>
      <c r="L670" s="16"/>
      <c r="U670" s="17"/>
      <c r="V670" s="17"/>
      <c r="W670" s="17"/>
    </row>
    <row r="671" spans="7:23" ht="12.75" customHeight="1" x14ac:dyDescent="0.25">
      <c r="G671" s="15"/>
      <c r="L671" s="16"/>
      <c r="U671" s="17"/>
      <c r="V671" s="17"/>
      <c r="W671" s="17"/>
    </row>
    <row r="672" spans="7:23" ht="12.75" customHeight="1" x14ac:dyDescent="0.25">
      <c r="G672" s="15"/>
      <c r="L672" s="16"/>
      <c r="U672" s="17"/>
      <c r="V672" s="17"/>
      <c r="W672" s="17"/>
    </row>
    <row r="673" spans="7:23" ht="12.75" customHeight="1" x14ac:dyDescent="0.25">
      <c r="G673" s="15"/>
      <c r="L673" s="16"/>
      <c r="U673" s="17"/>
      <c r="V673" s="17"/>
      <c r="W673" s="17"/>
    </row>
    <row r="674" spans="7:23" ht="12.75" customHeight="1" x14ac:dyDescent="0.25">
      <c r="G674" s="15"/>
      <c r="L674" s="16"/>
      <c r="U674" s="17"/>
      <c r="V674" s="17"/>
      <c r="W674" s="17"/>
    </row>
    <row r="675" spans="7:23" ht="12.75" customHeight="1" x14ac:dyDescent="0.25">
      <c r="G675" s="15"/>
      <c r="L675" s="16"/>
      <c r="U675" s="17"/>
      <c r="V675" s="17"/>
      <c r="W675" s="17"/>
    </row>
    <row r="676" spans="7:23" ht="12.75" customHeight="1" x14ac:dyDescent="0.25">
      <c r="G676" s="15"/>
      <c r="L676" s="16"/>
      <c r="U676" s="17"/>
      <c r="V676" s="17"/>
      <c r="W676" s="17"/>
    </row>
    <row r="677" spans="7:23" ht="12.75" customHeight="1" x14ac:dyDescent="0.25">
      <c r="G677" s="15"/>
      <c r="L677" s="16"/>
      <c r="U677" s="17"/>
      <c r="V677" s="17"/>
      <c r="W677" s="17"/>
    </row>
    <row r="678" spans="7:23" ht="12.75" customHeight="1" x14ac:dyDescent="0.25">
      <c r="G678" s="15"/>
      <c r="L678" s="16"/>
      <c r="U678" s="17"/>
      <c r="V678" s="17"/>
      <c r="W678" s="17"/>
    </row>
    <row r="679" spans="7:23" ht="12.75" customHeight="1" x14ac:dyDescent="0.25">
      <c r="G679" s="15"/>
      <c r="L679" s="16"/>
      <c r="U679" s="17"/>
      <c r="V679" s="17"/>
      <c r="W679" s="17"/>
    </row>
    <row r="680" spans="7:23" ht="12.75" customHeight="1" x14ac:dyDescent="0.25">
      <c r="G680" s="15"/>
      <c r="L680" s="16"/>
      <c r="U680" s="17"/>
      <c r="V680" s="17"/>
      <c r="W680" s="17"/>
    </row>
    <row r="681" spans="7:23" ht="12.75" customHeight="1" x14ac:dyDescent="0.25">
      <c r="G681" s="15"/>
      <c r="L681" s="16"/>
      <c r="U681" s="17"/>
      <c r="V681" s="17"/>
      <c r="W681" s="17"/>
    </row>
    <row r="682" spans="7:23" ht="12.75" customHeight="1" x14ac:dyDescent="0.25">
      <c r="G682" s="15"/>
      <c r="L682" s="16"/>
      <c r="U682" s="17"/>
      <c r="V682" s="17"/>
      <c r="W682" s="17"/>
    </row>
    <row r="683" spans="7:23" ht="12.75" customHeight="1" x14ac:dyDescent="0.25">
      <c r="G683" s="15"/>
      <c r="L683" s="16"/>
      <c r="U683" s="17"/>
      <c r="V683" s="17"/>
      <c r="W683" s="17"/>
    </row>
    <row r="684" spans="7:23" ht="12.75" customHeight="1" x14ac:dyDescent="0.25">
      <c r="G684" s="15"/>
      <c r="L684" s="16"/>
      <c r="U684" s="17"/>
      <c r="V684" s="17"/>
      <c r="W684" s="17"/>
    </row>
    <row r="685" spans="7:23" ht="12.75" customHeight="1" x14ac:dyDescent="0.25">
      <c r="G685" s="15"/>
      <c r="L685" s="16"/>
      <c r="U685" s="17"/>
      <c r="V685" s="17"/>
      <c r="W685" s="17"/>
    </row>
    <row r="686" spans="7:23" ht="12.75" customHeight="1" x14ac:dyDescent="0.25">
      <c r="G686" s="15"/>
      <c r="L686" s="16"/>
      <c r="U686" s="17"/>
      <c r="V686" s="17"/>
      <c r="W686" s="17"/>
    </row>
    <row r="687" spans="7:23" ht="12.75" customHeight="1" x14ac:dyDescent="0.25">
      <c r="G687" s="15"/>
      <c r="L687" s="16"/>
      <c r="U687" s="17"/>
      <c r="V687" s="17"/>
      <c r="W687" s="17"/>
    </row>
    <row r="688" spans="7:23" ht="12.75" customHeight="1" x14ac:dyDescent="0.25">
      <c r="G688" s="15"/>
      <c r="L688" s="16"/>
      <c r="U688" s="17"/>
      <c r="V688" s="17"/>
      <c r="W688" s="17"/>
    </row>
    <row r="689" spans="7:23" ht="12.75" customHeight="1" x14ac:dyDescent="0.25">
      <c r="G689" s="15"/>
      <c r="L689" s="16"/>
      <c r="U689" s="17"/>
      <c r="V689" s="17"/>
      <c r="W689" s="17"/>
    </row>
    <row r="690" spans="7:23" ht="12.75" customHeight="1" x14ac:dyDescent="0.25">
      <c r="G690" s="15"/>
      <c r="L690" s="16"/>
      <c r="U690" s="17"/>
      <c r="V690" s="17"/>
      <c r="W690" s="17"/>
    </row>
    <row r="691" spans="7:23" ht="12.75" customHeight="1" x14ac:dyDescent="0.25">
      <c r="G691" s="15"/>
      <c r="L691" s="16"/>
      <c r="U691" s="17"/>
      <c r="V691" s="17"/>
      <c r="W691" s="17"/>
    </row>
    <row r="692" spans="7:23" ht="12.75" customHeight="1" x14ac:dyDescent="0.25">
      <c r="G692" s="15"/>
      <c r="L692" s="16"/>
      <c r="U692" s="17"/>
      <c r="V692" s="17"/>
      <c r="W692" s="17"/>
    </row>
    <row r="693" spans="7:23" ht="12.75" customHeight="1" x14ac:dyDescent="0.25">
      <c r="G693" s="15"/>
      <c r="L693" s="16"/>
      <c r="U693" s="17"/>
      <c r="V693" s="17"/>
      <c r="W693" s="17"/>
    </row>
    <row r="694" spans="7:23" ht="12.75" customHeight="1" x14ac:dyDescent="0.25">
      <c r="G694" s="15"/>
      <c r="L694" s="16"/>
      <c r="U694" s="17"/>
      <c r="V694" s="17"/>
      <c r="W694" s="17"/>
    </row>
    <row r="695" spans="7:23" ht="12.75" customHeight="1" x14ac:dyDescent="0.25">
      <c r="G695" s="15"/>
      <c r="L695" s="16"/>
      <c r="U695" s="17"/>
      <c r="V695" s="17"/>
      <c r="W695" s="17"/>
    </row>
    <row r="696" spans="7:23" ht="12.75" customHeight="1" x14ac:dyDescent="0.25">
      <c r="G696" s="15"/>
      <c r="L696" s="16"/>
      <c r="U696" s="17"/>
      <c r="V696" s="17"/>
      <c r="W696" s="17"/>
    </row>
    <row r="697" spans="7:23" ht="12.75" customHeight="1" x14ac:dyDescent="0.25">
      <c r="G697" s="15"/>
      <c r="L697" s="16"/>
      <c r="U697" s="17"/>
      <c r="V697" s="17"/>
      <c r="W697" s="17"/>
    </row>
    <row r="698" spans="7:23" ht="12.75" customHeight="1" x14ac:dyDescent="0.25">
      <c r="G698" s="15"/>
      <c r="L698" s="16"/>
      <c r="U698" s="17"/>
      <c r="V698" s="17"/>
      <c r="W698" s="17"/>
    </row>
    <row r="699" spans="7:23" ht="12.75" customHeight="1" x14ac:dyDescent="0.25">
      <c r="G699" s="15"/>
      <c r="L699" s="16"/>
      <c r="U699" s="17"/>
      <c r="V699" s="17"/>
      <c r="W699" s="17"/>
    </row>
    <row r="700" spans="7:23" ht="12.75" customHeight="1" x14ac:dyDescent="0.25">
      <c r="G700" s="15"/>
      <c r="L700" s="16"/>
      <c r="U700" s="17"/>
      <c r="V700" s="17"/>
      <c r="W700" s="17"/>
    </row>
    <row r="701" spans="7:23" ht="12.75" customHeight="1" x14ac:dyDescent="0.25">
      <c r="G701" s="15"/>
      <c r="L701" s="16"/>
      <c r="U701" s="17"/>
      <c r="V701" s="17"/>
      <c r="W701" s="17"/>
    </row>
    <row r="702" spans="7:23" ht="12.75" customHeight="1" x14ac:dyDescent="0.25">
      <c r="G702" s="15"/>
      <c r="L702" s="16"/>
      <c r="U702" s="17"/>
      <c r="V702" s="17"/>
      <c r="W702" s="17"/>
    </row>
    <row r="703" spans="7:23" ht="12.75" customHeight="1" x14ac:dyDescent="0.25">
      <c r="G703" s="15"/>
      <c r="L703" s="16"/>
      <c r="U703" s="17"/>
      <c r="V703" s="17"/>
      <c r="W703" s="17"/>
    </row>
    <row r="704" spans="7:23" ht="12.75" customHeight="1" x14ac:dyDescent="0.25">
      <c r="G704" s="15"/>
      <c r="L704" s="16"/>
      <c r="U704" s="17"/>
      <c r="V704" s="17"/>
      <c r="W704" s="17"/>
    </row>
    <row r="705" spans="7:23" ht="12.75" customHeight="1" x14ac:dyDescent="0.25">
      <c r="G705" s="15"/>
      <c r="L705" s="16"/>
      <c r="U705" s="17"/>
      <c r="V705" s="17"/>
      <c r="W705" s="17"/>
    </row>
    <row r="706" spans="7:23" ht="12.75" customHeight="1" x14ac:dyDescent="0.25">
      <c r="G706" s="15"/>
      <c r="L706" s="16"/>
      <c r="U706" s="17"/>
      <c r="V706" s="17"/>
      <c r="W706" s="17"/>
    </row>
    <row r="707" spans="7:23" ht="12.75" customHeight="1" x14ac:dyDescent="0.25">
      <c r="G707" s="15"/>
      <c r="L707" s="16"/>
      <c r="U707" s="17"/>
      <c r="V707" s="17"/>
      <c r="W707" s="17"/>
    </row>
    <row r="708" spans="7:23" ht="12.75" customHeight="1" x14ac:dyDescent="0.25">
      <c r="G708" s="15"/>
      <c r="L708" s="16"/>
      <c r="U708" s="17"/>
      <c r="V708" s="17"/>
      <c r="W708" s="17"/>
    </row>
    <row r="709" spans="7:23" ht="12.75" customHeight="1" x14ac:dyDescent="0.25">
      <c r="G709" s="15"/>
      <c r="L709" s="16"/>
      <c r="U709" s="17"/>
      <c r="V709" s="17"/>
      <c r="W709" s="17"/>
    </row>
    <row r="710" spans="7:23" ht="12.75" customHeight="1" x14ac:dyDescent="0.25">
      <c r="G710" s="15"/>
      <c r="L710" s="16"/>
      <c r="U710" s="17"/>
      <c r="V710" s="17"/>
      <c r="W710" s="17"/>
    </row>
    <row r="711" spans="7:23" ht="12.75" customHeight="1" x14ac:dyDescent="0.25">
      <c r="G711" s="15"/>
      <c r="L711" s="16"/>
      <c r="U711" s="17"/>
      <c r="V711" s="17"/>
      <c r="W711" s="17"/>
    </row>
    <row r="712" spans="7:23" ht="12.75" customHeight="1" x14ac:dyDescent="0.25">
      <c r="G712" s="15"/>
      <c r="L712" s="16"/>
      <c r="U712" s="17"/>
      <c r="V712" s="17"/>
      <c r="W712" s="17"/>
    </row>
    <row r="713" spans="7:23" ht="12.75" customHeight="1" x14ac:dyDescent="0.25">
      <c r="G713" s="15"/>
      <c r="L713" s="16"/>
      <c r="U713" s="17"/>
      <c r="V713" s="17"/>
      <c r="W713" s="17"/>
    </row>
    <row r="714" spans="7:23" ht="12.75" customHeight="1" x14ac:dyDescent="0.25">
      <c r="G714" s="15"/>
      <c r="L714" s="16"/>
      <c r="U714" s="17"/>
      <c r="V714" s="17"/>
      <c r="W714" s="17"/>
    </row>
    <row r="715" spans="7:23" ht="12.75" customHeight="1" x14ac:dyDescent="0.25">
      <c r="G715" s="15"/>
      <c r="L715" s="16"/>
      <c r="U715" s="17"/>
      <c r="V715" s="17"/>
      <c r="W715" s="17"/>
    </row>
    <row r="716" spans="7:23" ht="12.75" customHeight="1" x14ac:dyDescent="0.25">
      <c r="G716" s="15"/>
      <c r="L716" s="16"/>
      <c r="U716" s="17"/>
      <c r="V716" s="17"/>
      <c r="W716" s="17"/>
    </row>
    <row r="717" spans="7:23" ht="12.75" customHeight="1" x14ac:dyDescent="0.25">
      <c r="G717" s="15"/>
      <c r="L717" s="16"/>
      <c r="U717" s="17"/>
      <c r="V717" s="17"/>
      <c r="W717" s="17"/>
    </row>
    <row r="718" spans="7:23" ht="12.75" customHeight="1" x14ac:dyDescent="0.25">
      <c r="G718" s="15"/>
      <c r="L718" s="16"/>
      <c r="U718" s="17"/>
      <c r="V718" s="17"/>
      <c r="W718" s="17"/>
    </row>
    <row r="719" spans="7:23" ht="12.75" customHeight="1" x14ac:dyDescent="0.25">
      <c r="G719" s="15"/>
      <c r="L719" s="16"/>
      <c r="U719" s="17"/>
      <c r="V719" s="17"/>
      <c r="W719" s="17"/>
    </row>
    <row r="720" spans="7:23" ht="12.75" customHeight="1" x14ac:dyDescent="0.25">
      <c r="G720" s="15"/>
      <c r="L720" s="16"/>
      <c r="U720" s="17"/>
      <c r="V720" s="17"/>
      <c r="W720" s="17"/>
    </row>
    <row r="721" spans="7:23" ht="12.75" customHeight="1" x14ac:dyDescent="0.25">
      <c r="G721" s="15"/>
      <c r="L721" s="16"/>
      <c r="U721" s="17"/>
      <c r="V721" s="17"/>
      <c r="W721" s="17"/>
    </row>
    <row r="722" spans="7:23" ht="12.75" customHeight="1" x14ac:dyDescent="0.25">
      <c r="G722" s="15"/>
      <c r="L722" s="16"/>
      <c r="U722" s="17"/>
      <c r="V722" s="17"/>
      <c r="W722" s="17"/>
    </row>
    <row r="723" spans="7:23" ht="12.75" customHeight="1" x14ac:dyDescent="0.25">
      <c r="G723" s="15"/>
      <c r="L723" s="16"/>
      <c r="U723" s="17"/>
      <c r="V723" s="17"/>
      <c r="W723" s="17"/>
    </row>
    <row r="724" spans="7:23" ht="12.75" customHeight="1" x14ac:dyDescent="0.25">
      <c r="G724" s="15"/>
      <c r="L724" s="16"/>
      <c r="U724" s="17"/>
      <c r="V724" s="17"/>
      <c r="W724" s="17"/>
    </row>
    <row r="725" spans="7:23" ht="12.75" customHeight="1" x14ac:dyDescent="0.25">
      <c r="G725" s="15"/>
      <c r="L725" s="16"/>
      <c r="U725" s="17"/>
      <c r="V725" s="17"/>
      <c r="W725" s="17"/>
    </row>
    <row r="726" spans="7:23" ht="12.75" customHeight="1" x14ac:dyDescent="0.25">
      <c r="G726" s="15"/>
      <c r="L726" s="16"/>
      <c r="U726" s="17"/>
      <c r="V726" s="17"/>
      <c r="W726" s="17"/>
    </row>
    <row r="727" spans="7:23" ht="12.75" customHeight="1" x14ac:dyDescent="0.25">
      <c r="G727" s="15"/>
      <c r="L727" s="16"/>
      <c r="U727" s="17"/>
      <c r="V727" s="17"/>
      <c r="W727" s="17"/>
    </row>
    <row r="728" spans="7:23" ht="12.75" customHeight="1" x14ac:dyDescent="0.25">
      <c r="G728" s="15"/>
      <c r="L728" s="16"/>
      <c r="U728" s="17"/>
      <c r="V728" s="17"/>
      <c r="W728" s="17"/>
    </row>
    <row r="729" spans="7:23" ht="12.75" customHeight="1" x14ac:dyDescent="0.25">
      <c r="G729" s="15"/>
      <c r="L729" s="16"/>
      <c r="U729" s="17"/>
      <c r="V729" s="17"/>
      <c r="W729" s="17"/>
    </row>
    <row r="730" spans="7:23" ht="12.75" customHeight="1" x14ac:dyDescent="0.25">
      <c r="G730" s="15"/>
      <c r="L730" s="16"/>
      <c r="U730" s="17"/>
      <c r="V730" s="17"/>
      <c r="W730" s="17"/>
    </row>
    <row r="731" spans="7:23" ht="12.75" customHeight="1" x14ac:dyDescent="0.25">
      <c r="G731" s="15"/>
      <c r="L731" s="16"/>
      <c r="U731" s="17"/>
      <c r="V731" s="17"/>
      <c r="W731" s="17"/>
    </row>
    <row r="732" spans="7:23" ht="12.75" customHeight="1" x14ac:dyDescent="0.25">
      <c r="G732" s="15"/>
      <c r="L732" s="16"/>
      <c r="U732" s="17"/>
      <c r="V732" s="17"/>
      <c r="W732" s="17"/>
    </row>
    <row r="733" spans="7:23" ht="12.75" customHeight="1" x14ac:dyDescent="0.25">
      <c r="G733" s="15"/>
      <c r="L733" s="16"/>
      <c r="U733" s="17"/>
      <c r="V733" s="17"/>
      <c r="W733" s="17"/>
    </row>
    <row r="734" spans="7:23" ht="12.75" customHeight="1" x14ac:dyDescent="0.25">
      <c r="G734" s="15"/>
      <c r="L734" s="16"/>
      <c r="U734" s="17"/>
      <c r="V734" s="17"/>
      <c r="W734" s="17"/>
    </row>
    <row r="735" spans="7:23" ht="12.75" customHeight="1" x14ac:dyDescent="0.25">
      <c r="G735" s="15"/>
      <c r="L735" s="16"/>
      <c r="U735" s="17"/>
      <c r="V735" s="17"/>
      <c r="W735" s="17"/>
    </row>
    <row r="736" spans="7:23" ht="12.75" customHeight="1" x14ac:dyDescent="0.25">
      <c r="G736" s="15"/>
      <c r="L736" s="16"/>
      <c r="U736" s="17"/>
      <c r="V736" s="17"/>
      <c r="W736" s="17"/>
    </row>
    <row r="737" spans="7:23" ht="12.75" customHeight="1" x14ac:dyDescent="0.25">
      <c r="G737" s="15"/>
      <c r="L737" s="16"/>
      <c r="U737" s="17"/>
      <c r="V737" s="17"/>
      <c r="W737" s="17"/>
    </row>
    <row r="738" spans="7:23" ht="12.75" customHeight="1" x14ac:dyDescent="0.25">
      <c r="G738" s="15"/>
      <c r="L738" s="16"/>
      <c r="U738" s="17"/>
      <c r="V738" s="17"/>
      <c r="W738" s="17"/>
    </row>
    <row r="739" spans="7:23" ht="12.75" customHeight="1" x14ac:dyDescent="0.25">
      <c r="G739" s="15"/>
      <c r="L739" s="16"/>
      <c r="U739" s="17"/>
      <c r="V739" s="17"/>
      <c r="W739" s="17"/>
    </row>
    <row r="740" spans="7:23" ht="12.75" customHeight="1" x14ac:dyDescent="0.25">
      <c r="G740" s="15"/>
      <c r="L740" s="16"/>
      <c r="U740" s="17"/>
      <c r="V740" s="17"/>
      <c r="W740" s="17"/>
    </row>
    <row r="741" spans="7:23" ht="12.75" customHeight="1" x14ac:dyDescent="0.25">
      <c r="G741" s="15"/>
      <c r="L741" s="16"/>
      <c r="U741" s="17"/>
      <c r="V741" s="17"/>
      <c r="W741" s="17"/>
    </row>
    <row r="742" spans="7:23" ht="12.75" customHeight="1" x14ac:dyDescent="0.25">
      <c r="G742" s="15"/>
      <c r="L742" s="16"/>
      <c r="U742" s="17"/>
      <c r="V742" s="17"/>
      <c r="W742" s="17"/>
    </row>
    <row r="743" spans="7:23" ht="12.75" customHeight="1" x14ac:dyDescent="0.25">
      <c r="G743" s="15"/>
      <c r="L743" s="16"/>
      <c r="U743" s="17"/>
      <c r="V743" s="17"/>
      <c r="W743" s="17"/>
    </row>
    <row r="744" spans="7:23" ht="12.75" customHeight="1" x14ac:dyDescent="0.25">
      <c r="G744" s="15"/>
      <c r="L744" s="16"/>
      <c r="U744" s="17"/>
      <c r="V744" s="17"/>
      <c r="W744" s="17"/>
    </row>
    <row r="745" spans="7:23" ht="12.75" customHeight="1" x14ac:dyDescent="0.25">
      <c r="G745" s="15"/>
      <c r="L745" s="16"/>
      <c r="U745" s="17"/>
      <c r="V745" s="17"/>
      <c r="W745" s="17"/>
    </row>
    <row r="746" spans="7:23" ht="12.75" customHeight="1" x14ac:dyDescent="0.25">
      <c r="G746" s="15"/>
      <c r="L746" s="16"/>
      <c r="U746" s="17"/>
      <c r="V746" s="17"/>
      <c r="W746" s="17"/>
    </row>
    <row r="747" spans="7:23" ht="12.75" customHeight="1" x14ac:dyDescent="0.25">
      <c r="G747" s="15"/>
      <c r="L747" s="16"/>
      <c r="U747" s="17"/>
      <c r="V747" s="17"/>
      <c r="W747" s="17"/>
    </row>
    <row r="748" spans="7:23" ht="12.75" customHeight="1" x14ac:dyDescent="0.25">
      <c r="G748" s="15"/>
      <c r="L748" s="16"/>
      <c r="U748" s="17"/>
      <c r="V748" s="17"/>
      <c r="W748" s="17"/>
    </row>
    <row r="749" spans="7:23" ht="12.75" customHeight="1" x14ac:dyDescent="0.25">
      <c r="G749" s="15"/>
      <c r="L749" s="16"/>
      <c r="U749" s="17"/>
      <c r="V749" s="17"/>
      <c r="W749" s="17"/>
    </row>
    <row r="750" spans="7:23" ht="12.75" customHeight="1" x14ac:dyDescent="0.25">
      <c r="G750" s="15"/>
      <c r="L750" s="16"/>
      <c r="U750" s="17"/>
      <c r="V750" s="17"/>
      <c r="W750" s="17"/>
    </row>
    <row r="751" spans="7:23" ht="12.75" customHeight="1" x14ac:dyDescent="0.25">
      <c r="G751" s="15"/>
      <c r="L751" s="16"/>
      <c r="U751" s="17"/>
      <c r="V751" s="17"/>
      <c r="W751" s="17"/>
    </row>
    <row r="752" spans="7:23" ht="12.75" customHeight="1" x14ac:dyDescent="0.25">
      <c r="G752" s="15"/>
      <c r="L752" s="16"/>
      <c r="U752" s="17"/>
      <c r="V752" s="17"/>
      <c r="W752" s="17"/>
    </row>
    <row r="753" spans="7:23" ht="12.75" customHeight="1" x14ac:dyDescent="0.25">
      <c r="G753" s="15"/>
      <c r="L753" s="16"/>
      <c r="U753" s="17"/>
      <c r="V753" s="17"/>
      <c r="W753" s="17"/>
    </row>
    <row r="754" spans="7:23" ht="12.75" customHeight="1" x14ac:dyDescent="0.25">
      <c r="G754" s="15"/>
      <c r="L754" s="16"/>
      <c r="U754" s="17"/>
      <c r="V754" s="17"/>
      <c r="W754" s="17"/>
    </row>
    <row r="755" spans="7:23" ht="12.75" customHeight="1" x14ac:dyDescent="0.25">
      <c r="G755" s="15"/>
      <c r="L755" s="16"/>
      <c r="U755" s="17"/>
      <c r="V755" s="17"/>
      <c r="W755" s="17"/>
    </row>
    <row r="756" spans="7:23" ht="12.75" customHeight="1" x14ac:dyDescent="0.25">
      <c r="G756" s="15"/>
      <c r="L756" s="16"/>
      <c r="U756" s="17"/>
      <c r="V756" s="17"/>
      <c r="W756" s="17"/>
    </row>
    <row r="757" spans="7:23" ht="12.75" customHeight="1" x14ac:dyDescent="0.25">
      <c r="G757" s="15"/>
      <c r="L757" s="16"/>
      <c r="U757" s="17"/>
      <c r="V757" s="17"/>
      <c r="W757" s="17"/>
    </row>
    <row r="758" spans="7:23" ht="12.75" customHeight="1" x14ac:dyDescent="0.25">
      <c r="G758" s="15"/>
      <c r="L758" s="16"/>
      <c r="U758" s="17"/>
      <c r="V758" s="17"/>
      <c r="W758" s="17"/>
    </row>
    <row r="759" spans="7:23" ht="12.75" customHeight="1" x14ac:dyDescent="0.25">
      <c r="G759" s="15"/>
      <c r="L759" s="16"/>
      <c r="U759" s="17"/>
      <c r="V759" s="17"/>
      <c r="W759" s="17"/>
    </row>
    <row r="760" spans="7:23" ht="12.75" customHeight="1" x14ac:dyDescent="0.25">
      <c r="G760" s="15"/>
      <c r="L760" s="16"/>
      <c r="U760" s="17"/>
      <c r="V760" s="17"/>
      <c r="W760" s="17"/>
    </row>
    <row r="761" spans="7:23" ht="12.75" customHeight="1" x14ac:dyDescent="0.25">
      <c r="G761" s="15"/>
      <c r="L761" s="16"/>
      <c r="U761" s="17"/>
      <c r="V761" s="17"/>
      <c r="W761" s="17"/>
    </row>
    <row r="762" spans="7:23" ht="12.75" customHeight="1" x14ac:dyDescent="0.25">
      <c r="G762" s="15"/>
      <c r="L762" s="16"/>
      <c r="U762" s="17"/>
      <c r="V762" s="17"/>
      <c r="W762" s="17"/>
    </row>
    <row r="763" spans="7:23" ht="12.75" customHeight="1" x14ac:dyDescent="0.25">
      <c r="G763" s="15"/>
      <c r="L763" s="16"/>
      <c r="U763" s="17"/>
      <c r="V763" s="17"/>
      <c r="W763" s="17"/>
    </row>
    <row r="764" spans="7:23" ht="12.75" customHeight="1" x14ac:dyDescent="0.25">
      <c r="G764" s="15"/>
      <c r="L764" s="16"/>
      <c r="U764" s="17"/>
      <c r="V764" s="17"/>
      <c r="W764" s="17"/>
    </row>
    <row r="765" spans="7:23" ht="12.75" customHeight="1" x14ac:dyDescent="0.25">
      <c r="G765" s="15"/>
      <c r="L765" s="16"/>
      <c r="U765" s="17"/>
      <c r="V765" s="17"/>
      <c r="W765" s="17"/>
    </row>
    <row r="766" spans="7:23" ht="12.75" customHeight="1" x14ac:dyDescent="0.25">
      <c r="G766" s="15"/>
      <c r="L766" s="16"/>
      <c r="U766" s="17"/>
      <c r="V766" s="17"/>
      <c r="W766" s="17"/>
    </row>
    <row r="767" spans="7:23" ht="12.75" customHeight="1" x14ac:dyDescent="0.25">
      <c r="G767" s="15"/>
      <c r="L767" s="16"/>
      <c r="U767" s="17"/>
      <c r="V767" s="17"/>
      <c r="W767" s="17"/>
    </row>
    <row r="768" spans="7:23" ht="12.75" customHeight="1" x14ac:dyDescent="0.25">
      <c r="G768" s="15"/>
      <c r="L768" s="16"/>
      <c r="U768" s="17"/>
      <c r="V768" s="17"/>
      <c r="W768" s="17"/>
    </row>
    <row r="769" spans="7:23" ht="12.75" customHeight="1" x14ac:dyDescent="0.25">
      <c r="G769" s="15"/>
      <c r="L769" s="16"/>
      <c r="U769" s="17"/>
      <c r="V769" s="17"/>
      <c r="W769" s="17"/>
    </row>
    <row r="770" spans="7:23" ht="12.75" customHeight="1" x14ac:dyDescent="0.25">
      <c r="G770" s="15"/>
      <c r="L770" s="16"/>
      <c r="U770" s="17"/>
      <c r="V770" s="17"/>
      <c r="W770" s="17"/>
    </row>
    <row r="771" spans="7:23" ht="12.75" customHeight="1" x14ac:dyDescent="0.25">
      <c r="G771" s="15"/>
      <c r="L771" s="16"/>
      <c r="U771" s="17"/>
      <c r="V771" s="17"/>
      <c r="W771" s="17"/>
    </row>
    <row r="772" spans="7:23" ht="12.75" customHeight="1" x14ac:dyDescent="0.25">
      <c r="G772" s="15"/>
      <c r="L772" s="16"/>
      <c r="U772" s="17"/>
      <c r="V772" s="17"/>
      <c r="W772" s="17"/>
    </row>
    <row r="773" spans="7:23" ht="12.75" customHeight="1" x14ac:dyDescent="0.25">
      <c r="G773" s="15"/>
      <c r="L773" s="16"/>
      <c r="U773" s="17"/>
      <c r="V773" s="17"/>
      <c r="W773" s="17"/>
    </row>
    <row r="774" spans="7:23" ht="12.75" customHeight="1" x14ac:dyDescent="0.25">
      <c r="G774" s="15"/>
      <c r="L774" s="16"/>
      <c r="U774" s="17"/>
      <c r="V774" s="17"/>
      <c r="W774" s="17"/>
    </row>
    <row r="775" spans="7:23" ht="12.75" customHeight="1" x14ac:dyDescent="0.25">
      <c r="G775" s="15"/>
      <c r="L775" s="16"/>
      <c r="U775" s="17"/>
      <c r="V775" s="17"/>
      <c r="W775" s="17"/>
    </row>
    <row r="776" spans="7:23" ht="12.75" customHeight="1" x14ac:dyDescent="0.25">
      <c r="G776" s="15"/>
      <c r="L776" s="16"/>
      <c r="U776" s="17"/>
      <c r="V776" s="17"/>
      <c r="W776" s="17"/>
    </row>
    <row r="777" spans="7:23" ht="12.75" customHeight="1" x14ac:dyDescent="0.25">
      <c r="G777" s="15"/>
      <c r="L777" s="16"/>
      <c r="U777" s="17"/>
      <c r="V777" s="17"/>
      <c r="W777" s="17"/>
    </row>
    <row r="778" spans="7:23" ht="12.75" customHeight="1" x14ac:dyDescent="0.25">
      <c r="G778" s="15"/>
      <c r="L778" s="16"/>
      <c r="U778" s="17"/>
      <c r="V778" s="17"/>
      <c r="W778" s="17"/>
    </row>
    <row r="779" spans="7:23" ht="12.75" customHeight="1" x14ac:dyDescent="0.25">
      <c r="G779" s="15"/>
      <c r="L779" s="16"/>
      <c r="U779" s="17"/>
      <c r="V779" s="17"/>
      <c r="W779" s="17"/>
    </row>
    <row r="780" spans="7:23" ht="12.75" customHeight="1" x14ac:dyDescent="0.25">
      <c r="G780" s="15"/>
      <c r="L780" s="16"/>
      <c r="U780" s="17"/>
      <c r="V780" s="17"/>
      <c r="W780" s="17"/>
    </row>
    <row r="781" spans="7:23" ht="12.75" customHeight="1" x14ac:dyDescent="0.25">
      <c r="G781" s="15"/>
      <c r="L781" s="16"/>
      <c r="U781" s="17"/>
      <c r="V781" s="17"/>
      <c r="W781" s="17"/>
    </row>
    <row r="782" spans="7:23" ht="12.75" customHeight="1" x14ac:dyDescent="0.25">
      <c r="G782" s="15"/>
      <c r="L782" s="16"/>
      <c r="U782" s="17"/>
      <c r="V782" s="17"/>
      <c r="W782" s="17"/>
    </row>
    <row r="783" spans="7:23" ht="12.75" customHeight="1" x14ac:dyDescent="0.25">
      <c r="G783" s="15"/>
      <c r="L783" s="16"/>
      <c r="U783" s="17"/>
      <c r="V783" s="17"/>
      <c r="W783" s="17"/>
    </row>
    <row r="784" spans="7:23" ht="12.75" customHeight="1" x14ac:dyDescent="0.25">
      <c r="G784" s="15"/>
      <c r="L784" s="16"/>
      <c r="U784" s="17"/>
      <c r="V784" s="17"/>
      <c r="W784" s="17"/>
    </row>
    <row r="785" spans="7:23" ht="12.75" customHeight="1" x14ac:dyDescent="0.25">
      <c r="G785" s="15"/>
      <c r="L785" s="16"/>
      <c r="U785" s="17"/>
      <c r="V785" s="17"/>
      <c r="W785" s="17"/>
    </row>
    <row r="786" spans="7:23" ht="12.75" customHeight="1" x14ac:dyDescent="0.25">
      <c r="G786" s="15"/>
      <c r="L786" s="16"/>
      <c r="U786" s="17"/>
      <c r="V786" s="17"/>
      <c r="W786" s="17"/>
    </row>
    <row r="787" spans="7:23" ht="12.75" customHeight="1" x14ac:dyDescent="0.25">
      <c r="G787" s="15"/>
      <c r="L787" s="16"/>
      <c r="U787" s="17"/>
      <c r="V787" s="17"/>
      <c r="W787" s="17"/>
    </row>
    <row r="788" spans="7:23" ht="12.75" customHeight="1" x14ac:dyDescent="0.25">
      <c r="G788" s="15"/>
      <c r="L788" s="16"/>
      <c r="U788" s="17"/>
      <c r="V788" s="17"/>
      <c r="W788" s="17"/>
    </row>
    <row r="789" spans="7:23" ht="12.75" customHeight="1" x14ac:dyDescent="0.25">
      <c r="G789" s="15"/>
      <c r="L789" s="16"/>
      <c r="U789" s="17"/>
      <c r="V789" s="17"/>
      <c r="W789" s="17"/>
    </row>
    <row r="790" spans="7:23" ht="12.75" customHeight="1" x14ac:dyDescent="0.25">
      <c r="G790" s="15"/>
      <c r="L790" s="16"/>
      <c r="U790" s="17"/>
      <c r="V790" s="17"/>
      <c r="W790" s="17"/>
    </row>
    <row r="791" spans="7:23" ht="12.75" customHeight="1" x14ac:dyDescent="0.25">
      <c r="G791" s="15"/>
      <c r="L791" s="16"/>
      <c r="U791" s="17"/>
      <c r="V791" s="17"/>
      <c r="W791" s="17"/>
    </row>
    <row r="792" spans="7:23" ht="12.75" customHeight="1" x14ac:dyDescent="0.25">
      <c r="G792" s="15"/>
      <c r="L792" s="16"/>
      <c r="U792" s="17"/>
      <c r="V792" s="17"/>
      <c r="W792" s="17"/>
    </row>
    <row r="793" spans="7:23" ht="12.75" customHeight="1" x14ac:dyDescent="0.25">
      <c r="G793" s="15"/>
      <c r="L793" s="16"/>
      <c r="U793" s="17"/>
      <c r="V793" s="17"/>
      <c r="W793" s="17"/>
    </row>
    <row r="794" spans="7:23" ht="12.75" customHeight="1" x14ac:dyDescent="0.25">
      <c r="G794" s="15"/>
      <c r="L794" s="16"/>
      <c r="U794" s="17"/>
      <c r="V794" s="17"/>
      <c r="W794" s="17"/>
    </row>
    <row r="795" spans="7:23" ht="12.75" customHeight="1" x14ac:dyDescent="0.25">
      <c r="G795" s="15"/>
      <c r="L795" s="16"/>
      <c r="U795" s="17"/>
      <c r="V795" s="17"/>
      <c r="W795" s="17"/>
    </row>
    <row r="796" spans="7:23" ht="12.75" customHeight="1" x14ac:dyDescent="0.25">
      <c r="G796" s="15"/>
      <c r="L796" s="16"/>
      <c r="U796" s="17"/>
      <c r="V796" s="17"/>
      <c r="W796" s="17"/>
    </row>
    <row r="797" spans="7:23" ht="12.75" customHeight="1" x14ac:dyDescent="0.25">
      <c r="G797" s="15"/>
      <c r="L797" s="16"/>
      <c r="U797" s="17"/>
      <c r="V797" s="17"/>
      <c r="W797" s="17"/>
    </row>
    <row r="798" spans="7:23" ht="12.75" customHeight="1" x14ac:dyDescent="0.25">
      <c r="G798" s="15"/>
      <c r="L798" s="16"/>
      <c r="U798" s="17"/>
      <c r="V798" s="17"/>
      <c r="W798" s="17"/>
    </row>
    <row r="799" spans="7:23" ht="12.75" customHeight="1" x14ac:dyDescent="0.25">
      <c r="G799" s="15"/>
      <c r="L799" s="16"/>
      <c r="U799" s="17"/>
      <c r="V799" s="17"/>
      <c r="W799" s="17"/>
    </row>
    <row r="800" spans="7:23" ht="12.75" customHeight="1" x14ac:dyDescent="0.25">
      <c r="G800" s="15"/>
      <c r="L800" s="16"/>
      <c r="U800" s="17"/>
      <c r="V800" s="17"/>
      <c r="W800" s="17"/>
    </row>
    <row r="801" spans="7:23" ht="12.75" customHeight="1" x14ac:dyDescent="0.25">
      <c r="G801" s="15"/>
      <c r="L801" s="16"/>
      <c r="U801" s="17"/>
      <c r="V801" s="17"/>
      <c r="W801" s="17"/>
    </row>
    <row r="802" spans="7:23" ht="12.75" customHeight="1" x14ac:dyDescent="0.25">
      <c r="G802" s="15"/>
      <c r="L802" s="16"/>
      <c r="U802" s="17"/>
      <c r="V802" s="17"/>
      <c r="W802" s="17"/>
    </row>
    <row r="803" spans="7:23" ht="12.75" customHeight="1" x14ac:dyDescent="0.25">
      <c r="G803" s="15"/>
      <c r="L803" s="16"/>
      <c r="U803" s="17"/>
      <c r="V803" s="17"/>
      <c r="W803" s="17"/>
    </row>
    <row r="804" spans="7:23" ht="12.75" customHeight="1" x14ac:dyDescent="0.25">
      <c r="G804" s="15"/>
      <c r="L804" s="16"/>
      <c r="U804" s="17"/>
      <c r="V804" s="17"/>
      <c r="W804" s="17"/>
    </row>
    <row r="805" spans="7:23" ht="12.75" customHeight="1" x14ac:dyDescent="0.25">
      <c r="G805" s="15"/>
      <c r="L805" s="16"/>
      <c r="U805" s="17"/>
      <c r="V805" s="17"/>
      <c r="W805" s="17"/>
    </row>
    <row r="806" spans="7:23" ht="12.75" customHeight="1" x14ac:dyDescent="0.25">
      <c r="G806" s="15"/>
      <c r="L806" s="16"/>
      <c r="U806" s="17"/>
      <c r="V806" s="17"/>
      <c r="W806" s="17"/>
    </row>
    <row r="807" spans="7:23" ht="12.75" customHeight="1" x14ac:dyDescent="0.25">
      <c r="G807" s="15"/>
      <c r="L807" s="16"/>
      <c r="U807" s="17"/>
      <c r="V807" s="17"/>
      <c r="W807" s="17"/>
    </row>
    <row r="808" spans="7:23" ht="12.75" customHeight="1" x14ac:dyDescent="0.25">
      <c r="G808" s="15"/>
      <c r="L808" s="16"/>
      <c r="U808" s="17"/>
      <c r="V808" s="17"/>
      <c r="W808" s="17"/>
    </row>
    <row r="809" spans="7:23" ht="12.75" customHeight="1" x14ac:dyDescent="0.25">
      <c r="G809" s="15"/>
      <c r="L809" s="16"/>
      <c r="U809" s="17"/>
      <c r="V809" s="17"/>
      <c r="W809" s="17"/>
    </row>
    <row r="810" spans="7:23" ht="12.75" customHeight="1" x14ac:dyDescent="0.25">
      <c r="G810" s="15"/>
      <c r="L810" s="16"/>
      <c r="U810" s="17"/>
      <c r="V810" s="17"/>
      <c r="W810" s="17"/>
    </row>
    <row r="811" spans="7:23" ht="12.75" customHeight="1" x14ac:dyDescent="0.25">
      <c r="G811" s="15"/>
      <c r="L811" s="16"/>
      <c r="U811" s="17"/>
      <c r="V811" s="17"/>
      <c r="W811" s="17"/>
    </row>
    <row r="812" spans="7:23" ht="12.75" customHeight="1" x14ac:dyDescent="0.25">
      <c r="G812" s="15"/>
      <c r="L812" s="16"/>
      <c r="U812" s="17"/>
      <c r="V812" s="17"/>
      <c r="W812" s="17"/>
    </row>
    <row r="813" spans="7:23" ht="12.75" customHeight="1" x14ac:dyDescent="0.25">
      <c r="G813" s="15"/>
      <c r="L813" s="16"/>
      <c r="U813" s="17"/>
      <c r="V813" s="17"/>
      <c r="W813" s="17"/>
    </row>
    <row r="814" spans="7:23" ht="12.75" customHeight="1" x14ac:dyDescent="0.25">
      <c r="G814" s="15"/>
      <c r="L814" s="16"/>
      <c r="U814" s="17"/>
      <c r="V814" s="17"/>
      <c r="W814" s="17"/>
    </row>
    <row r="815" spans="7:23" ht="12.75" customHeight="1" x14ac:dyDescent="0.25">
      <c r="G815" s="15"/>
      <c r="L815" s="16"/>
      <c r="U815" s="17"/>
      <c r="V815" s="17"/>
      <c r="W815" s="17"/>
    </row>
    <row r="816" spans="7:23" ht="12.75" customHeight="1" x14ac:dyDescent="0.25">
      <c r="G816" s="15"/>
      <c r="L816" s="16"/>
      <c r="U816" s="17"/>
      <c r="V816" s="17"/>
      <c r="W816" s="17"/>
    </row>
    <row r="817" spans="7:23" ht="12.75" customHeight="1" x14ac:dyDescent="0.25">
      <c r="G817" s="15"/>
      <c r="L817" s="16"/>
      <c r="U817" s="17"/>
      <c r="V817" s="17"/>
      <c r="W817" s="17"/>
    </row>
    <row r="818" spans="7:23" ht="12.75" customHeight="1" x14ac:dyDescent="0.25">
      <c r="G818" s="15"/>
      <c r="L818" s="16"/>
      <c r="U818" s="17"/>
      <c r="V818" s="17"/>
      <c r="W818" s="17"/>
    </row>
    <row r="819" spans="7:23" ht="12.75" customHeight="1" x14ac:dyDescent="0.25">
      <c r="G819" s="15"/>
      <c r="L819" s="16"/>
      <c r="U819" s="17"/>
      <c r="V819" s="17"/>
      <c r="W819" s="17"/>
    </row>
    <row r="820" spans="7:23" ht="12.75" customHeight="1" x14ac:dyDescent="0.25">
      <c r="G820" s="15"/>
      <c r="L820" s="16"/>
      <c r="U820" s="17"/>
      <c r="V820" s="17"/>
      <c r="W820" s="17"/>
    </row>
    <row r="821" spans="7:23" ht="12.75" customHeight="1" x14ac:dyDescent="0.25">
      <c r="G821" s="15"/>
      <c r="L821" s="16"/>
      <c r="U821" s="17"/>
      <c r="V821" s="17"/>
      <c r="W821" s="17"/>
    </row>
    <row r="822" spans="7:23" ht="12.75" customHeight="1" x14ac:dyDescent="0.25">
      <c r="G822" s="15"/>
      <c r="L822" s="16"/>
      <c r="U822" s="17"/>
      <c r="V822" s="17"/>
      <c r="W822" s="17"/>
    </row>
    <row r="823" spans="7:23" ht="12.75" customHeight="1" x14ac:dyDescent="0.25">
      <c r="G823" s="15"/>
      <c r="L823" s="16"/>
      <c r="U823" s="17"/>
      <c r="V823" s="17"/>
      <c r="W823" s="17"/>
    </row>
    <row r="824" spans="7:23" ht="12.75" customHeight="1" x14ac:dyDescent="0.25">
      <c r="G824" s="15"/>
      <c r="L824" s="16"/>
      <c r="U824" s="17"/>
      <c r="V824" s="17"/>
      <c r="W824" s="17"/>
    </row>
    <row r="825" spans="7:23" ht="12.75" customHeight="1" x14ac:dyDescent="0.25">
      <c r="G825" s="15"/>
      <c r="L825" s="16"/>
      <c r="U825" s="17"/>
      <c r="V825" s="17"/>
      <c r="W825" s="17"/>
    </row>
    <row r="826" spans="7:23" ht="12.75" customHeight="1" x14ac:dyDescent="0.25">
      <c r="G826" s="15"/>
      <c r="L826" s="16"/>
      <c r="U826" s="17"/>
      <c r="V826" s="17"/>
      <c r="W826" s="17"/>
    </row>
    <row r="827" spans="7:23" ht="12.75" customHeight="1" x14ac:dyDescent="0.25">
      <c r="G827" s="15"/>
      <c r="L827" s="16"/>
      <c r="U827" s="17"/>
      <c r="V827" s="17"/>
      <c r="W827" s="17"/>
    </row>
    <row r="828" spans="7:23" ht="12.75" customHeight="1" x14ac:dyDescent="0.25">
      <c r="G828" s="15"/>
      <c r="L828" s="16"/>
      <c r="U828" s="17"/>
      <c r="V828" s="17"/>
      <c r="W828" s="17"/>
    </row>
    <row r="829" spans="7:23" ht="12.75" customHeight="1" x14ac:dyDescent="0.25">
      <c r="G829" s="15"/>
      <c r="L829" s="16"/>
      <c r="U829" s="17"/>
      <c r="V829" s="17"/>
      <c r="W829" s="17"/>
    </row>
    <row r="830" spans="7:23" ht="12.75" customHeight="1" x14ac:dyDescent="0.25">
      <c r="G830" s="15"/>
      <c r="L830" s="16"/>
      <c r="U830" s="17"/>
      <c r="V830" s="17"/>
      <c r="W830" s="17"/>
    </row>
    <row r="831" spans="7:23" ht="12.75" customHeight="1" x14ac:dyDescent="0.25">
      <c r="G831" s="15"/>
      <c r="L831" s="16"/>
      <c r="U831" s="17"/>
      <c r="V831" s="17"/>
      <c r="W831" s="17"/>
    </row>
    <row r="832" spans="7:23" ht="12.75" customHeight="1" x14ac:dyDescent="0.25">
      <c r="G832" s="15"/>
      <c r="L832" s="16"/>
      <c r="U832" s="17"/>
      <c r="V832" s="17"/>
      <c r="W832" s="17"/>
    </row>
    <row r="833" spans="7:23" ht="12.75" customHeight="1" x14ac:dyDescent="0.25">
      <c r="G833" s="15"/>
      <c r="L833" s="16"/>
      <c r="U833" s="17"/>
      <c r="V833" s="17"/>
      <c r="W833" s="17"/>
    </row>
    <row r="834" spans="7:23" ht="12.75" customHeight="1" x14ac:dyDescent="0.25">
      <c r="G834" s="15"/>
      <c r="L834" s="16"/>
      <c r="U834" s="17"/>
      <c r="V834" s="17"/>
      <c r="W834" s="17"/>
    </row>
    <row r="835" spans="7:23" ht="12.75" customHeight="1" x14ac:dyDescent="0.25">
      <c r="G835" s="15"/>
      <c r="L835" s="16"/>
      <c r="U835" s="17"/>
      <c r="V835" s="17"/>
      <c r="W835" s="17"/>
    </row>
    <row r="836" spans="7:23" ht="12.75" customHeight="1" x14ac:dyDescent="0.25">
      <c r="G836" s="15"/>
      <c r="L836" s="16"/>
      <c r="U836" s="17"/>
      <c r="V836" s="17"/>
      <c r="W836" s="17"/>
    </row>
    <row r="837" spans="7:23" ht="12.75" customHeight="1" x14ac:dyDescent="0.25">
      <c r="G837" s="15"/>
      <c r="L837" s="16"/>
      <c r="U837" s="17"/>
      <c r="V837" s="17"/>
      <c r="W837" s="17"/>
    </row>
    <row r="838" spans="7:23" ht="12.75" customHeight="1" x14ac:dyDescent="0.25">
      <c r="G838" s="15"/>
      <c r="L838" s="16"/>
      <c r="U838" s="17"/>
      <c r="V838" s="17"/>
      <c r="W838" s="17"/>
    </row>
    <row r="839" spans="7:23" ht="12.75" customHeight="1" x14ac:dyDescent="0.25">
      <c r="G839" s="15"/>
      <c r="L839" s="16"/>
      <c r="U839" s="17"/>
      <c r="V839" s="17"/>
      <c r="W839" s="17"/>
    </row>
    <row r="840" spans="7:23" ht="12.75" customHeight="1" x14ac:dyDescent="0.25">
      <c r="G840" s="15"/>
      <c r="L840" s="16"/>
      <c r="U840" s="17"/>
      <c r="V840" s="17"/>
      <c r="W840" s="17"/>
    </row>
    <row r="841" spans="7:23" ht="12.75" customHeight="1" x14ac:dyDescent="0.25">
      <c r="G841" s="15"/>
      <c r="L841" s="16"/>
      <c r="U841" s="17"/>
      <c r="V841" s="17"/>
      <c r="W841" s="17"/>
    </row>
    <row r="842" spans="7:23" ht="12.75" customHeight="1" x14ac:dyDescent="0.25">
      <c r="G842" s="15"/>
      <c r="L842" s="16"/>
      <c r="U842" s="17"/>
      <c r="V842" s="17"/>
      <c r="W842" s="17"/>
    </row>
    <row r="843" spans="7:23" ht="12.75" customHeight="1" x14ac:dyDescent="0.25">
      <c r="G843" s="15"/>
      <c r="L843" s="16"/>
      <c r="U843" s="17"/>
      <c r="V843" s="17"/>
      <c r="W843" s="17"/>
    </row>
    <row r="844" spans="7:23" ht="12.75" customHeight="1" x14ac:dyDescent="0.25">
      <c r="G844" s="15"/>
      <c r="L844" s="16"/>
      <c r="U844" s="17"/>
      <c r="V844" s="17"/>
      <c r="W844" s="17"/>
    </row>
    <row r="845" spans="7:23" ht="12.75" customHeight="1" x14ac:dyDescent="0.25">
      <c r="G845" s="15"/>
      <c r="L845" s="16"/>
      <c r="U845" s="17"/>
      <c r="V845" s="17"/>
      <c r="W845" s="17"/>
    </row>
    <row r="846" spans="7:23" ht="12.75" customHeight="1" x14ac:dyDescent="0.25">
      <c r="G846" s="15"/>
      <c r="L846" s="16"/>
      <c r="U846" s="17"/>
      <c r="V846" s="17"/>
      <c r="W846" s="17"/>
    </row>
    <row r="847" spans="7:23" ht="12.75" customHeight="1" x14ac:dyDescent="0.25">
      <c r="G847" s="15"/>
      <c r="L847" s="16"/>
      <c r="U847" s="17"/>
      <c r="V847" s="17"/>
      <c r="W847" s="17"/>
    </row>
    <row r="848" spans="7:23" ht="12.75" customHeight="1" x14ac:dyDescent="0.25">
      <c r="G848" s="15"/>
      <c r="L848" s="16"/>
      <c r="U848" s="17"/>
      <c r="V848" s="17"/>
      <c r="W848" s="17"/>
    </row>
    <row r="849" spans="7:23" ht="12.75" customHeight="1" x14ac:dyDescent="0.25">
      <c r="G849" s="15"/>
      <c r="L849" s="16"/>
      <c r="U849" s="17"/>
      <c r="V849" s="17"/>
      <c r="W849" s="17"/>
    </row>
    <row r="850" spans="7:23" ht="12.75" customHeight="1" x14ac:dyDescent="0.25">
      <c r="G850" s="15"/>
      <c r="L850" s="16"/>
      <c r="U850" s="17"/>
      <c r="V850" s="17"/>
      <c r="W850" s="17"/>
    </row>
    <row r="851" spans="7:23" ht="12.75" customHeight="1" x14ac:dyDescent="0.25">
      <c r="G851" s="15"/>
      <c r="L851" s="16"/>
      <c r="U851" s="17"/>
      <c r="V851" s="17"/>
      <c r="W851" s="17"/>
    </row>
    <row r="852" spans="7:23" ht="12.75" customHeight="1" x14ac:dyDescent="0.25">
      <c r="G852" s="15"/>
      <c r="L852" s="16"/>
      <c r="U852" s="17"/>
      <c r="V852" s="17"/>
      <c r="W852" s="17"/>
    </row>
    <row r="853" spans="7:23" ht="12.75" customHeight="1" x14ac:dyDescent="0.25">
      <c r="G853" s="15"/>
      <c r="L853" s="16"/>
      <c r="U853" s="17"/>
      <c r="V853" s="17"/>
      <c r="W853" s="17"/>
    </row>
    <row r="854" spans="7:23" ht="12.75" customHeight="1" x14ac:dyDescent="0.25">
      <c r="G854" s="15"/>
      <c r="L854" s="16"/>
      <c r="U854" s="17"/>
      <c r="V854" s="17"/>
      <c r="W854" s="17"/>
    </row>
    <row r="855" spans="7:23" ht="12.75" customHeight="1" x14ac:dyDescent="0.25">
      <c r="G855" s="15"/>
      <c r="L855" s="16"/>
      <c r="U855" s="17"/>
      <c r="V855" s="17"/>
      <c r="W855" s="17"/>
    </row>
    <row r="856" spans="7:23" ht="12.75" customHeight="1" x14ac:dyDescent="0.25">
      <c r="G856" s="15"/>
      <c r="L856" s="16"/>
      <c r="U856" s="17"/>
      <c r="V856" s="17"/>
      <c r="W856" s="17"/>
    </row>
    <row r="857" spans="7:23" ht="12.75" customHeight="1" x14ac:dyDescent="0.25">
      <c r="G857" s="15"/>
      <c r="L857" s="16"/>
      <c r="U857" s="17"/>
      <c r="V857" s="17"/>
      <c r="W857" s="17"/>
    </row>
    <row r="858" spans="7:23" ht="12.75" customHeight="1" x14ac:dyDescent="0.25">
      <c r="G858" s="15"/>
      <c r="L858" s="16"/>
      <c r="U858" s="17"/>
      <c r="V858" s="17"/>
      <c r="W858" s="17"/>
    </row>
    <row r="859" spans="7:23" ht="12.75" customHeight="1" x14ac:dyDescent="0.25">
      <c r="G859" s="15"/>
      <c r="L859" s="16"/>
      <c r="U859" s="17"/>
      <c r="V859" s="17"/>
      <c r="W859" s="17"/>
    </row>
    <row r="860" spans="7:23" ht="12.75" customHeight="1" x14ac:dyDescent="0.25">
      <c r="G860" s="15"/>
      <c r="L860" s="16"/>
      <c r="U860" s="17"/>
      <c r="V860" s="17"/>
      <c r="W860" s="17"/>
    </row>
    <row r="861" spans="7:23" ht="12.75" customHeight="1" x14ac:dyDescent="0.25">
      <c r="G861" s="15"/>
      <c r="L861" s="16"/>
      <c r="U861" s="17"/>
      <c r="V861" s="17"/>
      <c r="W861" s="17"/>
    </row>
    <row r="862" spans="7:23" ht="12.75" customHeight="1" x14ac:dyDescent="0.25">
      <c r="G862" s="15"/>
      <c r="L862" s="16"/>
      <c r="U862" s="17"/>
      <c r="V862" s="17"/>
      <c r="W862" s="17"/>
    </row>
    <row r="863" spans="7:23" ht="12.75" customHeight="1" x14ac:dyDescent="0.25">
      <c r="G863" s="15"/>
      <c r="L863" s="16"/>
      <c r="U863" s="17"/>
      <c r="V863" s="17"/>
      <c r="W863" s="17"/>
    </row>
    <row r="864" spans="7:23" ht="12.75" customHeight="1" x14ac:dyDescent="0.25">
      <c r="G864" s="15"/>
      <c r="L864" s="16"/>
      <c r="U864" s="17"/>
      <c r="V864" s="17"/>
      <c r="W864" s="17"/>
    </row>
    <row r="865" spans="7:23" ht="12.75" customHeight="1" x14ac:dyDescent="0.25">
      <c r="G865" s="15"/>
      <c r="L865" s="16"/>
      <c r="U865" s="17"/>
      <c r="V865" s="17"/>
      <c r="W865" s="17"/>
    </row>
    <row r="866" spans="7:23" ht="12.75" customHeight="1" x14ac:dyDescent="0.25">
      <c r="G866" s="15"/>
      <c r="L866" s="16"/>
      <c r="U866" s="17"/>
      <c r="V866" s="17"/>
      <c r="W866" s="17"/>
    </row>
    <row r="867" spans="7:23" ht="12.75" customHeight="1" x14ac:dyDescent="0.25">
      <c r="G867" s="15"/>
      <c r="L867" s="16"/>
      <c r="U867" s="17"/>
      <c r="V867" s="17"/>
      <c r="W867" s="17"/>
    </row>
    <row r="868" spans="7:23" ht="12.75" customHeight="1" x14ac:dyDescent="0.25">
      <c r="G868" s="15"/>
      <c r="L868" s="16"/>
      <c r="U868" s="17"/>
      <c r="V868" s="17"/>
      <c r="W868" s="17"/>
    </row>
    <row r="869" spans="7:23" ht="12.75" customHeight="1" x14ac:dyDescent="0.25">
      <c r="G869" s="15"/>
      <c r="L869" s="16"/>
      <c r="U869" s="17"/>
      <c r="V869" s="17"/>
      <c r="W869" s="17"/>
    </row>
    <row r="870" spans="7:23" ht="12.75" customHeight="1" x14ac:dyDescent="0.25">
      <c r="G870" s="15"/>
      <c r="L870" s="16"/>
      <c r="U870" s="17"/>
      <c r="V870" s="17"/>
      <c r="W870" s="17"/>
    </row>
    <row r="871" spans="7:23" ht="12.75" customHeight="1" x14ac:dyDescent="0.25">
      <c r="G871" s="15"/>
      <c r="L871" s="16"/>
      <c r="U871" s="17"/>
      <c r="V871" s="17"/>
      <c r="W871" s="17"/>
    </row>
    <row r="872" spans="7:23" ht="12.75" customHeight="1" x14ac:dyDescent="0.25">
      <c r="G872" s="15"/>
      <c r="L872" s="16"/>
      <c r="U872" s="17"/>
      <c r="V872" s="17"/>
      <c r="W872" s="17"/>
    </row>
    <row r="873" spans="7:23" ht="12.75" customHeight="1" x14ac:dyDescent="0.25">
      <c r="G873" s="15"/>
      <c r="L873" s="16"/>
      <c r="U873" s="17"/>
      <c r="V873" s="17"/>
      <c r="W873" s="17"/>
    </row>
    <row r="874" spans="7:23" ht="12.75" customHeight="1" x14ac:dyDescent="0.25">
      <c r="G874" s="15"/>
      <c r="L874" s="16"/>
      <c r="U874" s="17"/>
      <c r="V874" s="17"/>
      <c r="W874" s="17"/>
    </row>
    <row r="875" spans="7:23" ht="12.75" customHeight="1" x14ac:dyDescent="0.25">
      <c r="G875" s="15"/>
      <c r="L875" s="16"/>
      <c r="U875" s="17"/>
      <c r="V875" s="17"/>
      <c r="W875" s="17"/>
    </row>
    <row r="876" spans="7:23" ht="12.75" customHeight="1" x14ac:dyDescent="0.25">
      <c r="G876" s="15"/>
      <c r="L876" s="16"/>
      <c r="U876" s="17"/>
      <c r="V876" s="17"/>
      <c r="W876" s="17"/>
    </row>
    <row r="877" spans="7:23" ht="12.75" customHeight="1" x14ac:dyDescent="0.25">
      <c r="G877" s="15"/>
      <c r="L877" s="16"/>
      <c r="U877" s="17"/>
      <c r="V877" s="17"/>
      <c r="W877" s="17"/>
    </row>
    <row r="878" spans="7:23" ht="12.75" customHeight="1" x14ac:dyDescent="0.25">
      <c r="G878" s="15"/>
      <c r="L878" s="16"/>
      <c r="U878" s="17"/>
      <c r="V878" s="17"/>
      <c r="W878" s="17"/>
    </row>
    <row r="879" spans="7:23" ht="12.75" customHeight="1" x14ac:dyDescent="0.25">
      <c r="G879" s="15"/>
      <c r="L879" s="16"/>
      <c r="U879" s="17"/>
      <c r="V879" s="17"/>
      <c r="W879" s="17"/>
    </row>
    <row r="880" spans="7:23" ht="12.75" customHeight="1" x14ac:dyDescent="0.25">
      <c r="G880" s="15"/>
      <c r="L880" s="16"/>
      <c r="U880" s="17"/>
      <c r="V880" s="17"/>
      <c r="W880" s="17"/>
    </row>
    <row r="881" spans="7:23" ht="12.75" customHeight="1" x14ac:dyDescent="0.25">
      <c r="G881" s="15"/>
      <c r="L881" s="16"/>
      <c r="U881" s="17"/>
      <c r="V881" s="17"/>
      <c r="W881" s="17"/>
    </row>
    <row r="882" spans="7:23" ht="12.75" customHeight="1" x14ac:dyDescent="0.25">
      <c r="G882" s="15"/>
      <c r="L882" s="16"/>
      <c r="U882" s="17"/>
      <c r="V882" s="17"/>
      <c r="W882" s="17"/>
    </row>
    <row r="883" spans="7:23" ht="12.75" customHeight="1" x14ac:dyDescent="0.25">
      <c r="G883" s="15"/>
      <c r="L883" s="16"/>
      <c r="U883" s="17"/>
      <c r="V883" s="17"/>
      <c r="W883" s="17"/>
    </row>
    <row r="884" spans="7:23" ht="12.75" customHeight="1" x14ac:dyDescent="0.25">
      <c r="G884" s="15"/>
      <c r="L884" s="16"/>
      <c r="U884" s="17"/>
      <c r="V884" s="17"/>
      <c r="W884" s="17"/>
    </row>
    <row r="885" spans="7:23" ht="12.75" customHeight="1" x14ac:dyDescent="0.25">
      <c r="G885" s="15"/>
      <c r="L885" s="16"/>
      <c r="U885" s="17"/>
      <c r="V885" s="17"/>
      <c r="W885" s="17"/>
    </row>
    <row r="886" spans="7:23" ht="12.75" customHeight="1" x14ac:dyDescent="0.25">
      <c r="G886" s="15"/>
      <c r="L886" s="16"/>
      <c r="U886" s="17"/>
      <c r="V886" s="17"/>
      <c r="W886" s="17"/>
    </row>
    <row r="887" spans="7:23" ht="12.75" customHeight="1" x14ac:dyDescent="0.25">
      <c r="G887" s="15"/>
      <c r="L887" s="16"/>
      <c r="U887" s="17"/>
      <c r="V887" s="17"/>
      <c r="W887" s="17"/>
    </row>
    <row r="888" spans="7:23" ht="12.75" customHeight="1" x14ac:dyDescent="0.25">
      <c r="G888" s="15"/>
      <c r="L888" s="16"/>
      <c r="U888" s="17"/>
      <c r="V888" s="17"/>
      <c r="W888" s="17"/>
    </row>
    <row r="889" spans="7:23" ht="12.75" customHeight="1" x14ac:dyDescent="0.25">
      <c r="G889" s="15"/>
      <c r="L889" s="16"/>
      <c r="U889" s="17"/>
      <c r="V889" s="17"/>
      <c r="W889" s="17"/>
    </row>
    <row r="890" spans="7:23" ht="12.75" customHeight="1" x14ac:dyDescent="0.25">
      <c r="G890" s="15"/>
      <c r="L890" s="16"/>
      <c r="U890" s="17"/>
      <c r="V890" s="17"/>
      <c r="W890" s="17"/>
    </row>
    <row r="891" spans="7:23" ht="12.75" customHeight="1" x14ac:dyDescent="0.25">
      <c r="G891" s="15"/>
      <c r="L891" s="16"/>
      <c r="U891" s="17"/>
      <c r="V891" s="17"/>
      <c r="W891" s="17"/>
    </row>
    <row r="892" spans="7:23" ht="12.75" customHeight="1" x14ac:dyDescent="0.25">
      <c r="G892" s="15"/>
      <c r="L892" s="16"/>
      <c r="U892" s="17"/>
      <c r="V892" s="17"/>
      <c r="W892" s="17"/>
    </row>
    <row r="893" spans="7:23" ht="12.75" customHeight="1" x14ac:dyDescent="0.25">
      <c r="G893" s="15"/>
      <c r="L893" s="16"/>
      <c r="U893" s="17"/>
      <c r="V893" s="17"/>
      <c r="W893" s="17"/>
    </row>
    <row r="894" spans="7:23" ht="12.75" customHeight="1" x14ac:dyDescent="0.25">
      <c r="G894" s="15"/>
      <c r="L894" s="16"/>
      <c r="U894" s="17"/>
      <c r="V894" s="17"/>
      <c r="W894" s="17"/>
    </row>
    <row r="895" spans="7:23" ht="12.75" customHeight="1" x14ac:dyDescent="0.25">
      <c r="G895" s="15"/>
      <c r="L895" s="16"/>
      <c r="U895" s="17"/>
      <c r="V895" s="17"/>
      <c r="W895" s="17"/>
    </row>
    <row r="896" spans="7:23" ht="12.75" customHeight="1" x14ac:dyDescent="0.25">
      <c r="G896" s="15"/>
      <c r="L896" s="16"/>
      <c r="U896" s="17"/>
      <c r="V896" s="17"/>
      <c r="W896" s="17"/>
    </row>
    <row r="897" spans="7:23" ht="12.75" customHeight="1" x14ac:dyDescent="0.25">
      <c r="G897" s="15"/>
      <c r="L897" s="16"/>
      <c r="U897" s="17"/>
      <c r="V897" s="17"/>
      <c r="W897" s="17"/>
    </row>
    <row r="898" spans="7:23" ht="12.75" customHeight="1" x14ac:dyDescent="0.25">
      <c r="G898" s="15"/>
      <c r="L898" s="16"/>
      <c r="U898" s="17"/>
      <c r="V898" s="17"/>
      <c r="W898" s="17"/>
    </row>
    <row r="899" spans="7:23" ht="12.75" customHeight="1" x14ac:dyDescent="0.25">
      <c r="G899" s="15"/>
      <c r="L899" s="16"/>
      <c r="U899" s="17"/>
      <c r="V899" s="17"/>
      <c r="W899" s="17"/>
    </row>
    <row r="900" spans="7:23" ht="12.75" customHeight="1" x14ac:dyDescent="0.25">
      <c r="G900" s="15"/>
      <c r="L900" s="16"/>
      <c r="U900" s="17"/>
      <c r="V900" s="17"/>
      <c r="W900" s="17"/>
    </row>
    <row r="901" spans="7:23" ht="12.75" customHeight="1" x14ac:dyDescent="0.25">
      <c r="G901" s="15"/>
      <c r="L901" s="16"/>
      <c r="U901" s="17"/>
      <c r="V901" s="17"/>
      <c r="W901" s="17"/>
    </row>
    <row r="902" spans="7:23" ht="12.75" customHeight="1" x14ac:dyDescent="0.25">
      <c r="G902" s="15"/>
      <c r="L902" s="16"/>
      <c r="U902" s="17"/>
      <c r="V902" s="17"/>
      <c r="W902" s="17"/>
    </row>
    <row r="903" spans="7:23" ht="12.75" customHeight="1" x14ac:dyDescent="0.25">
      <c r="G903" s="15"/>
      <c r="L903" s="16"/>
      <c r="U903" s="17"/>
      <c r="V903" s="17"/>
      <c r="W903" s="17"/>
    </row>
    <row r="904" spans="7:23" ht="12.75" customHeight="1" x14ac:dyDescent="0.25">
      <c r="G904" s="15"/>
      <c r="L904" s="16"/>
      <c r="U904" s="17"/>
      <c r="V904" s="17"/>
      <c r="W904" s="17"/>
    </row>
    <row r="905" spans="7:23" ht="12.75" customHeight="1" x14ac:dyDescent="0.25">
      <c r="G905" s="15"/>
      <c r="L905" s="16"/>
      <c r="U905" s="17"/>
      <c r="V905" s="17"/>
      <c r="W905" s="17"/>
    </row>
    <row r="906" spans="7:23" ht="12.75" customHeight="1" x14ac:dyDescent="0.25">
      <c r="G906" s="15"/>
      <c r="L906" s="16"/>
      <c r="U906" s="17"/>
      <c r="V906" s="17"/>
      <c r="W906" s="17"/>
    </row>
    <row r="907" spans="7:23" ht="12.75" customHeight="1" x14ac:dyDescent="0.25">
      <c r="G907" s="15"/>
      <c r="L907" s="16"/>
      <c r="U907" s="17"/>
      <c r="V907" s="17"/>
      <c r="W907" s="17"/>
    </row>
    <row r="908" spans="7:23" ht="12.75" customHeight="1" x14ac:dyDescent="0.25">
      <c r="G908" s="15"/>
      <c r="L908" s="16"/>
      <c r="U908" s="17"/>
      <c r="V908" s="17"/>
      <c r="W908" s="17"/>
    </row>
    <row r="909" spans="7:23" ht="12.75" customHeight="1" x14ac:dyDescent="0.25">
      <c r="G909" s="15"/>
      <c r="L909" s="16"/>
      <c r="U909" s="17"/>
      <c r="V909" s="17"/>
      <c r="W909" s="17"/>
    </row>
    <row r="910" spans="7:23" ht="12.75" customHeight="1" x14ac:dyDescent="0.25">
      <c r="G910" s="15"/>
      <c r="L910" s="16"/>
      <c r="U910" s="17"/>
      <c r="V910" s="17"/>
      <c r="W910" s="17"/>
    </row>
    <row r="911" spans="7:23" ht="12.75" customHeight="1" x14ac:dyDescent="0.25">
      <c r="G911" s="15"/>
      <c r="L911" s="16"/>
      <c r="U911" s="17"/>
      <c r="V911" s="17"/>
      <c r="W911" s="17"/>
    </row>
    <row r="912" spans="7:23" ht="12.75" customHeight="1" x14ac:dyDescent="0.25">
      <c r="G912" s="15"/>
      <c r="L912" s="16"/>
      <c r="U912" s="17"/>
      <c r="V912" s="17"/>
      <c r="W912" s="17"/>
    </row>
    <row r="913" spans="7:23" ht="12.75" customHeight="1" x14ac:dyDescent="0.25">
      <c r="G913" s="15"/>
      <c r="L913" s="16"/>
      <c r="U913" s="17"/>
      <c r="V913" s="17"/>
      <c r="W913" s="17"/>
    </row>
    <row r="914" spans="7:23" ht="12.75" customHeight="1" x14ac:dyDescent="0.25">
      <c r="G914" s="15"/>
      <c r="L914" s="16"/>
      <c r="U914" s="17"/>
      <c r="V914" s="17"/>
      <c r="W914" s="17"/>
    </row>
    <row r="915" spans="7:23" ht="12.75" customHeight="1" x14ac:dyDescent="0.25">
      <c r="G915" s="15"/>
      <c r="L915" s="16"/>
      <c r="U915" s="17"/>
      <c r="V915" s="17"/>
      <c r="W915" s="17"/>
    </row>
    <row r="916" spans="7:23" ht="12.75" customHeight="1" x14ac:dyDescent="0.25">
      <c r="G916" s="15"/>
      <c r="L916" s="16"/>
      <c r="U916" s="17"/>
      <c r="V916" s="17"/>
      <c r="W916" s="17"/>
    </row>
    <row r="917" spans="7:23" ht="12.75" customHeight="1" x14ac:dyDescent="0.25">
      <c r="G917" s="15"/>
      <c r="L917" s="16"/>
      <c r="U917" s="17"/>
      <c r="V917" s="17"/>
      <c r="W917" s="17"/>
    </row>
    <row r="918" spans="7:23" ht="12.75" customHeight="1" x14ac:dyDescent="0.25">
      <c r="G918" s="15"/>
      <c r="L918" s="16"/>
      <c r="U918" s="17"/>
      <c r="V918" s="17"/>
      <c r="W918" s="17"/>
    </row>
    <row r="919" spans="7:23" ht="12.75" customHeight="1" x14ac:dyDescent="0.25">
      <c r="G919" s="15"/>
      <c r="L919" s="16"/>
      <c r="U919" s="17"/>
      <c r="V919" s="17"/>
      <c r="W919" s="17"/>
    </row>
    <row r="920" spans="7:23" ht="12.75" customHeight="1" x14ac:dyDescent="0.25">
      <c r="G920" s="15"/>
      <c r="L920" s="16"/>
      <c r="U920" s="17"/>
      <c r="V920" s="17"/>
      <c r="W920" s="17"/>
    </row>
    <row r="921" spans="7:23" ht="12.75" customHeight="1" x14ac:dyDescent="0.25">
      <c r="G921" s="15"/>
      <c r="L921" s="16"/>
      <c r="U921" s="17"/>
      <c r="V921" s="17"/>
      <c r="W921" s="17"/>
    </row>
    <row r="922" spans="7:23" ht="12.75" customHeight="1" x14ac:dyDescent="0.25">
      <c r="G922" s="15"/>
      <c r="L922" s="16"/>
      <c r="U922" s="17"/>
      <c r="V922" s="17"/>
      <c r="W922" s="17"/>
    </row>
    <row r="923" spans="7:23" ht="12.75" customHeight="1" x14ac:dyDescent="0.25">
      <c r="G923" s="15"/>
      <c r="L923" s="16"/>
      <c r="U923" s="17"/>
      <c r="V923" s="17"/>
      <c r="W923" s="17"/>
    </row>
    <row r="924" spans="7:23" ht="12.75" customHeight="1" x14ac:dyDescent="0.25">
      <c r="G924" s="15"/>
      <c r="L924" s="16"/>
      <c r="U924" s="17"/>
      <c r="V924" s="17"/>
      <c r="W924" s="17"/>
    </row>
    <row r="925" spans="7:23" ht="12.75" customHeight="1" x14ac:dyDescent="0.25">
      <c r="G925" s="15"/>
      <c r="L925" s="16"/>
      <c r="U925" s="17"/>
      <c r="V925" s="17"/>
      <c r="W925" s="17"/>
    </row>
    <row r="926" spans="7:23" ht="12.75" customHeight="1" x14ac:dyDescent="0.25">
      <c r="G926" s="15"/>
      <c r="L926" s="16"/>
      <c r="U926" s="17"/>
      <c r="V926" s="17"/>
      <c r="W926" s="17"/>
    </row>
    <row r="927" spans="7:23" ht="12.75" customHeight="1" x14ac:dyDescent="0.25">
      <c r="G927" s="15"/>
      <c r="L927" s="16"/>
      <c r="U927" s="17"/>
      <c r="V927" s="17"/>
      <c r="W927" s="17"/>
    </row>
    <row r="928" spans="7:23" ht="12.75" customHeight="1" x14ac:dyDescent="0.25">
      <c r="G928" s="15"/>
      <c r="L928" s="16"/>
      <c r="U928" s="17"/>
      <c r="V928" s="17"/>
      <c r="W928" s="17"/>
    </row>
    <row r="929" spans="7:23" ht="12.75" customHeight="1" x14ac:dyDescent="0.25">
      <c r="G929" s="15"/>
      <c r="L929" s="16"/>
      <c r="U929" s="17"/>
      <c r="V929" s="17"/>
      <c r="W929" s="17"/>
    </row>
    <row r="930" spans="7:23" ht="12.75" customHeight="1" x14ac:dyDescent="0.25">
      <c r="G930" s="15"/>
      <c r="L930" s="16"/>
      <c r="U930" s="17"/>
      <c r="V930" s="17"/>
      <c r="W930" s="17"/>
    </row>
    <row r="931" spans="7:23" ht="12.75" customHeight="1" x14ac:dyDescent="0.25">
      <c r="G931" s="15"/>
      <c r="L931" s="16"/>
      <c r="U931" s="17"/>
      <c r="V931" s="17"/>
      <c r="W931" s="17"/>
    </row>
    <row r="932" spans="7:23" ht="12.75" customHeight="1" x14ac:dyDescent="0.25">
      <c r="G932" s="15"/>
      <c r="L932" s="16"/>
      <c r="U932" s="17"/>
      <c r="V932" s="17"/>
      <c r="W932" s="17"/>
    </row>
    <row r="933" spans="7:23" ht="12.75" customHeight="1" x14ac:dyDescent="0.25">
      <c r="G933" s="15"/>
      <c r="L933" s="16"/>
      <c r="U933" s="17"/>
      <c r="V933" s="17"/>
      <c r="W933" s="17"/>
    </row>
    <row r="934" spans="7:23" ht="12.75" customHeight="1" x14ac:dyDescent="0.25">
      <c r="G934" s="15"/>
      <c r="L934" s="16"/>
      <c r="U934" s="17"/>
      <c r="V934" s="17"/>
      <c r="W934" s="17"/>
    </row>
    <row r="935" spans="7:23" ht="12.75" customHeight="1" x14ac:dyDescent="0.25">
      <c r="G935" s="15"/>
      <c r="L935" s="16"/>
      <c r="U935" s="17"/>
      <c r="V935" s="17"/>
      <c r="W935" s="17"/>
    </row>
    <row r="936" spans="7:23" ht="12.75" customHeight="1" x14ac:dyDescent="0.25">
      <c r="G936" s="15"/>
      <c r="L936" s="16"/>
      <c r="U936" s="17"/>
      <c r="V936" s="17"/>
      <c r="W936" s="17"/>
    </row>
    <row r="937" spans="7:23" ht="12.75" customHeight="1" x14ac:dyDescent="0.25">
      <c r="G937" s="15"/>
      <c r="L937" s="16"/>
      <c r="U937" s="17"/>
      <c r="V937" s="17"/>
      <c r="W937" s="17"/>
    </row>
    <row r="938" spans="7:23" ht="12.75" customHeight="1" x14ac:dyDescent="0.25">
      <c r="G938" s="15"/>
      <c r="L938" s="16"/>
      <c r="U938" s="17"/>
      <c r="V938" s="17"/>
      <c r="W938" s="17"/>
    </row>
    <row r="939" spans="7:23" ht="12.75" customHeight="1" x14ac:dyDescent="0.25">
      <c r="G939" s="15"/>
      <c r="L939" s="16"/>
      <c r="U939" s="17"/>
      <c r="V939" s="17"/>
      <c r="W939" s="17"/>
    </row>
    <row r="940" spans="7:23" ht="12.75" customHeight="1" x14ac:dyDescent="0.25">
      <c r="G940" s="15"/>
      <c r="L940" s="16"/>
      <c r="U940" s="17"/>
      <c r="V940" s="17"/>
      <c r="W940" s="17"/>
    </row>
    <row r="941" spans="7:23" ht="12.75" customHeight="1" x14ac:dyDescent="0.25">
      <c r="G941" s="15"/>
      <c r="L941" s="16"/>
      <c r="U941" s="17"/>
      <c r="V941" s="17"/>
      <c r="W941" s="17"/>
    </row>
    <row r="942" spans="7:23" ht="12.75" customHeight="1" x14ac:dyDescent="0.25">
      <c r="G942" s="15"/>
      <c r="L942" s="16"/>
      <c r="U942" s="17"/>
      <c r="V942" s="17"/>
      <c r="W942" s="17"/>
    </row>
    <row r="943" spans="7:23" ht="12.75" customHeight="1" x14ac:dyDescent="0.25">
      <c r="G943" s="15"/>
      <c r="L943" s="16"/>
      <c r="U943" s="17"/>
      <c r="V943" s="17"/>
      <c r="W943" s="17"/>
    </row>
    <row r="944" spans="7:23" ht="12.75" customHeight="1" x14ac:dyDescent="0.25">
      <c r="G944" s="15"/>
      <c r="L944" s="16"/>
      <c r="U944" s="17"/>
      <c r="V944" s="17"/>
      <c r="W944" s="17"/>
    </row>
    <row r="945" spans="7:23" ht="12.75" customHeight="1" x14ac:dyDescent="0.25">
      <c r="G945" s="15"/>
      <c r="L945" s="16"/>
      <c r="U945" s="17"/>
      <c r="V945" s="17"/>
      <c r="W945" s="17"/>
    </row>
    <row r="946" spans="7:23" ht="12.75" customHeight="1" x14ac:dyDescent="0.25">
      <c r="G946" s="15"/>
      <c r="L946" s="16"/>
      <c r="U946" s="17"/>
      <c r="V946" s="17"/>
      <c r="W946" s="17"/>
    </row>
    <row r="947" spans="7:23" ht="12.75" customHeight="1" x14ac:dyDescent="0.25">
      <c r="G947" s="15"/>
      <c r="L947" s="16"/>
      <c r="U947" s="17"/>
      <c r="V947" s="17"/>
      <c r="W947" s="17"/>
    </row>
    <row r="948" spans="7:23" ht="12.75" customHeight="1" x14ac:dyDescent="0.25">
      <c r="G948" s="15"/>
      <c r="L948" s="16"/>
      <c r="U948" s="17"/>
      <c r="V948" s="17"/>
      <c r="W948" s="17"/>
    </row>
    <row r="949" spans="7:23" ht="12.75" customHeight="1" x14ac:dyDescent="0.25">
      <c r="G949" s="15"/>
      <c r="L949" s="16"/>
      <c r="U949" s="17"/>
      <c r="V949" s="17"/>
      <c r="W949" s="17"/>
    </row>
    <row r="950" spans="7:23" ht="12.75" customHeight="1" x14ac:dyDescent="0.25">
      <c r="G950" s="15"/>
      <c r="L950" s="16"/>
      <c r="U950" s="17"/>
      <c r="V950" s="17"/>
      <c r="W950" s="17"/>
    </row>
    <row r="951" spans="7:23" ht="12.75" customHeight="1" x14ac:dyDescent="0.25">
      <c r="G951" s="15"/>
      <c r="L951" s="16"/>
      <c r="U951" s="17"/>
      <c r="V951" s="17"/>
      <c r="W951" s="17"/>
    </row>
    <row r="952" spans="7:23" ht="12.75" customHeight="1" x14ac:dyDescent="0.25">
      <c r="G952" s="15"/>
      <c r="L952" s="16"/>
      <c r="U952" s="17"/>
      <c r="V952" s="17"/>
      <c r="W952" s="17"/>
    </row>
    <row r="953" spans="7:23" ht="12.75" customHeight="1" x14ac:dyDescent="0.25">
      <c r="G953" s="15"/>
      <c r="L953" s="16"/>
      <c r="U953" s="17"/>
      <c r="V953" s="17"/>
      <c r="W953" s="17"/>
    </row>
    <row r="954" spans="7:23" ht="12.75" customHeight="1" x14ac:dyDescent="0.25">
      <c r="G954" s="15"/>
      <c r="L954" s="16"/>
      <c r="U954" s="17"/>
      <c r="V954" s="17"/>
      <c r="W954" s="17"/>
    </row>
    <row r="955" spans="7:23" ht="12.75" customHeight="1" x14ac:dyDescent="0.25">
      <c r="G955" s="15"/>
      <c r="L955" s="16"/>
      <c r="U955" s="17"/>
      <c r="V955" s="17"/>
      <c r="W955" s="17"/>
    </row>
    <row r="956" spans="7:23" ht="12.75" customHeight="1" x14ac:dyDescent="0.25">
      <c r="G956" s="15"/>
      <c r="L956" s="16"/>
      <c r="U956" s="17"/>
      <c r="V956" s="17"/>
      <c r="W956" s="17"/>
    </row>
    <row r="957" spans="7:23" ht="12.75" customHeight="1" x14ac:dyDescent="0.25">
      <c r="G957" s="15"/>
      <c r="L957" s="16"/>
      <c r="U957" s="17"/>
      <c r="V957" s="17"/>
      <c r="W957" s="17"/>
    </row>
    <row r="958" spans="7:23" ht="12.75" customHeight="1" x14ac:dyDescent="0.25">
      <c r="G958" s="15"/>
      <c r="L958" s="16"/>
      <c r="U958" s="17"/>
      <c r="V958" s="17"/>
      <c r="W958" s="17"/>
    </row>
    <row r="959" spans="7:23" ht="12.75" customHeight="1" x14ac:dyDescent="0.25">
      <c r="G959" s="15"/>
      <c r="L959" s="16"/>
      <c r="U959" s="17"/>
      <c r="V959" s="17"/>
      <c r="W959" s="17"/>
    </row>
    <row r="960" spans="7:23" ht="12.75" customHeight="1" x14ac:dyDescent="0.25">
      <c r="G960" s="15"/>
      <c r="L960" s="16"/>
      <c r="U960" s="17"/>
      <c r="V960" s="17"/>
      <c r="W960" s="17"/>
    </row>
    <row r="961" spans="7:23" ht="12.75" customHeight="1" x14ac:dyDescent="0.25">
      <c r="G961" s="15"/>
      <c r="L961" s="16"/>
      <c r="U961" s="17"/>
      <c r="V961" s="17"/>
      <c r="W961" s="17"/>
    </row>
    <row r="962" spans="7:23" ht="12.75" customHeight="1" x14ac:dyDescent="0.25">
      <c r="G962" s="15"/>
      <c r="L962" s="16"/>
      <c r="U962" s="17"/>
      <c r="V962" s="17"/>
      <c r="W962" s="17"/>
    </row>
    <row r="963" spans="7:23" ht="12.75" customHeight="1" x14ac:dyDescent="0.25">
      <c r="G963" s="15"/>
      <c r="L963" s="16"/>
      <c r="U963" s="17"/>
      <c r="V963" s="17"/>
      <c r="W963" s="17"/>
    </row>
    <row r="964" spans="7:23" ht="12.75" customHeight="1" x14ac:dyDescent="0.25">
      <c r="G964" s="15"/>
      <c r="L964" s="16"/>
      <c r="U964" s="17"/>
      <c r="V964" s="17"/>
      <c r="W964" s="17"/>
    </row>
    <row r="965" spans="7:23" ht="12.75" customHeight="1" x14ac:dyDescent="0.25">
      <c r="G965" s="15"/>
      <c r="L965" s="16"/>
      <c r="U965" s="17"/>
      <c r="V965" s="17"/>
      <c r="W965" s="17"/>
    </row>
    <row r="966" spans="7:23" ht="12.75" customHeight="1" x14ac:dyDescent="0.25">
      <c r="G966" s="15"/>
      <c r="L966" s="16"/>
      <c r="U966" s="17"/>
      <c r="V966" s="17"/>
      <c r="W966" s="17"/>
    </row>
    <row r="967" spans="7:23" ht="12.75" customHeight="1" x14ac:dyDescent="0.25">
      <c r="G967" s="15"/>
      <c r="L967" s="16"/>
      <c r="U967" s="17"/>
      <c r="V967" s="17"/>
      <c r="W967" s="17"/>
    </row>
    <row r="968" spans="7:23" ht="12.75" customHeight="1" x14ac:dyDescent="0.25">
      <c r="G968" s="15"/>
      <c r="L968" s="16"/>
      <c r="U968" s="17"/>
      <c r="V968" s="17"/>
      <c r="W968" s="17"/>
    </row>
    <row r="969" spans="7:23" ht="12.75" customHeight="1" x14ac:dyDescent="0.25">
      <c r="G969" s="15"/>
      <c r="L969" s="16"/>
      <c r="U969" s="17"/>
      <c r="V969" s="17"/>
      <c r="W969" s="17"/>
    </row>
    <row r="970" spans="7:23" ht="12.75" customHeight="1" x14ac:dyDescent="0.25">
      <c r="G970" s="15"/>
      <c r="L970" s="16"/>
      <c r="U970" s="17"/>
      <c r="V970" s="17"/>
      <c r="W970" s="17"/>
    </row>
    <row r="971" spans="7:23" ht="12.75" customHeight="1" x14ac:dyDescent="0.25">
      <c r="G971" s="15"/>
      <c r="L971" s="16"/>
      <c r="U971" s="17"/>
      <c r="V971" s="17"/>
      <c r="W971" s="17"/>
    </row>
    <row r="972" spans="7:23" ht="12.75" customHeight="1" x14ac:dyDescent="0.25">
      <c r="G972" s="15"/>
      <c r="L972" s="16"/>
      <c r="U972" s="17"/>
      <c r="V972" s="17"/>
      <c r="W972" s="17"/>
    </row>
    <row r="973" spans="7:23" ht="12.75" customHeight="1" x14ac:dyDescent="0.25">
      <c r="G973" s="15"/>
      <c r="L973" s="16"/>
      <c r="U973" s="17"/>
      <c r="V973" s="17"/>
      <c r="W973" s="17"/>
    </row>
    <row r="974" spans="7:23" ht="12.75" customHeight="1" x14ac:dyDescent="0.25">
      <c r="G974" s="15"/>
      <c r="L974" s="16"/>
      <c r="U974" s="17"/>
      <c r="V974" s="17"/>
      <c r="W974" s="17"/>
    </row>
    <row r="975" spans="7:23" ht="12.75" customHeight="1" x14ac:dyDescent="0.25">
      <c r="G975" s="15"/>
      <c r="L975" s="16"/>
      <c r="U975" s="17"/>
      <c r="V975" s="17"/>
      <c r="W975" s="17"/>
    </row>
    <row r="976" spans="7:23" ht="12.75" customHeight="1" x14ac:dyDescent="0.25">
      <c r="G976" s="15"/>
      <c r="L976" s="16"/>
      <c r="U976" s="17"/>
      <c r="V976" s="17"/>
      <c r="W976" s="17"/>
    </row>
    <row r="977" spans="7:23" ht="12.75" customHeight="1" x14ac:dyDescent="0.25">
      <c r="G977" s="15"/>
      <c r="L977" s="16"/>
      <c r="U977" s="17"/>
      <c r="V977" s="17"/>
      <c r="W977" s="17"/>
    </row>
    <row r="978" spans="7:23" ht="12.75" customHeight="1" x14ac:dyDescent="0.25">
      <c r="G978" s="15"/>
      <c r="L978" s="16"/>
      <c r="U978" s="17"/>
      <c r="V978" s="17"/>
      <c r="W978" s="17"/>
    </row>
    <row r="979" spans="7:23" ht="12.75" customHeight="1" x14ac:dyDescent="0.25">
      <c r="G979" s="15"/>
      <c r="L979" s="16"/>
      <c r="U979" s="17"/>
      <c r="V979" s="17"/>
      <c r="W979" s="17"/>
    </row>
    <row r="980" spans="7:23" ht="12.75" customHeight="1" x14ac:dyDescent="0.25">
      <c r="G980" s="15"/>
      <c r="L980" s="16"/>
      <c r="U980" s="17"/>
      <c r="V980" s="17"/>
      <c r="W980" s="17"/>
    </row>
    <row r="981" spans="7:23" ht="12.75" customHeight="1" x14ac:dyDescent="0.25">
      <c r="G981" s="15"/>
      <c r="L981" s="16"/>
      <c r="U981" s="17"/>
      <c r="V981" s="17"/>
      <c r="W981" s="17"/>
    </row>
    <row r="982" spans="7:23" ht="12.75" customHeight="1" x14ac:dyDescent="0.25">
      <c r="G982" s="15"/>
      <c r="L982" s="16"/>
      <c r="U982" s="17"/>
      <c r="V982" s="17"/>
      <c r="W982" s="17"/>
    </row>
    <row r="983" spans="7:23" ht="12.75" customHeight="1" x14ac:dyDescent="0.25">
      <c r="G983" s="15"/>
      <c r="L983" s="16"/>
      <c r="U983" s="17"/>
      <c r="V983" s="17"/>
      <c r="W983" s="17"/>
    </row>
    <row r="984" spans="7:23" ht="12.75" customHeight="1" x14ac:dyDescent="0.25">
      <c r="G984" s="15"/>
      <c r="L984" s="16"/>
      <c r="U984" s="17"/>
      <c r="V984" s="17"/>
      <c r="W984" s="17"/>
    </row>
    <row r="985" spans="7:23" ht="12.75" customHeight="1" x14ac:dyDescent="0.25">
      <c r="G985" s="15"/>
      <c r="L985" s="16"/>
      <c r="U985" s="17"/>
      <c r="V985" s="17"/>
      <c r="W985" s="17"/>
    </row>
    <row r="986" spans="7:23" ht="12.75" customHeight="1" x14ac:dyDescent="0.25">
      <c r="G986" s="15"/>
      <c r="L986" s="16"/>
      <c r="U986" s="17"/>
      <c r="V986" s="17"/>
      <c r="W986" s="17"/>
    </row>
    <row r="987" spans="7:23" ht="12.75" customHeight="1" x14ac:dyDescent="0.25">
      <c r="G987" s="15"/>
      <c r="L987" s="16"/>
      <c r="U987" s="17"/>
      <c r="V987" s="17"/>
      <c r="W987" s="17"/>
    </row>
    <row r="988" spans="7:23" ht="12.75" customHeight="1" x14ac:dyDescent="0.25">
      <c r="G988" s="15"/>
      <c r="L988" s="16"/>
      <c r="U988" s="17"/>
      <c r="V988" s="17"/>
      <c r="W988" s="17"/>
    </row>
    <row r="989" spans="7:23" ht="12.75" customHeight="1" x14ac:dyDescent="0.25">
      <c r="G989" s="15"/>
      <c r="L989" s="16"/>
      <c r="U989" s="17"/>
      <c r="V989" s="17"/>
      <c r="W989" s="17"/>
    </row>
    <row r="990" spans="7:23" ht="12.75" customHeight="1" x14ac:dyDescent="0.25">
      <c r="G990" s="15"/>
      <c r="L990" s="16"/>
      <c r="U990" s="17"/>
      <c r="V990" s="17"/>
      <c r="W990" s="17"/>
    </row>
    <row r="991" spans="7:23" ht="12.75" customHeight="1" x14ac:dyDescent="0.25">
      <c r="G991" s="15"/>
      <c r="L991" s="16"/>
      <c r="U991" s="17"/>
      <c r="V991" s="17"/>
      <c r="W991" s="17"/>
    </row>
    <row r="992" spans="7:23" ht="12.75" customHeight="1" x14ac:dyDescent="0.25">
      <c r="G992" s="15"/>
      <c r="L992" s="16"/>
      <c r="U992" s="17"/>
      <c r="V992" s="17"/>
      <c r="W992" s="17"/>
    </row>
    <row r="993" spans="7:23" ht="12.75" customHeight="1" x14ac:dyDescent="0.25">
      <c r="G993" s="15"/>
      <c r="L993" s="16"/>
      <c r="U993" s="17"/>
      <c r="V993" s="17"/>
      <c r="W993" s="17"/>
    </row>
    <row r="994" spans="7:23" ht="12.75" customHeight="1" x14ac:dyDescent="0.25">
      <c r="G994" s="15"/>
      <c r="L994" s="16"/>
      <c r="U994" s="17"/>
      <c r="V994" s="17"/>
      <c r="W994" s="17"/>
    </row>
    <row r="995" spans="7:23" ht="12.75" customHeight="1" x14ac:dyDescent="0.25">
      <c r="G995" s="15"/>
      <c r="L995" s="16"/>
      <c r="U995" s="17"/>
      <c r="V995" s="17"/>
      <c r="W995" s="17"/>
    </row>
    <row r="996" spans="7:23" ht="12.75" customHeight="1" x14ac:dyDescent="0.25">
      <c r="G996" s="15"/>
      <c r="L996" s="16"/>
      <c r="U996" s="17"/>
      <c r="V996" s="17"/>
      <c r="W996" s="17"/>
    </row>
    <row r="997" spans="7:23" ht="12.75" customHeight="1" x14ac:dyDescent="0.25">
      <c r="G997" s="15"/>
      <c r="L997" s="16"/>
      <c r="U997" s="17"/>
      <c r="V997" s="17"/>
      <c r="W997" s="17"/>
    </row>
    <row r="998" spans="7:23" ht="12.75" customHeight="1" x14ac:dyDescent="0.25">
      <c r="G998" s="15"/>
      <c r="L998" s="16"/>
      <c r="U998" s="17"/>
      <c r="V998" s="17"/>
      <c r="W998" s="17"/>
    </row>
    <row r="999" spans="7:23" ht="12.75" customHeight="1" x14ac:dyDescent="0.25">
      <c r="G999" s="15"/>
      <c r="L999" s="16"/>
      <c r="U999" s="17"/>
      <c r="V999" s="17"/>
      <c r="W999" s="17"/>
    </row>
    <row r="1000" spans="7:23" ht="12.75" customHeight="1" x14ac:dyDescent="0.25">
      <c r="G1000" s="15"/>
      <c r="L1000" s="16"/>
      <c r="U1000" s="17"/>
      <c r="V1000" s="17"/>
      <c r="W1000" s="17"/>
    </row>
  </sheetData>
  <mergeCells count="47">
    <mergeCell ref="E24:E25"/>
    <mergeCell ref="F24:F25"/>
    <mergeCell ref="H24:I25"/>
    <mergeCell ref="B27:Q27"/>
    <mergeCell ref="G29:G30"/>
    <mergeCell ref="H29:H30"/>
    <mergeCell ref="I29:I30"/>
    <mergeCell ref="J29:J30"/>
    <mergeCell ref="B18:D18"/>
    <mergeCell ref="B19:D19"/>
    <mergeCell ref="B20:D20"/>
    <mergeCell ref="B24:D25"/>
    <mergeCell ref="B28:C28"/>
    <mergeCell ref="B21:D21"/>
    <mergeCell ref="B22:D22"/>
    <mergeCell ref="B23:D23"/>
    <mergeCell ref="B13:D13"/>
    <mergeCell ref="B14:D14"/>
    <mergeCell ref="B15:D15"/>
    <mergeCell ref="B16:D16"/>
    <mergeCell ref="B17:C17"/>
    <mergeCell ref="B29:B30"/>
    <mergeCell ref="C29:C30"/>
    <mergeCell ref="D29:F29"/>
    <mergeCell ref="B2:N2"/>
    <mergeCell ref="B4:C4"/>
    <mergeCell ref="B5:D5"/>
    <mergeCell ref="L5:N5"/>
    <mergeCell ref="B6:D6"/>
    <mergeCell ref="L6:N6"/>
    <mergeCell ref="L7:N7"/>
    <mergeCell ref="B7:D7"/>
    <mergeCell ref="B8:D8"/>
    <mergeCell ref="B9:D9"/>
    <mergeCell ref="B10:D10"/>
    <mergeCell ref="B11:D11"/>
    <mergeCell ref="B12:D12"/>
    <mergeCell ref="P29:P30"/>
    <mergeCell ref="D28:K28"/>
    <mergeCell ref="L28:N28"/>
    <mergeCell ref="O28:P28"/>
    <mergeCell ref="Q28:Q30"/>
    <mergeCell ref="K29:K30"/>
    <mergeCell ref="L29:L30"/>
    <mergeCell ref="M29:M30"/>
    <mergeCell ref="N29:N30"/>
    <mergeCell ref="O29:O3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S.C Current At Various Point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Ankesh Mishra</cp:lastModifiedBy>
  <dcterms:modified xsi:type="dcterms:W3CDTF">2025-03-20T12:40:19Z</dcterms:modified>
</cp:coreProperties>
</file>