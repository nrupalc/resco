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9_{B2CB8E16-83A0-4377-A7A1-ED8E8048FE57}" xr6:coauthVersionLast="47" xr6:coauthVersionMax="47" xr10:uidLastSave="{00000000-0000-0000-0000-000000000000}"/>
  <bookViews>
    <workbookView xWindow="-108" yWindow="-108" windowWidth="23256" windowHeight="12456" xr2:uid="{768FEFE6-0617-4BFC-8D42-2671A63E0D18}"/>
  </bookViews>
  <sheets>
    <sheet name="HT LT -04" sheetId="1" r:id="rId1"/>
    <sheet name="HT LT-1,5,6" sheetId="2" r:id="rId2"/>
    <sheet name="HT LT-2,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3" l="1"/>
  <c r="D32" i="3" s="1"/>
  <c r="F41" i="3" s="1"/>
  <c r="F42" i="3" s="1"/>
  <c r="D46" i="3" s="1"/>
  <c r="D11" i="3"/>
  <c r="D12" i="3" s="1"/>
  <c r="F21" i="3" s="1"/>
  <c r="F22" i="3" s="1"/>
  <c r="D26" i="3" s="1"/>
  <c r="D31" i="2"/>
  <c r="D32" i="2" s="1"/>
  <c r="F41" i="2" s="1"/>
  <c r="F42" i="2" s="1"/>
  <c r="D11" i="2"/>
  <c r="D12" i="2" s="1"/>
  <c r="F21" i="2" s="1"/>
  <c r="F22" i="2" s="1"/>
  <c r="D31" i="1"/>
  <c r="D32" i="1" s="1"/>
  <c r="F41" i="1" s="1"/>
  <c r="F42" i="1" s="1"/>
  <c r="D11" i="1"/>
  <c r="D12" i="1" s="1"/>
  <c r="F21" i="1" s="1"/>
  <c r="F22" i="1" s="1"/>
</calcChain>
</file>

<file path=xl/sharedStrings.xml><?xml version="1.0" encoding="utf-8"?>
<sst xmlns="http://schemas.openxmlformats.org/spreadsheetml/2006/main" count="181" uniqueCount="35">
  <si>
    <t>VENTILATION CALCULATION OF THE H.T &amp; L.T ROOMS</t>
  </si>
  <si>
    <t>1-</t>
  </si>
  <si>
    <t>ASSUMPTIONS</t>
  </si>
  <si>
    <t>Ambient temp.                    =</t>
  </si>
  <si>
    <t>115 F</t>
  </si>
  <si>
    <t>Acceptable Air  Change/Hr   =</t>
  </si>
  <si>
    <t>times</t>
  </si>
  <si>
    <t>2-</t>
  </si>
  <si>
    <t>CALCULATION</t>
  </si>
  <si>
    <t>Ventilated Air Quantity for H.T Room</t>
  </si>
  <si>
    <t xml:space="preserve"> (Room Ref. S/S-4)</t>
  </si>
  <si>
    <t>Room Volume       =</t>
  </si>
  <si>
    <t>Cu.M</t>
  </si>
  <si>
    <t xml:space="preserve">           =</t>
  </si>
  <si>
    <t>Cu.Ft</t>
  </si>
  <si>
    <t>Where :-</t>
  </si>
  <si>
    <t>Length        L  =</t>
  </si>
  <si>
    <t>M</t>
  </si>
  <si>
    <t>Width         D  =</t>
  </si>
  <si>
    <t>Hight          H  =</t>
  </si>
  <si>
    <t>Times</t>
  </si>
  <si>
    <t>THEN :-</t>
  </si>
  <si>
    <t>Ventilated Air Quantity for H.T Room   =</t>
  </si>
  <si>
    <t>Cu.Ft/Hr</t>
  </si>
  <si>
    <t xml:space="preserve">          =</t>
  </si>
  <si>
    <t>CFM</t>
  </si>
  <si>
    <t xml:space="preserve">**   Adopt </t>
  </si>
  <si>
    <t>Fan wall mounted axial type with Ext. Est. Static Pressure of 0.5 " W.G</t>
  </si>
  <si>
    <t>Fan Capacity   =</t>
  </si>
  <si>
    <t>AND</t>
  </si>
  <si>
    <t>1 KW</t>
  </si>
  <si>
    <t>Ventilated Air Quantity for L.T Room</t>
  </si>
  <si>
    <t xml:space="preserve"> (Room Ref. S/S-1,5,6)</t>
  </si>
  <si>
    <t xml:space="preserve"> (Room Ref. S/S-2,3)</t>
  </si>
  <si>
    <t>**   Adopt one  Fan wall mounted axial type with Ext. Est. Static Pressure of 0.5 " W.G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</si>
</sst>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 x14ac:knownFonts="1">
    <font>
      <sz val="10"/>
      <name val="Arial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sz val="8"/>
      <name val="Arial"/>
      <charset val="178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80" fontId="0" fillId="0" borderId="0" xfId="0" applyNumberFormat="1"/>
    <xf numFmtId="1" fontId="0" fillId="0" borderId="0" xfId="0" applyNumberFormat="1"/>
    <xf numFmtId="0" fontId="2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Fill="1"/>
    <xf numFmtId="0" fontId="2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A33E-E418-4AA6-B80F-F96830CE265C}">
  <dimension ref="A1:J46"/>
  <sheetViews>
    <sheetView tabSelected="1" workbookViewId="0">
      <selection activeCell="I13" sqref="I13"/>
    </sheetView>
  </sheetViews>
  <sheetFormatPr defaultRowHeight="13.2" x14ac:dyDescent="0.25"/>
  <cols>
    <col min="3" max="3" width="6" customWidth="1"/>
    <col min="4" max="4" width="10.6640625" customWidth="1"/>
  </cols>
  <sheetData>
    <row r="1" spans="1:10" x14ac:dyDescent="0.25">
      <c r="C1" s="1" t="s">
        <v>0</v>
      </c>
    </row>
    <row r="4" spans="1:10" s="2" customFormat="1" x14ac:dyDescent="0.25">
      <c r="A4" s="11" t="s">
        <v>1</v>
      </c>
      <c r="B4" s="12" t="s">
        <v>2</v>
      </c>
      <c r="C4" s="11"/>
      <c r="D4" s="11"/>
      <c r="E4" s="11"/>
      <c r="F4" s="11"/>
      <c r="G4" s="11"/>
      <c r="H4" s="11"/>
      <c r="I4" s="11"/>
      <c r="J4" s="11"/>
    </row>
    <row r="5" spans="1:10" x14ac:dyDescent="0.25">
      <c r="B5" t="s">
        <v>3</v>
      </c>
      <c r="E5" s="3" t="s">
        <v>4</v>
      </c>
    </row>
    <row r="6" spans="1:10" x14ac:dyDescent="0.25">
      <c r="B6" t="s">
        <v>5</v>
      </c>
      <c r="E6" s="3">
        <v>10</v>
      </c>
      <c r="F6" t="s">
        <v>6</v>
      </c>
    </row>
    <row r="8" spans="1:10" s="2" customFormat="1" x14ac:dyDescent="0.25">
      <c r="A8" s="11" t="s">
        <v>7</v>
      </c>
      <c r="B8" s="12" t="s">
        <v>8</v>
      </c>
      <c r="C8" s="11"/>
      <c r="D8" s="11"/>
      <c r="E8" s="11"/>
      <c r="F8" s="11"/>
      <c r="G8" s="11"/>
      <c r="H8" s="11"/>
      <c r="I8" s="11"/>
      <c r="J8" s="11"/>
    </row>
    <row r="9" spans="1:10" x14ac:dyDescent="0.25">
      <c r="A9" s="4">
        <v>2.1</v>
      </c>
      <c r="B9" s="8" t="s">
        <v>9</v>
      </c>
      <c r="C9" s="9"/>
      <c r="D9" s="9"/>
      <c r="E9" s="9"/>
      <c r="F9" t="s">
        <v>10</v>
      </c>
    </row>
    <row r="11" spans="1:10" x14ac:dyDescent="0.25">
      <c r="B11" t="s">
        <v>11</v>
      </c>
      <c r="D11">
        <f>D15*D16*D17</f>
        <v>331.70000000000005</v>
      </c>
      <c r="E11" t="s">
        <v>12</v>
      </c>
    </row>
    <row r="12" spans="1:10" x14ac:dyDescent="0.25">
      <c r="C12" t="s">
        <v>13</v>
      </c>
      <c r="D12" s="4">
        <f>D11*POWER(3.28,3)</f>
        <v>11704.880998399998</v>
      </c>
      <c r="E12" t="s">
        <v>14</v>
      </c>
    </row>
    <row r="14" spans="1:10" x14ac:dyDescent="0.25">
      <c r="B14" s="8" t="s">
        <v>15</v>
      </c>
    </row>
    <row r="15" spans="1:10" x14ac:dyDescent="0.25">
      <c r="B15" t="s">
        <v>16</v>
      </c>
      <c r="D15">
        <v>10.7</v>
      </c>
      <c r="E15" t="s">
        <v>17</v>
      </c>
    </row>
    <row r="16" spans="1:10" x14ac:dyDescent="0.25">
      <c r="B16" t="s">
        <v>18</v>
      </c>
      <c r="D16">
        <v>6.2</v>
      </c>
      <c r="E16" t="s">
        <v>17</v>
      </c>
    </row>
    <row r="17" spans="1:7" x14ac:dyDescent="0.25">
      <c r="B17" t="s">
        <v>19</v>
      </c>
      <c r="D17">
        <v>5</v>
      </c>
      <c r="E17" t="s">
        <v>17</v>
      </c>
    </row>
    <row r="19" spans="1:7" x14ac:dyDescent="0.25">
      <c r="B19" t="s">
        <v>5</v>
      </c>
      <c r="E19">
        <v>10</v>
      </c>
      <c r="F19" t="s">
        <v>20</v>
      </c>
    </row>
    <row r="20" spans="1:7" x14ac:dyDescent="0.25">
      <c r="B20" t="s">
        <v>21</v>
      </c>
    </row>
    <row r="21" spans="1:7" x14ac:dyDescent="0.25">
      <c r="B21" t="s">
        <v>22</v>
      </c>
      <c r="F21" s="5">
        <f>E19*D12</f>
        <v>117048.80998399998</v>
      </c>
      <c r="G21" t="s">
        <v>23</v>
      </c>
    </row>
    <row r="22" spans="1:7" x14ac:dyDescent="0.25">
      <c r="E22" t="s">
        <v>24</v>
      </c>
      <c r="F22" s="5">
        <f>F21/60</f>
        <v>1950.8134997333329</v>
      </c>
      <c r="G22" t="s">
        <v>25</v>
      </c>
    </row>
    <row r="25" spans="1:7" x14ac:dyDescent="0.25">
      <c r="B25" t="s">
        <v>26</v>
      </c>
      <c r="D25" t="s">
        <v>27</v>
      </c>
    </row>
    <row r="26" spans="1:7" x14ac:dyDescent="0.25">
      <c r="B26" t="s">
        <v>28</v>
      </c>
      <c r="D26" s="5">
        <v>2000</v>
      </c>
      <c r="E26" t="s">
        <v>25</v>
      </c>
      <c r="F26" t="s">
        <v>29</v>
      </c>
      <c r="G26" t="s">
        <v>30</v>
      </c>
    </row>
    <row r="29" spans="1:7" x14ac:dyDescent="0.25">
      <c r="A29" s="4">
        <v>2.2000000000000002</v>
      </c>
      <c r="B29" s="8" t="s">
        <v>31</v>
      </c>
      <c r="C29" s="9"/>
      <c r="D29" s="9"/>
      <c r="E29" s="9"/>
      <c r="F29" t="s">
        <v>10</v>
      </c>
    </row>
    <row r="31" spans="1:7" x14ac:dyDescent="0.25">
      <c r="B31" t="s">
        <v>11</v>
      </c>
      <c r="D31">
        <f>D35*D36*D37</f>
        <v>278.2</v>
      </c>
      <c r="E31" t="s">
        <v>12</v>
      </c>
    </row>
    <row r="32" spans="1:7" x14ac:dyDescent="0.25">
      <c r="C32" t="s">
        <v>13</v>
      </c>
      <c r="D32" s="4">
        <f>D31*POWER(3.28,3)</f>
        <v>9816.9969663999964</v>
      </c>
      <c r="E32" t="s">
        <v>14</v>
      </c>
    </row>
    <row r="34" spans="2:7" x14ac:dyDescent="0.25">
      <c r="B34" s="8" t="s">
        <v>15</v>
      </c>
    </row>
    <row r="35" spans="2:7" x14ac:dyDescent="0.25">
      <c r="B35" t="s">
        <v>16</v>
      </c>
      <c r="D35">
        <v>10.7</v>
      </c>
      <c r="E35" t="s">
        <v>17</v>
      </c>
    </row>
    <row r="36" spans="2:7" x14ac:dyDescent="0.25">
      <c r="B36" t="s">
        <v>18</v>
      </c>
      <c r="D36">
        <v>5.2</v>
      </c>
      <c r="E36" t="s">
        <v>17</v>
      </c>
    </row>
    <row r="37" spans="2:7" x14ac:dyDescent="0.25">
      <c r="B37" t="s">
        <v>19</v>
      </c>
      <c r="D37">
        <v>5</v>
      </c>
      <c r="E37" t="s">
        <v>17</v>
      </c>
    </row>
    <row r="39" spans="2:7" x14ac:dyDescent="0.25">
      <c r="B39" t="s">
        <v>5</v>
      </c>
      <c r="E39">
        <v>10</v>
      </c>
      <c r="F39" t="s">
        <v>20</v>
      </c>
    </row>
    <row r="40" spans="2:7" x14ac:dyDescent="0.25">
      <c r="B40" t="s">
        <v>21</v>
      </c>
    </row>
    <row r="41" spans="2:7" x14ac:dyDescent="0.25">
      <c r="B41" t="s">
        <v>22</v>
      </c>
      <c r="F41" s="5">
        <f>E39*D32</f>
        <v>98169.96966399996</v>
      </c>
      <c r="G41" t="s">
        <v>23</v>
      </c>
    </row>
    <row r="42" spans="2:7" x14ac:dyDescent="0.25">
      <c r="E42" t="s">
        <v>24</v>
      </c>
      <c r="F42" s="5">
        <f>F41/60</f>
        <v>1636.1661610666661</v>
      </c>
      <c r="G42" t="s">
        <v>25</v>
      </c>
    </row>
    <row r="45" spans="2:7" x14ac:dyDescent="0.25">
      <c r="B45" t="s">
        <v>26</v>
      </c>
      <c r="D45" t="s">
        <v>27</v>
      </c>
    </row>
    <row r="46" spans="2:7" x14ac:dyDescent="0.25">
      <c r="B46" t="s">
        <v>28</v>
      </c>
      <c r="D46" s="5">
        <v>1600</v>
      </c>
      <c r="E46" t="s">
        <v>25</v>
      </c>
      <c r="F46" t="s">
        <v>29</v>
      </c>
      <c r="G46" t="s">
        <v>30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758-3C16-46F2-A1C0-3CE076070888}">
  <dimension ref="A1:J46"/>
  <sheetViews>
    <sheetView topLeftCell="A13" workbookViewId="0">
      <selection activeCell="B34" sqref="B34"/>
    </sheetView>
  </sheetViews>
  <sheetFormatPr defaultRowHeight="13.2" x14ac:dyDescent="0.25"/>
  <cols>
    <col min="3" max="3" width="6" customWidth="1"/>
    <col min="4" max="4" width="10.6640625" customWidth="1"/>
  </cols>
  <sheetData>
    <row r="1" spans="1:10" x14ac:dyDescent="0.25">
      <c r="C1" s="1" t="s">
        <v>0</v>
      </c>
    </row>
    <row r="4" spans="1:10" s="2" customFormat="1" x14ac:dyDescent="0.25">
      <c r="A4" s="11" t="s">
        <v>1</v>
      </c>
      <c r="B4" s="12" t="s">
        <v>2</v>
      </c>
      <c r="C4" s="11"/>
      <c r="D4" s="11"/>
      <c r="E4" s="11"/>
      <c r="F4" s="11"/>
      <c r="G4" s="11"/>
      <c r="H4" s="11"/>
      <c r="I4" s="11"/>
      <c r="J4" s="11"/>
    </row>
    <row r="5" spans="1:10" x14ac:dyDescent="0.25">
      <c r="B5" t="s">
        <v>3</v>
      </c>
      <c r="E5" s="3" t="s">
        <v>4</v>
      </c>
    </row>
    <row r="6" spans="1:10" x14ac:dyDescent="0.25">
      <c r="B6" t="s">
        <v>5</v>
      </c>
      <c r="E6" s="3">
        <v>10</v>
      </c>
      <c r="F6" t="s">
        <v>6</v>
      </c>
    </row>
    <row r="8" spans="1:10" s="2" customFormat="1" x14ac:dyDescent="0.25">
      <c r="A8" s="11" t="s">
        <v>7</v>
      </c>
      <c r="B8" s="12" t="s">
        <v>8</v>
      </c>
      <c r="C8" s="11"/>
      <c r="D8" s="11"/>
      <c r="E8" s="11"/>
      <c r="F8" s="11"/>
      <c r="G8" s="11"/>
      <c r="H8" s="11"/>
      <c r="I8" s="11"/>
      <c r="J8" s="11"/>
    </row>
    <row r="9" spans="1:10" x14ac:dyDescent="0.25">
      <c r="A9" s="4">
        <v>2.1</v>
      </c>
      <c r="B9" s="8" t="s">
        <v>9</v>
      </c>
      <c r="C9" s="9"/>
      <c r="D9" s="9"/>
      <c r="E9" s="9"/>
      <c r="F9" t="s">
        <v>32</v>
      </c>
    </row>
    <row r="11" spans="1:10" x14ac:dyDescent="0.25">
      <c r="B11" t="s">
        <v>11</v>
      </c>
      <c r="D11">
        <f>D15*D16*D17</f>
        <v>248</v>
      </c>
      <c r="E11" t="s">
        <v>12</v>
      </c>
    </row>
    <row r="12" spans="1:10" x14ac:dyDescent="0.25">
      <c r="C12" t="s">
        <v>13</v>
      </c>
      <c r="D12" s="4">
        <f>D11*POWER(3.28,3)</f>
        <v>8751.3128959999976</v>
      </c>
      <c r="E12" t="s">
        <v>14</v>
      </c>
    </row>
    <row r="14" spans="1:10" x14ac:dyDescent="0.25">
      <c r="B14" s="8" t="s">
        <v>15</v>
      </c>
    </row>
    <row r="15" spans="1:10" x14ac:dyDescent="0.25">
      <c r="B15" t="s">
        <v>16</v>
      </c>
      <c r="D15">
        <v>8</v>
      </c>
      <c r="E15" t="s">
        <v>17</v>
      </c>
    </row>
    <row r="16" spans="1:10" x14ac:dyDescent="0.25">
      <c r="B16" t="s">
        <v>18</v>
      </c>
      <c r="D16">
        <v>6.2</v>
      </c>
      <c r="E16" t="s">
        <v>17</v>
      </c>
    </row>
    <row r="17" spans="1:7" x14ac:dyDescent="0.25">
      <c r="B17" t="s">
        <v>19</v>
      </c>
      <c r="D17">
        <v>5</v>
      </c>
      <c r="E17" t="s">
        <v>17</v>
      </c>
    </row>
    <row r="19" spans="1:7" x14ac:dyDescent="0.25">
      <c r="B19" t="s">
        <v>5</v>
      </c>
      <c r="E19">
        <v>10</v>
      </c>
      <c r="F19" t="s">
        <v>20</v>
      </c>
    </row>
    <row r="20" spans="1:7" x14ac:dyDescent="0.25">
      <c r="B20" t="s">
        <v>21</v>
      </c>
    </row>
    <row r="21" spans="1:7" x14ac:dyDescent="0.25">
      <c r="B21" t="s">
        <v>22</v>
      </c>
      <c r="F21" s="5">
        <f>E19*D12</f>
        <v>87513.128959999973</v>
      </c>
      <c r="G21" t="s">
        <v>23</v>
      </c>
    </row>
    <row r="22" spans="1:7" x14ac:dyDescent="0.25">
      <c r="E22" t="s">
        <v>24</v>
      </c>
      <c r="F22" s="5">
        <f>F21/60</f>
        <v>1458.5521493333329</v>
      </c>
      <c r="G22" t="s">
        <v>25</v>
      </c>
    </row>
    <row r="25" spans="1:7" x14ac:dyDescent="0.25">
      <c r="B25" t="s">
        <v>26</v>
      </c>
      <c r="D25" t="s">
        <v>27</v>
      </c>
    </row>
    <row r="26" spans="1:7" x14ac:dyDescent="0.25">
      <c r="B26" t="s">
        <v>28</v>
      </c>
      <c r="D26" s="5">
        <v>1600</v>
      </c>
      <c r="E26" t="s">
        <v>25</v>
      </c>
      <c r="F26" t="s">
        <v>29</v>
      </c>
      <c r="G26" t="s">
        <v>30</v>
      </c>
    </row>
    <row r="29" spans="1:7" x14ac:dyDescent="0.25">
      <c r="A29" s="4">
        <v>2.2000000000000002</v>
      </c>
      <c r="B29" s="8" t="s">
        <v>31</v>
      </c>
      <c r="C29" s="9"/>
      <c r="D29" s="9"/>
      <c r="E29" s="9"/>
      <c r="F29" t="s">
        <v>32</v>
      </c>
    </row>
    <row r="31" spans="1:7" x14ac:dyDescent="0.25">
      <c r="B31" t="s">
        <v>11</v>
      </c>
      <c r="D31">
        <f>D35*D36*D37</f>
        <v>208</v>
      </c>
      <c r="E31" t="s">
        <v>12</v>
      </c>
    </row>
    <row r="32" spans="1:7" x14ac:dyDescent="0.25">
      <c r="C32" t="s">
        <v>13</v>
      </c>
      <c r="D32" s="4">
        <f>D31*POWER(3.28,3)</f>
        <v>7339.8108159999983</v>
      </c>
      <c r="E32" t="s">
        <v>14</v>
      </c>
    </row>
    <row r="34" spans="2:7" x14ac:dyDescent="0.25">
      <c r="B34" s="8" t="s">
        <v>15</v>
      </c>
    </row>
    <row r="35" spans="2:7" x14ac:dyDescent="0.25">
      <c r="B35" t="s">
        <v>16</v>
      </c>
      <c r="D35">
        <v>8</v>
      </c>
      <c r="E35" t="s">
        <v>17</v>
      </c>
    </row>
    <row r="36" spans="2:7" x14ac:dyDescent="0.25">
      <c r="B36" t="s">
        <v>18</v>
      </c>
      <c r="D36">
        <v>5.2</v>
      </c>
      <c r="E36" t="s">
        <v>17</v>
      </c>
    </row>
    <row r="37" spans="2:7" x14ac:dyDescent="0.25">
      <c r="B37" t="s">
        <v>19</v>
      </c>
      <c r="D37">
        <v>5</v>
      </c>
      <c r="E37" t="s">
        <v>17</v>
      </c>
    </row>
    <row r="39" spans="2:7" x14ac:dyDescent="0.25">
      <c r="B39" t="s">
        <v>5</v>
      </c>
      <c r="E39">
        <v>10</v>
      </c>
      <c r="F39" t="s">
        <v>20</v>
      </c>
    </row>
    <row r="40" spans="2:7" x14ac:dyDescent="0.25">
      <c r="B40" t="s">
        <v>21</v>
      </c>
    </row>
    <row r="41" spans="2:7" x14ac:dyDescent="0.25">
      <c r="B41" t="s">
        <v>22</v>
      </c>
      <c r="F41" s="5">
        <f>E39*D32</f>
        <v>73398.108159999989</v>
      </c>
      <c r="G41" t="s">
        <v>23</v>
      </c>
    </row>
    <row r="42" spans="2:7" x14ac:dyDescent="0.25">
      <c r="E42" t="s">
        <v>24</v>
      </c>
      <c r="F42" s="5">
        <f>F41/60</f>
        <v>1223.3018026666664</v>
      </c>
      <c r="G42" t="s">
        <v>25</v>
      </c>
    </row>
    <row r="45" spans="2:7" x14ac:dyDescent="0.25">
      <c r="B45" t="s">
        <v>26</v>
      </c>
      <c r="D45" t="s">
        <v>27</v>
      </c>
    </row>
    <row r="46" spans="2:7" x14ac:dyDescent="0.25">
      <c r="B46" t="s">
        <v>28</v>
      </c>
      <c r="D46" s="5">
        <v>1200</v>
      </c>
      <c r="E46" t="s">
        <v>25</v>
      </c>
      <c r="F46" t="s">
        <v>29</v>
      </c>
      <c r="G46" t="s">
        <v>30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46C1-173F-4252-AE4F-CAC0E5BC8972}">
  <dimension ref="A1:K46"/>
  <sheetViews>
    <sheetView workbookViewId="0">
      <selection activeCell="G37" sqref="G37"/>
    </sheetView>
  </sheetViews>
  <sheetFormatPr defaultRowHeight="13.2" x14ac:dyDescent="0.25"/>
  <cols>
    <col min="3" max="3" width="6" customWidth="1"/>
    <col min="4" max="4" width="10.6640625" customWidth="1"/>
  </cols>
  <sheetData>
    <row r="1" spans="1:11" x14ac:dyDescent="0.25">
      <c r="C1" s="1" t="s">
        <v>0</v>
      </c>
    </row>
    <row r="4" spans="1:11" s="2" customFormat="1" x14ac:dyDescent="0.25">
      <c r="A4" s="6" t="s">
        <v>1</v>
      </c>
      <c r="B4" s="7" t="s">
        <v>2</v>
      </c>
      <c r="C4" s="6"/>
      <c r="D4" s="6"/>
      <c r="E4" s="6"/>
      <c r="F4" s="6"/>
      <c r="G4" s="6"/>
      <c r="H4" s="6"/>
      <c r="I4" s="6"/>
    </row>
    <row r="5" spans="1:11" x14ac:dyDescent="0.25">
      <c r="B5" t="s">
        <v>3</v>
      </c>
      <c r="E5" s="3" t="s">
        <v>4</v>
      </c>
    </row>
    <row r="6" spans="1:11" x14ac:dyDescent="0.25">
      <c r="B6" t="s">
        <v>5</v>
      </c>
      <c r="E6" s="3">
        <v>10</v>
      </c>
      <c r="F6" t="s">
        <v>6</v>
      </c>
      <c r="K6" s="10"/>
    </row>
    <row r="8" spans="1:11" s="2" customFormat="1" x14ac:dyDescent="0.25">
      <c r="A8" s="6" t="s">
        <v>7</v>
      </c>
      <c r="B8" s="7" t="s">
        <v>8</v>
      </c>
      <c r="C8" s="6"/>
      <c r="D8" s="6"/>
      <c r="E8" s="6"/>
      <c r="F8" s="6"/>
      <c r="G8" s="6"/>
      <c r="H8" s="6"/>
      <c r="I8" s="6"/>
    </row>
    <row r="9" spans="1:11" x14ac:dyDescent="0.25">
      <c r="A9" s="4">
        <v>2.1</v>
      </c>
      <c r="B9" s="8" t="s">
        <v>9</v>
      </c>
      <c r="C9" s="9"/>
      <c r="D9" s="9"/>
      <c r="E9" s="9"/>
      <c r="F9" t="s">
        <v>33</v>
      </c>
    </row>
    <row r="11" spans="1:11" x14ac:dyDescent="0.25">
      <c r="B11" t="s">
        <v>11</v>
      </c>
      <c r="D11">
        <f>D15*D16*D17</f>
        <v>126</v>
      </c>
      <c r="E11" t="s">
        <v>12</v>
      </c>
    </row>
    <row r="12" spans="1:11" x14ac:dyDescent="0.25">
      <c r="C12" t="s">
        <v>13</v>
      </c>
      <c r="D12" s="4">
        <f>D11*POWER(3.28,3)</f>
        <v>4446.2315519999993</v>
      </c>
      <c r="E12" t="s">
        <v>14</v>
      </c>
    </row>
    <row r="14" spans="1:11" x14ac:dyDescent="0.25">
      <c r="B14" s="8" t="s">
        <v>15</v>
      </c>
    </row>
    <row r="15" spans="1:11" x14ac:dyDescent="0.25">
      <c r="B15" t="s">
        <v>16</v>
      </c>
      <c r="D15">
        <v>6</v>
      </c>
      <c r="E15" t="s">
        <v>17</v>
      </c>
    </row>
    <row r="16" spans="1:11" x14ac:dyDescent="0.25">
      <c r="B16" t="s">
        <v>18</v>
      </c>
      <c r="D16">
        <v>6</v>
      </c>
      <c r="E16" t="s">
        <v>17</v>
      </c>
    </row>
    <row r="17" spans="1:7" x14ac:dyDescent="0.25">
      <c r="B17" t="s">
        <v>19</v>
      </c>
      <c r="D17">
        <v>3.5</v>
      </c>
      <c r="E17" t="s">
        <v>17</v>
      </c>
    </row>
    <row r="19" spans="1:7" x14ac:dyDescent="0.25">
      <c r="B19" t="s">
        <v>5</v>
      </c>
      <c r="E19">
        <v>10</v>
      </c>
      <c r="F19" t="s">
        <v>20</v>
      </c>
    </row>
    <row r="20" spans="1:7" x14ac:dyDescent="0.25">
      <c r="B20" t="s">
        <v>21</v>
      </c>
    </row>
    <row r="21" spans="1:7" x14ac:dyDescent="0.25">
      <c r="B21" t="s">
        <v>22</v>
      </c>
      <c r="F21" s="5">
        <f>E19*D12</f>
        <v>44462.315519999989</v>
      </c>
      <c r="G21" t="s">
        <v>23</v>
      </c>
    </row>
    <row r="22" spans="1:7" x14ac:dyDescent="0.25">
      <c r="E22" t="s">
        <v>24</v>
      </c>
      <c r="F22" s="5">
        <f>F21/60</f>
        <v>741.03859199999977</v>
      </c>
      <c r="G22" t="s">
        <v>25</v>
      </c>
    </row>
    <row r="25" spans="1:7" x14ac:dyDescent="0.25">
      <c r="B25" t="s">
        <v>34</v>
      </c>
    </row>
    <row r="26" spans="1:7" x14ac:dyDescent="0.25">
      <c r="B26" t="s">
        <v>28</v>
      </c>
      <c r="D26" s="5">
        <f>F22</f>
        <v>741.03859199999977</v>
      </c>
      <c r="E26" t="s">
        <v>25</v>
      </c>
      <c r="F26" t="s">
        <v>29</v>
      </c>
      <c r="G26" t="s">
        <v>30</v>
      </c>
    </row>
    <row r="29" spans="1:7" x14ac:dyDescent="0.25">
      <c r="A29" s="4">
        <v>2.2000000000000002</v>
      </c>
      <c r="B29" s="8" t="s">
        <v>31</v>
      </c>
      <c r="C29" s="9"/>
      <c r="D29" s="9"/>
      <c r="E29" s="9"/>
      <c r="F29" t="s">
        <v>33</v>
      </c>
    </row>
    <row r="31" spans="1:7" x14ac:dyDescent="0.25">
      <c r="B31" t="s">
        <v>11</v>
      </c>
      <c r="D31">
        <f>D35*D36*D37</f>
        <v>300</v>
      </c>
      <c r="E31" t="s">
        <v>12</v>
      </c>
    </row>
    <row r="32" spans="1:7" x14ac:dyDescent="0.25">
      <c r="C32" t="s">
        <v>13</v>
      </c>
      <c r="D32" s="4">
        <f>D31*POWER(3.28,3)</f>
        <v>10586.265599999997</v>
      </c>
      <c r="E32" t="s">
        <v>14</v>
      </c>
    </row>
    <row r="34" spans="2:7" x14ac:dyDescent="0.25">
      <c r="B34" s="8" t="s">
        <v>15</v>
      </c>
    </row>
    <row r="35" spans="2:7" x14ac:dyDescent="0.25">
      <c r="B35" t="s">
        <v>16</v>
      </c>
      <c r="D35">
        <v>8</v>
      </c>
      <c r="E35" t="s">
        <v>17</v>
      </c>
    </row>
    <row r="36" spans="2:7" x14ac:dyDescent="0.25">
      <c r="B36" t="s">
        <v>18</v>
      </c>
      <c r="D36">
        <v>7.5</v>
      </c>
      <c r="E36" t="s">
        <v>17</v>
      </c>
    </row>
    <row r="37" spans="2:7" x14ac:dyDescent="0.25">
      <c r="B37" t="s">
        <v>19</v>
      </c>
      <c r="D37">
        <v>5</v>
      </c>
      <c r="E37" t="s">
        <v>17</v>
      </c>
    </row>
    <row r="39" spans="2:7" x14ac:dyDescent="0.25">
      <c r="B39" t="s">
        <v>5</v>
      </c>
      <c r="E39">
        <v>10</v>
      </c>
      <c r="F39" t="s">
        <v>20</v>
      </c>
    </row>
    <row r="40" spans="2:7" x14ac:dyDescent="0.25">
      <c r="B40" t="s">
        <v>21</v>
      </c>
    </row>
    <row r="41" spans="2:7" x14ac:dyDescent="0.25">
      <c r="B41" t="s">
        <v>22</v>
      </c>
      <c r="F41" s="5">
        <f>E39*D32</f>
        <v>105862.65599999997</v>
      </c>
      <c r="G41" t="s">
        <v>23</v>
      </c>
    </row>
    <row r="42" spans="2:7" x14ac:dyDescent="0.25">
      <c r="E42" t="s">
        <v>24</v>
      </c>
      <c r="F42" s="5">
        <f>F41/60</f>
        <v>1764.3775999999996</v>
      </c>
      <c r="G42" t="s">
        <v>25</v>
      </c>
    </row>
    <row r="45" spans="2:7" x14ac:dyDescent="0.25">
      <c r="B45" t="s">
        <v>34</v>
      </c>
    </row>
    <row r="46" spans="2:7" x14ac:dyDescent="0.25">
      <c r="B46" t="s">
        <v>28</v>
      </c>
      <c r="D46" s="5">
        <f>F42</f>
        <v>1764.3775999999996</v>
      </c>
      <c r="E46" t="s">
        <v>25</v>
      </c>
      <c r="F46" t="s">
        <v>29</v>
      </c>
      <c r="G46" t="s">
        <v>30</v>
      </c>
    </row>
  </sheetData>
  <phoneticPr fontId="3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 LT -04</vt:lpstr>
      <vt:lpstr>HT LT-1,5,6</vt:lpstr>
      <vt:lpstr>HT LT-2,3</vt:lpstr>
    </vt:vector>
  </TitlesOfParts>
  <Company>AL-DOWAILAH CONSULTANT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 A Othman</dc:creator>
  <cp:lastModifiedBy>Ankesh Mishra</cp:lastModifiedBy>
  <cp:lastPrinted>2006-03-08T14:27:04Z</cp:lastPrinted>
  <dcterms:created xsi:type="dcterms:W3CDTF">2004-02-22T09:06:06Z</dcterms:created>
  <dcterms:modified xsi:type="dcterms:W3CDTF">2025-03-20T12:01:08Z</dcterms:modified>
</cp:coreProperties>
</file>