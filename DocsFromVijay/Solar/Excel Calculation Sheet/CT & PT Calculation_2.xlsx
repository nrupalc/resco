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KESH MISHRA\@FLASYS\Sales\@Online Selling Service\Solar Documents Bundle\@Ready to Deliver\"/>
    </mc:Choice>
  </mc:AlternateContent>
  <xr:revisionPtr revIDLastSave="0" documentId="13_ncr:1_{CF380C93-6B6C-44E6-B752-CFAE12BA1F47}" xr6:coauthVersionLast="47" xr6:coauthVersionMax="47" xr10:uidLastSave="{00000000-0000-0000-0000-000000000000}"/>
  <bookViews>
    <workbookView xWindow="-108" yWindow="-108" windowWidth="23256" windowHeight="12456" xr2:uid="{5CD26997-3388-41C5-AC01-5FC82F2324AB}"/>
  </bookViews>
  <sheets>
    <sheet name="CT &amp; VA BURDEN" sheetId="2" r:id="rId1"/>
    <sheet name="KNEE POINT VOLTAGE" sheetId="3" r:id="rId2"/>
  </sheets>
  <definedNames>
    <definedName name="_xlnm.Print_Area" localSheetId="0">'CT &amp; VA BURDEN'!$A$1:$O$152</definedName>
    <definedName name="_xlnm.Print_Area" localSheetId="1">'KNEE POINT VOLTAGE'!$A$1:$P$54</definedName>
    <definedName name="_xlnm.Print_Titles" localSheetId="0">'CT &amp; VA BURDEN'!$1:$5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" i="2" l="1"/>
  <c r="O9" i="2" s="1"/>
  <c r="K11" i="2"/>
  <c r="K12" i="2"/>
  <c r="L27" i="2"/>
  <c r="L43" i="2" s="1"/>
  <c r="L28" i="2"/>
  <c r="L29" i="2"/>
  <c r="L33" i="2"/>
  <c r="L34" i="2"/>
  <c r="L35" i="2"/>
  <c r="L36" i="2"/>
  <c r="L37" i="2"/>
  <c r="L38" i="2"/>
  <c r="L39" i="2"/>
  <c r="L40" i="2"/>
  <c r="L41" i="2"/>
  <c r="L42" i="2"/>
  <c r="O49" i="2"/>
  <c r="O53" i="2" s="1"/>
  <c r="O50" i="2"/>
  <c r="L51" i="2"/>
  <c r="L53" i="2" s="1"/>
  <c r="O52" i="2"/>
  <c r="L62" i="2"/>
  <c r="L67" i="2"/>
  <c r="L72" i="2"/>
  <c r="L77" i="2"/>
  <c r="L82" i="2"/>
  <c r="L87" i="2"/>
  <c r="L91" i="2"/>
  <c r="L92" i="2"/>
  <c r="L96" i="2"/>
  <c r="L98" i="2" s="1"/>
  <c r="L97" i="2"/>
  <c r="L105" i="2"/>
  <c r="L112" i="2"/>
  <c r="L117" i="2"/>
  <c r="L124" i="2"/>
  <c r="O124" i="2"/>
  <c r="O130" i="2"/>
  <c r="L131" i="2"/>
  <c r="O131" i="2"/>
  <c r="I25" i="3"/>
  <c r="I28" i="3"/>
  <c r="K13" i="3"/>
  <c r="I12" i="3"/>
</calcChain>
</file>

<file path=xl/sharedStrings.xml><?xml version="1.0" encoding="utf-8"?>
<sst xmlns="http://schemas.openxmlformats.org/spreadsheetml/2006/main" count="333" uniqueCount="158">
  <si>
    <t>SYSTEM DETAILS</t>
  </si>
  <si>
    <t>:</t>
  </si>
  <si>
    <t>=</t>
  </si>
  <si>
    <t>MW</t>
  </si>
  <si>
    <t>KV</t>
  </si>
  <si>
    <t>Ohms</t>
  </si>
  <si>
    <t>Revision</t>
  </si>
  <si>
    <t>Date</t>
  </si>
  <si>
    <t>Total Burden</t>
  </si>
  <si>
    <t>Total Burden in VA</t>
  </si>
  <si>
    <t>Qty</t>
  </si>
  <si>
    <t>Burden in VA</t>
  </si>
  <si>
    <t>No.</t>
  </si>
  <si>
    <t>Description</t>
  </si>
  <si>
    <t>Sl.</t>
  </si>
  <si>
    <t>-</t>
  </si>
  <si>
    <t>AVR Cards</t>
  </si>
  <si>
    <t>AVR Droop Ckt.</t>
  </si>
  <si>
    <t>PF Meter</t>
  </si>
  <si>
    <t>Voltmeter</t>
  </si>
  <si>
    <t>No Volt Relays</t>
  </si>
  <si>
    <t>Check Synchronising Relay</t>
  </si>
  <si>
    <t>Autosynchroniser</t>
  </si>
  <si>
    <t>Synchroscope</t>
  </si>
  <si>
    <t>Double Frequency Meter</t>
  </si>
  <si>
    <t>Double Voltmeter</t>
  </si>
  <si>
    <t>Digital Frequency Meter</t>
  </si>
  <si>
    <t>Ammeter</t>
  </si>
  <si>
    <t>References :</t>
  </si>
  <si>
    <t>Amps</t>
  </si>
  <si>
    <t>Generator FLC</t>
  </si>
  <si>
    <r>
      <t>Ö3</t>
    </r>
    <r>
      <rPr>
        <sz val="12"/>
        <rFont val="Arial"/>
        <family val="2"/>
      </rPr>
      <t>VCos</t>
    </r>
    <r>
      <rPr>
        <sz val="12"/>
        <rFont val="Symbol"/>
        <family val="1"/>
        <charset val="2"/>
      </rPr>
      <t>F</t>
    </r>
  </si>
  <si>
    <r>
      <t>:</t>
    </r>
    <r>
      <rPr>
        <u/>
        <sz val="10"/>
        <rFont val="Arial"/>
        <family val="2"/>
      </rPr>
      <t xml:space="preserve">     KW     </t>
    </r>
  </si>
  <si>
    <t>Generator Voltage</t>
  </si>
  <si>
    <t>0.8</t>
  </si>
  <si>
    <t>Generator PF</t>
  </si>
  <si>
    <t>Generator Rating</t>
  </si>
  <si>
    <t>Consultant</t>
  </si>
  <si>
    <t>Client</t>
  </si>
  <si>
    <t>CT &amp; PT SIZING CALCULATION</t>
  </si>
  <si>
    <t>Ref.No.</t>
  </si>
  <si>
    <t>Project</t>
  </si>
  <si>
    <t xml:space="preserve"> </t>
  </si>
  <si>
    <t xml:space="preserve">PT Fuse failure </t>
  </si>
  <si>
    <t>PT Circuit (PT1 : Core-2) Protection Core</t>
  </si>
  <si>
    <t>PT Circuit (PT1: Core-1) Metering core</t>
  </si>
  <si>
    <t>:11 VA</t>
  </si>
  <si>
    <t>Total Burden on PT1: Core-1  ( Metering Core)</t>
  </si>
  <si>
    <t>:23VA</t>
  </si>
  <si>
    <t>Total Burden on Phase side CT 6.1-6.3(AVR)</t>
  </si>
  <si>
    <t>PT Circuit (PT2: Core-1)</t>
  </si>
  <si>
    <t>PT Circuit (PT2 : Core-2) Protection Core</t>
  </si>
  <si>
    <t>Total Burden on PT2: Core-1 (AVR)( Metering Core)</t>
  </si>
  <si>
    <t>:2 VA</t>
  </si>
  <si>
    <t>PQM Meter</t>
  </si>
  <si>
    <t xml:space="preserve">User </t>
  </si>
  <si>
    <t xml:space="preserve">Sub transient reactance </t>
  </si>
  <si>
    <t>Xd"</t>
  </si>
  <si>
    <t>%</t>
  </si>
  <si>
    <t>p.u.</t>
  </si>
  <si>
    <t>(Assumed)</t>
  </si>
  <si>
    <t>CT winding resistance</t>
  </si>
  <si>
    <t>Rct</t>
  </si>
  <si>
    <t>Primary CT current</t>
  </si>
  <si>
    <t>Secondary CT current</t>
  </si>
  <si>
    <t>Resistance of conn. Leads                                 or Cable resistance</t>
  </si>
  <si>
    <t>RL</t>
  </si>
  <si>
    <t>ohms</t>
  </si>
  <si>
    <t>considered 100M</t>
  </si>
  <si>
    <t>8.7 Ohms/KM</t>
  </si>
  <si>
    <t>Internal resistance of Relay</t>
  </si>
  <si>
    <t>Rp</t>
  </si>
  <si>
    <t xml:space="preserve">CT Knee point voltage </t>
  </si>
  <si>
    <t>Vkp</t>
  </si>
  <si>
    <t>2*If*.(Rct+RL+Rp) </t>
  </si>
  <si>
    <t>If</t>
  </si>
  <si>
    <t>kA</t>
  </si>
  <si>
    <t>If(sec)</t>
  </si>
  <si>
    <t>If(pri)/CT ratio</t>
  </si>
  <si>
    <t>Volts</t>
  </si>
  <si>
    <t>KNEE POINT VOLTAGE CALCULATION</t>
  </si>
  <si>
    <t>Selected Vkp = 250V. Hence safe.</t>
  </si>
  <si>
    <t>Multifunctional Relay(G60-2)</t>
  </si>
  <si>
    <t>Multifunctional Relay (G60-1)</t>
  </si>
  <si>
    <t>:0.25VA</t>
  </si>
  <si>
    <t>:2.25VA</t>
  </si>
  <si>
    <t>Total Burden on PT2: Core-2 ( Protection-G60-2)</t>
  </si>
  <si>
    <t>Total Burden on PT1: Core-2 ( Protection core-G60-1)</t>
  </si>
  <si>
    <t>Multifunction relay(G60-1)</t>
  </si>
  <si>
    <t>Multifunction relay(G60-2)</t>
  </si>
  <si>
    <t>:0.2 VA</t>
  </si>
  <si>
    <t>3VA</t>
  </si>
  <si>
    <t>Total Burden on Phase side  CT-1 ((64R)</t>
  </si>
  <si>
    <t>CT BURDEN</t>
  </si>
  <si>
    <t>PT BURDEN</t>
  </si>
  <si>
    <t>CT Circuit  (CT 7.1-.3) Protection core</t>
  </si>
  <si>
    <t>CT Circuit  (CBCT-1) Protection core</t>
  </si>
  <si>
    <t>CT Circuit  (CBCT-2) Protection core</t>
  </si>
  <si>
    <t>Total Burden on Phase side CBCT-1(67N)</t>
  </si>
  <si>
    <t>Total Burden on Phase side CT 7.1-3 (G60-2)</t>
  </si>
  <si>
    <t>Total Burden on Phase side CT 8.1-3 (G60-1)</t>
  </si>
  <si>
    <t>Total Burden on Phase side  CBCT-2 (64R)</t>
  </si>
  <si>
    <t>Tri Vector Meter</t>
  </si>
  <si>
    <t>:1VA</t>
  </si>
  <si>
    <t>Total Burden on Phase side CT 9.1-3 (TVM)</t>
  </si>
  <si>
    <t>CT Circuit  (CT 8.1-3 ) Protection core</t>
  </si>
  <si>
    <t>CT Circuit  (CT 6.1-6.3) Metering Core</t>
  </si>
  <si>
    <t>CT Circuit  (CT 9.1-3 ) metering core</t>
  </si>
  <si>
    <t>:48.2VA</t>
  </si>
  <si>
    <t>Total Burden on PT3: Core-1 (TVM)(Metering Core)</t>
  </si>
  <si>
    <t>Total Burden on PT3: Core-2 Spare</t>
  </si>
  <si>
    <t>PT circuit  (PT3:core-1 )metering core</t>
  </si>
  <si>
    <t>CT Circuit  (CT 2) Protection core</t>
  </si>
  <si>
    <t>CT Circuit  (CT 3 ) Protection core</t>
  </si>
  <si>
    <t>CT Circuit  (CT 4.1-3) Protection core</t>
  </si>
  <si>
    <t>CT Circuit  (CT 5.1-3 ) Protection core</t>
  </si>
  <si>
    <t>SELECTED BURDEN</t>
  </si>
  <si>
    <t>CAL. BURDEN</t>
  </si>
  <si>
    <t>PS CLASS</t>
  </si>
  <si>
    <t>20VA,CL: 5P20</t>
  </si>
  <si>
    <t>20VA,CL: 0.2</t>
  </si>
  <si>
    <t>10VA CL: 0.2</t>
  </si>
  <si>
    <t>20VA CL: 5P20</t>
  </si>
  <si>
    <t>CT Circuit  (CT 1) Protection core</t>
  </si>
  <si>
    <t xml:space="preserve">2. AVR Panel </t>
  </si>
  <si>
    <t xml:space="preserve">3. Generator Relay Panel (GRP) </t>
  </si>
  <si>
    <t>3.1 Generator Protection Relay(GPR-1 &amp; GPR-2)</t>
  </si>
  <si>
    <t>3.2. Directional Earth fault Relay(67N)</t>
  </si>
  <si>
    <t>CT Knee point voltage primary side</t>
  </si>
  <si>
    <t>Vkp =</t>
  </si>
  <si>
    <t>A</t>
  </si>
  <si>
    <t>(System fault level)</t>
  </si>
  <si>
    <t>Directional Earthfault Relay(67N)</t>
  </si>
  <si>
    <t>3.3.Restricted Earth Fault (64R)</t>
  </si>
  <si>
    <t>Restricted Earth fault Relay(64R)</t>
  </si>
  <si>
    <t>4. Tri Vector meter (TVM)</t>
  </si>
  <si>
    <t>50VA, CL. 0.2</t>
  </si>
  <si>
    <t>50VA, CL. 3P</t>
  </si>
  <si>
    <t>:1.5VA</t>
  </si>
  <si>
    <t>:3VA</t>
  </si>
  <si>
    <t>5. Tri Vector meter (TVM) - 3.3kV SWITCHBOARD</t>
  </si>
  <si>
    <t>CT-2,3,4&amp;5 metering core</t>
  </si>
  <si>
    <t>PT circuit  (BPT:core-1 )metering core</t>
  </si>
  <si>
    <t>: 11 KV</t>
  </si>
  <si>
    <t>(1.732*11*0.8)</t>
  </si>
  <si>
    <t>10.5 MW</t>
  </si>
  <si>
    <t xml:space="preserve">Hence the Selected CT ratio will be 1000/1-1 Amps. </t>
  </si>
  <si>
    <t>Total Burden on  CT 2 (MICOM P343-2)</t>
  </si>
  <si>
    <t>Total Burden on  CT 3 (MICOM P343-1)</t>
  </si>
  <si>
    <t>1X10.5 MW  POWER PLANT.</t>
  </si>
  <si>
    <t>2. MICOM Relay manual</t>
  </si>
  <si>
    <t>Digital TVM Meter</t>
  </si>
  <si>
    <t>1. TIE CB -1  TG Bulding Metering</t>
  </si>
  <si>
    <t xml:space="preserve"> 10 MW  POWER PLANT</t>
  </si>
  <si>
    <t>After 25% of Over current</t>
  </si>
  <si>
    <t>1. Secure Meter Catalogue</t>
  </si>
  <si>
    <t>https://www.flasysdesign.com/</t>
  </si>
  <si>
    <t>Email: contact@flasysdesign.com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</si>
</sst>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7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10"/>
      <name val="Tahoma"/>
      <family val="2"/>
    </font>
    <font>
      <b/>
      <sz val="8"/>
      <name val="Tahoma"/>
      <family val="2"/>
    </font>
    <font>
      <b/>
      <sz val="12"/>
      <name val="Tahoma"/>
      <family val="2"/>
    </font>
    <font>
      <u/>
      <sz val="10"/>
      <name val="Arial"/>
      <family val="2"/>
    </font>
    <font>
      <sz val="12"/>
      <name val="Arial"/>
      <family val="2"/>
    </font>
    <font>
      <sz val="12"/>
      <name val="Symbol"/>
      <family val="1"/>
      <charset val="2"/>
    </font>
    <font>
      <b/>
      <sz val="10"/>
      <name val="Arial"/>
      <family val="2"/>
    </font>
    <font>
      <sz val="9"/>
      <name val="Arial"/>
      <family val="2"/>
    </font>
    <font>
      <b/>
      <u/>
      <sz val="10"/>
      <name val="Arial"/>
      <family val="2"/>
    </font>
    <font>
      <b/>
      <sz val="12"/>
      <name val="Symbol"/>
      <family val="1"/>
      <charset val="2"/>
    </font>
    <font>
      <u/>
      <sz val="10"/>
      <name val="Arial"/>
      <family val="2"/>
    </font>
    <font>
      <sz val="10"/>
      <name val="Arial"/>
      <family val="2"/>
    </font>
    <font>
      <b/>
      <sz val="12"/>
      <name val="Bookman Old Style"/>
      <family val="1"/>
    </font>
    <font>
      <sz val="10"/>
      <color indexed="12"/>
      <name val="Bookman Old Style"/>
      <family val="1"/>
    </font>
    <font>
      <sz val="10"/>
      <color indexed="10"/>
      <name val="Bookman Old Style"/>
      <family val="1"/>
    </font>
    <font>
      <sz val="9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sz val="10"/>
      <color indexed="12"/>
      <name val="Arial"/>
      <family val="2"/>
    </font>
    <font>
      <sz val="11"/>
      <color indexed="12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u/>
      <sz val="10"/>
      <color theme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6" fillId="0" borderId="0" applyNumberFormat="0" applyFill="0" applyBorder="0" applyAlignment="0" applyProtection="0"/>
  </cellStyleXfs>
  <cellXfs count="231">
    <xf numFmtId="0" fontId="0" fillId="0" borderId="0" xfId="0"/>
    <xf numFmtId="0" fontId="2" fillId="0" borderId="0" xfId="0" applyFont="1"/>
    <xf numFmtId="0" fontId="6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 applyAlignment="1">
      <alignment horizontal="left"/>
    </xf>
    <xf numFmtId="0" fontId="9" fillId="0" borderId="0" xfId="0" quotePrefix="1" applyFont="1"/>
    <xf numFmtId="0" fontId="9" fillId="0" borderId="0" xfId="0" applyFont="1" applyAlignment="1">
      <alignment horizontal="center"/>
    </xf>
    <xf numFmtId="14" fontId="12" fillId="3" borderId="0" xfId="0" applyNumberFormat="1" applyFont="1" applyFill="1" applyAlignment="1">
      <alignment horizontal="left"/>
    </xf>
    <xf numFmtId="0" fontId="14" fillId="0" borderId="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4" fillId="3" borderId="0" xfId="0" applyFont="1" applyFill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quotePrefix="1" applyFont="1"/>
    <xf numFmtId="0" fontId="14" fillId="0" borderId="2" xfId="0" applyFont="1" applyBorder="1"/>
    <xf numFmtId="0" fontId="14" fillId="0" borderId="3" xfId="0" applyFont="1" applyBorder="1"/>
    <xf numFmtId="0" fontId="9" fillId="0" borderId="7" xfId="0" applyFont="1" applyBorder="1" applyAlignment="1">
      <alignment vertical="center"/>
    </xf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0" xfId="0" applyFont="1"/>
    <xf numFmtId="0" fontId="14" fillId="0" borderId="2" xfId="0" applyFont="1" applyBorder="1" applyAlignment="1">
      <alignment horizontal="center"/>
    </xf>
    <xf numFmtId="0" fontId="14" fillId="0" borderId="2" xfId="0" quotePrefix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4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2" xfId="0" applyFont="1" applyBorder="1"/>
    <xf numFmtId="47" fontId="14" fillId="0" borderId="2" xfId="0" quotePrefix="1" applyNumberFormat="1" applyFont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8" fillId="0" borderId="2" xfId="0" applyFont="1" applyBorder="1"/>
    <xf numFmtId="0" fontId="0" fillId="3" borderId="2" xfId="0" applyFill="1" applyBorder="1" applyAlignment="1">
      <alignment horizontal="center"/>
    </xf>
    <xf numFmtId="0" fontId="12" fillId="3" borderId="2" xfId="0" applyFont="1" applyFill="1" applyBorder="1" applyAlignment="1">
      <alignment horizontal="left"/>
    </xf>
    <xf numFmtId="0" fontId="14" fillId="3" borderId="2" xfId="0" applyFont="1" applyFill="1" applyBorder="1" applyAlignment="1">
      <alignment horizontal="left"/>
    </xf>
    <xf numFmtId="0" fontId="14" fillId="0" borderId="24" xfId="0" applyFont="1" applyBorder="1"/>
    <xf numFmtId="0" fontId="2" fillId="0" borderId="2" xfId="0" applyFont="1" applyBorder="1" applyAlignment="1">
      <alignment horizontal="left"/>
    </xf>
    <xf numFmtId="0" fontId="14" fillId="0" borderId="25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10" fillId="0" borderId="24" xfId="0" applyFont="1" applyBorder="1" applyAlignment="1">
      <alignment horizontal="left"/>
    </xf>
    <xf numFmtId="0" fontId="2" fillId="0" borderId="2" xfId="0" quotePrefix="1" applyFont="1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2" fillId="0" borderId="28" xfId="0" applyFont="1" applyBorder="1" applyAlignment="1">
      <alignment horizontal="left"/>
    </xf>
    <xf numFmtId="0" fontId="14" fillId="0" borderId="24" xfId="0" applyFont="1" applyBorder="1" applyAlignment="1">
      <alignment horizontal="center"/>
    </xf>
    <xf numFmtId="0" fontId="14" fillId="0" borderId="31" xfId="0" applyFont="1" applyBorder="1"/>
    <xf numFmtId="0" fontId="9" fillId="3" borderId="31" xfId="0" applyFont="1" applyFill="1" applyBorder="1"/>
    <xf numFmtId="0" fontId="14" fillId="0" borderId="22" xfId="0" applyFont="1" applyBorder="1"/>
    <xf numFmtId="0" fontId="14" fillId="0" borderId="31" xfId="0" applyFont="1" applyBorder="1" applyAlignment="1">
      <alignment horizontal="center"/>
    </xf>
    <xf numFmtId="0" fontId="14" fillId="0" borderId="31" xfId="0" quotePrefix="1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14" fillId="0" borderId="9" xfId="0" applyFont="1" applyBorder="1"/>
    <xf numFmtId="0" fontId="14" fillId="0" borderId="23" xfId="0" applyFont="1" applyBorder="1"/>
    <xf numFmtId="0" fontId="14" fillId="0" borderId="29" xfId="0" quotePrefix="1" applyFont="1" applyBorder="1" applyAlignment="1">
      <alignment horizontal="center"/>
    </xf>
    <xf numFmtId="0" fontId="14" fillId="0" borderId="32" xfId="0" applyFont="1" applyBorder="1"/>
    <xf numFmtId="0" fontId="14" fillId="0" borderId="22" xfId="0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2" fillId="0" borderId="1" xfId="0" applyFont="1" applyBorder="1"/>
    <xf numFmtId="0" fontId="14" fillId="0" borderId="1" xfId="0" quotePrefix="1" applyFont="1" applyBorder="1"/>
    <xf numFmtId="0" fontId="14" fillId="0" borderId="1" xfId="0" applyFont="1" applyBorder="1" applyAlignment="1">
      <alignment horizontal="left"/>
    </xf>
    <xf numFmtId="0" fontId="14" fillId="0" borderId="25" xfId="0" applyFont="1" applyBorder="1"/>
    <xf numFmtId="0" fontId="2" fillId="0" borderId="24" xfId="0" applyFont="1" applyBorder="1"/>
    <xf numFmtId="0" fontId="0" fillId="0" borderId="24" xfId="0" applyBorder="1"/>
    <xf numFmtId="0" fontId="0" fillId="0" borderId="3" xfId="0" applyBorder="1"/>
    <xf numFmtId="0" fontId="14" fillId="0" borderId="34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18" fillId="0" borderId="3" xfId="0" applyFont="1" applyBorder="1" applyAlignment="1">
      <alignment horizontal="left"/>
    </xf>
    <xf numFmtId="0" fontId="2" fillId="0" borderId="26" xfId="0" applyFont="1" applyBorder="1" applyAlignment="1">
      <alignment horizontal="left"/>
    </xf>
    <xf numFmtId="0" fontId="14" fillId="0" borderId="35" xfId="0" applyFont="1" applyBorder="1"/>
    <xf numFmtId="0" fontId="2" fillId="0" borderId="36" xfId="0" applyFont="1" applyBorder="1"/>
    <xf numFmtId="0" fontId="14" fillId="0" borderId="36" xfId="0" applyFont="1" applyBorder="1"/>
    <xf numFmtId="0" fontId="14" fillId="0" borderId="37" xfId="0" applyFont="1" applyBorder="1"/>
    <xf numFmtId="0" fontId="14" fillId="4" borderId="29" xfId="0" applyFont="1" applyFill="1" applyBorder="1" applyAlignment="1">
      <alignment horizontal="left" vertical="center"/>
    </xf>
    <xf numFmtId="0" fontId="3" fillId="4" borderId="30" xfId="0" applyFont="1" applyFill="1" applyBorder="1" applyAlignment="1" applyProtection="1">
      <alignment horizontal="left" vertical="center"/>
      <protection locked="0"/>
    </xf>
    <xf numFmtId="0" fontId="14" fillId="4" borderId="2" xfId="0" applyFont="1" applyFill="1" applyBorder="1" applyAlignment="1">
      <alignment horizontal="left" vertical="center"/>
    </xf>
    <xf numFmtId="0" fontId="3" fillId="4" borderId="31" xfId="0" applyFont="1" applyFill="1" applyBorder="1" applyAlignment="1" applyProtection="1">
      <alignment horizontal="left" vertical="center"/>
      <protection locked="0"/>
    </xf>
    <xf numFmtId="0" fontId="4" fillId="5" borderId="31" xfId="0" applyFont="1" applyFill="1" applyBorder="1" applyAlignment="1" applyProtection="1">
      <alignment horizontal="left" vertical="center"/>
      <protection locked="0"/>
    </xf>
    <xf numFmtId="0" fontId="4" fillId="5" borderId="31" xfId="0" applyFont="1" applyFill="1" applyBorder="1" applyAlignment="1" applyProtection="1">
      <alignment vertical="center"/>
      <protection locked="0"/>
    </xf>
    <xf numFmtId="0" fontId="9" fillId="5" borderId="2" xfId="0" applyFont="1" applyFill="1" applyBorder="1"/>
    <xf numFmtId="0" fontId="14" fillId="5" borderId="24" xfId="0" applyFont="1" applyFill="1" applyBorder="1" applyAlignment="1">
      <alignment horizontal="center" vertical="justify"/>
    </xf>
    <xf numFmtId="0" fontId="4" fillId="0" borderId="0" xfId="0" applyFont="1" applyAlignment="1" applyProtection="1">
      <alignment vertical="center"/>
      <protection locked="0"/>
    </xf>
    <xf numFmtId="0" fontId="9" fillId="6" borderId="10" xfId="0" applyFont="1" applyFill="1" applyBorder="1" applyAlignment="1">
      <alignment vertical="center"/>
    </xf>
    <xf numFmtId="0" fontId="2" fillId="4" borderId="5" xfId="0" applyFont="1" applyFill="1" applyBorder="1" applyAlignment="1">
      <alignment horizontal="left" vertical="center"/>
    </xf>
    <xf numFmtId="0" fontId="2" fillId="4" borderId="6" xfId="0" applyFont="1" applyFill="1" applyBorder="1" applyAlignment="1" applyProtection="1">
      <alignment horizontal="left" vertical="center"/>
      <protection locked="0"/>
    </xf>
    <xf numFmtId="0" fontId="2" fillId="2" borderId="19" xfId="0" applyFont="1" applyFill="1" applyBorder="1" applyAlignment="1" applyProtection="1">
      <alignment horizontal="left" vertical="center"/>
      <protection locked="0"/>
    </xf>
    <xf numFmtId="0" fontId="2" fillId="4" borderId="12" xfId="0" applyFont="1" applyFill="1" applyBorder="1" applyAlignment="1">
      <alignment horizontal="left" vertical="center"/>
    </xf>
    <xf numFmtId="0" fontId="2" fillId="4" borderId="13" xfId="0" quotePrefix="1" applyFont="1" applyFill="1" applyBorder="1" applyAlignment="1" applyProtection="1">
      <alignment horizontal="left" vertical="center"/>
      <protection locked="0"/>
    </xf>
    <xf numFmtId="0" fontId="2" fillId="2" borderId="20" xfId="0" applyFont="1" applyFill="1" applyBorder="1" applyAlignment="1" applyProtection="1">
      <alignment horizontal="left" vertical="center"/>
      <protection locked="0"/>
    </xf>
    <xf numFmtId="0" fontId="2" fillId="4" borderId="14" xfId="0" applyFont="1" applyFill="1" applyBorder="1" applyAlignment="1">
      <alignment horizontal="left" vertical="center"/>
    </xf>
    <xf numFmtId="0" fontId="2" fillId="4" borderId="15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20" fillId="6" borderId="16" xfId="0" applyFont="1" applyFill="1" applyBorder="1" applyAlignment="1" applyProtection="1">
      <alignment horizontal="left" vertical="center"/>
      <protection locked="0"/>
    </xf>
    <xf numFmtId="0" fontId="20" fillId="6" borderId="17" xfId="0" applyFont="1" applyFill="1" applyBorder="1" applyAlignment="1" applyProtection="1">
      <alignment horizontal="left" vertical="center"/>
      <protection locked="0"/>
    </xf>
    <xf numFmtId="0" fontId="20" fillId="6" borderId="11" xfId="0" applyFont="1" applyFill="1" applyBorder="1" applyAlignment="1" applyProtection="1">
      <alignment horizontal="left" vertical="center"/>
      <protection locked="0"/>
    </xf>
    <xf numFmtId="0" fontId="2" fillId="6" borderId="11" xfId="0" applyFont="1" applyFill="1" applyBorder="1"/>
    <xf numFmtId="0" fontId="20" fillId="6" borderId="18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>
      <alignment wrapText="1"/>
    </xf>
    <xf numFmtId="0" fontId="2" fillId="0" borderId="22" xfId="0" applyFont="1" applyBorder="1" applyAlignment="1">
      <alignment wrapText="1"/>
    </xf>
    <xf numFmtId="0" fontId="2" fillId="0" borderId="7" xfId="0" applyFont="1" applyBorder="1"/>
    <xf numFmtId="0" fontId="2" fillId="0" borderId="22" xfId="0" applyFont="1" applyBorder="1"/>
    <xf numFmtId="0" fontId="2" fillId="0" borderId="0" xfId="0" applyFont="1" applyAlignment="1">
      <alignment horizontal="left"/>
    </xf>
    <xf numFmtId="47" fontId="2" fillId="0" borderId="0" xfId="0" quotePrefix="1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7" fillId="0" borderId="0" xfId="0" applyFont="1"/>
    <xf numFmtId="2" fontId="2" fillId="0" borderId="0" xfId="0" applyNumberFormat="1" applyFont="1" applyAlignment="1">
      <alignment horizontal="right"/>
    </xf>
    <xf numFmtId="0" fontId="21" fillId="0" borderId="0" xfId="0" applyFont="1"/>
    <xf numFmtId="14" fontId="19" fillId="0" borderId="0" xfId="0" applyNumberFormat="1" applyFont="1" applyAlignment="1">
      <alignment horizontal="left"/>
    </xf>
    <xf numFmtId="0" fontId="2" fillId="0" borderId="0" xfId="0" applyFont="1" applyAlignment="1">
      <alignment horizontal="left" wrapText="1"/>
    </xf>
    <xf numFmtId="0" fontId="22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23" fillId="0" borderId="0" xfId="0" applyFont="1"/>
    <xf numFmtId="0" fontId="22" fillId="0" borderId="0" xfId="0" applyFont="1"/>
    <xf numFmtId="0" fontId="24" fillId="0" borderId="0" xfId="0" applyFont="1"/>
    <xf numFmtId="1" fontId="2" fillId="0" borderId="0" xfId="0" applyNumberFormat="1" applyFont="1"/>
    <xf numFmtId="164" fontId="2" fillId="0" borderId="0" xfId="0" applyNumberFormat="1" applyFont="1"/>
    <xf numFmtId="164" fontId="22" fillId="0" borderId="0" xfId="0" applyNumberFormat="1" applyFont="1"/>
    <xf numFmtId="0" fontId="25" fillId="0" borderId="0" xfId="0" applyFont="1"/>
    <xf numFmtId="0" fontId="2" fillId="0" borderId="23" xfId="0" applyFont="1" applyBorder="1"/>
    <xf numFmtId="0" fontId="2" fillId="0" borderId="8" xfId="0" applyFont="1" applyBorder="1"/>
    <xf numFmtId="0" fontId="2" fillId="0" borderId="9" xfId="0" applyFont="1" applyBorder="1"/>
    <xf numFmtId="0" fontId="5" fillId="4" borderId="4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41" xfId="0" applyFont="1" applyFill="1" applyBorder="1" applyAlignment="1">
      <alignment horizontal="center" vertical="center"/>
    </xf>
    <xf numFmtId="0" fontId="5" fillId="4" borderId="42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43" xfId="0" applyFont="1" applyFill="1" applyBorder="1" applyAlignment="1">
      <alignment horizontal="center" vertical="center"/>
    </xf>
    <xf numFmtId="0" fontId="5" fillId="4" borderId="44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14" fillId="5" borderId="2" xfId="0" applyFont="1" applyFill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10" fillId="0" borderId="24" xfId="0" applyFont="1" applyBorder="1" applyAlignment="1">
      <alignment horizontal="left"/>
    </xf>
    <xf numFmtId="0" fontId="2" fillId="5" borderId="2" xfId="0" applyFont="1" applyFill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5" borderId="2" xfId="0" applyFill="1" applyBorder="1" applyAlignment="1">
      <alignment horizontal="center"/>
    </xf>
    <xf numFmtId="0" fontId="9" fillId="5" borderId="1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  <xf numFmtId="0" fontId="9" fillId="5" borderId="38" xfId="0" applyFont="1" applyFill="1" applyBorder="1" applyAlignment="1">
      <alignment horizontal="center" vertical="center"/>
    </xf>
    <xf numFmtId="0" fontId="4" fillId="5" borderId="2" xfId="0" applyFont="1" applyFill="1" applyBorder="1" applyAlignment="1" applyProtection="1">
      <alignment horizontal="left" vertical="center"/>
      <protection locked="0"/>
    </xf>
    <xf numFmtId="0" fontId="4" fillId="5" borderId="13" xfId="0" applyFont="1" applyFill="1" applyBorder="1" applyAlignment="1" applyProtection="1">
      <alignment horizontal="left" vertical="center"/>
      <protection locked="0"/>
    </xf>
    <xf numFmtId="0" fontId="4" fillId="5" borderId="3" xfId="0" applyFont="1" applyFill="1" applyBorder="1" applyAlignment="1" applyProtection="1">
      <alignment horizontal="left" vertical="center"/>
      <protection locked="0"/>
    </xf>
    <xf numFmtId="0" fontId="4" fillId="5" borderId="24" xfId="0" applyFont="1" applyFill="1" applyBorder="1" applyAlignment="1" applyProtection="1">
      <alignment horizontal="left" vertical="center"/>
      <protection locked="0"/>
    </xf>
    <xf numFmtId="0" fontId="0" fillId="0" borderId="39" xfId="0" applyBorder="1" applyAlignment="1">
      <alignment horizontal="left"/>
    </xf>
    <xf numFmtId="0" fontId="0" fillId="0" borderId="34" xfId="0" applyBorder="1" applyAlignment="1">
      <alignment horizontal="left"/>
    </xf>
    <xf numFmtId="0" fontId="18" fillId="0" borderId="3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24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14" fillId="5" borderId="31" xfId="0" applyFont="1" applyFill="1" applyBorder="1" applyAlignment="1">
      <alignment horizontal="center"/>
    </xf>
    <xf numFmtId="0" fontId="14" fillId="0" borderId="13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24" xfId="0" applyFont="1" applyBorder="1" applyAlignment="1">
      <alignment horizontal="left"/>
    </xf>
    <xf numFmtId="0" fontId="9" fillId="0" borderId="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4" fillId="0" borderId="22" xfId="0" applyFont="1" applyBorder="1" applyAlignment="1">
      <alignment horizontal="center"/>
    </xf>
    <xf numFmtId="0" fontId="9" fillId="0" borderId="13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24" xfId="0" applyFont="1" applyBorder="1" applyAlignment="1">
      <alignment horizontal="left"/>
    </xf>
    <xf numFmtId="0" fontId="9" fillId="5" borderId="3" xfId="0" applyFont="1" applyFill="1" applyBorder="1" applyAlignment="1">
      <alignment horizontal="center"/>
    </xf>
    <xf numFmtId="0" fontId="9" fillId="5" borderId="24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24" xfId="0" applyFont="1" applyBorder="1" applyAlignment="1">
      <alignment horizontal="left"/>
    </xf>
    <xf numFmtId="0" fontId="2" fillId="0" borderId="29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0" fontId="14" fillId="5" borderId="3" xfId="0" applyFont="1" applyFill="1" applyBorder="1" applyAlignment="1">
      <alignment horizontal="center"/>
    </xf>
    <xf numFmtId="0" fontId="14" fillId="5" borderId="24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2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4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43" xfId="0" applyFont="1" applyFill="1" applyBorder="1" applyAlignment="1">
      <alignment horizontal="center"/>
    </xf>
    <xf numFmtId="0" fontId="1" fillId="4" borderId="48" xfId="0" applyFont="1" applyFill="1" applyBorder="1" applyAlignment="1">
      <alignment horizontal="center"/>
    </xf>
    <xf numFmtId="0" fontId="1" fillId="4" borderId="26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0" borderId="20" xfId="0" applyFont="1" applyBorder="1" applyAlignment="1">
      <alignment horizontal="left"/>
    </xf>
    <xf numFmtId="0" fontId="0" fillId="0" borderId="13" xfId="0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0" fillId="6" borderId="46" xfId="0" applyFont="1" applyFill="1" applyBorder="1" applyAlignment="1" applyProtection="1">
      <alignment horizontal="left" vertical="center" wrapText="1"/>
      <protection locked="0"/>
    </xf>
    <xf numFmtId="0" fontId="20" fillId="6" borderId="11" xfId="0" applyFont="1" applyFill="1" applyBorder="1" applyAlignment="1" applyProtection="1">
      <alignment horizontal="left" vertical="center" wrapText="1"/>
      <protection locked="0"/>
    </xf>
    <xf numFmtId="0" fontId="20" fillId="6" borderId="47" xfId="0" applyFont="1" applyFill="1" applyBorder="1" applyAlignment="1" applyProtection="1">
      <alignment horizontal="left" vertical="center" wrapText="1"/>
      <protection locked="0"/>
    </xf>
    <xf numFmtId="0" fontId="2" fillId="4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 vertical="center" wrapText="1"/>
    </xf>
    <xf numFmtId="0" fontId="19" fillId="4" borderId="32" xfId="0" applyFont="1" applyFill="1" applyBorder="1" applyAlignment="1">
      <alignment horizontal="center" vertical="center" wrapText="1"/>
    </xf>
    <xf numFmtId="0" fontId="19" fillId="4" borderId="0" xfId="0" applyFont="1" applyFill="1" applyAlignment="1">
      <alignment horizontal="center" vertical="center" wrapText="1"/>
    </xf>
    <xf numFmtId="0" fontId="19" fillId="4" borderId="22" xfId="0" applyFont="1" applyFill="1" applyBorder="1" applyAlignment="1">
      <alignment horizontal="center" vertical="center" wrapText="1"/>
    </xf>
    <xf numFmtId="0" fontId="19" fillId="4" borderId="9" xfId="0" applyFont="1" applyFill="1" applyBorder="1" applyAlignment="1">
      <alignment horizontal="center" vertical="center" wrapText="1"/>
    </xf>
    <xf numFmtId="0" fontId="19" fillId="4" borderId="23" xfId="0" applyFont="1" applyFill="1" applyBorder="1" applyAlignment="1">
      <alignment horizontal="center" vertical="center" wrapText="1"/>
    </xf>
    <xf numFmtId="0" fontId="9" fillId="6" borderId="45" xfId="0" applyFont="1" applyFill="1" applyBorder="1" applyAlignment="1">
      <alignment horizontal="left" vertical="center"/>
    </xf>
    <xf numFmtId="0" fontId="9" fillId="6" borderId="16" xfId="0" applyFont="1" applyFill="1" applyBorder="1" applyAlignment="1">
      <alignment horizontal="left" vertical="center"/>
    </xf>
    <xf numFmtId="0" fontId="20" fillId="6" borderId="46" xfId="0" applyFont="1" applyFill="1" applyBorder="1" applyAlignment="1" applyProtection="1">
      <alignment horizontal="left" vertical="center"/>
      <protection locked="0"/>
    </xf>
    <xf numFmtId="0" fontId="20" fillId="6" borderId="11" xfId="0" applyFont="1" applyFill="1" applyBorder="1" applyAlignment="1" applyProtection="1">
      <alignment horizontal="left" vertical="center"/>
      <protection locked="0"/>
    </xf>
    <xf numFmtId="0" fontId="20" fillId="6" borderId="47" xfId="0" applyFont="1" applyFill="1" applyBorder="1" applyAlignment="1" applyProtection="1">
      <alignment horizontal="left" vertical="center"/>
      <protection locked="0"/>
    </xf>
    <xf numFmtId="0" fontId="2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327660</xdr:colOff>
      <xdr:row>1</xdr:row>
      <xdr:rowOff>30480</xdr:rowOff>
    </xdr:from>
    <xdr:to>
      <xdr:col>4</xdr:col>
      <xdr:colOff>106786</xdr:colOff>
      <xdr:row>2</xdr:row>
      <xdr:rowOff>68580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6C7434-4526-4FDC-9F1F-A7D55858B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" y="198120"/>
          <a:ext cx="929746" cy="2819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172278</xdr:colOff>
      <xdr:row>0</xdr:row>
      <xdr:rowOff>139148</xdr:rowOff>
    </xdr:from>
    <xdr:to>
      <xdr:col>1</xdr:col>
      <xdr:colOff>492424</xdr:colOff>
      <xdr:row>2</xdr:row>
      <xdr:rowOff>63279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DE422B-F0B0-4DCE-9BB6-11FBBED4D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278" y="139148"/>
          <a:ext cx="929746" cy="281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lasysdesign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lasysdesig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3F191-18D2-42EB-A86E-7DF4063F1B90}">
  <dimension ref="A1:AA152"/>
  <sheetViews>
    <sheetView tabSelected="1" zoomScaleNormal="100" zoomScaleSheetLayoutView="100" workbookViewId="0">
      <selection activeCell="Q8" sqref="Q8"/>
    </sheetView>
  </sheetViews>
  <sheetFormatPr defaultColWidth="9.109375" defaultRowHeight="13.2" x14ac:dyDescent="0.25"/>
  <cols>
    <col min="1" max="1" width="4.88671875" style="10" customWidth="1"/>
    <col min="2" max="2" width="4.5546875" style="10" customWidth="1"/>
    <col min="3" max="4" width="3.6640625" style="10" customWidth="1"/>
    <col min="5" max="5" width="4" style="10" customWidth="1"/>
    <col min="6" max="6" width="5.5546875" style="10" customWidth="1"/>
    <col min="7" max="7" width="6.88671875" style="10" customWidth="1"/>
    <col min="8" max="8" width="3.6640625" style="10" customWidth="1"/>
    <col min="9" max="9" width="2.88671875" style="10" customWidth="1"/>
    <col min="10" max="10" width="14.5546875" style="10" customWidth="1"/>
    <col min="11" max="11" width="15.6640625" style="10" customWidth="1"/>
    <col min="12" max="12" width="20.5546875" style="10" customWidth="1"/>
    <col min="13" max="13" width="13.33203125" style="10" customWidth="1"/>
    <col min="14" max="14" width="11.6640625" style="10" customWidth="1"/>
    <col min="15" max="15" width="16.109375" style="10" customWidth="1"/>
    <col min="16" max="41" width="3.6640625" style="10" customWidth="1"/>
    <col min="42" max="16384" width="9.109375" style="10"/>
  </cols>
  <sheetData>
    <row r="1" spans="1:27" x14ac:dyDescent="0.25">
      <c r="A1" s="192"/>
      <c r="B1" s="193"/>
      <c r="C1" s="193"/>
      <c r="D1" s="193"/>
      <c r="E1" s="194"/>
      <c r="F1" s="125" t="s">
        <v>39</v>
      </c>
      <c r="G1" s="126"/>
      <c r="H1" s="126"/>
      <c r="I1" s="126"/>
      <c r="J1" s="126"/>
      <c r="K1" s="126"/>
      <c r="L1" s="126"/>
      <c r="M1" s="127"/>
      <c r="N1" s="73" t="s">
        <v>40</v>
      </c>
      <c r="O1" s="74"/>
      <c r="P1" s="9"/>
      <c r="Q1" s="9"/>
      <c r="R1"/>
      <c r="S1" s="9"/>
      <c r="T1" s="9"/>
      <c r="U1" s="9"/>
      <c r="V1" s="9"/>
      <c r="W1" s="9"/>
      <c r="X1" s="9"/>
      <c r="Y1" s="9"/>
      <c r="Z1" s="9"/>
      <c r="AA1" s="9"/>
    </row>
    <row r="2" spans="1:27" ht="19.5" customHeight="1" x14ac:dyDescent="0.25">
      <c r="A2" s="195"/>
      <c r="B2" s="196"/>
      <c r="C2" s="196"/>
      <c r="D2" s="196"/>
      <c r="E2" s="197"/>
      <c r="F2" s="128"/>
      <c r="G2" s="129"/>
      <c r="H2" s="129"/>
      <c r="I2" s="129"/>
      <c r="J2" s="129"/>
      <c r="K2" s="129"/>
      <c r="L2" s="129"/>
      <c r="M2" s="130"/>
      <c r="N2" s="75" t="s">
        <v>6</v>
      </c>
      <c r="O2" s="76"/>
      <c r="R2" s="230" t="s">
        <v>156</v>
      </c>
    </row>
    <row r="3" spans="1:27" ht="27" customHeight="1" x14ac:dyDescent="0.25">
      <c r="A3" s="198"/>
      <c r="B3" s="199"/>
      <c r="C3" s="199"/>
      <c r="D3" s="199"/>
      <c r="E3" s="200"/>
      <c r="F3" s="131"/>
      <c r="G3" s="132"/>
      <c r="H3" s="132"/>
      <c r="I3" s="132"/>
      <c r="J3" s="132"/>
      <c r="K3" s="132"/>
      <c r="L3" s="132"/>
      <c r="M3" s="133"/>
      <c r="N3" s="75" t="s">
        <v>7</v>
      </c>
      <c r="O3" s="76"/>
      <c r="R3" t="s">
        <v>157</v>
      </c>
    </row>
    <row r="4" spans="1:27" x14ac:dyDescent="0.25">
      <c r="A4" s="151" t="s">
        <v>38</v>
      </c>
      <c r="B4" s="152"/>
      <c r="C4" s="152"/>
      <c r="D4" s="152"/>
      <c r="E4" s="153"/>
      <c r="F4" s="155"/>
      <c r="G4" s="155"/>
      <c r="H4" s="155"/>
      <c r="I4" s="155"/>
      <c r="J4" s="155"/>
      <c r="K4" s="155"/>
      <c r="L4" s="155"/>
      <c r="M4" s="155"/>
      <c r="N4" s="155"/>
      <c r="O4" s="77"/>
    </row>
    <row r="5" spans="1:27" x14ac:dyDescent="0.25">
      <c r="A5" s="151" t="s">
        <v>37</v>
      </c>
      <c r="B5" s="152"/>
      <c r="C5" s="152"/>
      <c r="D5" s="152"/>
      <c r="E5" s="153"/>
      <c r="F5" s="156"/>
      <c r="G5" s="157"/>
      <c r="H5" s="157"/>
      <c r="I5" s="157"/>
      <c r="J5" s="157"/>
      <c r="K5" s="157"/>
      <c r="L5" s="157"/>
      <c r="M5" s="157"/>
      <c r="N5" s="158"/>
      <c r="O5" s="78"/>
      <c r="P5" s="81"/>
      <c r="Q5" s="81"/>
      <c r="R5" s="81"/>
      <c r="S5" s="81"/>
      <c r="T5" s="81"/>
      <c r="U5" s="81"/>
      <c r="V5" s="81"/>
      <c r="W5" s="81"/>
    </row>
    <row r="6" spans="1:27" ht="13.8" thickBot="1" x14ac:dyDescent="0.3">
      <c r="A6" s="154" t="s">
        <v>41</v>
      </c>
      <c r="B6" s="152"/>
      <c r="C6" s="152"/>
      <c r="D6" s="152"/>
      <c r="E6" s="153"/>
      <c r="F6" s="156" t="s">
        <v>153</v>
      </c>
      <c r="G6" s="157"/>
      <c r="H6" s="157"/>
      <c r="I6" s="157"/>
      <c r="J6" s="157"/>
      <c r="K6" s="157"/>
      <c r="L6" s="157"/>
      <c r="M6" s="157"/>
      <c r="N6" s="158"/>
      <c r="O6" s="77"/>
    </row>
    <row r="7" spans="1:27" x14ac:dyDescent="0.25">
      <c r="A7" s="69"/>
      <c r="B7" s="181" t="s">
        <v>0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203"/>
    </row>
    <row r="8" spans="1:27" x14ac:dyDescent="0.25">
      <c r="A8" s="70"/>
      <c r="B8" s="62" t="s">
        <v>36</v>
      </c>
      <c r="C8" s="15"/>
      <c r="D8" s="15"/>
      <c r="E8" s="15"/>
      <c r="F8" s="204" t="s">
        <v>145</v>
      </c>
      <c r="G8" s="136"/>
      <c r="H8" s="146"/>
      <c r="I8" s="15" t="s">
        <v>35</v>
      </c>
      <c r="J8" s="15"/>
      <c r="K8" s="27" t="s">
        <v>34</v>
      </c>
      <c r="L8" s="15"/>
      <c r="M8" s="15"/>
      <c r="N8" s="15"/>
      <c r="O8" s="45"/>
    </row>
    <row r="9" spans="1:27" x14ac:dyDescent="0.25">
      <c r="A9" s="71"/>
      <c r="B9" s="62" t="s">
        <v>33</v>
      </c>
      <c r="C9" s="15"/>
      <c r="D9" s="15"/>
      <c r="E9" s="15"/>
      <c r="F9" s="204" t="s">
        <v>143</v>
      </c>
      <c r="G9" s="136"/>
      <c r="H9" s="146"/>
      <c r="I9" s="15" t="s">
        <v>30</v>
      </c>
      <c r="J9" s="15"/>
      <c r="K9" s="26" t="s">
        <v>32</v>
      </c>
      <c r="L9" s="28">
        <v>10500</v>
      </c>
      <c r="M9" s="21" t="s">
        <v>2</v>
      </c>
      <c r="N9" s="29">
        <v>10500</v>
      </c>
      <c r="O9" s="46">
        <f>N9/N10</f>
        <v>688.90405206802438</v>
      </c>
    </row>
    <row r="10" spans="1:27" ht="15" x14ac:dyDescent="0.25">
      <c r="A10" s="71"/>
      <c r="B10" s="205"/>
      <c r="C10" s="205"/>
      <c r="D10" s="205"/>
      <c r="E10" s="205"/>
      <c r="F10" s="205"/>
      <c r="G10" s="205"/>
      <c r="H10" s="206"/>
      <c r="I10" s="143"/>
      <c r="J10" s="145"/>
      <c r="K10" s="30" t="s">
        <v>31</v>
      </c>
      <c r="L10" s="31" t="s">
        <v>144</v>
      </c>
      <c r="M10" s="21"/>
      <c r="N10" s="21">
        <f>1.732*11*0.8</f>
        <v>15.2416</v>
      </c>
      <c r="O10" s="45"/>
    </row>
    <row r="11" spans="1:27" ht="15" x14ac:dyDescent="0.25">
      <c r="A11" s="71"/>
      <c r="B11" s="144" t="s">
        <v>30</v>
      </c>
      <c r="C11" s="144"/>
      <c r="D11" s="144"/>
      <c r="E11" s="144"/>
      <c r="F11" s="144"/>
      <c r="G11" s="144"/>
      <c r="H11" s="144"/>
      <c r="I11" s="144"/>
      <c r="J11" s="145"/>
      <c r="K11" s="32">
        <f>O9</f>
        <v>688.90405206802438</v>
      </c>
      <c r="L11" s="33" t="s">
        <v>29</v>
      </c>
      <c r="M11" s="15"/>
      <c r="N11" s="15"/>
      <c r="O11" s="45"/>
    </row>
    <row r="12" spans="1:27" ht="15" x14ac:dyDescent="0.25">
      <c r="A12" s="71"/>
      <c r="B12" s="180" t="s">
        <v>154</v>
      </c>
      <c r="C12" s="144"/>
      <c r="D12" s="144"/>
      <c r="E12" s="144"/>
      <c r="F12" s="144"/>
      <c r="G12" s="144"/>
      <c r="H12" s="144"/>
      <c r="I12" s="144"/>
      <c r="J12" s="145"/>
      <c r="K12" s="32">
        <f>K11*1.25</f>
        <v>861.13006508503054</v>
      </c>
      <c r="L12" s="33" t="s">
        <v>29</v>
      </c>
      <c r="M12" s="15"/>
      <c r="N12" s="15"/>
      <c r="O12" s="45"/>
    </row>
    <row r="13" spans="1:27" ht="15" x14ac:dyDescent="0.25">
      <c r="A13" s="71"/>
      <c r="B13" s="2"/>
      <c r="K13" s="8"/>
      <c r="L13" s="12"/>
      <c r="M13" s="10" t="s">
        <v>42</v>
      </c>
      <c r="O13" s="47"/>
    </row>
    <row r="14" spans="1:27" ht="15" x14ac:dyDescent="0.25">
      <c r="A14" s="71"/>
      <c r="B14" s="63" t="s">
        <v>146</v>
      </c>
      <c r="C14" s="15"/>
      <c r="D14" s="15"/>
      <c r="E14" s="15"/>
      <c r="F14" s="15"/>
      <c r="G14" s="15"/>
      <c r="H14" s="15"/>
      <c r="I14" s="15"/>
      <c r="J14" s="15"/>
      <c r="K14" s="5"/>
      <c r="L14" s="13"/>
      <c r="O14" s="47"/>
    </row>
    <row r="15" spans="1:27" ht="15" x14ac:dyDescent="0.25">
      <c r="A15" s="71"/>
      <c r="B15" s="64"/>
      <c r="C15" s="16"/>
      <c r="D15" s="16"/>
      <c r="E15" s="16"/>
      <c r="F15" s="16"/>
      <c r="G15" s="16"/>
      <c r="H15" s="16"/>
      <c r="I15" s="16"/>
      <c r="J15" s="34"/>
      <c r="K15" s="5"/>
      <c r="L15" s="13"/>
      <c r="O15" s="47"/>
    </row>
    <row r="16" spans="1:27" x14ac:dyDescent="0.25">
      <c r="A16" s="71"/>
      <c r="B16" s="181" t="s">
        <v>28</v>
      </c>
      <c r="C16" s="181"/>
      <c r="D16" s="181"/>
      <c r="E16" s="181"/>
      <c r="F16" s="181"/>
      <c r="G16" s="181"/>
      <c r="H16" s="181"/>
      <c r="I16" s="181"/>
      <c r="J16" s="182"/>
      <c r="O16" s="47"/>
    </row>
    <row r="17" spans="1:15" x14ac:dyDescent="0.25">
      <c r="A17" s="71"/>
      <c r="B17" s="181" t="s">
        <v>155</v>
      </c>
      <c r="C17" s="181"/>
      <c r="D17" s="181"/>
      <c r="E17" s="181"/>
      <c r="F17" s="181"/>
      <c r="G17" s="181"/>
      <c r="H17" s="181"/>
      <c r="I17" s="181"/>
      <c r="J17" s="182"/>
      <c r="O17" s="47"/>
    </row>
    <row r="18" spans="1:15" x14ac:dyDescent="0.25">
      <c r="A18" s="71"/>
      <c r="B18" s="181" t="s">
        <v>150</v>
      </c>
      <c r="C18" s="181"/>
      <c r="D18" s="181"/>
      <c r="E18" s="181"/>
      <c r="F18" s="181"/>
      <c r="G18" s="181"/>
      <c r="H18" s="181"/>
      <c r="I18" s="181"/>
      <c r="J18" s="182"/>
      <c r="L18" s="11"/>
      <c r="M18" s="3"/>
      <c r="O18" s="47"/>
    </row>
    <row r="19" spans="1:15" x14ac:dyDescent="0.25">
      <c r="A19" s="71"/>
      <c r="B19" s="181"/>
      <c r="C19" s="181"/>
      <c r="D19" s="181"/>
      <c r="E19" s="181"/>
      <c r="F19" s="181"/>
      <c r="G19" s="181"/>
      <c r="H19" s="181"/>
      <c r="I19" s="181"/>
      <c r="J19" s="182"/>
      <c r="L19" s="11"/>
      <c r="O19" s="47"/>
    </row>
    <row r="20" spans="1:15" x14ac:dyDescent="0.25">
      <c r="A20" s="71"/>
      <c r="B20" s="181"/>
      <c r="C20" s="181"/>
      <c r="D20" s="181"/>
      <c r="E20" s="181"/>
      <c r="F20" s="181"/>
      <c r="G20" s="181"/>
      <c r="H20" s="181"/>
      <c r="I20" s="181"/>
      <c r="J20" s="182"/>
      <c r="O20" s="47"/>
    </row>
    <row r="21" spans="1:15" x14ac:dyDescent="0.25">
      <c r="A21" s="71"/>
      <c r="B21" s="181"/>
      <c r="C21" s="181"/>
      <c r="D21" s="181"/>
      <c r="E21" s="181"/>
      <c r="F21" s="181"/>
      <c r="G21" s="181"/>
      <c r="H21" s="181"/>
      <c r="I21" s="181"/>
      <c r="J21" s="182"/>
      <c r="L21" s="11"/>
      <c r="O21" s="47"/>
    </row>
    <row r="22" spans="1:15" x14ac:dyDescent="0.25">
      <c r="A22" s="71"/>
      <c r="B22" s="4" t="s">
        <v>152</v>
      </c>
      <c r="L22" s="11"/>
      <c r="O22" s="47"/>
    </row>
    <row r="23" spans="1:15" x14ac:dyDescent="0.25">
      <c r="A23" s="71"/>
      <c r="B23" s="4"/>
      <c r="L23" s="11"/>
      <c r="O23" s="47"/>
    </row>
    <row r="24" spans="1:15" x14ac:dyDescent="0.25">
      <c r="A24" s="71"/>
      <c r="B24" s="80" t="s">
        <v>14</v>
      </c>
      <c r="C24" s="139" t="s">
        <v>13</v>
      </c>
      <c r="D24" s="139"/>
      <c r="E24" s="139"/>
      <c r="F24" s="139"/>
      <c r="G24" s="139"/>
      <c r="H24" s="139"/>
      <c r="I24" s="139"/>
      <c r="J24" s="139" t="s">
        <v>45</v>
      </c>
      <c r="K24" s="139"/>
      <c r="L24" s="139"/>
      <c r="O24" s="47"/>
    </row>
    <row r="25" spans="1:15" x14ac:dyDescent="0.25">
      <c r="A25" s="71"/>
      <c r="B25" s="44" t="s">
        <v>12</v>
      </c>
      <c r="C25" s="143"/>
      <c r="D25" s="144"/>
      <c r="E25" s="144"/>
      <c r="F25" s="144"/>
      <c r="G25" s="144"/>
      <c r="H25" s="144"/>
      <c r="I25" s="145"/>
      <c r="J25" s="21" t="s">
        <v>11</v>
      </c>
      <c r="K25" s="21" t="s">
        <v>10</v>
      </c>
      <c r="L25" s="21" t="s">
        <v>9</v>
      </c>
      <c r="O25" s="47"/>
    </row>
    <row r="26" spans="1:15" x14ac:dyDescent="0.25">
      <c r="A26" s="71"/>
      <c r="B26" s="44">
        <v>1</v>
      </c>
      <c r="C26" s="167" t="s">
        <v>27</v>
      </c>
      <c r="D26" s="168"/>
      <c r="E26" s="168"/>
      <c r="F26" s="168"/>
      <c r="G26" s="168"/>
      <c r="H26" s="168"/>
      <c r="I26" s="169"/>
      <c r="J26" s="22" t="s">
        <v>15</v>
      </c>
      <c r="K26" s="22" t="s">
        <v>15</v>
      </c>
      <c r="L26" s="22" t="s">
        <v>15</v>
      </c>
      <c r="O26" s="47"/>
    </row>
    <row r="27" spans="1:15" x14ac:dyDescent="0.25">
      <c r="A27" s="71"/>
      <c r="B27" s="44">
        <v>2</v>
      </c>
      <c r="C27" s="167" t="s">
        <v>19</v>
      </c>
      <c r="D27" s="168"/>
      <c r="E27" s="168"/>
      <c r="F27" s="168"/>
      <c r="G27" s="168"/>
      <c r="H27" s="168"/>
      <c r="I27" s="169"/>
      <c r="J27" s="21">
        <v>1.5</v>
      </c>
      <c r="K27" s="21">
        <v>1</v>
      </c>
      <c r="L27" s="21">
        <f t="shared" ref="L27:L40" si="0">SUM(J27*K27)</f>
        <v>1.5</v>
      </c>
      <c r="O27" s="47"/>
    </row>
    <row r="28" spans="1:15" x14ac:dyDescent="0.25">
      <c r="A28" s="71"/>
      <c r="B28" s="44">
        <v>3</v>
      </c>
      <c r="C28" s="167" t="s">
        <v>26</v>
      </c>
      <c r="D28" s="168"/>
      <c r="E28" s="168"/>
      <c r="F28" s="168"/>
      <c r="G28" s="168"/>
      <c r="H28" s="168"/>
      <c r="I28" s="169"/>
      <c r="J28" s="21">
        <v>1</v>
      </c>
      <c r="K28" s="21">
        <v>1</v>
      </c>
      <c r="L28" s="21">
        <f>SUM(J28*K28)</f>
        <v>1</v>
      </c>
      <c r="O28" s="47"/>
    </row>
    <row r="29" spans="1:15" x14ac:dyDescent="0.25">
      <c r="A29" s="71"/>
      <c r="B29" s="44">
        <v>4</v>
      </c>
      <c r="C29" s="165" t="s">
        <v>151</v>
      </c>
      <c r="D29" s="168"/>
      <c r="E29" s="168"/>
      <c r="F29" s="168"/>
      <c r="G29" s="168"/>
      <c r="H29" s="168"/>
      <c r="I29" s="169"/>
      <c r="J29" s="21">
        <v>2</v>
      </c>
      <c r="K29" s="21">
        <v>1</v>
      </c>
      <c r="L29" s="21">
        <f t="shared" si="0"/>
        <v>2</v>
      </c>
      <c r="O29" s="47"/>
    </row>
    <row r="30" spans="1:15" x14ac:dyDescent="0.25">
      <c r="A30" s="71"/>
      <c r="B30" s="44">
        <v>5</v>
      </c>
      <c r="C30" s="167"/>
      <c r="D30" s="168"/>
      <c r="E30" s="168"/>
      <c r="F30" s="168"/>
      <c r="G30" s="168"/>
      <c r="H30" s="168"/>
      <c r="I30" s="169"/>
      <c r="J30" s="21"/>
      <c r="K30" s="21"/>
      <c r="L30" s="21"/>
      <c r="O30" s="47"/>
    </row>
    <row r="31" spans="1:15" x14ac:dyDescent="0.25">
      <c r="A31" s="71"/>
      <c r="B31" s="44">
        <v>6</v>
      </c>
      <c r="C31" s="167"/>
      <c r="D31" s="168"/>
      <c r="E31" s="168"/>
      <c r="F31" s="168"/>
      <c r="G31" s="168"/>
      <c r="H31" s="168"/>
      <c r="I31" s="169"/>
      <c r="J31" s="21"/>
      <c r="K31" s="21"/>
      <c r="L31" s="21"/>
      <c r="O31" s="47"/>
    </row>
    <row r="32" spans="1:15" x14ac:dyDescent="0.25">
      <c r="A32" s="71"/>
      <c r="B32" s="44">
        <v>7</v>
      </c>
      <c r="C32" s="167"/>
      <c r="D32" s="168"/>
      <c r="E32" s="168"/>
      <c r="F32" s="168"/>
      <c r="G32" s="168"/>
      <c r="H32" s="168"/>
      <c r="I32" s="169"/>
      <c r="J32" s="21"/>
      <c r="K32" s="21"/>
      <c r="L32" s="21"/>
      <c r="O32" s="47"/>
    </row>
    <row r="33" spans="1:15" x14ac:dyDescent="0.25">
      <c r="A33" s="71"/>
      <c r="B33" s="44">
        <v>8</v>
      </c>
      <c r="C33" s="167" t="s">
        <v>25</v>
      </c>
      <c r="D33" s="168"/>
      <c r="E33" s="168"/>
      <c r="F33" s="168"/>
      <c r="G33" s="168"/>
      <c r="H33" s="168"/>
      <c r="I33" s="169"/>
      <c r="J33" s="21">
        <v>2</v>
      </c>
      <c r="K33" s="21">
        <v>1</v>
      </c>
      <c r="L33" s="21">
        <f t="shared" si="0"/>
        <v>2</v>
      </c>
      <c r="O33" s="47"/>
    </row>
    <row r="34" spans="1:15" x14ac:dyDescent="0.25">
      <c r="A34" s="71"/>
      <c r="B34" s="44">
        <v>9</v>
      </c>
      <c r="C34" s="167" t="s">
        <v>24</v>
      </c>
      <c r="D34" s="168"/>
      <c r="E34" s="168"/>
      <c r="F34" s="168"/>
      <c r="G34" s="168"/>
      <c r="H34" s="168"/>
      <c r="I34" s="169"/>
      <c r="J34" s="21">
        <v>2</v>
      </c>
      <c r="K34" s="21">
        <v>1</v>
      </c>
      <c r="L34" s="21">
        <f t="shared" si="0"/>
        <v>2</v>
      </c>
      <c r="O34" s="47"/>
    </row>
    <row r="35" spans="1:15" x14ac:dyDescent="0.25">
      <c r="A35" s="71"/>
      <c r="B35" s="44">
        <v>10</v>
      </c>
      <c r="C35" s="167"/>
      <c r="D35" s="168"/>
      <c r="E35" s="168"/>
      <c r="F35" s="168"/>
      <c r="G35" s="168"/>
      <c r="H35" s="168"/>
      <c r="I35" s="169"/>
      <c r="J35" s="21"/>
      <c r="K35" s="21"/>
      <c r="L35" s="21">
        <f t="shared" si="0"/>
        <v>0</v>
      </c>
      <c r="O35" s="47"/>
    </row>
    <row r="36" spans="1:15" x14ac:dyDescent="0.25">
      <c r="A36" s="71"/>
      <c r="B36" s="44">
        <v>14</v>
      </c>
      <c r="C36" s="167"/>
      <c r="D36" s="168"/>
      <c r="E36" s="168"/>
      <c r="F36" s="168"/>
      <c r="G36" s="168"/>
      <c r="H36" s="168"/>
      <c r="I36" s="169"/>
      <c r="J36" s="21"/>
      <c r="K36" s="21"/>
      <c r="L36" s="21">
        <f t="shared" si="0"/>
        <v>0</v>
      </c>
      <c r="O36" s="47"/>
    </row>
    <row r="37" spans="1:15" x14ac:dyDescent="0.25">
      <c r="A37" s="71"/>
      <c r="B37" s="44">
        <v>15</v>
      </c>
      <c r="C37" s="167" t="s">
        <v>23</v>
      </c>
      <c r="D37" s="168"/>
      <c r="E37" s="168"/>
      <c r="F37" s="168"/>
      <c r="G37" s="168"/>
      <c r="H37" s="168"/>
      <c r="I37" s="169"/>
      <c r="J37" s="21">
        <v>3</v>
      </c>
      <c r="K37" s="21">
        <v>1</v>
      </c>
      <c r="L37" s="21">
        <f t="shared" si="0"/>
        <v>3</v>
      </c>
      <c r="O37" s="47"/>
    </row>
    <row r="38" spans="1:15" x14ac:dyDescent="0.25">
      <c r="A38" s="71"/>
      <c r="B38" s="44">
        <v>16</v>
      </c>
      <c r="C38" s="167" t="s">
        <v>22</v>
      </c>
      <c r="D38" s="168"/>
      <c r="E38" s="168"/>
      <c r="F38" s="168"/>
      <c r="G38" s="168"/>
      <c r="H38" s="168"/>
      <c r="I38" s="169"/>
      <c r="J38" s="21">
        <v>0.2</v>
      </c>
      <c r="K38" s="21">
        <v>1</v>
      </c>
      <c r="L38" s="21">
        <f t="shared" si="0"/>
        <v>0.2</v>
      </c>
      <c r="O38" s="47"/>
    </row>
    <row r="39" spans="1:15" x14ac:dyDescent="0.25">
      <c r="A39" s="71"/>
      <c r="B39" s="44">
        <v>17</v>
      </c>
      <c r="C39" s="167" t="s">
        <v>21</v>
      </c>
      <c r="D39" s="168"/>
      <c r="E39" s="168"/>
      <c r="F39" s="168"/>
      <c r="G39" s="168"/>
      <c r="H39" s="168"/>
      <c r="I39" s="169"/>
      <c r="J39" s="21">
        <v>2.5</v>
      </c>
      <c r="K39" s="21">
        <v>1</v>
      </c>
      <c r="L39" s="21">
        <f t="shared" si="0"/>
        <v>2.5</v>
      </c>
      <c r="O39" s="47"/>
    </row>
    <row r="40" spans="1:15" x14ac:dyDescent="0.25">
      <c r="A40" s="71"/>
      <c r="B40" s="44">
        <v>18</v>
      </c>
      <c r="C40" s="167" t="s">
        <v>20</v>
      </c>
      <c r="D40" s="168"/>
      <c r="E40" s="168"/>
      <c r="F40" s="168"/>
      <c r="G40" s="168"/>
      <c r="H40" s="168"/>
      <c r="I40" s="169"/>
      <c r="J40" s="21">
        <v>3</v>
      </c>
      <c r="K40" s="21">
        <v>2</v>
      </c>
      <c r="L40" s="21">
        <f t="shared" si="0"/>
        <v>6</v>
      </c>
      <c r="O40" s="47"/>
    </row>
    <row r="41" spans="1:15" ht="12.75" customHeight="1" x14ac:dyDescent="0.25">
      <c r="A41" s="71"/>
      <c r="B41" s="44">
        <v>19</v>
      </c>
      <c r="C41" s="167" t="s">
        <v>43</v>
      </c>
      <c r="D41" s="168"/>
      <c r="E41" s="168"/>
      <c r="F41" s="168"/>
      <c r="G41" s="168"/>
      <c r="H41" s="168"/>
      <c r="I41" s="169"/>
      <c r="J41" s="21">
        <v>11</v>
      </c>
      <c r="K41" s="21">
        <v>1</v>
      </c>
      <c r="L41" s="21">
        <f>SUM(J41*K41)</f>
        <v>11</v>
      </c>
      <c r="O41" s="47"/>
    </row>
    <row r="42" spans="1:15" ht="12.75" customHeight="1" x14ac:dyDescent="0.25">
      <c r="A42" s="71"/>
      <c r="B42" s="44">
        <v>20</v>
      </c>
      <c r="C42" s="167" t="s">
        <v>54</v>
      </c>
      <c r="D42" s="168"/>
      <c r="E42" s="168"/>
      <c r="F42" s="168"/>
      <c r="G42" s="168"/>
      <c r="H42" s="168"/>
      <c r="I42" s="169"/>
      <c r="J42" s="21">
        <v>2</v>
      </c>
      <c r="K42" s="21">
        <v>1</v>
      </c>
      <c r="L42" s="21">
        <f>SUM(J42*K42)</f>
        <v>2</v>
      </c>
      <c r="O42" s="47"/>
    </row>
    <row r="43" spans="1:15" x14ac:dyDescent="0.25">
      <c r="A43" s="71"/>
      <c r="B43" s="44"/>
      <c r="C43" s="175" t="s">
        <v>8</v>
      </c>
      <c r="D43" s="176"/>
      <c r="E43" s="176"/>
      <c r="F43" s="176"/>
      <c r="G43" s="176"/>
      <c r="H43" s="176"/>
      <c r="I43" s="177"/>
      <c r="J43" s="23"/>
      <c r="K43" s="23"/>
      <c r="L43" s="23">
        <f>SUM(L26:L42)</f>
        <v>33.200000000000003</v>
      </c>
      <c r="O43" s="47"/>
    </row>
    <row r="44" spans="1:15" x14ac:dyDescent="0.25">
      <c r="A44" s="71"/>
      <c r="C44" s="1"/>
      <c r="I44" s="14"/>
      <c r="O44" s="47"/>
    </row>
    <row r="45" spans="1:15" x14ac:dyDescent="0.25">
      <c r="A45" s="71"/>
      <c r="B45" s="4" t="s">
        <v>124</v>
      </c>
      <c r="L45" s="11"/>
      <c r="O45" s="47"/>
    </row>
    <row r="46" spans="1:15" x14ac:dyDescent="0.25">
      <c r="A46" s="71"/>
      <c r="B46" s="4"/>
      <c r="L46" s="11"/>
      <c r="O46" s="47"/>
    </row>
    <row r="47" spans="1:15" x14ac:dyDescent="0.25">
      <c r="A47" s="71"/>
      <c r="B47" s="80" t="s">
        <v>14</v>
      </c>
      <c r="C47" s="139" t="s">
        <v>13</v>
      </c>
      <c r="D47" s="139"/>
      <c r="E47" s="139"/>
      <c r="F47" s="139"/>
      <c r="G47" s="139"/>
      <c r="H47" s="139"/>
      <c r="I47" s="139"/>
      <c r="J47" s="142" t="s">
        <v>106</v>
      </c>
      <c r="K47" s="139"/>
      <c r="L47" s="139"/>
      <c r="M47" s="150" t="s">
        <v>50</v>
      </c>
      <c r="N47" s="139"/>
      <c r="O47" s="166"/>
    </row>
    <row r="48" spans="1:15" ht="14.25" customHeight="1" x14ac:dyDescent="0.25">
      <c r="A48" s="71"/>
      <c r="B48" s="44" t="s">
        <v>12</v>
      </c>
      <c r="C48" s="143"/>
      <c r="D48" s="144"/>
      <c r="E48" s="144"/>
      <c r="F48" s="144"/>
      <c r="G48" s="144"/>
      <c r="H48" s="144"/>
      <c r="I48" s="145"/>
      <c r="J48" s="21" t="s">
        <v>11</v>
      </c>
      <c r="K48" s="21" t="s">
        <v>10</v>
      </c>
      <c r="L48" s="21" t="s">
        <v>9</v>
      </c>
      <c r="M48" s="21" t="s">
        <v>11</v>
      </c>
      <c r="N48" s="21" t="s">
        <v>10</v>
      </c>
      <c r="O48" s="48" t="s">
        <v>9</v>
      </c>
    </row>
    <row r="49" spans="1:15" x14ac:dyDescent="0.25">
      <c r="A49" s="71"/>
      <c r="B49" s="44">
        <v>1</v>
      </c>
      <c r="C49" s="167" t="s">
        <v>19</v>
      </c>
      <c r="D49" s="168"/>
      <c r="E49" s="168"/>
      <c r="F49" s="168"/>
      <c r="G49" s="168"/>
      <c r="H49" s="168"/>
      <c r="I49" s="169"/>
      <c r="J49" s="22" t="s">
        <v>15</v>
      </c>
      <c r="K49" s="22" t="s">
        <v>15</v>
      </c>
      <c r="L49" s="22" t="s">
        <v>15</v>
      </c>
      <c r="M49" s="21">
        <v>2</v>
      </c>
      <c r="N49" s="21">
        <v>1</v>
      </c>
      <c r="O49" s="48">
        <f>SUM(M49*N49)</f>
        <v>2</v>
      </c>
    </row>
    <row r="50" spans="1:15" x14ac:dyDescent="0.25">
      <c r="A50" s="71"/>
      <c r="B50" s="44">
        <v>2</v>
      </c>
      <c r="C50" s="167" t="s">
        <v>18</v>
      </c>
      <c r="D50" s="168"/>
      <c r="E50" s="168"/>
      <c r="F50" s="168"/>
      <c r="G50" s="168"/>
      <c r="H50" s="168"/>
      <c r="I50" s="169"/>
      <c r="J50" s="21">
        <v>1</v>
      </c>
      <c r="K50" s="21">
        <v>1</v>
      </c>
      <c r="L50" s="21">
        <v>1</v>
      </c>
      <c r="M50" s="21">
        <v>1</v>
      </c>
      <c r="N50" s="21">
        <v>1</v>
      </c>
      <c r="O50" s="48">
        <f>SUM(M50*N50)</f>
        <v>1</v>
      </c>
    </row>
    <row r="51" spans="1:15" x14ac:dyDescent="0.25">
      <c r="A51" s="71"/>
      <c r="B51" s="44">
        <v>3</v>
      </c>
      <c r="C51" s="167" t="s">
        <v>17</v>
      </c>
      <c r="D51" s="168"/>
      <c r="E51" s="168"/>
      <c r="F51" s="168"/>
      <c r="G51" s="168"/>
      <c r="H51" s="168"/>
      <c r="I51" s="169"/>
      <c r="J51" s="21">
        <v>5</v>
      </c>
      <c r="K51" s="21">
        <v>2</v>
      </c>
      <c r="L51" s="21">
        <f>SUM(J51*K51)</f>
        <v>10</v>
      </c>
      <c r="M51" s="22" t="s">
        <v>15</v>
      </c>
      <c r="N51" s="22" t="s">
        <v>15</v>
      </c>
      <c r="O51" s="49" t="s">
        <v>15</v>
      </c>
    </row>
    <row r="52" spans="1:15" x14ac:dyDescent="0.25">
      <c r="A52" s="71"/>
      <c r="B52" s="44">
        <v>4</v>
      </c>
      <c r="C52" s="167" t="s">
        <v>16</v>
      </c>
      <c r="D52" s="168"/>
      <c r="E52" s="168"/>
      <c r="F52" s="168"/>
      <c r="G52" s="168"/>
      <c r="H52" s="168"/>
      <c r="I52" s="169"/>
      <c r="J52" s="22" t="s">
        <v>15</v>
      </c>
      <c r="K52" s="22" t="s">
        <v>15</v>
      </c>
      <c r="L52" s="22" t="s">
        <v>15</v>
      </c>
      <c r="M52" s="21">
        <v>10</v>
      </c>
      <c r="N52" s="21">
        <v>2</v>
      </c>
      <c r="O52" s="48">
        <f>SUM(M52*N52)</f>
        <v>20</v>
      </c>
    </row>
    <row r="53" spans="1:15" x14ac:dyDescent="0.25">
      <c r="A53" s="71"/>
      <c r="B53" s="44"/>
      <c r="C53" s="175" t="s">
        <v>8</v>
      </c>
      <c r="D53" s="176"/>
      <c r="E53" s="176"/>
      <c r="F53" s="176"/>
      <c r="G53" s="176"/>
      <c r="H53" s="176"/>
      <c r="I53" s="177"/>
      <c r="J53" s="23"/>
      <c r="K53" s="23"/>
      <c r="L53" s="23">
        <f>SUM(L49:L52)</f>
        <v>11</v>
      </c>
      <c r="M53" s="23"/>
      <c r="N53" s="23"/>
      <c r="O53" s="50">
        <f>SUM(O49:O52)</f>
        <v>23</v>
      </c>
    </row>
    <row r="54" spans="1:15" x14ac:dyDescent="0.25">
      <c r="A54" s="71"/>
      <c r="B54" s="11"/>
      <c r="C54" s="3"/>
      <c r="D54" s="3"/>
      <c r="E54" s="3"/>
      <c r="F54" s="3"/>
      <c r="G54" s="3"/>
      <c r="H54" s="3"/>
      <c r="I54" s="6"/>
      <c r="J54" s="7"/>
      <c r="K54" s="7"/>
      <c r="L54" s="7"/>
      <c r="M54" s="7"/>
      <c r="N54" s="7"/>
      <c r="O54" s="51"/>
    </row>
    <row r="55" spans="1:15" x14ac:dyDescent="0.25">
      <c r="A55" s="71"/>
      <c r="B55" s="4" t="s">
        <v>125</v>
      </c>
      <c r="L55" s="11"/>
      <c r="O55" s="47"/>
    </row>
    <row r="56" spans="1:15" x14ac:dyDescent="0.25">
      <c r="A56" s="71"/>
      <c r="B56" s="4"/>
      <c r="L56" s="11"/>
      <c r="O56" s="47"/>
    </row>
    <row r="57" spans="1:15" x14ac:dyDescent="0.25">
      <c r="A57" s="71"/>
      <c r="B57" s="4" t="s">
        <v>126</v>
      </c>
      <c r="L57" s="11"/>
      <c r="O57" s="47"/>
    </row>
    <row r="58" spans="1:15" x14ac:dyDescent="0.25">
      <c r="A58" s="71"/>
      <c r="B58" s="4"/>
      <c r="L58" s="11"/>
      <c r="O58" s="47"/>
    </row>
    <row r="59" spans="1:15" x14ac:dyDescent="0.25">
      <c r="A59" s="71"/>
      <c r="B59" s="80" t="s">
        <v>14</v>
      </c>
      <c r="C59" s="139" t="s">
        <v>13</v>
      </c>
      <c r="D59" s="139"/>
      <c r="E59" s="139"/>
      <c r="F59" s="139"/>
      <c r="G59" s="139"/>
      <c r="H59" s="139"/>
      <c r="I59" s="139"/>
      <c r="J59" s="142" t="s">
        <v>95</v>
      </c>
      <c r="K59" s="139"/>
      <c r="L59" s="139"/>
      <c r="O59" s="47"/>
    </row>
    <row r="60" spans="1:15" x14ac:dyDescent="0.25">
      <c r="A60" s="71"/>
      <c r="B60" s="44" t="s">
        <v>12</v>
      </c>
      <c r="C60" s="143"/>
      <c r="D60" s="144"/>
      <c r="E60" s="144"/>
      <c r="F60" s="144"/>
      <c r="G60" s="144"/>
      <c r="H60" s="144"/>
      <c r="I60" s="145"/>
      <c r="J60" s="21" t="s">
        <v>11</v>
      </c>
      <c r="K60" s="21" t="s">
        <v>10</v>
      </c>
      <c r="L60" s="21" t="s">
        <v>9</v>
      </c>
      <c r="O60" s="47"/>
    </row>
    <row r="61" spans="1:15" x14ac:dyDescent="0.25">
      <c r="A61" s="71"/>
      <c r="B61" s="44">
        <v>1</v>
      </c>
      <c r="C61" s="135" t="s">
        <v>88</v>
      </c>
      <c r="D61" s="136"/>
      <c r="E61" s="136"/>
      <c r="F61" s="136"/>
      <c r="G61" s="136"/>
      <c r="H61" s="136"/>
      <c r="I61" s="146"/>
      <c r="J61" s="22">
        <v>0.2</v>
      </c>
      <c r="K61" s="22">
        <v>1</v>
      </c>
      <c r="L61" s="22">
        <v>0.2</v>
      </c>
      <c r="O61" s="47"/>
    </row>
    <row r="62" spans="1:15" x14ac:dyDescent="0.25">
      <c r="A62" s="71"/>
      <c r="B62" s="44"/>
      <c r="C62" s="137" t="s">
        <v>8</v>
      </c>
      <c r="D62" s="137"/>
      <c r="E62" s="137"/>
      <c r="F62" s="137"/>
      <c r="G62" s="137"/>
      <c r="H62" s="137"/>
      <c r="I62" s="137"/>
      <c r="J62" s="23"/>
      <c r="K62" s="23"/>
      <c r="L62" s="23">
        <f>SUM(L61:L61)</f>
        <v>0.2</v>
      </c>
      <c r="O62" s="47"/>
    </row>
    <row r="63" spans="1:15" x14ac:dyDescent="0.25">
      <c r="A63" s="71"/>
      <c r="B63" s="11"/>
      <c r="C63" s="7"/>
      <c r="D63" s="7"/>
      <c r="E63" s="7"/>
      <c r="F63" s="7"/>
      <c r="G63" s="7"/>
      <c r="H63" s="7"/>
      <c r="I63" s="7"/>
      <c r="J63" s="7"/>
      <c r="K63" s="7"/>
      <c r="L63" s="7"/>
      <c r="O63" s="47"/>
    </row>
    <row r="64" spans="1:15" x14ac:dyDescent="0.25">
      <c r="A64" s="71"/>
      <c r="B64" s="80" t="s">
        <v>14</v>
      </c>
      <c r="C64" s="139" t="s">
        <v>13</v>
      </c>
      <c r="D64" s="139"/>
      <c r="E64" s="139"/>
      <c r="F64" s="139"/>
      <c r="G64" s="139"/>
      <c r="H64" s="139"/>
      <c r="I64" s="139"/>
      <c r="J64" s="142" t="s">
        <v>105</v>
      </c>
      <c r="K64" s="139"/>
      <c r="L64" s="139"/>
      <c r="O64" s="47"/>
    </row>
    <row r="65" spans="1:15" ht="13.8" thickBot="1" x14ac:dyDescent="0.3">
      <c r="A65" s="72"/>
      <c r="B65" s="65" t="s">
        <v>12</v>
      </c>
      <c r="C65" s="185"/>
      <c r="D65" s="185"/>
      <c r="E65" s="185"/>
      <c r="F65" s="185"/>
      <c r="G65" s="185"/>
      <c r="H65" s="185"/>
      <c r="I65" s="185"/>
      <c r="J65" s="36" t="s">
        <v>11</v>
      </c>
      <c r="K65" s="36" t="s">
        <v>10</v>
      </c>
      <c r="L65" s="36" t="s">
        <v>9</v>
      </c>
      <c r="M65" s="52"/>
      <c r="N65" s="52"/>
      <c r="O65" s="53"/>
    </row>
    <row r="66" spans="1:15" x14ac:dyDescent="0.25">
      <c r="A66" s="69"/>
      <c r="B66" s="66">
        <v>1</v>
      </c>
      <c r="C66" s="183" t="s">
        <v>89</v>
      </c>
      <c r="D66" s="184"/>
      <c r="E66" s="184"/>
      <c r="F66" s="184"/>
      <c r="G66" s="184"/>
      <c r="H66" s="184"/>
      <c r="I66" s="184"/>
      <c r="J66" s="54">
        <v>0.2</v>
      </c>
      <c r="K66" s="54">
        <v>1</v>
      </c>
      <c r="L66" s="54">
        <v>0.2</v>
      </c>
      <c r="M66" s="9"/>
      <c r="N66" s="9"/>
      <c r="O66" s="55"/>
    </row>
    <row r="67" spans="1:15" x14ac:dyDescent="0.25">
      <c r="A67" s="71"/>
      <c r="B67" s="44"/>
      <c r="C67" s="137" t="s">
        <v>8</v>
      </c>
      <c r="D67" s="137"/>
      <c r="E67" s="137"/>
      <c r="F67" s="137"/>
      <c r="G67" s="137"/>
      <c r="H67" s="137"/>
      <c r="I67" s="137"/>
      <c r="J67" s="23"/>
      <c r="K67" s="23"/>
      <c r="L67" s="23">
        <f>SUM(L66:L66)</f>
        <v>0.2</v>
      </c>
      <c r="O67" s="47"/>
    </row>
    <row r="68" spans="1:15" x14ac:dyDescent="0.25">
      <c r="A68" s="71"/>
      <c r="B68" s="11"/>
      <c r="C68" s="7"/>
      <c r="D68" s="7"/>
      <c r="E68" s="7"/>
      <c r="F68" s="7"/>
      <c r="G68" s="7"/>
      <c r="H68" s="7"/>
      <c r="I68" s="7"/>
      <c r="J68" s="7"/>
      <c r="K68" s="7"/>
      <c r="L68" s="7"/>
      <c r="O68" s="47"/>
    </row>
    <row r="69" spans="1:15" x14ac:dyDescent="0.25">
      <c r="A69" s="71"/>
      <c r="B69" s="80" t="s">
        <v>14</v>
      </c>
      <c r="C69" s="139" t="s">
        <v>13</v>
      </c>
      <c r="D69" s="139"/>
      <c r="E69" s="139"/>
      <c r="F69" s="139"/>
      <c r="G69" s="139"/>
      <c r="H69" s="139"/>
      <c r="I69" s="139"/>
      <c r="J69" s="142" t="s">
        <v>114</v>
      </c>
      <c r="K69" s="139"/>
      <c r="L69" s="139"/>
      <c r="O69" s="47"/>
    </row>
    <row r="70" spans="1:15" x14ac:dyDescent="0.25">
      <c r="A70" s="71"/>
      <c r="B70" s="44" t="s">
        <v>12</v>
      </c>
      <c r="C70" s="134"/>
      <c r="D70" s="134"/>
      <c r="E70" s="134"/>
      <c r="F70" s="134"/>
      <c r="G70" s="134"/>
      <c r="H70" s="134"/>
      <c r="I70" s="134"/>
      <c r="J70" s="21" t="s">
        <v>11</v>
      </c>
      <c r="K70" s="21" t="s">
        <v>10</v>
      </c>
      <c r="L70" s="21" t="s">
        <v>9</v>
      </c>
      <c r="O70" s="47"/>
    </row>
    <row r="71" spans="1:15" x14ac:dyDescent="0.25">
      <c r="A71" s="71"/>
      <c r="B71" s="44">
        <v>1</v>
      </c>
      <c r="C71" s="135" t="s">
        <v>89</v>
      </c>
      <c r="D71" s="136"/>
      <c r="E71" s="136"/>
      <c r="F71" s="136"/>
      <c r="G71" s="136"/>
      <c r="H71" s="136"/>
      <c r="I71" s="136"/>
      <c r="J71" s="22">
        <v>0.2</v>
      </c>
      <c r="K71" s="22">
        <v>1</v>
      </c>
      <c r="L71" s="22">
        <v>0.2</v>
      </c>
      <c r="O71" s="47"/>
    </row>
    <row r="72" spans="1:15" x14ac:dyDescent="0.25">
      <c r="A72" s="71"/>
      <c r="B72" s="44"/>
      <c r="C72" s="137" t="s">
        <v>8</v>
      </c>
      <c r="D72" s="137"/>
      <c r="E72" s="137"/>
      <c r="F72" s="137"/>
      <c r="G72" s="137"/>
      <c r="H72" s="137"/>
      <c r="I72" s="138"/>
      <c r="J72" s="23"/>
      <c r="K72" s="23"/>
      <c r="L72" s="23">
        <f>SUM(L71:L71)</f>
        <v>0.2</v>
      </c>
      <c r="O72" s="47"/>
    </row>
    <row r="73" spans="1:15" x14ac:dyDescent="0.25">
      <c r="A73" s="71"/>
      <c r="B73" s="11"/>
      <c r="C73" s="7"/>
      <c r="D73" s="7"/>
      <c r="E73" s="7"/>
      <c r="F73" s="7"/>
      <c r="G73" s="7"/>
      <c r="H73" s="7"/>
      <c r="I73" s="7"/>
      <c r="J73" s="7"/>
      <c r="K73" s="7"/>
      <c r="L73" s="7"/>
      <c r="O73" s="47"/>
    </row>
    <row r="74" spans="1:15" x14ac:dyDescent="0.25">
      <c r="A74" s="71"/>
      <c r="B74" s="80" t="s">
        <v>14</v>
      </c>
      <c r="C74" s="139" t="s">
        <v>13</v>
      </c>
      <c r="D74" s="139"/>
      <c r="E74" s="139"/>
      <c r="F74" s="139"/>
      <c r="G74" s="139"/>
      <c r="H74" s="139"/>
      <c r="I74" s="139"/>
      <c r="J74" s="142" t="s">
        <v>115</v>
      </c>
      <c r="K74" s="139"/>
      <c r="L74" s="139"/>
      <c r="O74" s="47"/>
    </row>
    <row r="75" spans="1:15" x14ac:dyDescent="0.25">
      <c r="A75" s="71"/>
      <c r="B75" s="44" t="s">
        <v>12</v>
      </c>
      <c r="C75" s="143"/>
      <c r="D75" s="144"/>
      <c r="E75" s="144"/>
      <c r="F75" s="144"/>
      <c r="G75" s="144"/>
      <c r="H75" s="144"/>
      <c r="I75" s="145"/>
      <c r="J75" s="21" t="s">
        <v>11</v>
      </c>
      <c r="K75" s="21" t="s">
        <v>10</v>
      </c>
      <c r="L75" s="21" t="s">
        <v>9</v>
      </c>
      <c r="O75" s="47"/>
    </row>
    <row r="76" spans="1:15" x14ac:dyDescent="0.25">
      <c r="A76" s="71"/>
      <c r="B76" s="44">
        <v>1</v>
      </c>
      <c r="C76" s="135" t="s">
        <v>88</v>
      </c>
      <c r="D76" s="136"/>
      <c r="E76" s="136"/>
      <c r="F76" s="136"/>
      <c r="G76" s="136"/>
      <c r="H76" s="136"/>
      <c r="I76" s="146"/>
      <c r="J76" s="22">
        <v>0.2</v>
      </c>
      <c r="K76" s="22">
        <v>1</v>
      </c>
      <c r="L76" s="22">
        <v>0.2</v>
      </c>
      <c r="O76" s="47"/>
    </row>
    <row r="77" spans="1:15" x14ac:dyDescent="0.25">
      <c r="A77" s="71"/>
      <c r="B77" s="44"/>
      <c r="C77" s="137" t="s">
        <v>8</v>
      </c>
      <c r="D77" s="137"/>
      <c r="E77" s="137"/>
      <c r="F77" s="137"/>
      <c r="G77" s="137"/>
      <c r="H77" s="137"/>
      <c r="I77" s="137"/>
      <c r="J77" s="23"/>
      <c r="K77" s="23"/>
      <c r="L77" s="23">
        <f>SUM(L76:L76)</f>
        <v>0.2</v>
      </c>
      <c r="O77" s="47"/>
    </row>
    <row r="78" spans="1:15" x14ac:dyDescent="0.25">
      <c r="A78" s="71"/>
      <c r="B78" s="11"/>
      <c r="C78" s="7"/>
      <c r="D78" s="7"/>
      <c r="E78" s="7"/>
      <c r="F78" s="7"/>
      <c r="G78" s="7"/>
      <c r="H78" s="7"/>
      <c r="I78" s="7"/>
      <c r="J78" s="7"/>
      <c r="K78" s="7"/>
      <c r="L78" s="7"/>
      <c r="O78" s="47"/>
    </row>
    <row r="79" spans="1:15" x14ac:dyDescent="0.25">
      <c r="A79" s="71"/>
      <c r="B79" s="80" t="s">
        <v>14</v>
      </c>
      <c r="C79" s="139" t="s">
        <v>13</v>
      </c>
      <c r="D79" s="139"/>
      <c r="E79" s="139"/>
      <c r="F79" s="139"/>
      <c r="G79" s="139"/>
      <c r="H79" s="139"/>
      <c r="I79" s="139"/>
      <c r="J79" s="142" t="s">
        <v>112</v>
      </c>
      <c r="K79" s="139"/>
      <c r="L79" s="139"/>
      <c r="O79" s="47"/>
    </row>
    <row r="80" spans="1:15" x14ac:dyDescent="0.25">
      <c r="A80" s="71"/>
      <c r="B80" s="44" t="s">
        <v>12</v>
      </c>
      <c r="C80" s="143"/>
      <c r="D80" s="144"/>
      <c r="E80" s="144"/>
      <c r="F80" s="144"/>
      <c r="G80" s="144"/>
      <c r="H80" s="144"/>
      <c r="I80" s="145"/>
      <c r="J80" s="21" t="s">
        <v>11</v>
      </c>
      <c r="K80" s="21" t="s">
        <v>10</v>
      </c>
      <c r="L80" s="21" t="s">
        <v>9</v>
      </c>
      <c r="O80" s="47"/>
    </row>
    <row r="81" spans="1:15" x14ac:dyDescent="0.25">
      <c r="A81" s="71"/>
      <c r="B81" s="44">
        <v>1</v>
      </c>
      <c r="C81" s="135" t="s">
        <v>89</v>
      </c>
      <c r="D81" s="136"/>
      <c r="E81" s="136"/>
      <c r="F81" s="136"/>
      <c r="G81" s="136"/>
      <c r="H81" s="136"/>
      <c r="I81" s="146"/>
      <c r="J81" s="22">
        <v>0.2</v>
      </c>
      <c r="K81" s="22">
        <v>1</v>
      </c>
      <c r="L81" s="22">
        <v>0.2</v>
      </c>
      <c r="O81" s="47"/>
    </row>
    <row r="82" spans="1:15" x14ac:dyDescent="0.25">
      <c r="A82" s="71"/>
      <c r="B82" s="44"/>
      <c r="C82" s="137" t="s">
        <v>8</v>
      </c>
      <c r="D82" s="137"/>
      <c r="E82" s="137"/>
      <c r="F82" s="137"/>
      <c r="G82" s="137"/>
      <c r="H82" s="137"/>
      <c r="I82" s="137"/>
      <c r="J82" s="23"/>
      <c r="K82" s="23"/>
      <c r="L82" s="23">
        <f>SUM(L81:L81)</f>
        <v>0.2</v>
      </c>
      <c r="O82" s="47"/>
    </row>
    <row r="83" spans="1:15" x14ac:dyDescent="0.25">
      <c r="A83" s="71"/>
      <c r="B83" s="11"/>
      <c r="C83" s="7"/>
      <c r="D83" s="7"/>
      <c r="E83" s="7"/>
      <c r="F83" s="7"/>
      <c r="G83" s="7"/>
      <c r="H83" s="7"/>
      <c r="I83" s="7"/>
      <c r="J83" s="7"/>
      <c r="K83" s="7"/>
      <c r="L83" s="7"/>
      <c r="O83" s="47"/>
    </row>
    <row r="84" spans="1:15" x14ac:dyDescent="0.25">
      <c r="A84" s="71"/>
      <c r="B84" s="80" t="s">
        <v>14</v>
      </c>
      <c r="C84" s="139" t="s">
        <v>13</v>
      </c>
      <c r="D84" s="139"/>
      <c r="E84" s="139"/>
      <c r="F84" s="139"/>
      <c r="G84" s="139"/>
      <c r="H84" s="139"/>
      <c r="I84" s="139"/>
      <c r="J84" s="142" t="s">
        <v>113</v>
      </c>
      <c r="K84" s="139"/>
      <c r="L84" s="139"/>
      <c r="O84" s="47"/>
    </row>
    <row r="85" spans="1:15" x14ac:dyDescent="0.25">
      <c r="A85" s="71"/>
      <c r="B85" s="44" t="s">
        <v>12</v>
      </c>
      <c r="C85" s="143"/>
      <c r="D85" s="144"/>
      <c r="E85" s="144"/>
      <c r="F85" s="144"/>
      <c r="G85" s="144"/>
      <c r="H85" s="144"/>
      <c r="I85" s="145"/>
      <c r="J85" s="21" t="s">
        <v>11</v>
      </c>
      <c r="K85" s="21" t="s">
        <v>10</v>
      </c>
      <c r="L85" s="21" t="s">
        <v>9</v>
      </c>
      <c r="O85" s="47"/>
    </row>
    <row r="86" spans="1:15" x14ac:dyDescent="0.25">
      <c r="A86" s="71"/>
      <c r="B86" s="44">
        <v>1</v>
      </c>
      <c r="C86" s="135" t="s">
        <v>88</v>
      </c>
      <c r="D86" s="136"/>
      <c r="E86" s="136"/>
      <c r="F86" s="136"/>
      <c r="G86" s="136"/>
      <c r="H86" s="136"/>
      <c r="I86" s="146"/>
      <c r="J86" s="22">
        <v>0.2</v>
      </c>
      <c r="K86" s="22">
        <v>1</v>
      </c>
      <c r="L86" s="22">
        <v>0.2</v>
      </c>
      <c r="O86" s="47"/>
    </row>
    <row r="87" spans="1:15" x14ac:dyDescent="0.25">
      <c r="A87" s="71"/>
      <c r="B87" s="44"/>
      <c r="C87" s="137" t="s">
        <v>8</v>
      </c>
      <c r="D87" s="137"/>
      <c r="E87" s="137"/>
      <c r="F87" s="137"/>
      <c r="G87" s="137"/>
      <c r="H87" s="137"/>
      <c r="I87" s="137"/>
      <c r="J87" s="23"/>
      <c r="K87" s="23"/>
      <c r="L87" s="23">
        <f>SUM(L86:L86)</f>
        <v>0.2</v>
      </c>
      <c r="O87" s="47"/>
    </row>
    <row r="88" spans="1:15" x14ac:dyDescent="0.25">
      <c r="A88" s="71"/>
      <c r="B88" s="4"/>
      <c r="J88" s="11"/>
      <c r="K88" s="11"/>
      <c r="L88" s="11"/>
      <c r="M88" s="11"/>
      <c r="N88" s="11"/>
      <c r="O88" s="56"/>
    </row>
    <row r="89" spans="1:15" x14ac:dyDescent="0.25">
      <c r="A89" s="71"/>
      <c r="B89" s="80" t="s">
        <v>14</v>
      </c>
      <c r="C89" s="139" t="s">
        <v>13</v>
      </c>
      <c r="D89" s="139"/>
      <c r="E89" s="139"/>
      <c r="F89" s="139"/>
      <c r="G89" s="139"/>
      <c r="H89" s="139"/>
      <c r="I89" s="139"/>
      <c r="J89" s="139" t="s">
        <v>44</v>
      </c>
      <c r="K89" s="139"/>
      <c r="L89" s="139"/>
      <c r="O89" s="47"/>
    </row>
    <row r="90" spans="1:15" x14ac:dyDescent="0.25">
      <c r="A90" s="71"/>
      <c r="B90" s="44" t="s">
        <v>12</v>
      </c>
      <c r="C90" s="143"/>
      <c r="D90" s="144"/>
      <c r="E90" s="144"/>
      <c r="F90" s="144"/>
      <c r="G90" s="144"/>
      <c r="H90" s="144"/>
      <c r="I90" s="145"/>
      <c r="J90" s="21" t="s">
        <v>11</v>
      </c>
      <c r="K90" s="21" t="s">
        <v>10</v>
      </c>
      <c r="L90" s="21" t="s">
        <v>9</v>
      </c>
      <c r="O90" s="47"/>
    </row>
    <row r="91" spans="1:15" x14ac:dyDescent="0.25">
      <c r="A91" s="71"/>
      <c r="B91" s="34">
        <v>1</v>
      </c>
      <c r="C91" s="147" t="s">
        <v>83</v>
      </c>
      <c r="D91" s="148"/>
      <c r="E91" s="148"/>
      <c r="F91" s="148"/>
      <c r="G91" s="148"/>
      <c r="H91" s="148"/>
      <c r="I91" s="149"/>
      <c r="J91" s="21">
        <v>0.25</v>
      </c>
      <c r="K91" s="21">
        <v>1</v>
      </c>
      <c r="L91" s="21">
        <f>SUM(J91*K91)</f>
        <v>0.25</v>
      </c>
      <c r="O91" s="47"/>
    </row>
    <row r="92" spans="1:15" x14ac:dyDescent="0.25">
      <c r="A92" s="71"/>
      <c r="B92" s="34"/>
      <c r="C92" s="138" t="s">
        <v>8</v>
      </c>
      <c r="D92" s="170"/>
      <c r="E92" s="170"/>
      <c r="F92" s="170"/>
      <c r="G92" s="170"/>
      <c r="H92" s="170"/>
      <c r="I92" s="171"/>
      <c r="J92" s="23"/>
      <c r="K92" s="23"/>
      <c r="L92" s="23">
        <f>SUM(L91)</f>
        <v>0.25</v>
      </c>
      <c r="O92" s="47"/>
    </row>
    <row r="93" spans="1:15" x14ac:dyDescent="0.25">
      <c r="A93" s="71"/>
      <c r="B93" s="4"/>
      <c r="J93" s="11"/>
      <c r="K93" s="11"/>
      <c r="L93" s="11"/>
      <c r="M93" s="11"/>
      <c r="N93" s="11"/>
      <c r="O93" s="56"/>
    </row>
    <row r="94" spans="1:15" x14ac:dyDescent="0.25">
      <c r="A94" s="71"/>
      <c r="B94" s="80" t="s">
        <v>14</v>
      </c>
      <c r="C94" s="139" t="s">
        <v>13</v>
      </c>
      <c r="D94" s="139"/>
      <c r="E94" s="139"/>
      <c r="F94" s="139"/>
      <c r="G94" s="139"/>
      <c r="H94" s="139"/>
      <c r="I94" s="139"/>
      <c r="J94" s="150" t="s">
        <v>51</v>
      </c>
      <c r="K94" s="139"/>
      <c r="L94" s="139"/>
      <c r="O94" s="47"/>
    </row>
    <row r="95" spans="1:15" x14ac:dyDescent="0.25">
      <c r="A95" s="71"/>
      <c r="B95" s="44" t="s">
        <v>12</v>
      </c>
      <c r="C95" s="143"/>
      <c r="D95" s="144"/>
      <c r="E95" s="144"/>
      <c r="F95" s="144"/>
      <c r="G95" s="144"/>
      <c r="H95" s="144"/>
      <c r="I95" s="145"/>
      <c r="J95" s="21" t="s">
        <v>11</v>
      </c>
      <c r="K95" s="21" t="s">
        <v>10</v>
      </c>
      <c r="L95" s="21" t="s">
        <v>9</v>
      </c>
      <c r="O95" s="47"/>
    </row>
    <row r="96" spans="1:15" x14ac:dyDescent="0.25">
      <c r="A96" s="71"/>
      <c r="B96" s="34">
        <v>1</v>
      </c>
      <c r="C96" s="147" t="s">
        <v>82</v>
      </c>
      <c r="D96" s="148"/>
      <c r="E96" s="148"/>
      <c r="F96" s="148"/>
      <c r="G96" s="148"/>
      <c r="H96" s="148"/>
      <c r="I96" s="149"/>
      <c r="J96" s="21">
        <v>0.25</v>
      </c>
      <c r="K96" s="21">
        <v>1</v>
      </c>
      <c r="L96" s="21">
        <f>SUM(J96*K96)</f>
        <v>0.25</v>
      </c>
      <c r="O96" s="47"/>
    </row>
    <row r="97" spans="1:15" x14ac:dyDescent="0.25">
      <c r="A97" s="71"/>
      <c r="B97" s="34">
        <v>2</v>
      </c>
      <c r="C97" s="147" t="s">
        <v>132</v>
      </c>
      <c r="D97" s="148"/>
      <c r="E97" s="148"/>
      <c r="F97" s="148"/>
      <c r="G97" s="148"/>
      <c r="H97" s="148"/>
      <c r="I97" s="149"/>
      <c r="J97" s="21">
        <v>2</v>
      </c>
      <c r="K97" s="21">
        <v>1</v>
      </c>
      <c r="L97" s="21">
        <f>SUM(J97*K97)</f>
        <v>2</v>
      </c>
      <c r="O97" s="47"/>
    </row>
    <row r="98" spans="1:15" x14ac:dyDescent="0.25">
      <c r="A98" s="71"/>
      <c r="B98" s="34"/>
      <c r="C98" s="138" t="s">
        <v>8</v>
      </c>
      <c r="D98" s="170"/>
      <c r="E98" s="170"/>
      <c r="F98" s="170"/>
      <c r="G98" s="170"/>
      <c r="H98" s="170"/>
      <c r="I98" s="171"/>
      <c r="J98" s="23"/>
      <c r="K98" s="23"/>
      <c r="L98" s="23">
        <f>SUM(L96:L97)</f>
        <v>2.25</v>
      </c>
      <c r="O98" s="47"/>
    </row>
    <row r="99" spans="1:15" x14ac:dyDescent="0.25">
      <c r="A99" s="71"/>
      <c r="C99" s="7"/>
      <c r="D99" s="7"/>
      <c r="E99" s="7"/>
      <c r="F99" s="7"/>
      <c r="G99" s="7"/>
      <c r="H99" s="7"/>
      <c r="I99" s="7"/>
      <c r="J99" s="7"/>
      <c r="K99" s="7"/>
      <c r="L99" s="7"/>
      <c r="O99" s="47"/>
    </row>
    <row r="100" spans="1:15" x14ac:dyDescent="0.25">
      <c r="A100" s="71"/>
      <c r="B100" s="4" t="s">
        <v>127</v>
      </c>
      <c r="L100" s="11"/>
      <c r="O100" s="47"/>
    </row>
    <row r="101" spans="1:15" x14ac:dyDescent="0.25">
      <c r="A101" s="71"/>
      <c r="B101" s="11"/>
      <c r="C101" s="7"/>
      <c r="D101" s="7"/>
      <c r="E101" s="7"/>
      <c r="F101" s="7"/>
      <c r="G101" s="7"/>
      <c r="H101" s="7"/>
      <c r="I101" s="7"/>
      <c r="J101" s="7"/>
      <c r="K101" s="7"/>
      <c r="L101" s="7"/>
      <c r="O101" s="47"/>
    </row>
    <row r="102" spans="1:15" x14ac:dyDescent="0.25">
      <c r="A102" s="71"/>
      <c r="B102" s="80" t="s">
        <v>14</v>
      </c>
      <c r="C102" s="186" t="s">
        <v>13</v>
      </c>
      <c r="D102" s="187"/>
      <c r="E102" s="187"/>
      <c r="F102" s="187"/>
      <c r="G102" s="187"/>
      <c r="H102" s="187"/>
      <c r="I102" s="188"/>
      <c r="J102" s="189" t="s">
        <v>96</v>
      </c>
      <c r="K102" s="190"/>
      <c r="L102" s="191"/>
      <c r="M102" s="172"/>
      <c r="N102" s="173"/>
      <c r="O102" s="174"/>
    </row>
    <row r="103" spans="1:15" ht="14.25" customHeight="1" x14ac:dyDescent="0.25">
      <c r="A103" s="71"/>
      <c r="B103" s="44" t="s">
        <v>12</v>
      </c>
      <c r="C103" s="143"/>
      <c r="D103" s="144"/>
      <c r="E103" s="144"/>
      <c r="F103" s="144"/>
      <c r="G103" s="144"/>
      <c r="H103" s="144"/>
      <c r="I103" s="145"/>
      <c r="J103" s="21" t="s">
        <v>11</v>
      </c>
      <c r="K103" s="21" t="s">
        <v>10</v>
      </c>
      <c r="L103" s="21" t="s">
        <v>9</v>
      </c>
      <c r="M103" s="11"/>
      <c r="N103" s="11"/>
      <c r="O103" s="56"/>
    </row>
    <row r="104" spans="1:15" x14ac:dyDescent="0.25">
      <c r="A104" s="71"/>
      <c r="B104" s="44">
        <v>1</v>
      </c>
      <c r="C104" s="147" t="s">
        <v>132</v>
      </c>
      <c r="D104" s="148"/>
      <c r="E104" s="148"/>
      <c r="F104" s="148"/>
      <c r="G104" s="148"/>
      <c r="H104" s="148"/>
      <c r="I104" s="149"/>
      <c r="J104" s="22">
        <v>2</v>
      </c>
      <c r="K104" s="22">
        <v>1</v>
      </c>
      <c r="L104" s="22">
        <v>2</v>
      </c>
      <c r="M104" s="11"/>
      <c r="N104" s="11"/>
      <c r="O104" s="56"/>
    </row>
    <row r="105" spans="1:15" x14ac:dyDescent="0.25">
      <c r="A105" s="71"/>
      <c r="B105" s="44"/>
      <c r="C105" s="137" t="s">
        <v>8</v>
      </c>
      <c r="D105" s="137"/>
      <c r="E105" s="137"/>
      <c r="F105" s="137"/>
      <c r="G105" s="137"/>
      <c r="H105" s="137"/>
      <c r="I105" s="137"/>
      <c r="J105" s="23"/>
      <c r="K105" s="23"/>
      <c r="L105" s="23">
        <f>SUM(L104:L104)</f>
        <v>2</v>
      </c>
      <c r="M105" s="7"/>
      <c r="N105" s="7"/>
      <c r="O105" s="51"/>
    </row>
    <row r="106" spans="1:15" x14ac:dyDescent="0.25">
      <c r="A106" s="71"/>
      <c r="B106" s="11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51"/>
    </row>
    <row r="107" spans="1:15" x14ac:dyDescent="0.25">
      <c r="A107" s="71"/>
      <c r="B107" s="4" t="s">
        <v>133</v>
      </c>
      <c r="L107" s="11"/>
      <c r="O107" s="47"/>
    </row>
    <row r="108" spans="1:15" x14ac:dyDescent="0.25">
      <c r="A108" s="71"/>
      <c r="B108" s="11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51"/>
    </row>
    <row r="109" spans="1:15" x14ac:dyDescent="0.25">
      <c r="A109" s="71"/>
      <c r="B109" s="80" t="s">
        <v>14</v>
      </c>
      <c r="C109" s="139" t="s">
        <v>13</v>
      </c>
      <c r="D109" s="139"/>
      <c r="E109" s="139"/>
      <c r="F109" s="139"/>
      <c r="G109" s="139"/>
      <c r="H109" s="139"/>
      <c r="I109" s="139"/>
      <c r="J109" s="142" t="s">
        <v>97</v>
      </c>
      <c r="K109" s="139"/>
      <c r="L109" s="139"/>
      <c r="M109" s="172"/>
      <c r="N109" s="173"/>
      <c r="O109" s="174"/>
    </row>
    <row r="110" spans="1:15" ht="14.25" customHeight="1" x14ac:dyDescent="0.25">
      <c r="A110" s="71"/>
      <c r="B110" s="44" t="s">
        <v>12</v>
      </c>
      <c r="C110" s="134"/>
      <c r="D110" s="134"/>
      <c r="E110" s="134"/>
      <c r="F110" s="134"/>
      <c r="G110" s="134"/>
      <c r="H110" s="134"/>
      <c r="I110" s="134"/>
      <c r="J110" s="21" t="s">
        <v>11</v>
      </c>
      <c r="K110" s="21" t="s">
        <v>10</v>
      </c>
      <c r="L110" s="21" t="s">
        <v>9</v>
      </c>
      <c r="M110" s="11"/>
      <c r="N110" s="11"/>
      <c r="O110" s="56"/>
    </row>
    <row r="111" spans="1:15" x14ac:dyDescent="0.25">
      <c r="A111" s="71"/>
      <c r="B111" s="44">
        <v>1</v>
      </c>
      <c r="C111" s="165" t="s">
        <v>134</v>
      </c>
      <c r="D111" s="148"/>
      <c r="E111" s="148"/>
      <c r="F111" s="148"/>
      <c r="G111" s="148"/>
      <c r="H111" s="148"/>
      <c r="I111" s="149"/>
      <c r="J111" s="22">
        <v>3</v>
      </c>
      <c r="K111" s="22">
        <v>1</v>
      </c>
      <c r="L111" s="22">
        <v>3</v>
      </c>
      <c r="M111" s="11"/>
      <c r="N111" s="11"/>
      <c r="O111" s="56"/>
    </row>
    <row r="112" spans="1:15" x14ac:dyDescent="0.25">
      <c r="A112" s="71"/>
      <c r="B112" s="44"/>
      <c r="C112" s="137" t="s">
        <v>8</v>
      </c>
      <c r="D112" s="137"/>
      <c r="E112" s="137"/>
      <c r="F112" s="137"/>
      <c r="G112" s="137"/>
      <c r="H112" s="137"/>
      <c r="I112" s="137"/>
      <c r="J112" s="23"/>
      <c r="K112" s="23"/>
      <c r="L112" s="23">
        <f>SUM(L111:L111)</f>
        <v>3</v>
      </c>
      <c r="M112" s="7"/>
      <c r="N112" s="7"/>
      <c r="O112" s="51"/>
    </row>
    <row r="113" spans="1:15" x14ac:dyDescent="0.25">
      <c r="A113" s="71"/>
      <c r="B113" s="11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51"/>
    </row>
    <row r="114" spans="1:15" x14ac:dyDescent="0.25">
      <c r="A114" s="71"/>
      <c r="B114" s="80" t="s">
        <v>14</v>
      </c>
      <c r="C114" s="139" t="s">
        <v>13</v>
      </c>
      <c r="D114" s="139"/>
      <c r="E114" s="139"/>
      <c r="F114" s="139"/>
      <c r="G114" s="139"/>
      <c r="H114" s="139"/>
      <c r="I114" s="139"/>
      <c r="J114" s="142" t="s">
        <v>123</v>
      </c>
      <c r="K114" s="139"/>
      <c r="L114" s="139"/>
      <c r="M114" s="172"/>
      <c r="N114" s="173"/>
      <c r="O114" s="174"/>
    </row>
    <row r="115" spans="1:15" ht="14.25" customHeight="1" x14ac:dyDescent="0.25">
      <c r="A115" s="71"/>
      <c r="B115" s="44" t="s">
        <v>12</v>
      </c>
      <c r="C115" s="134"/>
      <c r="D115" s="134"/>
      <c r="E115" s="134"/>
      <c r="F115" s="134"/>
      <c r="G115" s="134"/>
      <c r="H115" s="134"/>
      <c r="I115" s="134"/>
      <c r="J115" s="21" t="s">
        <v>11</v>
      </c>
      <c r="K115" s="21" t="s">
        <v>10</v>
      </c>
      <c r="L115" s="21" t="s">
        <v>9</v>
      </c>
      <c r="M115" s="11"/>
      <c r="N115" s="11"/>
      <c r="O115" s="56"/>
    </row>
    <row r="116" spans="1:15" x14ac:dyDescent="0.25">
      <c r="A116" s="71"/>
      <c r="B116" s="44">
        <v>1</v>
      </c>
      <c r="C116" s="165" t="s">
        <v>134</v>
      </c>
      <c r="D116" s="148"/>
      <c r="E116" s="148"/>
      <c r="F116" s="148"/>
      <c r="G116" s="148"/>
      <c r="H116" s="148"/>
      <c r="I116" s="149"/>
      <c r="J116" s="22">
        <v>3</v>
      </c>
      <c r="K116" s="22">
        <v>1</v>
      </c>
      <c r="L116" s="22">
        <v>3</v>
      </c>
      <c r="M116" s="11"/>
      <c r="N116" s="11"/>
      <c r="O116" s="56"/>
    </row>
    <row r="117" spans="1:15" x14ac:dyDescent="0.25">
      <c r="A117" s="71"/>
      <c r="B117" s="44"/>
      <c r="C117" s="138" t="s">
        <v>8</v>
      </c>
      <c r="D117" s="170"/>
      <c r="E117" s="170"/>
      <c r="F117" s="170"/>
      <c r="G117" s="170"/>
      <c r="H117" s="170"/>
      <c r="I117" s="171"/>
      <c r="J117" s="23"/>
      <c r="K117" s="23"/>
      <c r="L117" s="23">
        <f>SUM(L116:L116)</f>
        <v>3</v>
      </c>
      <c r="M117" s="7"/>
      <c r="N117" s="7"/>
      <c r="O117" s="51"/>
    </row>
    <row r="118" spans="1:15" x14ac:dyDescent="0.25">
      <c r="A118" s="71"/>
      <c r="B118" s="11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51"/>
    </row>
    <row r="119" spans="1:15" x14ac:dyDescent="0.25">
      <c r="A119" s="71"/>
      <c r="B119" s="4" t="s">
        <v>135</v>
      </c>
      <c r="L119" s="11"/>
      <c r="O119" s="47"/>
    </row>
    <row r="120" spans="1:15" x14ac:dyDescent="0.25">
      <c r="A120" s="71"/>
      <c r="B120" s="11"/>
      <c r="C120" s="7"/>
      <c r="D120" s="7"/>
      <c r="E120" s="7"/>
      <c r="F120" s="7"/>
      <c r="G120" s="7"/>
      <c r="H120" s="7"/>
      <c r="I120" s="7"/>
      <c r="J120" s="7"/>
      <c r="K120" s="7"/>
      <c r="L120" s="7"/>
      <c r="O120" s="47"/>
    </row>
    <row r="121" spans="1:15" x14ac:dyDescent="0.25">
      <c r="A121" s="71"/>
      <c r="B121" s="80" t="s">
        <v>14</v>
      </c>
      <c r="C121" s="139" t="s">
        <v>13</v>
      </c>
      <c r="D121" s="139"/>
      <c r="E121" s="139"/>
      <c r="F121" s="139"/>
      <c r="G121" s="139"/>
      <c r="H121" s="139"/>
      <c r="I121" s="139"/>
      <c r="J121" s="142" t="s">
        <v>107</v>
      </c>
      <c r="K121" s="139"/>
      <c r="L121" s="139"/>
      <c r="M121" s="142" t="s">
        <v>111</v>
      </c>
      <c r="N121" s="139"/>
      <c r="O121" s="166"/>
    </row>
    <row r="122" spans="1:15" x14ac:dyDescent="0.25">
      <c r="A122" s="71"/>
      <c r="B122" s="44" t="s">
        <v>12</v>
      </c>
      <c r="C122" s="143"/>
      <c r="D122" s="144"/>
      <c r="E122" s="144"/>
      <c r="F122" s="144"/>
      <c r="G122" s="144"/>
      <c r="H122" s="144"/>
      <c r="I122" s="145"/>
      <c r="J122" s="21" t="s">
        <v>11</v>
      </c>
      <c r="K122" s="21" t="s">
        <v>10</v>
      </c>
      <c r="L122" s="21" t="s">
        <v>9</v>
      </c>
      <c r="M122" s="21" t="s">
        <v>11</v>
      </c>
      <c r="N122" s="21" t="s">
        <v>10</v>
      </c>
      <c r="O122" s="48" t="s">
        <v>9</v>
      </c>
    </row>
    <row r="123" spans="1:15" x14ac:dyDescent="0.25">
      <c r="A123" s="71"/>
      <c r="B123" s="44">
        <v>1</v>
      </c>
      <c r="C123" s="135" t="s">
        <v>102</v>
      </c>
      <c r="D123" s="136"/>
      <c r="E123" s="136"/>
      <c r="F123" s="136"/>
      <c r="G123" s="136"/>
      <c r="H123" s="136"/>
      <c r="I123" s="146"/>
      <c r="J123" s="22">
        <v>1</v>
      </c>
      <c r="K123" s="22">
        <v>1</v>
      </c>
      <c r="L123" s="22">
        <v>1</v>
      </c>
      <c r="M123" s="22">
        <v>1.5</v>
      </c>
      <c r="N123" s="22">
        <v>1</v>
      </c>
      <c r="O123" s="49">
        <v>1.5</v>
      </c>
    </row>
    <row r="124" spans="1:15" ht="13.8" thickBot="1" x14ac:dyDescent="0.3">
      <c r="A124" s="72"/>
      <c r="B124" s="65"/>
      <c r="C124" s="207" t="s">
        <v>8</v>
      </c>
      <c r="D124" s="207"/>
      <c r="E124" s="207"/>
      <c r="F124" s="207"/>
      <c r="G124" s="207"/>
      <c r="H124" s="207"/>
      <c r="I124" s="207"/>
      <c r="J124" s="37"/>
      <c r="K124" s="37"/>
      <c r="L124" s="37">
        <f>SUM(L123:L123)</f>
        <v>1</v>
      </c>
      <c r="M124" s="37"/>
      <c r="N124" s="37"/>
      <c r="O124" s="57">
        <f>SUM(O123:O123)</f>
        <v>1.5</v>
      </c>
    </row>
    <row r="125" spans="1:15" x14ac:dyDescent="0.25">
      <c r="A125" s="69"/>
      <c r="B125" s="9"/>
      <c r="C125" s="58"/>
      <c r="D125" s="9"/>
      <c r="E125" s="9"/>
      <c r="F125" s="9"/>
      <c r="G125" s="9"/>
      <c r="H125" s="9"/>
      <c r="I125" s="59"/>
      <c r="J125" s="9"/>
      <c r="K125" s="9"/>
      <c r="L125" s="9"/>
      <c r="M125" s="60"/>
      <c r="N125" s="9"/>
      <c r="O125" s="55"/>
    </row>
    <row r="126" spans="1:15" x14ac:dyDescent="0.25">
      <c r="A126" s="71"/>
      <c r="B126" s="4" t="s">
        <v>140</v>
      </c>
      <c r="L126" s="11"/>
      <c r="O126" s="47"/>
    </row>
    <row r="127" spans="1:15" x14ac:dyDescent="0.25">
      <c r="A127" s="71"/>
      <c r="B127" s="11"/>
      <c r="C127" s="7"/>
      <c r="D127" s="7"/>
      <c r="E127" s="7"/>
      <c r="F127" s="7"/>
      <c r="G127" s="7"/>
      <c r="H127" s="7"/>
      <c r="I127" s="7"/>
      <c r="J127" s="7"/>
      <c r="K127" s="7"/>
      <c r="L127" s="7"/>
      <c r="O127" s="47"/>
    </row>
    <row r="128" spans="1:15" x14ac:dyDescent="0.25">
      <c r="A128" s="71"/>
      <c r="B128" s="80" t="s">
        <v>14</v>
      </c>
      <c r="C128" s="139" t="s">
        <v>13</v>
      </c>
      <c r="D128" s="139"/>
      <c r="E128" s="139"/>
      <c r="F128" s="139"/>
      <c r="G128" s="139"/>
      <c r="H128" s="139"/>
      <c r="I128" s="139"/>
      <c r="J128" s="142" t="s">
        <v>141</v>
      </c>
      <c r="K128" s="139"/>
      <c r="L128" s="139"/>
      <c r="M128" s="142" t="s">
        <v>142</v>
      </c>
      <c r="N128" s="139"/>
      <c r="O128" s="166"/>
    </row>
    <row r="129" spans="1:15" x14ac:dyDescent="0.25">
      <c r="A129" s="71"/>
      <c r="B129" s="44" t="s">
        <v>12</v>
      </c>
      <c r="C129" s="134"/>
      <c r="D129" s="134"/>
      <c r="E129" s="134"/>
      <c r="F129" s="134"/>
      <c r="G129" s="134"/>
      <c r="H129" s="134"/>
      <c r="I129" s="134"/>
      <c r="J129" s="21" t="s">
        <v>11</v>
      </c>
      <c r="K129" s="21" t="s">
        <v>10</v>
      </c>
      <c r="L129" s="21" t="s">
        <v>9</v>
      </c>
      <c r="M129" s="21" t="s">
        <v>11</v>
      </c>
      <c r="N129" s="21" t="s">
        <v>10</v>
      </c>
      <c r="O129" s="48" t="s">
        <v>9</v>
      </c>
    </row>
    <row r="130" spans="1:15" x14ac:dyDescent="0.25">
      <c r="A130" s="71"/>
      <c r="B130" s="44">
        <v>1</v>
      </c>
      <c r="C130" s="201" t="s">
        <v>102</v>
      </c>
      <c r="D130" s="202"/>
      <c r="E130" s="202"/>
      <c r="F130" s="202"/>
      <c r="G130" s="202"/>
      <c r="H130" s="202"/>
      <c r="I130" s="202"/>
      <c r="J130" s="22">
        <v>1</v>
      </c>
      <c r="K130" s="22">
        <v>1</v>
      </c>
      <c r="L130" s="22">
        <v>1</v>
      </c>
      <c r="M130" s="22">
        <v>1.5</v>
      </c>
      <c r="N130" s="22">
        <v>5</v>
      </c>
      <c r="O130" s="49">
        <f>N130*M130</f>
        <v>7.5</v>
      </c>
    </row>
    <row r="131" spans="1:15" x14ac:dyDescent="0.25">
      <c r="A131" s="71"/>
      <c r="B131" s="44"/>
      <c r="C131" s="137" t="s">
        <v>8</v>
      </c>
      <c r="D131" s="137"/>
      <c r="E131" s="137"/>
      <c r="F131" s="137"/>
      <c r="G131" s="137"/>
      <c r="H131" s="137"/>
      <c r="I131" s="137"/>
      <c r="J131" s="23"/>
      <c r="K131" s="23"/>
      <c r="L131" s="23">
        <f>SUM(L130:L130)</f>
        <v>1</v>
      </c>
      <c r="M131" s="23"/>
      <c r="N131" s="23"/>
      <c r="O131" s="50">
        <f>SUM(O130:O130)</f>
        <v>7.5</v>
      </c>
    </row>
    <row r="132" spans="1:15" x14ac:dyDescent="0.25">
      <c r="A132" s="71"/>
      <c r="B132" s="11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51"/>
    </row>
    <row r="133" spans="1:15" x14ac:dyDescent="0.25">
      <c r="A133" s="71"/>
      <c r="B133" s="178" t="s">
        <v>93</v>
      </c>
      <c r="C133" s="178"/>
      <c r="D133" s="178"/>
      <c r="E133" s="178"/>
      <c r="F133" s="178"/>
      <c r="G133" s="178"/>
      <c r="H133" s="178"/>
      <c r="I133" s="178"/>
      <c r="J133" s="179"/>
      <c r="K133" s="79" t="s">
        <v>117</v>
      </c>
      <c r="L133" s="79" t="s">
        <v>116</v>
      </c>
      <c r="M133" s="13"/>
      <c r="O133" s="47"/>
    </row>
    <row r="134" spans="1:15" ht="12" customHeight="1" x14ac:dyDescent="0.25">
      <c r="A134" s="71"/>
      <c r="B134" s="161" t="s">
        <v>92</v>
      </c>
      <c r="C134" s="140"/>
      <c r="D134" s="140"/>
      <c r="E134" s="140"/>
      <c r="F134" s="140"/>
      <c r="G134" s="140"/>
      <c r="H134" s="140"/>
      <c r="I134" s="140"/>
      <c r="J134" s="141"/>
      <c r="K134" s="35" t="s">
        <v>91</v>
      </c>
      <c r="L134" s="26" t="s">
        <v>119</v>
      </c>
      <c r="O134" s="47"/>
    </row>
    <row r="135" spans="1:15" ht="12" customHeight="1" x14ac:dyDescent="0.25">
      <c r="A135" s="71"/>
      <c r="B135" s="140" t="s">
        <v>147</v>
      </c>
      <c r="C135" s="140"/>
      <c r="D135" s="140"/>
      <c r="E135" s="140"/>
      <c r="F135" s="140"/>
      <c r="G135" s="140"/>
      <c r="H135" s="140"/>
      <c r="I135" s="140"/>
      <c r="J135" s="141"/>
      <c r="K135" s="35" t="s">
        <v>90</v>
      </c>
      <c r="L135" s="26" t="s">
        <v>119</v>
      </c>
      <c r="O135" s="47"/>
    </row>
    <row r="136" spans="1:15" ht="12" customHeight="1" x14ac:dyDescent="0.25">
      <c r="A136" s="71"/>
      <c r="B136" s="140" t="s">
        <v>148</v>
      </c>
      <c r="C136" s="140"/>
      <c r="D136" s="140"/>
      <c r="E136" s="140"/>
      <c r="F136" s="140"/>
      <c r="G136" s="140"/>
      <c r="H136" s="140"/>
      <c r="I136" s="140"/>
      <c r="J136" s="141"/>
      <c r="K136" s="35" t="s">
        <v>90</v>
      </c>
      <c r="L136" s="26" t="s">
        <v>119</v>
      </c>
      <c r="O136" s="47"/>
    </row>
    <row r="137" spans="1:15" x14ac:dyDescent="0.25">
      <c r="A137" s="71"/>
      <c r="B137" s="141" t="s">
        <v>49</v>
      </c>
      <c r="C137" s="164"/>
      <c r="D137" s="164"/>
      <c r="E137" s="164"/>
      <c r="F137" s="164"/>
      <c r="G137" s="164"/>
      <c r="H137" s="164"/>
      <c r="I137" s="164"/>
      <c r="J137" s="164"/>
      <c r="K137" s="24" t="s">
        <v>46</v>
      </c>
      <c r="L137" s="26" t="s">
        <v>120</v>
      </c>
      <c r="O137" s="47"/>
    </row>
    <row r="138" spans="1:15" x14ac:dyDescent="0.25">
      <c r="A138" s="71"/>
      <c r="B138" s="140" t="s">
        <v>99</v>
      </c>
      <c r="C138" s="140"/>
      <c r="D138" s="140"/>
      <c r="E138" s="140"/>
      <c r="F138" s="140"/>
      <c r="G138" s="140"/>
      <c r="H138" s="140"/>
      <c r="I138" s="140"/>
      <c r="J138" s="141"/>
      <c r="K138" s="35" t="s">
        <v>90</v>
      </c>
      <c r="L138" s="26" t="s">
        <v>118</v>
      </c>
      <c r="O138" s="47"/>
    </row>
    <row r="139" spans="1:15" x14ac:dyDescent="0.25">
      <c r="A139" s="71"/>
      <c r="B139" s="140" t="s">
        <v>100</v>
      </c>
      <c r="C139" s="140"/>
      <c r="D139" s="140"/>
      <c r="E139" s="140"/>
      <c r="F139" s="140"/>
      <c r="G139" s="140"/>
      <c r="H139" s="140"/>
      <c r="I139" s="140"/>
      <c r="J139" s="141"/>
      <c r="K139" s="35" t="s">
        <v>90</v>
      </c>
      <c r="L139" s="26" t="s">
        <v>118</v>
      </c>
      <c r="O139" s="47"/>
    </row>
    <row r="140" spans="1:15" x14ac:dyDescent="0.25">
      <c r="A140" s="71"/>
      <c r="B140" s="140" t="s">
        <v>104</v>
      </c>
      <c r="C140" s="140"/>
      <c r="D140" s="140"/>
      <c r="E140" s="140"/>
      <c r="F140" s="140"/>
      <c r="G140" s="140"/>
      <c r="H140" s="140"/>
      <c r="I140" s="140"/>
      <c r="J140" s="141"/>
      <c r="K140" s="35" t="s">
        <v>103</v>
      </c>
      <c r="L140" s="26" t="s">
        <v>121</v>
      </c>
      <c r="O140" s="47"/>
    </row>
    <row r="141" spans="1:15" x14ac:dyDescent="0.25">
      <c r="A141" s="71"/>
      <c r="B141" s="140" t="s">
        <v>98</v>
      </c>
      <c r="C141" s="140"/>
      <c r="D141" s="140"/>
      <c r="E141" s="140"/>
      <c r="F141" s="140"/>
      <c r="G141" s="140"/>
      <c r="H141" s="140"/>
      <c r="I141" s="140"/>
      <c r="J141" s="141"/>
      <c r="K141" s="25" t="s">
        <v>53</v>
      </c>
      <c r="L141" s="26" t="s">
        <v>122</v>
      </c>
      <c r="O141" s="47"/>
    </row>
    <row r="142" spans="1:15" x14ac:dyDescent="0.25">
      <c r="A142" s="71"/>
      <c r="B142" s="140" t="s">
        <v>101</v>
      </c>
      <c r="C142" s="140"/>
      <c r="D142" s="140"/>
      <c r="E142" s="140"/>
      <c r="F142" s="140"/>
      <c r="G142" s="140"/>
      <c r="H142" s="140"/>
      <c r="I142" s="140"/>
      <c r="J142" s="141"/>
      <c r="K142" s="35" t="s">
        <v>139</v>
      </c>
      <c r="L142" s="26" t="s">
        <v>122</v>
      </c>
      <c r="O142" s="47"/>
    </row>
    <row r="143" spans="1:15" ht="12" customHeight="1" x14ac:dyDescent="0.25">
      <c r="A143" s="71"/>
      <c r="B143" s="67"/>
      <c r="C143" s="38"/>
      <c r="D143" s="38"/>
      <c r="E143" s="38"/>
      <c r="F143" s="38"/>
      <c r="G143" s="38"/>
      <c r="H143" s="38"/>
      <c r="I143" s="38"/>
      <c r="J143" s="39"/>
      <c r="K143" s="35"/>
      <c r="L143" s="15"/>
      <c r="O143" s="47"/>
    </row>
    <row r="144" spans="1:15" x14ac:dyDescent="0.25">
      <c r="A144" s="71"/>
      <c r="B144" s="178" t="s">
        <v>94</v>
      </c>
      <c r="C144" s="178"/>
      <c r="D144" s="178"/>
      <c r="E144" s="178"/>
      <c r="F144" s="178"/>
      <c r="G144" s="178"/>
      <c r="H144" s="178"/>
      <c r="I144" s="178"/>
      <c r="J144" s="179"/>
      <c r="K144" s="79" t="s">
        <v>117</v>
      </c>
      <c r="L144" s="79" t="s">
        <v>116</v>
      </c>
      <c r="O144" s="47"/>
    </row>
    <row r="145" spans="1:24" x14ac:dyDescent="0.25">
      <c r="A145" s="71"/>
      <c r="B145" s="149" t="s">
        <v>47</v>
      </c>
      <c r="C145" s="162"/>
      <c r="D145" s="162"/>
      <c r="E145" s="162"/>
      <c r="F145" s="162"/>
      <c r="G145" s="162"/>
      <c r="H145" s="162"/>
      <c r="I145" s="162"/>
      <c r="J145" s="162"/>
      <c r="K145" s="25" t="s">
        <v>108</v>
      </c>
      <c r="L145" s="15" t="s">
        <v>136</v>
      </c>
      <c r="O145" s="47"/>
    </row>
    <row r="146" spans="1:24" x14ac:dyDescent="0.25">
      <c r="A146" s="71"/>
      <c r="B146" s="163" t="s">
        <v>87</v>
      </c>
      <c r="C146" s="162"/>
      <c r="D146" s="162"/>
      <c r="E146" s="162"/>
      <c r="F146" s="162"/>
      <c r="G146" s="162"/>
      <c r="H146" s="162"/>
      <c r="I146" s="162"/>
      <c r="J146" s="162"/>
      <c r="K146" s="35" t="s">
        <v>84</v>
      </c>
      <c r="L146" s="15" t="s">
        <v>137</v>
      </c>
      <c r="O146" s="47"/>
    </row>
    <row r="147" spans="1:24" x14ac:dyDescent="0.25">
      <c r="A147" s="71"/>
      <c r="B147" s="149" t="s">
        <v>52</v>
      </c>
      <c r="C147" s="162"/>
      <c r="D147" s="162"/>
      <c r="E147" s="162"/>
      <c r="F147" s="162"/>
      <c r="G147" s="162"/>
      <c r="H147" s="162"/>
      <c r="I147" s="162"/>
      <c r="J147" s="162"/>
      <c r="K147" s="24" t="s">
        <v>48</v>
      </c>
      <c r="L147" s="15" t="s">
        <v>136</v>
      </c>
      <c r="O147" s="47"/>
    </row>
    <row r="148" spans="1:24" x14ac:dyDescent="0.25">
      <c r="A148" s="71"/>
      <c r="B148" s="163" t="s">
        <v>86</v>
      </c>
      <c r="C148" s="162"/>
      <c r="D148" s="162"/>
      <c r="E148" s="162"/>
      <c r="F148" s="162"/>
      <c r="G148" s="162"/>
      <c r="H148" s="162"/>
      <c r="I148" s="162"/>
      <c r="J148" s="162"/>
      <c r="K148" s="35" t="s">
        <v>85</v>
      </c>
      <c r="L148" s="15" t="s">
        <v>137</v>
      </c>
      <c r="O148" s="47"/>
      <c r="X148" s="13"/>
    </row>
    <row r="149" spans="1:24" x14ac:dyDescent="0.25">
      <c r="A149" s="71"/>
      <c r="B149" s="149" t="s">
        <v>109</v>
      </c>
      <c r="C149" s="162"/>
      <c r="D149" s="162"/>
      <c r="E149" s="162"/>
      <c r="F149" s="162"/>
      <c r="G149" s="162"/>
      <c r="H149" s="162"/>
      <c r="I149" s="162"/>
      <c r="J149" s="162"/>
      <c r="K149" s="35" t="s">
        <v>138</v>
      </c>
      <c r="L149" s="15" t="s">
        <v>136</v>
      </c>
      <c r="O149" s="47"/>
      <c r="X149" s="13"/>
    </row>
    <row r="150" spans="1:24" x14ac:dyDescent="0.25">
      <c r="A150" s="71"/>
      <c r="B150" s="163" t="s">
        <v>110</v>
      </c>
      <c r="C150" s="162"/>
      <c r="D150" s="162"/>
      <c r="E150" s="162"/>
      <c r="F150" s="162"/>
      <c r="G150" s="162"/>
      <c r="H150" s="162"/>
      <c r="I150" s="162"/>
      <c r="J150" s="162"/>
      <c r="K150" s="40" t="s">
        <v>15</v>
      </c>
      <c r="L150" s="15" t="s">
        <v>136</v>
      </c>
      <c r="O150" s="47"/>
      <c r="X150" s="13"/>
    </row>
    <row r="151" spans="1:24" x14ac:dyDescent="0.25">
      <c r="A151" s="71"/>
      <c r="B151" s="68"/>
      <c r="C151" s="41"/>
      <c r="D151" s="41"/>
      <c r="E151" s="41"/>
      <c r="F151" s="41"/>
      <c r="G151" s="41"/>
      <c r="H151" s="41"/>
      <c r="I151" s="41"/>
      <c r="J151" s="42"/>
      <c r="K151" s="43"/>
      <c r="O151" s="47"/>
      <c r="X151" s="13"/>
    </row>
    <row r="152" spans="1:24" ht="13.8" thickBot="1" x14ac:dyDescent="0.3">
      <c r="A152" s="72"/>
      <c r="B152" s="159"/>
      <c r="C152" s="159"/>
      <c r="D152" s="159"/>
      <c r="E152" s="159"/>
      <c r="F152" s="159"/>
      <c r="G152" s="159"/>
      <c r="H152" s="159"/>
      <c r="I152" s="159"/>
      <c r="J152" s="160"/>
      <c r="K152" s="61"/>
      <c r="L152" s="52"/>
      <c r="M152" s="52"/>
      <c r="N152" s="52"/>
      <c r="O152" s="53"/>
    </row>
  </sheetData>
  <mergeCells count="140">
    <mergeCell ref="M128:O128"/>
    <mergeCell ref="M114:O114"/>
    <mergeCell ref="C115:I115"/>
    <mergeCell ref="C116:I116"/>
    <mergeCell ref="C117:I117"/>
    <mergeCell ref="B141:J141"/>
    <mergeCell ref="B139:J139"/>
    <mergeCell ref="C130:I130"/>
    <mergeCell ref="C131:I131"/>
    <mergeCell ref="C123:I123"/>
    <mergeCell ref="C124:I124"/>
    <mergeCell ref="C62:I62"/>
    <mergeCell ref="C64:I64"/>
    <mergeCell ref="B16:J16"/>
    <mergeCell ref="C59:I59"/>
    <mergeCell ref="J59:L59"/>
    <mergeCell ref="C60:I60"/>
    <mergeCell ref="J121:L121"/>
    <mergeCell ref="A1:E3"/>
    <mergeCell ref="B144:J144"/>
    <mergeCell ref="C128:I128"/>
    <mergeCell ref="J128:L128"/>
    <mergeCell ref="B7:O7"/>
    <mergeCell ref="F8:H8"/>
    <mergeCell ref="F9:H9"/>
    <mergeCell ref="B10:H10"/>
    <mergeCell ref="I10:J10"/>
    <mergeCell ref="B11:J11"/>
    <mergeCell ref="J64:L64"/>
    <mergeCell ref="C50:I50"/>
    <mergeCell ref="C51:I51"/>
    <mergeCell ref="C122:I122"/>
    <mergeCell ref="C129:I129"/>
    <mergeCell ref="C114:I114"/>
    <mergeCell ref="B133:J133"/>
    <mergeCell ref="C112:I112"/>
    <mergeCell ref="B12:J12"/>
    <mergeCell ref="B17:J17"/>
    <mergeCell ref="B18:J18"/>
    <mergeCell ref="B19:J19"/>
    <mergeCell ref="C97:I97"/>
    <mergeCell ref="C98:I98"/>
    <mergeCell ref="C37:I37"/>
    <mergeCell ref="B20:J20"/>
    <mergeCell ref="B21:J21"/>
    <mergeCell ref="C66:I66"/>
    <mergeCell ref="C67:I67"/>
    <mergeCell ref="C53:I53"/>
    <mergeCell ref="C49:I49"/>
    <mergeCell ref="C31:I31"/>
    <mergeCell ref="C32:I32"/>
    <mergeCell ref="C65:I65"/>
    <mergeCell ref="C39:I39"/>
    <mergeCell ref="C102:I102"/>
    <mergeCell ref="J102:L102"/>
    <mergeCell ref="C121:I121"/>
    <mergeCell ref="C95:I95"/>
    <mergeCell ref="M121:O121"/>
    <mergeCell ref="C24:I24"/>
    <mergeCell ref="J24:L24"/>
    <mergeCell ref="C47:I47"/>
    <mergeCell ref="J47:L47"/>
    <mergeCell ref="C25:I25"/>
    <mergeCell ref="C40:I40"/>
    <mergeCell ref="M47:O47"/>
    <mergeCell ref="C42:I42"/>
    <mergeCell ref="C41:I41"/>
    <mergeCell ref="C110:I110"/>
    <mergeCell ref="C109:I109"/>
    <mergeCell ref="C92:I92"/>
    <mergeCell ref="J74:L74"/>
    <mergeCell ref="C75:I75"/>
    <mergeCell ref="M102:O102"/>
    <mergeCell ref="J109:L109"/>
    <mergeCell ref="M109:O109"/>
    <mergeCell ref="C103:I103"/>
    <mergeCell ref="C104:I104"/>
    <mergeCell ref="C43:I43"/>
    <mergeCell ref="C48:I48"/>
    <mergeCell ref="B152:J152"/>
    <mergeCell ref="B142:J142"/>
    <mergeCell ref="B134:J134"/>
    <mergeCell ref="B145:J145"/>
    <mergeCell ref="B146:J146"/>
    <mergeCell ref="B147:J147"/>
    <mergeCell ref="B136:J136"/>
    <mergeCell ref="B135:J135"/>
    <mergeCell ref="B137:J137"/>
    <mergeCell ref="B138:J138"/>
    <mergeCell ref="B149:J149"/>
    <mergeCell ref="B150:J150"/>
    <mergeCell ref="B148:J148"/>
    <mergeCell ref="J114:L114"/>
    <mergeCell ref="J84:L84"/>
    <mergeCell ref="C85:I85"/>
    <mergeCell ref="A4:E4"/>
    <mergeCell ref="A5:E5"/>
    <mergeCell ref="A6:E6"/>
    <mergeCell ref="F4:N4"/>
    <mergeCell ref="F5:N5"/>
    <mergeCell ref="F6:N6"/>
    <mergeCell ref="C111:I111"/>
    <mergeCell ref="C96:I96"/>
    <mergeCell ref="C90:I90"/>
    <mergeCell ref="C26:I26"/>
    <mergeCell ref="C27:I27"/>
    <mergeCell ref="C28:I28"/>
    <mergeCell ref="C29:I29"/>
    <mergeCell ref="C30:I30"/>
    <mergeCell ref="C38:I38"/>
    <mergeCell ref="C33:I33"/>
    <mergeCell ref="C34:I34"/>
    <mergeCell ref="C35:I35"/>
    <mergeCell ref="C36:I36"/>
    <mergeCell ref="C52:I52"/>
    <mergeCell ref="C61:I61"/>
    <mergeCell ref="F1:M3"/>
    <mergeCell ref="C70:I70"/>
    <mergeCell ref="C71:I71"/>
    <mergeCell ref="C72:I72"/>
    <mergeCell ref="C74:I74"/>
    <mergeCell ref="B140:J140"/>
    <mergeCell ref="C79:I79"/>
    <mergeCell ref="J79:L79"/>
    <mergeCell ref="C80:I80"/>
    <mergeCell ref="C81:I81"/>
    <mergeCell ref="C82:I82"/>
    <mergeCell ref="C84:I84"/>
    <mergeCell ref="C69:I69"/>
    <mergeCell ref="C76:I76"/>
    <mergeCell ref="C77:I77"/>
    <mergeCell ref="J69:L69"/>
    <mergeCell ref="C91:I91"/>
    <mergeCell ref="J94:L94"/>
    <mergeCell ref="C94:I94"/>
    <mergeCell ref="C89:I89"/>
    <mergeCell ref="C87:I87"/>
    <mergeCell ref="J89:L89"/>
    <mergeCell ref="C86:I86"/>
    <mergeCell ref="C105:I105"/>
  </mergeCells>
  <phoneticPr fontId="0" type="noConversion"/>
  <hyperlinks>
    <hyperlink ref="R2" r:id="rId1" xr:uid="{2A7EC456-A7F6-42B5-9D34-F70204946A55}"/>
  </hyperlinks>
  <printOptions horizontalCentered="1"/>
  <pageMargins left="0.70866141732283461" right="0.70866141732283461" top="0.74803149606299213" bottom="0.74803149606299213" header="0.31496062992125984" footer="0.31496062992125984"/>
  <pageSetup scale="67" orientation="portrait" r:id="rId2"/>
  <headerFooter alignWithMargins="0">
    <oddHeader>&amp;RDate: &amp;D
Time: &amp;T</oddHeader>
    <oddFooter>&amp;LPrepared by
VINAY&amp;CPage &amp;P of &amp;N&amp;RApproved by.
MOHAN PATHI</oddFooter>
  </headerFooter>
  <rowBreaks count="2" manualBreakCount="2">
    <brk id="65" max="14" man="1"/>
    <brk id="124" max="14" man="1"/>
  </rowBreaks>
  <colBreaks count="1" manualBreakCount="1">
    <brk id="15" max="130" man="1"/>
  </col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C10F9-7F00-4045-BED8-FBF67F632FA4}">
  <dimension ref="A1:S54"/>
  <sheetViews>
    <sheetView zoomScale="115" zoomScaleNormal="115" zoomScaleSheetLayoutView="87" workbookViewId="0">
      <selection activeCell="K7" sqref="K7"/>
    </sheetView>
  </sheetViews>
  <sheetFormatPr defaultRowHeight="13.2" x14ac:dyDescent="0.25"/>
  <cols>
    <col min="4" max="4" width="2" customWidth="1"/>
    <col min="5" max="5" width="9.109375" hidden="1" customWidth="1"/>
    <col min="9" max="9" width="10.6640625" bestFit="1" customWidth="1"/>
    <col min="15" max="15" width="15.88671875" customWidth="1"/>
    <col min="16" max="16" width="0.33203125" customWidth="1"/>
  </cols>
  <sheetData>
    <row r="1" spans="1:18" ht="15" customHeight="1" x14ac:dyDescent="0.25">
      <c r="A1" s="213"/>
      <c r="B1" s="214"/>
      <c r="C1" s="219" t="s">
        <v>80</v>
      </c>
      <c r="D1" s="219"/>
      <c r="E1" s="219"/>
      <c r="F1" s="219"/>
      <c r="G1" s="219"/>
      <c r="H1" s="219"/>
      <c r="I1" s="219"/>
      <c r="J1" s="219"/>
      <c r="K1" s="219"/>
      <c r="L1" s="219"/>
      <c r="M1" s="220"/>
      <c r="N1" s="83" t="s">
        <v>40</v>
      </c>
      <c r="O1" s="84"/>
      <c r="P1" s="85"/>
    </row>
    <row r="2" spans="1:18" x14ac:dyDescent="0.25">
      <c r="A2" s="215"/>
      <c r="B2" s="216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2"/>
      <c r="N2" s="86" t="s">
        <v>6</v>
      </c>
      <c r="O2" s="87"/>
      <c r="P2" s="88"/>
      <c r="R2" s="230" t="s">
        <v>156</v>
      </c>
    </row>
    <row r="3" spans="1:18" ht="19.8" customHeight="1" thickBot="1" x14ac:dyDescent="0.3">
      <c r="A3" s="217"/>
      <c r="B3" s="218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4"/>
      <c r="N3" s="89" t="s">
        <v>7</v>
      </c>
      <c r="O3" s="90"/>
      <c r="P3" s="91"/>
      <c r="R3" t="s">
        <v>157</v>
      </c>
    </row>
    <row r="4" spans="1:18" ht="13.8" thickBot="1" x14ac:dyDescent="0.3">
      <c r="A4" s="225" t="s">
        <v>55</v>
      </c>
      <c r="B4" s="226"/>
      <c r="C4" s="226"/>
      <c r="D4" s="92"/>
      <c r="E4" s="93"/>
      <c r="F4" s="227"/>
      <c r="G4" s="228"/>
      <c r="H4" s="228"/>
      <c r="I4" s="228"/>
      <c r="J4" s="228"/>
      <c r="K4" s="228"/>
      <c r="L4" s="228"/>
      <c r="M4" s="228"/>
      <c r="N4" s="228"/>
      <c r="O4" s="228"/>
      <c r="P4" s="229"/>
    </row>
    <row r="5" spans="1:18" ht="12.9" customHeight="1" thickBot="1" x14ac:dyDescent="0.3">
      <c r="A5" s="82" t="s">
        <v>37</v>
      </c>
      <c r="B5" s="95"/>
      <c r="C5" s="95"/>
      <c r="D5" s="94"/>
      <c r="E5" s="96"/>
      <c r="F5" s="210"/>
      <c r="G5" s="211"/>
      <c r="H5" s="211"/>
      <c r="I5" s="211"/>
      <c r="J5" s="211"/>
      <c r="K5" s="211"/>
      <c r="L5" s="211"/>
      <c r="M5" s="211"/>
      <c r="N5" s="211"/>
      <c r="O5" s="211"/>
      <c r="P5" s="212"/>
    </row>
    <row r="6" spans="1:18" ht="12.9" customHeight="1" thickBot="1" x14ac:dyDescent="0.3">
      <c r="A6" s="82" t="s">
        <v>41</v>
      </c>
      <c r="B6" s="95"/>
      <c r="C6" s="95"/>
      <c r="D6" s="94"/>
      <c r="E6" s="96"/>
      <c r="F6" s="210" t="s">
        <v>149</v>
      </c>
      <c r="G6" s="211"/>
      <c r="H6" s="211"/>
      <c r="I6" s="211"/>
      <c r="J6" s="211"/>
      <c r="K6" s="211"/>
      <c r="L6" s="211"/>
      <c r="M6" s="211"/>
      <c r="N6" s="211"/>
      <c r="O6" s="211"/>
      <c r="P6" s="212"/>
    </row>
    <row r="7" spans="1:18" x14ac:dyDescent="0.25">
      <c r="A7" s="17"/>
      <c r="B7" s="1"/>
      <c r="C7" s="1"/>
      <c r="D7" s="97"/>
      <c r="E7" s="97"/>
      <c r="F7" s="98"/>
      <c r="G7" s="99"/>
      <c r="H7" s="99"/>
      <c r="I7" s="99"/>
      <c r="J7" s="99"/>
      <c r="K7" s="99"/>
      <c r="L7" s="99"/>
      <c r="M7" s="99"/>
      <c r="N7" s="99"/>
      <c r="O7" s="99"/>
      <c r="P7" s="100"/>
    </row>
    <row r="8" spans="1:18" x14ac:dyDescent="0.25">
      <c r="A8" s="101"/>
      <c r="B8" s="4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02"/>
    </row>
    <row r="9" spans="1:18" x14ac:dyDescent="0.25">
      <c r="A9" s="101"/>
      <c r="B9" s="208" t="s">
        <v>36</v>
      </c>
      <c r="C9" s="208"/>
      <c r="D9" s="208"/>
      <c r="E9" s="208"/>
      <c r="F9" s="208"/>
      <c r="G9" s="1"/>
      <c r="H9" s="1" t="s">
        <v>1</v>
      </c>
      <c r="I9" s="1">
        <v>10.5</v>
      </c>
      <c r="J9" s="1" t="s">
        <v>3</v>
      </c>
      <c r="K9" s="104"/>
      <c r="L9" s="1"/>
      <c r="M9" s="1"/>
      <c r="N9" s="1"/>
      <c r="O9" s="1"/>
      <c r="P9" s="102"/>
    </row>
    <row r="10" spans="1:18" x14ac:dyDescent="0.25">
      <c r="A10" s="101"/>
      <c r="B10" s="208" t="s">
        <v>33</v>
      </c>
      <c r="C10" s="208"/>
      <c r="D10" s="208"/>
      <c r="E10" s="208"/>
      <c r="F10" s="208"/>
      <c r="G10" s="1"/>
      <c r="H10" s="1" t="s">
        <v>1</v>
      </c>
      <c r="I10" s="1">
        <v>11</v>
      </c>
      <c r="J10" s="1" t="s">
        <v>4</v>
      </c>
      <c r="K10" s="105"/>
      <c r="L10" s="105"/>
      <c r="M10" s="105"/>
      <c r="N10" s="106"/>
      <c r="O10" s="3"/>
      <c r="P10" s="102"/>
    </row>
    <row r="11" spans="1:18" ht="15" x14ac:dyDescent="0.25">
      <c r="A11" s="101"/>
      <c r="B11" s="208" t="s">
        <v>35</v>
      </c>
      <c r="C11" s="208"/>
      <c r="D11" s="208"/>
      <c r="E11" s="208"/>
      <c r="F11" s="208"/>
      <c r="G11" s="1"/>
      <c r="H11" s="1" t="s">
        <v>1</v>
      </c>
      <c r="I11" s="107">
        <v>0.8</v>
      </c>
      <c r="J11" s="103"/>
      <c r="K11" s="108"/>
      <c r="L11" s="105"/>
      <c r="M11" s="105"/>
      <c r="N11" s="1"/>
      <c r="O11" s="1"/>
      <c r="P11" s="102"/>
    </row>
    <row r="12" spans="1:18" ht="15" x14ac:dyDescent="0.25">
      <c r="A12" s="101"/>
      <c r="B12" s="208" t="s">
        <v>30</v>
      </c>
      <c r="C12" s="208"/>
      <c r="D12" s="208"/>
      <c r="E12" s="208"/>
      <c r="F12" s="208"/>
      <c r="G12" s="1"/>
      <c r="H12" s="1" t="s">
        <v>1</v>
      </c>
      <c r="I12" s="109">
        <f>(I9*10^6)/(1.732*I10*10^3*I11)</f>
        <v>688.90405206802438</v>
      </c>
      <c r="J12" s="103" t="s">
        <v>29</v>
      </c>
      <c r="K12" s="108"/>
      <c r="L12" s="105"/>
      <c r="M12" s="105"/>
      <c r="N12" s="1"/>
      <c r="O12" s="1"/>
      <c r="P12" s="102"/>
    </row>
    <row r="13" spans="1:18" ht="13.8" x14ac:dyDescent="0.25">
      <c r="A13" s="101"/>
      <c r="B13" s="110" t="s">
        <v>56</v>
      </c>
      <c r="C13" s="1"/>
      <c r="D13" s="1"/>
      <c r="E13" s="1"/>
      <c r="F13" s="1"/>
      <c r="G13" s="1" t="s">
        <v>57</v>
      </c>
      <c r="H13" s="1" t="s">
        <v>1</v>
      </c>
      <c r="I13" s="1">
        <v>19.100000000000001</v>
      </c>
      <c r="J13" s="1" t="s">
        <v>58</v>
      </c>
      <c r="K13" s="107">
        <f>I13/100</f>
        <v>0.191</v>
      </c>
      <c r="L13" s="103" t="s">
        <v>59</v>
      </c>
      <c r="M13" s="1" t="s">
        <v>60</v>
      </c>
      <c r="N13" s="1"/>
      <c r="O13" s="1"/>
      <c r="P13" s="102"/>
    </row>
    <row r="14" spans="1:18" ht="13.8" x14ac:dyDescent="0.25">
      <c r="A14" s="101"/>
      <c r="B14" s="110" t="s">
        <v>61</v>
      </c>
      <c r="C14" s="1"/>
      <c r="D14" s="1"/>
      <c r="E14" s="1"/>
      <c r="F14" s="1"/>
      <c r="G14" s="1" t="s">
        <v>62</v>
      </c>
      <c r="H14" s="1" t="s">
        <v>1</v>
      </c>
      <c r="I14" s="1">
        <v>4</v>
      </c>
      <c r="J14" s="1" t="s">
        <v>5</v>
      </c>
      <c r="K14" s="103"/>
      <c r="L14" s="103"/>
      <c r="M14" s="1"/>
      <c r="N14" s="1"/>
      <c r="O14" s="1"/>
      <c r="P14" s="102"/>
    </row>
    <row r="15" spans="1:18" ht="15.6" x14ac:dyDescent="0.3">
      <c r="A15" s="101"/>
      <c r="B15" s="1" t="s">
        <v>63</v>
      </c>
      <c r="C15" s="1"/>
      <c r="D15" s="1"/>
      <c r="E15" s="1"/>
      <c r="F15" s="1"/>
      <c r="G15" s="1"/>
      <c r="H15" s="1" t="s">
        <v>1</v>
      </c>
      <c r="I15" s="107">
        <v>1000</v>
      </c>
      <c r="J15" s="103" t="s">
        <v>29</v>
      </c>
      <c r="K15" s="111"/>
      <c r="L15" s="103"/>
      <c r="M15" s="1"/>
      <c r="N15" s="1"/>
      <c r="O15" s="1"/>
      <c r="P15" s="102"/>
    </row>
    <row r="16" spans="1:18" ht="15.6" x14ac:dyDescent="0.3">
      <c r="A16" s="101"/>
      <c r="B16" s="1" t="s">
        <v>64</v>
      </c>
      <c r="C16" s="1"/>
      <c r="D16" s="1"/>
      <c r="E16" s="1"/>
      <c r="F16" s="1"/>
      <c r="G16" s="1"/>
      <c r="H16" s="1" t="s">
        <v>1</v>
      </c>
      <c r="I16" s="107">
        <v>1</v>
      </c>
      <c r="J16" s="103" t="s">
        <v>29</v>
      </c>
      <c r="K16" s="111"/>
      <c r="L16" s="103"/>
      <c r="M16" s="1"/>
      <c r="N16" s="1"/>
      <c r="O16" s="1"/>
      <c r="P16" s="102"/>
    </row>
    <row r="17" spans="1:19" ht="26.4" x14ac:dyDescent="0.25">
      <c r="A17" s="101"/>
      <c r="B17" s="209" t="s">
        <v>65</v>
      </c>
      <c r="C17" s="209"/>
      <c r="D17" s="209"/>
      <c r="E17" s="209"/>
      <c r="F17" s="209"/>
      <c r="G17" s="1" t="s">
        <v>66</v>
      </c>
      <c r="H17" s="1" t="s">
        <v>1</v>
      </c>
      <c r="I17" s="1">
        <v>0.87</v>
      </c>
      <c r="J17" s="1" t="s">
        <v>67</v>
      </c>
      <c r="K17" s="112" t="s">
        <v>68</v>
      </c>
      <c r="L17" s="113" t="s">
        <v>69</v>
      </c>
      <c r="M17" s="1"/>
      <c r="N17" s="1"/>
      <c r="O17" s="1"/>
      <c r="P17" s="102"/>
    </row>
    <row r="18" spans="1:19" ht="15.6" x14ac:dyDescent="0.3">
      <c r="A18" s="101"/>
      <c r="B18" s="1" t="s">
        <v>70</v>
      </c>
      <c r="C18" s="1"/>
      <c r="D18" s="1"/>
      <c r="E18" s="1"/>
      <c r="F18" s="1"/>
      <c r="G18" s="1" t="s">
        <v>71</v>
      </c>
      <c r="H18" s="1" t="s">
        <v>1</v>
      </c>
      <c r="I18" s="1">
        <v>0.2</v>
      </c>
      <c r="J18" s="1" t="s">
        <v>67</v>
      </c>
      <c r="K18" s="114"/>
      <c r="L18" s="103"/>
      <c r="M18" s="1"/>
      <c r="N18" s="1"/>
      <c r="O18" s="1"/>
      <c r="P18" s="102"/>
    </row>
    <row r="19" spans="1:19" ht="15.6" x14ac:dyDescent="0.3">
      <c r="A19" s="101"/>
      <c r="B19" s="115"/>
      <c r="C19" s="1"/>
      <c r="D19" s="1"/>
      <c r="E19" s="1"/>
      <c r="F19" s="1"/>
      <c r="G19" s="1"/>
      <c r="H19" s="1"/>
      <c r="I19" s="116"/>
      <c r="J19" s="117"/>
      <c r="K19" s="114"/>
      <c r="L19" s="103"/>
      <c r="M19" s="1"/>
      <c r="N19" s="1"/>
      <c r="O19" s="1"/>
      <c r="P19" s="102"/>
    </row>
    <row r="20" spans="1:19" ht="13.8" x14ac:dyDescent="0.25">
      <c r="A20" s="101"/>
      <c r="B20" s="115" t="s">
        <v>128</v>
      </c>
      <c r="C20" s="1"/>
      <c r="D20" s="1"/>
      <c r="E20" s="1"/>
      <c r="F20" s="1"/>
      <c r="G20" s="1"/>
      <c r="H20" s="117" t="s">
        <v>129</v>
      </c>
      <c r="I20" s="116" t="s">
        <v>74</v>
      </c>
      <c r="J20" s="1"/>
      <c r="K20" s="107"/>
      <c r="L20" s="103"/>
      <c r="M20" s="1"/>
      <c r="N20" s="1"/>
      <c r="O20" s="1"/>
      <c r="P20" s="102"/>
    </row>
    <row r="21" spans="1:19" ht="13.8" x14ac:dyDescent="0.25">
      <c r="A21" s="101"/>
      <c r="B21" s="115"/>
      <c r="C21" s="1"/>
      <c r="D21" s="1"/>
      <c r="E21" s="1"/>
      <c r="F21" s="1"/>
      <c r="G21" s="117" t="s">
        <v>75</v>
      </c>
      <c r="H21" s="1" t="s">
        <v>2</v>
      </c>
      <c r="I21" s="118">
        <v>40000</v>
      </c>
      <c r="J21" s="1" t="s">
        <v>130</v>
      </c>
      <c r="K21" s="1"/>
      <c r="L21" s="103"/>
      <c r="M21" s="1"/>
      <c r="N21" s="1"/>
      <c r="O21" s="1"/>
      <c r="P21" s="102"/>
    </row>
    <row r="22" spans="1:19" ht="15.6" x14ac:dyDescent="0.3">
      <c r="A22" s="101"/>
      <c r="B22" s="115"/>
      <c r="C22" s="1"/>
      <c r="D22" s="1"/>
      <c r="E22" s="1"/>
      <c r="F22" s="1"/>
      <c r="G22" s="117"/>
      <c r="H22" s="1" t="s">
        <v>2</v>
      </c>
      <c r="I22" s="119">
        <v>40</v>
      </c>
      <c r="J22" s="1" t="s">
        <v>76</v>
      </c>
      <c r="K22" s="117" t="s">
        <v>131</v>
      </c>
      <c r="L22" s="1"/>
      <c r="M22" s="1"/>
      <c r="N22" s="1"/>
      <c r="O22" s="1"/>
      <c r="P22" s="102"/>
      <c r="Q22" s="19"/>
      <c r="R22" s="20"/>
      <c r="S22" s="18"/>
    </row>
    <row r="23" spans="1:19" ht="13.8" x14ac:dyDescent="0.25">
      <c r="A23" s="101"/>
      <c r="B23" s="115"/>
      <c r="C23" s="1"/>
      <c r="D23" s="1"/>
      <c r="E23" s="1"/>
      <c r="F23" s="1"/>
      <c r="G23" s="117"/>
      <c r="H23" s="1"/>
      <c r="I23" s="1"/>
      <c r="J23" s="1"/>
      <c r="K23" s="1"/>
      <c r="L23" s="105"/>
      <c r="M23" s="1"/>
      <c r="N23" s="1"/>
      <c r="O23" s="1"/>
      <c r="P23" s="102"/>
    </row>
    <row r="24" spans="1:19" x14ac:dyDescent="0.25">
      <c r="A24" s="101"/>
      <c r="B24" s="1"/>
      <c r="C24" s="1"/>
      <c r="D24" s="1"/>
      <c r="E24" s="1"/>
      <c r="F24" s="1"/>
      <c r="G24" s="117" t="s">
        <v>77</v>
      </c>
      <c r="H24" s="1" t="s">
        <v>2</v>
      </c>
      <c r="I24" s="1" t="s">
        <v>78</v>
      </c>
      <c r="J24" s="1"/>
      <c r="K24" s="1"/>
      <c r="L24" s="105"/>
      <c r="M24" s="3"/>
      <c r="N24" s="1"/>
      <c r="O24" s="1"/>
      <c r="P24" s="102"/>
    </row>
    <row r="25" spans="1:19" ht="13.8" x14ac:dyDescent="0.25">
      <c r="A25" s="101"/>
      <c r="B25" s="115"/>
      <c r="C25" s="1"/>
      <c r="D25" s="1"/>
      <c r="E25" s="1"/>
      <c r="F25" s="1"/>
      <c r="G25" s="117"/>
      <c r="H25" s="1" t="s">
        <v>2</v>
      </c>
      <c r="I25" s="120">
        <f>I22*1000*(I16/I15)</f>
        <v>40</v>
      </c>
      <c r="J25" s="1" t="s">
        <v>29</v>
      </c>
      <c r="K25" s="1"/>
      <c r="L25" s="105"/>
      <c r="M25" s="3"/>
      <c r="N25" s="1"/>
      <c r="O25" s="1"/>
      <c r="P25" s="102"/>
    </row>
    <row r="26" spans="1:19" x14ac:dyDescent="0.25">
      <c r="A26" s="101"/>
      <c r="B26" s="1"/>
      <c r="C26" s="1"/>
      <c r="D26" s="1"/>
      <c r="E26" s="1"/>
      <c r="F26" s="1"/>
      <c r="G26" s="117"/>
      <c r="H26" s="1"/>
      <c r="I26" s="1"/>
      <c r="J26" s="1"/>
      <c r="K26" s="1"/>
      <c r="L26" s="105"/>
      <c r="M26" s="116"/>
      <c r="N26" s="117"/>
      <c r="O26" s="1"/>
      <c r="P26" s="102"/>
    </row>
    <row r="27" spans="1:19" ht="13.8" x14ac:dyDescent="0.25">
      <c r="A27" s="101"/>
      <c r="B27" s="115" t="s">
        <v>72</v>
      </c>
      <c r="C27" s="1"/>
      <c r="D27" s="1"/>
      <c r="E27" s="1"/>
      <c r="F27" s="1"/>
      <c r="G27" s="117" t="s">
        <v>73</v>
      </c>
      <c r="H27" s="1" t="s">
        <v>2</v>
      </c>
      <c r="I27" s="1" t="s">
        <v>74</v>
      </c>
      <c r="J27" s="1"/>
      <c r="K27" s="1"/>
      <c r="L27" s="105"/>
      <c r="M27" s="1"/>
      <c r="N27" s="1"/>
      <c r="O27" s="1"/>
      <c r="P27" s="102"/>
    </row>
    <row r="28" spans="1:19" x14ac:dyDescent="0.25">
      <c r="A28" s="101"/>
      <c r="B28" s="1"/>
      <c r="C28" s="1"/>
      <c r="D28" s="1"/>
      <c r="E28" s="1"/>
      <c r="F28" s="1"/>
      <c r="G28" s="1"/>
      <c r="H28" s="1" t="s">
        <v>2</v>
      </c>
      <c r="I28" s="116">
        <f>(2*I25)*(I14+I17+I18)</f>
        <v>405.6</v>
      </c>
      <c r="J28" s="1" t="s">
        <v>79</v>
      </c>
      <c r="K28" s="1"/>
      <c r="L28" s="105"/>
      <c r="M28" s="3"/>
      <c r="N28" s="1"/>
      <c r="O28" s="1"/>
      <c r="P28" s="102"/>
    </row>
    <row r="29" spans="1:19" x14ac:dyDescent="0.25">
      <c r="A29" s="101"/>
      <c r="B29" s="1"/>
      <c r="C29" s="1"/>
      <c r="D29" s="1"/>
      <c r="E29" s="1"/>
      <c r="F29" s="1"/>
      <c r="G29" s="1"/>
      <c r="H29" s="1"/>
      <c r="I29" s="1"/>
      <c r="J29" s="1"/>
      <c r="K29" s="1"/>
      <c r="L29" s="105"/>
      <c r="M29" s="3"/>
      <c r="N29" s="1"/>
      <c r="O29" s="1"/>
      <c r="P29" s="102"/>
    </row>
    <row r="30" spans="1:19" x14ac:dyDescent="0.25">
      <c r="A30" s="101"/>
      <c r="B30" s="1"/>
      <c r="C30" s="1"/>
      <c r="D30" s="1"/>
      <c r="E30" s="1"/>
      <c r="F30" s="121" t="s">
        <v>81</v>
      </c>
      <c r="G30" s="1"/>
      <c r="H30" s="1"/>
      <c r="I30" s="1"/>
      <c r="J30" s="1"/>
      <c r="K30" s="1"/>
      <c r="L30" s="105"/>
      <c r="M30" s="1"/>
      <c r="N30" s="1"/>
      <c r="O30" s="1"/>
      <c r="P30" s="102"/>
    </row>
    <row r="31" spans="1:19" x14ac:dyDescent="0.25">
      <c r="A31" s="101"/>
      <c r="B31" s="1"/>
      <c r="C31" s="1"/>
      <c r="D31" s="1"/>
      <c r="E31" s="1"/>
      <c r="F31" s="1"/>
      <c r="G31" s="1"/>
      <c r="H31" s="1"/>
      <c r="I31" s="1"/>
      <c r="J31" s="1"/>
      <c r="K31" s="105"/>
      <c r="L31" s="1"/>
      <c r="M31" s="1"/>
      <c r="N31" s="1"/>
      <c r="O31" s="1"/>
      <c r="P31" s="102"/>
    </row>
    <row r="32" spans="1:19" x14ac:dyDescent="0.25">
      <c r="A32" s="101"/>
      <c r="B32" s="1"/>
      <c r="C32" s="1"/>
      <c r="D32" s="1"/>
      <c r="E32" s="1"/>
      <c r="F32" s="1"/>
      <c r="G32" s="1"/>
      <c r="H32" s="1"/>
      <c r="I32" s="1"/>
      <c r="J32" s="1"/>
      <c r="K32" s="105"/>
      <c r="L32" s="1"/>
      <c r="M32" s="1"/>
      <c r="N32" s="1"/>
      <c r="O32" s="1"/>
      <c r="P32" s="102"/>
    </row>
    <row r="33" spans="1:16" x14ac:dyDescent="0.25">
      <c r="A33" s="101"/>
      <c r="B33" s="1"/>
      <c r="C33" s="1"/>
      <c r="D33" s="1"/>
      <c r="E33" s="1"/>
      <c r="F33" s="1"/>
      <c r="G33" s="1"/>
      <c r="H33" s="1"/>
      <c r="I33" s="1"/>
      <c r="J33" s="1"/>
      <c r="K33" s="1"/>
      <c r="L33" s="105"/>
      <c r="M33" s="3"/>
      <c r="N33" s="1"/>
      <c r="O33" s="1"/>
      <c r="P33" s="102"/>
    </row>
    <row r="34" spans="1:16" x14ac:dyDescent="0.25">
      <c r="A34" s="101"/>
      <c r="B34" s="1"/>
      <c r="C34" s="1"/>
      <c r="D34" s="1"/>
      <c r="E34" s="1"/>
      <c r="F34" s="1"/>
      <c r="G34" s="1"/>
      <c r="H34" s="1"/>
      <c r="I34" s="1"/>
      <c r="J34" s="1"/>
      <c r="K34" s="1"/>
      <c r="L34" s="105"/>
      <c r="M34" s="1"/>
      <c r="N34" s="1"/>
      <c r="O34" s="1"/>
      <c r="P34" s="102"/>
    </row>
    <row r="35" spans="1:16" ht="13.8" thickBot="1" x14ac:dyDescent="0.3">
      <c r="A35" s="101"/>
      <c r="B35" s="1"/>
      <c r="C35" s="1"/>
      <c r="D35" s="1"/>
      <c r="E35" s="1"/>
      <c r="F35" s="1"/>
      <c r="G35" s="1"/>
      <c r="H35" s="1"/>
      <c r="I35" s="1"/>
      <c r="J35" s="1"/>
      <c r="K35" s="1"/>
      <c r="L35" s="105"/>
      <c r="M35" s="1"/>
      <c r="N35" s="1"/>
      <c r="O35" s="1"/>
      <c r="P35" s="122"/>
    </row>
    <row r="36" spans="1:16" x14ac:dyDescent="0.25">
      <c r="A36" s="10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02"/>
    </row>
    <row r="37" spans="1:16" x14ac:dyDescent="0.25">
      <c r="A37" s="10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02"/>
    </row>
    <row r="38" spans="1:16" x14ac:dyDescent="0.25">
      <c r="A38" s="10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02"/>
    </row>
    <row r="39" spans="1:16" x14ac:dyDescent="0.25">
      <c r="A39" s="10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02"/>
    </row>
    <row r="40" spans="1:16" x14ac:dyDescent="0.25">
      <c r="A40" s="10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02"/>
    </row>
    <row r="41" spans="1:16" x14ac:dyDescent="0.25">
      <c r="A41" s="10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02"/>
    </row>
    <row r="42" spans="1:16" x14ac:dyDescent="0.25">
      <c r="A42" s="10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02"/>
    </row>
    <row r="43" spans="1:16" x14ac:dyDescent="0.25">
      <c r="A43" s="10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02"/>
    </row>
    <row r="44" spans="1:16" x14ac:dyDescent="0.25">
      <c r="A44" s="10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02"/>
    </row>
    <row r="45" spans="1:16" x14ac:dyDescent="0.25">
      <c r="A45" s="10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02"/>
    </row>
    <row r="46" spans="1:16" x14ac:dyDescent="0.25">
      <c r="A46" s="10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02"/>
    </row>
    <row r="47" spans="1:16" x14ac:dyDescent="0.25">
      <c r="A47" s="10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02"/>
    </row>
    <row r="48" spans="1:16" x14ac:dyDescent="0.25">
      <c r="A48" s="10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02"/>
    </row>
    <row r="49" spans="1:16" x14ac:dyDescent="0.25">
      <c r="A49" s="10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02"/>
    </row>
    <row r="50" spans="1:16" x14ac:dyDescent="0.25">
      <c r="A50" s="10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02"/>
    </row>
    <row r="51" spans="1:16" x14ac:dyDescent="0.25">
      <c r="A51" s="10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02"/>
    </row>
    <row r="52" spans="1:16" x14ac:dyDescent="0.25">
      <c r="A52" s="10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02"/>
    </row>
    <row r="53" spans="1:16" x14ac:dyDescent="0.25">
      <c r="A53" s="10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02"/>
    </row>
    <row r="54" spans="1:16" ht="13.8" thickBot="1" x14ac:dyDescent="0.3">
      <c r="A54" s="123"/>
      <c r="B54" s="124"/>
      <c r="C54" s="124"/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2"/>
    </row>
  </sheetData>
  <mergeCells count="11">
    <mergeCell ref="A1:B3"/>
    <mergeCell ref="C1:M3"/>
    <mergeCell ref="A4:C4"/>
    <mergeCell ref="F4:P4"/>
    <mergeCell ref="F5:P5"/>
    <mergeCell ref="B12:F12"/>
    <mergeCell ref="B17:F17"/>
    <mergeCell ref="F6:P6"/>
    <mergeCell ref="B9:F9"/>
    <mergeCell ref="B10:F10"/>
    <mergeCell ref="B11:F11"/>
  </mergeCells>
  <phoneticPr fontId="0" type="noConversion"/>
  <hyperlinks>
    <hyperlink ref="R2" r:id="rId1" xr:uid="{A6048ED2-BA96-49BD-8177-FF95F0F9FD6E}"/>
  </hyperlinks>
  <pageMargins left="0.75" right="0.75" top="1" bottom="1" header="0.5" footer="0.5"/>
  <pageSetup paperSize="9" scale="67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CT &amp; VA BURDEN</vt:lpstr>
      <vt:lpstr>KNEE POINT VOLTAGE</vt:lpstr>
      <vt:lpstr>'CT &amp; VA BURDEN'!Print_Area</vt:lpstr>
      <vt:lpstr>'KNEE POINT VOLTAGE'!Print_Area</vt:lpstr>
      <vt:lpstr>'CT &amp; VA BURDEN'!Print_Titles</vt:lpstr>
    </vt:vector>
  </TitlesOfParts>
  <Company>GPSPL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Ankesh Mishra</cp:lastModifiedBy>
  <cp:lastPrinted>2022-02-09T07:54:34Z</cp:lastPrinted>
  <dcterms:created xsi:type="dcterms:W3CDTF">2002-10-21T08:49:20Z</dcterms:created>
  <dcterms:modified xsi:type="dcterms:W3CDTF">2025-03-17T16:00:06Z</dcterms:modified>
</cp:coreProperties>
</file>