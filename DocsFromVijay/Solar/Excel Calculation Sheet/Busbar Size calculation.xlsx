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Ready to Deliver\"/>
    </mc:Choice>
  </mc:AlternateContent>
  <xr:revisionPtr revIDLastSave="0" documentId="13_ncr:1_{F0C89E7B-D6E5-436B-AC31-958AEC0D51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Other Details" sheetId="2" r:id="rId2"/>
  </sheets>
  <definedNames>
    <definedName name="cos">'Other Details'!$C$3</definedName>
    <definedName name="data">'Other Details'!$B$9:$G$58</definedName>
    <definedName name="div">'Other Details'!$C$5</definedName>
    <definedName name="list">'Other Details'!$C$9:$C$58</definedName>
    <definedName name="no">'Other Details'!$A$6</definedName>
    <definedName name="per">'Other Details'!$G$3</definedName>
    <definedName name="sin">'Other Details'!$C$4</definedName>
    <definedName name="volt">'Other Details'!$C$6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8" i="2" l="1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F40" i="1"/>
  <c r="A8" i="2" s="1"/>
  <c r="E40" i="1"/>
  <c r="L38" i="1"/>
  <c r="K38" i="1"/>
  <c r="J38" i="1"/>
  <c r="I38" i="1"/>
  <c r="G38" i="1"/>
  <c r="K37" i="1"/>
  <c r="L37" i="1" s="1"/>
  <c r="J37" i="1"/>
  <c r="I37" i="1"/>
  <c r="G37" i="1"/>
  <c r="K36" i="1"/>
  <c r="L36" i="1" s="1"/>
  <c r="J36" i="1"/>
  <c r="I36" i="1"/>
  <c r="G36" i="1"/>
  <c r="K35" i="1"/>
  <c r="L35" i="1" s="1"/>
  <c r="J35" i="1"/>
  <c r="I35" i="1"/>
  <c r="G35" i="1"/>
  <c r="K34" i="1"/>
  <c r="L34" i="1" s="1"/>
  <c r="J34" i="1"/>
  <c r="I34" i="1"/>
  <c r="G34" i="1"/>
  <c r="K33" i="1"/>
  <c r="L33" i="1" s="1"/>
  <c r="J33" i="1"/>
  <c r="I33" i="1"/>
  <c r="G33" i="1"/>
  <c r="K32" i="1"/>
  <c r="L32" i="1" s="1"/>
  <c r="J32" i="1"/>
  <c r="I32" i="1"/>
  <c r="G32" i="1"/>
  <c r="K31" i="1"/>
  <c r="L31" i="1" s="1"/>
  <c r="J31" i="1"/>
  <c r="I31" i="1"/>
  <c r="G31" i="1"/>
  <c r="K30" i="1"/>
  <c r="L30" i="1" s="1"/>
  <c r="J30" i="1"/>
  <c r="I30" i="1"/>
  <c r="G30" i="1"/>
  <c r="K29" i="1"/>
  <c r="L29" i="1" s="1"/>
  <c r="J29" i="1"/>
  <c r="I29" i="1"/>
  <c r="G29" i="1"/>
  <c r="L28" i="1"/>
  <c r="K28" i="1"/>
  <c r="J28" i="1"/>
  <c r="I28" i="1"/>
  <c r="G28" i="1"/>
  <c r="K27" i="1"/>
  <c r="L27" i="1" s="1"/>
  <c r="J27" i="1"/>
  <c r="I27" i="1"/>
  <c r="G27" i="1"/>
  <c r="K26" i="1"/>
  <c r="L26" i="1" s="1"/>
  <c r="J26" i="1"/>
  <c r="I26" i="1"/>
  <c r="G26" i="1"/>
  <c r="K25" i="1"/>
  <c r="L25" i="1" s="1"/>
  <c r="J25" i="1"/>
  <c r="I25" i="1"/>
  <c r="G25" i="1"/>
  <c r="K24" i="1"/>
  <c r="L24" i="1" s="1"/>
  <c r="J24" i="1"/>
  <c r="I24" i="1"/>
  <c r="G24" i="1"/>
  <c r="K23" i="1"/>
  <c r="L23" i="1" s="1"/>
  <c r="J23" i="1"/>
  <c r="I23" i="1"/>
  <c r="G23" i="1"/>
  <c r="K22" i="1"/>
  <c r="L22" i="1" s="1"/>
  <c r="J22" i="1"/>
  <c r="I22" i="1"/>
  <c r="G22" i="1"/>
  <c r="K21" i="1"/>
  <c r="L21" i="1" s="1"/>
  <c r="J21" i="1"/>
  <c r="I21" i="1"/>
  <c r="G21" i="1"/>
  <c r="K20" i="1"/>
  <c r="L20" i="1" s="1"/>
  <c r="J20" i="1"/>
  <c r="I20" i="1"/>
  <c r="G20" i="1"/>
  <c r="K19" i="1"/>
  <c r="L19" i="1" s="1"/>
  <c r="J19" i="1"/>
  <c r="I19" i="1"/>
  <c r="G19" i="1"/>
  <c r="K18" i="1"/>
  <c r="L18" i="1" s="1"/>
  <c r="J18" i="1"/>
  <c r="I18" i="1"/>
  <c r="G18" i="1"/>
  <c r="K17" i="1"/>
  <c r="L17" i="1" s="1"/>
  <c r="J17" i="1"/>
  <c r="I17" i="1"/>
  <c r="G17" i="1"/>
  <c r="K16" i="1"/>
  <c r="L16" i="1" s="1"/>
  <c r="J16" i="1"/>
  <c r="I16" i="1"/>
  <c r="G16" i="1"/>
  <c r="K15" i="1"/>
  <c r="L15" i="1" s="1"/>
  <c r="J15" i="1"/>
  <c r="I15" i="1"/>
  <c r="G15" i="1"/>
  <c r="K14" i="1"/>
  <c r="L14" i="1" s="1"/>
  <c r="J14" i="1"/>
  <c r="I14" i="1"/>
  <c r="G14" i="1"/>
  <c r="K13" i="1"/>
  <c r="L13" i="1" s="1"/>
  <c r="J13" i="1"/>
  <c r="I13" i="1"/>
  <c r="G13" i="1"/>
  <c r="K12" i="1"/>
  <c r="L12" i="1" s="1"/>
  <c r="J12" i="1"/>
  <c r="I12" i="1"/>
  <c r="G12" i="1"/>
  <c r="J11" i="1"/>
  <c r="I11" i="1"/>
  <c r="G11" i="1"/>
  <c r="K11" i="1" s="1"/>
  <c r="L11" i="1" s="1"/>
  <c r="J10" i="1"/>
  <c r="I10" i="1"/>
  <c r="G10" i="1"/>
  <c r="K10" i="1" s="1"/>
  <c r="L10" i="1" s="1"/>
  <c r="J9" i="1"/>
  <c r="I9" i="1"/>
  <c r="G9" i="1"/>
  <c r="K9" i="1" s="1"/>
  <c r="K40" i="1" l="1"/>
  <c r="L9" i="1"/>
  <c r="L40" i="1" s="1"/>
  <c r="E10" i="2"/>
  <c r="E9" i="2"/>
  <c r="E18" i="2"/>
  <c r="E17" i="2"/>
  <c r="E16" i="2"/>
  <c r="E15" i="2"/>
  <c r="E14" i="2"/>
  <c r="E13" i="2"/>
  <c r="E12" i="2"/>
  <c r="E11" i="2"/>
  <c r="D43" i="1" l="1"/>
  <c r="L42" i="1"/>
  <c r="D42" i="1"/>
  <c r="H35" i="1"/>
  <c r="H27" i="1"/>
  <c r="H19" i="1"/>
  <c r="H11" i="1"/>
  <c r="H32" i="1"/>
  <c r="H24" i="1"/>
  <c r="H16" i="1"/>
  <c r="H10" i="1"/>
  <c r="H13" i="1"/>
  <c r="H37" i="1"/>
  <c r="H29" i="1"/>
  <c r="H21" i="1"/>
  <c r="H18" i="1"/>
  <c r="H26" i="1"/>
  <c r="H34" i="1"/>
  <c r="H31" i="1"/>
  <c r="H23" i="1"/>
  <c r="H15" i="1"/>
  <c r="H36" i="1"/>
  <c r="H28" i="1"/>
  <c r="H20" i="1"/>
  <c r="H12" i="1"/>
  <c r="H33" i="1"/>
  <c r="H25" i="1"/>
  <c r="H17" i="1"/>
  <c r="H9" i="1"/>
  <c r="H38" i="1"/>
  <c r="H30" i="1"/>
  <c r="H22" i="1"/>
  <c r="H14" i="1"/>
</calcChain>
</file>

<file path=xl/sharedStrings.xml><?xml version="1.0" encoding="utf-8"?>
<sst xmlns="http://schemas.openxmlformats.org/spreadsheetml/2006/main" count="45" uniqueCount="43">
  <si>
    <t>BUS BAR  VOLTAGE DROP  CALCULATION</t>
  </si>
  <si>
    <t>BUS BAR NO</t>
  </si>
  <si>
    <t>ABC</t>
  </si>
  <si>
    <t>Sr.No</t>
  </si>
  <si>
    <t>Location</t>
  </si>
  <si>
    <t>Sub Panel No</t>
  </si>
  <si>
    <t>Line Length (mt)</t>
  </si>
  <si>
    <t>Power</t>
  </si>
  <si>
    <t>Line current (Amp)</t>
  </si>
  <si>
    <t>Bus Bar</t>
  </si>
  <si>
    <t>Resistance</t>
  </si>
  <si>
    <t>Reactance</t>
  </si>
  <si>
    <t>Voltage Drop (Vd)</t>
  </si>
  <si>
    <t>Voltage Drop %E</t>
  </si>
  <si>
    <t>TOTAL</t>
  </si>
  <si>
    <t>Result:</t>
  </si>
  <si>
    <t>Voltage Drop</t>
  </si>
  <si>
    <t>Constant</t>
  </si>
  <si>
    <t>Cos Ø:</t>
  </si>
  <si>
    <t xml:space="preserve">Max. Voltage drop </t>
  </si>
  <si>
    <t>%</t>
  </si>
  <si>
    <t>Sin Ø:</t>
  </si>
  <si>
    <t>Diversity</t>
  </si>
  <si>
    <t>Voltage</t>
  </si>
  <si>
    <t>BUSBAR Details</t>
  </si>
  <si>
    <t>No</t>
  </si>
  <si>
    <t>BUSBAR Code</t>
  </si>
  <si>
    <t>Max Current Capacity (Amp)</t>
  </si>
  <si>
    <t xml:space="preserve">RESISTANCE                 </t>
  </si>
  <si>
    <t xml:space="preserve">REACTANCE         </t>
  </si>
  <si>
    <t xml:space="preserve"> 6300 (Cu)</t>
  </si>
  <si>
    <t xml:space="preserve"> 5300 (Cu)</t>
  </si>
  <si>
    <t xml:space="preserve"> 4400 (Cu)</t>
  </si>
  <si>
    <t>3600 (Cu)</t>
  </si>
  <si>
    <t>3000 (Cu)</t>
  </si>
  <si>
    <t xml:space="preserve"> 2500 (Cu)</t>
  </si>
  <si>
    <t>2000 (Cu)</t>
  </si>
  <si>
    <t>1600 (Cu)</t>
  </si>
  <si>
    <t>1250 (Cu)</t>
  </si>
  <si>
    <t>1000 (Cu)</t>
  </si>
  <si>
    <t>https://www.flasysdesign.com/</t>
  </si>
  <si>
    <t>Email: contact@flasysdesign.com</t>
  </si>
  <si>
    <t>First Enter Your  Details in "Other Details Sheet"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</si>
</sst>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4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b/>
      <sz val="10"/>
      <color rgb="FF632423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0"/>
      <color rgb="FFB8CCE4"/>
      <name val="Arial"/>
      <family val="2"/>
    </font>
    <font>
      <b/>
      <sz val="10"/>
      <color rgb="FFFF0000"/>
      <name val="Arial"/>
      <family val="2"/>
    </font>
    <font>
      <sz val="10"/>
      <color rgb="FFDDD9C3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FFFF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indexed="64"/>
      </patternFill>
    </fill>
    <fill>
      <patternFill patternType="solid">
        <fgColor theme="9" tint="0.39997558519241921"/>
        <bgColor rgb="FF8DB3E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rgb="FF5F497A"/>
      </patternFill>
    </fill>
    <fill>
      <patternFill patternType="solid">
        <fgColor theme="8" tint="0.79998168889431442"/>
        <bgColor rgb="FFDDD9C3"/>
      </patternFill>
    </fill>
    <fill>
      <patternFill patternType="solid">
        <fgColor theme="4" tint="0.59999389629810485"/>
        <bgColor rgb="FFDDD9C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7" tint="0.59999389629810485"/>
        <bgColor rgb="FFDDD9C3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CCFF"/>
      </left>
      <right style="thin">
        <color rgb="FF00CCFF"/>
      </right>
      <top style="thin">
        <color rgb="FF00CCFF"/>
      </top>
      <bottom style="thin">
        <color rgb="FF00CCFF"/>
      </bottom>
      <diagonal/>
    </border>
    <border>
      <left style="thin">
        <color rgb="FF548DD4"/>
      </left>
      <right style="thin">
        <color rgb="FF548DD4"/>
      </right>
      <top style="thin">
        <color rgb="FF548DD4"/>
      </top>
      <bottom/>
      <diagonal/>
    </border>
    <border>
      <left style="thin">
        <color rgb="FF548DD4"/>
      </left>
      <right style="thin">
        <color rgb="FF548DD4"/>
      </right>
      <top style="thin">
        <color rgb="FF548DD4"/>
      </top>
      <bottom style="thin">
        <color rgb="FF548DD4"/>
      </bottom>
      <diagonal/>
    </border>
    <border>
      <left style="thin">
        <color rgb="FF548DD4"/>
      </left>
      <right style="thin">
        <color rgb="FF548DD4"/>
      </right>
      <top/>
      <bottom style="thin">
        <color rgb="FF548DD4"/>
      </bottom>
      <diagonal/>
    </border>
    <border>
      <left style="thin">
        <color rgb="FF8DB3E2"/>
      </left>
      <right style="thin">
        <color rgb="FF8DB3E2"/>
      </right>
      <top/>
      <bottom style="thin">
        <color rgb="FF8DB3E2"/>
      </bottom>
      <diagonal/>
    </border>
    <border>
      <left style="thin">
        <color rgb="FF8DB3E2"/>
      </left>
      <right style="thin">
        <color rgb="FF8DB3E2"/>
      </right>
      <top style="thin">
        <color rgb="FF8DB3E2"/>
      </top>
      <bottom style="thin">
        <color rgb="FF8DB3E2"/>
      </bottom>
      <diagonal/>
    </border>
    <border>
      <left style="thin">
        <color rgb="FF00CCFF"/>
      </left>
      <right style="thin">
        <color rgb="FF00CCFF"/>
      </right>
      <top/>
      <bottom style="thin">
        <color rgb="FF00CC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CCFF"/>
      </right>
      <top style="medium">
        <color indexed="64"/>
      </top>
      <bottom style="medium">
        <color rgb="FF000000"/>
      </bottom>
      <diagonal/>
    </border>
    <border>
      <left style="thin">
        <color rgb="FF00CCFF"/>
      </left>
      <right style="thin">
        <color rgb="FF00CCFF"/>
      </right>
      <top style="medium">
        <color indexed="64"/>
      </top>
      <bottom style="medium">
        <color rgb="FF000000"/>
      </bottom>
      <diagonal/>
    </border>
    <border>
      <left style="thin">
        <color rgb="FF00CCFF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CCFF"/>
      </left>
      <right style="medium">
        <color indexed="64"/>
      </right>
      <top/>
      <bottom style="thin">
        <color rgb="FF00CCFF"/>
      </bottom>
      <diagonal/>
    </border>
    <border>
      <left style="thin">
        <color rgb="FF00CCFF"/>
      </left>
      <right style="medium">
        <color indexed="64"/>
      </right>
      <top style="thin">
        <color rgb="FF00CCFF"/>
      </top>
      <bottom style="thin">
        <color rgb="FF00CC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CCFF"/>
      </left>
      <right style="thin">
        <color rgb="FF00CCFF"/>
      </right>
      <top style="thin">
        <color rgb="FF00CCFF"/>
      </top>
      <bottom style="medium">
        <color indexed="64"/>
      </bottom>
      <diagonal/>
    </border>
    <border>
      <left style="thin">
        <color rgb="FF00CCFF"/>
      </left>
      <right style="thin">
        <color rgb="FF00CCFF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CCFF"/>
      </left>
      <right style="medium">
        <color indexed="64"/>
      </right>
      <top style="thin">
        <color rgb="FF00CC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CCFF"/>
      </bottom>
      <diagonal/>
    </border>
    <border>
      <left style="medium">
        <color indexed="64"/>
      </left>
      <right style="medium">
        <color indexed="64"/>
      </right>
      <top style="thin">
        <color rgb="FF00CCFF"/>
      </top>
      <bottom style="thin">
        <color rgb="FF00CCFF"/>
      </bottom>
      <diagonal/>
    </border>
    <border>
      <left style="medium">
        <color indexed="64"/>
      </left>
      <right style="medium">
        <color indexed="64"/>
      </right>
      <top style="thin">
        <color rgb="FF00CCFF"/>
      </top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6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5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165" fontId="1" fillId="3" borderId="11" xfId="0" applyNumberFormat="1" applyFont="1" applyFill="1" applyBorder="1" applyAlignment="1">
      <alignment horizontal="center"/>
    </xf>
    <xf numFmtId="165" fontId="1" fillId="3" borderId="5" xfId="0" applyNumberFormat="1" applyFont="1" applyFill="1" applyBorder="1" applyAlignment="1">
      <alignment horizontal="center"/>
    </xf>
    <xf numFmtId="0" fontId="1" fillId="3" borderId="5" xfId="0" applyFont="1" applyFill="1" applyBorder="1"/>
    <xf numFmtId="0" fontId="4" fillId="4" borderId="4" xfId="0" applyFont="1" applyFill="1" applyBorder="1" applyAlignment="1">
      <alignment vertical="center" wrapText="1"/>
    </xf>
    <xf numFmtId="0" fontId="3" fillId="4" borderId="4" xfId="0" applyFont="1" applyFill="1" applyBorder="1"/>
    <xf numFmtId="0" fontId="12" fillId="2" borderId="1" xfId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5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2" fontId="8" fillId="2" borderId="2" xfId="0" applyNumberFormat="1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/>
    </xf>
    <xf numFmtId="0" fontId="3" fillId="6" borderId="8" xfId="0" applyFont="1" applyFill="1" applyBorder="1"/>
    <xf numFmtId="1" fontId="1" fillId="8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164" fontId="1" fillId="8" borderId="1" xfId="0" applyNumberFormat="1" applyFont="1" applyFill="1" applyBorder="1" applyAlignment="1">
      <alignment horizontal="center"/>
    </xf>
    <xf numFmtId="2" fontId="1" fillId="8" borderId="1" xfId="0" applyNumberFormat="1" applyFont="1" applyFill="1" applyBorder="1" applyAlignment="1">
      <alignment horizontal="center"/>
    </xf>
    <xf numFmtId="0" fontId="13" fillId="7" borderId="4" xfId="0" applyFont="1" applyFill="1" applyBorder="1" applyAlignment="1">
      <alignment horizontal="center"/>
    </xf>
    <xf numFmtId="165" fontId="1" fillId="3" borderId="17" xfId="0" applyNumberFormat="1" applyFont="1" applyFill="1" applyBorder="1" applyAlignment="1">
      <alignment horizontal="center"/>
    </xf>
    <xf numFmtId="165" fontId="1" fillId="3" borderId="18" xfId="0" applyNumberFormat="1" applyFont="1" applyFill="1" applyBorder="1" applyAlignment="1">
      <alignment horizontal="center"/>
    </xf>
    <xf numFmtId="0" fontId="1" fillId="3" borderId="18" xfId="0" applyFont="1" applyFill="1" applyBorder="1"/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0" xfId="0" applyFont="1" applyFill="1" applyBorder="1"/>
    <xf numFmtId="0" fontId="1" fillId="3" borderId="23" xfId="0" applyFont="1" applyFill="1" applyBorder="1"/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5" fillId="3" borderId="26" xfId="0" applyFont="1" applyFill="1" applyBorder="1" applyAlignment="1">
      <alignment horizontal="center" vertical="center" wrapText="1"/>
    </xf>
    <xf numFmtId="2" fontId="1" fillId="3" borderId="12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 vertical="center" wrapText="1"/>
    </xf>
    <xf numFmtId="0" fontId="3" fillId="10" borderId="3" xfId="0" applyFont="1" applyFill="1" applyBorder="1"/>
    <xf numFmtId="0" fontId="3" fillId="10" borderId="4" xfId="0" applyFont="1" applyFill="1" applyBorder="1"/>
    <xf numFmtId="0" fontId="1" fillId="9" borderId="1" xfId="0" applyFont="1" applyFill="1" applyBorder="1"/>
    <xf numFmtId="0" fontId="1" fillId="11" borderId="1" xfId="0" applyFont="1" applyFill="1" applyBorder="1"/>
    <xf numFmtId="0" fontId="0" fillId="10" borderId="0" xfId="0" applyFill="1"/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12" fillId="9" borderId="1" xfId="1" applyFill="1" applyBorder="1"/>
    <xf numFmtId="0" fontId="11" fillId="9" borderId="1" xfId="0" applyFont="1" applyFill="1" applyBorder="1" applyAlignment="1">
      <alignment horizontal="center"/>
    </xf>
    <xf numFmtId="0" fontId="1" fillId="9" borderId="13" xfId="0" applyFont="1" applyFill="1" applyBorder="1" applyAlignment="1">
      <alignment horizontal="center"/>
    </xf>
    <xf numFmtId="0" fontId="5" fillId="9" borderId="14" xfId="0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vertical="center" wrapText="1"/>
    </xf>
    <xf numFmtId="0" fontId="5" fillId="9" borderId="15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/>
    </xf>
    <xf numFmtId="0" fontId="1" fillId="12" borderId="1" xfId="0" applyFont="1" applyFill="1" applyBorder="1"/>
    <xf numFmtId="0" fontId="1" fillId="12" borderId="4" xfId="0" applyFont="1" applyFill="1" applyBorder="1" applyAlignment="1">
      <alignment horizontal="center"/>
    </xf>
    <xf numFmtId="0" fontId="1" fillId="12" borderId="22" xfId="0" applyFont="1" applyFill="1" applyBorder="1" applyAlignment="1">
      <alignment horizontal="center"/>
    </xf>
    <xf numFmtId="0" fontId="1" fillId="12" borderId="16" xfId="0" applyFont="1" applyFill="1" applyBorder="1" applyAlignment="1">
      <alignment horizontal="center"/>
    </xf>
    <xf numFmtId="0" fontId="1" fillId="12" borderId="1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DDD9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281940</xdr:colOff>
      <xdr:row>0</xdr:row>
      <xdr:rowOff>53340</xdr:rowOff>
    </xdr:from>
    <xdr:to>
      <xdr:col>15</xdr:col>
      <xdr:colOff>15240</xdr:colOff>
      <xdr:row>2</xdr:row>
      <xdr:rowOff>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299064-67D8-4A25-AE13-E7042FCC4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5720" y="53340"/>
          <a:ext cx="982980" cy="2980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182880</xdr:colOff>
      <xdr:row>1</xdr:row>
      <xdr:rowOff>0</xdr:rowOff>
    </xdr:from>
    <xdr:to>
      <xdr:col>9</xdr:col>
      <xdr:colOff>541020</xdr:colOff>
      <xdr:row>2</xdr:row>
      <xdr:rowOff>138063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2C0CE0-6E0B-4735-B567-DECD02D76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0" y="160020"/>
          <a:ext cx="982980" cy="298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flasysdesign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flasysdesig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8" topLeftCell="A9" activePane="bottomLeft" state="frozen"/>
      <selection pane="bottomLeft" activeCell="N13" sqref="N13"/>
    </sheetView>
  </sheetViews>
  <sheetFormatPr defaultColWidth="14.44140625" defaultRowHeight="15" customHeight="1" x14ac:dyDescent="0.3"/>
  <cols>
    <col min="1" max="1" width="1.88671875" customWidth="1"/>
    <col min="2" max="2" width="6.6640625" customWidth="1"/>
    <col min="3" max="3" width="17.44140625" customWidth="1"/>
    <col min="4" max="4" width="17.109375" customWidth="1"/>
    <col min="5" max="5" width="14.5546875" customWidth="1"/>
    <col min="6" max="6" width="9.109375" customWidth="1"/>
    <col min="7" max="7" width="12" customWidth="1"/>
    <col min="8" max="8" width="18.6640625" customWidth="1"/>
    <col min="9" max="9" width="12.109375" customWidth="1"/>
    <col min="10" max="10" width="12" customWidth="1"/>
    <col min="11" max="11" width="16.44140625" customWidth="1"/>
    <col min="12" max="12" width="16.109375" customWidth="1"/>
    <col min="13" max="21" width="9.109375" customWidth="1"/>
    <col min="22" max="26" width="8" customWidth="1"/>
  </cols>
  <sheetData>
    <row r="1" spans="1:26" ht="13.5" customHeight="1" x14ac:dyDescent="0.3">
      <c r="A1" s="1"/>
      <c r="B1" s="2"/>
      <c r="C1" s="19" t="s">
        <v>42</v>
      </c>
      <c r="D1" s="20"/>
      <c r="E1" s="20"/>
      <c r="F1" s="20"/>
      <c r="G1" s="20"/>
      <c r="H1" s="21"/>
      <c r="I1" s="2"/>
      <c r="J1" s="2"/>
      <c r="K1" s="2"/>
      <c r="L1" s="18" t="s">
        <v>40</v>
      </c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</row>
    <row r="2" spans="1:26" ht="14.4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16"/>
      <c r="L2" s="17" t="s">
        <v>41</v>
      </c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</row>
    <row r="3" spans="1:26" ht="21" customHeight="1" x14ac:dyDescent="0.3">
      <c r="A3" s="1"/>
      <c r="B3" s="32" t="s">
        <v>0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</row>
    <row r="4" spans="1:26" ht="11.25" customHeight="1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17"/>
      <c r="L4" s="17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</row>
    <row r="5" spans="1:26" ht="13.5" customHeight="1" x14ac:dyDescent="0.3">
      <c r="A5" s="1"/>
      <c r="B5" s="22" t="s">
        <v>1</v>
      </c>
      <c r="C5" s="21"/>
      <c r="D5" s="4" t="s">
        <v>2</v>
      </c>
      <c r="E5" s="2"/>
      <c r="F5" s="2"/>
      <c r="G5" s="2"/>
      <c r="H5" s="2"/>
      <c r="I5" s="2"/>
      <c r="J5" s="2"/>
      <c r="K5" s="2"/>
      <c r="L5" s="2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</row>
    <row r="6" spans="1:26" ht="6.7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</row>
    <row r="7" spans="1:26" ht="15" customHeight="1" x14ac:dyDescent="0.3">
      <c r="A7" s="1"/>
      <c r="B7" s="25" t="s">
        <v>3</v>
      </c>
      <c r="C7" s="25" t="s">
        <v>4</v>
      </c>
      <c r="D7" s="25" t="s">
        <v>5</v>
      </c>
      <c r="E7" s="25" t="s">
        <v>6</v>
      </c>
      <c r="F7" s="25" t="s">
        <v>7</v>
      </c>
      <c r="G7" s="25" t="s">
        <v>8</v>
      </c>
      <c r="H7" s="26" t="s">
        <v>9</v>
      </c>
      <c r="I7" s="25" t="s">
        <v>10</v>
      </c>
      <c r="J7" s="25" t="s">
        <v>11</v>
      </c>
      <c r="K7" s="25" t="s">
        <v>12</v>
      </c>
      <c r="L7" s="25" t="s">
        <v>13</v>
      </c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</row>
    <row r="8" spans="1:26" ht="16.5" customHeight="1" x14ac:dyDescent="0.3">
      <c r="A8" s="1"/>
      <c r="B8" s="27"/>
      <c r="C8" s="27"/>
      <c r="D8" s="27"/>
      <c r="E8" s="27"/>
      <c r="F8" s="27"/>
      <c r="G8" s="27"/>
      <c r="H8" s="26"/>
      <c r="I8" s="27"/>
      <c r="J8" s="27"/>
      <c r="K8" s="27"/>
      <c r="L8" s="27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</row>
    <row r="9" spans="1:26" ht="12.75" customHeight="1" x14ac:dyDescent="0.3">
      <c r="A9" s="1"/>
      <c r="B9" s="5"/>
      <c r="C9" s="5"/>
      <c r="D9" s="5"/>
      <c r="E9" s="5">
        <v>3.5</v>
      </c>
      <c r="F9" s="5">
        <v>70</v>
      </c>
      <c r="G9" s="28">
        <f t="shared" ref="G9:G38" si="0">IF(ISNUMBER(F9),(SUM(F9)/(SQRT(3)*(volt*cos))*div*1000), )</f>
        <v>86.563895782112567</v>
      </c>
      <c r="H9" s="29" t="str">
        <f t="shared" ref="H9:H38" si="1">VLOOKUP(no,data,4,0)</f>
        <v xml:space="preserve"> 5300 (Cu)</v>
      </c>
      <c r="I9" s="30">
        <f t="shared" ref="I9:I38" si="2">VLOOKUP(no,data,5,0)</f>
        <v>6.4999999999999997E-3</v>
      </c>
      <c r="J9" s="30">
        <f t="shared" ref="J9:J38" si="3">VLOOKUP(no,data,6,0)</f>
        <v>1.1299999999999999E-2</v>
      </c>
      <c r="K9" s="31">
        <f t="shared" ref="K9:K38" si="4">IF(ISNUMBER(F9),(SQRT(3)*G9*E9*((I9*cos)+(J9*sin))/1000), )</f>
        <v>5.6790147255689413E-3</v>
      </c>
      <c r="L9" s="31">
        <f t="shared" ref="L9:L38" si="5">(K9/volt)*100</f>
        <v>1.3684372832696245E-3</v>
      </c>
      <c r="M9" s="1"/>
      <c r="N9" s="1"/>
      <c r="O9" s="1"/>
      <c r="P9" s="1"/>
      <c r="Q9" s="1"/>
      <c r="R9" s="1"/>
      <c r="S9" s="1"/>
      <c r="T9" s="1"/>
      <c r="U9" s="1"/>
      <c r="V9" s="3"/>
      <c r="W9" s="3"/>
      <c r="X9" s="3"/>
      <c r="Y9" s="3"/>
      <c r="Z9" s="3"/>
    </row>
    <row r="10" spans="1:26" ht="12.75" customHeight="1" x14ac:dyDescent="0.3">
      <c r="A10" s="1"/>
      <c r="B10" s="7"/>
      <c r="C10" s="7"/>
      <c r="D10" s="7"/>
      <c r="E10" s="7">
        <v>1000</v>
      </c>
      <c r="F10" s="7">
        <v>100</v>
      </c>
      <c r="G10" s="28">
        <f t="shared" si="0"/>
        <v>123.66270826016083</v>
      </c>
      <c r="H10" s="29" t="str">
        <f t="shared" si="1"/>
        <v xml:space="preserve"> 5300 (Cu)</v>
      </c>
      <c r="I10" s="30">
        <f t="shared" si="2"/>
        <v>6.4999999999999997E-3</v>
      </c>
      <c r="J10" s="30">
        <f t="shared" si="3"/>
        <v>1.1299999999999999E-2</v>
      </c>
      <c r="K10" s="31">
        <f t="shared" si="4"/>
        <v>2.3179651941097728</v>
      </c>
      <c r="L10" s="31">
        <f t="shared" si="5"/>
        <v>0.55854582990596935</v>
      </c>
      <c r="M10" s="1"/>
      <c r="N10" s="1"/>
      <c r="O10" s="1"/>
      <c r="P10" s="1"/>
      <c r="Q10" s="1"/>
      <c r="R10" s="1"/>
      <c r="S10" s="1"/>
      <c r="T10" s="1"/>
      <c r="U10" s="1"/>
      <c r="V10" s="3"/>
      <c r="W10" s="3"/>
      <c r="X10" s="3"/>
      <c r="Y10" s="3"/>
      <c r="Z10" s="3"/>
    </row>
    <row r="11" spans="1:26" ht="12.75" customHeight="1" x14ac:dyDescent="0.3">
      <c r="A11" s="1"/>
      <c r="B11" s="7"/>
      <c r="C11" s="7"/>
      <c r="D11" s="7"/>
      <c r="E11" s="7">
        <v>666</v>
      </c>
      <c r="F11" s="7">
        <v>788</v>
      </c>
      <c r="G11" s="28">
        <f t="shared" si="0"/>
        <v>974.46214109006723</v>
      </c>
      <c r="H11" s="29" t="str">
        <f t="shared" si="1"/>
        <v xml:space="preserve"> 5300 (Cu)</v>
      </c>
      <c r="I11" s="30">
        <f t="shared" si="2"/>
        <v>6.4999999999999997E-3</v>
      </c>
      <c r="J11" s="30">
        <f t="shared" si="3"/>
        <v>1.1299999999999999E-2</v>
      </c>
      <c r="K11" s="31">
        <f t="shared" si="4"/>
        <v>12.164866775903617</v>
      </c>
      <c r="L11" s="31">
        <f t="shared" si="5"/>
        <v>2.9312931990129196</v>
      </c>
      <c r="M11" s="1"/>
      <c r="N11" s="1"/>
      <c r="O11" s="1"/>
      <c r="P11" s="1"/>
      <c r="Q11" s="1"/>
      <c r="R11" s="1"/>
      <c r="S11" s="1"/>
      <c r="T11" s="1"/>
      <c r="U11" s="1"/>
      <c r="V11" s="3"/>
      <c r="W11" s="3"/>
      <c r="X11" s="3"/>
      <c r="Y11" s="3"/>
      <c r="Z11" s="3"/>
    </row>
    <row r="12" spans="1:26" ht="12.75" customHeight="1" x14ac:dyDescent="0.3">
      <c r="A12" s="1"/>
      <c r="B12" s="7"/>
      <c r="C12" s="7"/>
      <c r="D12" s="7"/>
      <c r="E12" s="7"/>
      <c r="F12" s="7"/>
      <c r="G12" s="28">
        <f t="shared" si="0"/>
        <v>0</v>
      </c>
      <c r="H12" s="29" t="str">
        <f t="shared" si="1"/>
        <v xml:space="preserve"> 5300 (Cu)</v>
      </c>
      <c r="I12" s="30">
        <f t="shared" si="2"/>
        <v>6.4999999999999997E-3</v>
      </c>
      <c r="J12" s="30">
        <f t="shared" si="3"/>
        <v>1.1299999999999999E-2</v>
      </c>
      <c r="K12" s="31">
        <f t="shared" si="4"/>
        <v>0</v>
      </c>
      <c r="L12" s="31">
        <f t="shared" si="5"/>
        <v>0</v>
      </c>
      <c r="M12" s="1"/>
      <c r="N12" s="1"/>
      <c r="O12" s="1"/>
      <c r="P12" s="1"/>
      <c r="Q12" s="1"/>
      <c r="R12" s="1"/>
      <c r="S12" s="1"/>
      <c r="T12" s="1"/>
      <c r="U12" s="1"/>
      <c r="V12" s="3"/>
      <c r="W12" s="3"/>
      <c r="X12" s="3"/>
      <c r="Y12" s="3"/>
      <c r="Z12" s="3"/>
    </row>
    <row r="13" spans="1:26" ht="12.75" customHeight="1" x14ac:dyDescent="0.3">
      <c r="A13" s="1"/>
      <c r="B13" s="7"/>
      <c r="C13" s="7"/>
      <c r="D13" s="7"/>
      <c r="E13" s="7"/>
      <c r="F13" s="7"/>
      <c r="G13" s="28">
        <f t="shared" si="0"/>
        <v>0</v>
      </c>
      <c r="H13" s="29" t="str">
        <f t="shared" si="1"/>
        <v xml:space="preserve"> 5300 (Cu)</v>
      </c>
      <c r="I13" s="30">
        <f t="shared" si="2"/>
        <v>6.4999999999999997E-3</v>
      </c>
      <c r="J13" s="30">
        <f t="shared" si="3"/>
        <v>1.1299999999999999E-2</v>
      </c>
      <c r="K13" s="31">
        <f t="shared" si="4"/>
        <v>0</v>
      </c>
      <c r="L13" s="31">
        <f t="shared" si="5"/>
        <v>0</v>
      </c>
      <c r="M13" s="1"/>
      <c r="N13" s="1"/>
      <c r="O13" s="1"/>
      <c r="P13" s="1"/>
      <c r="Q13" s="1"/>
      <c r="R13" s="1"/>
      <c r="S13" s="1"/>
      <c r="T13" s="1"/>
      <c r="U13" s="1"/>
      <c r="V13" s="3"/>
      <c r="W13" s="3"/>
      <c r="X13" s="3"/>
      <c r="Y13" s="3"/>
      <c r="Z13" s="3"/>
    </row>
    <row r="14" spans="1:26" ht="12.75" customHeight="1" x14ac:dyDescent="0.3">
      <c r="A14" s="1"/>
      <c r="B14" s="7"/>
      <c r="C14" s="7"/>
      <c r="D14" s="7"/>
      <c r="E14" s="7"/>
      <c r="F14" s="7"/>
      <c r="G14" s="28">
        <f t="shared" si="0"/>
        <v>0</v>
      </c>
      <c r="H14" s="29" t="str">
        <f t="shared" si="1"/>
        <v xml:space="preserve"> 5300 (Cu)</v>
      </c>
      <c r="I14" s="30">
        <f t="shared" si="2"/>
        <v>6.4999999999999997E-3</v>
      </c>
      <c r="J14" s="30">
        <f t="shared" si="3"/>
        <v>1.1299999999999999E-2</v>
      </c>
      <c r="K14" s="31">
        <f t="shared" si="4"/>
        <v>0</v>
      </c>
      <c r="L14" s="31">
        <f t="shared" si="5"/>
        <v>0</v>
      </c>
      <c r="M14" s="1"/>
      <c r="N14" s="1"/>
      <c r="O14" s="1"/>
      <c r="P14" s="1"/>
      <c r="Q14" s="1"/>
      <c r="R14" s="1"/>
      <c r="S14" s="1"/>
      <c r="T14" s="1"/>
      <c r="U14" s="1"/>
      <c r="V14" s="3"/>
      <c r="W14" s="3"/>
      <c r="X14" s="3"/>
      <c r="Y14" s="3"/>
      <c r="Z14" s="3"/>
    </row>
    <row r="15" spans="1:26" ht="12.75" customHeight="1" x14ac:dyDescent="0.3">
      <c r="A15" s="1"/>
      <c r="B15" s="7"/>
      <c r="C15" s="7"/>
      <c r="D15" s="7"/>
      <c r="E15" s="7"/>
      <c r="F15" s="7"/>
      <c r="G15" s="28">
        <f t="shared" si="0"/>
        <v>0</v>
      </c>
      <c r="H15" s="29" t="str">
        <f t="shared" si="1"/>
        <v xml:space="preserve"> 5300 (Cu)</v>
      </c>
      <c r="I15" s="30">
        <f t="shared" si="2"/>
        <v>6.4999999999999997E-3</v>
      </c>
      <c r="J15" s="30">
        <f t="shared" si="3"/>
        <v>1.1299999999999999E-2</v>
      </c>
      <c r="K15" s="31">
        <f t="shared" si="4"/>
        <v>0</v>
      </c>
      <c r="L15" s="31">
        <f t="shared" si="5"/>
        <v>0</v>
      </c>
      <c r="M15" s="1"/>
      <c r="N15" s="1"/>
      <c r="O15" s="1"/>
      <c r="P15" s="1"/>
      <c r="Q15" s="1"/>
      <c r="R15" s="1"/>
      <c r="S15" s="1"/>
      <c r="T15" s="1"/>
      <c r="U15" s="1"/>
      <c r="V15" s="3"/>
      <c r="W15" s="3"/>
      <c r="X15" s="3"/>
      <c r="Y15" s="3"/>
      <c r="Z15" s="3"/>
    </row>
    <row r="16" spans="1:26" ht="12.75" customHeight="1" x14ac:dyDescent="0.3">
      <c r="A16" s="1"/>
      <c r="B16" s="7"/>
      <c r="C16" s="7"/>
      <c r="D16" s="7"/>
      <c r="E16" s="7"/>
      <c r="F16" s="7"/>
      <c r="G16" s="28">
        <f t="shared" si="0"/>
        <v>0</v>
      </c>
      <c r="H16" s="29" t="str">
        <f t="shared" si="1"/>
        <v xml:space="preserve"> 5300 (Cu)</v>
      </c>
      <c r="I16" s="30">
        <f t="shared" si="2"/>
        <v>6.4999999999999997E-3</v>
      </c>
      <c r="J16" s="30">
        <f t="shared" si="3"/>
        <v>1.1299999999999999E-2</v>
      </c>
      <c r="K16" s="31">
        <f t="shared" si="4"/>
        <v>0</v>
      </c>
      <c r="L16" s="31">
        <f t="shared" si="5"/>
        <v>0</v>
      </c>
      <c r="M16" s="1"/>
      <c r="N16" s="1"/>
      <c r="O16" s="1"/>
      <c r="P16" s="1"/>
      <c r="Q16" s="1"/>
      <c r="R16" s="1"/>
      <c r="S16" s="1"/>
      <c r="T16" s="1"/>
      <c r="U16" s="1"/>
      <c r="V16" s="3"/>
      <c r="W16" s="3"/>
      <c r="X16" s="3"/>
      <c r="Y16" s="3"/>
      <c r="Z16" s="3"/>
    </row>
    <row r="17" spans="1:26" ht="12.75" customHeight="1" x14ac:dyDescent="0.3">
      <c r="A17" s="1"/>
      <c r="B17" s="7"/>
      <c r="C17" s="7"/>
      <c r="D17" s="7"/>
      <c r="E17" s="7"/>
      <c r="F17" s="7"/>
      <c r="G17" s="28">
        <f t="shared" si="0"/>
        <v>0</v>
      </c>
      <c r="H17" s="29" t="str">
        <f t="shared" si="1"/>
        <v xml:space="preserve"> 5300 (Cu)</v>
      </c>
      <c r="I17" s="30">
        <f t="shared" si="2"/>
        <v>6.4999999999999997E-3</v>
      </c>
      <c r="J17" s="30">
        <f t="shared" si="3"/>
        <v>1.1299999999999999E-2</v>
      </c>
      <c r="K17" s="31">
        <f t="shared" si="4"/>
        <v>0</v>
      </c>
      <c r="L17" s="31">
        <f t="shared" si="5"/>
        <v>0</v>
      </c>
      <c r="M17" s="1"/>
      <c r="N17" s="1"/>
      <c r="O17" s="1"/>
      <c r="P17" s="1"/>
      <c r="Q17" s="1"/>
      <c r="R17" s="1"/>
      <c r="S17" s="1"/>
      <c r="T17" s="1"/>
      <c r="U17" s="1"/>
      <c r="V17" s="3"/>
      <c r="W17" s="3"/>
      <c r="X17" s="3"/>
      <c r="Y17" s="3"/>
      <c r="Z17" s="3"/>
    </row>
    <row r="18" spans="1:26" ht="12.75" customHeight="1" x14ac:dyDescent="0.3">
      <c r="A18" s="1"/>
      <c r="B18" s="7"/>
      <c r="C18" s="7"/>
      <c r="D18" s="7"/>
      <c r="E18" s="7"/>
      <c r="F18" s="7"/>
      <c r="G18" s="28">
        <f t="shared" si="0"/>
        <v>0</v>
      </c>
      <c r="H18" s="29" t="str">
        <f t="shared" si="1"/>
        <v xml:space="preserve"> 5300 (Cu)</v>
      </c>
      <c r="I18" s="30">
        <f t="shared" si="2"/>
        <v>6.4999999999999997E-3</v>
      </c>
      <c r="J18" s="30">
        <f t="shared" si="3"/>
        <v>1.1299999999999999E-2</v>
      </c>
      <c r="K18" s="31">
        <f t="shared" si="4"/>
        <v>0</v>
      </c>
      <c r="L18" s="31">
        <f t="shared" si="5"/>
        <v>0</v>
      </c>
      <c r="M18" s="1"/>
      <c r="N18" s="1"/>
      <c r="O18" s="1"/>
      <c r="P18" s="1"/>
      <c r="Q18" s="1"/>
      <c r="R18" s="1"/>
      <c r="S18" s="1"/>
      <c r="T18" s="1"/>
      <c r="U18" s="1"/>
      <c r="V18" s="3"/>
      <c r="W18" s="3"/>
      <c r="X18" s="3"/>
      <c r="Y18" s="3"/>
      <c r="Z18" s="3"/>
    </row>
    <row r="19" spans="1:26" ht="12.75" customHeight="1" x14ac:dyDescent="0.3">
      <c r="A19" s="1"/>
      <c r="B19" s="7"/>
      <c r="C19" s="7"/>
      <c r="D19" s="7"/>
      <c r="E19" s="7"/>
      <c r="F19" s="7"/>
      <c r="G19" s="28">
        <f t="shared" si="0"/>
        <v>0</v>
      </c>
      <c r="H19" s="29" t="str">
        <f t="shared" si="1"/>
        <v xml:space="preserve"> 5300 (Cu)</v>
      </c>
      <c r="I19" s="30">
        <f t="shared" si="2"/>
        <v>6.4999999999999997E-3</v>
      </c>
      <c r="J19" s="30">
        <f t="shared" si="3"/>
        <v>1.1299999999999999E-2</v>
      </c>
      <c r="K19" s="31">
        <f t="shared" si="4"/>
        <v>0</v>
      </c>
      <c r="L19" s="31">
        <f t="shared" si="5"/>
        <v>0</v>
      </c>
      <c r="M19" s="1"/>
      <c r="N19" s="1"/>
      <c r="O19" s="1"/>
      <c r="P19" s="1"/>
      <c r="Q19" s="1"/>
      <c r="R19" s="1"/>
      <c r="S19" s="1"/>
      <c r="T19" s="1"/>
      <c r="U19" s="1"/>
      <c r="V19" s="3"/>
      <c r="W19" s="3"/>
      <c r="X19" s="3"/>
      <c r="Y19" s="3"/>
      <c r="Z19" s="3"/>
    </row>
    <row r="20" spans="1:26" ht="12.75" customHeight="1" x14ac:dyDescent="0.3">
      <c r="A20" s="1"/>
      <c r="B20" s="7"/>
      <c r="C20" s="7"/>
      <c r="D20" s="7"/>
      <c r="E20" s="7"/>
      <c r="F20" s="7"/>
      <c r="G20" s="28">
        <f t="shared" si="0"/>
        <v>0</v>
      </c>
      <c r="H20" s="29" t="str">
        <f t="shared" si="1"/>
        <v xml:space="preserve"> 5300 (Cu)</v>
      </c>
      <c r="I20" s="30">
        <f t="shared" si="2"/>
        <v>6.4999999999999997E-3</v>
      </c>
      <c r="J20" s="30">
        <f t="shared" si="3"/>
        <v>1.1299999999999999E-2</v>
      </c>
      <c r="K20" s="31">
        <f t="shared" si="4"/>
        <v>0</v>
      </c>
      <c r="L20" s="31">
        <f t="shared" si="5"/>
        <v>0</v>
      </c>
      <c r="M20" s="1"/>
      <c r="N20" s="1"/>
      <c r="O20" s="1"/>
      <c r="P20" s="1"/>
      <c r="Q20" s="1"/>
      <c r="R20" s="1"/>
      <c r="S20" s="1"/>
      <c r="T20" s="1"/>
      <c r="U20" s="1"/>
      <c r="V20" s="3"/>
      <c r="W20" s="3"/>
      <c r="X20" s="3"/>
      <c r="Y20" s="3"/>
      <c r="Z20" s="3"/>
    </row>
    <row r="21" spans="1:26" ht="12.75" customHeight="1" x14ac:dyDescent="0.3">
      <c r="A21" s="1"/>
      <c r="B21" s="7"/>
      <c r="C21" s="7"/>
      <c r="D21" s="7"/>
      <c r="E21" s="7"/>
      <c r="F21" s="7"/>
      <c r="G21" s="28">
        <f t="shared" si="0"/>
        <v>0</v>
      </c>
      <c r="H21" s="29" t="str">
        <f t="shared" si="1"/>
        <v xml:space="preserve"> 5300 (Cu)</v>
      </c>
      <c r="I21" s="30">
        <f t="shared" si="2"/>
        <v>6.4999999999999997E-3</v>
      </c>
      <c r="J21" s="30">
        <f t="shared" si="3"/>
        <v>1.1299999999999999E-2</v>
      </c>
      <c r="K21" s="31">
        <f t="shared" si="4"/>
        <v>0</v>
      </c>
      <c r="L21" s="31">
        <f t="shared" si="5"/>
        <v>0</v>
      </c>
      <c r="M21" s="1"/>
      <c r="N21" s="1"/>
      <c r="O21" s="1"/>
      <c r="P21" s="1"/>
      <c r="Q21" s="1"/>
      <c r="R21" s="1"/>
      <c r="S21" s="1"/>
      <c r="T21" s="1"/>
      <c r="U21" s="1"/>
      <c r="V21" s="3"/>
      <c r="W21" s="3"/>
      <c r="X21" s="3"/>
      <c r="Y21" s="3"/>
      <c r="Z21" s="3"/>
    </row>
    <row r="22" spans="1:26" ht="12.75" customHeight="1" x14ac:dyDescent="0.3">
      <c r="A22" s="1"/>
      <c r="B22" s="7"/>
      <c r="C22" s="7"/>
      <c r="D22" s="7"/>
      <c r="E22" s="7"/>
      <c r="F22" s="7"/>
      <c r="G22" s="28">
        <f t="shared" si="0"/>
        <v>0</v>
      </c>
      <c r="H22" s="29" t="str">
        <f t="shared" si="1"/>
        <v xml:space="preserve"> 5300 (Cu)</v>
      </c>
      <c r="I22" s="30">
        <f t="shared" si="2"/>
        <v>6.4999999999999997E-3</v>
      </c>
      <c r="J22" s="30">
        <f t="shared" si="3"/>
        <v>1.1299999999999999E-2</v>
      </c>
      <c r="K22" s="31">
        <f t="shared" si="4"/>
        <v>0</v>
      </c>
      <c r="L22" s="31">
        <f t="shared" si="5"/>
        <v>0</v>
      </c>
      <c r="M22" s="1"/>
      <c r="N22" s="1"/>
      <c r="O22" s="1"/>
      <c r="P22" s="1"/>
      <c r="Q22" s="1"/>
      <c r="R22" s="1"/>
      <c r="S22" s="1"/>
      <c r="T22" s="1"/>
      <c r="U22" s="1"/>
      <c r="V22" s="3"/>
      <c r="W22" s="3"/>
      <c r="X22" s="3"/>
      <c r="Y22" s="3"/>
      <c r="Z22" s="3"/>
    </row>
    <row r="23" spans="1:26" ht="12.75" customHeight="1" x14ac:dyDescent="0.3">
      <c r="A23" s="1"/>
      <c r="B23" s="7"/>
      <c r="C23" s="7"/>
      <c r="D23" s="7"/>
      <c r="E23" s="7"/>
      <c r="F23" s="7"/>
      <c r="G23" s="28">
        <f t="shared" si="0"/>
        <v>0</v>
      </c>
      <c r="H23" s="29" t="str">
        <f t="shared" si="1"/>
        <v xml:space="preserve"> 5300 (Cu)</v>
      </c>
      <c r="I23" s="30">
        <f t="shared" si="2"/>
        <v>6.4999999999999997E-3</v>
      </c>
      <c r="J23" s="30">
        <f t="shared" si="3"/>
        <v>1.1299999999999999E-2</v>
      </c>
      <c r="K23" s="31">
        <f t="shared" si="4"/>
        <v>0</v>
      </c>
      <c r="L23" s="31">
        <f t="shared" si="5"/>
        <v>0</v>
      </c>
      <c r="M23" s="1"/>
      <c r="N23" s="1"/>
      <c r="O23" s="1"/>
      <c r="P23" s="1"/>
      <c r="Q23" s="1"/>
      <c r="R23" s="1"/>
      <c r="S23" s="1"/>
      <c r="T23" s="1"/>
      <c r="U23" s="1"/>
      <c r="V23" s="3"/>
      <c r="W23" s="3"/>
      <c r="X23" s="3"/>
      <c r="Y23" s="3"/>
      <c r="Z23" s="3"/>
    </row>
    <row r="24" spans="1:26" ht="12.75" customHeight="1" x14ac:dyDescent="0.3">
      <c r="A24" s="1"/>
      <c r="B24" s="7"/>
      <c r="C24" s="7"/>
      <c r="D24" s="7"/>
      <c r="E24" s="7"/>
      <c r="F24" s="7"/>
      <c r="G24" s="28">
        <f t="shared" si="0"/>
        <v>0</v>
      </c>
      <c r="H24" s="29" t="str">
        <f t="shared" si="1"/>
        <v xml:space="preserve"> 5300 (Cu)</v>
      </c>
      <c r="I24" s="30">
        <f t="shared" si="2"/>
        <v>6.4999999999999997E-3</v>
      </c>
      <c r="J24" s="30">
        <f t="shared" si="3"/>
        <v>1.1299999999999999E-2</v>
      </c>
      <c r="K24" s="31">
        <f t="shared" si="4"/>
        <v>0</v>
      </c>
      <c r="L24" s="31">
        <f t="shared" si="5"/>
        <v>0</v>
      </c>
      <c r="M24" s="1"/>
      <c r="N24" s="1"/>
      <c r="O24" s="1"/>
      <c r="P24" s="1"/>
      <c r="Q24" s="1"/>
      <c r="R24" s="1"/>
      <c r="S24" s="1"/>
      <c r="T24" s="1"/>
      <c r="U24" s="1"/>
      <c r="V24" s="3"/>
      <c r="W24" s="3"/>
      <c r="X24" s="3"/>
      <c r="Y24" s="3"/>
      <c r="Z24" s="3"/>
    </row>
    <row r="25" spans="1:26" ht="12.75" customHeight="1" x14ac:dyDescent="0.3">
      <c r="A25" s="1"/>
      <c r="B25" s="7"/>
      <c r="C25" s="7"/>
      <c r="D25" s="7"/>
      <c r="E25" s="7"/>
      <c r="F25" s="7"/>
      <c r="G25" s="28">
        <f t="shared" si="0"/>
        <v>0</v>
      </c>
      <c r="H25" s="29" t="str">
        <f t="shared" si="1"/>
        <v xml:space="preserve"> 5300 (Cu)</v>
      </c>
      <c r="I25" s="30">
        <f t="shared" si="2"/>
        <v>6.4999999999999997E-3</v>
      </c>
      <c r="J25" s="30">
        <f t="shared" si="3"/>
        <v>1.1299999999999999E-2</v>
      </c>
      <c r="K25" s="31">
        <f t="shared" si="4"/>
        <v>0</v>
      </c>
      <c r="L25" s="31">
        <f t="shared" si="5"/>
        <v>0</v>
      </c>
      <c r="M25" s="1"/>
      <c r="N25" s="1"/>
      <c r="O25" s="1"/>
      <c r="P25" s="1"/>
      <c r="Q25" s="1"/>
      <c r="R25" s="1"/>
      <c r="S25" s="1"/>
      <c r="T25" s="1"/>
      <c r="U25" s="1"/>
      <c r="V25" s="3"/>
      <c r="W25" s="3"/>
      <c r="X25" s="3"/>
      <c r="Y25" s="3"/>
      <c r="Z25" s="3"/>
    </row>
    <row r="26" spans="1:26" ht="12.75" customHeight="1" x14ac:dyDescent="0.3">
      <c r="A26" s="1"/>
      <c r="B26" s="7"/>
      <c r="C26" s="7"/>
      <c r="D26" s="7"/>
      <c r="E26" s="7"/>
      <c r="F26" s="7"/>
      <c r="G26" s="28">
        <f t="shared" si="0"/>
        <v>0</v>
      </c>
      <c r="H26" s="29" t="str">
        <f t="shared" si="1"/>
        <v xml:space="preserve"> 5300 (Cu)</v>
      </c>
      <c r="I26" s="30">
        <f t="shared" si="2"/>
        <v>6.4999999999999997E-3</v>
      </c>
      <c r="J26" s="30">
        <f t="shared" si="3"/>
        <v>1.1299999999999999E-2</v>
      </c>
      <c r="K26" s="31">
        <f t="shared" si="4"/>
        <v>0</v>
      </c>
      <c r="L26" s="31">
        <f t="shared" si="5"/>
        <v>0</v>
      </c>
      <c r="M26" s="1"/>
      <c r="N26" s="1"/>
      <c r="O26" s="1"/>
      <c r="P26" s="1"/>
      <c r="Q26" s="1"/>
      <c r="R26" s="1"/>
      <c r="S26" s="1"/>
      <c r="T26" s="1"/>
      <c r="U26" s="1"/>
      <c r="V26" s="3"/>
      <c r="W26" s="3"/>
      <c r="X26" s="3"/>
      <c r="Y26" s="3"/>
      <c r="Z26" s="3"/>
    </row>
    <row r="27" spans="1:26" ht="12.75" customHeight="1" x14ac:dyDescent="0.3">
      <c r="A27" s="1"/>
      <c r="B27" s="7"/>
      <c r="C27" s="7"/>
      <c r="D27" s="7"/>
      <c r="E27" s="7"/>
      <c r="F27" s="7"/>
      <c r="G27" s="28">
        <f t="shared" si="0"/>
        <v>0</v>
      </c>
      <c r="H27" s="29" t="str">
        <f t="shared" si="1"/>
        <v xml:space="preserve"> 5300 (Cu)</v>
      </c>
      <c r="I27" s="30">
        <f t="shared" si="2"/>
        <v>6.4999999999999997E-3</v>
      </c>
      <c r="J27" s="30">
        <f t="shared" si="3"/>
        <v>1.1299999999999999E-2</v>
      </c>
      <c r="K27" s="31">
        <f t="shared" si="4"/>
        <v>0</v>
      </c>
      <c r="L27" s="31">
        <f t="shared" si="5"/>
        <v>0</v>
      </c>
      <c r="M27" s="1"/>
      <c r="N27" s="1"/>
      <c r="O27" s="1"/>
      <c r="P27" s="1"/>
      <c r="Q27" s="1"/>
      <c r="R27" s="1"/>
      <c r="S27" s="1"/>
      <c r="T27" s="1"/>
      <c r="U27" s="1"/>
      <c r="V27" s="3"/>
      <c r="W27" s="3"/>
      <c r="X27" s="3"/>
      <c r="Y27" s="3"/>
      <c r="Z27" s="3"/>
    </row>
    <row r="28" spans="1:26" ht="12.75" customHeight="1" x14ac:dyDescent="0.3">
      <c r="A28" s="1"/>
      <c r="B28" s="7"/>
      <c r="C28" s="7"/>
      <c r="D28" s="7"/>
      <c r="E28" s="7"/>
      <c r="F28" s="7"/>
      <c r="G28" s="28">
        <f t="shared" si="0"/>
        <v>0</v>
      </c>
      <c r="H28" s="29" t="str">
        <f t="shared" si="1"/>
        <v xml:space="preserve"> 5300 (Cu)</v>
      </c>
      <c r="I28" s="30">
        <f t="shared" si="2"/>
        <v>6.4999999999999997E-3</v>
      </c>
      <c r="J28" s="30">
        <f t="shared" si="3"/>
        <v>1.1299999999999999E-2</v>
      </c>
      <c r="K28" s="31">
        <f t="shared" si="4"/>
        <v>0</v>
      </c>
      <c r="L28" s="31">
        <f t="shared" si="5"/>
        <v>0</v>
      </c>
      <c r="M28" s="1"/>
      <c r="N28" s="1"/>
      <c r="O28" s="1"/>
      <c r="P28" s="1"/>
      <c r="Q28" s="1"/>
      <c r="R28" s="1"/>
      <c r="S28" s="1"/>
      <c r="T28" s="1"/>
      <c r="U28" s="1"/>
      <c r="V28" s="3"/>
      <c r="W28" s="3"/>
      <c r="X28" s="3"/>
      <c r="Y28" s="3"/>
      <c r="Z28" s="3"/>
    </row>
    <row r="29" spans="1:26" ht="12.75" customHeight="1" x14ac:dyDescent="0.3">
      <c r="A29" s="1"/>
      <c r="B29" s="7"/>
      <c r="C29" s="7"/>
      <c r="D29" s="7"/>
      <c r="E29" s="7"/>
      <c r="F29" s="7"/>
      <c r="G29" s="28">
        <f t="shared" si="0"/>
        <v>0</v>
      </c>
      <c r="H29" s="29" t="str">
        <f t="shared" si="1"/>
        <v xml:space="preserve"> 5300 (Cu)</v>
      </c>
      <c r="I29" s="30">
        <f t="shared" si="2"/>
        <v>6.4999999999999997E-3</v>
      </c>
      <c r="J29" s="30">
        <f t="shared" si="3"/>
        <v>1.1299999999999999E-2</v>
      </c>
      <c r="K29" s="31">
        <f t="shared" si="4"/>
        <v>0</v>
      </c>
      <c r="L29" s="31">
        <f t="shared" si="5"/>
        <v>0</v>
      </c>
      <c r="M29" s="1"/>
      <c r="N29" s="1"/>
      <c r="O29" s="1"/>
      <c r="P29" s="1"/>
      <c r="Q29" s="1"/>
      <c r="R29" s="1"/>
      <c r="S29" s="1"/>
      <c r="T29" s="1"/>
      <c r="U29" s="1"/>
      <c r="V29" s="3"/>
      <c r="W29" s="3"/>
      <c r="X29" s="3"/>
      <c r="Y29" s="3"/>
      <c r="Z29" s="3"/>
    </row>
    <row r="30" spans="1:26" ht="12.75" customHeight="1" x14ac:dyDescent="0.3">
      <c r="A30" s="1"/>
      <c r="B30" s="7"/>
      <c r="C30" s="7"/>
      <c r="D30" s="7"/>
      <c r="E30" s="7"/>
      <c r="F30" s="7"/>
      <c r="G30" s="28">
        <f t="shared" si="0"/>
        <v>0</v>
      </c>
      <c r="H30" s="29" t="str">
        <f t="shared" si="1"/>
        <v xml:space="preserve"> 5300 (Cu)</v>
      </c>
      <c r="I30" s="30">
        <f t="shared" si="2"/>
        <v>6.4999999999999997E-3</v>
      </c>
      <c r="J30" s="30">
        <f t="shared" si="3"/>
        <v>1.1299999999999999E-2</v>
      </c>
      <c r="K30" s="31">
        <f t="shared" si="4"/>
        <v>0</v>
      </c>
      <c r="L30" s="31">
        <f t="shared" si="5"/>
        <v>0</v>
      </c>
      <c r="M30" s="1"/>
      <c r="N30" s="1"/>
      <c r="O30" s="1"/>
      <c r="P30" s="1"/>
      <c r="Q30" s="1"/>
      <c r="R30" s="1"/>
      <c r="S30" s="1"/>
      <c r="T30" s="1"/>
      <c r="U30" s="1"/>
      <c r="V30" s="3"/>
      <c r="W30" s="3"/>
      <c r="X30" s="3"/>
      <c r="Y30" s="3"/>
      <c r="Z30" s="3"/>
    </row>
    <row r="31" spans="1:26" ht="12.75" customHeight="1" x14ac:dyDescent="0.3">
      <c r="A31" s="1"/>
      <c r="B31" s="7"/>
      <c r="C31" s="7"/>
      <c r="D31" s="7"/>
      <c r="E31" s="7"/>
      <c r="F31" s="7"/>
      <c r="G31" s="28">
        <f t="shared" si="0"/>
        <v>0</v>
      </c>
      <c r="H31" s="29" t="str">
        <f t="shared" si="1"/>
        <v xml:space="preserve"> 5300 (Cu)</v>
      </c>
      <c r="I31" s="30">
        <f t="shared" si="2"/>
        <v>6.4999999999999997E-3</v>
      </c>
      <c r="J31" s="30">
        <f t="shared" si="3"/>
        <v>1.1299999999999999E-2</v>
      </c>
      <c r="K31" s="31">
        <f t="shared" si="4"/>
        <v>0</v>
      </c>
      <c r="L31" s="31">
        <f t="shared" si="5"/>
        <v>0</v>
      </c>
      <c r="M31" s="1"/>
      <c r="N31" s="1"/>
      <c r="O31" s="1"/>
      <c r="P31" s="1"/>
      <c r="Q31" s="1"/>
      <c r="R31" s="1"/>
      <c r="S31" s="1"/>
      <c r="T31" s="1"/>
      <c r="U31" s="1"/>
      <c r="V31" s="3"/>
      <c r="W31" s="3"/>
      <c r="X31" s="3"/>
      <c r="Y31" s="3"/>
      <c r="Z31" s="3"/>
    </row>
    <row r="32" spans="1:26" ht="12.75" customHeight="1" x14ac:dyDescent="0.3">
      <c r="A32" s="1"/>
      <c r="B32" s="7"/>
      <c r="C32" s="7"/>
      <c r="D32" s="7"/>
      <c r="E32" s="7"/>
      <c r="F32" s="7"/>
      <c r="G32" s="28">
        <f t="shared" si="0"/>
        <v>0</v>
      </c>
      <c r="H32" s="29" t="str">
        <f t="shared" si="1"/>
        <v xml:space="preserve"> 5300 (Cu)</v>
      </c>
      <c r="I32" s="30">
        <f t="shared" si="2"/>
        <v>6.4999999999999997E-3</v>
      </c>
      <c r="J32" s="30">
        <f t="shared" si="3"/>
        <v>1.1299999999999999E-2</v>
      </c>
      <c r="K32" s="31">
        <f t="shared" si="4"/>
        <v>0</v>
      </c>
      <c r="L32" s="31">
        <f t="shared" si="5"/>
        <v>0</v>
      </c>
      <c r="M32" s="1"/>
      <c r="N32" s="1"/>
      <c r="O32" s="1"/>
      <c r="P32" s="1"/>
      <c r="Q32" s="1"/>
      <c r="R32" s="1"/>
      <c r="S32" s="1"/>
      <c r="T32" s="1"/>
      <c r="U32" s="1"/>
      <c r="V32" s="3"/>
      <c r="W32" s="3"/>
      <c r="X32" s="3"/>
      <c r="Y32" s="3"/>
      <c r="Z32" s="3"/>
    </row>
    <row r="33" spans="1:26" ht="12.75" customHeight="1" x14ac:dyDescent="0.3">
      <c r="A33" s="1"/>
      <c r="B33" s="7"/>
      <c r="C33" s="7"/>
      <c r="D33" s="7"/>
      <c r="E33" s="7"/>
      <c r="F33" s="7"/>
      <c r="G33" s="28">
        <f t="shared" si="0"/>
        <v>0</v>
      </c>
      <c r="H33" s="29" t="str">
        <f t="shared" si="1"/>
        <v xml:space="preserve"> 5300 (Cu)</v>
      </c>
      <c r="I33" s="30">
        <f t="shared" si="2"/>
        <v>6.4999999999999997E-3</v>
      </c>
      <c r="J33" s="30">
        <f t="shared" si="3"/>
        <v>1.1299999999999999E-2</v>
      </c>
      <c r="K33" s="31">
        <f t="shared" si="4"/>
        <v>0</v>
      </c>
      <c r="L33" s="31">
        <f t="shared" si="5"/>
        <v>0</v>
      </c>
      <c r="M33" s="1"/>
      <c r="N33" s="1"/>
      <c r="O33" s="1"/>
      <c r="P33" s="1"/>
      <c r="Q33" s="1"/>
      <c r="R33" s="1"/>
      <c r="S33" s="1"/>
      <c r="T33" s="1"/>
      <c r="U33" s="1"/>
      <c r="V33" s="3"/>
      <c r="W33" s="3"/>
      <c r="X33" s="3"/>
      <c r="Y33" s="3"/>
      <c r="Z33" s="3"/>
    </row>
    <row r="34" spans="1:26" ht="12.75" customHeight="1" x14ac:dyDescent="0.3">
      <c r="A34" s="1"/>
      <c r="B34" s="7"/>
      <c r="C34" s="7"/>
      <c r="D34" s="7"/>
      <c r="E34" s="7"/>
      <c r="F34" s="7"/>
      <c r="G34" s="28">
        <f t="shared" si="0"/>
        <v>0</v>
      </c>
      <c r="H34" s="29" t="str">
        <f t="shared" si="1"/>
        <v xml:space="preserve"> 5300 (Cu)</v>
      </c>
      <c r="I34" s="30">
        <f t="shared" si="2"/>
        <v>6.4999999999999997E-3</v>
      </c>
      <c r="J34" s="30">
        <f t="shared" si="3"/>
        <v>1.1299999999999999E-2</v>
      </c>
      <c r="K34" s="31">
        <f t="shared" si="4"/>
        <v>0</v>
      </c>
      <c r="L34" s="31">
        <f t="shared" si="5"/>
        <v>0</v>
      </c>
      <c r="M34" s="1"/>
      <c r="N34" s="1"/>
      <c r="O34" s="1"/>
      <c r="P34" s="1"/>
      <c r="Q34" s="1"/>
      <c r="R34" s="1"/>
      <c r="S34" s="1"/>
      <c r="T34" s="1"/>
      <c r="U34" s="1"/>
      <c r="V34" s="3"/>
      <c r="W34" s="3"/>
      <c r="X34" s="3"/>
      <c r="Y34" s="3"/>
      <c r="Z34" s="3"/>
    </row>
    <row r="35" spans="1:26" ht="12.75" customHeight="1" x14ac:dyDescent="0.3">
      <c r="A35" s="1"/>
      <c r="B35" s="7"/>
      <c r="C35" s="7"/>
      <c r="D35" s="7"/>
      <c r="E35" s="7"/>
      <c r="F35" s="7"/>
      <c r="G35" s="28">
        <f t="shared" si="0"/>
        <v>0</v>
      </c>
      <c r="H35" s="29" t="str">
        <f t="shared" si="1"/>
        <v xml:space="preserve"> 5300 (Cu)</v>
      </c>
      <c r="I35" s="30">
        <f t="shared" si="2"/>
        <v>6.4999999999999997E-3</v>
      </c>
      <c r="J35" s="30">
        <f t="shared" si="3"/>
        <v>1.1299999999999999E-2</v>
      </c>
      <c r="K35" s="31">
        <f t="shared" si="4"/>
        <v>0</v>
      </c>
      <c r="L35" s="31">
        <f t="shared" si="5"/>
        <v>0</v>
      </c>
      <c r="M35" s="1"/>
      <c r="N35" s="1"/>
      <c r="O35" s="1"/>
      <c r="P35" s="1"/>
      <c r="Q35" s="1"/>
      <c r="R35" s="1"/>
      <c r="S35" s="1"/>
      <c r="T35" s="1"/>
      <c r="U35" s="1"/>
      <c r="V35" s="3"/>
      <c r="W35" s="3"/>
      <c r="X35" s="3"/>
      <c r="Y35" s="3"/>
      <c r="Z35" s="3"/>
    </row>
    <row r="36" spans="1:26" ht="12.75" customHeight="1" x14ac:dyDescent="0.3">
      <c r="A36" s="1"/>
      <c r="B36" s="7"/>
      <c r="C36" s="7"/>
      <c r="D36" s="7"/>
      <c r="E36" s="7"/>
      <c r="F36" s="7"/>
      <c r="G36" s="28">
        <f t="shared" si="0"/>
        <v>0</v>
      </c>
      <c r="H36" s="29" t="str">
        <f t="shared" si="1"/>
        <v xml:space="preserve"> 5300 (Cu)</v>
      </c>
      <c r="I36" s="30">
        <f t="shared" si="2"/>
        <v>6.4999999999999997E-3</v>
      </c>
      <c r="J36" s="30">
        <f t="shared" si="3"/>
        <v>1.1299999999999999E-2</v>
      </c>
      <c r="K36" s="31">
        <f t="shared" si="4"/>
        <v>0</v>
      </c>
      <c r="L36" s="31">
        <f t="shared" si="5"/>
        <v>0</v>
      </c>
      <c r="M36" s="1"/>
      <c r="N36" s="1"/>
      <c r="O36" s="1"/>
      <c r="P36" s="1"/>
      <c r="Q36" s="1"/>
      <c r="R36" s="1"/>
      <c r="S36" s="1"/>
      <c r="T36" s="1"/>
      <c r="U36" s="1"/>
      <c r="V36" s="3"/>
      <c r="W36" s="3"/>
      <c r="X36" s="3"/>
      <c r="Y36" s="3"/>
      <c r="Z36" s="3"/>
    </row>
    <row r="37" spans="1:26" ht="12.75" customHeight="1" x14ac:dyDescent="0.3">
      <c r="A37" s="1"/>
      <c r="B37" s="7"/>
      <c r="C37" s="7"/>
      <c r="D37" s="7"/>
      <c r="E37" s="7"/>
      <c r="F37" s="7"/>
      <c r="G37" s="28">
        <f t="shared" si="0"/>
        <v>0</v>
      </c>
      <c r="H37" s="29" t="str">
        <f t="shared" si="1"/>
        <v xml:space="preserve"> 5300 (Cu)</v>
      </c>
      <c r="I37" s="30">
        <f t="shared" si="2"/>
        <v>6.4999999999999997E-3</v>
      </c>
      <c r="J37" s="30">
        <f t="shared" si="3"/>
        <v>1.1299999999999999E-2</v>
      </c>
      <c r="K37" s="31">
        <f t="shared" si="4"/>
        <v>0</v>
      </c>
      <c r="L37" s="31">
        <f t="shared" si="5"/>
        <v>0</v>
      </c>
      <c r="M37" s="1"/>
      <c r="N37" s="1"/>
      <c r="O37" s="1"/>
      <c r="P37" s="1"/>
      <c r="Q37" s="1"/>
      <c r="R37" s="1"/>
      <c r="S37" s="1"/>
      <c r="T37" s="1"/>
      <c r="U37" s="1"/>
      <c r="V37" s="3"/>
      <c r="W37" s="3"/>
      <c r="X37" s="3"/>
      <c r="Y37" s="3"/>
      <c r="Z37" s="3"/>
    </row>
    <row r="38" spans="1:26" ht="12.75" customHeight="1" x14ac:dyDescent="0.3">
      <c r="A38" s="1"/>
      <c r="B38" s="7"/>
      <c r="C38" s="7"/>
      <c r="D38" s="7"/>
      <c r="E38" s="7"/>
      <c r="F38" s="7"/>
      <c r="G38" s="28">
        <f t="shared" si="0"/>
        <v>0</v>
      </c>
      <c r="H38" s="29" t="str">
        <f t="shared" si="1"/>
        <v xml:space="preserve"> 5300 (Cu)</v>
      </c>
      <c r="I38" s="30">
        <f t="shared" si="2"/>
        <v>6.4999999999999997E-3</v>
      </c>
      <c r="J38" s="30">
        <f t="shared" si="3"/>
        <v>1.1299999999999999E-2</v>
      </c>
      <c r="K38" s="31">
        <f t="shared" si="4"/>
        <v>0</v>
      </c>
      <c r="L38" s="31">
        <f t="shared" si="5"/>
        <v>0</v>
      </c>
      <c r="M38" s="1"/>
      <c r="N38" s="1"/>
      <c r="O38" s="1"/>
      <c r="P38" s="1"/>
      <c r="Q38" s="1"/>
      <c r="R38" s="1"/>
      <c r="S38" s="1"/>
      <c r="T38" s="1"/>
      <c r="U38" s="1"/>
      <c r="V38" s="3"/>
      <c r="W38" s="3"/>
      <c r="X38" s="3"/>
      <c r="Y38" s="3"/>
      <c r="Z38" s="3"/>
    </row>
    <row r="39" spans="1:26" ht="7.5" customHeight="1" x14ac:dyDescent="0.3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"/>
      <c r="N39" s="1"/>
      <c r="O39" s="1"/>
      <c r="P39" s="1"/>
      <c r="Q39" s="1"/>
      <c r="R39" s="1"/>
      <c r="S39" s="1"/>
      <c r="T39" s="1"/>
      <c r="U39" s="1"/>
      <c r="V39" s="3"/>
      <c r="W39" s="3"/>
      <c r="X39" s="3"/>
      <c r="Y39" s="3"/>
      <c r="Z39" s="3"/>
    </row>
    <row r="40" spans="1:26" ht="12.75" customHeight="1" x14ac:dyDescent="0.3">
      <c r="A40" s="1"/>
      <c r="B40" s="2"/>
      <c r="C40" s="8" t="s">
        <v>14</v>
      </c>
      <c r="D40" s="9"/>
      <c r="E40" s="8">
        <f t="shared" ref="E40:F40" si="6">SUM(E9:E38)</f>
        <v>1669.5</v>
      </c>
      <c r="F40" s="8">
        <f t="shared" si="6"/>
        <v>958</v>
      </c>
      <c r="G40" s="10"/>
      <c r="H40" s="8"/>
      <c r="I40" s="8"/>
      <c r="J40" s="8"/>
      <c r="K40" s="10">
        <f t="shared" ref="K40:L40" si="7">SUM(K9:K38)</f>
        <v>14.488510984738959</v>
      </c>
      <c r="L40" s="10">
        <f t="shared" si="7"/>
        <v>3.4912074662021588</v>
      </c>
      <c r="M40" s="1"/>
      <c r="N40" s="1"/>
      <c r="O40" s="1"/>
      <c r="P40" s="1"/>
      <c r="Q40" s="1"/>
      <c r="R40" s="1"/>
      <c r="S40" s="1"/>
      <c r="T40" s="1"/>
      <c r="U40" s="1"/>
      <c r="V40" s="3"/>
      <c r="W40" s="3"/>
      <c r="X40" s="3"/>
      <c r="Y40" s="3"/>
      <c r="Z40" s="3"/>
    </row>
    <row r="41" spans="1:26" ht="6" customHeight="1" x14ac:dyDescent="0.3">
      <c r="A41" s="1"/>
      <c r="B41" s="2"/>
      <c r="C41" s="8"/>
      <c r="D41" s="2"/>
      <c r="E41" s="2"/>
      <c r="F41" s="2"/>
      <c r="G41" s="6"/>
      <c r="H41" s="2"/>
      <c r="I41" s="2"/>
      <c r="J41" s="2"/>
      <c r="K41" s="6"/>
      <c r="L41" s="6"/>
      <c r="M41" s="1"/>
      <c r="N41" s="1"/>
      <c r="O41" s="1"/>
      <c r="P41" s="1"/>
      <c r="Q41" s="1"/>
      <c r="R41" s="1"/>
      <c r="S41" s="1"/>
      <c r="T41" s="1"/>
      <c r="U41" s="1"/>
      <c r="V41" s="3"/>
      <c r="W41" s="3"/>
      <c r="X41" s="3"/>
      <c r="Y41" s="3"/>
      <c r="Z41" s="3"/>
    </row>
    <row r="42" spans="1:26" ht="18" customHeight="1" x14ac:dyDescent="0.3">
      <c r="A42" s="1"/>
      <c r="B42" s="2"/>
      <c r="C42" s="8" t="s">
        <v>15</v>
      </c>
      <c r="D42" s="23" t="str">
        <f>IF(L40&lt;per,"Selected BusBar is Correct","Select Higher Capacity of Busbar")</f>
        <v>Selected BusBar is Correct</v>
      </c>
      <c r="E42" s="20"/>
      <c r="F42" s="20"/>
      <c r="G42" s="21"/>
      <c r="H42" s="2"/>
      <c r="I42" s="2"/>
      <c r="J42" s="2"/>
      <c r="K42" s="2"/>
      <c r="L42" s="2">
        <f>IF(L40&lt;per,1,0)</f>
        <v>1</v>
      </c>
      <c r="M42" s="1"/>
      <c r="N42" s="1"/>
      <c r="O42" s="1"/>
      <c r="P42" s="1"/>
      <c r="Q42" s="1"/>
      <c r="R42" s="1"/>
      <c r="S42" s="1"/>
      <c r="T42" s="1"/>
      <c r="U42" s="1"/>
      <c r="V42" s="3"/>
      <c r="W42" s="3"/>
      <c r="X42" s="3"/>
      <c r="Y42" s="3"/>
      <c r="Z42" s="3"/>
    </row>
    <row r="43" spans="1:26" ht="15.75" customHeight="1" x14ac:dyDescent="0.3">
      <c r="A43" s="1"/>
      <c r="B43" s="2"/>
      <c r="C43" s="8" t="s">
        <v>16</v>
      </c>
      <c r="D43" s="24" t="str">
        <f>IF(L40&lt;per,ROUND(L40,2)&amp;"   (Within Limit)","Voltage Drop is more than Maximum Limit")</f>
        <v>3.49   (Within Limit)</v>
      </c>
      <c r="E43" s="20"/>
      <c r="F43" s="20"/>
      <c r="G43" s="21"/>
      <c r="H43" s="2"/>
      <c r="I43" s="2"/>
      <c r="J43" s="2"/>
      <c r="K43" s="2"/>
      <c r="L43" s="2"/>
      <c r="M43" s="1"/>
      <c r="N43" s="1"/>
      <c r="O43" s="1"/>
      <c r="P43" s="1"/>
      <c r="Q43" s="1"/>
      <c r="R43" s="1"/>
      <c r="S43" s="1"/>
      <c r="T43" s="1"/>
      <c r="U43" s="1"/>
      <c r="V43" s="3"/>
      <c r="W43" s="3"/>
      <c r="X43" s="3"/>
      <c r="Y43" s="3"/>
      <c r="Z43" s="3"/>
    </row>
    <row r="44" spans="1:26" ht="12.75" customHeight="1" x14ac:dyDescent="0.3">
      <c r="A44" s="1"/>
      <c r="B44" s="2"/>
      <c r="C44" s="8"/>
      <c r="D44" s="2"/>
      <c r="E44" s="2"/>
      <c r="F44" s="2"/>
      <c r="G44" s="2"/>
      <c r="H44" s="2"/>
      <c r="I44" s="2"/>
      <c r="J44" s="2"/>
      <c r="K44" s="2"/>
      <c r="L44" s="2"/>
      <c r="M44" s="1"/>
      <c r="N44" s="1"/>
      <c r="O44" s="1"/>
      <c r="P44" s="1"/>
      <c r="Q44" s="1"/>
      <c r="R44" s="1"/>
      <c r="S44" s="1"/>
      <c r="T44" s="1"/>
      <c r="U44" s="1"/>
      <c r="V44" s="3"/>
      <c r="W44" s="3"/>
      <c r="X44" s="3"/>
      <c r="Y44" s="3"/>
      <c r="Z44" s="3"/>
    </row>
    <row r="45" spans="1:26" ht="12.75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"/>
      <c r="N45" s="1"/>
      <c r="O45" s="1"/>
      <c r="P45" s="1"/>
      <c r="Q45" s="1"/>
      <c r="R45" s="1"/>
      <c r="S45" s="1"/>
      <c r="T45" s="1"/>
      <c r="U45" s="1"/>
      <c r="V45" s="3"/>
      <c r="W45" s="3"/>
      <c r="X45" s="3"/>
      <c r="Y45" s="3"/>
      <c r="Z45" s="3"/>
    </row>
    <row r="46" spans="1:26" ht="12.75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"/>
      <c r="N46" s="1"/>
      <c r="O46" s="1"/>
      <c r="P46" s="1"/>
      <c r="Q46" s="1"/>
      <c r="R46" s="1"/>
      <c r="S46" s="1"/>
      <c r="T46" s="1"/>
      <c r="U46" s="1"/>
      <c r="V46" s="3"/>
      <c r="W46" s="3"/>
      <c r="X46" s="3"/>
      <c r="Y46" s="3"/>
      <c r="Z46" s="3"/>
    </row>
    <row r="47" spans="1:26" ht="12.75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"/>
      <c r="N47" s="1"/>
      <c r="O47" s="1"/>
      <c r="P47" s="1"/>
      <c r="Q47" s="1"/>
      <c r="R47" s="1"/>
      <c r="S47" s="1"/>
      <c r="T47" s="1"/>
      <c r="U47" s="1"/>
      <c r="V47" s="3"/>
      <c r="W47" s="3"/>
      <c r="X47" s="3"/>
      <c r="Y47" s="3"/>
      <c r="Z47" s="3"/>
    </row>
    <row r="48" spans="1:26" ht="12.75" customHeight="1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"/>
      <c r="N48" s="1"/>
      <c r="O48" s="1"/>
      <c r="P48" s="1"/>
      <c r="Q48" s="1"/>
      <c r="R48" s="1"/>
      <c r="S48" s="1"/>
      <c r="T48" s="1"/>
      <c r="U48" s="1"/>
      <c r="V48" s="3"/>
      <c r="W48" s="3"/>
      <c r="X48" s="3"/>
      <c r="Y48" s="3"/>
      <c r="Z48" s="3"/>
    </row>
    <row r="49" spans="1:26" ht="12.75" customHeight="1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"/>
      <c r="N49" s="1"/>
      <c r="O49" s="1"/>
      <c r="P49" s="1"/>
      <c r="Q49" s="1"/>
      <c r="R49" s="1"/>
      <c r="S49" s="1"/>
      <c r="T49" s="1"/>
      <c r="U49" s="1"/>
      <c r="V49" s="3"/>
      <c r="W49" s="3"/>
      <c r="X49" s="3"/>
      <c r="Y49" s="3"/>
      <c r="Z49" s="3"/>
    </row>
    <row r="50" spans="1:26" ht="12.75" customHeight="1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"/>
      <c r="N50" s="1"/>
      <c r="O50" s="1"/>
      <c r="P50" s="1"/>
      <c r="Q50" s="1"/>
      <c r="R50" s="1"/>
      <c r="S50" s="1"/>
      <c r="T50" s="1"/>
      <c r="U50" s="1"/>
      <c r="V50" s="3"/>
      <c r="W50" s="3"/>
      <c r="X50" s="3"/>
      <c r="Y50" s="3"/>
      <c r="Z50" s="3"/>
    </row>
    <row r="51" spans="1:26" ht="12.75" customHeight="1" x14ac:dyDescent="0.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"/>
      <c r="N51" s="1"/>
      <c r="O51" s="1"/>
      <c r="P51" s="1"/>
      <c r="Q51" s="1"/>
      <c r="R51" s="1"/>
      <c r="S51" s="1"/>
      <c r="T51" s="1"/>
      <c r="U51" s="1"/>
      <c r="V51" s="3"/>
      <c r="W51" s="3"/>
      <c r="X51" s="3"/>
      <c r="Y51" s="3"/>
      <c r="Z51" s="3"/>
    </row>
    <row r="52" spans="1:26" ht="12.7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"/>
      <c r="N52" s="1"/>
      <c r="O52" s="1"/>
      <c r="P52" s="1"/>
      <c r="Q52" s="1"/>
      <c r="R52" s="1"/>
      <c r="S52" s="1"/>
      <c r="T52" s="1"/>
      <c r="U52" s="1"/>
      <c r="V52" s="3"/>
      <c r="W52" s="3"/>
      <c r="X52" s="3"/>
      <c r="Y52" s="3"/>
      <c r="Z52" s="3"/>
    </row>
    <row r="53" spans="1:26" ht="12.7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"/>
      <c r="N53" s="1"/>
      <c r="O53" s="1"/>
      <c r="P53" s="1"/>
      <c r="Q53" s="1"/>
      <c r="R53" s="1"/>
      <c r="S53" s="1"/>
      <c r="T53" s="1"/>
      <c r="U53" s="1"/>
      <c r="V53" s="3"/>
      <c r="W53" s="3"/>
      <c r="X53" s="3"/>
      <c r="Y53" s="3"/>
      <c r="Z53" s="3"/>
    </row>
    <row r="54" spans="1:26" ht="12.75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"/>
      <c r="N54" s="1"/>
      <c r="O54" s="1"/>
      <c r="P54" s="1"/>
      <c r="Q54" s="1"/>
      <c r="R54" s="1"/>
      <c r="S54" s="1"/>
      <c r="T54" s="1"/>
      <c r="U54" s="1"/>
      <c r="V54" s="3"/>
      <c r="W54" s="3"/>
      <c r="X54" s="3"/>
      <c r="Y54" s="3"/>
      <c r="Z54" s="3"/>
    </row>
    <row r="55" spans="1:26" ht="12.75" customHeight="1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"/>
      <c r="N55" s="1"/>
      <c r="O55" s="1"/>
      <c r="P55" s="1"/>
      <c r="Q55" s="1"/>
      <c r="R55" s="1"/>
      <c r="S55" s="1"/>
      <c r="T55" s="1"/>
      <c r="U55" s="1"/>
      <c r="V55" s="3"/>
      <c r="W55" s="3"/>
      <c r="X55" s="3"/>
      <c r="Y55" s="3"/>
      <c r="Z55" s="3"/>
    </row>
    <row r="56" spans="1:26" ht="12.75" customHeight="1" x14ac:dyDescent="0.3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"/>
      <c r="N56" s="1"/>
      <c r="O56" s="1"/>
      <c r="P56" s="1"/>
      <c r="Q56" s="1"/>
      <c r="R56" s="1"/>
      <c r="S56" s="1"/>
      <c r="T56" s="1"/>
      <c r="U56" s="1"/>
      <c r="V56" s="3"/>
      <c r="W56" s="3"/>
      <c r="X56" s="3"/>
      <c r="Y56" s="3"/>
      <c r="Z56" s="3"/>
    </row>
    <row r="57" spans="1:26" ht="12.75" customHeight="1" x14ac:dyDescent="0.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"/>
      <c r="N57" s="1"/>
      <c r="O57" s="1"/>
      <c r="P57" s="1"/>
      <c r="Q57" s="1"/>
      <c r="R57" s="1"/>
      <c r="S57" s="1"/>
      <c r="T57" s="1"/>
      <c r="U57" s="1"/>
      <c r="V57" s="3"/>
      <c r="W57" s="3"/>
      <c r="X57" s="3"/>
      <c r="Y57" s="3"/>
      <c r="Z57" s="3"/>
    </row>
    <row r="58" spans="1:26" ht="12.75" customHeight="1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"/>
      <c r="N58" s="1"/>
      <c r="O58" s="1"/>
      <c r="P58" s="1"/>
      <c r="Q58" s="1"/>
      <c r="R58" s="1"/>
      <c r="S58" s="1"/>
      <c r="T58" s="1"/>
      <c r="U58" s="1"/>
      <c r="V58" s="3"/>
      <c r="W58" s="3"/>
      <c r="X58" s="3"/>
      <c r="Y58" s="3"/>
      <c r="Z58" s="3"/>
    </row>
    <row r="59" spans="1:26" ht="12.75" customHeight="1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"/>
      <c r="N59" s="1"/>
      <c r="O59" s="1"/>
      <c r="P59" s="1"/>
      <c r="Q59" s="1"/>
      <c r="R59" s="1"/>
      <c r="S59" s="1"/>
      <c r="T59" s="1"/>
      <c r="U59" s="1"/>
      <c r="V59" s="3"/>
      <c r="W59" s="3"/>
      <c r="X59" s="3"/>
      <c r="Y59" s="3"/>
      <c r="Z59" s="3"/>
    </row>
    <row r="60" spans="1:26" ht="12.7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"/>
      <c r="N60" s="1"/>
      <c r="O60" s="1"/>
      <c r="P60" s="1"/>
      <c r="Q60" s="1"/>
      <c r="R60" s="1"/>
      <c r="S60" s="1"/>
      <c r="T60" s="1"/>
      <c r="U60" s="1"/>
      <c r="V60" s="3"/>
      <c r="W60" s="3"/>
      <c r="X60" s="3"/>
      <c r="Y60" s="3"/>
      <c r="Z60" s="3"/>
    </row>
    <row r="61" spans="1:26" ht="12.7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"/>
      <c r="N61" s="1"/>
      <c r="O61" s="1"/>
      <c r="P61" s="1"/>
      <c r="Q61" s="1"/>
      <c r="R61" s="1"/>
      <c r="S61" s="1"/>
      <c r="T61" s="1"/>
      <c r="U61" s="1"/>
      <c r="V61" s="3"/>
      <c r="W61" s="3"/>
      <c r="X61" s="3"/>
      <c r="Y61" s="3"/>
      <c r="Z61" s="3"/>
    </row>
    <row r="62" spans="1:26" ht="12.7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"/>
      <c r="N62" s="1"/>
      <c r="O62" s="1"/>
      <c r="P62" s="1"/>
      <c r="Q62" s="1"/>
      <c r="R62" s="1"/>
      <c r="S62" s="1"/>
      <c r="T62" s="1"/>
      <c r="U62" s="1"/>
      <c r="V62" s="3"/>
      <c r="W62" s="3"/>
      <c r="X62" s="3"/>
      <c r="Y62" s="3"/>
      <c r="Z62" s="3"/>
    </row>
    <row r="63" spans="1:26" ht="12.7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"/>
      <c r="N63" s="1"/>
      <c r="O63" s="1"/>
      <c r="P63" s="1"/>
      <c r="Q63" s="1"/>
      <c r="R63" s="1"/>
      <c r="S63" s="1"/>
      <c r="T63" s="1"/>
      <c r="U63" s="1"/>
      <c r="V63" s="3"/>
      <c r="W63" s="3"/>
      <c r="X63" s="3"/>
      <c r="Y63" s="3"/>
      <c r="Z63" s="3"/>
    </row>
    <row r="64" spans="1:26" ht="12.7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"/>
      <c r="N64" s="1"/>
      <c r="O64" s="1"/>
      <c r="P64" s="1"/>
      <c r="Q64" s="1"/>
      <c r="R64" s="1"/>
      <c r="S64" s="1"/>
      <c r="T64" s="1"/>
      <c r="U64" s="1"/>
      <c r="V64" s="3"/>
      <c r="W64" s="3"/>
      <c r="X64" s="3"/>
      <c r="Y64" s="3"/>
      <c r="Z64" s="3"/>
    </row>
    <row r="65" spans="1:26" ht="12.7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"/>
      <c r="N65" s="1"/>
      <c r="O65" s="1"/>
      <c r="P65" s="1"/>
      <c r="Q65" s="1"/>
      <c r="R65" s="1"/>
      <c r="S65" s="1"/>
      <c r="T65" s="1"/>
      <c r="U65" s="1"/>
      <c r="V65" s="3"/>
      <c r="W65" s="3"/>
      <c r="X65" s="3"/>
      <c r="Y65" s="3"/>
      <c r="Z65" s="3"/>
    </row>
    <row r="66" spans="1:26" ht="12.7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"/>
      <c r="N66" s="1"/>
      <c r="O66" s="1"/>
      <c r="P66" s="1"/>
      <c r="Q66" s="1"/>
      <c r="R66" s="1"/>
      <c r="S66" s="1"/>
      <c r="T66" s="1"/>
      <c r="U66" s="1"/>
      <c r="V66" s="3"/>
      <c r="W66" s="3"/>
      <c r="X66" s="3"/>
      <c r="Y66" s="3"/>
      <c r="Z66" s="3"/>
    </row>
    <row r="67" spans="1:26" ht="12.7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"/>
      <c r="N67" s="1"/>
      <c r="O67" s="1"/>
      <c r="P67" s="1"/>
      <c r="Q67" s="1"/>
      <c r="R67" s="1"/>
      <c r="S67" s="1"/>
      <c r="T67" s="1"/>
      <c r="U67" s="1"/>
      <c r="V67" s="3"/>
      <c r="W67" s="3"/>
      <c r="X67" s="3"/>
      <c r="Y67" s="3"/>
      <c r="Z67" s="3"/>
    </row>
    <row r="68" spans="1:26" ht="12.7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"/>
      <c r="N68" s="1"/>
      <c r="O68" s="1"/>
      <c r="P68" s="1"/>
      <c r="Q68" s="1"/>
      <c r="R68" s="1"/>
      <c r="S68" s="1"/>
      <c r="T68" s="1"/>
      <c r="U68" s="1"/>
      <c r="V68" s="3"/>
      <c r="W68" s="3"/>
      <c r="X68" s="3"/>
      <c r="Y68" s="3"/>
      <c r="Z68" s="3"/>
    </row>
    <row r="69" spans="1:26" ht="12.7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"/>
      <c r="N69" s="1"/>
      <c r="O69" s="1"/>
      <c r="P69" s="1"/>
      <c r="Q69" s="1"/>
      <c r="R69" s="1"/>
      <c r="S69" s="1"/>
      <c r="T69" s="1"/>
      <c r="U69" s="1"/>
      <c r="V69" s="3"/>
      <c r="W69" s="3"/>
      <c r="X69" s="3"/>
      <c r="Y69" s="3"/>
      <c r="Z69" s="3"/>
    </row>
    <row r="70" spans="1:26" ht="12.7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"/>
      <c r="N70" s="1"/>
      <c r="O70" s="1"/>
      <c r="P70" s="1"/>
      <c r="Q70" s="1"/>
      <c r="R70" s="1"/>
      <c r="S70" s="1"/>
      <c r="T70" s="1"/>
      <c r="U70" s="1"/>
      <c r="V70" s="3"/>
      <c r="W70" s="3"/>
      <c r="X70" s="3"/>
      <c r="Y70" s="3"/>
      <c r="Z70" s="3"/>
    </row>
    <row r="71" spans="1:26" ht="12.7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"/>
      <c r="N71" s="1"/>
      <c r="O71" s="1"/>
      <c r="P71" s="1"/>
      <c r="Q71" s="1"/>
      <c r="R71" s="1"/>
      <c r="S71" s="1"/>
      <c r="T71" s="1"/>
      <c r="U71" s="1"/>
      <c r="V71" s="3"/>
      <c r="W71" s="3"/>
      <c r="X71" s="3"/>
      <c r="Y71" s="3"/>
      <c r="Z71" s="3"/>
    </row>
    <row r="72" spans="1:26" ht="12.75" customHeight="1" x14ac:dyDescent="0.3">
      <c r="A72" s="3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3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3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3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3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3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3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3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3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3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3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3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3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3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3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3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3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3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3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3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3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3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3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3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3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3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3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3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3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3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3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3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3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3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3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3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3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3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3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3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3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3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3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3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3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3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3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3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3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3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3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3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3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3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3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3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3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3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3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3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3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3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3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3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3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3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3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3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3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3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3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3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3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3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3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3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3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3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3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3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3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3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3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3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3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3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3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3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3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3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3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3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3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3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3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3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3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3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3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3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3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3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3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3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3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3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3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3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3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3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3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3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3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3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3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3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3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3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3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3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3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3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3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3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3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3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3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3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3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3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3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3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3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3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3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3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3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3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3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3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3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3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3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3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3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3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3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3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3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3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3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3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3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3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3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3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3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3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3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3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3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3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3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3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3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3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3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3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3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3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3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3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3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3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3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3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3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3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3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3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3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3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3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3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3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3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3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3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3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3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3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3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3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3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3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3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3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3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3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3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3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3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3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3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3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3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3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3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3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3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3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3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3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3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3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3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3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3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3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3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3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3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3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3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3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3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3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3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3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3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3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3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3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3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3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3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3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3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3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3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3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3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3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3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3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3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3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3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3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3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3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3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3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3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3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3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3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3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3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3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3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3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3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3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3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3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3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3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3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3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3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3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3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3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3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3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3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3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3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3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3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3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3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3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3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3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3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3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3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3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3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3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3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3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3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3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3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3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3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3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3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3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3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3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3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3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3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3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3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3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3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3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3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3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3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3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3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3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3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3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3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3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3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3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3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3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3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3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3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3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3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3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3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3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3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3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3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3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3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3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3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3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3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3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3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3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3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3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3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3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3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3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3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3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3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3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3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3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3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3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3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3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3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3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3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3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3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3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3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3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3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3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3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3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3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3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3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3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3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3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3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3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3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3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3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3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3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3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3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3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3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3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3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3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3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3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3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3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3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3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3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3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3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3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3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3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3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3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3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3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3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3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3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3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3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3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3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3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3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3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3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3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3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3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3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3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3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3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3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3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3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3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3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3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3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3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3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3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3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3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3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3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3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3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3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3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3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3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3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3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3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3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3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3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3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3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3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3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3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3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3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3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3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3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3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3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3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3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3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3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3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3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3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3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3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3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3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3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3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3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3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3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3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3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3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3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3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3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3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3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3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3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3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3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3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3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3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3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3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3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3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3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3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3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3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3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3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3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3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3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3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3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3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3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3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3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3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3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3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3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3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3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3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3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3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3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3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3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3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3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3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3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3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3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3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3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3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3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3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3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3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3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3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3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3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3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3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3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3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3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3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3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3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3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3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3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3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3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3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3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3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3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3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3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3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3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3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3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3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3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3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3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3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3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3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3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3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3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3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3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3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3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3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3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3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3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3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3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3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3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3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3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3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3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3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3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3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3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3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3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3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3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3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3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3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3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3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3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3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3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3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3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3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3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3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3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3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3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3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3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3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3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3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3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3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3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3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3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3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3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3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3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3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3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3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3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3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3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3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3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3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3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3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3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3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3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3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3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3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3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3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3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3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3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3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3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3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3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3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3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3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3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3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3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3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3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3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3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3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3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3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3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3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3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3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3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3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3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3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3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3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3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3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3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3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3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3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3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3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3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3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3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3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3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3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3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3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3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3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3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3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3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3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3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3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3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3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">
      <c r="A979" s="3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">
      <c r="A980" s="3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">
      <c r="A981" s="3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">
      <c r="A982" s="3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">
      <c r="A983" s="3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">
      <c r="A984" s="3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">
      <c r="A985" s="3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">
      <c r="A986" s="3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">
      <c r="A987" s="3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">
      <c r="A988" s="3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">
      <c r="A989" s="3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">
      <c r="A990" s="3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">
      <c r="A991" s="3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">
      <c r="A992" s="3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">
      <c r="A993" s="3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">
      <c r="A994" s="3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">
      <c r="A995" s="3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">
      <c r="A996" s="3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">
      <c r="A997" s="3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3">
      <c r="A998" s="3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3">
      <c r="A999" s="3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3">
      <c r="A1000" s="3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5">
    <mergeCell ref="L7:L8"/>
    <mergeCell ref="E7:E8"/>
    <mergeCell ref="F7:F8"/>
    <mergeCell ref="D42:G42"/>
    <mergeCell ref="D43:G43"/>
    <mergeCell ref="G7:G8"/>
    <mergeCell ref="I7:I8"/>
    <mergeCell ref="J7:J8"/>
    <mergeCell ref="K7:K8"/>
    <mergeCell ref="C1:H1"/>
    <mergeCell ref="B5:C5"/>
    <mergeCell ref="B7:B8"/>
    <mergeCell ref="C7:C8"/>
    <mergeCell ref="D7:D8"/>
    <mergeCell ref="B3:L3"/>
  </mergeCells>
  <conditionalFormatting sqref="D42:G43">
    <cfRule type="expression" dxfId="1" priority="1">
      <formula>$L$42=0</formula>
    </cfRule>
    <cfRule type="expression" dxfId="0" priority="2">
      <formula>$L$42=1</formula>
    </cfRule>
  </conditionalFormatting>
  <hyperlinks>
    <hyperlink ref="L1" r:id="rId1" xr:uid="{96912E0B-E4AB-4ED3-B5D3-2A7FAFDC1F8D}"/>
  </hyperlinks>
  <pageMargins left="0.7" right="0.7" top="0.75" bottom="0.75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8" topLeftCell="A9" activePane="bottomLeft" state="frozen"/>
      <selection pane="bottomLeft" activeCell="D16" sqref="D16"/>
    </sheetView>
  </sheetViews>
  <sheetFormatPr defaultColWidth="14.44140625" defaultRowHeight="15" customHeight="1" x14ac:dyDescent="0.3"/>
  <cols>
    <col min="1" max="1" width="7" customWidth="1"/>
    <col min="2" max="2" width="9.109375" customWidth="1"/>
    <col min="3" max="3" width="14.44140625" customWidth="1"/>
    <col min="4" max="4" width="26.44140625" customWidth="1"/>
    <col min="5" max="5" width="24.109375" customWidth="1"/>
    <col min="6" max="6" width="17.109375" customWidth="1"/>
    <col min="7" max="7" width="18.88671875" customWidth="1"/>
    <col min="8" max="17" width="9.109375" customWidth="1"/>
    <col min="18" max="26" width="8" customWidth="1"/>
  </cols>
  <sheetData>
    <row r="1" spans="1:26" s="51" customFormat="1" ht="12.75" customHeight="1" x14ac:dyDescent="0.3">
      <c r="A1" s="44"/>
      <c r="B1" s="44"/>
      <c r="C1" s="44"/>
      <c r="D1" s="44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50"/>
      <c r="S1" s="50"/>
      <c r="T1" s="50"/>
      <c r="U1" s="50"/>
      <c r="V1" s="50"/>
      <c r="W1" s="50"/>
      <c r="X1" s="50"/>
      <c r="Y1" s="50"/>
      <c r="Z1" s="50"/>
    </row>
    <row r="2" spans="1:26" s="51" customFormat="1" ht="12.75" customHeight="1" thickBot="1" x14ac:dyDescent="0.35">
      <c r="A2" s="44"/>
      <c r="B2" s="55" t="s">
        <v>17</v>
      </c>
      <c r="C2" s="48"/>
      <c r="D2" s="44"/>
      <c r="E2" s="49"/>
      <c r="F2" s="49"/>
      <c r="G2" s="49"/>
      <c r="H2" s="49"/>
      <c r="I2" s="49"/>
      <c r="J2" s="49"/>
      <c r="K2" s="56" t="s">
        <v>40</v>
      </c>
      <c r="L2" s="49"/>
      <c r="M2" s="49"/>
      <c r="N2" s="49"/>
      <c r="O2" s="49"/>
      <c r="P2" s="49"/>
      <c r="Q2" s="49"/>
      <c r="R2" s="50"/>
      <c r="S2" s="50"/>
      <c r="T2" s="50"/>
      <c r="U2" s="50"/>
      <c r="V2" s="50"/>
      <c r="W2" s="50"/>
      <c r="X2" s="50"/>
      <c r="Y2" s="50"/>
      <c r="Z2" s="50"/>
    </row>
    <row r="3" spans="1:26" s="51" customFormat="1" ht="12.75" customHeight="1" thickBot="1" x14ac:dyDescent="0.35">
      <c r="A3" s="44"/>
      <c r="B3" s="44" t="s">
        <v>18</v>
      </c>
      <c r="C3" s="40">
        <v>0.9</v>
      </c>
      <c r="D3" s="44"/>
      <c r="E3" s="49"/>
      <c r="F3" s="49" t="s">
        <v>19</v>
      </c>
      <c r="G3" s="43">
        <v>4</v>
      </c>
      <c r="H3" s="49" t="s">
        <v>20</v>
      </c>
      <c r="I3" s="49"/>
      <c r="J3" s="49"/>
      <c r="K3" s="49" t="s">
        <v>41</v>
      </c>
      <c r="L3" s="49"/>
      <c r="M3" s="49"/>
      <c r="N3" s="49"/>
      <c r="O3" s="49"/>
      <c r="P3" s="49"/>
      <c r="Q3" s="49"/>
      <c r="R3" s="50"/>
      <c r="S3" s="50"/>
      <c r="T3" s="50"/>
      <c r="U3" s="50"/>
      <c r="V3" s="50"/>
      <c r="W3" s="50"/>
      <c r="X3" s="50"/>
      <c r="Y3" s="50"/>
      <c r="Z3" s="50"/>
    </row>
    <row r="4" spans="1:26" s="51" customFormat="1" ht="12.75" customHeight="1" x14ac:dyDescent="0.3">
      <c r="A4" s="44"/>
      <c r="B4" s="44" t="s">
        <v>21</v>
      </c>
      <c r="C4" s="41">
        <v>0.44</v>
      </c>
      <c r="D4" s="44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50"/>
      <c r="S4" s="50"/>
      <c r="T4" s="50"/>
      <c r="U4" s="50"/>
      <c r="V4" s="50"/>
      <c r="W4" s="50"/>
      <c r="X4" s="50"/>
      <c r="Y4" s="50"/>
      <c r="Z4" s="50"/>
    </row>
    <row r="5" spans="1:26" s="51" customFormat="1" ht="12.75" customHeight="1" x14ac:dyDescent="0.3">
      <c r="A5" s="44"/>
      <c r="B5" s="44" t="s">
        <v>22</v>
      </c>
      <c r="C5" s="41">
        <v>0.8</v>
      </c>
      <c r="D5" s="44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50"/>
      <c r="S5" s="50"/>
      <c r="T5" s="50"/>
      <c r="U5" s="50"/>
      <c r="V5" s="50"/>
      <c r="W5" s="50"/>
      <c r="X5" s="50"/>
      <c r="Y5" s="50"/>
      <c r="Z5" s="50"/>
    </row>
    <row r="6" spans="1:26" s="51" customFormat="1" ht="12.75" customHeight="1" thickBot="1" x14ac:dyDescent="0.35">
      <c r="A6" s="54">
        <v>2</v>
      </c>
      <c r="B6" s="45" t="s">
        <v>23</v>
      </c>
      <c r="C6" s="42">
        <v>415</v>
      </c>
      <c r="D6" s="52"/>
      <c r="E6" s="53"/>
      <c r="F6" s="52"/>
      <c r="G6" s="52"/>
      <c r="H6" s="49"/>
      <c r="I6" s="49"/>
      <c r="J6" s="49"/>
      <c r="K6" s="49"/>
      <c r="L6" s="49"/>
      <c r="M6" s="49"/>
      <c r="N6" s="49"/>
      <c r="O6" s="49"/>
      <c r="P6" s="49"/>
      <c r="Q6" s="49"/>
      <c r="R6" s="50"/>
      <c r="S6" s="50"/>
      <c r="T6" s="50"/>
      <c r="U6" s="50"/>
      <c r="V6" s="50"/>
      <c r="W6" s="50"/>
      <c r="X6" s="50"/>
      <c r="Y6" s="50"/>
      <c r="Z6" s="50"/>
    </row>
    <row r="7" spans="1:26" s="51" customFormat="1" ht="13.5" customHeight="1" thickBot="1" x14ac:dyDescent="0.35">
      <c r="A7" s="44"/>
      <c r="B7" s="45"/>
      <c r="C7" s="46" t="s">
        <v>24</v>
      </c>
      <c r="D7" s="47"/>
      <c r="E7" s="47"/>
      <c r="F7" s="47"/>
      <c r="G7" s="48"/>
      <c r="H7" s="49"/>
      <c r="I7" s="49"/>
      <c r="J7" s="49"/>
      <c r="K7" s="49"/>
      <c r="L7" s="49"/>
      <c r="M7" s="49"/>
      <c r="N7" s="49"/>
      <c r="O7" s="49"/>
      <c r="P7" s="49"/>
      <c r="Q7" s="49"/>
      <c r="R7" s="50"/>
      <c r="S7" s="50"/>
      <c r="T7" s="50"/>
      <c r="U7" s="50"/>
      <c r="V7" s="50"/>
      <c r="W7" s="50"/>
      <c r="X7" s="50"/>
      <c r="Y7" s="50"/>
      <c r="Z7" s="50"/>
    </row>
    <row r="8" spans="1:26" s="51" customFormat="1" ht="18" customHeight="1" x14ac:dyDescent="0.3">
      <c r="A8" s="57">
        <f>(Data!F40)/((SQRT(3)*volt*cos)/1000)</f>
        <v>1480.8609314154257</v>
      </c>
      <c r="B8" s="58" t="s">
        <v>25</v>
      </c>
      <c r="C8" s="59" t="s">
        <v>26</v>
      </c>
      <c r="D8" s="59" t="s">
        <v>27</v>
      </c>
      <c r="E8" s="60"/>
      <c r="F8" s="59" t="s">
        <v>28</v>
      </c>
      <c r="G8" s="61" t="s">
        <v>29</v>
      </c>
      <c r="H8" s="49"/>
      <c r="I8" s="49"/>
      <c r="J8" s="49"/>
      <c r="K8" s="49"/>
      <c r="L8" s="49"/>
      <c r="M8" s="49"/>
      <c r="N8" s="49"/>
      <c r="O8" s="49"/>
      <c r="P8" s="49"/>
      <c r="Q8" s="49"/>
      <c r="R8" s="50"/>
      <c r="S8" s="50"/>
      <c r="T8" s="50"/>
      <c r="U8" s="50"/>
      <c r="V8" s="50"/>
      <c r="W8" s="50"/>
      <c r="X8" s="50"/>
      <c r="Y8" s="50"/>
      <c r="Z8" s="50"/>
    </row>
    <row r="9" spans="1:26" ht="12.75" customHeight="1" x14ac:dyDescent="0.3">
      <c r="A9" s="62"/>
      <c r="B9" s="66">
        <v>1</v>
      </c>
      <c r="C9" s="12" t="s">
        <v>30</v>
      </c>
      <c r="D9" s="12">
        <v>6300</v>
      </c>
      <c r="E9" s="64" t="str">
        <f t="shared" ref="E9:E58" si="0">IF(C9="","",IF($A$8&lt;D9,C9,"Increase (A) rating"))</f>
        <v xml:space="preserve"> 6300 (Cu)</v>
      </c>
      <c r="F9" s="13">
        <v>5.3E-3</v>
      </c>
      <c r="G9" s="33">
        <v>1.06E-2</v>
      </c>
      <c r="H9" s="63"/>
      <c r="I9" s="63"/>
      <c r="J9" s="63"/>
      <c r="K9" s="63"/>
      <c r="L9" s="63"/>
      <c r="M9" s="63"/>
      <c r="N9" s="63"/>
      <c r="O9" s="63"/>
      <c r="P9" s="63"/>
      <c r="Q9" s="6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62"/>
      <c r="B10" s="66">
        <v>2</v>
      </c>
      <c r="C10" s="4" t="s">
        <v>31</v>
      </c>
      <c r="D10" s="12">
        <v>5300</v>
      </c>
      <c r="E10" s="64" t="str">
        <f t="shared" si="0"/>
        <v xml:space="preserve"> 5300 (Cu)</v>
      </c>
      <c r="F10" s="14">
        <v>6.4999999999999997E-3</v>
      </c>
      <c r="G10" s="34">
        <v>1.1299999999999999E-2</v>
      </c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62"/>
      <c r="B11" s="66">
        <v>3</v>
      </c>
      <c r="C11" s="4" t="s">
        <v>32</v>
      </c>
      <c r="D11" s="12">
        <v>4400</v>
      </c>
      <c r="E11" s="64" t="str">
        <f t="shared" si="0"/>
        <v xml:space="preserve"> 4400 (Cu)</v>
      </c>
      <c r="F11" s="14">
        <v>8.5000000000000006E-3</v>
      </c>
      <c r="G11" s="34">
        <v>1.2999999999999999E-2</v>
      </c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62"/>
      <c r="B12" s="66">
        <v>4</v>
      </c>
      <c r="C12" s="4" t="s">
        <v>33</v>
      </c>
      <c r="D12" s="12">
        <v>3600</v>
      </c>
      <c r="E12" s="64" t="str">
        <f t="shared" si="0"/>
        <v>3600 (Cu)</v>
      </c>
      <c r="F12" s="14">
        <v>9.7999999999999997E-3</v>
      </c>
      <c r="G12" s="34">
        <v>1.4800000000000001E-2</v>
      </c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62"/>
      <c r="B13" s="66">
        <v>5</v>
      </c>
      <c r="C13" s="4" t="s">
        <v>34</v>
      </c>
      <c r="D13" s="12">
        <v>3000</v>
      </c>
      <c r="E13" s="64" t="str">
        <f t="shared" si="0"/>
        <v>3000 (Cu)</v>
      </c>
      <c r="F13" s="14">
        <v>1.2800000000000001E-2</v>
      </c>
      <c r="G13" s="34">
        <v>1.84E-2</v>
      </c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62"/>
      <c r="B14" s="66">
        <v>6</v>
      </c>
      <c r="C14" s="4" t="s">
        <v>35</v>
      </c>
      <c r="D14" s="12">
        <v>2500</v>
      </c>
      <c r="E14" s="64" t="str">
        <f t="shared" si="0"/>
        <v xml:space="preserve"> 2500 (Cu)</v>
      </c>
      <c r="F14" s="14">
        <v>1.7000000000000001E-2</v>
      </c>
      <c r="G14" s="34">
        <v>2.3199999999999998E-2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62"/>
      <c r="B15" s="66">
        <v>7</v>
      </c>
      <c r="C15" s="4" t="s">
        <v>36</v>
      </c>
      <c r="D15" s="12">
        <v>2000</v>
      </c>
      <c r="E15" s="64" t="str">
        <f t="shared" si="0"/>
        <v>2000 (Cu)</v>
      </c>
      <c r="F15" s="14">
        <v>1.9599999999999999E-2</v>
      </c>
      <c r="G15" s="34">
        <v>2.6100000000000002E-2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62"/>
      <c r="B16" s="66">
        <v>8</v>
      </c>
      <c r="C16" s="4" t="s">
        <v>37</v>
      </c>
      <c r="D16" s="12">
        <v>1600</v>
      </c>
      <c r="E16" s="64" t="str">
        <f t="shared" si="0"/>
        <v>1600 (Cu)</v>
      </c>
      <c r="F16" s="14">
        <v>2.5499999999999998E-2</v>
      </c>
      <c r="G16" s="34">
        <v>3.3599999999999998E-2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3">
      <c r="A17" s="62"/>
      <c r="B17" s="66">
        <v>9</v>
      </c>
      <c r="C17" s="4" t="s">
        <v>38</v>
      </c>
      <c r="D17" s="12">
        <v>1250</v>
      </c>
      <c r="E17" s="64" t="str">
        <f t="shared" si="0"/>
        <v>Increase (A) rating</v>
      </c>
      <c r="F17" s="14">
        <v>3.4000000000000002E-2</v>
      </c>
      <c r="G17" s="34">
        <v>4.3799999999999999E-2</v>
      </c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3">
      <c r="A18" s="62"/>
      <c r="B18" s="66">
        <v>10</v>
      </c>
      <c r="C18" s="4" t="s">
        <v>39</v>
      </c>
      <c r="D18" s="12">
        <v>1000</v>
      </c>
      <c r="E18" s="64" t="str">
        <f t="shared" si="0"/>
        <v>Increase (A) rating</v>
      </c>
      <c r="F18" s="14">
        <v>3.9699999999999999E-2</v>
      </c>
      <c r="G18" s="34">
        <v>4.3200000000000002E-2</v>
      </c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3">
      <c r="A19" s="62"/>
      <c r="B19" s="66">
        <v>11</v>
      </c>
      <c r="C19" s="4"/>
      <c r="D19" s="12"/>
      <c r="E19" s="64" t="str">
        <f t="shared" si="0"/>
        <v/>
      </c>
      <c r="F19" s="15"/>
      <c r="G19" s="35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3">
      <c r="A20" s="62"/>
      <c r="B20" s="66">
        <v>12</v>
      </c>
      <c r="C20" s="4"/>
      <c r="D20" s="12"/>
      <c r="E20" s="64" t="str">
        <f t="shared" si="0"/>
        <v/>
      </c>
      <c r="F20" s="14"/>
      <c r="G20" s="34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3">
      <c r="A21" s="62"/>
      <c r="B21" s="66">
        <v>13</v>
      </c>
      <c r="C21" s="4"/>
      <c r="D21" s="12"/>
      <c r="E21" s="64" t="str">
        <f t="shared" si="0"/>
        <v/>
      </c>
      <c r="F21" s="14"/>
      <c r="G21" s="34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3">
      <c r="A22" s="62"/>
      <c r="B22" s="66">
        <v>14</v>
      </c>
      <c r="C22" s="4"/>
      <c r="D22" s="12"/>
      <c r="E22" s="64" t="str">
        <f t="shared" si="0"/>
        <v/>
      </c>
      <c r="F22" s="14"/>
      <c r="G22" s="34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62"/>
      <c r="B23" s="66">
        <v>15</v>
      </c>
      <c r="C23" s="4"/>
      <c r="D23" s="12"/>
      <c r="E23" s="64" t="str">
        <f t="shared" si="0"/>
        <v/>
      </c>
      <c r="F23" s="15"/>
      <c r="G23" s="35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62"/>
      <c r="B24" s="66">
        <v>16</v>
      </c>
      <c r="C24" s="4"/>
      <c r="D24" s="12"/>
      <c r="E24" s="64" t="str">
        <f t="shared" si="0"/>
        <v/>
      </c>
      <c r="F24" s="14"/>
      <c r="G24" s="34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62"/>
      <c r="B25" s="66">
        <v>17</v>
      </c>
      <c r="C25" s="4"/>
      <c r="D25" s="12"/>
      <c r="E25" s="64" t="str">
        <f t="shared" si="0"/>
        <v/>
      </c>
      <c r="F25" s="14"/>
      <c r="G25" s="34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62"/>
      <c r="B26" s="66">
        <v>18</v>
      </c>
      <c r="C26" s="4"/>
      <c r="D26" s="12"/>
      <c r="E26" s="64" t="str">
        <f t="shared" si="0"/>
        <v/>
      </c>
      <c r="F26" s="14"/>
      <c r="G26" s="34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62"/>
      <c r="B27" s="66">
        <v>19</v>
      </c>
      <c r="C27" s="4"/>
      <c r="D27" s="12"/>
      <c r="E27" s="64" t="str">
        <f t="shared" si="0"/>
        <v/>
      </c>
      <c r="F27" s="14"/>
      <c r="G27" s="34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62"/>
      <c r="B28" s="66">
        <v>20</v>
      </c>
      <c r="C28" s="4"/>
      <c r="D28" s="12"/>
      <c r="E28" s="64" t="str">
        <f t="shared" si="0"/>
        <v/>
      </c>
      <c r="F28" s="14"/>
      <c r="G28" s="34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62"/>
      <c r="B29" s="66">
        <v>21</v>
      </c>
      <c r="C29" s="4"/>
      <c r="D29" s="12"/>
      <c r="E29" s="64" t="str">
        <f t="shared" si="0"/>
        <v/>
      </c>
      <c r="F29" s="14"/>
      <c r="G29" s="34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62"/>
      <c r="B30" s="66">
        <v>22</v>
      </c>
      <c r="C30" s="4"/>
      <c r="D30" s="12"/>
      <c r="E30" s="64" t="str">
        <f t="shared" si="0"/>
        <v/>
      </c>
      <c r="F30" s="14"/>
      <c r="G30" s="34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62"/>
      <c r="B31" s="66">
        <v>23</v>
      </c>
      <c r="C31" s="4"/>
      <c r="D31" s="12"/>
      <c r="E31" s="64" t="str">
        <f t="shared" si="0"/>
        <v/>
      </c>
      <c r="F31" s="15"/>
      <c r="G31" s="35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62"/>
      <c r="B32" s="66">
        <v>24</v>
      </c>
      <c r="C32" s="4"/>
      <c r="D32" s="12"/>
      <c r="E32" s="64" t="str">
        <f t="shared" si="0"/>
        <v/>
      </c>
      <c r="F32" s="15"/>
      <c r="G32" s="35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62"/>
      <c r="B33" s="66">
        <v>25</v>
      </c>
      <c r="C33" s="4"/>
      <c r="D33" s="12"/>
      <c r="E33" s="64" t="str">
        <f t="shared" si="0"/>
        <v/>
      </c>
      <c r="F33" s="15"/>
      <c r="G33" s="35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62"/>
      <c r="B34" s="66">
        <v>26</v>
      </c>
      <c r="C34" s="4"/>
      <c r="D34" s="12"/>
      <c r="E34" s="64" t="str">
        <f t="shared" si="0"/>
        <v/>
      </c>
      <c r="F34" s="15"/>
      <c r="G34" s="35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62"/>
      <c r="B35" s="66">
        <v>27</v>
      </c>
      <c r="C35" s="4"/>
      <c r="D35" s="12"/>
      <c r="E35" s="64" t="str">
        <f t="shared" si="0"/>
        <v/>
      </c>
      <c r="F35" s="15"/>
      <c r="G35" s="35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62"/>
      <c r="B36" s="66">
        <v>28</v>
      </c>
      <c r="C36" s="4"/>
      <c r="D36" s="12"/>
      <c r="E36" s="64" t="str">
        <f t="shared" si="0"/>
        <v/>
      </c>
      <c r="F36" s="15"/>
      <c r="G36" s="35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62"/>
      <c r="B37" s="66">
        <v>29</v>
      </c>
      <c r="C37" s="4"/>
      <c r="D37" s="12"/>
      <c r="E37" s="64" t="str">
        <f t="shared" si="0"/>
        <v/>
      </c>
      <c r="F37" s="15"/>
      <c r="G37" s="34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62"/>
      <c r="B38" s="66">
        <v>30</v>
      </c>
      <c r="C38" s="4"/>
      <c r="D38" s="12"/>
      <c r="E38" s="64" t="str">
        <f t="shared" si="0"/>
        <v/>
      </c>
      <c r="F38" s="15"/>
      <c r="G38" s="34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62"/>
      <c r="B39" s="66">
        <v>31</v>
      </c>
      <c r="C39" s="4"/>
      <c r="D39" s="12"/>
      <c r="E39" s="64" t="str">
        <f t="shared" si="0"/>
        <v/>
      </c>
      <c r="F39" s="14"/>
      <c r="G39" s="34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62"/>
      <c r="B40" s="66">
        <v>32</v>
      </c>
      <c r="C40" s="4"/>
      <c r="D40" s="12"/>
      <c r="E40" s="64" t="str">
        <f t="shared" si="0"/>
        <v/>
      </c>
      <c r="F40" s="14"/>
      <c r="G40" s="34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62"/>
      <c r="B41" s="66">
        <v>33</v>
      </c>
      <c r="C41" s="4"/>
      <c r="D41" s="12"/>
      <c r="E41" s="64" t="str">
        <f t="shared" si="0"/>
        <v/>
      </c>
      <c r="F41" s="14"/>
      <c r="G41" s="34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62"/>
      <c r="B42" s="66">
        <v>34</v>
      </c>
      <c r="C42" s="4"/>
      <c r="D42" s="12"/>
      <c r="E42" s="64" t="str">
        <f t="shared" si="0"/>
        <v/>
      </c>
      <c r="F42" s="14"/>
      <c r="G42" s="34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62"/>
      <c r="B43" s="66">
        <v>35</v>
      </c>
      <c r="C43" s="4"/>
      <c r="D43" s="12"/>
      <c r="E43" s="64" t="str">
        <f t="shared" si="0"/>
        <v/>
      </c>
      <c r="F43" s="14"/>
      <c r="G43" s="34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62"/>
      <c r="B44" s="66">
        <v>36</v>
      </c>
      <c r="C44" s="4"/>
      <c r="D44" s="12"/>
      <c r="E44" s="64" t="str">
        <f t="shared" si="0"/>
        <v/>
      </c>
      <c r="F44" s="14"/>
      <c r="G44" s="34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62"/>
      <c r="B45" s="66">
        <v>37</v>
      </c>
      <c r="C45" s="4"/>
      <c r="D45" s="12"/>
      <c r="E45" s="64" t="str">
        <f t="shared" si="0"/>
        <v/>
      </c>
      <c r="F45" s="14"/>
      <c r="G45" s="34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62"/>
      <c r="B46" s="66">
        <v>38</v>
      </c>
      <c r="C46" s="4"/>
      <c r="D46" s="12"/>
      <c r="E46" s="64" t="str">
        <f t="shared" si="0"/>
        <v/>
      </c>
      <c r="F46" s="14"/>
      <c r="G46" s="34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62"/>
      <c r="B47" s="66">
        <v>39</v>
      </c>
      <c r="C47" s="4"/>
      <c r="D47" s="12"/>
      <c r="E47" s="64" t="str">
        <f t="shared" si="0"/>
        <v/>
      </c>
      <c r="F47" s="14"/>
      <c r="G47" s="34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62"/>
      <c r="B48" s="66">
        <v>40</v>
      </c>
      <c r="C48" s="4"/>
      <c r="D48" s="12"/>
      <c r="E48" s="64" t="str">
        <f t="shared" si="0"/>
        <v/>
      </c>
      <c r="F48" s="14"/>
      <c r="G48" s="34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62"/>
      <c r="B49" s="66">
        <v>41</v>
      </c>
      <c r="C49" s="4"/>
      <c r="D49" s="12"/>
      <c r="E49" s="64" t="str">
        <f t="shared" si="0"/>
        <v/>
      </c>
      <c r="F49" s="15"/>
      <c r="G49" s="35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62"/>
      <c r="B50" s="66">
        <v>42</v>
      </c>
      <c r="C50" s="4"/>
      <c r="D50" s="12"/>
      <c r="E50" s="64" t="str">
        <f t="shared" si="0"/>
        <v/>
      </c>
      <c r="F50" s="15"/>
      <c r="G50" s="35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62"/>
      <c r="B51" s="66">
        <v>43</v>
      </c>
      <c r="C51" s="4"/>
      <c r="D51" s="12"/>
      <c r="E51" s="64" t="str">
        <f t="shared" si="0"/>
        <v/>
      </c>
      <c r="F51" s="15"/>
      <c r="G51" s="35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62"/>
      <c r="B52" s="66">
        <v>44</v>
      </c>
      <c r="C52" s="4"/>
      <c r="D52" s="12"/>
      <c r="E52" s="64" t="str">
        <f t="shared" si="0"/>
        <v/>
      </c>
      <c r="F52" s="14"/>
      <c r="G52" s="34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62"/>
      <c r="B53" s="66">
        <v>45</v>
      </c>
      <c r="C53" s="4"/>
      <c r="D53" s="12"/>
      <c r="E53" s="64" t="str">
        <f t="shared" si="0"/>
        <v/>
      </c>
      <c r="F53" s="15"/>
      <c r="G53" s="35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62"/>
      <c r="B54" s="66">
        <v>46</v>
      </c>
      <c r="C54" s="4"/>
      <c r="D54" s="12"/>
      <c r="E54" s="64" t="str">
        <f t="shared" si="0"/>
        <v/>
      </c>
      <c r="F54" s="15"/>
      <c r="G54" s="35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62"/>
      <c r="B55" s="66">
        <v>47</v>
      </c>
      <c r="C55" s="4"/>
      <c r="D55" s="12"/>
      <c r="E55" s="64" t="str">
        <f t="shared" si="0"/>
        <v/>
      </c>
      <c r="F55" s="14"/>
      <c r="G55" s="34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62"/>
      <c r="B56" s="66">
        <v>48</v>
      </c>
      <c r="C56" s="4"/>
      <c r="D56" s="12"/>
      <c r="E56" s="64" t="str">
        <f t="shared" si="0"/>
        <v/>
      </c>
      <c r="F56" s="15"/>
      <c r="G56" s="35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62"/>
      <c r="B57" s="66">
        <v>49</v>
      </c>
      <c r="C57" s="4"/>
      <c r="D57" s="12"/>
      <c r="E57" s="64" t="str">
        <f t="shared" si="0"/>
        <v/>
      </c>
      <c r="F57" s="15"/>
      <c r="G57" s="35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3">
      <c r="A58" s="62"/>
      <c r="B58" s="67">
        <v>50</v>
      </c>
      <c r="C58" s="36"/>
      <c r="D58" s="37"/>
      <c r="E58" s="65" t="str">
        <f t="shared" si="0"/>
        <v/>
      </c>
      <c r="F58" s="38"/>
      <c r="G58" s="39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62"/>
      <c r="B59" s="62"/>
      <c r="C59" s="62"/>
      <c r="D59" s="62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62"/>
      <c r="B60" s="62"/>
      <c r="C60" s="62"/>
      <c r="D60" s="62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62"/>
      <c r="B61" s="62"/>
      <c r="C61" s="62"/>
      <c r="D61" s="62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62"/>
      <c r="B62" s="62"/>
      <c r="C62" s="62"/>
      <c r="D62" s="62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62"/>
      <c r="B63" s="62"/>
      <c r="C63" s="62"/>
      <c r="D63" s="62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62"/>
      <c r="B64" s="62"/>
      <c r="C64" s="62"/>
      <c r="D64" s="62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62"/>
      <c r="B65" s="62"/>
      <c r="C65" s="62"/>
      <c r="D65" s="62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62"/>
      <c r="B66" s="62"/>
      <c r="C66" s="62"/>
      <c r="D66" s="62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11"/>
      <c r="B67" s="11"/>
      <c r="C67" s="11"/>
      <c r="D67" s="11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11"/>
      <c r="B68" s="11"/>
      <c r="C68" s="11"/>
      <c r="D68" s="11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11"/>
      <c r="B69" s="11"/>
      <c r="C69" s="11"/>
      <c r="D69" s="11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11"/>
      <c r="B70" s="11"/>
      <c r="C70" s="11"/>
      <c r="D70" s="11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11"/>
      <c r="B71" s="11"/>
      <c r="C71" s="11"/>
      <c r="D71" s="11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11"/>
      <c r="B72" s="11"/>
      <c r="C72" s="11"/>
      <c r="D72" s="11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11"/>
      <c r="B73" s="11"/>
      <c r="C73" s="11"/>
      <c r="D73" s="11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11"/>
      <c r="B74" s="11"/>
      <c r="C74" s="11"/>
      <c r="D74" s="11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11"/>
      <c r="B75" s="11"/>
      <c r="C75" s="11"/>
      <c r="D75" s="11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11"/>
      <c r="B76" s="11"/>
      <c r="C76" s="11"/>
      <c r="D76" s="11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11"/>
      <c r="B77" s="11"/>
      <c r="C77" s="11"/>
      <c r="D77" s="11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11"/>
      <c r="B78" s="11"/>
      <c r="C78" s="11"/>
      <c r="D78" s="11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11"/>
      <c r="B79" s="11"/>
      <c r="C79" s="11"/>
      <c r="D79" s="11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11"/>
      <c r="B80" s="11"/>
      <c r="C80" s="11"/>
      <c r="D80" s="11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11"/>
      <c r="B81" s="11"/>
      <c r="C81" s="11"/>
      <c r="D81" s="11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11"/>
      <c r="B82" s="11"/>
      <c r="C82" s="11"/>
      <c r="D82" s="11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11"/>
      <c r="B83" s="11"/>
      <c r="C83" s="11"/>
      <c r="D83" s="11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11"/>
      <c r="B84" s="11"/>
      <c r="C84" s="11"/>
      <c r="D84" s="11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11"/>
      <c r="B85" s="11"/>
      <c r="C85" s="11"/>
      <c r="D85" s="11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11"/>
      <c r="B86" s="11"/>
      <c r="C86" s="11"/>
      <c r="D86" s="11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11"/>
      <c r="B87" s="11"/>
      <c r="C87" s="11"/>
      <c r="D87" s="11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11"/>
      <c r="B88" s="11"/>
      <c r="C88" s="11"/>
      <c r="D88" s="11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11"/>
      <c r="B89" s="11"/>
      <c r="C89" s="11"/>
      <c r="D89" s="11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11"/>
      <c r="B90" s="11"/>
      <c r="C90" s="11"/>
      <c r="D90" s="11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11"/>
      <c r="B91" s="11"/>
      <c r="C91" s="11"/>
      <c r="D91" s="11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11"/>
      <c r="B92" s="11"/>
      <c r="C92" s="11"/>
      <c r="D92" s="11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11"/>
      <c r="B93" s="11"/>
      <c r="C93" s="11"/>
      <c r="D93" s="11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11"/>
      <c r="B94" s="11"/>
      <c r="C94" s="11"/>
      <c r="D94" s="11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11"/>
      <c r="B95" s="11"/>
      <c r="C95" s="11"/>
      <c r="D95" s="11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11"/>
      <c r="B96" s="11"/>
      <c r="C96" s="11"/>
      <c r="D96" s="11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11"/>
      <c r="B97" s="11"/>
      <c r="C97" s="11"/>
      <c r="D97" s="11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11"/>
      <c r="B98" s="11"/>
      <c r="C98" s="11"/>
      <c r="D98" s="11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11"/>
      <c r="B99" s="11"/>
      <c r="C99" s="11"/>
      <c r="D99" s="11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11"/>
      <c r="B100" s="11"/>
      <c r="C100" s="11"/>
      <c r="D100" s="11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11"/>
      <c r="B101" s="11"/>
      <c r="C101" s="11"/>
      <c r="D101" s="11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11"/>
      <c r="B102" s="11"/>
      <c r="C102" s="11"/>
      <c r="D102" s="11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11"/>
      <c r="B103" s="11"/>
      <c r="C103" s="11"/>
      <c r="D103" s="11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11"/>
      <c r="B104" s="11"/>
      <c r="C104" s="11"/>
      <c r="D104" s="11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11"/>
      <c r="B105" s="11"/>
      <c r="C105" s="11"/>
      <c r="D105" s="11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11"/>
      <c r="B106" s="11"/>
      <c r="C106" s="11"/>
      <c r="D106" s="11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11"/>
      <c r="B107" s="11"/>
      <c r="C107" s="11"/>
      <c r="D107" s="11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11"/>
      <c r="B108" s="11"/>
      <c r="C108" s="11"/>
      <c r="D108" s="11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11"/>
      <c r="B109" s="11"/>
      <c r="C109" s="11"/>
      <c r="D109" s="11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11"/>
      <c r="B110" s="11"/>
      <c r="C110" s="11"/>
      <c r="D110" s="11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11"/>
      <c r="B111" s="11"/>
      <c r="C111" s="11"/>
      <c r="D111" s="11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11"/>
      <c r="B112" s="11"/>
      <c r="C112" s="11"/>
      <c r="D112" s="1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11"/>
      <c r="B113" s="11"/>
      <c r="C113" s="11"/>
      <c r="D113" s="11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11"/>
      <c r="B114" s="11"/>
      <c r="C114" s="11"/>
      <c r="D114" s="11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11"/>
      <c r="B115" s="11"/>
      <c r="C115" s="11"/>
      <c r="D115" s="11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11"/>
      <c r="B116" s="11"/>
      <c r="C116" s="11"/>
      <c r="D116" s="11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11"/>
      <c r="B117" s="11"/>
      <c r="C117" s="11"/>
      <c r="D117" s="11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11"/>
      <c r="B118" s="11"/>
      <c r="C118" s="11"/>
      <c r="D118" s="11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11"/>
      <c r="B119" s="11"/>
      <c r="C119" s="11"/>
      <c r="D119" s="11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11"/>
      <c r="B120" s="11"/>
      <c r="C120" s="11"/>
      <c r="D120" s="11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11"/>
      <c r="B121" s="11"/>
      <c r="C121" s="11"/>
      <c r="D121" s="11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11"/>
      <c r="B122" s="11"/>
      <c r="C122" s="11"/>
      <c r="D122" s="11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11"/>
      <c r="B123" s="11"/>
      <c r="C123" s="11"/>
      <c r="D123" s="11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11"/>
      <c r="B124" s="11"/>
      <c r="C124" s="11"/>
      <c r="D124" s="11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11"/>
      <c r="B125" s="11"/>
      <c r="C125" s="11"/>
      <c r="D125" s="11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11"/>
      <c r="B126" s="11"/>
      <c r="C126" s="11"/>
      <c r="D126" s="11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11"/>
      <c r="B127" s="11"/>
      <c r="C127" s="11"/>
      <c r="D127" s="11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11"/>
      <c r="B128" s="11"/>
      <c r="C128" s="11"/>
      <c r="D128" s="11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11"/>
      <c r="B129" s="11"/>
      <c r="C129" s="11"/>
      <c r="D129" s="11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11"/>
      <c r="B130" s="11"/>
      <c r="C130" s="11"/>
      <c r="D130" s="11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11"/>
      <c r="B131" s="11"/>
      <c r="C131" s="11"/>
      <c r="D131" s="11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11"/>
      <c r="B132" s="11"/>
      <c r="C132" s="11"/>
      <c r="D132" s="11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11"/>
      <c r="B133" s="11"/>
      <c r="C133" s="11"/>
      <c r="D133" s="11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11"/>
      <c r="B134" s="11"/>
      <c r="C134" s="11"/>
      <c r="D134" s="11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11"/>
      <c r="B135" s="11"/>
      <c r="C135" s="11"/>
      <c r="D135" s="11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11"/>
      <c r="B136" s="11"/>
      <c r="C136" s="11"/>
      <c r="D136" s="11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11"/>
      <c r="B137" s="11"/>
      <c r="C137" s="11"/>
      <c r="D137" s="11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11"/>
      <c r="B138" s="11"/>
      <c r="C138" s="11"/>
      <c r="D138" s="11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11"/>
      <c r="B139" s="11"/>
      <c r="C139" s="11"/>
      <c r="D139" s="11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11"/>
      <c r="B140" s="11"/>
      <c r="C140" s="11"/>
      <c r="D140" s="11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11"/>
      <c r="B141" s="11"/>
      <c r="C141" s="11"/>
      <c r="D141" s="11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11"/>
      <c r="B142" s="11"/>
      <c r="C142" s="11"/>
      <c r="D142" s="11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11"/>
      <c r="B143" s="11"/>
      <c r="C143" s="11"/>
      <c r="D143" s="11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11"/>
      <c r="B144" s="11"/>
      <c r="C144" s="11"/>
      <c r="D144" s="11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11"/>
      <c r="B145" s="11"/>
      <c r="C145" s="11"/>
      <c r="D145" s="11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11"/>
      <c r="B146" s="11"/>
      <c r="C146" s="11"/>
      <c r="D146" s="11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11"/>
      <c r="B147" s="11"/>
      <c r="C147" s="11"/>
      <c r="D147" s="11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11"/>
      <c r="B148" s="11"/>
      <c r="C148" s="11"/>
      <c r="D148" s="11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11"/>
      <c r="B149" s="11"/>
      <c r="C149" s="11"/>
      <c r="D149" s="11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11"/>
      <c r="B150" s="11"/>
      <c r="C150" s="11"/>
      <c r="D150" s="11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11"/>
      <c r="B151" s="11"/>
      <c r="C151" s="11"/>
      <c r="D151" s="11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11"/>
      <c r="B152" s="11"/>
      <c r="C152" s="11"/>
      <c r="D152" s="11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11"/>
      <c r="B153" s="11"/>
      <c r="C153" s="11"/>
      <c r="D153" s="11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11"/>
      <c r="B154" s="11"/>
      <c r="C154" s="11"/>
      <c r="D154" s="11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11"/>
      <c r="B155" s="11"/>
      <c r="C155" s="11"/>
      <c r="D155" s="11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11"/>
      <c r="B156" s="11"/>
      <c r="C156" s="11"/>
      <c r="D156" s="11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11"/>
      <c r="B157" s="11"/>
      <c r="C157" s="11"/>
      <c r="D157" s="11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11"/>
      <c r="B158" s="11"/>
      <c r="C158" s="11"/>
      <c r="D158" s="11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11"/>
      <c r="B159" s="11"/>
      <c r="C159" s="11"/>
      <c r="D159" s="11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11"/>
      <c r="B160" s="11"/>
      <c r="C160" s="11"/>
      <c r="D160" s="11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11"/>
      <c r="B161" s="11"/>
      <c r="C161" s="11"/>
      <c r="D161" s="11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11"/>
      <c r="B162" s="11"/>
      <c r="C162" s="11"/>
      <c r="D162" s="11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11"/>
      <c r="B163" s="11"/>
      <c r="C163" s="11"/>
      <c r="D163" s="11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11"/>
      <c r="B164" s="11"/>
      <c r="C164" s="11"/>
      <c r="D164" s="11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11"/>
      <c r="B165" s="11"/>
      <c r="C165" s="11"/>
      <c r="D165" s="11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11"/>
      <c r="B166" s="11"/>
      <c r="C166" s="11"/>
      <c r="D166" s="11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11"/>
      <c r="B167" s="11"/>
      <c r="C167" s="11"/>
      <c r="D167" s="11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11"/>
      <c r="B168" s="11"/>
      <c r="C168" s="11"/>
      <c r="D168" s="11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11"/>
      <c r="B169" s="11"/>
      <c r="C169" s="11"/>
      <c r="D169" s="11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11"/>
      <c r="B170" s="11"/>
      <c r="C170" s="11"/>
      <c r="D170" s="11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11"/>
      <c r="B171" s="11"/>
      <c r="C171" s="11"/>
      <c r="D171" s="11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11"/>
      <c r="B172" s="11"/>
      <c r="C172" s="11"/>
      <c r="D172" s="11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11"/>
      <c r="B173" s="11"/>
      <c r="C173" s="11"/>
      <c r="D173" s="11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11"/>
      <c r="B174" s="11"/>
      <c r="C174" s="11"/>
      <c r="D174" s="11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11"/>
      <c r="B175" s="11"/>
      <c r="C175" s="11"/>
      <c r="D175" s="11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11"/>
      <c r="B176" s="11"/>
      <c r="C176" s="11"/>
      <c r="D176" s="11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11"/>
      <c r="B177" s="11"/>
      <c r="C177" s="11"/>
      <c r="D177" s="11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11"/>
      <c r="B178" s="11"/>
      <c r="C178" s="11"/>
      <c r="D178" s="11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11"/>
      <c r="B179" s="11"/>
      <c r="C179" s="11"/>
      <c r="D179" s="11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11"/>
      <c r="B180" s="11"/>
      <c r="C180" s="11"/>
      <c r="D180" s="11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11"/>
      <c r="B181" s="11"/>
      <c r="C181" s="11"/>
      <c r="D181" s="11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11"/>
      <c r="B182" s="11"/>
      <c r="C182" s="11"/>
      <c r="D182" s="11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11"/>
      <c r="B183" s="11"/>
      <c r="C183" s="11"/>
      <c r="D183" s="11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11"/>
      <c r="B184" s="11"/>
      <c r="C184" s="11"/>
      <c r="D184" s="11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11"/>
      <c r="B185" s="11"/>
      <c r="C185" s="11"/>
      <c r="D185" s="11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11"/>
      <c r="B186" s="11"/>
      <c r="C186" s="11"/>
      <c r="D186" s="11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11"/>
      <c r="B187" s="11"/>
      <c r="C187" s="11"/>
      <c r="D187" s="11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11"/>
      <c r="B188" s="11"/>
      <c r="C188" s="11"/>
      <c r="D188" s="11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11"/>
      <c r="B189" s="11"/>
      <c r="C189" s="11"/>
      <c r="D189" s="11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11"/>
      <c r="B190" s="11"/>
      <c r="C190" s="11"/>
      <c r="D190" s="11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11"/>
      <c r="B191" s="11"/>
      <c r="C191" s="11"/>
      <c r="D191" s="11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11"/>
      <c r="B192" s="11"/>
      <c r="C192" s="11"/>
      <c r="D192" s="11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11"/>
      <c r="B193" s="11"/>
      <c r="C193" s="11"/>
      <c r="D193" s="11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11"/>
      <c r="B194" s="11"/>
      <c r="C194" s="11"/>
      <c r="D194" s="11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11"/>
      <c r="B195" s="11"/>
      <c r="C195" s="11"/>
      <c r="D195" s="11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11"/>
      <c r="B196" s="11"/>
      <c r="C196" s="11"/>
      <c r="D196" s="11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11"/>
      <c r="B197" s="11"/>
      <c r="C197" s="11"/>
      <c r="D197" s="11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11"/>
      <c r="B198" s="11"/>
      <c r="C198" s="11"/>
      <c r="D198" s="11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11"/>
      <c r="B199" s="11"/>
      <c r="C199" s="11"/>
      <c r="D199" s="11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11"/>
      <c r="B200" s="11"/>
      <c r="C200" s="11"/>
      <c r="D200" s="11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11"/>
      <c r="B201" s="11"/>
      <c r="C201" s="11"/>
      <c r="D201" s="11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11"/>
      <c r="B202" s="11"/>
      <c r="C202" s="11"/>
      <c r="D202" s="11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11"/>
      <c r="B203" s="11"/>
      <c r="C203" s="11"/>
      <c r="D203" s="11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11"/>
      <c r="B204" s="11"/>
      <c r="C204" s="11"/>
      <c r="D204" s="11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11"/>
      <c r="B205" s="11"/>
      <c r="C205" s="11"/>
      <c r="D205" s="11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11"/>
      <c r="B206" s="11"/>
      <c r="C206" s="11"/>
      <c r="D206" s="11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11"/>
      <c r="B207" s="11"/>
      <c r="C207" s="11"/>
      <c r="D207" s="11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11"/>
      <c r="B208" s="11"/>
      <c r="C208" s="11"/>
      <c r="D208" s="11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11"/>
      <c r="B209" s="11"/>
      <c r="C209" s="11"/>
      <c r="D209" s="11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11"/>
      <c r="B210" s="11"/>
      <c r="C210" s="11"/>
      <c r="D210" s="11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11"/>
      <c r="B211" s="11"/>
      <c r="C211" s="11"/>
      <c r="D211" s="11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11"/>
      <c r="B212" s="11"/>
      <c r="C212" s="11"/>
      <c r="D212" s="11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11"/>
      <c r="B213" s="11"/>
      <c r="C213" s="11"/>
      <c r="D213" s="11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11"/>
      <c r="B214" s="11"/>
      <c r="C214" s="11"/>
      <c r="D214" s="11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11"/>
      <c r="B215" s="11"/>
      <c r="C215" s="11"/>
      <c r="D215" s="11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11"/>
      <c r="B216" s="11"/>
      <c r="C216" s="11"/>
      <c r="D216" s="11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11"/>
      <c r="B217" s="11"/>
      <c r="C217" s="11"/>
      <c r="D217" s="11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11"/>
      <c r="B218" s="11"/>
      <c r="C218" s="11"/>
      <c r="D218" s="11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11"/>
      <c r="B219" s="11"/>
      <c r="C219" s="11"/>
      <c r="D219" s="11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11"/>
      <c r="B220" s="11"/>
      <c r="C220" s="11"/>
      <c r="D220" s="11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11"/>
      <c r="B221" s="11"/>
      <c r="C221" s="11"/>
      <c r="D221" s="11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11"/>
      <c r="B222" s="11"/>
      <c r="C222" s="11"/>
      <c r="D222" s="11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11"/>
      <c r="B223" s="11"/>
      <c r="C223" s="11"/>
      <c r="D223" s="11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11"/>
      <c r="B224" s="11"/>
      <c r="C224" s="11"/>
      <c r="D224" s="11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11"/>
      <c r="B225" s="11"/>
      <c r="C225" s="11"/>
      <c r="D225" s="11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11"/>
      <c r="B226" s="11"/>
      <c r="C226" s="11"/>
      <c r="D226" s="11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11"/>
      <c r="B227" s="11"/>
      <c r="C227" s="11"/>
      <c r="D227" s="11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11"/>
      <c r="B228" s="11"/>
      <c r="C228" s="11"/>
      <c r="D228" s="11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11"/>
      <c r="B229" s="11"/>
      <c r="C229" s="11"/>
      <c r="D229" s="11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11"/>
      <c r="B230" s="11"/>
      <c r="C230" s="11"/>
      <c r="D230" s="11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11"/>
      <c r="B231" s="11"/>
      <c r="C231" s="11"/>
      <c r="D231" s="11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11"/>
      <c r="B232" s="11"/>
      <c r="C232" s="11"/>
      <c r="D232" s="11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11"/>
      <c r="B233" s="11"/>
      <c r="C233" s="11"/>
      <c r="D233" s="11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11"/>
      <c r="B234" s="11"/>
      <c r="C234" s="11"/>
      <c r="D234" s="11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11"/>
      <c r="B235" s="11"/>
      <c r="C235" s="11"/>
      <c r="D235" s="11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11"/>
      <c r="B236" s="11"/>
      <c r="C236" s="11"/>
      <c r="D236" s="11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11"/>
      <c r="B237" s="11"/>
      <c r="C237" s="11"/>
      <c r="D237" s="11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11"/>
      <c r="B238" s="11"/>
      <c r="C238" s="11"/>
      <c r="D238" s="11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11"/>
      <c r="B239" s="11"/>
      <c r="C239" s="11"/>
      <c r="D239" s="11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11"/>
      <c r="B240" s="11"/>
      <c r="C240" s="11"/>
      <c r="D240" s="11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11"/>
      <c r="B241" s="11"/>
      <c r="C241" s="11"/>
      <c r="D241" s="11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11"/>
      <c r="B242" s="11"/>
      <c r="C242" s="11"/>
      <c r="D242" s="11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11"/>
      <c r="B243" s="11"/>
      <c r="C243" s="11"/>
      <c r="D243" s="11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11"/>
      <c r="B244" s="11"/>
      <c r="C244" s="11"/>
      <c r="D244" s="11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11"/>
      <c r="B245" s="11"/>
      <c r="C245" s="11"/>
      <c r="D245" s="11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11"/>
      <c r="B246" s="11"/>
      <c r="C246" s="11"/>
      <c r="D246" s="11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11"/>
      <c r="B247" s="11"/>
      <c r="C247" s="11"/>
      <c r="D247" s="11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11"/>
      <c r="B248" s="11"/>
      <c r="C248" s="11"/>
      <c r="D248" s="11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11"/>
      <c r="B249" s="11"/>
      <c r="C249" s="11"/>
      <c r="D249" s="11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11"/>
      <c r="B250" s="11"/>
      <c r="C250" s="11"/>
      <c r="D250" s="11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11"/>
      <c r="B251" s="11"/>
      <c r="C251" s="11"/>
      <c r="D251" s="11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11"/>
      <c r="B252" s="11"/>
      <c r="C252" s="11"/>
      <c r="D252" s="11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11"/>
      <c r="B253" s="11"/>
      <c r="C253" s="11"/>
      <c r="D253" s="11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11"/>
      <c r="B254" s="11"/>
      <c r="C254" s="11"/>
      <c r="D254" s="11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11"/>
      <c r="B255" s="11"/>
      <c r="C255" s="11"/>
      <c r="D255" s="11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11"/>
      <c r="B256" s="11"/>
      <c r="C256" s="11"/>
      <c r="D256" s="11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11"/>
      <c r="B257" s="11"/>
      <c r="C257" s="11"/>
      <c r="D257" s="11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11"/>
      <c r="B258" s="11"/>
      <c r="C258" s="11"/>
      <c r="D258" s="11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11"/>
      <c r="B259" s="11"/>
      <c r="C259" s="11"/>
      <c r="D259" s="11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11"/>
      <c r="B260" s="11"/>
      <c r="C260" s="11"/>
      <c r="D260" s="11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11"/>
      <c r="B261" s="11"/>
      <c r="C261" s="11"/>
      <c r="D261" s="11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11"/>
      <c r="B262" s="11"/>
      <c r="C262" s="11"/>
      <c r="D262" s="11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11"/>
      <c r="B263" s="11"/>
      <c r="C263" s="11"/>
      <c r="D263" s="11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11"/>
      <c r="B264" s="11"/>
      <c r="C264" s="11"/>
      <c r="D264" s="11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11"/>
      <c r="B265" s="11"/>
      <c r="C265" s="11"/>
      <c r="D265" s="11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11"/>
      <c r="B266" s="11"/>
      <c r="C266" s="11"/>
      <c r="D266" s="11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11"/>
      <c r="B267" s="11"/>
      <c r="C267" s="11"/>
      <c r="D267" s="11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11"/>
      <c r="B268" s="11"/>
      <c r="C268" s="11"/>
      <c r="D268" s="11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11"/>
      <c r="B269" s="11"/>
      <c r="C269" s="11"/>
      <c r="D269" s="11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11"/>
      <c r="B270" s="11"/>
      <c r="C270" s="11"/>
      <c r="D270" s="11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11"/>
      <c r="B271" s="11"/>
      <c r="C271" s="11"/>
      <c r="D271" s="11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11"/>
      <c r="B272" s="11"/>
      <c r="C272" s="11"/>
      <c r="D272" s="11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11"/>
      <c r="B273" s="11"/>
      <c r="C273" s="11"/>
      <c r="D273" s="11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11"/>
      <c r="B274" s="11"/>
      <c r="C274" s="11"/>
      <c r="D274" s="11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11"/>
      <c r="B275" s="11"/>
      <c r="C275" s="11"/>
      <c r="D275" s="11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11"/>
      <c r="B276" s="11"/>
      <c r="C276" s="11"/>
      <c r="D276" s="11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11"/>
      <c r="B277" s="11"/>
      <c r="C277" s="11"/>
      <c r="D277" s="11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11"/>
      <c r="B278" s="11"/>
      <c r="C278" s="11"/>
      <c r="D278" s="11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11"/>
      <c r="B279" s="11"/>
      <c r="C279" s="11"/>
      <c r="D279" s="11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11"/>
      <c r="B280" s="11"/>
      <c r="C280" s="11"/>
      <c r="D280" s="11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11"/>
      <c r="B281" s="11"/>
      <c r="C281" s="11"/>
      <c r="D281" s="11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11"/>
      <c r="B282" s="11"/>
      <c r="C282" s="11"/>
      <c r="D282" s="11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11"/>
      <c r="B283" s="11"/>
      <c r="C283" s="11"/>
      <c r="D283" s="11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11"/>
      <c r="B284" s="11"/>
      <c r="C284" s="11"/>
      <c r="D284" s="11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11"/>
      <c r="B285" s="11"/>
      <c r="C285" s="11"/>
      <c r="D285" s="11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11"/>
      <c r="B286" s="11"/>
      <c r="C286" s="11"/>
      <c r="D286" s="11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11"/>
      <c r="B287" s="11"/>
      <c r="C287" s="11"/>
      <c r="D287" s="11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11"/>
      <c r="B288" s="11"/>
      <c r="C288" s="11"/>
      <c r="D288" s="11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11"/>
      <c r="B289" s="11"/>
      <c r="C289" s="11"/>
      <c r="D289" s="11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11"/>
      <c r="B290" s="11"/>
      <c r="C290" s="11"/>
      <c r="D290" s="11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11"/>
      <c r="B291" s="11"/>
      <c r="C291" s="11"/>
      <c r="D291" s="11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11"/>
      <c r="B292" s="11"/>
      <c r="C292" s="11"/>
      <c r="D292" s="11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11"/>
      <c r="B293" s="11"/>
      <c r="C293" s="11"/>
      <c r="D293" s="11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11"/>
      <c r="B294" s="11"/>
      <c r="C294" s="11"/>
      <c r="D294" s="11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11"/>
      <c r="B295" s="11"/>
      <c r="C295" s="11"/>
      <c r="D295" s="11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11"/>
      <c r="B296" s="11"/>
      <c r="C296" s="11"/>
      <c r="D296" s="11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11"/>
      <c r="B297" s="11"/>
      <c r="C297" s="11"/>
      <c r="D297" s="11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11"/>
      <c r="B298" s="11"/>
      <c r="C298" s="11"/>
      <c r="D298" s="11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11"/>
      <c r="B299" s="11"/>
      <c r="C299" s="11"/>
      <c r="D299" s="11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11"/>
      <c r="B300" s="11"/>
      <c r="C300" s="11"/>
      <c r="D300" s="11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11"/>
      <c r="B301" s="11"/>
      <c r="C301" s="11"/>
      <c r="D301" s="11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11"/>
      <c r="B302" s="11"/>
      <c r="C302" s="11"/>
      <c r="D302" s="11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11"/>
      <c r="B303" s="11"/>
      <c r="C303" s="11"/>
      <c r="D303" s="11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11"/>
      <c r="B304" s="11"/>
      <c r="C304" s="11"/>
      <c r="D304" s="11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11"/>
      <c r="B305" s="11"/>
      <c r="C305" s="11"/>
      <c r="D305" s="11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11"/>
      <c r="B306" s="11"/>
      <c r="C306" s="11"/>
      <c r="D306" s="11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11"/>
      <c r="B307" s="11"/>
      <c r="C307" s="11"/>
      <c r="D307" s="11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11"/>
      <c r="B308" s="11"/>
      <c r="C308" s="11"/>
      <c r="D308" s="11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11"/>
      <c r="B309" s="11"/>
      <c r="C309" s="11"/>
      <c r="D309" s="11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11"/>
      <c r="B310" s="11"/>
      <c r="C310" s="11"/>
      <c r="D310" s="11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11"/>
      <c r="B311" s="11"/>
      <c r="C311" s="11"/>
      <c r="D311" s="11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11"/>
      <c r="B312" s="11"/>
      <c r="C312" s="11"/>
      <c r="D312" s="11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11"/>
      <c r="B313" s="11"/>
      <c r="C313" s="11"/>
      <c r="D313" s="11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11"/>
      <c r="B314" s="11"/>
      <c r="C314" s="11"/>
      <c r="D314" s="11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11"/>
      <c r="B315" s="11"/>
      <c r="C315" s="11"/>
      <c r="D315" s="11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11"/>
      <c r="B316" s="11"/>
      <c r="C316" s="11"/>
      <c r="D316" s="11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11"/>
      <c r="B317" s="11"/>
      <c r="C317" s="11"/>
      <c r="D317" s="11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11"/>
      <c r="B318" s="11"/>
      <c r="C318" s="11"/>
      <c r="D318" s="11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11"/>
      <c r="B319" s="11"/>
      <c r="C319" s="11"/>
      <c r="D319" s="11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11"/>
      <c r="B320" s="11"/>
      <c r="C320" s="11"/>
      <c r="D320" s="11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11"/>
      <c r="B321" s="11"/>
      <c r="C321" s="11"/>
      <c r="D321" s="11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11"/>
      <c r="B322" s="11"/>
      <c r="C322" s="11"/>
      <c r="D322" s="11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11"/>
      <c r="B323" s="11"/>
      <c r="C323" s="11"/>
      <c r="D323" s="11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11"/>
      <c r="B324" s="11"/>
      <c r="C324" s="11"/>
      <c r="D324" s="11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11"/>
      <c r="B325" s="11"/>
      <c r="C325" s="11"/>
      <c r="D325" s="11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11"/>
      <c r="B326" s="11"/>
      <c r="C326" s="11"/>
      <c r="D326" s="11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11"/>
      <c r="B327" s="11"/>
      <c r="C327" s="11"/>
      <c r="D327" s="11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11"/>
      <c r="B328" s="11"/>
      <c r="C328" s="11"/>
      <c r="D328" s="11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11"/>
      <c r="B329" s="11"/>
      <c r="C329" s="11"/>
      <c r="D329" s="11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11"/>
      <c r="B330" s="11"/>
      <c r="C330" s="11"/>
      <c r="D330" s="11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11"/>
      <c r="B331" s="11"/>
      <c r="C331" s="11"/>
      <c r="D331" s="11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11"/>
      <c r="B332" s="11"/>
      <c r="C332" s="11"/>
      <c r="D332" s="11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11"/>
      <c r="B333" s="11"/>
      <c r="C333" s="11"/>
      <c r="D333" s="11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11"/>
      <c r="B334" s="11"/>
      <c r="C334" s="11"/>
      <c r="D334" s="11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11"/>
      <c r="B335" s="11"/>
      <c r="C335" s="11"/>
      <c r="D335" s="11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11"/>
      <c r="B336" s="11"/>
      <c r="C336" s="11"/>
      <c r="D336" s="11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11"/>
      <c r="B337" s="11"/>
      <c r="C337" s="11"/>
      <c r="D337" s="11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11"/>
      <c r="B338" s="11"/>
      <c r="C338" s="11"/>
      <c r="D338" s="11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11"/>
      <c r="B339" s="11"/>
      <c r="C339" s="11"/>
      <c r="D339" s="11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11"/>
      <c r="B340" s="11"/>
      <c r="C340" s="11"/>
      <c r="D340" s="11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11"/>
      <c r="B341" s="11"/>
      <c r="C341" s="11"/>
      <c r="D341" s="11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11"/>
      <c r="B342" s="11"/>
      <c r="C342" s="11"/>
      <c r="D342" s="11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11"/>
      <c r="B343" s="11"/>
      <c r="C343" s="11"/>
      <c r="D343" s="11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11"/>
      <c r="B344" s="11"/>
      <c r="C344" s="11"/>
      <c r="D344" s="11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11"/>
      <c r="B345" s="11"/>
      <c r="C345" s="11"/>
      <c r="D345" s="11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11"/>
      <c r="B346" s="11"/>
      <c r="C346" s="11"/>
      <c r="D346" s="11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11"/>
      <c r="B347" s="11"/>
      <c r="C347" s="11"/>
      <c r="D347" s="11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11"/>
      <c r="B348" s="11"/>
      <c r="C348" s="11"/>
      <c r="D348" s="11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11"/>
      <c r="B349" s="11"/>
      <c r="C349" s="11"/>
      <c r="D349" s="11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11"/>
      <c r="B350" s="11"/>
      <c r="C350" s="11"/>
      <c r="D350" s="11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11"/>
      <c r="B351" s="11"/>
      <c r="C351" s="11"/>
      <c r="D351" s="11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11"/>
      <c r="B352" s="11"/>
      <c r="C352" s="11"/>
      <c r="D352" s="11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11"/>
      <c r="B353" s="11"/>
      <c r="C353" s="11"/>
      <c r="D353" s="11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11"/>
      <c r="B354" s="11"/>
      <c r="C354" s="11"/>
      <c r="D354" s="11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11"/>
      <c r="B355" s="11"/>
      <c r="C355" s="11"/>
      <c r="D355" s="11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11"/>
      <c r="B356" s="11"/>
      <c r="C356" s="11"/>
      <c r="D356" s="11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11"/>
      <c r="B357" s="11"/>
      <c r="C357" s="11"/>
      <c r="D357" s="11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11"/>
      <c r="B358" s="11"/>
      <c r="C358" s="11"/>
      <c r="D358" s="11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11"/>
      <c r="B359" s="11"/>
      <c r="C359" s="11"/>
      <c r="D359" s="11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11"/>
      <c r="B360" s="11"/>
      <c r="C360" s="11"/>
      <c r="D360" s="11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11"/>
      <c r="B361" s="11"/>
      <c r="C361" s="11"/>
      <c r="D361" s="11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11"/>
      <c r="B362" s="11"/>
      <c r="C362" s="11"/>
      <c r="D362" s="11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11"/>
      <c r="B363" s="11"/>
      <c r="C363" s="11"/>
      <c r="D363" s="11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11"/>
      <c r="B364" s="11"/>
      <c r="C364" s="11"/>
      <c r="D364" s="11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11"/>
      <c r="B365" s="11"/>
      <c r="C365" s="11"/>
      <c r="D365" s="11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11"/>
      <c r="B366" s="11"/>
      <c r="C366" s="11"/>
      <c r="D366" s="11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11"/>
      <c r="B367" s="11"/>
      <c r="C367" s="11"/>
      <c r="D367" s="11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11"/>
      <c r="B368" s="11"/>
      <c r="C368" s="11"/>
      <c r="D368" s="11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11"/>
      <c r="B369" s="11"/>
      <c r="C369" s="11"/>
      <c r="D369" s="11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11"/>
      <c r="B370" s="11"/>
      <c r="C370" s="11"/>
      <c r="D370" s="11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11"/>
      <c r="B371" s="11"/>
      <c r="C371" s="11"/>
      <c r="D371" s="11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11"/>
      <c r="B372" s="11"/>
      <c r="C372" s="11"/>
      <c r="D372" s="11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11"/>
      <c r="B373" s="11"/>
      <c r="C373" s="11"/>
      <c r="D373" s="11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11"/>
      <c r="B374" s="11"/>
      <c r="C374" s="11"/>
      <c r="D374" s="11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11"/>
      <c r="B375" s="11"/>
      <c r="C375" s="11"/>
      <c r="D375" s="11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11"/>
      <c r="B376" s="11"/>
      <c r="C376" s="11"/>
      <c r="D376" s="11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11"/>
      <c r="B377" s="11"/>
      <c r="C377" s="11"/>
      <c r="D377" s="11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11"/>
      <c r="B378" s="11"/>
      <c r="C378" s="11"/>
      <c r="D378" s="11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11"/>
      <c r="B379" s="11"/>
      <c r="C379" s="11"/>
      <c r="D379" s="11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11"/>
      <c r="B380" s="11"/>
      <c r="C380" s="11"/>
      <c r="D380" s="11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11"/>
      <c r="B381" s="11"/>
      <c r="C381" s="11"/>
      <c r="D381" s="11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11"/>
      <c r="B382" s="11"/>
      <c r="C382" s="11"/>
      <c r="D382" s="11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11"/>
      <c r="B383" s="11"/>
      <c r="C383" s="11"/>
      <c r="D383" s="11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11"/>
      <c r="B384" s="11"/>
      <c r="C384" s="11"/>
      <c r="D384" s="11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11"/>
      <c r="B385" s="11"/>
      <c r="C385" s="11"/>
      <c r="D385" s="11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11"/>
      <c r="B386" s="11"/>
      <c r="C386" s="11"/>
      <c r="D386" s="11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11"/>
      <c r="B387" s="11"/>
      <c r="C387" s="11"/>
      <c r="D387" s="11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11"/>
      <c r="B388" s="11"/>
      <c r="C388" s="11"/>
      <c r="D388" s="11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11"/>
      <c r="B389" s="11"/>
      <c r="C389" s="11"/>
      <c r="D389" s="11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11"/>
      <c r="B390" s="11"/>
      <c r="C390" s="11"/>
      <c r="D390" s="11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11"/>
      <c r="B391" s="11"/>
      <c r="C391" s="11"/>
      <c r="D391" s="11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11"/>
      <c r="B392" s="11"/>
      <c r="C392" s="11"/>
      <c r="D392" s="11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11"/>
      <c r="B393" s="11"/>
      <c r="C393" s="11"/>
      <c r="D393" s="11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11"/>
      <c r="B394" s="11"/>
      <c r="C394" s="11"/>
      <c r="D394" s="11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11"/>
      <c r="B395" s="11"/>
      <c r="C395" s="11"/>
      <c r="D395" s="11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11"/>
      <c r="B396" s="11"/>
      <c r="C396" s="11"/>
      <c r="D396" s="11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11"/>
      <c r="B397" s="11"/>
      <c r="C397" s="11"/>
      <c r="D397" s="11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11"/>
      <c r="B398" s="11"/>
      <c r="C398" s="11"/>
      <c r="D398" s="11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11"/>
      <c r="B399" s="11"/>
      <c r="C399" s="11"/>
      <c r="D399" s="11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11"/>
      <c r="B400" s="11"/>
      <c r="C400" s="11"/>
      <c r="D400" s="11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11"/>
      <c r="B401" s="11"/>
      <c r="C401" s="11"/>
      <c r="D401" s="11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11"/>
      <c r="B402" s="11"/>
      <c r="C402" s="11"/>
      <c r="D402" s="11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11"/>
      <c r="B403" s="11"/>
      <c r="C403" s="11"/>
      <c r="D403" s="11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11"/>
      <c r="B404" s="11"/>
      <c r="C404" s="11"/>
      <c r="D404" s="11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11"/>
      <c r="B405" s="11"/>
      <c r="C405" s="11"/>
      <c r="D405" s="11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11"/>
      <c r="B406" s="11"/>
      <c r="C406" s="11"/>
      <c r="D406" s="11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11"/>
      <c r="B407" s="11"/>
      <c r="C407" s="11"/>
      <c r="D407" s="11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11"/>
      <c r="B408" s="11"/>
      <c r="C408" s="11"/>
      <c r="D408" s="11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11"/>
      <c r="B409" s="11"/>
      <c r="C409" s="11"/>
      <c r="D409" s="11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11"/>
      <c r="B410" s="11"/>
      <c r="C410" s="11"/>
      <c r="D410" s="11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11"/>
      <c r="B411" s="11"/>
      <c r="C411" s="11"/>
      <c r="D411" s="11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11"/>
      <c r="B412" s="11"/>
      <c r="C412" s="11"/>
      <c r="D412" s="11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11"/>
      <c r="B413" s="11"/>
      <c r="C413" s="11"/>
      <c r="D413" s="11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11"/>
      <c r="B414" s="11"/>
      <c r="C414" s="11"/>
      <c r="D414" s="11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11"/>
      <c r="B415" s="11"/>
      <c r="C415" s="11"/>
      <c r="D415" s="11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11"/>
      <c r="B416" s="11"/>
      <c r="C416" s="11"/>
      <c r="D416" s="11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11"/>
      <c r="B417" s="11"/>
      <c r="C417" s="11"/>
      <c r="D417" s="11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11"/>
      <c r="B418" s="11"/>
      <c r="C418" s="11"/>
      <c r="D418" s="11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11"/>
      <c r="B419" s="11"/>
      <c r="C419" s="11"/>
      <c r="D419" s="11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11"/>
      <c r="B420" s="11"/>
      <c r="C420" s="11"/>
      <c r="D420" s="11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11"/>
      <c r="B421" s="11"/>
      <c r="C421" s="11"/>
      <c r="D421" s="11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11"/>
      <c r="B422" s="11"/>
      <c r="C422" s="11"/>
      <c r="D422" s="11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11"/>
      <c r="B423" s="11"/>
      <c r="C423" s="11"/>
      <c r="D423" s="11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11"/>
      <c r="B424" s="11"/>
      <c r="C424" s="11"/>
      <c r="D424" s="11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11"/>
      <c r="B425" s="11"/>
      <c r="C425" s="11"/>
      <c r="D425" s="11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11"/>
      <c r="B426" s="11"/>
      <c r="C426" s="11"/>
      <c r="D426" s="11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11"/>
      <c r="B427" s="11"/>
      <c r="C427" s="11"/>
      <c r="D427" s="11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11"/>
      <c r="B428" s="11"/>
      <c r="C428" s="11"/>
      <c r="D428" s="11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11"/>
      <c r="B429" s="11"/>
      <c r="C429" s="11"/>
      <c r="D429" s="11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11"/>
      <c r="B430" s="11"/>
      <c r="C430" s="11"/>
      <c r="D430" s="11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11"/>
      <c r="B431" s="11"/>
      <c r="C431" s="11"/>
      <c r="D431" s="11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11"/>
      <c r="B432" s="11"/>
      <c r="C432" s="11"/>
      <c r="D432" s="11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11"/>
      <c r="B433" s="11"/>
      <c r="C433" s="11"/>
      <c r="D433" s="11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11"/>
      <c r="B434" s="11"/>
      <c r="C434" s="11"/>
      <c r="D434" s="11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11"/>
      <c r="B435" s="11"/>
      <c r="C435" s="11"/>
      <c r="D435" s="11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11"/>
      <c r="B436" s="11"/>
      <c r="C436" s="11"/>
      <c r="D436" s="11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11"/>
      <c r="B437" s="11"/>
      <c r="C437" s="11"/>
      <c r="D437" s="11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11"/>
      <c r="B438" s="11"/>
      <c r="C438" s="11"/>
      <c r="D438" s="11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11"/>
      <c r="B439" s="11"/>
      <c r="C439" s="11"/>
      <c r="D439" s="11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11"/>
      <c r="B440" s="11"/>
      <c r="C440" s="11"/>
      <c r="D440" s="11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11"/>
      <c r="B441" s="11"/>
      <c r="C441" s="11"/>
      <c r="D441" s="11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11"/>
      <c r="B442" s="11"/>
      <c r="C442" s="11"/>
      <c r="D442" s="11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11"/>
      <c r="B443" s="11"/>
      <c r="C443" s="11"/>
      <c r="D443" s="11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11"/>
      <c r="B444" s="11"/>
      <c r="C444" s="11"/>
      <c r="D444" s="11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11"/>
      <c r="B445" s="11"/>
      <c r="C445" s="11"/>
      <c r="D445" s="11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11"/>
      <c r="B446" s="11"/>
      <c r="C446" s="11"/>
      <c r="D446" s="11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11"/>
      <c r="B447" s="11"/>
      <c r="C447" s="11"/>
      <c r="D447" s="11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11"/>
      <c r="B448" s="11"/>
      <c r="C448" s="11"/>
      <c r="D448" s="11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11"/>
      <c r="B449" s="11"/>
      <c r="C449" s="11"/>
      <c r="D449" s="11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11"/>
      <c r="B450" s="11"/>
      <c r="C450" s="11"/>
      <c r="D450" s="11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11"/>
      <c r="B451" s="11"/>
      <c r="C451" s="11"/>
      <c r="D451" s="11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11"/>
      <c r="B452" s="11"/>
      <c r="C452" s="11"/>
      <c r="D452" s="11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11"/>
      <c r="B453" s="11"/>
      <c r="C453" s="11"/>
      <c r="D453" s="11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11"/>
      <c r="B454" s="11"/>
      <c r="C454" s="11"/>
      <c r="D454" s="11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11"/>
      <c r="B455" s="11"/>
      <c r="C455" s="11"/>
      <c r="D455" s="11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11"/>
      <c r="B456" s="11"/>
      <c r="C456" s="11"/>
      <c r="D456" s="11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11"/>
      <c r="B457" s="11"/>
      <c r="C457" s="11"/>
      <c r="D457" s="11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11"/>
      <c r="B458" s="11"/>
      <c r="C458" s="11"/>
      <c r="D458" s="11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11"/>
      <c r="B459" s="11"/>
      <c r="C459" s="11"/>
      <c r="D459" s="11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11"/>
      <c r="B460" s="11"/>
      <c r="C460" s="11"/>
      <c r="D460" s="11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11"/>
      <c r="B461" s="11"/>
      <c r="C461" s="11"/>
      <c r="D461" s="11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11"/>
      <c r="B462" s="11"/>
      <c r="C462" s="11"/>
      <c r="D462" s="11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11"/>
      <c r="B463" s="11"/>
      <c r="C463" s="11"/>
      <c r="D463" s="11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11"/>
      <c r="B464" s="11"/>
      <c r="C464" s="11"/>
      <c r="D464" s="11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11"/>
      <c r="B465" s="11"/>
      <c r="C465" s="11"/>
      <c r="D465" s="11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11"/>
      <c r="B466" s="11"/>
      <c r="C466" s="11"/>
      <c r="D466" s="11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11"/>
      <c r="B467" s="11"/>
      <c r="C467" s="11"/>
      <c r="D467" s="11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11"/>
      <c r="B468" s="11"/>
      <c r="C468" s="11"/>
      <c r="D468" s="11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11"/>
      <c r="B469" s="11"/>
      <c r="C469" s="11"/>
      <c r="D469" s="11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11"/>
      <c r="B470" s="11"/>
      <c r="C470" s="11"/>
      <c r="D470" s="11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11"/>
      <c r="B471" s="11"/>
      <c r="C471" s="11"/>
      <c r="D471" s="11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11"/>
      <c r="B472" s="11"/>
      <c r="C472" s="11"/>
      <c r="D472" s="11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11"/>
      <c r="B473" s="11"/>
      <c r="C473" s="11"/>
      <c r="D473" s="11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11"/>
      <c r="B474" s="11"/>
      <c r="C474" s="11"/>
      <c r="D474" s="11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11"/>
      <c r="B475" s="11"/>
      <c r="C475" s="11"/>
      <c r="D475" s="11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11"/>
      <c r="B476" s="11"/>
      <c r="C476" s="11"/>
      <c r="D476" s="11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11"/>
      <c r="B477" s="11"/>
      <c r="C477" s="11"/>
      <c r="D477" s="11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11"/>
      <c r="B478" s="11"/>
      <c r="C478" s="11"/>
      <c r="D478" s="11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11"/>
      <c r="B479" s="11"/>
      <c r="C479" s="11"/>
      <c r="D479" s="11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11"/>
      <c r="B480" s="11"/>
      <c r="C480" s="11"/>
      <c r="D480" s="11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11"/>
      <c r="B481" s="11"/>
      <c r="C481" s="11"/>
      <c r="D481" s="11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11"/>
      <c r="B482" s="11"/>
      <c r="C482" s="11"/>
      <c r="D482" s="11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11"/>
      <c r="B483" s="11"/>
      <c r="C483" s="11"/>
      <c r="D483" s="11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11"/>
      <c r="B484" s="11"/>
      <c r="C484" s="11"/>
      <c r="D484" s="11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11"/>
      <c r="B485" s="11"/>
      <c r="C485" s="11"/>
      <c r="D485" s="11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11"/>
      <c r="B486" s="11"/>
      <c r="C486" s="11"/>
      <c r="D486" s="11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11"/>
      <c r="B487" s="11"/>
      <c r="C487" s="11"/>
      <c r="D487" s="11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11"/>
      <c r="B488" s="11"/>
      <c r="C488" s="11"/>
      <c r="D488" s="11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11"/>
      <c r="B489" s="11"/>
      <c r="C489" s="11"/>
      <c r="D489" s="11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11"/>
      <c r="B490" s="11"/>
      <c r="C490" s="11"/>
      <c r="D490" s="11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11"/>
      <c r="B491" s="11"/>
      <c r="C491" s="11"/>
      <c r="D491" s="11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11"/>
      <c r="B492" s="11"/>
      <c r="C492" s="11"/>
      <c r="D492" s="11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11"/>
      <c r="B493" s="11"/>
      <c r="C493" s="11"/>
      <c r="D493" s="11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11"/>
      <c r="B494" s="11"/>
      <c r="C494" s="11"/>
      <c r="D494" s="11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11"/>
      <c r="B495" s="11"/>
      <c r="C495" s="11"/>
      <c r="D495" s="11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11"/>
      <c r="B496" s="11"/>
      <c r="C496" s="11"/>
      <c r="D496" s="11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11"/>
      <c r="B497" s="11"/>
      <c r="C497" s="11"/>
      <c r="D497" s="11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11"/>
      <c r="B498" s="11"/>
      <c r="C498" s="11"/>
      <c r="D498" s="11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11"/>
      <c r="B499" s="11"/>
      <c r="C499" s="11"/>
      <c r="D499" s="11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11"/>
      <c r="B500" s="11"/>
      <c r="C500" s="11"/>
      <c r="D500" s="11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11"/>
      <c r="B501" s="11"/>
      <c r="C501" s="11"/>
      <c r="D501" s="11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11"/>
      <c r="B502" s="11"/>
      <c r="C502" s="11"/>
      <c r="D502" s="11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11"/>
      <c r="B503" s="11"/>
      <c r="C503" s="11"/>
      <c r="D503" s="11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11"/>
      <c r="B504" s="11"/>
      <c r="C504" s="11"/>
      <c r="D504" s="11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11"/>
      <c r="B505" s="11"/>
      <c r="C505" s="11"/>
      <c r="D505" s="11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11"/>
      <c r="B506" s="11"/>
      <c r="C506" s="11"/>
      <c r="D506" s="11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11"/>
      <c r="B507" s="11"/>
      <c r="C507" s="11"/>
      <c r="D507" s="11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11"/>
      <c r="B508" s="11"/>
      <c r="C508" s="11"/>
      <c r="D508" s="11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11"/>
      <c r="B509" s="11"/>
      <c r="C509" s="11"/>
      <c r="D509" s="11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11"/>
      <c r="B510" s="11"/>
      <c r="C510" s="11"/>
      <c r="D510" s="11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11"/>
      <c r="B511" s="11"/>
      <c r="C511" s="11"/>
      <c r="D511" s="11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11"/>
      <c r="B512" s="11"/>
      <c r="C512" s="11"/>
      <c r="D512" s="11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11"/>
      <c r="B513" s="11"/>
      <c r="C513" s="11"/>
      <c r="D513" s="11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11"/>
      <c r="B514" s="11"/>
      <c r="C514" s="11"/>
      <c r="D514" s="11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11"/>
      <c r="B515" s="11"/>
      <c r="C515" s="11"/>
      <c r="D515" s="11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11"/>
      <c r="B516" s="11"/>
      <c r="C516" s="11"/>
      <c r="D516" s="11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11"/>
      <c r="B517" s="11"/>
      <c r="C517" s="11"/>
      <c r="D517" s="11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11"/>
      <c r="B518" s="11"/>
      <c r="C518" s="11"/>
      <c r="D518" s="11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11"/>
      <c r="B519" s="11"/>
      <c r="C519" s="11"/>
      <c r="D519" s="11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11"/>
      <c r="B520" s="11"/>
      <c r="C520" s="11"/>
      <c r="D520" s="11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11"/>
      <c r="B521" s="11"/>
      <c r="C521" s="11"/>
      <c r="D521" s="11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11"/>
      <c r="B522" s="11"/>
      <c r="C522" s="11"/>
      <c r="D522" s="11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11"/>
      <c r="B523" s="11"/>
      <c r="C523" s="11"/>
      <c r="D523" s="11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11"/>
      <c r="B524" s="11"/>
      <c r="C524" s="11"/>
      <c r="D524" s="11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11"/>
      <c r="B525" s="11"/>
      <c r="C525" s="11"/>
      <c r="D525" s="11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11"/>
      <c r="B526" s="11"/>
      <c r="C526" s="11"/>
      <c r="D526" s="11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11"/>
      <c r="B527" s="11"/>
      <c r="C527" s="11"/>
      <c r="D527" s="11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11"/>
      <c r="B528" s="11"/>
      <c r="C528" s="11"/>
      <c r="D528" s="11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11"/>
      <c r="B529" s="11"/>
      <c r="C529" s="11"/>
      <c r="D529" s="11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11"/>
      <c r="B530" s="11"/>
      <c r="C530" s="11"/>
      <c r="D530" s="11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11"/>
      <c r="B531" s="11"/>
      <c r="C531" s="11"/>
      <c r="D531" s="11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11"/>
      <c r="B532" s="11"/>
      <c r="C532" s="11"/>
      <c r="D532" s="11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11"/>
      <c r="B533" s="11"/>
      <c r="C533" s="11"/>
      <c r="D533" s="11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11"/>
      <c r="B534" s="11"/>
      <c r="C534" s="11"/>
      <c r="D534" s="11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11"/>
      <c r="B535" s="11"/>
      <c r="C535" s="11"/>
      <c r="D535" s="11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11"/>
      <c r="B536" s="11"/>
      <c r="C536" s="11"/>
      <c r="D536" s="11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11"/>
      <c r="B537" s="11"/>
      <c r="C537" s="11"/>
      <c r="D537" s="11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11"/>
      <c r="B538" s="11"/>
      <c r="C538" s="11"/>
      <c r="D538" s="11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11"/>
      <c r="B539" s="11"/>
      <c r="C539" s="11"/>
      <c r="D539" s="11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11"/>
      <c r="B540" s="11"/>
      <c r="C540" s="11"/>
      <c r="D540" s="11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11"/>
      <c r="B541" s="11"/>
      <c r="C541" s="11"/>
      <c r="D541" s="11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11"/>
      <c r="B542" s="11"/>
      <c r="C542" s="11"/>
      <c r="D542" s="11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11"/>
      <c r="B543" s="11"/>
      <c r="C543" s="11"/>
      <c r="D543" s="11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11"/>
      <c r="B544" s="11"/>
      <c r="C544" s="11"/>
      <c r="D544" s="11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11"/>
      <c r="B545" s="11"/>
      <c r="C545" s="11"/>
      <c r="D545" s="11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11"/>
      <c r="B546" s="11"/>
      <c r="C546" s="11"/>
      <c r="D546" s="11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11"/>
      <c r="B547" s="11"/>
      <c r="C547" s="11"/>
      <c r="D547" s="11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11"/>
      <c r="B548" s="11"/>
      <c r="C548" s="11"/>
      <c r="D548" s="11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11"/>
      <c r="B549" s="11"/>
      <c r="C549" s="11"/>
      <c r="D549" s="11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11"/>
      <c r="B550" s="11"/>
      <c r="C550" s="11"/>
      <c r="D550" s="11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11"/>
      <c r="B551" s="11"/>
      <c r="C551" s="11"/>
      <c r="D551" s="11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11"/>
      <c r="B552" s="11"/>
      <c r="C552" s="11"/>
      <c r="D552" s="11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11"/>
      <c r="B553" s="11"/>
      <c r="C553" s="11"/>
      <c r="D553" s="11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11"/>
      <c r="B554" s="11"/>
      <c r="C554" s="11"/>
      <c r="D554" s="11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11"/>
      <c r="B555" s="11"/>
      <c r="C555" s="11"/>
      <c r="D555" s="11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11"/>
      <c r="B556" s="11"/>
      <c r="C556" s="11"/>
      <c r="D556" s="11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11"/>
      <c r="B557" s="11"/>
      <c r="C557" s="11"/>
      <c r="D557" s="11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11"/>
      <c r="B558" s="11"/>
      <c r="C558" s="11"/>
      <c r="D558" s="11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11"/>
      <c r="B559" s="11"/>
      <c r="C559" s="11"/>
      <c r="D559" s="11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11"/>
      <c r="B560" s="11"/>
      <c r="C560" s="11"/>
      <c r="D560" s="11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11"/>
      <c r="B561" s="11"/>
      <c r="C561" s="11"/>
      <c r="D561" s="11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11"/>
      <c r="B562" s="11"/>
      <c r="C562" s="11"/>
      <c r="D562" s="11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11"/>
      <c r="B563" s="11"/>
      <c r="C563" s="11"/>
      <c r="D563" s="11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11"/>
      <c r="B564" s="11"/>
      <c r="C564" s="11"/>
      <c r="D564" s="11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11"/>
      <c r="B565" s="11"/>
      <c r="C565" s="11"/>
      <c r="D565" s="11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11"/>
      <c r="B566" s="11"/>
      <c r="C566" s="11"/>
      <c r="D566" s="11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11"/>
      <c r="B567" s="11"/>
      <c r="C567" s="11"/>
      <c r="D567" s="11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11"/>
      <c r="B568" s="11"/>
      <c r="C568" s="11"/>
      <c r="D568" s="11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11"/>
      <c r="B569" s="11"/>
      <c r="C569" s="11"/>
      <c r="D569" s="11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11"/>
      <c r="B570" s="11"/>
      <c r="C570" s="11"/>
      <c r="D570" s="11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11"/>
      <c r="B571" s="11"/>
      <c r="C571" s="11"/>
      <c r="D571" s="11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11"/>
      <c r="B572" s="11"/>
      <c r="C572" s="11"/>
      <c r="D572" s="11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11"/>
      <c r="B573" s="11"/>
      <c r="C573" s="11"/>
      <c r="D573" s="11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11"/>
      <c r="B574" s="11"/>
      <c r="C574" s="11"/>
      <c r="D574" s="11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11"/>
      <c r="B575" s="11"/>
      <c r="C575" s="11"/>
      <c r="D575" s="11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11"/>
      <c r="B576" s="11"/>
      <c r="C576" s="11"/>
      <c r="D576" s="11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11"/>
      <c r="B577" s="11"/>
      <c r="C577" s="11"/>
      <c r="D577" s="11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11"/>
      <c r="B578" s="11"/>
      <c r="C578" s="11"/>
      <c r="D578" s="11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11"/>
      <c r="B579" s="11"/>
      <c r="C579" s="11"/>
      <c r="D579" s="11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11"/>
      <c r="B580" s="11"/>
      <c r="C580" s="11"/>
      <c r="D580" s="11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11"/>
      <c r="B581" s="11"/>
      <c r="C581" s="11"/>
      <c r="D581" s="11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11"/>
      <c r="B582" s="11"/>
      <c r="C582" s="11"/>
      <c r="D582" s="11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11"/>
      <c r="B583" s="11"/>
      <c r="C583" s="11"/>
      <c r="D583" s="11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11"/>
      <c r="B584" s="11"/>
      <c r="C584" s="11"/>
      <c r="D584" s="11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11"/>
      <c r="B585" s="11"/>
      <c r="C585" s="11"/>
      <c r="D585" s="11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11"/>
      <c r="B586" s="11"/>
      <c r="C586" s="11"/>
      <c r="D586" s="11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11"/>
      <c r="B587" s="11"/>
      <c r="C587" s="11"/>
      <c r="D587" s="11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11"/>
      <c r="B588" s="11"/>
      <c r="C588" s="11"/>
      <c r="D588" s="11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11"/>
      <c r="B589" s="11"/>
      <c r="C589" s="11"/>
      <c r="D589" s="11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11"/>
      <c r="B590" s="11"/>
      <c r="C590" s="11"/>
      <c r="D590" s="11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11"/>
      <c r="B591" s="11"/>
      <c r="C591" s="11"/>
      <c r="D591" s="11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11"/>
      <c r="B592" s="11"/>
      <c r="C592" s="11"/>
      <c r="D592" s="11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11"/>
      <c r="B593" s="11"/>
      <c r="C593" s="11"/>
      <c r="D593" s="11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11"/>
      <c r="B594" s="11"/>
      <c r="C594" s="11"/>
      <c r="D594" s="11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11"/>
      <c r="B595" s="11"/>
      <c r="C595" s="11"/>
      <c r="D595" s="11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11"/>
      <c r="B596" s="11"/>
      <c r="C596" s="11"/>
      <c r="D596" s="11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11"/>
      <c r="B597" s="11"/>
      <c r="C597" s="11"/>
      <c r="D597" s="11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11"/>
      <c r="B598" s="11"/>
      <c r="C598" s="11"/>
      <c r="D598" s="11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11"/>
      <c r="B599" s="11"/>
      <c r="C599" s="11"/>
      <c r="D599" s="11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11"/>
      <c r="B600" s="11"/>
      <c r="C600" s="11"/>
      <c r="D600" s="11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11"/>
      <c r="B601" s="11"/>
      <c r="C601" s="11"/>
      <c r="D601" s="11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11"/>
      <c r="B602" s="11"/>
      <c r="C602" s="11"/>
      <c r="D602" s="11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11"/>
      <c r="B603" s="11"/>
      <c r="C603" s="11"/>
      <c r="D603" s="11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11"/>
      <c r="B604" s="11"/>
      <c r="C604" s="11"/>
      <c r="D604" s="11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11"/>
      <c r="B605" s="11"/>
      <c r="C605" s="11"/>
      <c r="D605" s="11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11"/>
      <c r="B606" s="11"/>
      <c r="C606" s="11"/>
      <c r="D606" s="11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11"/>
      <c r="B607" s="11"/>
      <c r="C607" s="11"/>
      <c r="D607" s="11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11"/>
      <c r="B608" s="11"/>
      <c r="C608" s="11"/>
      <c r="D608" s="11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11"/>
      <c r="B609" s="11"/>
      <c r="C609" s="11"/>
      <c r="D609" s="11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11"/>
      <c r="B610" s="11"/>
      <c r="C610" s="11"/>
      <c r="D610" s="11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11"/>
      <c r="B611" s="11"/>
      <c r="C611" s="11"/>
      <c r="D611" s="11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11"/>
      <c r="B612" s="11"/>
      <c r="C612" s="11"/>
      <c r="D612" s="11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11"/>
      <c r="B613" s="11"/>
      <c r="C613" s="11"/>
      <c r="D613" s="11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11"/>
      <c r="B614" s="11"/>
      <c r="C614" s="11"/>
      <c r="D614" s="11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11"/>
      <c r="B615" s="11"/>
      <c r="C615" s="11"/>
      <c r="D615" s="11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11"/>
      <c r="B616" s="11"/>
      <c r="C616" s="11"/>
      <c r="D616" s="11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11"/>
      <c r="B617" s="11"/>
      <c r="C617" s="11"/>
      <c r="D617" s="11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11"/>
      <c r="B618" s="11"/>
      <c r="C618" s="11"/>
      <c r="D618" s="11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11"/>
      <c r="B619" s="11"/>
      <c r="C619" s="11"/>
      <c r="D619" s="11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11"/>
      <c r="B620" s="11"/>
      <c r="C620" s="11"/>
      <c r="D620" s="11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11"/>
      <c r="B621" s="11"/>
      <c r="C621" s="11"/>
      <c r="D621" s="11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11"/>
      <c r="B622" s="11"/>
      <c r="C622" s="11"/>
      <c r="D622" s="11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11"/>
      <c r="B623" s="11"/>
      <c r="C623" s="11"/>
      <c r="D623" s="11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11"/>
      <c r="B624" s="11"/>
      <c r="C624" s="11"/>
      <c r="D624" s="11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11"/>
      <c r="B625" s="11"/>
      <c r="C625" s="11"/>
      <c r="D625" s="11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11"/>
      <c r="B626" s="11"/>
      <c r="C626" s="11"/>
      <c r="D626" s="11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11"/>
      <c r="B627" s="11"/>
      <c r="C627" s="11"/>
      <c r="D627" s="11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11"/>
      <c r="B628" s="11"/>
      <c r="C628" s="11"/>
      <c r="D628" s="11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11"/>
      <c r="B629" s="11"/>
      <c r="C629" s="11"/>
      <c r="D629" s="11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11"/>
      <c r="B630" s="11"/>
      <c r="C630" s="11"/>
      <c r="D630" s="11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11"/>
      <c r="B631" s="11"/>
      <c r="C631" s="11"/>
      <c r="D631" s="11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11"/>
      <c r="B632" s="11"/>
      <c r="C632" s="11"/>
      <c r="D632" s="11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11"/>
      <c r="B633" s="11"/>
      <c r="C633" s="11"/>
      <c r="D633" s="11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11"/>
      <c r="B634" s="11"/>
      <c r="C634" s="11"/>
      <c r="D634" s="11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11"/>
      <c r="B635" s="11"/>
      <c r="C635" s="11"/>
      <c r="D635" s="11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11"/>
      <c r="B636" s="11"/>
      <c r="C636" s="11"/>
      <c r="D636" s="11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11"/>
      <c r="B637" s="11"/>
      <c r="C637" s="11"/>
      <c r="D637" s="11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11"/>
      <c r="B638" s="11"/>
      <c r="C638" s="11"/>
      <c r="D638" s="11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11"/>
      <c r="B639" s="11"/>
      <c r="C639" s="11"/>
      <c r="D639" s="11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11"/>
      <c r="B640" s="11"/>
      <c r="C640" s="11"/>
      <c r="D640" s="11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11"/>
      <c r="B641" s="11"/>
      <c r="C641" s="11"/>
      <c r="D641" s="11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11"/>
      <c r="B642" s="11"/>
      <c r="C642" s="11"/>
      <c r="D642" s="11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11"/>
      <c r="B643" s="11"/>
      <c r="C643" s="11"/>
      <c r="D643" s="11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11"/>
      <c r="B644" s="11"/>
      <c r="C644" s="11"/>
      <c r="D644" s="11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11"/>
      <c r="B645" s="11"/>
      <c r="C645" s="11"/>
      <c r="D645" s="11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11"/>
      <c r="B646" s="11"/>
      <c r="C646" s="11"/>
      <c r="D646" s="11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11"/>
      <c r="B647" s="11"/>
      <c r="C647" s="11"/>
      <c r="D647" s="11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11"/>
      <c r="B648" s="11"/>
      <c r="C648" s="11"/>
      <c r="D648" s="11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11"/>
      <c r="B649" s="11"/>
      <c r="C649" s="11"/>
      <c r="D649" s="11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11"/>
      <c r="B650" s="11"/>
      <c r="C650" s="11"/>
      <c r="D650" s="11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11"/>
      <c r="B651" s="11"/>
      <c r="C651" s="11"/>
      <c r="D651" s="11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11"/>
      <c r="B652" s="11"/>
      <c r="C652" s="11"/>
      <c r="D652" s="11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11"/>
      <c r="B653" s="11"/>
      <c r="C653" s="11"/>
      <c r="D653" s="11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11"/>
      <c r="B654" s="11"/>
      <c r="C654" s="11"/>
      <c r="D654" s="11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11"/>
      <c r="B655" s="11"/>
      <c r="C655" s="11"/>
      <c r="D655" s="11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11"/>
      <c r="B656" s="11"/>
      <c r="C656" s="11"/>
      <c r="D656" s="11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11"/>
      <c r="B657" s="11"/>
      <c r="C657" s="11"/>
      <c r="D657" s="11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11"/>
      <c r="B658" s="11"/>
      <c r="C658" s="11"/>
      <c r="D658" s="11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11"/>
      <c r="B659" s="11"/>
      <c r="C659" s="11"/>
      <c r="D659" s="11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11"/>
      <c r="B660" s="11"/>
      <c r="C660" s="11"/>
      <c r="D660" s="11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11"/>
      <c r="B661" s="11"/>
      <c r="C661" s="11"/>
      <c r="D661" s="11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11"/>
      <c r="B662" s="11"/>
      <c r="C662" s="11"/>
      <c r="D662" s="11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11"/>
      <c r="B663" s="11"/>
      <c r="C663" s="11"/>
      <c r="D663" s="11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11"/>
      <c r="B664" s="11"/>
      <c r="C664" s="11"/>
      <c r="D664" s="11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11"/>
      <c r="B665" s="11"/>
      <c r="C665" s="11"/>
      <c r="D665" s="11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11"/>
      <c r="B666" s="11"/>
      <c r="C666" s="11"/>
      <c r="D666" s="11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11"/>
      <c r="B667" s="11"/>
      <c r="C667" s="11"/>
      <c r="D667" s="11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11"/>
      <c r="B668" s="11"/>
      <c r="C668" s="11"/>
      <c r="D668" s="11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11"/>
      <c r="B669" s="11"/>
      <c r="C669" s="11"/>
      <c r="D669" s="11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11"/>
      <c r="B670" s="11"/>
      <c r="C670" s="11"/>
      <c r="D670" s="11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11"/>
      <c r="B671" s="11"/>
      <c r="C671" s="11"/>
      <c r="D671" s="11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11"/>
      <c r="B672" s="11"/>
      <c r="C672" s="11"/>
      <c r="D672" s="11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11"/>
      <c r="B673" s="11"/>
      <c r="C673" s="11"/>
      <c r="D673" s="11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11"/>
      <c r="B674" s="11"/>
      <c r="C674" s="11"/>
      <c r="D674" s="11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11"/>
      <c r="B675" s="11"/>
      <c r="C675" s="11"/>
      <c r="D675" s="11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11"/>
      <c r="B676" s="11"/>
      <c r="C676" s="11"/>
      <c r="D676" s="11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11"/>
      <c r="B677" s="11"/>
      <c r="C677" s="11"/>
      <c r="D677" s="11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11"/>
      <c r="B678" s="11"/>
      <c r="C678" s="11"/>
      <c r="D678" s="11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11"/>
      <c r="B679" s="11"/>
      <c r="C679" s="11"/>
      <c r="D679" s="11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11"/>
      <c r="B680" s="11"/>
      <c r="C680" s="11"/>
      <c r="D680" s="11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11"/>
      <c r="B681" s="11"/>
      <c r="C681" s="11"/>
      <c r="D681" s="11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11"/>
      <c r="B682" s="11"/>
      <c r="C682" s="11"/>
      <c r="D682" s="11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11"/>
      <c r="B683" s="11"/>
      <c r="C683" s="11"/>
      <c r="D683" s="11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11"/>
      <c r="B684" s="11"/>
      <c r="C684" s="11"/>
      <c r="D684" s="11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11"/>
      <c r="B685" s="11"/>
      <c r="C685" s="11"/>
      <c r="D685" s="11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11"/>
      <c r="B686" s="11"/>
      <c r="C686" s="11"/>
      <c r="D686" s="11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11"/>
      <c r="B687" s="11"/>
      <c r="C687" s="11"/>
      <c r="D687" s="11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11"/>
      <c r="B688" s="11"/>
      <c r="C688" s="11"/>
      <c r="D688" s="11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11"/>
      <c r="B689" s="11"/>
      <c r="C689" s="11"/>
      <c r="D689" s="11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11"/>
      <c r="B690" s="11"/>
      <c r="C690" s="11"/>
      <c r="D690" s="11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11"/>
      <c r="B691" s="11"/>
      <c r="C691" s="11"/>
      <c r="D691" s="11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11"/>
      <c r="B692" s="11"/>
      <c r="C692" s="11"/>
      <c r="D692" s="11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11"/>
      <c r="B693" s="11"/>
      <c r="C693" s="11"/>
      <c r="D693" s="11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11"/>
      <c r="B694" s="11"/>
      <c r="C694" s="11"/>
      <c r="D694" s="11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11"/>
      <c r="B695" s="11"/>
      <c r="C695" s="11"/>
      <c r="D695" s="11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11"/>
      <c r="B696" s="11"/>
      <c r="C696" s="11"/>
      <c r="D696" s="11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11"/>
      <c r="B697" s="11"/>
      <c r="C697" s="11"/>
      <c r="D697" s="11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11"/>
      <c r="B698" s="11"/>
      <c r="C698" s="11"/>
      <c r="D698" s="11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11"/>
      <c r="B699" s="11"/>
      <c r="C699" s="11"/>
      <c r="D699" s="11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11"/>
      <c r="B700" s="11"/>
      <c r="C700" s="11"/>
      <c r="D700" s="11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11"/>
      <c r="B701" s="11"/>
      <c r="C701" s="11"/>
      <c r="D701" s="11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11"/>
      <c r="B702" s="11"/>
      <c r="C702" s="11"/>
      <c r="D702" s="11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11"/>
      <c r="B703" s="11"/>
      <c r="C703" s="11"/>
      <c r="D703" s="11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11"/>
      <c r="B704" s="11"/>
      <c r="C704" s="11"/>
      <c r="D704" s="11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11"/>
      <c r="B705" s="11"/>
      <c r="C705" s="11"/>
      <c r="D705" s="11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11"/>
      <c r="B706" s="11"/>
      <c r="C706" s="11"/>
      <c r="D706" s="11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11"/>
      <c r="B707" s="11"/>
      <c r="C707" s="11"/>
      <c r="D707" s="11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11"/>
      <c r="B708" s="11"/>
      <c r="C708" s="11"/>
      <c r="D708" s="11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11"/>
      <c r="B709" s="11"/>
      <c r="C709" s="11"/>
      <c r="D709" s="11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11"/>
      <c r="B710" s="11"/>
      <c r="C710" s="11"/>
      <c r="D710" s="11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11"/>
      <c r="B711" s="11"/>
      <c r="C711" s="11"/>
      <c r="D711" s="11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11"/>
      <c r="B712" s="11"/>
      <c r="C712" s="11"/>
      <c r="D712" s="11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11"/>
      <c r="B713" s="11"/>
      <c r="C713" s="11"/>
      <c r="D713" s="11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11"/>
      <c r="B714" s="11"/>
      <c r="C714" s="11"/>
      <c r="D714" s="11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11"/>
      <c r="B715" s="11"/>
      <c r="C715" s="11"/>
      <c r="D715" s="11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11"/>
      <c r="B716" s="11"/>
      <c r="C716" s="11"/>
      <c r="D716" s="11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11"/>
      <c r="B717" s="11"/>
      <c r="C717" s="11"/>
      <c r="D717" s="11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11"/>
      <c r="B718" s="11"/>
      <c r="C718" s="11"/>
      <c r="D718" s="11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11"/>
      <c r="B719" s="11"/>
      <c r="C719" s="11"/>
      <c r="D719" s="11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11"/>
      <c r="B720" s="11"/>
      <c r="C720" s="11"/>
      <c r="D720" s="11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11"/>
      <c r="B721" s="11"/>
      <c r="C721" s="11"/>
      <c r="D721" s="11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11"/>
      <c r="B722" s="11"/>
      <c r="C722" s="11"/>
      <c r="D722" s="11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11"/>
      <c r="B723" s="11"/>
      <c r="C723" s="11"/>
      <c r="D723" s="11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11"/>
      <c r="B724" s="11"/>
      <c r="C724" s="11"/>
      <c r="D724" s="11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11"/>
      <c r="B725" s="11"/>
      <c r="C725" s="11"/>
      <c r="D725" s="11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11"/>
      <c r="B726" s="11"/>
      <c r="C726" s="11"/>
      <c r="D726" s="11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11"/>
      <c r="B727" s="11"/>
      <c r="C727" s="11"/>
      <c r="D727" s="11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11"/>
      <c r="B728" s="11"/>
      <c r="C728" s="11"/>
      <c r="D728" s="11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11"/>
      <c r="B729" s="11"/>
      <c r="C729" s="11"/>
      <c r="D729" s="11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11"/>
      <c r="B730" s="11"/>
      <c r="C730" s="11"/>
      <c r="D730" s="11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11"/>
      <c r="B731" s="11"/>
      <c r="C731" s="11"/>
      <c r="D731" s="11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11"/>
      <c r="B732" s="11"/>
      <c r="C732" s="11"/>
      <c r="D732" s="11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11"/>
      <c r="B733" s="11"/>
      <c r="C733" s="11"/>
      <c r="D733" s="11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11"/>
      <c r="B734" s="11"/>
      <c r="C734" s="11"/>
      <c r="D734" s="11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11"/>
      <c r="B735" s="11"/>
      <c r="C735" s="11"/>
      <c r="D735" s="11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11"/>
      <c r="B736" s="11"/>
      <c r="C736" s="11"/>
      <c r="D736" s="11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11"/>
      <c r="B737" s="11"/>
      <c r="C737" s="11"/>
      <c r="D737" s="11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11"/>
      <c r="B738" s="11"/>
      <c r="C738" s="11"/>
      <c r="D738" s="11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11"/>
      <c r="B739" s="11"/>
      <c r="C739" s="11"/>
      <c r="D739" s="11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11"/>
      <c r="B740" s="11"/>
      <c r="C740" s="11"/>
      <c r="D740" s="11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11"/>
      <c r="B741" s="11"/>
      <c r="C741" s="11"/>
      <c r="D741" s="11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11"/>
      <c r="B742" s="11"/>
      <c r="C742" s="11"/>
      <c r="D742" s="11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11"/>
      <c r="B743" s="11"/>
      <c r="C743" s="11"/>
      <c r="D743" s="11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11"/>
      <c r="B744" s="11"/>
      <c r="C744" s="11"/>
      <c r="D744" s="11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11"/>
      <c r="B745" s="11"/>
      <c r="C745" s="11"/>
      <c r="D745" s="11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11"/>
      <c r="B746" s="11"/>
      <c r="C746" s="11"/>
      <c r="D746" s="11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11"/>
      <c r="B747" s="11"/>
      <c r="C747" s="11"/>
      <c r="D747" s="11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11"/>
      <c r="B748" s="11"/>
      <c r="C748" s="11"/>
      <c r="D748" s="11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11"/>
      <c r="B749" s="11"/>
      <c r="C749" s="11"/>
      <c r="D749" s="11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11"/>
      <c r="B750" s="11"/>
      <c r="C750" s="11"/>
      <c r="D750" s="11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11"/>
      <c r="B751" s="11"/>
      <c r="C751" s="11"/>
      <c r="D751" s="11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11"/>
      <c r="B752" s="11"/>
      <c r="C752" s="11"/>
      <c r="D752" s="11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11"/>
      <c r="B753" s="11"/>
      <c r="C753" s="11"/>
      <c r="D753" s="11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11"/>
      <c r="B754" s="11"/>
      <c r="C754" s="11"/>
      <c r="D754" s="11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11"/>
      <c r="B755" s="11"/>
      <c r="C755" s="11"/>
      <c r="D755" s="11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11"/>
      <c r="B756" s="11"/>
      <c r="C756" s="11"/>
      <c r="D756" s="11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11"/>
      <c r="B757" s="11"/>
      <c r="C757" s="11"/>
      <c r="D757" s="11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11"/>
      <c r="B758" s="11"/>
      <c r="C758" s="11"/>
      <c r="D758" s="11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11"/>
      <c r="B759" s="11"/>
      <c r="C759" s="11"/>
      <c r="D759" s="11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11"/>
      <c r="B760" s="11"/>
      <c r="C760" s="11"/>
      <c r="D760" s="11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11"/>
      <c r="B761" s="11"/>
      <c r="C761" s="11"/>
      <c r="D761" s="11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11"/>
      <c r="B762" s="11"/>
      <c r="C762" s="11"/>
      <c r="D762" s="11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11"/>
      <c r="B763" s="11"/>
      <c r="C763" s="11"/>
      <c r="D763" s="11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11"/>
      <c r="B764" s="11"/>
      <c r="C764" s="11"/>
      <c r="D764" s="11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11"/>
      <c r="B765" s="11"/>
      <c r="C765" s="11"/>
      <c r="D765" s="11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11"/>
      <c r="B766" s="11"/>
      <c r="C766" s="11"/>
      <c r="D766" s="11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11"/>
      <c r="B767" s="11"/>
      <c r="C767" s="11"/>
      <c r="D767" s="11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11"/>
      <c r="B768" s="11"/>
      <c r="C768" s="11"/>
      <c r="D768" s="11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11"/>
      <c r="B769" s="11"/>
      <c r="C769" s="11"/>
      <c r="D769" s="11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11"/>
      <c r="B770" s="11"/>
      <c r="C770" s="11"/>
      <c r="D770" s="11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11"/>
      <c r="B771" s="11"/>
      <c r="C771" s="11"/>
      <c r="D771" s="11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11"/>
      <c r="B772" s="11"/>
      <c r="C772" s="11"/>
      <c r="D772" s="11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11"/>
      <c r="B773" s="11"/>
      <c r="C773" s="11"/>
      <c r="D773" s="11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11"/>
      <c r="B774" s="11"/>
      <c r="C774" s="11"/>
      <c r="D774" s="11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11"/>
      <c r="B775" s="11"/>
      <c r="C775" s="11"/>
      <c r="D775" s="11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11"/>
      <c r="B776" s="11"/>
      <c r="C776" s="11"/>
      <c r="D776" s="11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11"/>
      <c r="B777" s="11"/>
      <c r="C777" s="11"/>
      <c r="D777" s="11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11"/>
      <c r="B778" s="11"/>
      <c r="C778" s="11"/>
      <c r="D778" s="11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11"/>
      <c r="B779" s="11"/>
      <c r="C779" s="11"/>
      <c r="D779" s="11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11"/>
      <c r="B780" s="11"/>
      <c r="C780" s="11"/>
      <c r="D780" s="11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11"/>
      <c r="B781" s="11"/>
      <c r="C781" s="11"/>
      <c r="D781" s="11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11"/>
      <c r="B782" s="11"/>
      <c r="C782" s="11"/>
      <c r="D782" s="11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11"/>
      <c r="B783" s="11"/>
      <c r="C783" s="11"/>
      <c r="D783" s="11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11"/>
      <c r="B784" s="11"/>
      <c r="C784" s="11"/>
      <c r="D784" s="11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11"/>
      <c r="B785" s="11"/>
      <c r="C785" s="11"/>
      <c r="D785" s="11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11"/>
      <c r="B786" s="11"/>
      <c r="C786" s="11"/>
      <c r="D786" s="11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11"/>
      <c r="B787" s="11"/>
      <c r="C787" s="11"/>
      <c r="D787" s="11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11"/>
      <c r="B788" s="11"/>
      <c r="C788" s="11"/>
      <c r="D788" s="11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11"/>
      <c r="B789" s="11"/>
      <c r="C789" s="11"/>
      <c r="D789" s="11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11"/>
      <c r="B790" s="11"/>
      <c r="C790" s="11"/>
      <c r="D790" s="11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11"/>
      <c r="B791" s="11"/>
      <c r="C791" s="11"/>
      <c r="D791" s="11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11"/>
      <c r="B792" s="11"/>
      <c r="C792" s="11"/>
      <c r="D792" s="11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11"/>
      <c r="B793" s="11"/>
      <c r="C793" s="11"/>
      <c r="D793" s="11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11"/>
      <c r="B794" s="11"/>
      <c r="C794" s="11"/>
      <c r="D794" s="11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11"/>
      <c r="B795" s="11"/>
      <c r="C795" s="11"/>
      <c r="D795" s="11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11"/>
      <c r="B796" s="11"/>
      <c r="C796" s="11"/>
      <c r="D796" s="11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11"/>
      <c r="B797" s="11"/>
      <c r="C797" s="11"/>
      <c r="D797" s="11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11"/>
      <c r="B798" s="11"/>
      <c r="C798" s="11"/>
      <c r="D798" s="11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11"/>
      <c r="B799" s="11"/>
      <c r="C799" s="11"/>
      <c r="D799" s="11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11"/>
      <c r="B800" s="11"/>
      <c r="C800" s="11"/>
      <c r="D800" s="11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11"/>
      <c r="B801" s="11"/>
      <c r="C801" s="11"/>
      <c r="D801" s="11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11"/>
      <c r="B802" s="11"/>
      <c r="C802" s="11"/>
      <c r="D802" s="11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11"/>
      <c r="B803" s="11"/>
      <c r="C803" s="11"/>
      <c r="D803" s="11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11"/>
      <c r="B804" s="11"/>
      <c r="C804" s="11"/>
      <c r="D804" s="11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11"/>
      <c r="B805" s="11"/>
      <c r="C805" s="11"/>
      <c r="D805" s="11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11"/>
      <c r="B806" s="11"/>
      <c r="C806" s="11"/>
      <c r="D806" s="11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11"/>
      <c r="B807" s="11"/>
      <c r="C807" s="11"/>
      <c r="D807" s="11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11"/>
      <c r="B808" s="11"/>
      <c r="C808" s="11"/>
      <c r="D808" s="11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11"/>
      <c r="B809" s="11"/>
      <c r="C809" s="11"/>
      <c r="D809" s="11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11"/>
      <c r="B810" s="11"/>
      <c r="C810" s="11"/>
      <c r="D810" s="11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11"/>
      <c r="B811" s="11"/>
      <c r="C811" s="11"/>
      <c r="D811" s="11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11"/>
      <c r="B812" s="11"/>
      <c r="C812" s="11"/>
      <c r="D812" s="11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11"/>
      <c r="B813" s="11"/>
      <c r="C813" s="11"/>
      <c r="D813" s="11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11"/>
      <c r="B814" s="11"/>
      <c r="C814" s="11"/>
      <c r="D814" s="11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11"/>
      <c r="B815" s="11"/>
      <c r="C815" s="11"/>
      <c r="D815" s="11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11"/>
      <c r="B816" s="11"/>
      <c r="C816" s="11"/>
      <c r="D816" s="11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11"/>
      <c r="B817" s="11"/>
      <c r="C817" s="11"/>
      <c r="D817" s="11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11"/>
      <c r="B818" s="11"/>
      <c r="C818" s="11"/>
      <c r="D818" s="11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11"/>
      <c r="B819" s="11"/>
      <c r="C819" s="11"/>
      <c r="D819" s="11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11"/>
      <c r="B820" s="11"/>
      <c r="C820" s="11"/>
      <c r="D820" s="11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11"/>
      <c r="B821" s="11"/>
      <c r="C821" s="11"/>
      <c r="D821" s="11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11"/>
      <c r="B822" s="11"/>
      <c r="C822" s="11"/>
      <c r="D822" s="11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11"/>
      <c r="B823" s="11"/>
      <c r="C823" s="11"/>
      <c r="D823" s="11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11"/>
      <c r="B824" s="11"/>
      <c r="C824" s="11"/>
      <c r="D824" s="11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11"/>
      <c r="B825" s="11"/>
      <c r="C825" s="11"/>
      <c r="D825" s="11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11"/>
      <c r="B826" s="11"/>
      <c r="C826" s="11"/>
      <c r="D826" s="11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11"/>
      <c r="B827" s="11"/>
      <c r="C827" s="11"/>
      <c r="D827" s="11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11"/>
      <c r="B828" s="11"/>
      <c r="C828" s="11"/>
      <c r="D828" s="11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11"/>
      <c r="B829" s="11"/>
      <c r="C829" s="11"/>
      <c r="D829" s="11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11"/>
      <c r="B830" s="11"/>
      <c r="C830" s="11"/>
      <c r="D830" s="11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11"/>
      <c r="B831" s="11"/>
      <c r="C831" s="11"/>
      <c r="D831" s="11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11"/>
      <c r="B832" s="11"/>
      <c r="C832" s="11"/>
      <c r="D832" s="11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11"/>
      <c r="B833" s="11"/>
      <c r="C833" s="11"/>
      <c r="D833" s="11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11"/>
      <c r="B834" s="11"/>
      <c r="C834" s="11"/>
      <c r="D834" s="11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11"/>
      <c r="B835" s="11"/>
      <c r="C835" s="11"/>
      <c r="D835" s="11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11"/>
      <c r="B836" s="11"/>
      <c r="C836" s="11"/>
      <c r="D836" s="11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11"/>
      <c r="B837" s="11"/>
      <c r="C837" s="11"/>
      <c r="D837" s="11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11"/>
      <c r="B838" s="11"/>
      <c r="C838" s="11"/>
      <c r="D838" s="11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11"/>
      <c r="B839" s="11"/>
      <c r="C839" s="11"/>
      <c r="D839" s="11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11"/>
      <c r="B840" s="11"/>
      <c r="C840" s="11"/>
      <c r="D840" s="11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11"/>
      <c r="B841" s="11"/>
      <c r="C841" s="11"/>
      <c r="D841" s="11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11"/>
      <c r="B842" s="11"/>
      <c r="C842" s="11"/>
      <c r="D842" s="11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11"/>
      <c r="B843" s="11"/>
      <c r="C843" s="11"/>
      <c r="D843" s="11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11"/>
      <c r="B844" s="11"/>
      <c r="C844" s="11"/>
      <c r="D844" s="11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11"/>
      <c r="B845" s="11"/>
      <c r="C845" s="11"/>
      <c r="D845" s="11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11"/>
      <c r="B846" s="11"/>
      <c r="C846" s="11"/>
      <c r="D846" s="11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11"/>
      <c r="B847" s="11"/>
      <c r="C847" s="11"/>
      <c r="D847" s="11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11"/>
      <c r="B848" s="11"/>
      <c r="C848" s="11"/>
      <c r="D848" s="11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11"/>
      <c r="B849" s="11"/>
      <c r="C849" s="11"/>
      <c r="D849" s="11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11"/>
      <c r="B850" s="11"/>
      <c r="C850" s="11"/>
      <c r="D850" s="11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11"/>
      <c r="B851" s="11"/>
      <c r="C851" s="11"/>
      <c r="D851" s="11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11"/>
      <c r="B852" s="11"/>
      <c r="C852" s="11"/>
      <c r="D852" s="11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11"/>
      <c r="B853" s="11"/>
      <c r="C853" s="11"/>
      <c r="D853" s="11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11"/>
      <c r="B854" s="11"/>
      <c r="C854" s="11"/>
      <c r="D854" s="11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11"/>
      <c r="B855" s="11"/>
      <c r="C855" s="11"/>
      <c r="D855" s="11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11"/>
      <c r="B856" s="11"/>
      <c r="C856" s="11"/>
      <c r="D856" s="11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11"/>
      <c r="B857" s="11"/>
      <c r="C857" s="11"/>
      <c r="D857" s="11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11"/>
      <c r="B858" s="11"/>
      <c r="C858" s="11"/>
      <c r="D858" s="11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11"/>
      <c r="B859" s="11"/>
      <c r="C859" s="11"/>
      <c r="D859" s="11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11"/>
      <c r="B860" s="11"/>
      <c r="C860" s="11"/>
      <c r="D860" s="11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11"/>
      <c r="B861" s="11"/>
      <c r="C861" s="11"/>
      <c r="D861" s="11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11"/>
      <c r="B862" s="11"/>
      <c r="C862" s="11"/>
      <c r="D862" s="11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11"/>
      <c r="B863" s="11"/>
      <c r="C863" s="11"/>
      <c r="D863" s="11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11"/>
      <c r="B864" s="11"/>
      <c r="C864" s="11"/>
      <c r="D864" s="11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11"/>
      <c r="B865" s="11"/>
      <c r="C865" s="11"/>
      <c r="D865" s="11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11"/>
      <c r="B866" s="11"/>
      <c r="C866" s="11"/>
      <c r="D866" s="11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11"/>
      <c r="B867" s="11"/>
      <c r="C867" s="11"/>
      <c r="D867" s="11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11"/>
      <c r="B868" s="11"/>
      <c r="C868" s="11"/>
      <c r="D868" s="11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11"/>
      <c r="B869" s="11"/>
      <c r="C869" s="11"/>
      <c r="D869" s="11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11"/>
      <c r="B870" s="11"/>
      <c r="C870" s="11"/>
      <c r="D870" s="11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11"/>
      <c r="B871" s="11"/>
      <c r="C871" s="11"/>
      <c r="D871" s="11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11"/>
      <c r="B872" s="11"/>
      <c r="C872" s="11"/>
      <c r="D872" s="11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11"/>
      <c r="B873" s="11"/>
      <c r="C873" s="11"/>
      <c r="D873" s="11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11"/>
      <c r="B874" s="11"/>
      <c r="C874" s="11"/>
      <c r="D874" s="11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11"/>
      <c r="B875" s="11"/>
      <c r="C875" s="11"/>
      <c r="D875" s="11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11"/>
      <c r="B876" s="11"/>
      <c r="C876" s="11"/>
      <c r="D876" s="11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11"/>
      <c r="B877" s="11"/>
      <c r="C877" s="11"/>
      <c r="D877" s="11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11"/>
      <c r="B878" s="11"/>
      <c r="C878" s="11"/>
      <c r="D878" s="11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11"/>
      <c r="B879" s="11"/>
      <c r="C879" s="11"/>
      <c r="D879" s="11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11"/>
      <c r="B880" s="11"/>
      <c r="C880" s="11"/>
      <c r="D880" s="11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11"/>
      <c r="B881" s="11"/>
      <c r="C881" s="11"/>
      <c r="D881" s="11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11"/>
      <c r="B882" s="11"/>
      <c r="C882" s="11"/>
      <c r="D882" s="11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11"/>
      <c r="B883" s="11"/>
      <c r="C883" s="11"/>
      <c r="D883" s="11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11"/>
      <c r="B884" s="11"/>
      <c r="C884" s="11"/>
      <c r="D884" s="11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11"/>
      <c r="B885" s="11"/>
      <c r="C885" s="11"/>
      <c r="D885" s="11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11"/>
      <c r="B886" s="11"/>
      <c r="C886" s="11"/>
      <c r="D886" s="11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11"/>
      <c r="B887" s="11"/>
      <c r="C887" s="11"/>
      <c r="D887" s="11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11"/>
      <c r="B888" s="11"/>
      <c r="C888" s="11"/>
      <c r="D888" s="11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11"/>
      <c r="B889" s="11"/>
      <c r="C889" s="11"/>
      <c r="D889" s="11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11"/>
      <c r="B890" s="11"/>
      <c r="C890" s="11"/>
      <c r="D890" s="11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11"/>
      <c r="B891" s="11"/>
      <c r="C891" s="11"/>
      <c r="D891" s="11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11"/>
      <c r="B892" s="11"/>
      <c r="C892" s="11"/>
      <c r="D892" s="11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11"/>
      <c r="B893" s="11"/>
      <c r="C893" s="11"/>
      <c r="D893" s="11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11"/>
      <c r="B894" s="11"/>
      <c r="C894" s="11"/>
      <c r="D894" s="11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11"/>
      <c r="B895" s="11"/>
      <c r="C895" s="11"/>
      <c r="D895" s="11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11"/>
      <c r="B896" s="11"/>
      <c r="C896" s="11"/>
      <c r="D896" s="11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11"/>
      <c r="B897" s="11"/>
      <c r="C897" s="11"/>
      <c r="D897" s="11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11"/>
      <c r="B898" s="11"/>
      <c r="C898" s="11"/>
      <c r="D898" s="11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11"/>
      <c r="B899" s="11"/>
      <c r="C899" s="11"/>
      <c r="D899" s="11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11"/>
      <c r="B900" s="11"/>
      <c r="C900" s="11"/>
      <c r="D900" s="11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11"/>
      <c r="B901" s="11"/>
      <c r="C901" s="11"/>
      <c r="D901" s="11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11"/>
      <c r="B902" s="11"/>
      <c r="C902" s="11"/>
      <c r="D902" s="11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11"/>
      <c r="B903" s="11"/>
      <c r="C903" s="11"/>
      <c r="D903" s="11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11"/>
      <c r="B904" s="11"/>
      <c r="C904" s="11"/>
      <c r="D904" s="11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11"/>
      <c r="B905" s="11"/>
      <c r="C905" s="11"/>
      <c r="D905" s="11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11"/>
      <c r="B906" s="11"/>
      <c r="C906" s="11"/>
      <c r="D906" s="11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11"/>
      <c r="B907" s="11"/>
      <c r="C907" s="11"/>
      <c r="D907" s="11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11"/>
      <c r="B908" s="11"/>
      <c r="C908" s="11"/>
      <c r="D908" s="11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11"/>
      <c r="B909" s="11"/>
      <c r="C909" s="11"/>
      <c r="D909" s="11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11"/>
      <c r="B910" s="11"/>
      <c r="C910" s="11"/>
      <c r="D910" s="11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11"/>
      <c r="B911" s="11"/>
      <c r="C911" s="11"/>
      <c r="D911" s="11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11"/>
      <c r="B912" s="11"/>
      <c r="C912" s="11"/>
      <c r="D912" s="11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11"/>
      <c r="B913" s="11"/>
      <c r="C913" s="11"/>
      <c r="D913" s="11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11"/>
      <c r="B914" s="11"/>
      <c r="C914" s="11"/>
      <c r="D914" s="11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11"/>
      <c r="B915" s="11"/>
      <c r="C915" s="11"/>
      <c r="D915" s="11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11"/>
      <c r="B916" s="11"/>
      <c r="C916" s="11"/>
      <c r="D916" s="11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11"/>
      <c r="B917" s="11"/>
      <c r="C917" s="11"/>
      <c r="D917" s="11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11"/>
      <c r="B918" s="11"/>
      <c r="C918" s="11"/>
      <c r="D918" s="11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11"/>
      <c r="B919" s="11"/>
      <c r="C919" s="11"/>
      <c r="D919" s="11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11"/>
      <c r="B920" s="11"/>
      <c r="C920" s="11"/>
      <c r="D920" s="11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11"/>
      <c r="B921" s="11"/>
      <c r="C921" s="11"/>
      <c r="D921" s="11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11"/>
      <c r="B922" s="11"/>
      <c r="C922" s="11"/>
      <c r="D922" s="11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11"/>
      <c r="B923" s="11"/>
      <c r="C923" s="11"/>
      <c r="D923" s="11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11"/>
      <c r="B924" s="11"/>
      <c r="C924" s="11"/>
      <c r="D924" s="11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11"/>
      <c r="B925" s="11"/>
      <c r="C925" s="11"/>
      <c r="D925" s="11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11"/>
      <c r="B926" s="11"/>
      <c r="C926" s="11"/>
      <c r="D926" s="11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11"/>
      <c r="B927" s="11"/>
      <c r="C927" s="11"/>
      <c r="D927" s="11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11"/>
      <c r="B928" s="11"/>
      <c r="C928" s="11"/>
      <c r="D928" s="11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11"/>
      <c r="B929" s="11"/>
      <c r="C929" s="11"/>
      <c r="D929" s="11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11"/>
      <c r="B930" s="11"/>
      <c r="C930" s="11"/>
      <c r="D930" s="11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11"/>
      <c r="B931" s="11"/>
      <c r="C931" s="11"/>
      <c r="D931" s="11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11"/>
      <c r="B932" s="11"/>
      <c r="C932" s="11"/>
      <c r="D932" s="11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11"/>
      <c r="B933" s="11"/>
      <c r="C933" s="11"/>
      <c r="D933" s="11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11"/>
      <c r="B934" s="11"/>
      <c r="C934" s="11"/>
      <c r="D934" s="11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11"/>
      <c r="B935" s="11"/>
      <c r="C935" s="11"/>
      <c r="D935" s="11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11"/>
      <c r="B936" s="11"/>
      <c r="C936" s="11"/>
      <c r="D936" s="11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11"/>
      <c r="B937" s="11"/>
      <c r="C937" s="11"/>
      <c r="D937" s="11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11"/>
      <c r="B938" s="11"/>
      <c r="C938" s="11"/>
      <c r="D938" s="11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11"/>
      <c r="B939" s="11"/>
      <c r="C939" s="11"/>
      <c r="D939" s="11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11"/>
      <c r="B940" s="11"/>
      <c r="C940" s="11"/>
      <c r="D940" s="11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11"/>
      <c r="B941" s="11"/>
      <c r="C941" s="11"/>
      <c r="D941" s="11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11"/>
      <c r="B942" s="11"/>
      <c r="C942" s="11"/>
      <c r="D942" s="11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11"/>
      <c r="B943" s="11"/>
      <c r="C943" s="11"/>
      <c r="D943" s="11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11"/>
      <c r="B944" s="11"/>
      <c r="C944" s="11"/>
      <c r="D944" s="11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11"/>
      <c r="B945" s="11"/>
      <c r="C945" s="11"/>
      <c r="D945" s="11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11"/>
      <c r="B946" s="11"/>
      <c r="C946" s="11"/>
      <c r="D946" s="11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11"/>
      <c r="B947" s="11"/>
      <c r="C947" s="11"/>
      <c r="D947" s="11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11"/>
      <c r="B948" s="11"/>
      <c r="C948" s="11"/>
      <c r="D948" s="11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11"/>
      <c r="B949" s="11"/>
      <c r="C949" s="11"/>
      <c r="D949" s="11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11"/>
      <c r="B950" s="11"/>
      <c r="C950" s="11"/>
      <c r="D950" s="11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11"/>
      <c r="B951" s="11"/>
      <c r="C951" s="11"/>
      <c r="D951" s="11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11"/>
      <c r="B952" s="11"/>
      <c r="C952" s="11"/>
      <c r="D952" s="11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11"/>
      <c r="B953" s="11"/>
      <c r="C953" s="11"/>
      <c r="D953" s="11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11"/>
      <c r="B954" s="11"/>
      <c r="C954" s="11"/>
      <c r="D954" s="11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11"/>
      <c r="B955" s="11"/>
      <c r="C955" s="11"/>
      <c r="D955" s="11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11"/>
      <c r="B956" s="11"/>
      <c r="C956" s="11"/>
      <c r="D956" s="11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11"/>
      <c r="B957" s="11"/>
      <c r="C957" s="11"/>
      <c r="D957" s="11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11"/>
      <c r="B958" s="11"/>
      <c r="C958" s="11"/>
      <c r="D958" s="11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11"/>
      <c r="B959" s="11"/>
      <c r="C959" s="11"/>
      <c r="D959" s="11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11"/>
      <c r="B960" s="11"/>
      <c r="C960" s="11"/>
      <c r="D960" s="11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11"/>
      <c r="B961" s="11"/>
      <c r="C961" s="11"/>
      <c r="D961" s="11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11"/>
      <c r="B962" s="11"/>
      <c r="C962" s="11"/>
      <c r="D962" s="11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11"/>
      <c r="B963" s="11"/>
      <c r="C963" s="11"/>
      <c r="D963" s="11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11"/>
      <c r="B964" s="11"/>
      <c r="C964" s="11"/>
      <c r="D964" s="11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11"/>
      <c r="B965" s="11"/>
      <c r="C965" s="11"/>
      <c r="D965" s="11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11"/>
      <c r="B966" s="11"/>
      <c r="C966" s="11"/>
      <c r="D966" s="11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11"/>
      <c r="B967" s="11"/>
      <c r="C967" s="11"/>
      <c r="D967" s="11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11"/>
      <c r="B968" s="11"/>
      <c r="C968" s="11"/>
      <c r="D968" s="11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11"/>
      <c r="B969" s="11"/>
      <c r="C969" s="11"/>
      <c r="D969" s="11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11"/>
      <c r="B970" s="11"/>
      <c r="C970" s="11"/>
      <c r="D970" s="11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11"/>
      <c r="B971" s="11"/>
      <c r="C971" s="11"/>
      <c r="D971" s="11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11"/>
      <c r="B972" s="11"/>
      <c r="C972" s="11"/>
      <c r="D972" s="11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11"/>
      <c r="B973" s="11"/>
      <c r="C973" s="11"/>
      <c r="D973" s="11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11"/>
      <c r="B974" s="11"/>
      <c r="C974" s="11"/>
      <c r="D974" s="11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11"/>
      <c r="B975" s="11"/>
      <c r="C975" s="11"/>
      <c r="D975" s="11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11"/>
      <c r="B976" s="11"/>
      <c r="C976" s="11"/>
      <c r="D976" s="11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11"/>
      <c r="B977" s="11"/>
      <c r="C977" s="11"/>
      <c r="D977" s="11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11"/>
      <c r="B978" s="11"/>
      <c r="C978" s="11"/>
      <c r="D978" s="11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">
      <c r="A979" s="11"/>
      <c r="B979" s="11"/>
      <c r="C979" s="11"/>
      <c r="D979" s="11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">
      <c r="A980" s="11"/>
      <c r="B980" s="11"/>
      <c r="C980" s="11"/>
      <c r="D980" s="11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">
      <c r="A981" s="11"/>
      <c r="B981" s="11"/>
      <c r="C981" s="11"/>
      <c r="D981" s="11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">
      <c r="A982" s="11"/>
      <c r="B982" s="11"/>
      <c r="C982" s="11"/>
      <c r="D982" s="11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">
      <c r="A983" s="11"/>
      <c r="B983" s="11"/>
      <c r="C983" s="11"/>
      <c r="D983" s="11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">
      <c r="A984" s="11"/>
      <c r="B984" s="11"/>
      <c r="C984" s="11"/>
      <c r="D984" s="11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">
      <c r="A985" s="11"/>
      <c r="B985" s="11"/>
      <c r="C985" s="11"/>
      <c r="D985" s="11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">
      <c r="A986" s="11"/>
      <c r="B986" s="11"/>
      <c r="C986" s="11"/>
      <c r="D986" s="11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">
      <c r="A987" s="11"/>
      <c r="B987" s="11"/>
      <c r="C987" s="11"/>
      <c r="D987" s="11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">
      <c r="A988" s="11"/>
      <c r="B988" s="11"/>
      <c r="C988" s="11"/>
      <c r="D988" s="11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">
      <c r="A989" s="11"/>
      <c r="B989" s="11"/>
      <c r="C989" s="11"/>
      <c r="D989" s="11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">
      <c r="A990" s="11"/>
      <c r="B990" s="11"/>
      <c r="C990" s="11"/>
      <c r="D990" s="11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">
      <c r="A991" s="11"/>
      <c r="B991" s="11"/>
      <c r="C991" s="11"/>
      <c r="D991" s="11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">
      <c r="A992" s="11"/>
      <c r="B992" s="11"/>
      <c r="C992" s="11"/>
      <c r="D992" s="11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">
      <c r="A993" s="11"/>
      <c r="B993" s="11"/>
      <c r="C993" s="11"/>
      <c r="D993" s="11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">
      <c r="A994" s="11"/>
      <c r="B994" s="11"/>
      <c r="C994" s="11"/>
      <c r="D994" s="11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">
      <c r="A995" s="11"/>
      <c r="B995" s="11"/>
      <c r="C995" s="11"/>
      <c r="D995" s="11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">
      <c r="A996" s="11"/>
      <c r="B996" s="11"/>
      <c r="C996" s="11"/>
      <c r="D996" s="11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">
      <c r="A997" s="11"/>
      <c r="B997" s="11"/>
      <c r="C997" s="11"/>
      <c r="D997" s="11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3">
      <c r="A998" s="11"/>
      <c r="B998" s="11"/>
      <c r="C998" s="11"/>
      <c r="D998" s="11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3">
      <c r="A999" s="11"/>
      <c r="B999" s="11"/>
      <c r="C999" s="11"/>
      <c r="D999" s="11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3">
      <c r="A1000" s="11"/>
      <c r="B1000" s="11"/>
      <c r="C1000" s="11"/>
      <c r="D1000" s="11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B2:C2"/>
    <mergeCell ref="C7:G7"/>
  </mergeCells>
  <hyperlinks>
    <hyperlink ref="K2" r:id="rId1" xr:uid="{A4752E3E-866B-4B71-BC81-F4866049FECC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Data</vt:lpstr>
      <vt:lpstr>Other Details</vt:lpstr>
      <vt:lpstr>cos</vt:lpstr>
      <vt:lpstr>data</vt:lpstr>
      <vt:lpstr>div</vt:lpstr>
      <vt:lpstr>list</vt:lpstr>
      <vt:lpstr>no</vt:lpstr>
      <vt:lpstr>per</vt:lpstr>
      <vt:lpstr>sin</vt:lpstr>
      <vt:lpstr>volt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Ankesh Mishra</cp:lastModifiedBy>
  <dcterms:modified xsi:type="dcterms:W3CDTF">2025-03-19T07:59:18Z</dcterms:modified>
</cp:coreProperties>
</file>