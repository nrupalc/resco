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12345\Unlocked\"/>
    </mc:Choice>
  </mc:AlternateContent>
  <xr:revisionPtr revIDLastSave="0" documentId="13_ncr:9_{D354C447-88C2-4BED-BC23-E3A8E67941F0}" xr6:coauthVersionLast="47" xr6:coauthVersionMax="47" xr10:uidLastSave="{00000000-0000-0000-0000-000000000000}"/>
  <bookViews>
    <workbookView xWindow="-108" yWindow="-108" windowWidth="23256" windowHeight="12456" xr2:uid="{EB936354-640D-49EE-B144-99186E05FEF2}"/>
  </bookViews>
  <sheets>
    <sheet name="Gutter Nomber" sheetId="7" r:id="rId1"/>
    <sheet name="Storm system" sheetId="6" r:id="rId2"/>
  </sheets>
  <definedNames>
    <definedName name="_xlnm.Print_Area" localSheetId="0">'Gutter Nomber'!$A$1:$I$57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3" i="7" l="1"/>
  <c r="G51" i="7"/>
  <c r="D56" i="7"/>
  <c r="I45" i="7"/>
  <c r="I54" i="7" s="1"/>
  <c r="I47" i="7"/>
  <c r="I56" i="7" s="1"/>
  <c r="I48" i="7"/>
  <c r="I57" i="7" s="1"/>
  <c r="I38" i="7"/>
  <c r="H45" i="7"/>
  <c r="H54" i="7" s="1"/>
  <c r="H47" i="7"/>
  <c r="H56" i="7" s="1"/>
  <c r="H48" i="7"/>
  <c r="H57" i="7" s="1"/>
  <c r="H38" i="7"/>
  <c r="G45" i="7"/>
  <c r="G54" i="7" s="1"/>
  <c r="G47" i="7"/>
  <c r="G56" i="7" s="1"/>
  <c r="G48" i="7"/>
  <c r="G38" i="7" s="1"/>
  <c r="F45" i="7"/>
  <c r="F54" i="7" s="1"/>
  <c r="F47" i="7"/>
  <c r="F56" i="7" s="1"/>
  <c r="F48" i="7"/>
  <c r="F57" i="7" s="1"/>
  <c r="E45" i="7"/>
  <c r="E54" i="7" s="1"/>
  <c r="E47" i="7"/>
  <c r="E56" i="7" s="1"/>
  <c r="E46" i="7"/>
  <c r="E55" i="7" s="1"/>
  <c r="E38" i="7"/>
  <c r="D45" i="7"/>
  <c r="D54" i="7" s="1"/>
  <c r="D47" i="7"/>
  <c r="D46" i="7"/>
  <c r="D55" i="7" s="1"/>
  <c r="D38" i="7"/>
  <c r="I46" i="7"/>
  <c r="I55" i="7" s="1"/>
  <c r="I44" i="7"/>
  <c r="I43" i="7"/>
  <c r="I52" i="7" s="1"/>
  <c r="I42" i="7"/>
  <c r="I51" i="7" s="1"/>
  <c r="H46" i="7"/>
  <c r="H55" i="7" s="1"/>
  <c r="H44" i="7"/>
  <c r="H53" i="7" s="1"/>
  <c r="H43" i="7"/>
  <c r="H52" i="7" s="1"/>
  <c r="H42" i="7"/>
  <c r="H51" i="7" s="1"/>
  <c r="D48" i="7"/>
  <c r="D57" i="7" s="1"/>
  <c r="D44" i="7"/>
  <c r="D53" i="7" s="1"/>
  <c r="D43" i="7"/>
  <c r="D52" i="7" s="1"/>
  <c r="D42" i="7"/>
  <c r="D51" i="7" s="1"/>
  <c r="E48" i="7"/>
  <c r="E57" i="7" s="1"/>
  <c r="E44" i="7"/>
  <c r="E53" i="7" s="1"/>
  <c r="E43" i="7"/>
  <c r="E52" i="7" s="1"/>
  <c r="E42" i="7"/>
  <c r="E51" i="7" s="1"/>
  <c r="F46" i="7"/>
  <c r="F55" i="7" s="1"/>
  <c r="F44" i="7"/>
  <c r="F53" i="7" s="1"/>
  <c r="F43" i="7"/>
  <c r="F52" i="7" s="1"/>
  <c r="F42" i="7"/>
  <c r="F51" i="7" s="1"/>
  <c r="G46" i="7"/>
  <c r="G55" i="7" s="1"/>
  <c r="G44" i="7"/>
  <c r="G53" i="7" s="1"/>
  <c r="G43" i="7"/>
  <c r="G52" i="7" s="1"/>
  <c r="G42" i="7"/>
  <c r="E21" i="7"/>
  <c r="E5" i="7"/>
  <c r="F5" i="7"/>
  <c r="G5" i="7"/>
  <c r="H5" i="7"/>
  <c r="H6" i="7" s="1"/>
  <c r="H11" i="7" s="1"/>
  <c r="H8" i="7" s="1"/>
  <c r="I5" i="7"/>
  <c r="D6" i="7"/>
  <c r="D11" i="7" s="1"/>
  <c r="D8" i="7" s="1"/>
  <c r="E17" i="7"/>
  <c r="E19" i="7"/>
  <c r="E20" i="7"/>
  <c r="E6" i="7"/>
  <c r="E11" i="7" s="1"/>
  <c r="E8" i="7" s="1"/>
  <c r="F6" i="7"/>
  <c r="F11" i="7" s="1"/>
  <c r="F8" i="7" s="1"/>
  <c r="G6" i="7"/>
  <c r="G11" i="7" s="1"/>
  <c r="G8" i="7" s="1"/>
  <c r="I6" i="7"/>
  <c r="D29" i="7"/>
  <c r="D7" i="7"/>
  <c r="D24" i="7" s="1"/>
  <c r="D9" i="7" s="1"/>
  <c r="F29" i="7"/>
  <c r="E29" i="7" s="1"/>
  <c r="E31" i="7"/>
  <c r="E7" i="7"/>
  <c r="F30" i="7"/>
  <c r="F7" i="7"/>
  <c r="G31" i="7"/>
  <c r="G7" i="7"/>
  <c r="G24" i="7" s="1"/>
  <c r="G9" i="7" s="1"/>
  <c r="H32" i="7"/>
  <c r="H7" i="7"/>
  <c r="H24" i="7" s="1"/>
  <c r="H9" i="7" s="1"/>
  <c r="I32" i="7"/>
  <c r="I7" i="7"/>
  <c r="I24" i="7" s="1"/>
  <c r="I9" i="7" s="1"/>
  <c r="E18" i="7"/>
  <c r="E16" i="7"/>
  <c r="I11" i="7"/>
  <c r="I8" i="7" s="1"/>
  <c r="D31" i="7"/>
  <c r="D30" i="7"/>
  <c r="E30" i="7" s="1"/>
  <c r="F31" i="7"/>
  <c r="F24" i="7"/>
  <c r="F9" i="7" s="1"/>
  <c r="G32" i="7"/>
  <c r="H31" i="7"/>
  <c r="H33" i="7"/>
  <c r="I31" i="7"/>
  <c r="I33" i="7"/>
  <c r="E15" i="7"/>
  <c r="D28" i="7"/>
  <c r="F28" i="7"/>
  <c r="E28" i="7"/>
  <c r="G28" i="7"/>
  <c r="H28" i="7"/>
  <c r="I28" i="7"/>
  <c r="G29" i="7"/>
  <c r="H29" i="7"/>
  <c r="I29" i="7"/>
  <c r="G30" i="7"/>
  <c r="H30" i="7"/>
  <c r="I30" i="7"/>
  <c r="D32" i="7"/>
  <c r="E32" i="7" s="1"/>
  <c r="F32" i="7"/>
  <c r="D33" i="7"/>
  <c r="E33" i="7" s="1"/>
  <c r="F33" i="7"/>
  <c r="G33" i="7"/>
  <c r="D34" i="7"/>
  <c r="E34" i="7" s="1"/>
  <c r="F34" i="7"/>
  <c r="G34" i="7"/>
  <c r="H34" i="7"/>
  <c r="I34" i="7"/>
  <c r="D35" i="7"/>
  <c r="E35" i="7" s="1"/>
  <c r="F35" i="7"/>
  <c r="G35" i="7"/>
  <c r="H35" i="7"/>
  <c r="I35" i="7"/>
  <c r="I5" i="6"/>
  <c r="I6" i="6" s="1"/>
  <c r="I11" i="6" s="1"/>
  <c r="I8" i="6" s="1"/>
  <c r="H5" i="6"/>
  <c r="H6" i="6" s="1"/>
  <c r="H11" i="6" s="1"/>
  <c r="H8" i="6" s="1"/>
  <c r="G5" i="6"/>
  <c r="G7" i="6" s="1"/>
  <c r="G24" i="6" s="1"/>
  <c r="G9" i="6" s="1"/>
  <c r="G6" i="6"/>
  <c r="G11" i="6" s="1"/>
  <c r="G8" i="6" s="1"/>
  <c r="F5" i="6"/>
  <c r="F7" i="6" s="1"/>
  <c r="F24" i="6" s="1"/>
  <c r="F9" i="6" s="1"/>
  <c r="F6" i="6"/>
  <c r="F11" i="6"/>
  <c r="F8" i="6" s="1"/>
  <c r="E5" i="6"/>
  <c r="E7" i="6" s="1"/>
  <c r="E24" i="6" s="1"/>
  <c r="E9" i="6" s="1"/>
  <c r="E16" i="6"/>
  <c r="E15" i="6"/>
  <c r="E17" i="6"/>
  <c r="E18" i="6"/>
  <c r="D28" i="6"/>
  <c r="E28" i="6" s="1"/>
  <c r="F28" i="6"/>
  <c r="D31" i="6"/>
  <c r="F31" i="6"/>
  <c r="E31" i="6"/>
  <c r="D29" i="6"/>
  <c r="E29" i="6" s="1"/>
  <c r="F29" i="6"/>
  <c r="F30" i="6"/>
  <c r="G29" i="6"/>
  <c r="G28" i="6"/>
  <c r="G31" i="6"/>
  <c r="G30" i="6"/>
  <c r="H30" i="6"/>
  <c r="H28" i="6"/>
  <c r="H7" i="6"/>
  <c r="H24" i="6" s="1"/>
  <c r="H9" i="6" s="1"/>
  <c r="H31" i="6"/>
  <c r="H29" i="6"/>
  <c r="I30" i="6"/>
  <c r="I28" i="6"/>
  <c r="I7" i="6"/>
  <c r="I24" i="6" s="1"/>
  <c r="I9" i="6" s="1"/>
  <c r="I31" i="6"/>
  <c r="I29" i="6"/>
  <c r="D6" i="6"/>
  <c r="D11" i="6" s="1"/>
  <c r="D8" i="6" s="1"/>
  <c r="E21" i="6"/>
  <c r="E20" i="6"/>
  <c r="E19" i="6"/>
  <c r="D30" i="6"/>
  <c r="E30" i="6" s="1"/>
  <c r="I33" i="6"/>
  <c r="I32" i="6"/>
  <c r="H33" i="6"/>
  <c r="H32" i="6"/>
  <c r="G33" i="6"/>
  <c r="G32" i="6"/>
  <c r="F33" i="6"/>
  <c r="F32" i="6"/>
  <c r="I34" i="6"/>
  <c r="I35" i="6"/>
  <c r="H35" i="6"/>
  <c r="H34" i="6"/>
  <c r="G35" i="6"/>
  <c r="G34" i="6"/>
  <c r="D32" i="6"/>
  <c r="E32" i="6"/>
  <c r="D33" i="6"/>
  <c r="E33" i="6"/>
  <c r="D34" i="6"/>
  <c r="F34" i="6"/>
  <c r="E34" i="6"/>
  <c r="D35" i="6"/>
  <c r="F35" i="6"/>
  <c r="E35" i="6" s="1"/>
  <c r="E24" i="7" l="1"/>
  <c r="E9" i="7" s="1"/>
  <c r="G57" i="7"/>
  <c r="D7" i="6"/>
  <c r="D24" i="6" s="1"/>
  <c r="D9" i="6" s="1"/>
  <c r="E6" i="6"/>
  <c r="E11" i="6" s="1"/>
  <c r="E8" i="6" s="1"/>
  <c r="F3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Rami Of The Control</author>
  </authors>
  <commentList>
    <comment ref="D5" authorId="0" shapeId="0" xr:uid="{405BC562-78E8-4947-8C85-6D6017D6886D}">
      <text>
        <r>
          <rPr>
            <b/>
            <i/>
            <sz val="16"/>
            <color indexed="81"/>
            <rFont val="Tahoma"/>
            <family val="2"/>
          </rPr>
          <t xml:space="preserve">EDIT YOUR  AREA
</t>
        </r>
      </text>
    </comment>
    <comment ref="C6" authorId="0" shapeId="0" xr:uid="{EB457F57-F4B2-46A6-BAB0-6D0AF90DB7F0}">
      <text>
        <r>
          <rPr>
            <b/>
            <sz val="8"/>
            <color indexed="81"/>
            <rFont val="Tahoma"/>
            <charset val="178"/>
          </rPr>
          <t xml:space="preserve">in meter square (m </t>
        </r>
        <r>
          <rPr>
            <b/>
            <vertAlign val="superscript"/>
            <sz val="8"/>
            <color indexed="81"/>
            <rFont val="Tahoma"/>
            <family val="2"/>
          </rPr>
          <t xml:space="preserve">2 </t>
        </r>
        <r>
          <rPr>
            <b/>
            <sz val="8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Rami Of The Control</author>
    <author>abdelhamedemam</author>
  </authors>
  <commentList>
    <comment ref="D5" authorId="0" shapeId="0" xr:uid="{867CAA50-EBDE-4F37-8F59-49FB9A674C26}">
      <text>
        <r>
          <rPr>
            <b/>
            <i/>
            <sz val="16"/>
            <color indexed="81"/>
            <rFont val="Tahoma"/>
            <family val="2"/>
          </rPr>
          <t xml:space="preserve">EDIT YOUR  AREA
</t>
        </r>
      </text>
    </comment>
    <comment ref="C6" authorId="0" shapeId="0" xr:uid="{AC7A7A98-6D22-4E8E-A8FE-A9019F7B49D3}">
      <text>
        <r>
          <rPr>
            <b/>
            <sz val="8"/>
            <color indexed="81"/>
            <rFont val="Tahoma"/>
            <charset val="178"/>
          </rPr>
          <t xml:space="preserve">in meter square (m </t>
        </r>
        <r>
          <rPr>
            <b/>
            <vertAlign val="superscript"/>
            <sz val="8"/>
            <color indexed="81"/>
            <rFont val="Tahoma"/>
            <family val="2"/>
          </rPr>
          <t xml:space="preserve">2 </t>
        </r>
        <r>
          <rPr>
            <b/>
            <sz val="8"/>
            <color indexed="81"/>
            <rFont val="Tahoma"/>
            <family val="2"/>
          </rPr>
          <t>)</t>
        </r>
      </text>
    </comment>
    <comment ref="D8" authorId="1" shapeId="0" xr:uid="{3419E21D-3483-44CE-A5FA-41D3FC20B4CA}">
      <text>
        <r>
          <rPr>
            <b/>
            <sz val="8"/>
            <color indexed="81"/>
            <rFont val="Tahoma"/>
          </rPr>
          <t>abdelhamedemam: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<sst xmlns="http://schemas.openxmlformats.org/spreadsheetml/2006/main" count="88" uniqueCount="33">
  <si>
    <t xml:space="preserve">ALLOWABLE PROJECTED ROOF AREA </t>
  </si>
  <si>
    <t>SIZING OF VERTICAL CONDUCTOR</t>
  </si>
  <si>
    <t>1in</t>
  </si>
  <si>
    <t>1.5 in</t>
  </si>
  <si>
    <t>2 in</t>
  </si>
  <si>
    <t>4 in</t>
  </si>
  <si>
    <t>5 in</t>
  </si>
  <si>
    <t>6 in</t>
  </si>
  <si>
    <t>Equivelent Diam. of Cond.</t>
  </si>
  <si>
    <t xml:space="preserve">Different Rainfall rates </t>
  </si>
  <si>
    <t>DIAM. OF COND.(in)</t>
  </si>
  <si>
    <t>DIAM. OF PIPE(in)</t>
  </si>
  <si>
    <t>SIZING OF HORIZONTAL CONDUCTOR</t>
  </si>
  <si>
    <t xml:space="preserve">STORM WATER CALCULATIONS </t>
  </si>
  <si>
    <t>NAME :</t>
  </si>
  <si>
    <t>Eng. Abdulahameed Emam</t>
  </si>
  <si>
    <t>DATA OUT</t>
  </si>
  <si>
    <t>DATA IN</t>
  </si>
  <si>
    <r>
      <t xml:space="preserve">ALLOWABLE PROJECTED ROOF AREA </t>
    </r>
    <r>
      <rPr>
        <b/>
        <i/>
        <u/>
        <sz val="10"/>
        <rFont val="Arial"/>
        <family val="2"/>
      </rPr>
      <t>AT SLOPE 1/100 (1%)</t>
    </r>
  </si>
  <si>
    <t>Projected Arae (ver)</t>
  </si>
  <si>
    <t>Projected Arae(hor)</t>
  </si>
  <si>
    <t>Equivelent Diam. of PIPE</t>
  </si>
  <si>
    <t>Diameter of Horizontal Pipe (inches)</t>
  </si>
  <si>
    <t>Diameter of Vertical Conductor (inches)</t>
  </si>
  <si>
    <t>Different Rainfall rates (inch/Hour)</t>
  </si>
  <si>
    <r>
      <t>Allowable Projected roof Area (m</t>
    </r>
    <r>
      <rPr>
        <b/>
        <i/>
        <vertAlign val="superscript"/>
        <sz val="12"/>
        <rFont val="Arial"/>
        <family val="2"/>
      </rPr>
      <t>2</t>
    </r>
    <r>
      <rPr>
        <b/>
        <i/>
        <sz val="12"/>
        <rFont val="Arial"/>
        <family val="2"/>
      </rPr>
      <t>)</t>
    </r>
  </si>
  <si>
    <t xml:space="preserve"> As per national standard plumbing code (NSPC) </t>
  </si>
  <si>
    <t>page No. (325) table (13.6.1) and page no. (326) table (13.6.2).</t>
  </si>
  <si>
    <t>SIZING OF ROOF GUTTERS</t>
  </si>
  <si>
    <t>DIAM. OF GUUTER(inches)</t>
  </si>
  <si>
    <t xml:space="preserve">MAXIMUM PROJECTED ROOF AREA FOR GUTTERS AT VARIOUS RAINFALLS RATES </t>
  </si>
  <si>
    <t>DIAMETER OF GUTTERS REQUIRED (inches)</t>
  </si>
  <si>
    <t xml:space="preserve">NOMBERS OF GUUTERS REQUIRED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</si>
</sst>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  <charset val="178"/>
    </font>
    <font>
      <sz val="8"/>
      <name val="Arial"/>
      <charset val="178"/>
    </font>
    <font>
      <b/>
      <sz val="8"/>
      <color indexed="81"/>
      <name val="Tahoma"/>
      <charset val="178"/>
    </font>
    <font>
      <b/>
      <vertAlign val="superscript"/>
      <sz val="8"/>
      <color indexed="81"/>
      <name val="Tahoma"/>
      <family val="2"/>
    </font>
    <font>
      <b/>
      <sz val="8"/>
      <color indexed="81"/>
      <name val="Tahoma"/>
      <family val="2"/>
    </font>
    <font>
      <b/>
      <i/>
      <sz val="10"/>
      <name val="Arial"/>
      <family val="2"/>
    </font>
    <font>
      <b/>
      <i/>
      <u/>
      <sz val="10"/>
      <name val="Arial"/>
      <family val="2"/>
    </font>
    <font>
      <b/>
      <i/>
      <sz val="12"/>
      <name val="Arial"/>
      <family val="2"/>
    </font>
    <font>
      <b/>
      <sz val="12"/>
      <name val="Arial"/>
      <family val="2"/>
    </font>
    <font>
      <b/>
      <i/>
      <sz val="16"/>
      <color indexed="81"/>
      <name val="Tahoma"/>
      <family val="2"/>
    </font>
    <font>
      <b/>
      <i/>
      <vertAlign val="superscript"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1"/>
      <name val="Tahoma"/>
    </font>
    <font>
      <b/>
      <sz val="8"/>
      <color indexed="81"/>
      <name val="Tahoma"/>
    </font>
    <font>
      <b/>
      <i/>
      <u/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hidden="1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8" fillId="5" borderId="1" xfId="0" applyFont="1" applyFill="1" applyBorder="1" applyAlignment="1" applyProtection="1">
      <alignment horizontal="center" vertical="center"/>
      <protection hidden="1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 applyProtection="1">
      <alignment horizontal="center" vertical="center"/>
      <protection hidden="1"/>
    </xf>
    <xf numFmtId="0" fontId="8" fillId="6" borderId="1" xfId="0" applyFont="1" applyFill="1" applyBorder="1" applyAlignment="1" applyProtection="1">
      <alignment horizontal="center" vertical="center"/>
      <protection hidden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center" vertical="center"/>
      <protection hidden="1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 applyProtection="1">
      <alignment horizontal="center" vertical="center"/>
      <protection hidden="1"/>
    </xf>
    <xf numFmtId="0" fontId="8" fillId="7" borderId="1" xfId="0" applyFont="1" applyFill="1" applyBorder="1" applyAlignment="1" applyProtection="1">
      <alignment horizontal="center" vertical="center"/>
      <protection hidden="1"/>
    </xf>
    <xf numFmtId="0" fontId="7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 applyProtection="1">
      <alignment horizontal="center" vertical="center"/>
      <protection hidden="1"/>
    </xf>
    <xf numFmtId="0" fontId="8" fillId="8" borderId="1" xfId="0" applyFont="1" applyFill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5" fillId="0" borderId="0" xfId="0" applyFont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1" fillId="0" borderId="0" xfId="0" applyFont="1" applyAlignment="1">
      <alignment horizontal="right"/>
    </xf>
    <xf numFmtId="2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 applyProtection="1">
      <alignment horizontal="center" vertical="center"/>
      <protection hidden="1"/>
    </xf>
    <xf numFmtId="0" fontId="12" fillId="0" borderId="9" xfId="0" applyFont="1" applyFill="1" applyBorder="1" applyAlignment="1">
      <alignment horizontal="right"/>
    </xf>
    <xf numFmtId="0" fontId="15" fillId="0" borderId="0" xfId="0" applyFont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right"/>
    </xf>
    <xf numFmtId="0" fontId="5" fillId="0" borderId="6" xfId="0" applyFont="1" applyBorder="1" applyAlignment="1">
      <alignment horizontal="center" vertical="center" wrapText="1" shrinkToFit="1"/>
    </xf>
    <xf numFmtId="0" fontId="5" fillId="0" borderId="7" xfId="0" applyFont="1" applyBorder="1" applyAlignment="1">
      <alignment horizontal="center" vertical="center" wrapText="1" shrinkToFit="1"/>
    </xf>
    <xf numFmtId="0" fontId="5" fillId="0" borderId="4" xfId="0" applyFont="1" applyBorder="1" applyAlignment="1">
      <alignment horizontal="center" vertical="center" wrapText="1" shrinkToFit="1"/>
    </xf>
    <xf numFmtId="0" fontId="5" fillId="0" borderId="8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 applyProtection="1">
      <alignment horizontal="center" vertical="center"/>
      <protection hidden="1"/>
    </xf>
    <xf numFmtId="0" fontId="8" fillId="9" borderId="1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B9B6-4721-4E9B-BCDF-ACBE8D4FE23E}">
  <sheetPr codeName="Sheet7"/>
  <dimension ref="B1:J59"/>
  <sheetViews>
    <sheetView tabSelected="1" zoomScale="85" zoomScaleNormal="85" zoomScaleSheetLayoutView="85" workbookViewId="0">
      <selection activeCell="L62" sqref="L62"/>
    </sheetView>
  </sheetViews>
  <sheetFormatPr defaultRowHeight="13.2" x14ac:dyDescent="0.25"/>
  <cols>
    <col min="1" max="1" width="1.5546875" customWidth="1"/>
    <col min="2" max="2" width="14.33203125" bestFit="1" customWidth="1"/>
    <col min="3" max="3" width="49.33203125" bestFit="1" customWidth="1"/>
    <col min="4" max="5" width="13.6640625" customWidth="1"/>
    <col min="6" max="9" width="13.6640625" hidden="1" customWidth="1"/>
    <col min="10" max="10" width="10.6640625" customWidth="1"/>
  </cols>
  <sheetData>
    <row r="1" spans="2:10" x14ac:dyDescent="0.25">
      <c r="B1" s="1"/>
      <c r="C1" s="1"/>
      <c r="D1" s="37" t="s">
        <v>13</v>
      </c>
      <c r="E1" s="37"/>
      <c r="F1" s="37"/>
      <c r="G1" s="1"/>
      <c r="H1" s="1"/>
      <c r="I1" s="1"/>
      <c r="J1" s="1"/>
    </row>
    <row r="2" spans="2:10" x14ac:dyDescent="0.25">
      <c r="B2" s="7" t="s">
        <v>14</v>
      </c>
      <c r="C2" s="30" t="s">
        <v>15</v>
      </c>
      <c r="D2" s="8"/>
      <c r="E2" s="1"/>
      <c r="F2" s="33"/>
      <c r="G2" s="44" t="s">
        <v>26</v>
      </c>
      <c r="H2" s="44"/>
      <c r="I2" s="44"/>
      <c r="J2" s="1"/>
    </row>
    <row r="3" spans="2:10" ht="13.8" thickBot="1" x14ac:dyDescent="0.3">
      <c r="B3" s="7"/>
      <c r="C3" s="7"/>
      <c r="D3" s="8"/>
      <c r="E3" s="1"/>
      <c r="F3" s="36" t="s">
        <v>27</v>
      </c>
      <c r="G3" s="36"/>
      <c r="H3" s="36"/>
      <c r="I3" s="36"/>
      <c r="J3" s="1"/>
    </row>
    <row r="4" spans="2:10" s="2" customFormat="1" ht="24.9" customHeight="1" thickBot="1" x14ac:dyDescent="0.3">
      <c r="B4" s="38" t="s">
        <v>17</v>
      </c>
      <c r="C4" s="31" t="s">
        <v>24</v>
      </c>
      <c r="D4" s="15">
        <v>1</v>
      </c>
      <c r="E4" s="52">
        <v>1.5</v>
      </c>
      <c r="F4" s="18">
        <v>2</v>
      </c>
      <c r="G4" s="21">
        <v>4</v>
      </c>
      <c r="H4" s="23">
        <v>5</v>
      </c>
      <c r="I4" s="26">
        <v>6</v>
      </c>
    </row>
    <row r="5" spans="2:10" s="2" customFormat="1" ht="23.25" customHeight="1" thickBot="1" x14ac:dyDescent="0.3">
      <c r="B5" s="39"/>
      <c r="C5" s="31" t="s">
        <v>25</v>
      </c>
      <c r="D5" s="15">
        <v>1000</v>
      </c>
      <c r="E5" s="53">
        <f>D5</f>
        <v>1000</v>
      </c>
      <c r="F5" s="19">
        <f>D5</f>
        <v>1000</v>
      </c>
      <c r="G5" s="22">
        <f>D5</f>
        <v>1000</v>
      </c>
      <c r="H5" s="24">
        <f>D5</f>
        <v>1000</v>
      </c>
      <c r="I5" s="27">
        <f>D5</f>
        <v>1000</v>
      </c>
    </row>
    <row r="6" spans="2:10" s="2" customFormat="1" ht="24.9" hidden="1" customHeight="1" thickBot="1" x14ac:dyDescent="0.3">
      <c r="B6" s="39"/>
      <c r="C6" s="31" t="s">
        <v>19</v>
      </c>
      <c r="D6" s="16">
        <f>IF(AND(1&lt;D5,D5&lt;203),D15,IF(AND(202&lt;D5,D5&lt;367),D16,IF(AND(366&lt;D5,D5&lt;599),D17,IF(AND(598&lt;D5,D5&lt;1286),D18,IF(AND(1285&lt;D5,D5&lt;2334),D19,IF(AND(2333&lt;D5,D5&lt;3791),D20,IF(AND(2333&lt;D5,D5&lt;3791),D21,D21)))))))</f>
        <v>1285</v>
      </c>
      <c r="E6" s="53">
        <f>IF(AND(1&lt;E5,E5&lt;151.5),E15,IF(AND(151.5&lt;E5,E5&lt;247.5),E16,IF(AND(247.5&lt;E5,E5&lt;448.5),E17,IF(AND(448.5&lt;E5,E5&lt;963.5),E18,IF(AND(963.5&lt;E5,E5&lt;1749.5),E19,IF(AND(1749.5&lt;E5,E5&lt;2842.5),E20,IF(AND(2842.5&lt;E5,E5&lt;6131),E21,E21)))))))</f>
        <v>1749.5</v>
      </c>
      <c r="F6" s="19">
        <f>IF(AND(1&lt;F5,F5&lt;102),F15,IF(AND(101&lt;F5,F5&lt;184),F16,IF(AND(183&lt;F5,F5&lt;300),F17,IF(AND(299&lt;F5,F5&lt;643),F18,IF(AND(642&lt;F5,F5&lt;1167),F19,IF(AND(1166&lt;F5,F5&lt;1896),F20,IF(AND(1895&lt;F5,F5&lt;4087),F21,F21)))))))</f>
        <v>1166</v>
      </c>
      <c r="G6" s="22">
        <f>IF(AND(1&lt;G5,G5&lt;51),G15,IF(AND(50&lt;G5,G5&lt;92),G16,IF(AND(91&lt;G5,G5&lt;150),G17,IF(AND(149&lt;G5,G5&lt;322),G18,IF(AND(321&lt;G5,G5&lt;584),G19,IF(AND(583&lt;G5,G5&lt;948),G20,IF(AND(947&lt;G5,G5&lt;2043),G21,G21)))))))</f>
        <v>2043</v>
      </c>
      <c r="H6" s="24">
        <f>IF(AND(1&lt;H5,H5&lt;41),H15,IF(AND(40&lt;H5,H5&lt;74),H16,IF(AND(73&lt;H5,H5&lt;120),H17,IF(AND(119&lt;H5,H5&lt;258),H18,IF(AND(257&lt;H5,H5&lt;467),H19,IF(AND(466&lt;H5,H5&lt;759),H20,IF(AND(758&lt;H5,H5&lt;1635),H21,H21)))))))</f>
        <v>1635</v>
      </c>
      <c r="I6" s="27">
        <f>IF(AND(1&lt;I5,I5&lt;34),I15,IF(AND(33&lt;I5,I5&lt;62),I16,IF(AND(61&lt;I5,I5&lt;100),I17,IF(AND(99&lt;I5,I5&lt;215),I18,IF(AND(214&lt;I5,I5&lt;389),I19,IF(AND(388&lt;I5,I5&lt;632),I20,IF(AND(631&lt;I5,I5&lt;1362),I21,I21)))))))</f>
        <v>1362</v>
      </c>
    </row>
    <row r="7" spans="2:10" s="2" customFormat="1" ht="24.9" hidden="1" customHeight="1" thickBot="1" x14ac:dyDescent="0.3">
      <c r="B7" s="40"/>
      <c r="C7" s="31" t="s">
        <v>20</v>
      </c>
      <c r="D7" s="16">
        <f>IF(AND(0&lt;D5,D5&lt;306),D28,IF(AND(305&lt;D5,D5&lt;699),D29,IF(AND(698&lt;D5,D5&lt;1242),D30,IF(AND(1241&lt;D5,D5&lt;1989),D31,IF(AND(1988&lt;D5,D5&lt;274),D32,IF(AND(4273&lt;D5,D5&lt;7693),D33,IF(AND(7692&lt;D5,D5&lt;12375),D34,D35)))))))</f>
        <v>1241</v>
      </c>
      <c r="E7" s="53">
        <f>IF(AND(1&lt;E5,E5&lt;229),E28,IF(AND(228&lt;E5,E5&lt;524),E29,IF(AND(523&lt;E5,E5&lt;931),E30,IF(AND(930&lt;E5,E5&lt;1492),E31,IF(AND(1491&lt;E5,E5&lt;3205),E32,IF(AND(3204&lt;E5,E5&lt;5770),E33,IF(AND(5769&lt;E5,E5&lt;9280),E34,E35)))))))</f>
        <v>1491</v>
      </c>
      <c r="F7" s="19">
        <f>IF(AND(1&lt;F5,F5&lt;153),F28,IF(AND(152&lt;F5,F5&lt;350),F29,IF(AND(349&lt;F5,F5&lt;621),F30,IF(AND(620&lt;F5,F5&lt;995),F31,IF(AND(994&lt;F5,F5&lt;2137),F32,IF(AND(2136&lt;F5,F5&lt;3847),F33,IF(AND(3846&lt;F5,F5&lt;6187),F34,F35)))))))</f>
        <v>2136</v>
      </c>
      <c r="G7" s="22">
        <f>IF(AND(1&lt;G5,G5&lt;77),G28,IF(AND(76&lt;G5,G5&lt;175),G29,IF(AND(174&lt;G5,G5&lt;311),G30,IF(AND(310&lt;G5,G5&lt;498),G31,IF(AND(497&lt;G5,G5&lt;1069),G32,IF(AND(1068&lt;G5,G5&lt;1924),G33,IF(AND(1923&lt;G5,G5&lt;3093),G34,G35)))))))</f>
        <v>1068</v>
      </c>
      <c r="H7" s="24">
        <f>IF(AND(1&lt;H5,H5&lt;62),H28,IF(AND(61&lt;H5,H5&lt;140),H29,IF(AND(139&lt;H5,H5&lt;249),H30,IF(AND(248&lt;H5,H5&lt;398),H31,IF(AND(397&lt;H5,H5&lt;855),H32,IF(AND(854&lt;H5,H5&lt;1539),H33,IF(AND(1538&lt;H5,H5&lt;2475),H34,H35)))))))</f>
        <v>1538</v>
      </c>
      <c r="I7" s="27">
        <f>IF(AND(1&lt;I5,I5&lt;52),I28,IF(AND(51&lt;I5,I5&lt;117),I29,IF(AND(116&lt;I5,I5&lt;208),I30,IF(AND(207&lt;I5,I5&lt;332),I31,IF(AND(331&lt;I5,I5&lt;713),I32,IF(AND(712&lt;I5,I5&lt;1283),I33,IF(AND(1282&lt;I5,I5&lt;2062),I34,I35)))))))</f>
        <v>1282</v>
      </c>
    </row>
    <row r="8" spans="2:10" s="2" customFormat="1" ht="24.9" customHeight="1" thickBot="1" x14ac:dyDescent="0.3">
      <c r="B8" s="38" t="s">
        <v>16</v>
      </c>
      <c r="C8" s="32" t="s">
        <v>23</v>
      </c>
      <c r="D8" s="17">
        <f t="shared" ref="D8:I8" si="0">IF(D4=D10,D11,"TRY AGIAN")</f>
        <v>4</v>
      </c>
      <c r="E8" s="54">
        <f t="shared" si="0"/>
        <v>5</v>
      </c>
      <c r="F8" s="20">
        <f t="shared" si="0"/>
        <v>5</v>
      </c>
      <c r="G8" s="14">
        <f t="shared" si="0"/>
        <v>8</v>
      </c>
      <c r="H8" s="25">
        <f t="shared" si="0"/>
        <v>8</v>
      </c>
      <c r="I8" s="28">
        <f t="shared" si="0"/>
        <v>8</v>
      </c>
    </row>
    <row r="9" spans="2:10" s="2" customFormat="1" ht="24.9" customHeight="1" thickBot="1" x14ac:dyDescent="0.3">
      <c r="B9" s="40"/>
      <c r="C9" s="32" t="s">
        <v>22</v>
      </c>
      <c r="D9" s="17">
        <f t="shared" ref="D9:I9" si="1">IF(D4=D23,D24,"TRY AGIAN")</f>
        <v>5</v>
      </c>
      <c r="E9" s="54">
        <f t="shared" si="1"/>
        <v>6</v>
      </c>
      <c r="F9" s="20">
        <f t="shared" si="1"/>
        <v>8</v>
      </c>
      <c r="G9" s="14">
        <f t="shared" si="1"/>
        <v>8</v>
      </c>
      <c r="H9" s="25">
        <f t="shared" si="1"/>
        <v>10</v>
      </c>
      <c r="I9" s="28">
        <f t="shared" si="1"/>
        <v>10</v>
      </c>
    </row>
    <row r="10" spans="2:10" s="2" customFormat="1" ht="24.9" hidden="1" customHeight="1" thickBot="1" x14ac:dyDescent="0.3">
      <c r="B10" s="12"/>
      <c r="C10" s="3" t="s">
        <v>9</v>
      </c>
      <c r="D10" s="4">
        <v>1</v>
      </c>
      <c r="E10" s="4">
        <v>1.5</v>
      </c>
      <c r="F10" s="4">
        <v>2</v>
      </c>
      <c r="G10" s="4">
        <v>4</v>
      </c>
      <c r="H10" s="4">
        <v>5</v>
      </c>
      <c r="I10" s="4">
        <v>6</v>
      </c>
    </row>
    <row r="11" spans="2:10" s="2" customFormat="1" ht="24.9" hidden="1" customHeight="1" thickBot="1" x14ac:dyDescent="0.3">
      <c r="B11" s="12"/>
      <c r="C11" s="3" t="s">
        <v>8</v>
      </c>
      <c r="D11" s="5">
        <f>LOOKUP(D6,D15:D21,C15:C21)</f>
        <v>4</v>
      </c>
      <c r="E11" s="5">
        <f>LOOKUP(E6,E15:E21,C15:C21)</f>
        <v>5</v>
      </c>
      <c r="F11" s="5">
        <f>LOOKUP(F6,F15:F21,C15:C21)</f>
        <v>5</v>
      </c>
      <c r="G11" s="5">
        <f>LOOKUP(G6,G15:G21,C15:C21)</f>
        <v>8</v>
      </c>
      <c r="H11" s="5">
        <f>LOOKUP(H6,H15:H21,C15:C21)</f>
        <v>8</v>
      </c>
      <c r="I11" s="5">
        <f>LOOKUP(I6,I15:I21,C15:C21)</f>
        <v>8</v>
      </c>
    </row>
    <row r="12" spans="2:10" s="2" customFormat="1" ht="24.9" hidden="1" customHeight="1" thickBot="1" x14ac:dyDescent="0.3">
      <c r="B12" s="12"/>
      <c r="C12" s="45" t="s">
        <v>10</v>
      </c>
      <c r="D12" s="41" t="s">
        <v>1</v>
      </c>
      <c r="E12" s="42"/>
      <c r="F12" s="42"/>
      <c r="G12" s="42"/>
      <c r="H12" s="42"/>
      <c r="I12" s="43"/>
    </row>
    <row r="13" spans="2:10" s="2" customFormat="1" ht="24.9" hidden="1" customHeight="1" thickBot="1" x14ac:dyDescent="0.3">
      <c r="B13" s="12"/>
      <c r="C13" s="46"/>
      <c r="D13" s="41" t="s">
        <v>0</v>
      </c>
      <c r="E13" s="42"/>
      <c r="F13" s="42"/>
      <c r="G13" s="42"/>
      <c r="H13" s="42"/>
      <c r="I13" s="43"/>
    </row>
    <row r="14" spans="2:10" s="2" customFormat="1" ht="24.9" hidden="1" customHeight="1" thickBot="1" x14ac:dyDescent="0.3">
      <c r="B14" s="12"/>
      <c r="C14" s="47"/>
      <c r="D14" s="4" t="s">
        <v>2</v>
      </c>
      <c r="E14" s="4" t="s">
        <v>3</v>
      </c>
      <c r="F14" s="4" t="s">
        <v>4</v>
      </c>
      <c r="G14" s="4" t="s">
        <v>5</v>
      </c>
      <c r="H14" s="4" t="s">
        <v>6</v>
      </c>
      <c r="I14" s="4" t="s">
        <v>7</v>
      </c>
    </row>
    <row r="15" spans="2:10" s="2" customFormat="1" ht="24.9" hidden="1" customHeight="1" thickBot="1" x14ac:dyDescent="0.3">
      <c r="B15" s="12"/>
      <c r="C15" s="5">
        <v>2</v>
      </c>
      <c r="D15" s="6">
        <v>202</v>
      </c>
      <c r="E15" s="6">
        <f t="shared" ref="E15:E21" si="2">(D15+F15)/2</f>
        <v>151.5</v>
      </c>
      <c r="F15" s="6">
        <v>101</v>
      </c>
      <c r="G15" s="6">
        <v>50</v>
      </c>
      <c r="H15" s="6">
        <v>40</v>
      </c>
      <c r="I15" s="6">
        <v>33</v>
      </c>
    </row>
    <row r="16" spans="2:10" s="2" customFormat="1" ht="24.9" hidden="1" customHeight="1" thickBot="1" x14ac:dyDescent="0.3">
      <c r="B16" s="12"/>
      <c r="C16" s="5">
        <v>2.5</v>
      </c>
      <c r="D16" s="6">
        <v>366</v>
      </c>
      <c r="E16" s="6">
        <f t="shared" si="2"/>
        <v>274.5</v>
      </c>
      <c r="F16" s="6">
        <v>183</v>
      </c>
      <c r="G16" s="6">
        <v>91</v>
      </c>
      <c r="H16" s="6">
        <v>73</v>
      </c>
      <c r="I16" s="6">
        <v>61</v>
      </c>
    </row>
    <row r="17" spans="2:9" s="2" customFormat="1" ht="24.9" hidden="1" customHeight="1" thickBot="1" x14ac:dyDescent="0.3">
      <c r="B17" s="12"/>
      <c r="C17" s="5">
        <v>3</v>
      </c>
      <c r="D17" s="6">
        <v>598</v>
      </c>
      <c r="E17" s="6">
        <f t="shared" si="2"/>
        <v>448.5</v>
      </c>
      <c r="F17" s="6">
        <v>299</v>
      </c>
      <c r="G17" s="6">
        <v>149</v>
      </c>
      <c r="H17" s="6">
        <v>119</v>
      </c>
      <c r="I17" s="6">
        <v>99</v>
      </c>
    </row>
    <row r="18" spans="2:9" s="2" customFormat="1" ht="24.9" hidden="1" customHeight="1" thickBot="1" x14ac:dyDescent="0.3">
      <c r="B18" s="12"/>
      <c r="C18" s="5">
        <v>4</v>
      </c>
      <c r="D18" s="6">
        <v>1285</v>
      </c>
      <c r="E18" s="6">
        <f t="shared" si="2"/>
        <v>963.5</v>
      </c>
      <c r="F18" s="6">
        <v>642</v>
      </c>
      <c r="G18" s="6">
        <v>321</v>
      </c>
      <c r="H18" s="6">
        <v>257</v>
      </c>
      <c r="I18" s="6">
        <v>214</v>
      </c>
    </row>
    <row r="19" spans="2:9" s="2" customFormat="1" ht="24.9" hidden="1" customHeight="1" thickBot="1" x14ac:dyDescent="0.3">
      <c r="B19" s="12"/>
      <c r="C19" s="5">
        <v>5</v>
      </c>
      <c r="D19" s="6">
        <v>2333</v>
      </c>
      <c r="E19" s="6">
        <f t="shared" si="2"/>
        <v>1749.5</v>
      </c>
      <c r="F19" s="6">
        <v>1166</v>
      </c>
      <c r="G19" s="6">
        <v>583</v>
      </c>
      <c r="H19" s="6">
        <v>466</v>
      </c>
      <c r="I19" s="6">
        <v>388</v>
      </c>
    </row>
    <row r="20" spans="2:9" s="2" customFormat="1" ht="24.9" hidden="1" customHeight="1" thickBot="1" x14ac:dyDescent="0.3">
      <c r="B20" s="12"/>
      <c r="C20" s="5">
        <v>6</v>
      </c>
      <c r="D20" s="6">
        <v>3790</v>
      </c>
      <c r="E20" s="6">
        <f t="shared" si="2"/>
        <v>2842.5</v>
      </c>
      <c r="F20" s="6">
        <v>1895</v>
      </c>
      <c r="G20" s="6">
        <v>947</v>
      </c>
      <c r="H20" s="6">
        <v>758</v>
      </c>
      <c r="I20" s="6">
        <v>631</v>
      </c>
    </row>
    <row r="21" spans="2:9" s="2" customFormat="1" ht="24.9" hidden="1" customHeight="1" thickBot="1" x14ac:dyDescent="0.3">
      <c r="B21" s="12"/>
      <c r="C21" s="5">
        <v>8</v>
      </c>
      <c r="D21" s="6">
        <v>8175</v>
      </c>
      <c r="E21" s="6">
        <f t="shared" si="2"/>
        <v>6131</v>
      </c>
      <c r="F21" s="6">
        <v>4087</v>
      </c>
      <c r="G21" s="6">
        <v>2043</v>
      </c>
      <c r="H21" s="6">
        <v>1635</v>
      </c>
      <c r="I21" s="6">
        <v>1362</v>
      </c>
    </row>
    <row r="22" spans="2:9" s="2" customFormat="1" ht="24.9" hidden="1" customHeight="1" thickBot="1" x14ac:dyDescent="0.3">
      <c r="B22" s="12"/>
      <c r="C22" s="13"/>
      <c r="D22" s="13"/>
      <c r="E22" s="13"/>
      <c r="F22" s="13"/>
      <c r="G22" s="13"/>
      <c r="H22" s="13"/>
      <c r="I22" s="13"/>
    </row>
    <row r="23" spans="2:9" ht="24.9" hidden="1" customHeight="1" thickBot="1" x14ac:dyDescent="0.3">
      <c r="B23" s="10"/>
      <c r="C23" s="9" t="s">
        <v>9</v>
      </c>
      <c r="D23" s="11">
        <v>1</v>
      </c>
      <c r="E23" s="11">
        <v>1.5</v>
      </c>
      <c r="F23" s="11">
        <v>2</v>
      </c>
      <c r="G23" s="4">
        <v>4</v>
      </c>
      <c r="H23" s="4">
        <v>5</v>
      </c>
      <c r="I23" s="4">
        <v>6</v>
      </c>
    </row>
    <row r="24" spans="2:9" ht="24.9" hidden="1" customHeight="1" thickBot="1" x14ac:dyDescent="0.3">
      <c r="B24" s="10"/>
      <c r="C24" s="9" t="s">
        <v>21</v>
      </c>
      <c r="D24" s="5">
        <f>LOOKUP(D7,D28:D35,C28:C35)</f>
        <v>5</v>
      </c>
      <c r="E24" s="5">
        <f>LOOKUP(E7,E28:E35,C28:C35)</f>
        <v>6</v>
      </c>
      <c r="F24" s="5">
        <f>LOOKUP(F7,F28:F35,C28:C35)</f>
        <v>8</v>
      </c>
      <c r="G24" s="5">
        <f>LOOKUP(G7,G28:G35,C28:C35)</f>
        <v>8</v>
      </c>
      <c r="H24" s="5">
        <f>LOOKUP(H7,H28:H35,C28:C35)</f>
        <v>10</v>
      </c>
      <c r="I24" s="5">
        <f>LOOKUP(I7,I28:I35,C28:C35)</f>
        <v>10</v>
      </c>
    </row>
    <row r="25" spans="2:9" ht="24.9" hidden="1" customHeight="1" thickBot="1" x14ac:dyDescent="0.3">
      <c r="B25" s="1"/>
      <c r="C25" s="45" t="s">
        <v>11</v>
      </c>
      <c r="D25" s="41" t="s">
        <v>12</v>
      </c>
      <c r="E25" s="42"/>
      <c r="F25" s="42"/>
      <c r="G25" s="42"/>
      <c r="H25" s="42"/>
      <c r="I25" s="43"/>
    </row>
    <row r="26" spans="2:9" ht="24.9" hidden="1" customHeight="1" thickBot="1" x14ac:dyDescent="0.3">
      <c r="B26" s="1"/>
      <c r="C26" s="46"/>
      <c r="D26" s="41" t="s">
        <v>18</v>
      </c>
      <c r="E26" s="42"/>
      <c r="F26" s="42"/>
      <c r="G26" s="42"/>
      <c r="H26" s="42"/>
      <c r="I26" s="43"/>
    </row>
    <row r="27" spans="2:9" ht="24.9" hidden="1" customHeight="1" thickBot="1" x14ac:dyDescent="0.3">
      <c r="B27" s="1"/>
      <c r="C27" s="47"/>
      <c r="D27" s="4" t="s">
        <v>2</v>
      </c>
      <c r="E27" s="4" t="s">
        <v>3</v>
      </c>
      <c r="F27" s="4" t="s">
        <v>4</v>
      </c>
      <c r="G27" s="4" t="s">
        <v>5</v>
      </c>
      <c r="H27" s="4" t="s">
        <v>6</v>
      </c>
      <c r="I27" s="4" t="s">
        <v>7</v>
      </c>
    </row>
    <row r="28" spans="2:9" ht="24.9" hidden="1" customHeight="1" thickBot="1" x14ac:dyDescent="0.3">
      <c r="C28" s="5">
        <v>3</v>
      </c>
      <c r="D28" s="6">
        <f>INT(3290*0.0929)</f>
        <v>305</v>
      </c>
      <c r="E28" s="6">
        <f t="shared" ref="E28:E35" si="3">INT((D28+F28)/2)</f>
        <v>228</v>
      </c>
      <c r="F28" s="6">
        <f>INT(1645*0.0929)</f>
        <v>152</v>
      </c>
      <c r="G28" s="6">
        <f>INT(822*0.0929)</f>
        <v>76</v>
      </c>
      <c r="H28" s="6">
        <f>INT(658*0.0929)</f>
        <v>61</v>
      </c>
      <c r="I28" s="6">
        <f>INT(550*0.0929)</f>
        <v>51</v>
      </c>
    </row>
    <row r="29" spans="2:9" ht="24.9" hidden="1" customHeight="1" thickBot="1" x14ac:dyDescent="0.3">
      <c r="C29" s="5">
        <v>4</v>
      </c>
      <c r="D29" s="6">
        <f>INT(7520*0.0929)</f>
        <v>698</v>
      </c>
      <c r="E29" s="6">
        <f t="shared" si="3"/>
        <v>523</v>
      </c>
      <c r="F29" s="6">
        <f>INT(3760*0.0929)</f>
        <v>349</v>
      </c>
      <c r="G29" s="6">
        <f>INT(1880*0.0929)</f>
        <v>174</v>
      </c>
      <c r="H29" s="6">
        <f>INT(1504*0.0929)</f>
        <v>139</v>
      </c>
      <c r="I29" s="6">
        <f>INT(1250*0.0929)</f>
        <v>116</v>
      </c>
    </row>
    <row r="30" spans="2:9" ht="24.9" hidden="1" customHeight="1" thickBot="1" x14ac:dyDescent="0.3">
      <c r="C30" s="5">
        <v>5</v>
      </c>
      <c r="D30" s="6">
        <f>INT(13360*0.0929)</f>
        <v>1241</v>
      </c>
      <c r="E30" s="6">
        <f t="shared" si="3"/>
        <v>930</v>
      </c>
      <c r="F30" s="6">
        <f>INT(6680*0.0929)</f>
        <v>620</v>
      </c>
      <c r="G30" s="6">
        <f>INT(3340*0.0929)</f>
        <v>310</v>
      </c>
      <c r="H30" s="6">
        <f>INT(2672*0.0929)</f>
        <v>248</v>
      </c>
      <c r="I30" s="6">
        <f>INT(2230*0.0929)</f>
        <v>207</v>
      </c>
    </row>
    <row r="31" spans="2:9" ht="24.9" hidden="1" customHeight="1" thickBot="1" x14ac:dyDescent="0.3">
      <c r="C31" s="5">
        <v>6</v>
      </c>
      <c r="D31" s="6">
        <f>INT(21400*0.0929)</f>
        <v>1988</v>
      </c>
      <c r="E31" s="6">
        <f t="shared" si="3"/>
        <v>1491</v>
      </c>
      <c r="F31" s="6">
        <f>INT(10700*0.0929)</f>
        <v>994</v>
      </c>
      <c r="G31" s="6">
        <f>INT(5350*0.0929)</f>
        <v>497</v>
      </c>
      <c r="H31" s="6">
        <f>INT(4280*0.0929)</f>
        <v>397</v>
      </c>
      <c r="I31" s="6">
        <f>INT(3570*0.0929)</f>
        <v>331</v>
      </c>
    </row>
    <row r="32" spans="2:9" ht="24.9" hidden="1" customHeight="1" thickBot="1" x14ac:dyDescent="0.3">
      <c r="C32" s="5">
        <v>8</v>
      </c>
      <c r="D32" s="6">
        <f>INT(46000*0.0929)</f>
        <v>4273</v>
      </c>
      <c r="E32" s="6">
        <f t="shared" si="3"/>
        <v>3204</v>
      </c>
      <c r="F32" s="6">
        <f>INT(23000*0.0929)</f>
        <v>2136</v>
      </c>
      <c r="G32" s="6">
        <f>INT(11500*0.0929)</f>
        <v>1068</v>
      </c>
      <c r="H32" s="6">
        <f>INT(9200*0.0929)</f>
        <v>854</v>
      </c>
      <c r="I32" s="6">
        <f>INT(7670*0.0929)</f>
        <v>712</v>
      </c>
    </row>
    <row r="33" spans="2:9" ht="24.9" hidden="1" customHeight="1" thickBot="1" x14ac:dyDescent="0.3">
      <c r="C33" s="5">
        <v>10</v>
      </c>
      <c r="D33" s="6">
        <f>INT(82800*0.0929)</f>
        <v>7692</v>
      </c>
      <c r="E33" s="6">
        <f t="shared" si="3"/>
        <v>5769</v>
      </c>
      <c r="F33" s="6">
        <f>INT(41400*0.0929)</f>
        <v>3846</v>
      </c>
      <c r="G33" s="6">
        <f>INT(20700*0.0929)</f>
        <v>1923</v>
      </c>
      <c r="H33" s="6">
        <f>INT(16560*0.0929)</f>
        <v>1538</v>
      </c>
      <c r="I33" s="6">
        <f>INT(13800*0.0929)</f>
        <v>1282</v>
      </c>
    </row>
    <row r="34" spans="2:9" ht="24.9" hidden="1" customHeight="1" thickBot="1" x14ac:dyDescent="0.3">
      <c r="C34" s="5">
        <v>12</v>
      </c>
      <c r="D34" s="6">
        <f>INT(133200*0.0929)</f>
        <v>12374</v>
      </c>
      <c r="E34" s="6">
        <f t="shared" si="3"/>
        <v>9280</v>
      </c>
      <c r="F34" s="6">
        <f>INT(66600*0.0929)</f>
        <v>6187</v>
      </c>
      <c r="G34" s="6">
        <f>INT(33300*0.0929)</f>
        <v>3093</v>
      </c>
      <c r="H34" s="6">
        <f>INT(26640*0.0929)</f>
        <v>2474</v>
      </c>
      <c r="I34" s="6">
        <f>INT(22200*0.0929)</f>
        <v>2062</v>
      </c>
    </row>
    <row r="35" spans="2:9" ht="24.9" hidden="1" customHeight="1" thickBot="1" x14ac:dyDescent="0.3">
      <c r="C35" s="5">
        <v>15</v>
      </c>
      <c r="D35" s="6">
        <f>INT(238000*0.0929)</f>
        <v>22110</v>
      </c>
      <c r="E35" s="6">
        <f t="shared" si="3"/>
        <v>16582</v>
      </c>
      <c r="F35" s="6">
        <f>INT(119000*0.0929)</f>
        <v>11055</v>
      </c>
      <c r="G35" s="6">
        <f>INT(59500*0.0929)</f>
        <v>5527</v>
      </c>
      <c r="H35" s="6">
        <f>INT(47600*0.0929)</f>
        <v>4422</v>
      </c>
      <c r="I35" s="6">
        <f>INT(39670*0.0929)</f>
        <v>3685</v>
      </c>
    </row>
    <row r="36" spans="2:9" ht="11.25" hidden="1" customHeight="1" thickBot="1" x14ac:dyDescent="0.3"/>
    <row r="37" spans="2:9" ht="24.9" hidden="1" customHeight="1" thickBot="1" x14ac:dyDescent="0.3">
      <c r="B37" s="10"/>
      <c r="C37" s="9" t="s">
        <v>9</v>
      </c>
      <c r="D37" s="11">
        <v>1</v>
      </c>
      <c r="E37" s="11">
        <v>1.5</v>
      </c>
      <c r="F37" s="11">
        <v>2</v>
      </c>
      <c r="G37" s="4">
        <v>4</v>
      </c>
      <c r="H37" s="4">
        <v>5</v>
      </c>
      <c r="I37" s="4">
        <v>6</v>
      </c>
    </row>
    <row r="38" spans="2:9" ht="24.9" hidden="1" customHeight="1" thickBot="1" x14ac:dyDescent="0.3">
      <c r="B38" s="10"/>
      <c r="C38" s="9" t="s">
        <v>31</v>
      </c>
      <c r="D38" s="5">
        <f>LOOKUP(D5,D42:D48,C42:C48)</f>
        <v>8</v>
      </c>
      <c r="E38" s="5">
        <f>LOOKUP(D5,E42:E48,C42:C48)</f>
        <v>10</v>
      </c>
      <c r="F38" s="5">
        <f>LOOKUP(D5,F42:F48,C42:C48)</f>
        <v>10</v>
      </c>
      <c r="G38" s="5">
        <f>LOOKUP(D5,G42:G48,C42:C48)</f>
        <v>10</v>
      </c>
      <c r="H38" s="5">
        <f>LOOKUP(D5,H42:H48,C42:C48)</f>
        <v>10</v>
      </c>
      <c r="I38" s="5">
        <f>LOOKUP(D5,I42:I48,C42:C48)</f>
        <v>10</v>
      </c>
    </row>
    <row r="39" spans="2:9" ht="24.9" hidden="1" customHeight="1" thickBot="1" x14ac:dyDescent="0.3">
      <c r="B39" s="1"/>
      <c r="C39" s="45" t="s">
        <v>29</v>
      </c>
      <c r="D39" s="41" t="s">
        <v>28</v>
      </c>
      <c r="E39" s="42"/>
      <c r="F39" s="42"/>
      <c r="G39" s="42"/>
      <c r="H39" s="42"/>
      <c r="I39" s="43"/>
    </row>
    <row r="40" spans="2:9" ht="24.9" hidden="1" customHeight="1" thickBot="1" x14ac:dyDescent="0.3">
      <c r="B40" s="1"/>
      <c r="C40" s="46"/>
      <c r="D40" s="41" t="s">
        <v>30</v>
      </c>
      <c r="E40" s="42"/>
      <c r="F40" s="42"/>
      <c r="G40" s="42"/>
      <c r="H40" s="42"/>
      <c r="I40" s="43"/>
    </row>
    <row r="41" spans="2:9" ht="24.9" hidden="1" customHeight="1" thickBot="1" x14ac:dyDescent="0.3">
      <c r="B41" s="1"/>
      <c r="C41" s="47"/>
      <c r="D41" s="4" t="s">
        <v>2</v>
      </c>
      <c r="E41" s="4" t="s">
        <v>3</v>
      </c>
      <c r="F41" s="4" t="s">
        <v>4</v>
      </c>
      <c r="G41" s="4" t="s">
        <v>5</v>
      </c>
      <c r="H41" s="4" t="s">
        <v>6</v>
      </c>
      <c r="I41" s="4" t="s">
        <v>7</v>
      </c>
    </row>
    <row r="42" spans="2:9" ht="24.9" hidden="1" customHeight="1" thickBot="1" x14ac:dyDescent="0.3">
      <c r="C42" s="5">
        <v>3</v>
      </c>
      <c r="D42" s="35">
        <f>INT(((170*0.0929)*4)/1)</f>
        <v>63</v>
      </c>
      <c r="E42" s="35">
        <f>INT(((170*0.0929)*4)/1.5)</f>
        <v>42</v>
      </c>
      <c r="F42" s="35">
        <f>INT(((170*0.0929)*4)/2)</f>
        <v>31</v>
      </c>
      <c r="G42" s="35">
        <f>INT(170*0.0929)</f>
        <v>15</v>
      </c>
      <c r="H42" s="35">
        <f>INT(((170*0.0929)*4)/5)</f>
        <v>12</v>
      </c>
      <c r="I42" s="35">
        <f>INT(((170*0.0929)*4)/6)</f>
        <v>10</v>
      </c>
    </row>
    <row r="43" spans="2:9" ht="24.9" hidden="1" customHeight="1" thickBot="1" x14ac:dyDescent="0.3">
      <c r="C43" s="5">
        <v>4</v>
      </c>
      <c r="D43" s="35">
        <f>INT(((360*0.0929)*4)/1)</f>
        <v>133</v>
      </c>
      <c r="E43" s="35">
        <f>INT(((360*0.0929)*4)/1.5)</f>
        <v>89</v>
      </c>
      <c r="F43" s="35">
        <f>INT(((360*0.0929)*4)/2)</f>
        <v>66</v>
      </c>
      <c r="G43" s="35">
        <f>INT(360*0.0929)</f>
        <v>33</v>
      </c>
      <c r="H43" s="35">
        <f>INT(((360*0.0929)*4)/5)</f>
        <v>26</v>
      </c>
      <c r="I43" s="35">
        <f>INT(((360*0.0929)*4)/6)</f>
        <v>22</v>
      </c>
    </row>
    <row r="44" spans="2:9" ht="24.9" hidden="1" customHeight="1" thickBot="1" x14ac:dyDescent="0.3">
      <c r="C44" s="5">
        <v>5</v>
      </c>
      <c r="D44" s="35">
        <f>INT(((625*0.0929)*4)/1)</f>
        <v>232</v>
      </c>
      <c r="E44" s="35">
        <f>INT(((625*0.0929)*4)/1.5)</f>
        <v>154</v>
      </c>
      <c r="F44" s="35">
        <f>INT(((625*0.0929)*4)/2)</f>
        <v>116</v>
      </c>
      <c r="G44" s="35">
        <f>INT(625*0.0929)</f>
        <v>58</v>
      </c>
      <c r="H44" s="35">
        <f>INT(((625*0.0929)*4)/5)</f>
        <v>46</v>
      </c>
      <c r="I44" s="35">
        <f>INT(((625*0.0929)*4)/6)</f>
        <v>38</v>
      </c>
    </row>
    <row r="45" spans="2:9" ht="24.9" hidden="1" customHeight="1" thickBot="1" x14ac:dyDescent="0.3">
      <c r="C45" s="5">
        <v>6</v>
      </c>
      <c r="D45" s="35">
        <f>INT(((960*0.0929)*4)/1)</f>
        <v>356</v>
      </c>
      <c r="E45" s="35">
        <f>INT(((960*0.0929)*4)/1.5)</f>
        <v>237</v>
      </c>
      <c r="F45" s="35">
        <f>INT(((960*0.0929)*4)/2)</f>
        <v>178</v>
      </c>
      <c r="G45" s="35">
        <f>INT(960*0.0929)</f>
        <v>89</v>
      </c>
      <c r="H45" s="35">
        <f>INT(((960*0.0929)*4)/5)</f>
        <v>71</v>
      </c>
      <c r="I45" s="35">
        <f>INT(((960*0.0929)*4)/6)</f>
        <v>59</v>
      </c>
    </row>
    <row r="46" spans="2:9" ht="24.9" hidden="1" customHeight="1" thickBot="1" x14ac:dyDescent="0.3">
      <c r="C46" s="5">
        <v>7</v>
      </c>
      <c r="D46" s="35">
        <f>INT(((1380*0.0929)*4)/1)</f>
        <v>512</v>
      </c>
      <c r="E46" s="35">
        <f>INT(((1380*0.0929)*4)/1.5)</f>
        <v>341</v>
      </c>
      <c r="F46" s="35">
        <f>INT(((1380*0.0929)*4)/2)</f>
        <v>256</v>
      </c>
      <c r="G46" s="35">
        <f>INT(1380*0.0929)</f>
        <v>128</v>
      </c>
      <c r="H46" s="35">
        <f>INT(((1380*0.0929)*4)/5)</f>
        <v>102</v>
      </c>
      <c r="I46" s="35">
        <f>INT(((1380*0.0929)*4)/6)</f>
        <v>85</v>
      </c>
    </row>
    <row r="47" spans="2:9" ht="24.9" hidden="1" customHeight="1" thickBot="1" x14ac:dyDescent="0.3">
      <c r="C47" s="5">
        <v>8</v>
      </c>
      <c r="D47" s="35">
        <f>INT(((1990*0.0929)*4)/1)</f>
        <v>739</v>
      </c>
      <c r="E47" s="35">
        <f>INT(((1990*0.0929)*4)/1.5)</f>
        <v>492</v>
      </c>
      <c r="F47" s="35">
        <f>INT(((1990*0.0929)*4)/2)</f>
        <v>369</v>
      </c>
      <c r="G47" s="35">
        <f>INT(1990*0.0929)</f>
        <v>184</v>
      </c>
      <c r="H47" s="35">
        <f>INT(((1990*0.0929)*4)/5)</f>
        <v>147</v>
      </c>
      <c r="I47" s="35">
        <f>INT(((1990*0.0929)*4)/6)</f>
        <v>123</v>
      </c>
    </row>
    <row r="48" spans="2:9" ht="24.9" hidden="1" customHeight="1" thickBot="1" x14ac:dyDescent="0.3">
      <c r="C48" s="5">
        <v>10</v>
      </c>
      <c r="D48" s="35">
        <f>INT(((3600*0.0929)*4)/1)</f>
        <v>1337</v>
      </c>
      <c r="E48" s="35">
        <f>INT(((3600*0.0929)*4)/1.5)</f>
        <v>891</v>
      </c>
      <c r="F48" s="35">
        <f>INT(((3600*0.0929)*4)/2)</f>
        <v>668</v>
      </c>
      <c r="G48" s="35">
        <f>INT(3600*0.0929)</f>
        <v>334</v>
      </c>
      <c r="H48" s="35">
        <f>INT(((3600*0.0929)*4)/5)</f>
        <v>267</v>
      </c>
      <c r="I48" s="35">
        <f>INT(((3600*0.0929)*4)/6)</f>
        <v>222</v>
      </c>
    </row>
    <row r="49" spans="2:9" ht="24.9" hidden="1" customHeight="1" thickBot="1" x14ac:dyDescent="0.3">
      <c r="B49" s="10"/>
      <c r="C49" s="9"/>
      <c r="D49" s="48" t="s">
        <v>32</v>
      </c>
      <c r="E49" s="49"/>
      <c r="F49" s="49"/>
      <c r="G49" s="49"/>
      <c r="H49" s="49"/>
      <c r="I49" s="50"/>
    </row>
    <row r="50" spans="2:9" ht="24.9" hidden="1" customHeight="1" thickBot="1" x14ac:dyDescent="0.3">
      <c r="B50" s="1"/>
      <c r="C50" s="9"/>
      <c r="D50" s="4" t="s">
        <v>2</v>
      </c>
      <c r="E50" s="4" t="s">
        <v>3</v>
      </c>
      <c r="F50" s="4" t="s">
        <v>4</v>
      </c>
      <c r="G50" s="4" t="s">
        <v>5</v>
      </c>
      <c r="H50" s="4" t="s">
        <v>6</v>
      </c>
      <c r="I50" s="4" t="s">
        <v>7</v>
      </c>
    </row>
    <row r="51" spans="2:9" ht="24.9" hidden="1" customHeight="1" thickBot="1" x14ac:dyDescent="0.3">
      <c r="C51" s="5">
        <v>3</v>
      </c>
      <c r="D51" s="34">
        <f>D5/D42</f>
        <v>15.873015873015873</v>
      </c>
      <c r="E51" s="34">
        <f>D5/E42</f>
        <v>23.80952380952381</v>
      </c>
      <c r="F51" s="34">
        <f>D5/F42</f>
        <v>32.258064516129032</v>
      </c>
      <c r="G51" s="34">
        <f>D5/G42</f>
        <v>66.666666666666671</v>
      </c>
      <c r="H51" s="34">
        <f>D5/H42</f>
        <v>83.333333333333329</v>
      </c>
      <c r="I51" s="34">
        <f>D5/I42</f>
        <v>100</v>
      </c>
    </row>
    <row r="52" spans="2:9" ht="24.9" hidden="1" customHeight="1" thickBot="1" x14ac:dyDescent="0.3">
      <c r="C52" s="5">
        <v>4</v>
      </c>
      <c r="D52" s="34">
        <f>D5/D43</f>
        <v>7.518796992481203</v>
      </c>
      <c r="E52" s="34">
        <f>D5/E43</f>
        <v>11.235955056179776</v>
      </c>
      <c r="F52" s="34">
        <f>D5/F43</f>
        <v>15.151515151515152</v>
      </c>
      <c r="G52" s="34">
        <f>D5/G43</f>
        <v>30.303030303030305</v>
      </c>
      <c r="H52" s="34">
        <f>D5/H43</f>
        <v>38.46153846153846</v>
      </c>
      <c r="I52" s="34">
        <f>D5/I43</f>
        <v>45.454545454545453</v>
      </c>
    </row>
    <row r="53" spans="2:9" ht="24.9" hidden="1" customHeight="1" thickBot="1" x14ac:dyDescent="0.3">
      <c r="C53" s="5">
        <v>5</v>
      </c>
      <c r="D53" s="34">
        <f>D5/D44</f>
        <v>4.3103448275862073</v>
      </c>
      <c r="E53" s="34">
        <f>D5/E44</f>
        <v>6.4935064935064934</v>
      </c>
      <c r="F53" s="34">
        <f>D5/F44</f>
        <v>8.6206896551724146</v>
      </c>
      <c r="G53" s="34">
        <f>D5/G44</f>
        <v>17.241379310344829</v>
      </c>
      <c r="H53" s="34">
        <f>D5/H44</f>
        <v>21.739130434782609</v>
      </c>
      <c r="I53" s="34">
        <f>D5/I44</f>
        <v>26.315789473684209</v>
      </c>
    </row>
    <row r="54" spans="2:9" ht="24.9" hidden="1" customHeight="1" thickBot="1" x14ac:dyDescent="0.3">
      <c r="C54" s="5">
        <v>6</v>
      </c>
      <c r="D54" s="34">
        <f>D5/D45</f>
        <v>2.808988764044944</v>
      </c>
      <c r="E54" s="34">
        <f>D5/E45</f>
        <v>4.2194092827004219</v>
      </c>
      <c r="F54" s="34">
        <f>D5/F45</f>
        <v>5.617977528089888</v>
      </c>
      <c r="G54" s="34">
        <f>D5/G45</f>
        <v>11.235955056179776</v>
      </c>
      <c r="H54" s="34">
        <f>D5/H45</f>
        <v>14.084507042253522</v>
      </c>
      <c r="I54" s="34">
        <f>D5/I45</f>
        <v>16.949152542372882</v>
      </c>
    </row>
    <row r="55" spans="2:9" ht="24.9" hidden="1" customHeight="1" thickBot="1" x14ac:dyDescent="0.3">
      <c r="C55" s="5">
        <v>7</v>
      </c>
      <c r="D55" s="34">
        <f>D5/D46</f>
        <v>1.953125</v>
      </c>
      <c r="E55" s="34">
        <f>D5/E46</f>
        <v>2.9325513196480939</v>
      </c>
      <c r="F55" s="34">
        <f>D5/F46</f>
        <v>3.90625</v>
      </c>
      <c r="G55" s="34">
        <f>D5/G46</f>
        <v>7.8125</v>
      </c>
      <c r="H55" s="34">
        <f>D5/H46</f>
        <v>9.8039215686274517</v>
      </c>
      <c r="I55" s="34">
        <f>D5/I46</f>
        <v>11.764705882352942</v>
      </c>
    </row>
    <row r="56" spans="2:9" ht="24.9" hidden="1" customHeight="1" thickBot="1" x14ac:dyDescent="0.3">
      <c r="C56" s="5">
        <v>8</v>
      </c>
      <c r="D56" s="34">
        <f>D5/D47</f>
        <v>1.3531799729364005</v>
      </c>
      <c r="E56" s="34">
        <f>D5/E47</f>
        <v>2.0325203252032522</v>
      </c>
      <c r="F56" s="34">
        <f>D5/F47</f>
        <v>2.7100271002710028</v>
      </c>
      <c r="G56" s="34">
        <f>D5/G47</f>
        <v>5.4347826086956523</v>
      </c>
      <c r="H56" s="34">
        <f>D5/H47</f>
        <v>6.8027210884353737</v>
      </c>
      <c r="I56" s="34">
        <f>D5/I47</f>
        <v>8.1300813008130088</v>
      </c>
    </row>
    <row r="57" spans="2:9" ht="24.9" hidden="1" customHeight="1" thickBot="1" x14ac:dyDescent="0.3">
      <c r="C57" s="5">
        <v>10</v>
      </c>
      <c r="D57" s="34">
        <f>D5/D48</f>
        <v>0.74794315632011965</v>
      </c>
      <c r="E57" s="34">
        <f>D5/E48</f>
        <v>1.122334455667789</v>
      </c>
      <c r="F57" s="34">
        <f>D5/F48</f>
        <v>1.4970059880239521</v>
      </c>
      <c r="G57" s="34">
        <f>D5/G48</f>
        <v>2.9940119760479043</v>
      </c>
      <c r="H57" s="34">
        <f>D5/H48</f>
        <v>3.7453183520599249</v>
      </c>
      <c r="I57" s="34">
        <f>D5/I48</f>
        <v>4.5045045045045047</v>
      </c>
    </row>
    <row r="58" spans="2:9" ht="24.9" customHeight="1" x14ac:dyDescent="0.25"/>
    <row r="59" spans="2:9" ht="24.9" customHeight="1" x14ac:dyDescent="0.25"/>
  </sheetData>
  <sheetProtection password="CB30" sheet="1" formatCells="0" formatColumns="0" formatRows="0" insertColumns="0" insertRows="0" insertHyperlinks="0" deleteColumns="0" deleteRows="0" sort="0" autoFilter="0" pivotTables="0"/>
  <protectedRanges>
    <protectedRange sqref="D5" name="Range1"/>
  </protectedRanges>
  <mergeCells count="15">
    <mergeCell ref="D49:I49"/>
    <mergeCell ref="D26:I26"/>
    <mergeCell ref="C25:C27"/>
    <mergeCell ref="C12:C14"/>
    <mergeCell ref="D12:I12"/>
    <mergeCell ref="D13:I13"/>
    <mergeCell ref="C39:C41"/>
    <mergeCell ref="D39:I39"/>
    <mergeCell ref="D40:I40"/>
    <mergeCell ref="F3:I3"/>
    <mergeCell ref="D1:F1"/>
    <mergeCell ref="B4:B7"/>
    <mergeCell ref="D25:I25"/>
    <mergeCell ref="B8:B9"/>
    <mergeCell ref="G2:I2"/>
  </mergeCells>
  <phoneticPr fontId="1" type="noConversion"/>
  <dataValidations count="1">
    <dataValidation type="decimal" allowBlank="1" showInputMessage="1" showErrorMessage="1" sqref="D5" xr:uid="{C667F735-921B-43E3-8F97-F1B20B5FBBDA}">
      <formula1>1.1</formula1>
      <formula2>1000000</formula2>
    </dataValidation>
  </dataValidation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87" orientation="landscape" r:id="rId1"/>
  <headerFooter alignWithMargins="0"/>
  <rowBreaks count="1" manualBreakCount="1">
    <brk id="24" max="8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5F680-691D-4158-8BBE-FA021C5C7D6D}">
  <sheetPr codeName="Sheet6"/>
  <dimension ref="B1:J42"/>
  <sheetViews>
    <sheetView topLeftCell="C1" zoomScale="85" zoomScaleNormal="85" zoomScaleSheetLayoutView="130" workbookViewId="0">
      <selection activeCell="H44" sqref="H44"/>
    </sheetView>
  </sheetViews>
  <sheetFormatPr defaultRowHeight="13.2" x14ac:dyDescent="0.25"/>
  <cols>
    <col min="1" max="1" width="1.5546875" customWidth="1"/>
    <col min="2" max="2" width="13" customWidth="1"/>
    <col min="3" max="3" width="43.6640625" customWidth="1"/>
    <col min="4" max="9" width="12.6640625" customWidth="1"/>
    <col min="10" max="10" width="10.6640625" customWidth="1"/>
  </cols>
  <sheetData>
    <row r="1" spans="2:10" x14ac:dyDescent="0.25">
      <c r="B1" s="1"/>
      <c r="C1" s="1"/>
      <c r="D1" s="51" t="s">
        <v>13</v>
      </c>
      <c r="E1" s="51"/>
      <c r="F1" s="51"/>
      <c r="G1" s="1"/>
      <c r="H1" s="1"/>
      <c r="I1" s="1"/>
      <c r="J1" s="1"/>
    </row>
    <row r="2" spans="2:10" x14ac:dyDescent="0.25">
      <c r="B2" s="7" t="s">
        <v>14</v>
      </c>
      <c r="C2" s="30" t="s">
        <v>15</v>
      </c>
      <c r="D2" s="8"/>
      <c r="E2" s="1"/>
      <c r="F2" s="33"/>
      <c r="G2" s="44" t="s">
        <v>26</v>
      </c>
      <c r="H2" s="44"/>
      <c r="I2" s="44"/>
      <c r="J2" s="1"/>
    </row>
    <row r="3" spans="2:10" ht="13.8" thickBot="1" x14ac:dyDescent="0.3">
      <c r="B3" s="7"/>
      <c r="C3" s="7"/>
      <c r="D3" s="8"/>
      <c r="E3" s="1"/>
      <c r="F3" s="36" t="s">
        <v>27</v>
      </c>
      <c r="G3" s="36"/>
      <c r="H3" s="36"/>
      <c r="I3" s="36"/>
      <c r="J3" s="1"/>
    </row>
    <row r="4" spans="2:10" s="2" customFormat="1" ht="24.9" customHeight="1" thickBot="1" x14ac:dyDescent="0.3">
      <c r="B4" s="38" t="s">
        <v>17</v>
      </c>
      <c r="C4" s="31" t="s">
        <v>24</v>
      </c>
      <c r="D4" s="15">
        <v>1</v>
      </c>
      <c r="E4" s="52">
        <v>1.5</v>
      </c>
      <c r="F4" s="18">
        <v>2</v>
      </c>
      <c r="G4" s="21">
        <v>4</v>
      </c>
      <c r="H4" s="23">
        <v>5</v>
      </c>
      <c r="I4" s="26">
        <v>6</v>
      </c>
    </row>
    <row r="5" spans="2:10" s="2" customFormat="1" ht="23.25" customHeight="1" thickBot="1" x14ac:dyDescent="0.3">
      <c r="B5" s="39"/>
      <c r="C5" s="31" t="s">
        <v>25</v>
      </c>
      <c r="D5" s="15">
        <v>1000</v>
      </c>
      <c r="E5" s="53">
        <f>D5</f>
        <v>1000</v>
      </c>
      <c r="F5" s="19">
        <f>D5</f>
        <v>1000</v>
      </c>
      <c r="G5" s="22">
        <f>D5</f>
        <v>1000</v>
      </c>
      <c r="H5" s="24">
        <f>D5</f>
        <v>1000</v>
      </c>
      <c r="I5" s="27">
        <f>D5</f>
        <v>1000</v>
      </c>
    </row>
    <row r="6" spans="2:10" s="2" customFormat="1" ht="24.9" hidden="1" customHeight="1" thickBot="1" x14ac:dyDescent="0.3">
      <c r="B6" s="39"/>
      <c r="C6" s="31" t="s">
        <v>19</v>
      </c>
      <c r="D6" s="16">
        <f>IF(AND(1&lt;D5,D5&lt;203),D15,IF(AND(202&lt;D5,D5&lt;367),D16,IF(AND(366&lt;D5,D5&lt;599),D17,IF(AND(598&lt;D5,D5&lt;1286),D18,IF(AND(1285&lt;D5,D5&lt;2334),D19,IF(AND(2333&lt;D5,D5&lt;3791),D20,IF(AND(2333&lt;D5,D5&lt;3791),D21,D21)))))))</f>
        <v>1285</v>
      </c>
      <c r="E6" s="53">
        <f>IF(AND(1&lt;E5,E5&lt;151.5),E15,IF(AND(151.5&lt;E5,E5&lt;247.5),E16,IF(AND(247.5&lt;E5,E5&lt;448.5),E17,IF(AND(448.5&lt;E5,E5&lt;963.5),E18,IF(AND(963.5&lt;E5,E5&lt;1749.5),E19,IF(AND(1749.5&lt;E5,E5&lt;2842.5),E20,IF(AND(2842.5&lt;E5,E5&lt;6131),E21,E21)))))))</f>
        <v>1749.5</v>
      </c>
      <c r="F6" s="19">
        <f>IF(AND(1&lt;F5,F5&lt;102),F15,IF(AND(101&lt;F5,F5&lt;184),F16,IF(AND(183&lt;F5,F5&lt;300),F17,IF(AND(299&lt;F5,F5&lt;643),F18,IF(AND(642&lt;F5,F5&lt;1167),F19,IF(AND(1166&lt;F5,F5&lt;1896),F20,IF(AND(1895&lt;F5,F5&lt;4087),F21,F21)))))))</f>
        <v>1166</v>
      </c>
      <c r="G6" s="22">
        <f>IF(AND(1&lt;G5,G5&lt;51),G15,IF(AND(50&lt;G5,G5&lt;92),G16,IF(AND(91&lt;G5,G5&lt;150),G17,IF(AND(149&lt;G5,G5&lt;322),G18,IF(AND(321&lt;G5,G5&lt;584),G19,IF(AND(583&lt;G5,G5&lt;948),G20,IF(AND(947&lt;G5,G5&lt;2043),G21,G21)))))))</f>
        <v>2043</v>
      </c>
      <c r="H6" s="24">
        <f>IF(AND(1&lt;H5,H5&lt;41),H15,IF(AND(40&lt;H5,H5&lt;74),H16,IF(AND(73&lt;H5,H5&lt;120),H17,IF(AND(119&lt;H5,H5&lt;258),H18,IF(AND(257&lt;H5,H5&lt;467),H19,IF(AND(466&lt;H5,H5&lt;759),H20,IF(AND(758&lt;H5,H5&lt;1635),H21,H21)))))))</f>
        <v>1635</v>
      </c>
      <c r="I6" s="27">
        <f>IF(AND(1&lt;I5,I5&lt;34),I15,IF(AND(33&lt;I5,I5&lt;62),I16,IF(AND(61&lt;I5,I5&lt;100),I17,IF(AND(99&lt;I5,I5&lt;215),I18,IF(AND(214&lt;I5,I5&lt;389),I19,IF(AND(388&lt;I5,I5&lt;632),I20,IF(AND(631&lt;I5,I5&lt;1362),I21,I21)))))))</f>
        <v>1362</v>
      </c>
    </row>
    <row r="7" spans="2:10" s="2" customFormat="1" ht="24.9" hidden="1" customHeight="1" thickBot="1" x14ac:dyDescent="0.3">
      <c r="B7" s="40"/>
      <c r="C7" s="31" t="s">
        <v>20</v>
      </c>
      <c r="D7" s="16">
        <f>IF(AND(0&lt;D5,D5&lt;306),D28,IF(AND(305&lt;D5,D5&lt;699),D29,IF(AND(698&lt;D5,D5&lt;1242),D30,IF(AND(1241&lt;D5,D5&lt;1989),D31,IF(AND(1988&lt;D5,D5&lt;274),D32,IF(AND(4273&lt;D5,D5&lt;7693),D33,IF(AND(7692&lt;D5,D5&lt;12375),D34,D35)))))))</f>
        <v>1241</v>
      </c>
      <c r="E7" s="53">
        <f>IF(AND(1&lt;E5,E5&lt;229),E28,IF(AND(228&lt;E5,E5&lt;524),E29,IF(AND(523&lt;E5,E5&lt;931),E30,IF(AND(930&lt;E5,E5&lt;1492),E31,IF(AND(1491&lt;E5,E5&lt;3205),E32,IF(AND(3204&lt;E5,E5&lt;5770),E33,IF(AND(5769&lt;E5,E5&lt;9280),E34,E35)))))))</f>
        <v>1491</v>
      </c>
      <c r="F7" s="19">
        <f>IF(AND(1&lt;F5,F5&lt;153),F28,IF(AND(152&lt;F5,F5&lt;350),F29,IF(AND(349&lt;F5,F5&lt;621),F30,IF(AND(620&lt;F5,F5&lt;995),F31,IF(AND(994&lt;F5,F5&lt;2137),F32,IF(AND(2136&lt;F5,F5&lt;3847),F33,IF(AND(3846&lt;F5,F5&lt;6187),F34,F35)))))))</f>
        <v>2136</v>
      </c>
      <c r="G7" s="22">
        <f>IF(AND(1&lt;G5,G5&lt;77),G28,IF(AND(76&lt;G5,G5&lt;175),G29,IF(AND(174&lt;G5,G5&lt;311),G30,IF(AND(310&lt;G5,G5&lt;498),G31,IF(AND(497&lt;G5,G5&lt;1069),G32,IF(AND(1068&lt;G5,G5&lt;1924),G33,IF(AND(1923&lt;G5,G5&lt;3093),G34,G35)))))))</f>
        <v>1068</v>
      </c>
      <c r="H7" s="24">
        <f>IF(AND(1&lt;H5,H5&lt;62),H28,IF(AND(61&lt;H5,H5&lt;140),H29,IF(AND(139&lt;H5,H5&lt;249),H30,IF(AND(248&lt;H5,H5&lt;398),H31,IF(AND(397&lt;H5,H5&lt;855),H32,IF(AND(854&lt;H5,H5&lt;1539),H33,IF(AND(1538&lt;H5,H5&lt;2475),H34,H35)))))))</f>
        <v>1538</v>
      </c>
      <c r="I7" s="27">
        <f>IF(AND(1&lt;I5,I5&lt;52),I28,IF(AND(51&lt;I5,I5&lt;117),I29,IF(AND(116&lt;I5,I5&lt;208),I30,IF(AND(207&lt;I5,I5&lt;332),I31,IF(AND(331&lt;I5,I5&lt;713),I32,IF(AND(712&lt;I5,I5&lt;1283),I33,IF(AND(1282&lt;I5,I5&lt;2062),I34,I35)))))))</f>
        <v>1282</v>
      </c>
    </row>
    <row r="8" spans="2:10" s="2" customFormat="1" ht="24.9" customHeight="1" thickBot="1" x14ac:dyDescent="0.3">
      <c r="B8" s="38" t="s">
        <v>16</v>
      </c>
      <c r="C8" s="32" t="s">
        <v>23</v>
      </c>
      <c r="D8" s="17">
        <f t="shared" ref="D8:I8" si="0">IF(D4=D10,D11,"TRY AGIAN")</f>
        <v>4</v>
      </c>
      <c r="E8" s="54">
        <f t="shared" si="0"/>
        <v>5</v>
      </c>
      <c r="F8" s="20">
        <f t="shared" si="0"/>
        <v>5</v>
      </c>
      <c r="G8" s="14">
        <f t="shared" si="0"/>
        <v>8</v>
      </c>
      <c r="H8" s="25">
        <f t="shared" si="0"/>
        <v>8</v>
      </c>
      <c r="I8" s="28">
        <f t="shared" si="0"/>
        <v>8</v>
      </c>
    </row>
    <row r="9" spans="2:10" s="2" customFormat="1" ht="24.9" customHeight="1" thickBot="1" x14ac:dyDescent="0.3">
      <c r="B9" s="40"/>
      <c r="C9" s="32" t="s">
        <v>22</v>
      </c>
      <c r="D9" s="17">
        <f t="shared" ref="D9:I9" si="1">IF(D4=D23,D24,"TRY AGIAN")</f>
        <v>5</v>
      </c>
      <c r="E9" s="54">
        <f t="shared" si="1"/>
        <v>6</v>
      </c>
      <c r="F9" s="20">
        <f t="shared" si="1"/>
        <v>8</v>
      </c>
      <c r="G9" s="14">
        <f t="shared" si="1"/>
        <v>8</v>
      </c>
      <c r="H9" s="25">
        <f t="shared" si="1"/>
        <v>10</v>
      </c>
      <c r="I9" s="28">
        <f t="shared" si="1"/>
        <v>10</v>
      </c>
    </row>
    <row r="10" spans="2:10" s="2" customFormat="1" ht="24.9" hidden="1" customHeight="1" thickBot="1" x14ac:dyDescent="0.3">
      <c r="B10" s="12"/>
      <c r="C10" s="3" t="s">
        <v>9</v>
      </c>
      <c r="D10" s="4">
        <v>1</v>
      </c>
      <c r="E10" s="4">
        <v>1.5</v>
      </c>
      <c r="F10" s="4">
        <v>2</v>
      </c>
      <c r="G10" s="4">
        <v>4</v>
      </c>
      <c r="H10" s="4">
        <v>5</v>
      </c>
      <c r="I10" s="4">
        <v>6</v>
      </c>
    </row>
    <row r="11" spans="2:10" s="2" customFormat="1" ht="24.9" hidden="1" customHeight="1" thickBot="1" x14ac:dyDescent="0.3">
      <c r="B11" s="12"/>
      <c r="C11" s="3" t="s">
        <v>8</v>
      </c>
      <c r="D11" s="5">
        <f>LOOKUP(D6,D15:D21,C15:C21)</f>
        <v>4</v>
      </c>
      <c r="E11" s="5">
        <f>LOOKUP(E6,E15:E21,C15:C21)</f>
        <v>5</v>
      </c>
      <c r="F11" s="5">
        <f>LOOKUP(F6,F15:F21,C15:C21)</f>
        <v>5</v>
      </c>
      <c r="G11" s="5">
        <f>LOOKUP(G6,G15:G21,C15:C21)</f>
        <v>8</v>
      </c>
      <c r="H11" s="5">
        <f>LOOKUP(H6,H15:H21,C15:C21)</f>
        <v>8</v>
      </c>
      <c r="I11" s="5">
        <f>LOOKUP(I6,I15:I21,C15:C21)</f>
        <v>8</v>
      </c>
    </row>
    <row r="12" spans="2:10" s="2" customFormat="1" ht="24.9" hidden="1" customHeight="1" thickBot="1" x14ac:dyDescent="0.3">
      <c r="B12" s="12"/>
      <c r="C12" s="45" t="s">
        <v>10</v>
      </c>
      <c r="D12" s="41" t="s">
        <v>1</v>
      </c>
      <c r="E12" s="42"/>
      <c r="F12" s="42"/>
      <c r="G12" s="42"/>
      <c r="H12" s="42"/>
      <c r="I12" s="43"/>
    </row>
    <row r="13" spans="2:10" s="2" customFormat="1" ht="24.9" hidden="1" customHeight="1" thickBot="1" x14ac:dyDescent="0.3">
      <c r="B13" s="12"/>
      <c r="C13" s="46"/>
      <c r="D13" s="41" t="s">
        <v>0</v>
      </c>
      <c r="E13" s="42"/>
      <c r="F13" s="42"/>
      <c r="G13" s="42"/>
      <c r="H13" s="42"/>
      <c r="I13" s="43"/>
    </row>
    <row r="14" spans="2:10" s="2" customFormat="1" ht="24.9" hidden="1" customHeight="1" thickBot="1" x14ac:dyDescent="0.3">
      <c r="B14" s="12"/>
      <c r="C14" s="47"/>
      <c r="D14" s="4" t="s">
        <v>2</v>
      </c>
      <c r="E14" s="4" t="s">
        <v>3</v>
      </c>
      <c r="F14" s="4" t="s">
        <v>4</v>
      </c>
      <c r="G14" s="4" t="s">
        <v>5</v>
      </c>
      <c r="H14" s="4" t="s">
        <v>6</v>
      </c>
      <c r="I14" s="4" t="s">
        <v>7</v>
      </c>
    </row>
    <row r="15" spans="2:10" s="2" customFormat="1" ht="24.9" hidden="1" customHeight="1" thickBot="1" x14ac:dyDescent="0.3">
      <c r="B15" s="12"/>
      <c r="C15" s="5">
        <v>2</v>
      </c>
      <c r="D15" s="6">
        <v>202</v>
      </c>
      <c r="E15" s="6">
        <f t="shared" ref="E15:E21" si="2">(D15+F15)/2</f>
        <v>151.5</v>
      </c>
      <c r="F15" s="6">
        <v>101</v>
      </c>
      <c r="G15" s="6">
        <v>50</v>
      </c>
      <c r="H15" s="6">
        <v>40</v>
      </c>
      <c r="I15" s="6">
        <v>33</v>
      </c>
    </row>
    <row r="16" spans="2:10" s="2" customFormat="1" ht="24.9" hidden="1" customHeight="1" thickBot="1" x14ac:dyDescent="0.3">
      <c r="B16" s="12"/>
      <c r="C16" s="5">
        <v>2.5</v>
      </c>
      <c r="D16" s="6">
        <v>366</v>
      </c>
      <c r="E16" s="6">
        <f t="shared" si="2"/>
        <v>274.5</v>
      </c>
      <c r="F16" s="6">
        <v>183</v>
      </c>
      <c r="G16" s="6">
        <v>91</v>
      </c>
      <c r="H16" s="6">
        <v>73</v>
      </c>
      <c r="I16" s="6">
        <v>61</v>
      </c>
    </row>
    <row r="17" spans="2:9" s="2" customFormat="1" ht="24.9" hidden="1" customHeight="1" thickBot="1" x14ac:dyDescent="0.3">
      <c r="B17" s="12"/>
      <c r="C17" s="5">
        <v>3</v>
      </c>
      <c r="D17" s="6">
        <v>598</v>
      </c>
      <c r="E17" s="6">
        <f t="shared" si="2"/>
        <v>448.5</v>
      </c>
      <c r="F17" s="6">
        <v>299</v>
      </c>
      <c r="G17" s="6">
        <v>149</v>
      </c>
      <c r="H17" s="6">
        <v>119</v>
      </c>
      <c r="I17" s="6">
        <v>99</v>
      </c>
    </row>
    <row r="18" spans="2:9" s="2" customFormat="1" ht="24.9" hidden="1" customHeight="1" thickBot="1" x14ac:dyDescent="0.3">
      <c r="B18" s="12"/>
      <c r="C18" s="5">
        <v>4</v>
      </c>
      <c r="D18" s="6">
        <v>1285</v>
      </c>
      <c r="E18" s="6">
        <f t="shared" si="2"/>
        <v>963.5</v>
      </c>
      <c r="F18" s="6">
        <v>642</v>
      </c>
      <c r="G18" s="6">
        <v>321</v>
      </c>
      <c r="H18" s="6">
        <v>257</v>
      </c>
      <c r="I18" s="6">
        <v>214</v>
      </c>
    </row>
    <row r="19" spans="2:9" s="2" customFormat="1" ht="24.9" hidden="1" customHeight="1" thickBot="1" x14ac:dyDescent="0.3">
      <c r="B19" s="12"/>
      <c r="C19" s="5">
        <v>5</v>
      </c>
      <c r="D19" s="6">
        <v>2333</v>
      </c>
      <c r="E19" s="6">
        <f t="shared" si="2"/>
        <v>1749.5</v>
      </c>
      <c r="F19" s="6">
        <v>1166</v>
      </c>
      <c r="G19" s="6">
        <v>583</v>
      </c>
      <c r="H19" s="6">
        <v>466</v>
      </c>
      <c r="I19" s="6">
        <v>388</v>
      </c>
    </row>
    <row r="20" spans="2:9" s="2" customFormat="1" ht="24.9" hidden="1" customHeight="1" thickBot="1" x14ac:dyDescent="0.3">
      <c r="B20" s="12"/>
      <c r="C20" s="5">
        <v>6</v>
      </c>
      <c r="D20" s="6">
        <v>3790</v>
      </c>
      <c r="E20" s="6">
        <f t="shared" si="2"/>
        <v>2842.5</v>
      </c>
      <c r="F20" s="6">
        <v>1895</v>
      </c>
      <c r="G20" s="6">
        <v>947</v>
      </c>
      <c r="H20" s="6">
        <v>758</v>
      </c>
      <c r="I20" s="6">
        <v>631</v>
      </c>
    </row>
    <row r="21" spans="2:9" s="2" customFormat="1" ht="24.9" hidden="1" customHeight="1" thickBot="1" x14ac:dyDescent="0.3">
      <c r="B21" s="12"/>
      <c r="C21" s="5">
        <v>8</v>
      </c>
      <c r="D21" s="6">
        <v>8175</v>
      </c>
      <c r="E21" s="6">
        <f t="shared" si="2"/>
        <v>6131</v>
      </c>
      <c r="F21" s="6">
        <v>4087</v>
      </c>
      <c r="G21" s="6">
        <v>2043</v>
      </c>
      <c r="H21" s="6">
        <v>1635</v>
      </c>
      <c r="I21" s="6">
        <v>1362</v>
      </c>
    </row>
    <row r="22" spans="2:9" s="2" customFormat="1" ht="24.9" hidden="1" customHeight="1" thickBot="1" x14ac:dyDescent="0.3">
      <c r="B22" s="12"/>
      <c r="C22" s="13"/>
      <c r="D22" s="13"/>
      <c r="E22" s="13"/>
      <c r="F22" s="13"/>
      <c r="G22" s="13"/>
      <c r="H22" s="13"/>
      <c r="I22" s="13"/>
    </row>
    <row r="23" spans="2:9" ht="24.9" hidden="1" customHeight="1" thickBot="1" x14ac:dyDescent="0.3">
      <c r="B23" s="10"/>
      <c r="C23" s="9" t="s">
        <v>9</v>
      </c>
      <c r="D23" s="11">
        <v>1</v>
      </c>
      <c r="E23" s="11">
        <v>1.5</v>
      </c>
      <c r="F23" s="11">
        <v>2</v>
      </c>
      <c r="G23" s="4">
        <v>4</v>
      </c>
      <c r="H23" s="4">
        <v>5</v>
      </c>
      <c r="I23" s="4">
        <v>6</v>
      </c>
    </row>
    <row r="24" spans="2:9" ht="24.9" hidden="1" customHeight="1" thickBot="1" x14ac:dyDescent="0.3">
      <c r="B24" s="10"/>
      <c r="C24" s="9" t="s">
        <v>21</v>
      </c>
      <c r="D24" s="5">
        <f>LOOKUP(D7,D28:D35,C28:C35)</f>
        <v>5</v>
      </c>
      <c r="E24" s="5">
        <f>LOOKUP(E7,E28:E35,C28:C35)</f>
        <v>6</v>
      </c>
      <c r="F24" s="5">
        <f>LOOKUP(F7,F28:F35,C28:C35)</f>
        <v>8</v>
      </c>
      <c r="G24" s="5">
        <f>LOOKUP(G7,G28:G35,C28:C35)</f>
        <v>8</v>
      </c>
      <c r="H24" s="5">
        <f>LOOKUP(H7,H28:H35,C28:C35)</f>
        <v>10</v>
      </c>
      <c r="I24" s="5">
        <f>LOOKUP(I7,I28:I35,C28:C35)</f>
        <v>10</v>
      </c>
    </row>
    <row r="25" spans="2:9" ht="24.9" hidden="1" customHeight="1" thickBot="1" x14ac:dyDescent="0.3">
      <c r="B25" s="1"/>
      <c r="C25" s="45" t="s">
        <v>11</v>
      </c>
      <c r="D25" s="41" t="s">
        <v>12</v>
      </c>
      <c r="E25" s="42"/>
      <c r="F25" s="42"/>
      <c r="G25" s="42"/>
      <c r="H25" s="42"/>
      <c r="I25" s="43"/>
    </row>
    <row r="26" spans="2:9" ht="24.9" hidden="1" customHeight="1" thickBot="1" x14ac:dyDescent="0.3">
      <c r="B26" s="1"/>
      <c r="C26" s="46"/>
      <c r="D26" s="41" t="s">
        <v>18</v>
      </c>
      <c r="E26" s="42"/>
      <c r="F26" s="42"/>
      <c r="G26" s="42"/>
      <c r="H26" s="42"/>
      <c r="I26" s="43"/>
    </row>
    <row r="27" spans="2:9" ht="24.9" hidden="1" customHeight="1" thickBot="1" x14ac:dyDescent="0.3">
      <c r="B27" s="1"/>
      <c r="C27" s="47"/>
      <c r="D27" s="4" t="s">
        <v>2</v>
      </c>
      <c r="E27" s="4" t="s">
        <v>3</v>
      </c>
      <c r="F27" s="4" t="s">
        <v>4</v>
      </c>
      <c r="G27" s="4" t="s">
        <v>5</v>
      </c>
      <c r="H27" s="4" t="s">
        <v>6</v>
      </c>
      <c r="I27" s="4" t="s">
        <v>7</v>
      </c>
    </row>
    <row r="28" spans="2:9" ht="24.9" hidden="1" customHeight="1" thickBot="1" x14ac:dyDescent="0.3">
      <c r="C28" s="5">
        <v>3</v>
      </c>
      <c r="D28" s="6">
        <f>INT(3290*0.0929)</f>
        <v>305</v>
      </c>
      <c r="E28" s="6">
        <f>INT((D28+F28)/2)</f>
        <v>228</v>
      </c>
      <c r="F28" s="6">
        <f>INT(1645*0.0929)</f>
        <v>152</v>
      </c>
      <c r="G28" s="6">
        <f>INT(822*0.0929)</f>
        <v>76</v>
      </c>
      <c r="H28" s="6">
        <f>INT(658*0.0929)</f>
        <v>61</v>
      </c>
      <c r="I28" s="6">
        <f>INT(550*0.0929)</f>
        <v>51</v>
      </c>
    </row>
    <row r="29" spans="2:9" ht="24.9" hidden="1" customHeight="1" thickBot="1" x14ac:dyDescent="0.3">
      <c r="C29" s="5">
        <v>4</v>
      </c>
      <c r="D29" s="6">
        <f>INT(7520*0.0929)</f>
        <v>698</v>
      </c>
      <c r="E29" s="6">
        <f t="shared" ref="E29:E35" si="3">INT((D29+F29)/2)</f>
        <v>523</v>
      </c>
      <c r="F29" s="6">
        <f>INT(3760*0.0929)</f>
        <v>349</v>
      </c>
      <c r="G29" s="6">
        <f>INT(1880*0.0929)</f>
        <v>174</v>
      </c>
      <c r="H29" s="6">
        <f>INT(1504*0.0929)</f>
        <v>139</v>
      </c>
      <c r="I29" s="6">
        <f>INT(1250*0.0929)</f>
        <v>116</v>
      </c>
    </row>
    <row r="30" spans="2:9" ht="24.9" hidden="1" customHeight="1" thickBot="1" x14ac:dyDescent="0.3">
      <c r="C30" s="5">
        <v>5</v>
      </c>
      <c r="D30" s="6">
        <f>INT(13360*0.0929)</f>
        <v>1241</v>
      </c>
      <c r="E30" s="6">
        <f t="shared" si="3"/>
        <v>930</v>
      </c>
      <c r="F30" s="6">
        <f>INT(6680*0.0929)</f>
        <v>620</v>
      </c>
      <c r="G30" s="6">
        <f>INT(3340*0.0929)</f>
        <v>310</v>
      </c>
      <c r="H30" s="6">
        <f>INT(2672*0.0929)</f>
        <v>248</v>
      </c>
      <c r="I30" s="6">
        <f>INT(2230*0.0929)</f>
        <v>207</v>
      </c>
    </row>
    <row r="31" spans="2:9" ht="24.9" hidden="1" customHeight="1" thickBot="1" x14ac:dyDescent="0.3">
      <c r="C31" s="5">
        <v>6</v>
      </c>
      <c r="D31" s="6">
        <f>INT(21400*0.0929)</f>
        <v>1988</v>
      </c>
      <c r="E31" s="6">
        <f t="shared" si="3"/>
        <v>1491</v>
      </c>
      <c r="F31" s="6">
        <f>INT(10700*0.0929)</f>
        <v>994</v>
      </c>
      <c r="G31" s="6">
        <f>INT(5350*0.0929)</f>
        <v>497</v>
      </c>
      <c r="H31" s="6">
        <f>INT(4280*0.0929)</f>
        <v>397</v>
      </c>
      <c r="I31" s="6">
        <f>INT(3570*0.0929)</f>
        <v>331</v>
      </c>
    </row>
    <row r="32" spans="2:9" ht="24.9" hidden="1" customHeight="1" thickBot="1" x14ac:dyDescent="0.3">
      <c r="C32" s="5">
        <v>8</v>
      </c>
      <c r="D32" s="6">
        <f>INT(46000*0.0929)</f>
        <v>4273</v>
      </c>
      <c r="E32" s="6">
        <f t="shared" si="3"/>
        <v>3204</v>
      </c>
      <c r="F32" s="6">
        <f>INT(23000*0.0929)</f>
        <v>2136</v>
      </c>
      <c r="G32" s="6">
        <f>INT(11500*0.0929)</f>
        <v>1068</v>
      </c>
      <c r="H32" s="6">
        <f>INT(9200*0.0929)</f>
        <v>854</v>
      </c>
      <c r="I32" s="6">
        <f>INT(7670*0.0929)</f>
        <v>712</v>
      </c>
    </row>
    <row r="33" spans="3:9" ht="24.9" hidden="1" customHeight="1" thickBot="1" x14ac:dyDescent="0.3">
      <c r="C33" s="5">
        <v>10</v>
      </c>
      <c r="D33" s="6">
        <f>INT(82800*0.0929)</f>
        <v>7692</v>
      </c>
      <c r="E33" s="6">
        <f t="shared" si="3"/>
        <v>5769</v>
      </c>
      <c r="F33" s="6">
        <f>INT(41400*0.0929)</f>
        <v>3846</v>
      </c>
      <c r="G33" s="6">
        <f>INT(20700*0.0929)</f>
        <v>1923</v>
      </c>
      <c r="H33" s="6">
        <f>INT(16560*0.0929)</f>
        <v>1538</v>
      </c>
      <c r="I33" s="6">
        <f>INT(13800*0.0929)</f>
        <v>1282</v>
      </c>
    </row>
    <row r="34" spans="3:9" ht="24.9" hidden="1" customHeight="1" thickBot="1" x14ac:dyDescent="0.3">
      <c r="C34" s="5">
        <v>12</v>
      </c>
      <c r="D34" s="6">
        <f>INT(133200*0.0929)</f>
        <v>12374</v>
      </c>
      <c r="E34" s="6">
        <f t="shared" si="3"/>
        <v>9280</v>
      </c>
      <c r="F34" s="6">
        <f>INT(66600*0.0929)</f>
        <v>6187</v>
      </c>
      <c r="G34" s="6">
        <f>INT(33300*0.0929)</f>
        <v>3093</v>
      </c>
      <c r="H34" s="6">
        <f>INT(26640*0.0929)</f>
        <v>2474</v>
      </c>
      <c r="I34" s="6">
        <f>INT(22200*0.0929)</f>
        <v>2062</v>
      </c>
    </row>
    <row r="35" spans="3:9" ht="24.9" hidden="1" customHeight="1" thickBot="1" x14ac:dyDescent="0.3">
      <c r="C35" s="5">
        <v>15</v>
      </c>
      <c r="D35" s="6">
        <f>INT(238000*0.0929)</f>
        <v>22110</v>
      </c>
      <c r="E35" s="6">
        <f t="shared" si="3"/>
        <v>16582</v>
      </c>
      <c r="F35" s="6">
        <f>INT(119000*0.0929)</f>
        <v>11055</v>
      </c>
      <c r="G35" s="6">
        <f>INT(59500*0.0929)</f>
        <v>5527</v>
      </c>
      <c r="H35" s="6">
        <f>INT(47600*0.0929)</f>
        <v>4422</v>
      </c>
      <c r="I35" s="6">
        <f>INT(39670*0.0929)</f>
        <v>3685</v>
      </c>
    </row>
    <row r="42" spans="3:9" x14ac:dyDescent="0.25">
      <c r="E42" s="29"/>
    </row>
  </sheetData>
  <sheetProtection password="CB30" sheet="1" formatCells="0" formatColumns="0" formatRows="0" insertColumns="0" insertRows="0" insertHyperlinks="0" deleteColumns="0" deleteRows="0" sort="0" autoFilter="0" pivotTables="0"/>
  <protectedRanges>
    <protectedRange sqref="D5" name="Range1"/>
  </protectedRanges>
  <mergeCells count="11">
    <mergeCell ref="D1:F1"/>
    <mergeCell ref="B4:B7"/>
    <mergeCell ref="D25:I25"/>
    <mergeCell ref="B8:B9"/>
    <mergeCell ref="G2:I2"/>
    <mergeCell ref="D26:I26"/>
    <mergeCell ref="C25:C27"/>
    <mergeCell ref="C12:C14"/>
    <mergeCell ref="D12:I12"/>
    <mergeCell ref="D13:I13"/>
    <mergeCell ref="F3:I3"/>
  </mergeCells>
  <phoneticPr fontId="1" type="noConversion"/>
  <dataValidations count="1">
    <dataValidation type="decimal" allowBlank="1" showInputMessage="1" showErrorMessage="1" sqref="D5" xr:uid="{241BAC9A-A8C6-464C-8578-DA59F83B333A}">
      <formula1>1.1</formula1>
      <formula2>1000000</formula2>
    </dataValidation>
  </dataValidation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88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Gutter Nomber</vt:lpstr>
      <vt:lpstr>Storm system</vt:lpstr>
      <vt:lpstr>'Gutter Nomber'!Print_Area</vt:lpstr>
    </vt:vector>
  </TitlesOfParts>
  <Company>ww.islamway.net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 Of The Control</dc:creator>
  <cp:lastModifiedBy>Ankesh Mishra</cp:lastModifiedBy>
  <cp:lastPrinted>2008-11-17T10:41:36Z</cp:lastPrinted>
  <dcterms:created xsi:type="dcterms:W3CDTF">2007-02-16T08:30:53Z</dcterms:created>
  <dcterms:modified xsi:type="dcterms:W3CDTF">2025-03-20T11:54:15Z</dcterms:modified>
</cp:coreProperties>
</file>