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34C95F52-485B-4281-A024-8C54C7AA4E67}" xr6:coauthVersionLast="47" xr6:coauthVersionMax="47" xr10:uidLastSave="{00000000-0000-0000-0000-000000000000}"/>
  <bookViews>
    <workbookView xWindow="-108" yWindow="-108" windowWidth="23256" windowHeight="12456" tabRatio="709" xr2:uid="{00000000-000D-0000-FFFF-FFFF00000000}"/>
  </bookViews>
  <sheets>
    <sheet name="Earthing" sheetId="1" r:id="rId1"/>
    <sheet name="Calculations" sheetId="2" r:id="rId2"/>
  </sheets>
  <definedNames>
    <definedName name="_xlnm.Print_Area" localSheetId="0">Earthing!$A$1:$O$57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0" i="1" l="1"/>
  <c r="G40" i="1"/>
  <c r="F109" i="2" l="1"/>
  <c r="I168" i="2"/>
  <c r="G21" i="1"/>
  <c r="N20" i="1" l="1"/>
  <c r="G87" i="2" s="1"/>
  <c r="G86" i="2"/>
  <c r="G24" i="1"/>
  <c r="G28" i="1"/>
  <c r="G26" i="1"/>
  <c r="G14" i="1"/>
  <c r="E62" i="2"/>
  <c r="I67" i="2" s="1"/>
  <c r="N12" i="1"/>
  <c r="N34" i="1"/>
  <c r="G153" i="2" s="1"/>
  <c r="N22" i="1"/>
  <c r="I137" i="2" s="1"/>
  <c r="I166" i="2"/>
  <c r="I129" i="2"/>
  <c r="I128" i="2"/>
  <c r="G85" i="2"/>
  <c r="I71" i="2"/>
  <c r="I69" i="2"/>
  <c r="G43" i="1" l="1"/>
  <c r="N24" i="1"/>
  <c r="I66" i="2"/>
  <c r="G88" i="2"/>
  <c r="E28" i="2"/>
  <c r="E32" i="2" s="1"/>
  <c r="I64" i="2"/>
  <c r="E41" i="2" l="1"/>
  <c r="N51" i="1" s="1"/>
  <c r="E33" i="2"/>
  <c r="G51" i="1" s="1"/>
  <c r="E42" i="2"/>
  <c r="I65" i="2" l="1"/>
  <c r="I89" i="2"/>
  <c r="G45" i="1" l="1"/>
  <c r="G149" i="2"/>
  <c r="D140" i="2"/>
  <c r="N43" i="1" s="1"/>
  <c r="D211" i="2"/>
  <c r="N45" i="1" s="1"/>
  <c r="D171" i="2"/>
  <c r="G34" i="1"/>
  <c r="I68" i="2" s="1"/>
  <c r="I133" i="2"/>
  <c r="D99" i="2" l="1"/>
  <c r="G171" i="2"/>
  <c r="D90" i="2"/>
  <c r="D173" i="2"/>
  <c r="D74" i="2"/>
  <c r="D175" i="2" l="1"/>
  <c r="G175" i="2" s="1"/>
  <c r="G201" i="2" s="1"/>
  <c r="I134" i="2" s="1"/>
  <c r="D101" i="2"/>
  <c r="G182" i="2" l="1"/>
  <c r="G180" i="2"/>
  <c r="G197" i="2"/>
  <c r="G203" i="2" s="1"/>
  <c r="G215" i="2" s="1"/>
  <c r="N54" i="1" s="1"/>
  <c r="F112" i="2"/>
  <c r="G48" i="1" s="1"/>
  <c r="N47" i="1"/>
  <c r="G184" i="2" l="1"/>
  <c r="G198" i="2"/>
  <c r="G54" i="1" l="1"/>
  <c r="D217" i="2" s="1"/>
  <c r="K56" i="1" s="1"/>
</calcChain>
</file>

<file path=xl/sharedStrings.xml><?xml version="1.0" encoding="utf-8"?>
<sst xmlns="http://schemas.openxmlformats.org/spreadsheetml/2006/main" count="532" uniqueCount="314">
  <si>
    <r>
      <t>Input data :-</t>
    </r>
    <r>
      <rPr>
        <sz val="12"/>
        <rFont val="Times New Roman"/>
        <family val="1"/>
      </rPr>
      <t xml:space="preserve"> </t>
    </r>
  </si>
  <si>
    <t>Conductor material</t>
  </si>
  <si>
    <t>=</t>
  </si>
  <si>
    <t>System Voltage</t>
  </si>
  <si>
    <t>kV</t>
  </si>
  <si>
    <r>
      <t>Fault Current, I</t>
    </r>
    <r>
      <rPr>
        <vertAlign val="subscript"/>
        <sz val="12"/>
        <rFont val="Times New Roman"/>
        <family val="1"/>
      </rPr>
      <t>f</t>
    </r>
  </si>
  <si>
    <t>kA</t>
  </si>
  <si>
    <r>
      <t>Fault Duration, t</t>
    </r>
    <r>
      <rPr>
        <vertAlign val="subscript"/>
        <sz val="12"/>
        <rFont val="Times New Roman"/>
        <family val="1"/>
      </rPr>
      <t>c</t>
    </r>
  </si>
  <si>
    <t>sec</t>
  </si>
  <si>
    <r>
      <t>Max. Allowable Temperature, T</t>
    </r>
    <r>
      <rPr>
        <vertAlign val="subscript"/>
        <sz val="12"/>
        <rFont val="Times New Roman"/>
        <family val="1"/>
      </rPr>
      <t>m</t>
    </r>
  </si>
  <si>
    <r>
      <t>0</t>
    </r>
    <r>
      <rPr>
        <sz val="12"/>
        <rFont val="Times New Roman"/>
        <family val="1"/>
      </rPr>
      <t>C</t>
    </r>
  </si>
  <si>
    <r>
      <t>Ambient Temperature, T</t>
    </r>
    <r>
      <rPr>
        <vertAlign val="subscript"/>
        <sz val="12"/>
        <rFont val="Times New Roman"/>
        <family val="1"/>
      </rPr>
      <t>a</t>
    </r>
  </si>
  <si>
    <r>
      <t>Reference temp for material constant,T</t>
    </r>
    <r>
      <rPr>
        <vertAlign val="subscript"/>
        <sz val="12"/>
        <rFont val="Times New Roman"/>
        <family val="1"/>
      </rPr>
      <t>r</t>
    </r>
  </si>
  <si>
    <t xml:space="preserve">Thermal Co-eff.of resistivity at reference </t>
  </si>
  <si>
    <r>
      <t xml:space="preserve">Temperature, </t>
    </r>
    <r>
      <rPr>
        <sz val="10"/>
        <rFont val="Symbol"/>
        <family val="1"/>
        <charset val="2"/>
      </rPr>
      <t>a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 xml:space="preserve"> </t>
    </r>
  </si>
  <si>
    <t>Resistivity of Ground Conductor at ref.</t>
  </si>
  <si>
    <r>
      <t xml:space="preserve">Temperature, </t>
    </r>
    <r>
      <rPr>
        <sz val="10"/>
        <rFont val="Symbol"/>
        <family val="1"/>
        <charset val="2"/>
      </rPr>
      <t>r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 xml:space="preserve"> </t>
    </r>
  </si>
  <si>
    <r>
      <t>mW/</t>
    </r>
    <r>
      <rPr>
        <sz val="10"/>
        <rFont val="Arial"/>
        <family val="2"/>
      </rPr>
      <t>cm</t>
    </r>
    <r>
      <rPr>
        <vertAlign val="superscript"/>
        <sz val="10"/>
        <rFont val="Arial"/>
        <family val="2"/>
      </rPr>
      <t>3</t>
    </r>
  </si>
  <si>
    <t>Thermal Capacity Factor, TCAP</t>
  </si>
  <si>
    <r>
      <t>J/cm</t>
    </r>
    <r>
      <rPr>
        <vertAlign val="superscript"/>
        <sz val="12"/>
        <rFont val="Times New Roman"/>
        <family val="1"/>
      </rPr>
      <t>3/o</t>
    </r>
    <r>
      <rPr>
        <sz val="12"/>
        <rFont val="Times New Roman"/>
        <family val="1"/>
      </rPr>
      <t>C</t>
    </r>
  </si>
  <si>
    <r>
      <t>K</t>
    </r>
    <r>
      <rPr>
        <vertAlign val="subscript"/>
        <sz val="10"/>
        <rFont val="Arial"/>
        <family val="2"/>
      </rPr>
      <t xml:space="preserve">0 = </t>
    </r>
    <r>
      <rPr>
        <sz val="10"/>
        <rFont val="Arial"/>
        <family val="2"/>
      </rPr>
      <t>(1/</t>
    </r>
    <r>
      <rPr>
        <sz val="10"/>
        <rFont val="Symbol"/>
        <family val="1"/>
        <charset val="2"/>
      </rPr>
      <t>a</t>
    </r>
    <r>
      <rPr>
        <sz val="10"/>
        <rFont val="Arial"/>
        <family val="2"/>
      </rPr>
      <t>r) -T</t>
    </r>
    <r>
      <rPr>
        <vertAlign val="subscript"/>
        <sz val="10"/>
        <rFont val="Arial"/>
        <family val="2"/>
      </rPr>
      <t>r</t>
    </r>
  </si>
  <si>
    <t>Conductor Size :-</t>
  </si>
  <si>
    <t>As per Eq.37 of IEEE Std 80-2000, conductor size is given by</t>
  </si>
  <si>
    <r>
      <t>t</t>
    </r>
    <r>
      <rPr>
        <vertAlign val="subscript"/>
        <sz val="10"/>
        <rFont val="Arial"/>
        <family val="2"/>
      </rPr>
      <t>c</t>
    </r>
    <r>
      <rPr>
        <sz val="10"/>
        <rFont val="Arial"/>
        <family val="2"/>
      </rPr>
      <t xml:space="preserve">  </t>
    </r>
    <r>
      <rPr>
        <sz val="10"/>
        <rFont val="Symbol"/>
        <family val="1"/>
        <charset val="2"/>
      </rPr>
      <t>a</t>
    </r>
    <r>
      <rPr>
        <vertAlign val="subscript"/>
        <sz val="10"/>
        <rFont val="Arial"/>
        <family val="2"/>
      </rPr>
      <t>r</t>
    </r>
    <r>
      <rPr>
        <sz val="10"/>
        <rFont val="Symbol"/>
        <family val="1"/>
        <charset val="2"/>
      </rPr>
      <t xml:space="preserve">  r</t>
    </r>
    <r>
      <rPr>
        <vertAlign val="subscript"/>
        <sz val="10"/>
        <rFont val="Arial"/>
        <family val="2"/>
      </rPr>
      <t>r</t>
    </r>
    <r>
      <rPr>
        <sz val="10"/>
        <rFont val="Symbol"/>
        <family val="1"/>
        <charset val="2"/>
      </rPr>
      <t xml:space="preserve"> </t>
    </r>
    <r>
      <rPr>
        <sz val="10"/>
        <rFont val="Arial"/>
        <family val="2"/>
      </rPr>
      <t>x</t>
    </r>
    <r>
      <rPr>
        <sz val="10"/>
        <rFont val="Symbol"/>
        <family val="1"/>
        <charset val="2"/>
      </rPr>
      <t xml:space="preserve"> 10</t>
    </r>
    <r>
      <rPr>
        <vertAlign val="superscript"/>
        <sz val="10"/>
        <rFont val="Symbol"/>
        <family val="1"/>
        <charset val="2"/>
      </rPr>
      <t>4</t>
    </r>
  </si>
  <si>
    <t>TCAP</t>
  </si>
  <si>
    <t xml:space="preserve"> A </t>
  </si>
  <si>
    <r>
      <t>I</t>
    </r>
    <r>
      <rPr>
        <vertAlign val="subscript"/>
        <sz val="12"/>
        <rFont val="Times New Roman"/>
        <family val="1"/>
      </rPr>
      <t>f</t>
    </r>
  </si>
  <si>
    <t xml:space="preserve"> Ko + Tm</t>
  </si>
  <si>
    <t>ln 1 +</t>
  </si>
  <si>
    <r>
      <t xml:space="preserve"> K</t>
    </r>
    <r>
      <rPr>
        <vertAlign val="subscript"/>
        <sz val="12"/>
        <rFont val="Times New Roman"/>
        <family val="1"/>
      </rPr>
      <t xml:space="preserve">o </t>
    </r>
    <r>
      <rPr>
        <sz val="12"/>
        <rFont val="Times New Roman"/>
        <family val="1"/>
      </rPr>
      <t>+ T</t>
    </r>
    <r>
      <rPr>
        <vertAlign val="subscript"/>
        <sz val="12"/>
        <rFont val="Times New Roman"/>
        <family val="1"/>
      </rPr>
      <t>a</t>
    </r>
  </si>
  <si>
    <t>Conductor size, A</t>
  </si>
  <si>
    <t>A</t>
  </si>
  <si>
    <t>Length of Earth grid</t>
  </si>
  <si>
    <t>metre</t>
  </si>
  <si>
    <t>Width of Earth grid</t>
  </si>
  <si>
    <t>Area of Earth grid, A</t>
  </si>
  <si>
    <t>sq.metre</t>
  </si>
  <si>
    <t>Depth of burial w.r.t. ground level, h</t>
  </si>
  <si>
    <t>Length of one earth mat conductor Lx</t>
  </si>
  <si>
    <t>Width of one earth mat conductor Ly</t>
  </si>
  <si>
    <t>Additional  length of conductor considered</t>
  </si>
  <si>
    <r>
      <t>Grid conductor combined length, L</t>
    </r>
    <r>
      <rPr>
        <vertAlign val="subscript"/>
        <sz val="12"/>
        <rFont val="Times New Roman"/>
        <family val="1"/>
      </rPr>
      <t>c</t>
    </r>
  </si>
  <si>
    <t>Total no. of ground rods (Untreated)</t>
  </si>
  <si>
    <t>SA</t>
  </si>
  <si>
    <t>Towers with peak</t>
  </si>
  <si>
    <t>Switchyard corners</t>
  </si>
  <si>
    <t>Additional ground rods</t>
  </si>
  <si>
    <t>length of each rod in m   Lr</t>
  </si>
  <si>
    <t>meter</t>
  </si>
  <si>
    <r>
      <t>Total ground rod length, L</t>
    </r>
    <r>
      <rPr>
        <vertAlign val="subscript"/>
        <sz val="12"/>
        <rFont val="Times New Roman"/>
        <family val="1"/>
      </rPr>
      <t>R</t>
    </r>
  </si>
  <si>
    <t xml:space="preserve">Effective length of buried conductor </t>
  </si>
  <si>
    <r>
      <t>L</t>
    </r>
    <r>
      <rPr>
        <vertAlign val="subscript"/>
        <sz val="12"/>
        <rFont val="Times New Roman"/>
        <family val="1"/>
      </rPr>
      <t xml:space="preserve">T = </t>
    </r>
    <r>
      <rPr>
        <sz val="12"/>
        <rFont val="Times New Roman"/>
        <family val="1"/>
      </rPr>
      <t xml:space="preserve"> L</t>
    </r>
    <r>
      <rPr>
        <vertAlign val="subscript"/>
        <sz val="12"/>
        <rFont val="Times New Roman"/>
        <family val="1"/>
      </rPr>
      <t>R</t>
    </r>
    <r>
      <rPr>
        <sz val="12"/>
        <rFont val="Times New Roman"/>
        <family val="1"/>
      </rPr>
      <t xml:space="preserve"> + L</t>
    </r>
    <r>
      <rPr>
        <vertAlign val="subscript"/>
        <sz val="12"/>
        <rFont val="Times New Roman"/>
        <family val="1"/>
      </rPr>
      <t>c</t>
    </r>
  </si>
  <si>
    <r>
      <t>Effective Buried Length for mesh voltage, L</t>
    </r>
    <r>
      <rPr>
        <vertAlign val="subscript"/>
        <sz val="12"/>
        <rFont val="Times New Roman"/>
        <family val="1"/>
      </rPr>
      <t>M</t>
    </r>
  </si>
  <si>
    <r>
      <t>Effective Buried Length for step voltage, L</t>
    </r>
    <r>
      <rPr>
        <vertAlign val="subscript"/>
        <sz val="12"/>
        <rFont val="Times New Roman"/>
        <family val="1"/>
      </rPr>
      <t>S</t>
    </r>
  </si>
  <si>
    <r>
      <t xml:space="preserve">Soil Resistivityconsidered for design, </t>
    </r>
    <r>
      <rPr>
        <sz val="10"/>
        <rFont val="Symbol"/>
        <family val="1"/>
        <charset val="2"/>
      </rPr>
      <t xml:space="preserve">r </t>
    </r>
  </si>
  <si>
    <r>
      <t xml:space="preserve">Surface Resistivity, </t>
    </r>
    <r>
      <rPr>
        <sz val="10"/>
        <rFont val="Symbol"/>
        <family val="1"/>
        <charset val="2"/>
      </rPr>
      <t>r</t>
    </r>
    <r>
      <rPr>
        <vertAlign val="subscript"/>
        <sz val="10"/>
        <rFont val="Arial"/>
        <family val="2"/>
      </rPr>
      <t>s</t>
    </r>
  </si>
  <si>
    <t xml:space="preserve">Spacing for Earthing Mat ,D  </t>
  </si>
  <si>
    <r>
      <t>Corrective weighting factor, K</t>
    </r>
    <r>
      <rPr>
        <vertAlign val="subscript"/>
        <sz val="12"/>
        <rFont val="Times New Roman"/>
        <family val="1"/>
      </rPr>
      <t>ii</t>
    </r>
  </si>
  <si>
    <r>
      <t>Reference Depth of grid, h</t>
    </r>
    <r>
      <rPr>
        <vertAlign val="subscript"/>
        <sz val="12"/>
        <rFont val="Times New Roman"/>
        <family val="1"/>
      </rPr>
      <t>0</t>
    </r>
  </si>
  <si>
    <r>
      <t>Thickness of Concrete , h</t>
    </r>
    <r>
      <rPr>
        <vertAlign val="subscript"/>
        <sz val="12"/>
        <rFont val="Times New Roman"/>
        <family val="1"/>
      </rPr>
      <t>s</t>
    </r>
  </si>
  <si>
    <t>Fault Current division factor (Sf)</t>
  </si>
  <si>
    <t>2.2)</t>
  </si>
  <si>
    <r>
      <t>Calculation of Tolerable E</t>
    </r>
    <r>
      <rPr>
        <b/>
        <vertAlign val="subscript"/>
        <sz val="12"/>
        <rFont val="Times New Roman"/>
        <family val="1"/>
      </rPr>
      <t>touch</t>
    </r>
    <r>
      <rPr>
        <b/>
        <sz val="12"/>
        <rFont val="Times New Roman"/>
        <family val="1"/>
      </rPr>
      <t xml:space="preserve"> &amp; E</t>
    </r>
    <r>
      <rPr>
        <b/>
        <vertAlign val="subscript"/>
        <sz val="12"/>
        <rFont val="Times New Roman"/>
        <family val="1"/>
      </rPr>
      <t>step</t>
    </r>
    <r>
      <rPr>
        <b/>
        <sz val="12"/>
        <rFont val="Times New Roman"/>
        <family val="1"/>
      </rPr>
      <t xml:space="preserve"> Voltage :</t>
    </r>
  </si>
  <si>
    <t>a)</t>
  </si>
  <si>
    <t xml:space="preserve"> From IEEE Std 80-2000</t>
  </si>
  <si>
    <r>
      <t>Tolerable E</t>
    </r>
    <r>
      <rPr>
        <vertAlign val="subscript"/>
        <sz val="12"/>
        <rFont val="Times New Roman"/>
        <family val="1"/>
      </rPr>
      <t>touch50</t>
    </r>
    <r>
      <rPr>
        <sz val="12"/>
        <rFont val="Times New Roman"/>
        <family val="1"/>
      </rPr>
      <t xml:space="preserve">= </t>
    </r>
  </si>
  <si>
    <r>
      <t>[(1000 + 1.5C</t>
    </r>
    <r>
      <rPr>
        <vertAlign val="subscript"/>
        <sz val="10"/>
        <rFont val="Arial"/>
        <family val="2"/>
      </rPr>
      <t xml:space="preserve">S </t>
    </r>
    <r>
      <rPr>
        <sz val="10"/>
        <rFont val="Symbol"/>
        <family val="1"/>
        <charset val="2"/>
      </rPr>
      <t>r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) 0.116/ </t>
    </r>
    <r>
      <rPr>
        <sz val="10"/>
        <rFont val="Symbol"/>
        <family val="1"/>
        <charset val="2"/>
      </rPr>
      <t>Ö</t>
    </r>
    <r>
      <rPr>
        <sz val="10"/>
        <rFont val="Arial"/>
        <family val="2"/>
      </rPr>
      <t>t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 ]</t>
    </r>
  </si>
  <si>
    <t xml:space="preserve">         Where,</t>
  </si>
  <si>
    <r>
      <t>C</t>
    </r>
    <r>
      <rPr>
        <vertAlign val="subscript"/>
        <sz val="12"/>
        <rFont val="Times New Roman"/>
        <family val="1"/>
      </rPr>
      <t>s</t>
    </r>
    <r>
      <rPr>
        <sz val="12"/>
        <rFont val="Times New Roman"/>
        <family val="1"/>
      </rPr>
      <t xml:space="preserve"> = Reduction factor for derating the nominal value of surface layer</t>
    </r>
  </si>
  <si>
    <t xml:space="preserve">        resistivity.</t>
  </si>
  <si>
    <r>
      <t>C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 = 1 - 0.09 [(1-</t>
    </r>
    <r>
      <rPr>
        <sz val="10"/>
        <rFont val="Symbol"/>
        <family val="1"/>
        <charset val="2"/>
      </rPr>
      <t>r/r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>)/(2h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 + 0.09)]</t>
    </r>
  </si>
  <si>
    <r>
      <t>C</t>
    </r>
    <r>
      <rPr>
        <vertAlign val="subscript"/>
        <sz val="12"/>
        <rFont val="Times New Roman"/>
        <family val="1"/>
      </rPr>
      <t>s</t>
    </r>
    <r>
      <rPr>
        <sz val="12"/>
        <rFont val="Times New Roman"/>
        <family val="1"/>
      </rPr>
      <t xml:space="preserve"> </t>
    </r>
  </si>
  <si>
    <r>
      <t>t</t>
    </r>
    <r>
      <rPr>
        <vertAlign val="subscript"/>
        <sz val="12"/>
        <rFont val="Times New Roman"/>
        <family val="1"/>
      </rPr>
      <t>S</t>
    </r>
    <r>
      <rPr>
        <sz val="12"/>
        <rFont val="Times New Roman"/>
        <family val="1"/>
      </rPr>
      <t xml:space="preserve"> = Duration of shock current in seconds = </t>
    </r>
  </si>
  <si>
    <t>( from clause 16.2.2 of IEEE Std 80-2000 )</t>
  </si>
  <si>
    <t xml:space="preserve">Substituting the above values, </t>
  </si>
  <si>
    <r>
      <t>Tolerable E</t>
    </r>
    <r>
      <rPr>
        <vertAlign val="subscript"/>
        <sz val="12"/>
        <rFont val="Times New Roman"/>
        <family val="1"/>
      </rPr>
      <t>touch50</t>
    </r>
  </si>
  <si>
    <t>Volts</t>
  </si>
  <si>
    <t>b)</t>
  </si>
  <si>
    <r>
      <t>[(1000 + 6C</t>
    </r>
    <r>
      <rPr>
        <vertAlign val="subscript"/>
        <sz val="10"/>
        <rFont val="Arial"/>
        <family val="2"/>
      </rPr>
      <t xml:space="preserve">S </t>
    </r>
    <r>
      <rPr>
        <sz val="10"/>
        <rFont val="Symbol"/>
        <family val="1"/>
        <charset val="2"/>
      </rPr>
      <t>r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) 0.116/ </t>
    </r>
    <r>
      <rPr>
        <sz val="10"/>
        <rFont val="Symbol"/>
        <family val="1"/>
        <charset val="2"/>
      </rPr>
      <t>Ö</t>
    </r>
    <r>
      <rPr>
        <sz val="10"/>
        <rFont val="Arial"/>
        <family val="2"/>
      </rPr>
      <t>t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 ]</t>
    </r>
  </si>
  <si>
    <t xml:space="preserve">Substituting the values, </t>
  </si>
  <si>
    <r>
      <t>Tolerable E</t>
    </r>
    <r>
      <rPr>
        <vertAlign val="subscript"/>
        <sz val="12"/>
        <rFont val="Times New Roman"/>
        <family val="1"/>
      </rPr>
      <t>step50</t>
    </r>
  </si>
  <si>
    <t>2.3)</t>
  </si>
  <si>
    <r>
      <t>Calculation of Grid Resistance, R</t>
    </r>
    <r>
      <rPr>
        <b/>
        <vertAlign val="subscript"/>
        <sz val="12"/>
        <rFont val="Times New Roman"/>
        <family val="1"/>
      </rPr>
      <t>g</t>
    </r>
    <r>
      <rPr>
        <b/>
        <sz val="12"/>
        <rFont val="Times New Roman"/>
        <family val="1"/>
      </rPr>
      <t xml:space="preserve">  :</t>
    </r>
  </si>
  <si>
    <r>
      <t>R</t>
    </r>
    <r>
      <rPr>
        <vertAlign val="subscript"/>
        <sz val="12"/>
        <rFont val="Times New Roman"/>
        <family val="1"/>
      </rPr>
      <t>1</t>
    </r>
    <r>
      <rPr>
        <sz val="12"/>
        <rFont val="Times New Roman"/>
        <family val="1"/>
      </rPr>
      <t xml:space="preserve"> R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- R</t>
    </r>
    <r>
      <rPr>
        <vertAlign val="subscript"/>
        <sz val="12"/>
        <rFont val="Times New Roman"/>
        <family val="1"/>
      </rPr>
      <t>m</t>
    </r>
    <r>
      <rPr>
        <vertAlign val="superscript"/>
        <sz val="12"/>
        <rFont val="Times New Roman"/>
        <family val="1"/>
      </rPr>
      <t>2</t>
    </r>
  </si>
  <si>
    <r>
      <t>The total system resistance, R</t>
    </r>
    <r>
      <rPr>
        <vertAlign val="subscript"/>
        <sz val="12"/>
        <rFont val="Times New Roman"/>
        <family val="1"/>
      </rPr>
      <t>g</t>
    </r>
  </si>
  <si>
    <r>
      <t>R</t>
    </r>
    <r>
      <rPr>
        <vertAlign val="subscript"/>
        <sz val="12"/>
        <rFont val="Times New Roman"/>
        <family val="1"/>
      </rPr>
      <t>1</t>
    </r>
    <r>
      <rPr>
        <sz val="12"/>
        <rFont val="Times New Roman"/>
        <family val="1"/>
      </rPr>
      <t xml:space="preserve"> + R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- 2R</t>
    </r>
    <r>
      <rPr>
        <vertAlign val="subscript"/>
        <sz val="12"/>
        <rFont val="Times New Roman"/>
        <family val="1"/>
      </rPr>
      <t>m</t>
    </r>
  </si>
  <si>
    <t>Where,</t>
  </si>
  <si>
    <r>
      <t>R</t>
    </r>
    <r>
      <rPr>
        <vertAlign val="subscript"/>
        <sz val="12"/>
        <rFont val="Times New Roman"/>
        <family val="1"/>
      </rPr>
      <t>1</t>
    </r>
  </si>
  <si>
    <r>
      <t xml:space="preserve">Ground resistance of grid conductors in </t>
    </r>
    <r>
      <rPr>
        <sz val="12"/>
        <rFont val="Calibri"/>
        <family val="2"/>
      </rPr>
      <t>Ω</t>
    </r>
  </si>
  <si>
    <r>
      <t>R</t>
    </r>
    <r>
      <rPr>
        <vertAlign val="subscript"/>
        <sz val="12"/>
        <rFont val="Times New Roman"/>
        <family val="1"/>
      </rPr>
      <t>2</t>
    </r>
  </si>
  <si>
    <t>Ground resistance of of all ground rods in Ω</t>
  </si>
  <si>
    <r>
      <t>R</t>
    </r>
    <r>
      <rPr>
        <vertAlign val="subscript"/>
        <sz val="12"/>
        <rFont val="Times New Roman"/>
        <family val="1"/>
      </rPr>
      <t>m</t>
    </r>
  </si>
  <si>
    <t>Mutual ground resistance between the group of grid conductors, R1 and</t>
  </si>
  <si>
    <t>group of ground rods, R2 in Ω</t>
  </si>
  <si>
    <t>ρ</t>
  </si>
  <si>
    <r>
      <t>2 L</t>
    </r>
    <r>
      <rPr>
        <vertAlign val="subscript"/>
        <sz val="12"/>
        <rFont val="Times New Roman"/>
        <family val="1"/>
      </rPr>
      <t>c</t>
    </r>
  </si>
  <si>
    <r>
      <t>k</t>
    </r>
    <r>
      <rPr>
        <vertAlign val="subscript"/>
        <sz val="12"/>
        <rFont val="Times New Roman"/>
        <family val="1"/>
      </rPr>
      <t xml:space="preserve">1  </t>
    </r>
    <r>
      <rPr>
        <sz val="12"/>
        <rFont val="Times New Roman"/>
        <family val="1"/>
      </rPr>
      <t>L</t>
    </r>
    <r>
      <rPr>
        <vertAlign val="subscript"/>
        <sz val="12"/>
        <rFont val="Times New Roman"/>
        <family val="1"/>
      </rPr>
      <t>c</t>
    </r>
  </si>
  <si>
    <t>ln</t>
  </si>
  <si>
    <t>+</t>
  </si>
  <si>
    <r>
      <t>- k</t>
    </r>
    <r>
      <rPr>
        <vertAlign val="subscript"/>
        <sz val="12"/>
        <rFont val="Times New Roman"/>
        <family val="1"/>
      </rPr>
      <t>2</t>
    </r>
  </si>
  <si>
    <r>
      <t>ΠL</t>
    </r>
    <r>
      <rPr>
        <vertAlign val="subscript"/>
        <sz val="10"/>
        <rFont val="Arial"/>
        <family val="2"/>
      </rPr>
      <t xml:space="preserve">c </t>
    </r>
  </si>
  <si>
    <r>
      <t>a</t>
    </r>
    <r>
      <rPr>
        <vertAlign val="superscript"/>
        <sz val="12"/>
        <rFont val="Times New Roman"/>
        <family val="1"/>
      </rPr>
      <t>'</t>
    </r>
  </si>
  <si>
    <t>r</t>
  </si>
  <si>
    <t>Soil Resistivity in Ω-m</t>
  </si>
  <si>
    <t>ohm-m</t>
  </si>
  <si>
    <r>
      <t>L</t>
    </r>
    <r>
      <rPr>
        <vertAlign val="subscript"/>
        <sz val="12"/>
        <rFont val="Times New Roman"/>
        <family val="1"/>
      </rPr>
      <t>c</t>
    </r>
  </si>
  <si>
    <t>Total length of all connected grid conductors in m</t>
  </si>
  <si>
    <t>m</t>
  </si>
  <si>
    <t xml:space="preserve">    a.2h</t>
  </si>
  <si>
    <t>for conductors buried at depth h in m</t>
  </si>
  <si>
    <t>2a</t>
  </si>
  <si>
    <t>Diameter of conductor in m</t>
  </si>
  <si>
    <r>
      <t>Area covered by conductors in m</t>
    </r>
    <r>
      <rPr>
        <vertAlign val="superscript"/>
        <sz val="12"/>
        <rFont val="Times New Roman"/>
        <family val="1"/>
      </rPr>
      <t>2</t>
    </r>
  </si>
  <si>
    <r>
      <t>m</t>
    </r>
    <r>
      <rPr>
        <vertAlign val="superscript"/>
        <sz val="12"/>
        <rFont val="Times New Roman"/>
        <family val="1"/>
      </rPr>
      <t>2</t>
    </r>
  </si>
  <si>
    <r>
      <t>k</t>
    </r>
    <r>
      <rPr>
        <vertAlign val="subscript"/>
        <sz val="12"/>
        <rFont val="Times New Roman"/>
        <family val="1"/>
      </rPr>
      <t>1</t>
    </r>
  </si>
  <si>
    <t xml:space="preserve">Coefficient from fig 25(a) of IEEE Std 80-2000 </t>
  </si>
  <si>
    <r>
      <t>k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>= -0.05*(L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/L</t>
    </r>
    <r>
      <rPr>
        <vertAlign val="subscript"/>
        <sz val="10"/>
        <rFont val="Arial"/>
        <family val="2"/>
      </rPr>
      <t>y</t>
    </r>
    <r>
      <rPr>
        <sz val="10"/>
        <rFont val="Arial"/>
        <family val="2"/>
      </rPr>
      <t>) + 1.13</t>
    </r>
  </si>
  <si>
    <r>
      <t>k</t>
    </r>
    <r>
      <rPr>
        <vertAlign val="subscript"/>
        <sz val="12"/>
        <rFont val="Times New Roman"/>
        <family val="1"/>
      </rPr>
      <t>2</t>
    </r>
  </si>
  <si>
    <t xml:space="preserve">Coefficient from fig 25(b) of IEEE Std 80-2000 </t>
  </si>
  <si>
    <r>
      <t>k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= -0.05*(L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/L</t>
    </r>
    <r>
      <rPr>
        <vertAlign val="subscript"/>
        <sz val="10"/>
        <rFont val="Arial"/>
        <family val="2"/>
      </rPr>
      <t>y</t>
    </r>
    <r>
      <rPr>
        <sz val="10"/>
        <rFont val="Arial"/>
        <family val="2"/>
      </rPr>
      <t>) + 4.40</t>
    </r>
  </si>
  <si>
    <t>Coefficient K1 and k2  of  schwarz's fromula IEEE Std 80-2000 )</t>
  </si>
  <si>
    <r>
      <t>R</t>
    </r>
    <r>
      <rPr>
        <b/>
        <vertAlign val="subscript"/>
        <sz val="12"/>
        <rFont val="Times New Roman"/>
        <family val="1"/>
      </rPr>
      <t>1</t>
    </r>
  </si>
  <si>
    <t>Ω</t>
  </si>
  <si>
    <t>From eq.55 of IEEE Std 80-2000</t>
  </si>
  <si>
    <r>
      <t xml:space="preserve">  4 L</t>
    </r>
    <r>
      <rPr>
        <vertAlign val="subscript"/>
        <sz val="12"/>
        <rFont val="Times New Roman"/>
        <family val="1"/>
      </rPr>
      <t>R</t>
    </r>
  </si>
  <si>
    <r>
      <t>2 k</t>
    </r>
    <r>
      <rPr>
        <vertAlign val="subscript"/>
        <sz val="12"/>
        <rFont val="Times New Roman"/>
        <family val="1"/>
      </rPr>
      <t>1 .</t>
    </r>
    <r>
      <rPr>
        <sz val="12"/>
        <rFont val="Times New Roman"/>
        <family val="1"/>
      </rPr>
      <t xml:space="preserve"> L</t>
    </r>
    <r>
      <rPr>
        <vertAlign val="subscript"/>
        <sz val="12"/>
        <rFont val="Times New Roman"/>
        <family val="1"/>
      </rPr>
      <t>r</t>
    </r>
  </si>
  <si>
    <t>-1 +</t>
  </si>
  <si>
    <r>
      <t xml:space="preserve">       (   n</t>
    </r>
    <r>
      <rPr>
        <vertAlign val="subscript"/>
        <sz val="12"/>
        <rFont val="Times New Roman"/>
        <family val="1"/>
      </rPr>
      <t>R</t>
    </r>
    <r>
      <rPr>
        <sz val="12"/>
        <rFont val="Times New Roman"/>
        <family val="1"/>
      </rPr>
      <t xml:space="preserve"> - 1 )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  </t>
    </r>
  </si>
  <si>
    <r>
      <t>2</t>
    </r>
    <r>
      <rPr>
        <sz val="10"/>
        <rFont val="Symbol"/>
        <family val="1"/>
        <charset val="2"/>
      </rPr>
      <t>p</t>
    </r>
    <r>
      <rPr>
        <sz val="10"/>
        <rFont val="Arial"/>
        <family val="2"/>
      </rPr>
      <t xml:space="preserve"> n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L</t>
    </r>
    <r>
      <rPr>
        <vertAlign val="subscript"/>
        <sz val="10"/>
        <rFont val="Arial"/>
        <family val="2"/>
      </rPr>
      <t>R</t>
    </r>
  </si>
  <si>
    <t>b</t>
  </si>
  <si>
    <r>
      <t>L</t>
    </r>
    <r>
      <rPr>
        <vertAlign val="subscript"/>
        <sz val="12"/>
        <rFont val="Times New Roman"/>
        <family val="1"/>
      </rPr>
      <t>r</t>
    </r>
  </si>
  <si>
    <t>length of each rod in m</t>
  </si>
  <si>
    <t>2b</t>
  </si>
  <si>
    <t>diameter of rod in m</t>
  </si>
  <si>
    <r>
      <t>n</t>
    </r>
    <r>
      <rPr>
        <vertAlign val="subscript"/>
        <sz val="12"/>
        <rFont val="Times New Roman"/>
        <family val="1"/>
      </rPr>
      <t>R</t>
    </r>
  </si>
  <si>
    <t>number of rods placed in area A</t>
  </si>
  <si>
    <r>
      <t>L</t>
    </r>
    <r>
      <rPr>
        <vertAlign val="subscript"/>
        <sz val="12"/>
        <rFont val="Times New Roman"/>
        <family val="1"/>
      </rPr>
      <t>R</t>
    </r>
  </si>
  <si>
    <t>Total length of ground rods</t>
  </si>
  <si>
    <r>
      <t>R</t>
    </r>
    <r>
      <rPr>
        <b/>
        <vertAlign val="subscript"/>
        <sz val="12"/>
        <rFont val="Times New Roman"/>
        <family val="1"/>
      </rPr>
      <t>2</t>
    </r>
  </si>
  <si>
    <r>
      <t>Mutual ground resistance between the grid and the rod bed, R</t>
    </r>
    <r>
      <rPr>
        <vertAlign val="subscript"/>
        <sz val="12"/>
        <rFont val="Times New Roman"/>
        <family val="1"/>
      </rPr>
      <t>m</t>
    </r>
  </si>
  <si>
    <t>From eq.56 of IEEE Std 80-2000</t>
  </si>
  <si>
    <r>
      <t>- k</t>
    </r>
    <r>
      <rPr>
        <vertAlign val="subscript"/>
        <sz val="12"/>
        <rFont val="Times New Roman"/>
        <family val="1"/>
      </rPr>
      <t xml:space="preserve">2 </t>
    </r>
    <r>
      <rPr>
        <sz val="12"/>
        <rFont val="Times New Roman"/>
        <family val="1"/>
      </rPr>
      <t>+ 1</t>
    </r>
  </si>
  <si>
    <r>
      <t>p</t>
    </r>
    <r>
      <rPr>
        <sz val="10"/>
        <rFont val="Arial"/>
        <family val="2"/>
      </rPr>
      <t xml:space="preserve"> L</t>
    </r>
    <r>
      <rPr>
        <vertAlign val="subscript"/>
        <sz val="10"/>
        <rFont val="Arial"/>
        <family val="2"/>
      </rPr>
      <t>c</t>
    </r>
  </si>
  <si>
    <r>
      <t>R</t>
    </r>
    <r>
      <rPr>
        <b/>
        <vertAlign val="subscript"/>
        <sz val="12"/>
        <rFont val="Times New Roman"/>
        <family val="1"/>
      </rPr>
      <t>m</t>
    </r>
  </si>
  <si>
    <t>Subtituting the above values,</t>
  </si>
  <si>
    <r>
      <t>R</t>
    </r>
    <r>
      <rPr>
        <b/>
        <vertAlign val="subscript"/>
        <sz val="12"/>
        <rFont val="Times New Roman"/>
        <family val="1"/>
      </rPr>
      <t>g</t>
    </r>
  </si>
  <si>
    <t>2.4)</t>
  </si>
  <si>
    <t>Calculation of Maximum Ground Potential Rise  :</t>
  </si>
  <si>
    <t xml:space="preserve">Max. Ground potential above remote earth, GPR </t>
  </si>
  <si>
    <r>
      <t>I</t>
    </r>
    <r>
      <rPr>
        <vertAlign val="subscript"/>
        <sz val="12"/>
        <rFont val="Times New Roman"/>
        <family val="1"/>
      </rPr>
      <t>G</t>
    </r>
    <r>
      <rPr>
        <sz val="12"/>
        <rFont val="Times New Roman"/>
        <family val="1"/>
      </rPr>
      <t xml:space="preserve"> = grid current</t>
    </r>
  </si>
  <si>
    <r>
      <t>I</t>
    </r>
    <r>
      <rPr>
        <vertAlign val="subscript"/>
        <sz val="12"/>
        <rFont val="Times New Roman"/>
        <family val="1"/>
      </rPr>
      <t>f</t>
    </r>
    <r>
      <rPr>
        <sz val="12"/>
        <rFont val="Times New Roman"/>
        <family val="1"/>
      </rPr>
      <t xml:space="preserve"> x S</t>
    </r>
    <r>
      <rPr>
        <vertAlign val="subscript"/>
        <sz val="12"/>
        <rFont val="Times New Roman"/>
        <family val="1"/>
      </rPr>
      <t>f</t>
    </r>
  </si>
  <si>
    <r>
      <t>I</t>
    </r>
    <r>
      <rPr>
        <vertAlign val="subscript"/>
        <sz val="12"/>
        <rFont val="Times New Roman"/>
        <family val="1"/>
      </rPr>
      <t>G</t>
    </r>
  </si>
  <si>
    <t xml:space="preserve">KA               </t>
  </si>
  <si>
    <t>Ground Potential Rise, GPR</t>
  </si>
  <si>
    <r>
      <t>Since, GPR &gt; E</t>
    </r>
    <r>
      <rPr>
        <vertAlign val="subscript"/>
        <sz val="12"/>
        <rFont val="Times New Roman"/>
        <family val="1"/>
      </rPr>
      <t xml:space="preserve">step50 </t>
    </r>
    <r>
      <rPr>
        <sz val="12"/>
        <rFont val="Times New Roman"/>
        <family val="1"/>
      </rPr>
      <t>(as per Figure 33 of IEEE Std 80-2000),calculate Attainable E</t>
    </r>
    <r>
      <rPr>
        <vertAlign val="subscript"/>
        <sz val="12"/>
        <rFont val="Times New Roman"/>
        <family val="1"/>
      </rPr>
      <t>mesh</t>
    </r>
    <r>
      <rPr>
        <sz val="12"/>
        <rFont val="Times New Roman"/>
        <family val="1"/>
      </rPr>
      <t xml:space="preserve"> and Attainable </t>
    </r>
  </si>
  <si>
    <t>Estep voltages</t>
  </si>
  <si>
    <t>2.5)</t>
  </si>
  <si>
    <r>
      <t>Calculation of Attainable E</t>
    </r>
    <r>
      <rPr>
        <b/>
        <vertAlign val="subscript"/>
        <sz val="12"/>
        <rFont val="Times New Roman"/>
        <family val="1"/>
      </rPr>
      <t>mesh</t>
    </r>
    <r>
      <rPr>
        <b/>
        <sz val="12"/>
        <rFont val="Times New Roman"/>
        <family val="1"/>
      </rPr>
      <t xml:space="preserve"> Voltage :</t>
    </r>
  </si>
  <si>
    <t xml:space="preserve">  From Eq.80 of IEEE Std 80-2000, for Grid rods in the periphery,</t>
  </si>
  <si>
    <r>
      <t>L</t>
    </r>
    <r>
      <rPr>
        <vertAlign val="subscript"/>
        <sz val="12"/>
        <rFont val="Times New Roman"/>
        <family val="1"/>
      </rPr>
      <t>M</t>
    </r>
    <r>
      <rPr>
        <sz val="12"/>
        <rFont val="Times New Roman"/>
        <family val="1"/>
      </rPr>
      <t xml:space="preserve"> = L</t>
    </r>
    <r>
      <rPr>
        <vertAlign val="subscript"/>
        <sz val="12"/>
        <rFont val="Times New Roman"/>
        <family val="1"/>
      </rPr>
      <t>c</t>
    </r>
    <r>
      <rPr>
        <sz val="12"/>
        <rFont val="Times New Roman"/>
        <family val="1"/>
      </rPr>
      <t xml:space="preserve"> + </t>
    </r>
  </si>
  <si>
    <t xml:space="preserve">1.55+1.22 </t>
  </si>
  <si>
    <t>Lr</t>
  </si>
  <si>
    <t>From eq.91 of IEEE Std 80-2000</t>
  </si>
  <si>
    <r>
      <t xml:space="preserve">  L</t>
    </r>
    <r>
      <rPr>
        <vertAlign val="superscript"/>
        <sz val="12"/>
        <rFont val="Times New Roman"/>
        <family val="1"/>
      </rPr>
      <t>2</t>
    </r>
    <r>
      <rPr>
        <vertAlign val="subscript"/>
        <sz val="12"/>
        <rFont val="Times New Roman"/>
        <family val="1"/>
      </rPr>
      <t>x</t>
    </r>
    <r>
      <rPr>
        <sz val="12"/>
        <rFont val="Times New Roman"/>
        <family val="1"/>
      </rPr>
      <t xml:space="preserve"> + L</t>
    </r>
    <r>
      <rPr>
        <vertAlign val="superscript"/>
        <sz val="12"/>
        <rFont val="Times New Roman"/>
        <family val="1"/>
      </rPr>
      <t>2</t>
    </r>
    <r>
      <rPr>
        <vertAlign val="subscript"/>
        <sz val="12"/>
        <rFont val="Times New Roman"/>
        <family val="1"/>
      </rPr>
      <t>y</t>
    </r>
  </si>
  <si>
    <t>Length of each ground rod</t>
  </si>
  <si>
    <r>
      <t>L</t>
    </r>
    <r>
      <rPr>
        <vertAlign val="subscript"/>
        <sz val="12"/>
        <rFont val="Times New Roman"/>
        <family val="1"/>
      </rPr>
      <t>x</t>
    </r>
  </si>
  <si>
    <t>Maximum length of grid conductor in x-direction    =</t>
  </si>
  <si>
    <r>
      <t>L</t>
    </r>
    <r>
      <rPr>
        <vertAlign val="subscript"/>
        <sz val="12"/>
        <rFont val="Times New Roman"/>
        <family val="1"/>
      </rPr>
      <t>y</t>
    </r>
  </si>
  <si>
    <t>Maximum length of grid conductor in y-direction    =</t>
  </si>
  <si>
    <r>
      <t>I</t>
    </r>
    <r>
      <rPr>
        <vertAlign val="subscript"/>
        <sz val="12"/>
        <rFont val="Times New Roman"/>
        <family val="1"/>
      </rPr>
      <t>G</t>
    </r>
    <r>
      <rPr>
        <sz val="12"/>
        <rFont val="Times New Roman"/>
        <family val="1"/>
      </rPr>
      <t xml:space="preserve"> </t>
    </r>
  </si>
  <si>
    <t>grid current</t>
  </si>
  <si>
    <r>
      <t xml:space="preserve"> K</t>
    </r>
    <r>
      <rPr>
        <vertAlign val="subscript"/>
        <sz val="12"/>
        <rFont val="Times New Roman"/>
        <family val="1"/>
      </rPr>
      <t>i</t>
    </r>
  </si>
  <si>
    <t>corrective Factor,</t>
  </si>
  <si>
    <t>p1</t>
  </si>
  <si>
    <r>
      <t>L</t>
    </r>
    <r>
      <rPr>
        <vertAlign val="subscript"/>
        <sz val="12"/>
        <rFont val="Times New Roman"/>
        <family val="1"/>
      </rPr>
      <t>M</t>
    </r>
  </si>
  <si>
    <t>As per Eq.81 of IEEE Std 80-2000, the Spacing Factor for Mesh Voltage,</t>
  </si>
  <si>
    <r>
      <t>D</t>
    </r>
    <r>
      <rPr>
        <vertAlign val="superscript"/>
        <sz val="12"/>
        <rFont val="Times New Roman"/>
        <family val="1"/>
      </rPr>
      <t>2</t>
    </r>
  </si>
  <si>
    <r>
      <t>(D + 2h)</t>
    </r>
    <r>
      <rPr>
        <vertAlign val="superscript"/>
        <sz val="12"/>
        <rFont val="Times New Roman"/>
        <family val="1"/>
      </rPr>
      <t>2</t>
    </r>
  </si>
  <si>
    <t>h</t>
  </si>
  <si>
    <r>
      <t>K</t>
    </r>
    <r>
      <rPr>
        <vertAlign val="subscript"/>
        <sz val="12"/>
        <rFont val="Times New Roman"/>
        <family val="1"/>
      </rPr>
      <t>ii</t>
    </r>
  </si>
  <si>
    <r>
      <t>K</t>
    </r>
    <r>
      <rPr>
        <vertAlign val="subscript"/>
        <sz val="12"/>
        <rFont val="Times New Roman"/>
        <family val="1"/>
      </rPr>
      <t>m</t>
    </r>
    <r>
      <rPr>
        <sz val="12"/>
        <rFont val="Times New Roman"/>
        <family val="1"/>
      </rPr>
      <t xml:space="preserve"> = </t>
    </r>
  </si>
  <si>
    <t xml:space="preserve">        ln</t>
  </si>
  <si>
    <t xml:space="preserve">          +</t>
  </si>
  <si>
    <t>-</t>
  </si>
  <si>
    <t xml:space="preserve"> +        ln</t>
  </si>
  <si>
    <r>
      <t>2</t>
    </r>
    <r>
      <rPr>
        <sz val="10"/>
        <rFont val="Symbol"/>
        <family val="1"/>
        <charset val="2"/>
      </rPr>
      <t>p</t>
    </r>
  </si>
  <si>
    <t>16hd</t>
  </si>
  <si>
    <t xml:space="preserve">  8Dd</t>
  </si>
  <si>
    <t>4d</t>
  </si>
  <si>
    <r>
      <t>K</t>
    </r>
    <r>
      <rPr>
        <vertAlign val="subscript"/>
        <sz val="12"/>
        <rFont val="Times New Roman"/>
        <family val="1"/>
      </rPr>
      <t>h</t>
    </r>
  </si>
  <si>
    <r>
      <t>p</t>
    </r>
    <r>
      <rPr>
        <sz val="10"/>
        <rFont val="Arial"/>
        <family val="2"/>
      </rPr>
      <t>(2n-1)</t>
    </r>
  </si>
  <si>
    <t>Equ. Diameter of Earth conductor, d</t>
  </si>
  <si>
    <r>
      <t>K</t>
    </r>
    <r>
      <rPr>
        <vertAlign val="subscript"/>
        <sz val="12"/>
        <rFont val="Times New Roman"/>
        <family val="1"/>
      </rPr>
      <t>h</t>
    </r>
    <r>
      <rPr>
        <sz val="12"/>
        <rFont val="Times New Roman"/>
        <family val="1"/>
      </rPr>
      <t xml:space="preserve"> =   1 + h / h</t>
    </r>
    <r>
      <rPr>
        <vertAlign val="subscript"/>
        <sz val="12"/>
        <rFont val="Times New Roman"/>
        <family val="1"/>
      </rPr>
      <t>0</t>
    </r>
  </si>
  <si>
    <t>( From eq.83 of IEEE Std 80-2000 )</t>
  </si>
  <si>
    <t>No. of Parallel Paths, n</t>
  </si>
  <si>
    <r>
      <t>n</t>
    </r>
    <r>
      <rPr>
        <vertAlign val="subscript"/>
        <sz val="12"/>
        <rFont val="Times New Roman"/>
        <family val="1"/>
      </rPr>
      <t>a</t>
    </r>
    <r>
      <rPr>
        <sz val="12"/>
        <rFont val="Times New Roman"/>
        <family val="1"/>
      </rPr>
      <t xml:space="preserve"> n</t>
    </r>
    <r>
      <rPr>
        <vertAlign val="subscript"/>
        <sz val="12"/>
        <rFont val="Times New Roman"/>
        <family val="1"/>
      </rPr>
      <t>b</t>
    </r>
    <r>
      <rPr>
        <sz val="12"/>
        <rFont val="Times New Roman"/>
        <family val="1"/>
      </rPr>
      <t xml:space="preserve"> n</t>
    </r>
    <r>
      <rPr>
        <vertAlign val="subscript"/>
        <sz val="12"/>
        <rFont val="Times New Roman"/>
        <family val="1"/>
      </rPr>
      <t>c</t>
    </r>
    <r>
      <rPr>
        <sz val="12"/>
        <rFont val="Times New Roman"/>
        <family val="1"/>
      </rPr>
      <t xml:space="preserve"> n</t>
    </r>
    <r>
      <rPr>
        <vertAlign val="subscript"/>
        <sz val="12"/>
        <rFont val="Times New Roman"/>
        <family val="1"/>
      </rPr>
      <t>d</t>
    </r>
  </si>
  <si>
    <t>(From eq.84 of IEEE Std 80-2000)</t>
  </si>
  <si>
    <t>From eq.85 to 88 of IEEE Std 80-2000</t>
  </si>
  <si>
    <r>
      <t>L</t>
    </r>
    <r>
      <rPr>
        <vertAlign val="subscript"/>
        <sz val="12"/>
        <rFont val="Times New Roman"/>
        <family val="1"/>
      </rPr>
      <t>p</t>
    </r>
  </si>
  <si>
    <r>
      <t>n</t>
    </r>
    <r>
      <rPr>
        <vertAlign val="subscript"/>
        <sz val="12"/>
        <rFont val="Times New Roman"/>
        <family val="1"/>
      </rPr>
      <t>a</t>
    </r>
  </si>
  <si>
    <r>
      <t>(2 L</t>
    </r>
    <r>
      <rPr>
        <vertAlign val="subscript"/>
        <sz val="12"/>
        <rFont val="Times New Roman"/>
        <family val="1"/>
      </rPr>
      <t>c</t>
    </r>
    <r>
      <rPr>
        <sz val="12"/>
        <rFont val="Times New Roman"/>
        <family val="1"/>
      </rPr>
      <t>)/L</t>
    </r>
    <r>
      <rPr>
        <vertAlign val="subscript"/>
        <sz val="12"/>
        <rFont val="Times New Roman"/>
        <family val="1"/>
      </rPr>
      <t>p</t>
    </r>
  </si>
  <si>
    <r>
      <t>n</t>
    </r>
    <r>
      <rPr>
        <vertAlign val="subscript"/>
        <sz val="12"/>
        <rFont val="Times New Roman"/>
        <family val="1"/>
      </rPr>
      <t>b</t>
    </r>
  </si>
  <si>
    <t>4   A</t>
  </si>
  <si>
    <t>0.7 A</t>
  </si>
  <si>
    <r>
      <t>L</t>
    </r>
    <r>
      <rPr>
        <vertAlign val="subscript"/>
        <sz val="12"/>
        <rFont val="Times New Roman"/>
        <family val="1"/>
      </rPr>
      <t>x</t>
    </r>
    <r>
      <rPr>
        <sz val="12"/>
        <rFont val="Times New Roman"/>
        <family val="1"/>
      </rPr>
      <t xml:space="preserve"> L</t>
    </r>
    <r>
      <rPr>
        <vertAlign val="subscript"/>
        <sz val="12"/>
        <rFont val="Times New Roman"/>
        <family val="1"/>
      </rPr>
      <t>y</t>
    </r>
  </si>
  <si>
    <r>
      <t>D</t>
    </r>
    <r>
      <rPr>
        <vertAlign val="subscript"/>
        <sz val="12"/>
        <rFont val="Times New Roman"/>
        <family val="1"/>
      </rPr>
      <t>m</t>
    </r>
  </si>
  <si>
    <r>
      <t>n</t>
    </r>
    <r>
      <rPr>
        <vertAlign val="subscript"/>
        <sz val="12"/>
        <rFont val="Times New Roman"/>
        <family val="1"/>
      </rPr>
      <t>c</t>
    </r>
  </si>
  <si>
    <r>
      <t>n</t>
    </r>
    <r>
      <rPr>
        <vertAlign val="subscript"/>
        <sz val="12"/>
        <rFont val="Times New Roman"/>
        <family val="1"/>
      </rPr>
      <t>d</t>
    </r>
  </si>
  <si>
    <t>I</t>
  </si>
  <si>
    <r>
      <t>L</t>
    </r>
    <r>
      <rPr>
        <vertAlign val="superscript"/>
        <sz val="12"/>
        <rFont val="Times New Roman"/>
        <family val="1"/>
      </rPr>
      <t>2</t>
    </r>
    <r>
      <rPr>
        <vertAlign val="subscript"/>
        <sz val="12"/>
        <rFont val="Times New Roman"/>
        <family val="1"/>
      </rPr>
      <t xml:space="preserve">x </t>
    </r>
    <r>
      <rPr>
        <sz val="12"/>
        <rFont val="Times New Roman"/>
        <family val="1"/>
      </rPr>
      <t>+ L</t>
    </r>
    <r>
      <rPr>
        <vertAlign val="superscript"/>
        <sz val="12"/>
        <rFont val="Times New Roman"/>
        <family val="1"/>
      </rPr>
      <t>2</t>
    </r>
    <r>
      <rPr>
        <vertAlign val="subscript"/>
        <sz val="12"/>
        <rFont val="Times New Roman"/>
        <family val="1"/>
      </rPr>
      <t>y</t>
    </r>
  </si>
  <si>
    <t>Peripheral length of the grid</t>
  </si>
  <si>
    <t xml:space="preserve">Maximum distance between any two points </t>
  </si>
  <si>
    <t>on the grid</t>
  </si>
  <si>
    <t>Substituting the above values,</t>
  </si>
  <si>
    <t>n</t>
  </si>
  <si>
    <t>Rounded of to nearest digit</t>
  </si>
  <si>
    <t xml:space="preserve">As per Eq.89 of IEEE 80-2000, </t>
  </si>
  <si>
    <r>
      <t>The corrective Factor, K</t>
    </r>
    <r>
      <rPr>
        <vertAlign val="subscript"/>
        <sz val="12"/>
        <rFont val="Times New Roman"/>
        <family val="1"/>
      </rPr>
      <t>i</t>
    </r>
  </si>
  <si>
    <t>0.644 + ( 0.148 x n )</t>
  </si>
  <si>
    <t>From eq.89of IEEE Std 80-2000</t>
  </si>
  <si>
    <t>Substituting the values,</t>
  </si>
  <si>
    <r>
      <t>K</t>
    </r>
    <r>
      <rPr>
        <vertAlign val="subscript"/>
        <sz val="12"/>
        <rFont val="Times New Roman"/>
        <family val="1"/>
      </rPr>
      <t>m</t>
    </r>
  </si>
  <si>
    <t>Attainable</t>
  </si>
  <si>
    <r>
      <t>E</t>
    </r>
    <r>
      <rPr>
        <vertAlign val="subscript"/>
        <sz val="12"/>
        <rFont val="Times New Roman"/>
        <family val="1"/>
      </rPr>
      <t xml:space="preserve">mesh </t>
    </r>
    <r>
      <rPr>
        <sz val="12"/>
        <rFont val="Times New Roman"/>
        <family val="1"/>
      </rPr>
      <t xml:space="preserve"> Voltage</t>
    </r>
  </si>
  <si>
    <t>2.6)</t>
  </si>
  <si>
    <r>
      <t>Calculation of Attainable E</t>
    </r>
    <r>
      <rPr>
        <b/>
        <vertAlign val="subscript"/>
        <sz val="12"/>
        <rFont val="Times New Roman"/>
        <family val="1"/>
      </rPr>
      <t>step</t>
    </r>
    <r>
      <rPr>
        <b/>
        <sz val="12"/>
        <rFont val="Times New Roman"/>
        <family val="1"/>
      </rPr>
      <t xml:space="preserve"> voltage :</t>
    </r>
  </si>
  <si>
    <t xml:space="preserve">   From Eq.92 of IEEE Std 80-2000, </t>
  </si>
  <si>
    <r>
      <t>Attainable E</t>
    </r>
    <r>
      <rPr>
        <vertAlign val="subscript"/>
        <sz val="10"/>
        <rFont val="Arial"/>
        <family val="2"/>
      </rPr>
      <t xml:space="preserve">step </t>
    </r>
    <r>
      <rPr>
        <sz val="10"/>
        <rFont val="Arial"/>
        <family val="2"/>
      </rPr>
      <t xml:space="preserve"> = [</t>
    </r>
    <r>
      <rPr>
        <sz val="10"/>
        <rFont val="Symbol"/>
        <family val="1"/>
        <charset val="2"/>
      </rPr>
      <t xml:space="preserve"> r  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 xml:space="preserve">s  </t>
    </r>
    <r>
      <rPr>
        <sz val="10"/>
        <rFont val="Arial"/>
        <family val="2"/>
      </rPr>
      <t>K</t>
    </r>
    <r>
      <rPr>
        <vertAlign val="subscript"/>
        <sz val="10"/>
        <rFont val="Arial"/>
        <family val="2"/>
      </rPr>
      <t xml:space="preserve">i </t>
    </r>
    <r>
      <rPr>
        <sz val="10"/>
        <rFont val="Arial"/>
        <family val="2"/>
      </rPr>
      <t>I</t>
    </r>
    <r>
      <rPr>
        <vertAlign val="subscript"/>
        <sz val="10"/>
        <rFont val="Arial"/>
        <family val="2"/>
      </rPr>
      <t xml:space="preserve">G  </t>
    </r>
    <r>
      <rPr>
        <sz val="10"/>
        <rFont val="Arial"/>
        <family val="2"/>
      </rPr>
      <t>/  L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 ] </t>
    </r>
  </si>
  <si>
    <t>From eq.92 of IEEE Std 80-2000</t>
  </si>
  <si>
    <t>As per Eq.94 of IEEE Std 80-2000, the Spacing Factor for Step Voltage,</t>
  </si>
  <si>
    <t>1       1</t>
  </si>
  <si>
    <r>
      <t xml:space="preserve">  K</t>
    </r>
    <r>
      <rPr>
        <vertAlign val="subscript"/>
        <sz val="12"/>
        <rFont val="Times New Roman"/>
        <family val="1"/>
      </rPr>
      <t>s</t>
    </r>
    <r>
      <rPr>
        <sz val="12"/>
        <rFont val="Times New Roman"/>
        <family val="1"/>
      </rPr>
      <t xml:space="preserve">  =</t>
    </r>
  </si>
  <si>
    <t xml:space="preserve">             +</t>
  </si>
  <si>
    <r>
      <t xml:space="preserve">     (1 - 0.5</t>
    </r>
    <r>
      <rPr>
        <vertAlign val="superscript"/>
        <sz val="12"/>
        <rFont val="Times New Roman"/>
        <family val="1"/>
      </rPr>
      <t>n-2</t>
    </r>
    <r>
      <rPr>
        <sz val="12"/>
        <rFont val="Times New Roman"/>
        <family val="1"/>
      </rPr>
      <t>)</t>
    </r>
  </si>
  <si>
    <t>From eq.94of IEEE Std 80-2000</t>
  </si>
  <si>
    <r>
      <t xml:space="preserve">P       </t>
    </r>
    <r>
      <rPr>
        <sz val="10"/>
        <rFont val="Arial"/>
        <family val="2"/>
      </rPr>
      <t>2h</t>
    </r>
  </si>
  <si>
    <t xml:space="preserve">  D + h</t>
  </si>
  <si>
    <t>D</t>
  </si>
  <si>
    <t xml:space="preserve">No. of Parallel paths, n </t>
  </si>
  <si>
    <t xml:space="preserve">  =</t>
  </si>
  <si>
    <r>
      <t>K</t>
    </r>
    <r>
      <rPr>
        <vertAlign val="subscript"/>
        <sz val="12"/>
        <rFont val="Times New Roman"/>
        <family val="1"/>
      </rPr>
      <t>i</t>
    </r>
  </si>
  <si>
    <r>
      <t>K</t>
    </r>
    <r>
      <rPr>
        <vertAlign val="subscript"/>
        <sz val="12"/>
        <rFont val="Times New Roman"/>
        <family val="1"/>
      </rPr>
      <t>s</t>
    </r>
  </si>
  <si>
    <t>As per Eq.93 of IEEE Std 80-2000,</t>
  </si>
  <si>
    <r>
      <t>L</t>
    </r>
    <r>
      <rPr>
        <vertAlign val="subscript"/>
        <sz val="12"/>
        <rFont val="Times New Roman"/>
        <family val="1"/>
      </rPr>
      <t>s</t>
    </r>
  </si>
  <si>
    <r>
      <t>0.75 L</t>
    </r>
    <r>
      <rPr>
        <vertAlign val="subscript"/>
        <sz val="12"/>
        <rFont val="Times New Roman"/>
        <family val="1"/>
      </rPr>
      <t>c</t>
    </r>
    <r>
      <rPr>
        <sz val="12"/>
        <rFont val="Times New Roman"/>
        <family val="1"/>
      </rPr>
      <t xml:space="preserve"> + 0.85 L</t>
    </r>
    <r>
      <rPr>
        <vertAlign val="subscript"/>
        <sz val="12"/>
        <rFont val="Times New Roman"/>
        <family val="1"/>
      </rPr>
      <t>R</t>
    </r>
  </si>
  <si>
    <t>From eq.93of IEEE Std 80-2000</t>
  </si>
  <si>
    <t xml:space="preserve">Total length of all connected grid conductors in m    </t>
  </si>
  <si>
    <r>
      <t>Attainable E</t>
    </r>
    <r>
      <rPr>
        <vertAlign val="subscript"/>
        <sz val="12"/>
        <rFont val="Times New Roman"/>
        <family val="1"/>
      </rPr>
      <t>step</t>
    </r>
  </si>
  <si>
    <t>Tolerable</t>
  </si>
  <si>
    <t xml:space="preserve">Grid Resistance  </t>
  </si>
  <si>
    <t xml:space="preserve">By considering 30% allowance </t>
  </si>
  <si>
    <t>Output:</t>
  </si>
  <si>
    <t>Meter</t>
  </si>
  <si>
    <t>Ohms</t>
  </si>
  <si>
    <t>SQMM</t>
  </si>
  <si>
    <t>Calculate w.r.t to person weight(50/70)</t>
  </si>
  <si>
    <t>Kg</t>
  </si>
  <si>
    <r>
      <t>Tolerable E</t>
    </r>
    <r>
      <rPr>
        <vertAlign val="subscript"/>
        <sz val="12"/>
        <rFont val="Times New Roman"/>
        <family val="1"/>
      </rPr>
      <t>touch70</t>
    </r>
    <r>
      <rPr>
        <sz val="12"/>
        <rFont val="Times New Roman"/>
        <family val="1"/>
      </rPr>
      <t xml:space="preserve">= </t>
    </r>
  </si>
  <si>
    <r>
      <t>[(1000 + 1.5C</t>
    </r>
    <r>
      <rPr>
        <vertAlign val="subscript"/>
        <sz val="10"/>
        <rFont val="Arial"/>
        <family val="2"/>
      </rPr>
      <t xml:space="preserve">S </t>
    </r>
    <r>
      <rPr>
        <sz val="10"/>
        <rFont val="Symbol"/>
        <family val="1"/>
        <charset val="2"/>
      </rPr>
      <t>r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) 0.157/ </t>
    </r>
    <r>
      <rPr>
        <sz val="10"/>
        <rFont val="Symbol"/>
        <family val="1"/>
        <charset val="2"/>
      </rPr>
      <t>Ö</t>
    </r>
    <r>
      <rPr>
        <sz val="10"/>
        <rFont val="Arial"/>
        <family val="2"/>
      </rPr>
      <t>t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 ]</t>
    </r>
  </si>
  <si>
    <r>
      <t>Tolerable E</t>
    </r>
    <r>
      <rPr>
        <vertAlign val="subscript"/>
        <sz val="12"/>
        <rFont val="Times New Roman"/>
        <family val="1"/>
      </rPr>
      <t>touch70</t>
    </r>
  </si>
  <si>
    <r>
      <t>Tolerable E</t>
    </r>
    <r>
      <rPr>
        <b/>
        <vertAlign val="subscript"/>
        <sz val="12"/>
        <rFont val="Times New Roman"/>
        <family val="1"/>
      </rPr>
      <t>touch</t>
    </r>
    <r>
      <rPr>
        <b/>
        <sz val="12"/>
        <rFont val="Times New Roman"/>
        <family val="1"/>
      </rPr>
      <t xml:space="preserve"> :</t>
    </r>
  </si>
  <si>
    <t>For</t>
  </si>
  <si>
    <r>
      <t>Tolerable E</t>
    </r>
    <r>
      <rPr>
        <vertAlign val="subscript"/>
        <sz val="12"/>
        <rFont val="Times New Roman"/>
        <family val="1"/>
      </rPr>
      <t>step70</t>
    </r>
  </si>
  <si>
    <r>
      <t>[(1000 + 6C</t>
    </r>
    <r>
      <rPr>
        <vertAlign val="subscript"/>
        <sz val="10"/>
        <rFont val="Arial"/>
        <family val="2"/>
      </rPr>
      <t xml:space="preserve">S </t>
    </r>
    <r>
      <rPr>
        <sz val="10"/>
        <rFont val="Symbol"/>
        <family val="1"/>
        <charset val="2"/>
      </rPr>
      <t>r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) 0.157/ </t>
    </r>
    <r>
      <rPr>
        <sz val="10"/>
        <rFont val="Symbol"/>
        <family val="1"/>
        <charset val="2"/>
      </rPr>
      <t>Ö</t>
    </r>
    <r>
      <rPr>
        <sz val="10"/>
        <rFont val="Arial"/>
        <family val="2"/>
      </rPr>
      <t>t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 xml:space="preserve"> ]</t>
    </r>
  </si>
  <si>
    <r>
      <t>Tolerable E</t>
    </r>
    <r>
      <rPr>
        <b/>
        <vertAlign val="subscript"/>
        <sz val="12"/>
        <rFont val="Times New Roman"/>
        <family val="1"/>
      </rPr>
      <t>step</t>
    </r>
  </si>
  <si>
    <r>
      <t>Tolerable E</t>
    </r>
    <r>
      <rPr>
        <vertAlign val="subscript"/>
        <sz val="12"/>
        <rFont val="Times New Roman"/>
        <family val="1"/>
      </rPr>
      <t>step50 =</t>
    </r>
  </si>
  <si>
    <r>
      <t>Tolerable E</t>
    </r>
    <r>
      <rPr>
        <vertAlign val="subscript"/>
        <sz val="12"/>
        <rFont val="Times New Roman"/>
        <family val="1"/>
      </rPr>
      <t>step70 =</t>
    </r>
  </si>
  <si>
    <t xml:space="preserve"> As per IEEE Std 80-2000,</t>
  </si>
  <si>
    <t>From  IEEE Std 80-2000</t>
  </si>
  <si>
    <r>
      <t>I</t>
    </r>
    <r>
      <rPr>
        <b/>
        <vertAlign val="subscript"/>
        <sz val="12"/>
        <rFont val="Times New Roman"/>
        <family val="1"/>
      </rPr>
      <t>G</t>
    </r>
    <r>
      <rPr>
        <b/>
        <sz val="12"/>
        <rFont val="Times New Roman"/>
        <family val="1"/>
      </rPr>
      <t xml:space="preserve"> x R</t>
    </r>
    <r>
      <rPr>
        <b/>
        <vertAlign val="subscript"/>
        <sz val="12"/>
        <rFont val="Times New Roman"/>
        <family val="1"/>
      </rPr>
      <t>G</t>
    </r>
  </si>
  <si>
    <t>No. of conductors parallel to  length side( nl)</t>
  </si>
  <si>
    <t xml:space="preserve">No. of conductors parallel to width side ( ns) </t>
  </si>
  <si>
    <r>
      <t>E</t>
    </r>
    <r>
      <rPr>
        <b/>
        <vertAlign val="subscript"/>
        <sz val="10"/>
        <rFont val="Arial"/>
        <family val="2"/>
      </rPr>
      <t xml:space="preserve">mesh </t>
    </r>
    <r>
      <rPr>
        <b/>
        <sz val="10"/>
        <rFont val="Arial"/>
        <family val="2"/>
      </rPr>
      <t xml:space="preserve"> = [</t>
    </r>
    <r>
      <rPr>
        <b/>
        <sz val="10"/>
        <rFont val="Symbol"/>
        <family val="1"/>
        <charset val="2"/>
      </rPr>
      <t xml:space="preserve"> r  </t>
    </r>
    <r>
      <rPr>
        <b/>
        <sz val="10"/>
        <rFont val="Arial"/>
        <family val="2"/>
      </rPr>
      <t>K</t>
    </r>
    <r>
      <rPr>
        <b/>
        <vertAlign val="subscript"/>
        <sz val="10"/>
        <rFont val="Arial"/>
        <family val="2"/>
      </rPr>
      <t xml:space="preserve">m  </t>
    </r>
    <r>
      <rPr>
        <b/>
        <sz val="10"/>
        <rFont val="Arial"/>
        <family val="2"/>
      </rPr>
      <t>K</t>
    </r>
    <r>
      <rPr>
        <b/>
        <vertAlign val="subscript"/>
        <sz val="10"/>
        <rFont val="Arial"/>
        <family val="2"/>
      </rPr>
      <t xml:space="preserve">i </t>
    </r>
    <r>
      <rPr>
        <b/>
        <sz val="10"/>
        <rFont val="Arial"/>
        <family val="2"/>
      </rPr>
      <t>I</t>
    </r>
    <r>
      <rPr>
        <b/>
        <vertAlign val="subscript"/>
        <sz val="10"/>
        <rFont val="Arial"/>
        <family val="2"/>
      </rPr>
      <t xml:space="preserve">G  </t>
    </r>
    <r>
      <rPr>
        <b/>
        <sz val="10"/>
        <rFont val="Arial"/>
        <family val="2"/>
      </rPr>
      <t>/  L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 xml:space="preserve"> ] </t>
    </r>
  </si>
  <si>
    <r>
      <t>W</t>
    </r>
    <r>
      <rPr>
        <sz val="10"/>
        <rFont val="Arial"/>
        <family val="2"/>
      </rPr>
      <t>-meter</t>
    </r>
  </si>
  <si>
    <t>Description</t>
  </si>
  <si>
    <t>a</t>
  </si>
  <si>
    <r>
      <t>a</t>
    </r>
    <r>
      <rPr>
        <b/>
        <vertAlign val="superscript"/>
        <sz val="12"/>
        <rFont val="Times New Roman"/>
        <family val="1"/>
      </rPr>
      <t>'</t>
    </r>
  </si>
  <si>
    <t>Material conductivity (%)</t>
  </si>
  <si>
    <t>temperature Tm (°C)</t>
  </si>
  <si>
    <t>TCAP thermal capacity    [J/(cm3. °C)]</t>
  </si>
  <si>
    <t>Copper annealed soft drawn</t>
  </si>
  <si>
    <t>Copper-clad steel wire</t>
  </si>
  <si>
    <t>Copper-clad steel rodb</t>
  </si>
  <si>
    <t>Aluminum EC Grade</t>
  </si>
  <si>
    <t>Aluminum 6201 alloy</t>
  </si>
  <si>
    <t>Aluminum-clad steel wire</t>
  </si>
  <si>
    <t xml:space="preserve">Steel, 1020 </t>
  </si>
  <si>
    <t xml:space="preserve">stainless-clad steel rodc </t>
  </si>
  <si>
    <t>Zinc-coated steel rod</t>
  </si>
  <si>
    <r>
      <t>αr factor at 20</t>
    </r>
    <r>
      <rPr>
        <b/>
        <sz val="10"/>
        <rFont val="Calibri"/>
        <family val="2"/>
      </rPr>
      <t>°</t>
    </r>
    <r>
      <rPr>
        <b/>
        <sz val="10"/>
        <rFont val="Times New Roman"/>
        <family val="1"/>
      </rPr>
      <t>C (1/</t>
    </r>
    <r>
      <rPr>
        <b/>
        <sz val="10"/>
        <rFont val="Calibri"/>
        <family val="2"/>
      </rPr>
      <t>°</t>
    </r>
    <r>
      <rPr>
        <b/>
        <sz val="10"/>
        <rFont val="Times New Roman"/>
        <family val="1"/>
      </rPr>
      <t>C)</t>
    </r>
  </si>
  <si>
    <r>
      <t>ρr 20</t>
    </r>
    <r>
      <rPr>
        <b/>
        <sz val="10"/>
        <rFont val="Calibri"/>
        <family val="2"/>
      </rPr>
      <t>°</t>
    </r>
    <r>
      <rPr>
        <b/>
        <sz val="10"/>
        <rFont val="Times New Roman"/>
        <family val="1"/>
      </rPr>
      <t>C (μΩcm)</t>
    </r>
  </si>
  <si>
    <t>Stainless steel</t>
  </si>
  <si>
    <t>Copper commercial hard drawn</t>
  </si>
  <si>
    <t>Total no of rods</t>
  </si>
  <si>
    <t>Aluminum 5005 alloy</t>
  </si>
  <si>
    <r>
      <t>Ground resistance of the grid, R</t>
    </r>
    <r>
      <rPr>
        <b/>
        <u/>
        <vertAlign val="subscript"/>
        <sz val="12"/>
        <rFont val="Times New Roman"/>
        <family val="1"/>
      </rPr>
      <t>1</t>
    </r>
  </si>
  <si>
    <r>
      <t>Ground resistance of the rod bed, R</t>
    </r>
    <r>
      <rPr>
        <b/>
        <u/>
        <vertAlign val="subscript"/>
        <sz val="12"/>
        <rFont val="Times New Roman"/>
        <family val="1"/>
      </rPr>
      <t>2</t>
    </r>
  </si>
  <si>
    <t>SUBSTATION EARTHING DESIGN</t>
  </si>
  <si>
    <t xml:space="preserve">Transformers (Body earthing) </t>
  </si>
  <si>
    <t>( From eq.32of IEEE Std 80-2000 )</t>
  </si>
  <si>
    <t>( From eq.27 of IEEE Std 80-2000 )</t>
  </si>
  <si>
    <t>(from eq.29 of IEEE Std 80-2000)</t>
  </si>
  <si>
    <r>
      <t>Touch Voltage E</t>
    </r>
    <r>
      <rPr>
        <b/>
        <vertAlign val="subscript"/>
        <sz val="11"/>
        <color theme="1"/>
        <rFont val="Times New Roman"/>
        <family val="1"/>
      </rPr>
      <t xml:space="preserve">touch  </t>
    </r>
  </si>
  <si>
    <r>
      <t>Touch Voltage E</t>
    </r>
    <r>
      <rPr>
        <vertAlign val="subscript"/>
        <sz val="12"/>
        <color theme="1"/>
        <rFont val="Times New Roman"/>
        <family val="1"/>
      </rPr>
      <t xml:space="preserve">touch  </t>
    </r>
  </si>
  <si>
    <r>
      <t xml:space="preserve"> Step Voltage E</t>
    </r>
    <r>
      <rPr>
        <b/>
        <vertAlign val="subscript"/>
        <sz val="11"/>
        <color theme="1"/>
        <rFont val="Times New Roman"/>
        <family val="1"/>
      </rPr>
      <t>step</t>
    </r>
  </si>
  <si>
    <r>
      <t>Step Voltage E</t>
    </r>
    <r>
      <rPr>
        <vertAlign val="subscript"/>
        <sz val="12"/>
        <color theme="1"/>
        <rFont val="Times New Roman"/>
        <family val="1"/>
      </rPr>
      <t>step</t>
    </r>
  </si>
  <si>
    <r>
      <t>Ko at 20</t>
    </r>
    <r>
      <rPr>
        <b/>
        <sz val="10"/>
        <rFont val="Calibri"/>
        <family val="2"/>
      </rPr>
      <t>°</t>
    </r>
    <r>
      <rPr>
        <b/>
        <sz val="10"/>
        <rFont val="Times New Roman"/>
        <family val="1"/>
      </rPr>
      <t>C</t>
    </r>
  </si>
  <si>
    <t>weight</t>
  </si>
  <si>
    <t>Ground Potential Rise(GPR)</t>
  </si>
  <si>
    <t>SAFE</t>
  </si>
  <si>
    <t>NOT SAFE</t>
  </si>
  <si>
    <t xml:space="preserve">   As per the above Design the System is </t>
  </si>
  <si>
    <t>https://www.flasysdesign.com/</t>
  </si>
  <si>
    <t>Email: contact@flasysdesign.com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</si>
</sst>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3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name val="Times New Roman"/>
      <family val="1"/>
    </font>
    <font>
      <sz val="12"/>
      <name val="Times New Roman"/>
      <family val="1"/>
    </font>
    <font>
      <vertAlign val="subscript"/>
      <sz val="12"/>
      <name val="Times New Roman"/>
      <family val="1"/>
    </font>
    <font>
      <vertAlign val="superscript"/>
      <sz val="12"/>
      <name val="Times New Roman"/>
      <family val="1"/>
    </font>
    <font>
      <sz val="10"/>
      <name val="Symbol"/>
      <family val="1"/>
      <charset val="2"/>
    </font>
    <font>
      <vertAlign val="subscript"/>
      <sz val="10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vertAlign val="superscript"/>
      <sz val="10"/>
      <name val="Arial"/>
      <family val="2"/>
    </font>
    <font>
      <vertAlign val="superscript"/>
      <sz val="10"/>
      <name val="Symbol"/>
      <family val="1"/>
      <charset val="2"/>
    </font>
    <font>
      <sz val="12"/>
      <color indexed="8"/>
      <name val="Times New Roman"/>
      <family val="1"/>
    </font>
    <font>
      <b/>
      <vertAlign val="subscript"/>
      <sz val="12"/>
      <name val="Times New Roman"/>
      <family val="1"/>
    </font>
    <font>
      <sz val="12"/>
      <name val="Calibri"/>
      <family val="2"/>
    </font>
    <font>
      <b/>
      <sz val="12"/>
      <color indexed="8"/>
      <name val="Times New Roman"/>
      <family val="1"/>
    </font>
    <font>
      <b/>
      <vertAlign val="subscript"/>
      <sz val="10"/>
      <name val="Arial"/>
      <family val="2"/>
    </font>
    <font>
      <b/>
      <sz val="10"/>
      <name val="Arial"/>
      <family val="2"/>
    </font>
    <font>
      <b/>
      <sz val="10"/>
      <name val="Symbol"/>
      <family val="1"/>
      <charset val="2"/>
    </font>
    <font>
      <b/>
      <sz val="10"/>
      <name val="Times New Roman"/>
      <family val="1"/>
    </font>
    <font>
      <b/>
      <vertAlign val="superscript"/>
      <sz val="12"/>
      <name val="Times New Roman"/>
      <family val="1"/>
    </font>
    <font>
      <b/>
      <sz val="10"/>
      <name val="Calibri"/>
      <family val="2"/>
    </font>
    <font>
      <sz val="10"/>
      <name val="Times New Roman"/>
      <family val="1"/>
    </font>
    <font>
      <b/>
      <sz val="10"/>
      <color theme="1"/>
      <name val="Calibri"/>
      <family val="2"/>
      <scheme val="minor"/>
    </font>
    <font>
      <b/>
      <u/>
      <vertAlign val="subscript"/>
      <sz val="12"/>
      <name val="Times New Roman"/>
      <family val="1"/>
    </font>
    <font>
      <b/>
      <u/>
      <sz val="16"/>
      <color rgb="FFFF0000"/>
      <name val="Calibri"/>
      <family val="2"/>
      <scheme val="minor"/>
    </font>
    <font>
      <u/>
      <sz val="16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rgb="FFFF0000"/>
      <name val="Arial Black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double">
        <color rgb="FF002060"/>
      </left>
      <right/>
      <top style="double">
        <color rgb="FF002060"/>
      </top>
      <bottom/>
      <diagonal/>
    </border>
    <border>
      <left/>
      <right/>
      <top style="double">
        <color rgb="FF002060"/>
      </top>
      <bottom/>
      <diagonal/>
    </border>
    <border>
      <left/>
      <right style="double">
        <color rgb="FF002060"/>
      </right>
      <top style="double">
        <color rgb="FF002060"/>
      </top>
      <bottom/>
      <diagonal/>
    </border>
    <border>
      <left style="double">
        <color rgb="FF002060"/>
      </left>
      <right/>
      <top/>
      <bottom/>
      <diagonal/>
    </border>
    <border>
      <left/>
      <right style="double">
        <color rgb="FF002060"/>
      </right>
      <top/>
      <bottom/>
      <diagonal/>
    </border>
    <border>
      <left style="double">
        <color rgb="FF002060"/>
      </left>
      <right/>
      <top/>
      <bottom style="double">
        <color rgb="FF002060"/>
      </bottom>
      <diagonal/>
    </border>
    <border>
      <left/>
      <right/>
      <top/>
      <bottom style="double">
        <color rgb="FF002060"/>
      </bottom>
      <diagonal/>
    </border>
    <border>
      <left/>
      <right style="double">
        <color rgb="FF002060"/>
      </right>
      <top/>
      <bottom style="double">
        <color rgb="FF00206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4" fillId="0" borderId="0" applyNumberFormat="0" applyFill="0" applyBorder="0" applyAlignment="0" applyProtection="0"/>
  </cellStyleXfs>
  <cellXfs count="166">
    <xf numFmtId="0" fontId="0" fillId="0" borderId="0" xfId="0"/>
    <xf numFmtId="0" fontId="3" fillId="0" borderId="1" xfId="0" applyFont="1" applyBorder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  <xf numFmtId="0" fontId="5" fillId="0" borderId="0" xfId="0" applyFont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1" fontId="3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8" fillId="0" borderId="0" xfId="0" applyFont="1" applyAlignment="1">
      <alignment horizontal="left" vertical="center"/>
    </xf>
    <xf numFmtId="164" fontId="3" fillId="0" borderId="2" xfId="0" applyNumberFormat="1" applyFont="1" applyBorder="1"/>
    <xf numFmtId="2" fontId="9" fillId="0" borderId="2" xfId="0" applyNumberFormat="1" applyFont="1" applyBorder="1"/>
    <xf numFmtId="0" fontId="9" fillId="0" borderId="3" xfId="0" applyFont="1" applyBorder="1" applyAlignment="1">
      <alignment horizontal="right"/>
    </xf>
    <xf numFmtId="2" fontId="8" fillId="0" borderId="0" xfId="0" applyNumberFormat="1" applyFont="1" applyAlignment="1" applyProtection="1">
      <alignment horizontal="left" vertical="center"/>
      <protection locked="0"/>
    </xf>
    <xf numFmtId="0" fontId="3" fillId="0" borderId="0" xfId="0" quotePrefix="1" applyFont="1"/>
    <xf numFmtId="0" fontId="6" fillId="0" borderId="0" xfId="0" applyFont="1" applyAlignment="1">
      <alignment horizontal="right"/>
    </xf>
    <xf numFmtId="0" fontId="8" fillId="0" borderId="0" xfId="0" applyFont="1" applyAlignment="1" applyProtection="1">
      <alignment horizontal="left" vertical="center"/>
      <protection locked="0"/>
    </xf>
    <xf numFmtId="165" fontId="3" fillId="0" borderId="2" xfId="0" applyNumberFormat="1" applyFont="1" applyBorder="1" applyAlignment="1">
      <alignment horizontal="center"/>
    </xf>
    <xf numFmtId="165" fontId="3" fillId="0" borderId="0" xfId="0" quotePrefix="1" applyNumberFormat="1" applyFont="1" applyAlignment="1">
      <alignment horizontal="center"/>
    </xf>
    <xf numFmtId="0" fontId="9" fillId="0" borderId="0" xfId="0" applyFont="1" applyAlignment="1">
      <alignment horizontal="right"/>
    </xf>
    <xf numFmtId="164" fontId="9" fillId="0" borderId="2" xfId="0" applyNumberFormat="1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6" fillId="0" borderId="0" xfId="0" applyFont="1" applyAlignment="1">
      <alignment horizontal="center"/>
    </xf>
    <xf numFmtId="0" fontId="8" fillId="0" borderId="0" xfId="0" applyFont="1"/>
    <xf numFmtId="2" fontId="3" fillId="0" borderId="2" xfId="0" applyNumberFormat="1" applyFont="1" applyBorder="1"/>
    <xf numFmtId="165" fontId="9" fillId="0" borderId="2" xfId="0" applyNumberFormat="1" applyFont="1" applyBorder="1"/>
    <xf numFmtId="0" fontId="6" fillId="0" borderId="0" xfId="0" applyFont="1" applyAlignment="1">
      <alignment horizontal="left"/>
    </xf>
    <xf numFmtId="164" fontId="15" fillId="3" borderId="2" xfId="0" applyNumberFormat="1" applyFont="1" applyFill="1" applyBorder="1" applyAlignment="1">
      <alignment horizontal="center"/>
    </xf>
    <xf numFmtId="2" fontId="9" fillId="0" borderId="2" xfId="0" applyNumberFormat="1" applyFont="1" applyBorder="1" applyAlignment="1">
      <alignment horizontal="right"/>
    </xf>
    <xf numFmtId="2" fontId="9" fillId="0" borderId="0" xfId="0" applyNumberFormat="1" applyFont="1"/>
    <xf numFmtId="0" fontId="0" fillId="0" borderId="0" xfId="0" applyAlignment="1">
      <alignment horizontal="left" vertic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2" fontId="3" fillId="0" borderId="0" xfId="0" applyNumberFormat="1" applyFont="1"/>
    <xf numFmtId="2" fontId="9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top"/>
    </xf>
    <xf numFmtId="166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4" fontId="9" fillId="0" borderId="2" xfId="0" applyNumberFormat="1" applyFont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49" fontId="3" fillId="0" borderId="0" xfId="0" applyNumberFormat="1" applyFont="1" applyAlignment="1">
      <alignment horizontal="left" vertical="center"/>
    </xf>
    <xf numFmtId="164" fontId="3" fillId="0" borderId="2" xfId="0" quotePrefix="1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0" fontId="9" fillId="0" borderId="2" xfId="0" applyFont="1" applyBorder="1"/>
    <xf numFmtId="164" fontId="9" fillId="0" borderId="0" xfId="0" applyNumberFormat="1" applyFont="1"/>
    <xf numFmtId="2" fontId="9" fillId="0" borderId="0" xfId="0" applyNumberFormat="1" applyFont="1" applyAlignment="1">
      <alignment horizontal="center"/>
    </xf>
    <xf numFmtId="0" fontId="3" fillId="0" borderId="14" xfId="0" applyFont="1" applyBorder="1"/>
    <xf numFmtId="0" fontId="3" fillId="2" borderId="12" xfId="0" applyFont="1" applyFill="1" applyBorder="1" applyAlignment="1">
      <alignment horizontal="center"/>
    </xf>
    <xf numFmtId="1" fontId="3" fillId="2" borderId="12" xfId="0" applyNumberFormat="1" applyFont="1" applyFill="1" applyBorder="1" applyAlignment="1">
      <alignment horizontal="center"/>
    </xf>
    <xf numFmtId="0" fontId="12" fillId="2" borderId="12" xfId="0" applyFont="1" applyFill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23" xfId="0" applyFont="1" applyBorder="1"/>
    <xf numFmtId="0" fontId="3" fillId="0" borderId="24" xfId="0" applyFont="1" applyBorder="1" applyAlignment="1">
      <alignment horizontal="center"/>
    </xf>
    <xf numFmtId="0" fontId="9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0" fillId="0" borderId="13" xfId="0" applyBorder="1"/>
    <xf numFmtId="0" fontId="1" fillId="0" borderId="0" xfId="0" applyFont="1" applyAlignment="1">
      <alignment horizontal="left" vertical="center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22" fillId="0" borderId="2" xfId="0" applyFont="1" applyBorder="1" applyProtection="1">
      <protection locked="0"/>
    </xf>
    <xf numFmtId="166" fontId="8" fillId="0" borderId="2" xfId="0" applyNumberFormat="1" applyFont="1" applyBorder="1" applyProtection="1">
      <protection locked="0"/>
    </xf>
    <xf numFmtId="0" fontId="8" fillId="0" borderId="2" xfId="0" applyFont="1" applyBorder="1" applyProtection="1">
      <protection locked="0"/>
    </xf>
    <xf numFmtId="1" fontId="8" fillId="0" borderId="2" xfId="0" applyNumberFormat="1" applyFont="1" applyBorder="1" applyProtection="1">
      <protection locked="0"/>
    </xf>
    <xf numFmtId="2" fontId="8" fillId="0" borderId="2" xfId="0" applyNumberFormat="1" applyFont="1" applyBorder="1" applyProtection="1">
      <protection locked="0"/>
    </xf>
    <xf numFmtId="0" fontId="23" fillId="0" borderId="2" xfId="0" applyFont="1" applyBorder="1" applyAlignment="1">
      <alignment horizontal="center" vertical="center" wrapText="1"/>
    </xf>
    <xf numFmtId="165" fontId="9" fillId="0" borderId="2" xfId="0" applyNumberFormat="1" applyFont="1" applyBorder="1" applyAlignment="1">
      <alignment horizontal="center"/>
    </xf>
    <xf numFmtId="0" fontId="9" fillId="0" borderId="8" xfId="0" applyFont="1" applyBorder="1"/>
    <xf numFmtId="0" fontId="2" fillId="0" borderId="0" xfId="0" applyFont="1"/>
    <xf numFmtId="0" fontId="2" fillId="0" borderId="8" xfId="0" applyFont="1" applyBorder="1"/>
    <xf numFmtId="0" fontId="2" fillId="4" borderId="18" xfId="0" applyFont="1" applyFill="1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3" fillId="4" borderId="19" xfId="0" applyFont="1" applyFill="1" applyBorder="1"/>
    <xf numFmtId="0" fontId="3" fillId="4" borderId="18" xfId="0" applyFont="1" applyFill="1" applyBorder="1"/>
    <xf numFmtId="0" fontId="0" fillId="4" borderId="0" xfId="0" applyFill="1"/>
    <xf numFmtId="0" fontId="3" fillId="4" borderId="0" xfId="0" applyFont="1" applyFill="1" applyAlignment="1">
      <alignment horizontal="left"/>
    </xf>
    <xf numFmtId="0" fontId="0" fillId="4" borderId="19" xfId="0" applyFill="1" applyBorder="1"/>
    <xf numFmtId="0" fontId="0" fillId="4" borderId="18" xfId="0" applyFill="1" applyBorder="1"/>
    <xf numFmtId="0" fontId="9" fillId="4" borderId="0" xfId="0" applyFont="1" applyFill="1" applyAlignment="1">
      <alignment horizontal="center"/>
    </xf>
    <xf numFmtId="0" fontId="9" fillId="4" borderId="0" xfId="0" applyFont="1" applyFill="1"/>
    <xf numFmtId="0" fontId="3" fillId="5" borderId="0" xfId="0" applyFont="1" applyFill="1"/>
    <xf numFmtId="0" fontId="3" fillId="5" borderId="0" xfId="0" applyFont="1" applyFill="1" applyAlignment="1">
      <alignment horizontal="center"/>
    </xf>
    <xf numFmtId="0" fontId="3" fillId="5" borderId="19" xfId="0" applyFont="1" applyFill="1" applyBorder="1"/>
    <xf numFmtId="0" fontId="3" fillId="5" borderId="18" xfId="0" applyFont="1" applyFill="1" applyBorder="1"/>
    <xf numFmtId="0" fontId="0" fillId="5" borderId="0" xfId="0" applyFill="1"/>
    <xf numFmtId="0" fontId="3" fillId="5" borderId="0" xfId="0" applyFont="1" applyFill="1" applyAlignment="1">
      <alignment horizontal="left"/>
    </xf>
    <xf numFmtId="0" fontId="0" fillId="5" borderId="19" xfId="0" applyFill="1" applyBorder="1"/>
    <xf numFmtId="0" fontId="0" fillId="5" borderId="18" xfId="0" applyFill="1" applyBorder="1"/>
    <xf numFmtId="1" fontId="9" fillId="6" borderId="12" xfId="0" applyNumberFormat="1" applyFont="1" applyFill="1" applyBorder="1" applyAlignment="1">
      <alignment horizontal="center"/>
    </xf>
    <xf numFmtId="2" fontId="9" fillId="6" borderId="12" xfId="0" applyNumberFormat="1" applyFont="1" applyFill="1" applyBorder="1" applyAlignment="1">
      <alignment horizontal="center"/>
    </xf>
    <xf numFmtId="0" fontId="3" fillId="5" borderId="0" xfId="0" applyFont="1" applyFill="1" applyAlignment="1">
      <alignment horizontal="right"/>
    </xf>
    <xf numFmtId="0" fontId="3" fillId="5" borderId="18" xfId="0" applyFont="1" applyFill="1" applyBorder="1" applyAlignment="1">
      <alignment horizontal="center"/>
    </xf>
    <xf numFmtId="49" fontId="3" fillId="5" borderId="0" xfId="0" applyNumberFormat="1" applyFont="1" applyFill="1"/>
    <xf numFmtId="0" fontId="5" fillId="5" borderId="0" xfId="0" applyFont="1" applyFill="1" applyAlignment="1">
      <alignment horizontal="left" vertical="center"/>
    </xf>
    <xf numFmtId="0" fontId="0" fillId="5" borderId="0" xfId="0" applyFill="1" applyAlignment="1">
      <alignment horizontal="left"/>
    </xf>
    <xf numFmtId="0" fontId="9" fillId="5" borderId="18" xfId="0" applyFont="1" applyFill="1" applyBorder="1" applyAlignment="1">
      <alignment horizontal="center"/>
    </xf>
    <xf numFmtId="0" fontId="6" fillId="5" borderId="0" xfId="0" applyFont="1" applyFill="1"/>
    <xf numFmtId="0" fontId="6" fillId="5" borderId="19" xfId="0" applyFont="1" applyFill="1" applyBorder="1"/>
    <xf numFmtId="0" fontId="8" fillId="5" borderId="0" xfId="0" applyFont="1" applyFill="1" applyAlignment="1">
      <alignment horizontal="left"/>
    </xf>
    <xf numFmtId="0" fontId="5" fillId="5" borderId="0" xfId="0" applyFont="1" applyFill="1"/>
    <xf numFmtId="0" fontId="3" fillId="5" borderId="0" xfId="0" applyFont="1" applyFill="1" applyAlignment="1">
      <alignment horizontal="left" vertical="center"/>
    </xf>
    <xf numFmtId="0" fontId="0" fillId="7" borderId="15" xfId="0" applyFill="1" applyBorder="1"/>
    <xf numFmtId="0" fontId="0" fillId="7" borderId="16" xfId="0" applyFill="1" applyBorder="1"/>
    <xf numFmtId="0" fontId="25" fillId="7" borderId="16" xfId="0" applyFont="1" applyFill="1" applyBorder="1"/>
    <xf numFmtId="0" fontId="26" fillId="7" borderId="16" xfId="0" applyFont="1" applyFill="1" applyBorder="1"/>
    <xf numFmtId="0" fontId="0" fillId="7" borderId="17" xfId="0" applyFill="1" applyBorder="1"/>
    <xf numFmtId="0" fontId="3" fillId="4" borderId="20" xfId="0" applyFont="1" applyFill="1" applyBorder="1"/>
    <xf numFmtId="0" fontId="0" fillId="4" borderId="21" xfId="0" applyFill="1" applyBorder="1"/>
    <xf numFmtId="0" fontId="0" fillId="4" borderId="22" xfId="0" applyFill="1" applyBorder="1"/>
    <xf numFmtId="16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8" fillId="4" borderId="0" xfId="0" applyFont="1" applyFill="1"/>
    <xf numFmtId="0" fontId="27" fillId="4" borderId="0" xfId="0" applyFont="1" applyFill="1"/>
    <xf numFmtId="0" fontId="1" fillId="4" borderId="21" xfId="0" applyFont="1" applyFill="1" applyBorder="1"/>
    <xf numFmtId="0" fontId="29" fillId="4" borderId="0" xfId="0" applyFont="1" applyFill="1"/>
    <xf numFmtId="0" fontId="3" fillId="8" borderId="12" xfId="0" applyFont="1" applyFill="1" applyBorder="1" applyAlignment="1">
      <alignment horizontal="center"/>
    </xf>
    <xf numFmtId="166" fontId="8" fillId="0" borderId="0" xfId="0" applyNumberFormat="1" applyFont="1" applyProtection="1">
      <protection locked="0"/>
    </xf>
    <xf numFmtId="1" fontId="9" fillId="2" borderId="12" xfId="0" applyNumberFormat="1" applyFont="1" applyFill="1" applyBorder="1" applyAlignment="1">
      <alignment horizontal="center"/>
    </xf>
    <xf numFmtId="0" fontId="22" fillId="0" borderId="30" xfId="0" applyFont="1" applyBorder="1" applyProtection="1">
      <protection locked="0"/>
    </xf>
    <xf numFmtId="0" fontId="3" fillId="6" borderId="12" xfId="0" applyFont="1" applyFill="1" applyBorder="1" applyAlignment="1">
      <alignment horizontal="center"/>
    </xf>
    <xf numFmtId="0" fontId="1" fillId="4" borderId="0" xfId="0" applyFont="1" applyFill="1"/>
    <xf numFmtId="2" fontId="9" fillId="6" borderId="2" xfId="0" applyNumberFormat="1" applyFont="1" applyFill="1" applyBorder="1"/>
    <xf numFmtId="0" fontId="32" fillId="4" borderId="21" xfId="0" applyFont="1" applyFill="1" applyBorder="1" applyAlignment="1">
      <alignment horizontal="right"/>
    </xf>
    <xf numFmtId="0" fontId="32" fillId="4" borderId="21" xfId="0" applyFont="1" applyFill="1" applyBorder="1" applyAlignment="1">
      <alignment horizontal="left"/>
    </xf>
    <xf numFmtId="0" fontId="2" fillId="5" borderId="18" xfId="0" applyFont="1" applyFill="1" applyBorder="1" applyAlignment="1">
      <alignment horizontal="left"/>
    </xf>
    <xf numFmtId="0" fontId="2" fillId="5" borderId="0" xfId="0" applyFont="1" applyFill="1" applyAlignment="1">
      <alignment horizontal="left"/>
    </xf>
    <xf numFmtId="0" fontId="3" fillId="2" borderId="28" xfId="0" applyFont="1" applyFill="1" applyBorder="1" applyAlignment="1">
      <alignment horizontal="center"/>
    </xf>
    <xf numFmtId="0" fontId="0" fillId="2" borderId="29" xfId="0" applyFill="1" applyBorder="1"/>
    <xf numFmtId="0" fontId="33" fillId="4" borderId="21" xfId="0" applyFont="1" applyFill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7" borderId="18" xfId="0" applyFill="1" applyBorder="1"/>
    <xf numFmtId="0" fontId="0" fillId="7" borderId="0" xfId="0" applyFill="1" applyBorder="1"/>
    <xf numFmtId="0" fontId="25" fillId="7" borderId="0" xfId="0" applyFont="1" applyFill="1" applyBorder="1"/>
    <xf numFmtId="0" fontId="26" fillId="7" borderId="0" xfId="0" applyFont="1" applyFill="1" applyBorder="1"/>
    <xf numFmtId="0" fontId="0" fillId="7" borderId="19" xfId="0" applyFill="1" applyBorder="1"/>
    <xf numFmtId="0" fontId="34" fillId="7" borderId="16" xfId="1" applyFill="1" applyBorder="1"/>
    <xf numFmtId="0" fontId="3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</xdr:colOff>
      <xdr:row>0</xdr:row>
      <xdr:rowOff>243840</xdr:rowOff>
    </xdr:from>
    <xdr:to>
      <xdr:col>2</xdr:col>
      <xdr:colOff>388726</xdr:colOff>
      <xdr:row>1</xdr:row>
      <xdr:rowOff>251460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9E3BA7-630D-4E83-A6DC-612CA148A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" y="243840"/>
          <a:ext cx="929746" cy="2819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8</xdr:row>
      <xdr:rowOff>0</xdr:rowOff>
    </xdr:from>
    <xdr:to>
      <xdr:col>4</xdr:col>
      <xdr:colOff>381000</xdr:colOff>
      <xdr:row>8</xdr:row>
      <xdr:rowOff>0</xdr:rowOff>
    </xdr:to>
    <xdr:sp macro="" textlink="">
      <xdr:nvSpPr>
        <xdr:cNvPr id="2" name="Line 2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ShapeType="1"/>
        </xdr:cNvSpPr>
      </xdr:nvSpPr>
      <xdr:spPr bwMode="auto">
        <a:xfrm>
          <a:off x="2286000" y="7439025"/>
          <a:ext cx="1143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581025</xdr:colOff>
      <xdr:row>6</xdr:row>
      <xdr:rowOff>247650</xdr:rowOff>
    </xdr:from>
    <xdr:to>
      <xdr:col>4</xdr:col>
      <xdr:colOff>209550</xdr:colOff>
      <xdr:row>6</xdr:row>
      <xdr:rowOff>247650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ShapeType="1"/>
        </xdr:cNvSpPr>
      </xdr:nvSpPr>
      <xdr:spPr bwMode="auto">
        <a:xfrm>
          <a:off x="2409825" y="7239000"/>
          <a:ext cx="847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95250</xdr:colOff>
      <xdr:row>9</xdr:row>
      <xdr:rowOff>104775</xdr:rowOff>
    </xdr:from>
    <xdr:to>
      <xdr:col>5</xdr:col>
      <xdr:colOff>104775</xdr:colOff>
      <xdr:row>9</xdr:row>
      <xdr:rowOff>104775</xdr:rowOff>
    </xdr:to>
    <xdr:sp macro="" textlink="">
      <xdr:nvSpPr>
        <xdr:cNvPr id="4" name="Line 2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ShapeType="1"/>
        </xdr:cNvSpPr>
      </xdr:nvSpPr>
      <xdr:spPr bwMode="auto">
        <a:xfrm>
          <a:off x="3143250" y="7781925"/>
          <a:ext cx="619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152399</xdr:colOff>
      <xdr:row>5</xdr:row>
      <xdr:rowOff>114301</xdr:rowOff>
    </xdr:from>
    <xdr:to>
      <xdr:col>5</xdr:col>
      <xdr:colOff>285750</xdr:colOff>
      <xdr:row>11</xdr:row>
      <xdr:rowOff>66676</xdr:rowOff>
    </xdr:to>
    <xdr:grpSp>
      <xdr:nvGrpSpPr>
        <xdr:cNvPr id="5" name="Group 28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>
          <a:grpSpLocks/>
        </xdr:cNvGrpSpPr>
      </xdr:nvGrpSpPr>
      <xdr:grpSpPr bwMode="auto">
        <a:xfrm>
          <a:off x="1371599" y="1150621"/>
          <a:ext cx="2007871" cy="1209675"/>
          <a:chOff x="399" y="259"/>
          <a:chExt cx="692" cy="113"/>
        </a:xfrm>
      </xdr:grpSpPr>
      <xdr:sp macro="" textlink="">
        <xdr:nvSpPr>
          <xdr:cNvPr id="6" name="Line 29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>
            <a:spLocks noChangeShapeType="1"/>
          </xdr:cNvSpPr>
        </xdr:nvSpPr>
        <xdr:spPr bwMode="auto">
          <a:xfrm>
            <a:off x="513" y="259"/>
            <a:ext cx="57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" name="Line 30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448" y="259"/>
            <a:ext cx="65" cy="1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" name="Line 31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>
            <a:spLocks noChangeShapeType="1"/>
          </xdr:cNvSpPr>
        </xdr:nvSpPr>
        <xdr:spPr bwMode="auto">
          <a:xfrm>
            <a:off x="399" y="312"/>
            <a:ext cx="50" cy="5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</xdr:col>
      <xdr:colOff>581025</xdr:colOff>
      <xdr:row>6</xdr:row>
      <xdr:rowOff>190500</xdr:rowOff>
    </xdr:from>
    <xdr:to>
      <xdr:col>4</xdr:col>
      <xdr:colOff>209550</xdr:colOff>
      <xdr:row>6</xdr:row>
      <xdr:rowOff>190500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ShapeType="1"/>
        </xdr:cNvSpPr>
      </xdr:nvSpPr>
      <xdr:spPr bwMode="auto">
        <a:xfrm>
          <a:off x="2409825" y="7219950"/>
          <a:ext cx="847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8</xdr:row>
      <xdr:rowOff>38100</xdr:rowOff>
    </xdr:from>
    <xdr:to>
      <xdr:col>5</xdr:col>
      <xdr:colOff>209550</xdr:colOff>
      <xdr:row>11</xdr:row>
      <xdr:rowOff>9525</xdr:rowOff>
    </xdr:to>
    <xdr:sp macro="" textlink="">
      <xdr:nvSpPr>
        <xdr:cNvPr id="10" name="AutoShape 78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3048000" y="7477125"/>
          <a:ext cx="819150" cy="64770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US"/>
        </a:p>
        <a:p>
          <a:endParaRPr lang="en-US"/>
        </a:p>
      </xdr:txBody>
    </xdr:sp>
    <xdr:clientData/>
  </xdr:twoCellAnchor>
  <xdr:twoCellAnchor>
    <xdr:from>
      <xdr:col>3</xdr:col>
      <xdr:colOff>152400</xdr:colOff>
      <xdr:row>8</xdr:row>
      <xdr:rowOff>28575</xdr:rowOff>
    </xdr:from>
    <xdr:to>
      <xdr:col>5</xdr:col>
      <xdr:colOff>323850</xdr:colOff>
      <xdr:row>11</xdr:row>
      <xdr:rowOff>161925</xdr:rowOff>
    </xdr:to>
    <xdr:sp macro="" textlink="">
      <xdr:nvSpPr>
        <xdr:cNvPr id="11" name="AutoShape 78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2590800" y="7467600"/>
          <a:ext cx="1390650" cy="80962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5</xdr:col>
      <xdr:colOff>9525</xdr:colOff>
      <xdr:row>48</xdr:row>
      <xdr:rowOff>95250</xdr:rowOff>
    </xdr:from>
    <xdr:to>
      <xdr:col>6</xdr:col>
      <xdr:colOff>209550</xdr:colOff>
      <xdr:row>48</xdr:row>
      <xdr:rowOff>95250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ShapeType="1"/>
        </xdr:cNvSpPr>
      </xdr:nvSpPr>
      <xdr:spPr bwMode="auto">
        <a:xfrm>
          <a:off x="3343275" y="18507075"/>
          <a:ext cx="981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59</xdr:row>
      <xdr:rowOff>104775</xdr:rowOff>
    </xdr:from>
    <xdr:to>
      <xdr:col>3</xdr:col>
      <xdr:colOff>285750</xdr:colOff>
      <xdr:row>59</xdr:row>
      <xdr:rowOff>104775</xdr:rowOff>
    </xdr:to>
    <xdr:sp macro="" textlink="">
      <xdr:nvSpPr>
        <xdr:cNvPr id="13" name="Line 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ShapeType="1"/>
        </xdr:cNvSpPr>
      </xdr:nvSpPr>
      <xdr:spPr bwMode="auto">
        <a:xfrm>
          <a:off x="1990725" y="20983575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333375</xdr:colOff>
      <xdr:row>57</xdr:row>
      <xdr:rowOff>123825</xdr:rowOff>
    </xdr:from>
    <xdr:to>
      <xdr:col>3</xdr:col>
      <xdr:colOff>419100</xdr:colOff>
      <xdr:row>61</xdr:row>
      <xdr:rowOff>38100</xdr:rowOff>
    </xdr:to>
    <xdr:sp macro="" textlink="">
      <xdr:nvSpPr>
        <xdr:cNvPr id="14" name="AutoShape 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/>
        </xdr:cNvSpPr>
      </xdr:nvSpPr>
      <xdr:spPr bwMode="auto">
        <a:xfrm>
          <a:off x="2324100" y="20564475"/>
          <a:ext cx="85725" cy="828675"/>
        </a:xfrm>
        <a:prstGeom prst="leftBracket">
          <a:avLst>
            <a:gd name="adj" fmla="val 82407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66675</xdr:colOff>
      <xdr:row>57</xdr:row>
      <xdr:rowOff>133350</xdr:rowOff>
    </xdr:from>
    <xdr:to>
      <xdr:col>4</xdr:col>
      <xdr:colOff>171450</xdr:colOff>
      <xdr:row>61</xdr:row>
      <xdr:rowOff>9525</xdr:rowOff>
    </xdr:to>
    <xdr:sp macro="" textlink="">
      <xdr:nvSpPr>
        <xdr:cNvPr id="15" name="AutoShape 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/>
        </xdr:cNvSpPr>
      </xdr:nvSpPr>
      <xdr:spPr bwMode="auto">
        <a:xfrm>
          <a:off x="2790825" y="20574000"/>
          <a:ext cx="104775" cy="790575"/>
        </a:xfrm>
        <a:prstGeom prst="leftBracket">
          <a:avLst>
            <a:gd name="adj" fmla="val 2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95250</xdr:colOff>
      <xdr:row>59</xdr:row>
      <xdr:rowOff>95250</xdr:rowOff>
    </xdr:from>
    <xdr:to>
      <xdr:col>4</xdr:col>
      <xdr:colOff>533400</xdr:colOff>
      <xdr:row>59</xdr:row>
      <xdr:rowOff>95250</xdr:rowOff>
    </xdr:to>
    <xdr:sp macro="" textlink="">
      <xdr:nvSpPr>
        <xdr:cNvPr id="16" name="Line 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ShapeType="1"/>
        </xdr:cNvSpPr>
      </xdr:nvSpPr>
      <xdr:spPr bwMode="auto">
        <a:xfrm>
          <a:off x="2819400" y="20974050"/>
          <a:ext cx="4381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447674</xdr:colOff>
      <xdr:row>57</xdr:row>
      <xdr:rowOff>133350</xdr:rowOff>
    </xdr:from>
    <xdr:to>
      <xdr:col>4</xdr:col>
      <xdr:colOff>533399</xdr:colOff>
      <xdr:row>61</xdr:row>
      <xdr:rowOff>9525</xdr:rowOff>
    </xdr:to>
    <xdr:sp macro="" textlink="">
      <xdr:nvSpPr>
        <xdr:cNvPr id="17" name="AutoShape 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/>
        </xdr:cNvSpPr>
      </xdr:nvSpPr>
      <xdr:spPr bwMode="auto">
        <a:xfrm flipH="1">
          <a:off x="3171824" y="20574000"/>
          <a:ext cx="85725" cy="790575"/>
        </a:xfrm>
        <a:prstGeom prst="leftBracket">
          <a:avLst>
            <a:gd name="adj" fmla="val 2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152400</xdr:colOff>
      <xdr:row>59</xdr:row>
      <xdr:rowOff>104775</xdr:rowOff>
    </xdr:from>
    <xdr:to>
      <xdr:col>5</xdr:col>
      <xdr:colOff>561975</xdr:colOff>
      <xdr:row>59</xdr:row>
      <xdr:rowOff>104775</xdr:rowOff>
    </xdr:to>
    <xdr:sp macro="" textlink="">
      <xdr:nvSpPr>
        <xdr:cNvPr id="18" name="Line 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ShapeType="1"/>
        </xdr:cNvSpPr>
      </xdr:nvSpPr>
      <xdr:spPr bwMode="auto">
        <a:xfrm>
          <a:off x="3486150" y="20983575"/>
          <a:ext cx="409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247650</xdr:colOff>
      <xdr:row>60</xdr:row>
      <xdr:rowOff>19050</xdr:rowOff>
    </xdr:from>
    <xdr:to>
      <xdr:col>5</xdr:col>
      <xdr:colOff>485775</xdr:colOff>
      <xdr:row>61</xdr:row>
      <xdr:rowOff>0</xdr:rowOff>
    </xdr:to>
    <xdr:grpSp>
      <xdr:nvGrpSpPr>
        <xdr:cNvPr id="19" name="Group 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pSpPr>
          <a:grpSpLocks/>
        </xdr:cNvGrpSpPr>
      </xdr:nvGrpSpPr>
      <xdr:grpSpPr bwMode="auto">
        <a:xfrm>
          <a:off x="3341370" y="12713970"/>
          <a:ext cx="238125" cy="217170"/>
          <a:chOff x="524" y="3782"/>
          <a:chExt cx="27" cy="17"/>
        </a:xfrm>
      </xdr:grpSpPr>
      <xdr:sp macro="" textlink="">
        <xdr:nvSpPr>
          <xdr:cNvPr id="20" name="Line 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ShapeType="1"/>
          </xdr:cNvSpPr>
        </xdr:nvSpPr>
        <xdr:spPr bwMode="auto">
          <a:xfrm>
            <a:off x="532" y="3782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" name="Line 1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529" y="3782"/>
            <a:ext cx="4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2" name="Line 1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ShapeType="1"/>
          </xdr:cNvSpPr>
        </xdr:nvSpPr>
        <xdr:spPr bwMode="auto">
          <a:xfrm>
            <a:off x="524" y="3786"/>
            <a:ext cx="5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6</xdr:col>
      <xdr:colOff>219075</xdr:colOff>
      <xdr:row>57</xdr:row>
      <xdr:rowOff>123825</xdr:rowOff>
    </xdr:from>
    <xdr:to>
      <xdr:col>6</xdr:col>
      <xdr:colOff>285750</xdr:colOff>
      <xdr:row>61</xdr:row>
      <xdr:rowOff>38100</xdr:rowOff>
    </xdr:to>
    <xdr:sp macro="" textlink="">
      <xdr:nvSpPr>
        <xdr:cNvPr id="23" name="AutoShape 1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/>
        </xdr:cNvSpPr>
      </xdr:nvSpPr>
      <xdr:spPr bwMode="auto">
        <a:xfrm flipH="1">
          <a:off x="4333875" y="20564475"/>
          <a:ext cx="66675" cy="828675"/>
        </a:xfrm>
        <a:prstGeom prst="leftBracket">
          <a:avLst>
            <a:gd name="adj" fmla="val 105952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28575</xdr:colOff>
      <xdr:row>65</xdr:row>
      <xdr:rowOff>19050</xdr:rowOff>
    </xdr:from>
    <xdr:to>
      <xdr:col>3</xdr:col>
      <xdr:colOff>581025</xdr:colOff>
      <xdr:row>66</xdr:row>
      <xdr:rowOff>19050</xdr:rowOff>
    </xdr:to>
    <xdr:grpSp>
      <xdr:nvGrpSpPr>
        <xdr:cNvPr id="24" name="Group 1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pSpPr>
          <a:grpSpLocks/>
        </xdr:cNvGrpSpPr>
      </xdr:nvGrpSpPr>
      <xdr:grpSpPr bwMode="auto">
        <a:xfrm>
          <a:off x="1857375" y="13773150"/>
          <a:ext cx="552450" cy="228600"/>
          <a:chOff x="378" y="2551"/>
          <a:chExt cx="56" cy="17"/>
        </a:xfrm>
      </xdr:grpSpPr>
      <xdr:sp macro="" textlink="">
        <xdr:nvSpPr>
          <xdr:cNvPr id="25" name="Line 1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>
            <a:spLocks noChangeShapeType="1"/>
          </xdr:cNvSpPr>
        </xdr:nvSpPr>
        <xdr:spPr bwMode="auto">
          <a:xfrm>
            <a:off x="388" y="2551"/>
            <a:ext cx="4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" name="Line 1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81" y="2551"/>
            <a:ext cx="9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7" name="Line 1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8" y="2555"/>
            <a:ext cx="4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3</xdr:col>
      <xdr:colOff>0</xdr:colOff>
      <xdr:row>80</xdr:row>
      <xdr:rowOff>123825</xdr:rowOff>
    </xdr:from>
    <xdr:to>
      <xdr:col>3</xdr:col>
      <xdr:colOff>561975</xdr:colOff>
      <xdr:row>80</xdr:row>
      <xdr:rowOff>123825</xdr:rowOff>
    </xdr:to>
    <xdr:sp macro="" textlink="">
      <xdr:nvSpPr>
        <xdr:cNvPr id="28" name="Line 1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ShapeType="1"/>
        </xdr:cNvSpPr>
      </xdr:nvSpPr>
      <xdr:spPr bwMode="auto">
        <a:xfrm>
          <a:off x="1990725" y="25584150"/>
          <a:ext cx="5619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78</xdr:row>
      <xdr:rowOff>114300</xdr:rowOff>
    </xdr:from>
    <xdr:to>
      <xdr:col>4</xdr:col>
      <xdr:colOff>85725</xdr:colOff>
      <xdr:row>82</xdr:row>
      <xdr:rowOff>66675</xdr:rowOff>
    </xdr:to>
    <xdr:sp macro="" textlink="">
      <xdr:nvSpPr>
        <xdr:cNvPr id="29" name="AutoShape 1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/>
        </xdr:cNvSpPr>
      </xdr:nvSpPr>
      <xdr:spPr bwMode="auto">
        <a:xfrm>
          <a:off x="2724150" y="25136475"/>
          <a:ext cx="85725" cy="942975"/>
        </a:xfrm>
        <a:prstGeom prst="leftBracket">
          <a:avLst>
            <a:gd name="adj" fmla="val 91667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152400</xdr:colOff>
      <xdr:row>78</xdr:row>
      <xdr:rowOff>123825</xdr:rowOff>
    </xdr:from>
    <xdr:to>
      <xdr:col>4</xdr:col>
      <xdr:colOff>314325</xdr:colOff>
      <xdr:row>82</xdr:row>
      <xdr:rowOff>38100</xdr:rowOff>
    </xdr:to>
    <xdr:sp macro="" textlink="">
      <xdr:nvSpPr>
        <xdr:cNvPr id="30" name="AutoShape 1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/>
        </xdr:cNvSpPr>
      </xdr:nvSpPr>
      <xdr:spPr bwMode="auto">
        <a:xfrm>
          <a:off x="2876550" y="25146000"/>
          <a:ext cx="161925" cy="904875"/>
        </a:xfrm>
        <a:prstGeom prst="leftBracket">
          <a:avLst>
            <a:gd name="adj" fmla="val 279412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219075</xdr:colOff>
      <xdr:row>80</xdr:row>
      <xdr:rowOff>95250</xdr:rowOff>
    </xdr:from>
    <xdr:to>
      <xdr:col>4</xdr:col>
      <xdr:colOff>552450</xdr:colOff>
      <xdr:row>80</xdr:row>
      <xdr:rowOff>95250</xdr:rowOff>
    </xdr:to>
    <xdr:sp macro="" textlink="">
      <xdr:nvSpPr>
        <xdr:cNvPr id="31" name="Line 2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ShapeType="1"/>
        </xdr:cNvSpPr>
      </xdr:nvSpPr>
      <xdr:spPr bwMode="auto">
        <a:xfrm>
          <a:off x="2943225" y="25555575"/>
          <a:ext cx="3333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457200</xdr:colOff>
      <xdr:row>78</xdr:row>
      <xdr:rowOff>123825</xdr:rowOff>
    </xdr:from>
    <xdr:to>
      <xdr:col>4</xdr:col>
      <xdr:colOff>600075</xdr:colOff>
      <xdr:row>82</xdr:row>
      <xdr:rowOff>38100</xdr:rowOff>
    </xdr:to>
    <xdr:sp macro="" textlink="">
      <xdr:nvSpPr>
        <xdr:cNvPr id="32" name="AutoShape 2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/>
        </xdr:cNvSpPr>
      </xdr:nvSpPr>
      <xdr:spPr bwMode="auto">
        <a:xfrm flipH="1">
          <a:off x="3181350" y="25146000"/>
          <a:ext cx="142875" cy="904875"/>
        </a:xfrm>
        <a:prstGeom prst="leftBracket">
          <a:avLst>
            <a:gd name="adj" fmla="val 316667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323850</xdr:colOff>
      <xdr:row>80</xdr:row>
      <xdr:rowOff>104775</xdr:rowOff>
    </xdr:from>
    <xdr:to>
      <xdr:col>6</xdr:col>
      <xdr:colOff>247650</xdr:colOff>
      <xdr:row>80</xdr:row>
      <xdr:rowOff>104775</xdr:rowOff>
    </xdr:to>
    <xdr:sp macro="" textlink="">
      <xdr:nvSpPr>
        <xdr:cNvPr id="33" name="Line 2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>
          <a:spLocks noChangeShapeType="1"/>
        </xdr:cNvSpPr>
      </xdr:nvSpPr>
      <xdr:spPr bwMode="auto">
        <a:xfrm>
          <a:off x="3657600" y="25565100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495299</xdr:colOff>
      <xdr:row>81</xdr:row>
      <xdr:rowOff>0</xdr:rowOff>
    </xdr:from>
    <xdr:to>
      <xdr:col>6</xdr:col>
      <xdr:colOff>9524</xdr:colOff>
      <xdr:row>82</xdr:row>
      <xdr:rowOff>0</xdr:rowOff>
    </xdr:to>
    <xdr:grpSp>
      <xdr:nvGrpSpPr>
        <xdr:cNvPr id="34" name="Group 2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>
          <a:grpSpLocks/>
        </xdr:cNvGrpSpPr>
      </xdr:nvGrpSpPr>
      <xdr:grpSpPr bwMode="auto">
        <a:xfrm>
          <a:off x="3589019" y="17213580"/>
          <a:ext cx="177165" cy="205740"/>
          <a:chOff x="524" y="3782"/>
          <a:chExt cx="27" cy="17"/>
        </a:xfrm>
      </xdr:grpSpPr>
      <xdr:sp macro="" textlink="">
        <xdr:nvSpPr>
          <xdr:cNvPr id="35" name="Line 2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>
            <a:off x="532" y="3782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6" name="Line 2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529" y="3782"/>
            <a:ext cx="4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" name="Line 2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ShapeType="1"/>
          </xdr:cNvSpPr>
        </xdr:nvSpPr>
        <xdr:spPr bwMode="auto">
          <a:xfrm>
            <a:off x="524" y="3786"/>
            <a:ext cx="5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6</xdr:col>
      <xdr:colOff>352425</xdr:colOff>
      <xdr:row>80</xdr:row>
      <xdr:rowOff>0</xdr:rowOff>
    </xdr:from>
    <xdr:to>
      <xdr:col>7</xdr:col>
      <xdr:colOff>0</xdr:colOff>
      <xdr:row>81</xdr:row>
      <xdr:rowOff>9525</xdr:rowOff>
    </xdr:to>
    <xdr:grpSp>
      <xdr:nvGrpSpPr>
        <xdr:cNvPr id="38" name="Group 2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GrpSpPr>
          <a:grpSpLocks/>
        </xdr:cNvGrpSpPr>
      </xdr:nvGrpSpPr>
      <xdr:grpSpPr bwMode="auto">
        <a:xfrm>
          <a:off x="4109085" y="16962120"/>
          <a:ext cx="302895" cy="260985"/>
          <a:chOff x="524" y="3782"/>
          <a:chExt cx="27" cy="17"/>
        </a:xfrm>
      </xdr:grpSpPr>
      <xdr:sp macro="" textlink="">
        <xdr:nvSpPr>
          <xdr:cNvPr id="39" name="Line 2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ShapeType="1"/>
          </xdr:cNvSpPr>
        </xdr:nvSpPr>
        <xdr:spPr bwMode="auto">
          <a:xfrm>
            <a:off x="532" y="3782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0" name="Line 2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529" y="3782"/>
            <a:ext cx="4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1" name="Line 3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ShapeType="1"/>
          </xdr:cNvSpPr>
        </xdr:nvSpPr>
        <xdr:spPr bwMode="auto">
          <a:xfrm>
            <a:off x="524" y="3786"/>
            <a:ext cx="5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7</xdr:col>
      <xdr:colOff>266700</xdr:colOff>
      <xdr:row>78</xdr:row>
      <xdr:rowOff>104775</xdr:rowOff>
    </xdr:from>
    <xdr:to>
      <xdr:col>7</xdr:col>
      <xdr:colOff>342900</xdr:colOff>
      <xdr:row>82</xdr:row>
      <xdr:rowOff>57150</xdr:rowOff>
    </xdr:to>
    <xdr:sp macro="" textlink="">
      <xdr:nvSpPr>
        <xdr:cNvPr id="42" name="AutoShape 3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/>
        </xdr:cNvSpPr>
      </xdr:nvSpPr>
      <xdr:spPr bwMode="auto">
        <a:xfrm flipH="1">
          <a:off x="5067300" y="25126950"/>
          <a:ext cx="76200" cy="942975"/>
        </a:xfrm>
        <a:prstGeom prst="leftBracket">
          <a:avLst>
            <a:gd name="adj" fmla="val 103125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95</xdr:row>
      <xdr:rowOff>104775</xdr:rowOff>
    </xdr:from>
    <xdr:to>
      <xdr:col>3</xdr:col>
      <xdr:colOff>285750</xdr:colOff>
      <xdr:row>95</xdr:row>
      <xdr:rowOff>104775</xdr:rowOff>
    </xdr:to>
    <xdr:sp macro="" textlink="">
      <xdr:nvSpPr>
        <xdr:cNvPr id="43" name="Line 3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>
          <a:spLocks noChangeShapeType="1"/>
        </xdr:cNvSpPr>
      </xdr:nvSpPr>
      <xdr:spPr bwMode="auto">
        <a:xfrm>
          <a:off x="1990725" y="28965525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333375</xdr:colOff>
      <xdr:row>93</xdr:row>
      <xdr:rowOff>95250</xdr:rowOff>
    </xdr:from>
    <xdr:to>
      <xdr:col>3</xdr:col>
      <xdr:colOff>390525</xdr:colOff>
      <xdr:row>97</xdr:row>
      <xdr:rowOff>38100</xdr:rowOff>
    </xdr:to>
    <xdr:sp macro="" textlink="">
      <xdr:nvSpPr>
        <xdr:cNvPr id="44" name="AutoShape 3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>
          <a:spLocks/>
        </xdr:cNvSpPr>
      </xdr:nvSpPr>
      <xdr:spPr bwMode="auto">
        <a:xfrm>
          <a:off x="2324100" y="28517850"/>
          <a:ext cx="57150" cy="857250"/>
        </a:xfrm>
        <a:prstGeom prst="leftBracket">
          <a:avLst>
            <a:gd name="adj" fmla="val 125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57150</xdr:colOff>
      <xdr:row>93</xdr:row>
      <xdr:rowOff>123825</xdr:rowOff>
    </xdr:from>
    <xdr:to>
      <xdr:col>4</xdr:col>
      <xdr:colOff>171450</xdr:colOff>
      <xdr:row>97</xdr:row>
      <xdr:rowOff>9525</xdr:rowOff>
    </xdr:to>
    <xdr:sp macro="" textlink="">
      <xdr:nvSpPr>
        <xdr:cNvPr id="45" name="AutoShape 3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>
          <a:spLocks/>
        </xdr:cNvSpPr>
      </xdr:nvSpPr>
      <xdr:spPr bwMode="auto">
        <a:xfrm>
          <a:off x="2781300" y="28546425"/>
          <a:ext cx="114300" cy="800100"/>
        </a:xfrm>
        <a:prstGeom prst="leftBracket">
          <a:avLst>
            <a:gd name="adj" fmla="val 247059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95250</xdr:colOff>
      <xdr:row>95</xdr:row>
      <xdr:rowOff>95250</xdr:rowOff>
    </xdr:from>
    <xdr:to>
      <xdr:col>4</xdr:col>
      <xdr:colOff>533400</xdr:colOff>
      <xdr:row>95</xdr:row>
      <xdr:rowOff>95250</xdr:rowOff>
    </xdr:to>
    <xdr:sp macro="" textlink="">
      <xdr:nvSpPr>
        <xdr:cNvPr id="46" name="Line 3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>
          <a:spLocks noChangeShapeType="1"/>
        </xdr:cNvSpPr>
      </xdr:nvSpPr>
      <xdr:spPr bwMode="auto">
        <a:xfrm>
          <a:off x="2819400" y="28956000"/>
          <a:ext cx="4381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495300</xdr:colOff>
      <xdr:row>93</xdr:row>
      <xdr:rowOff>123825</xdr:rowOff>
    </xdr:from>
    <xdr:to>
      <xdr:col>4</xdr:col>
      <xdr:colOff>561975</xdr:colOff>
      <xdr:row>97</xdr:row>
      <xdr:rowOff>9525</xdr:rowOff>
    </xdr:to>
    <xdr:sp macro="" textlink="">
      <xdr:nvSpPr>
        <xdr:cNvPr id="47" name="AutoShape 3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>
          <a:spLocks/>
        </xdr:cNvSpPr>
      </xdr:nvSpPr>
      <xdr:spPr bwMode="auto">
        <a:xfrm flipH="1">
          <a:off x="3219450" y="28546425"/>
          <a:ext cx="66675" cy="800100"/>
        </a:xfrm>
        <a:prstGeom prst="leftBracket">
          <a:avLst>
            <a:gd name="adj" fmla="val 3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152400</xdr:colOff>
      <xdr:row>95</xdr:row>
      <xdr:rowOff>104775</xdr:rowOff>
    </xdr:from>
    <xdr:to>
      <xdr:col>5</xdr:col>
      <xdr:colOff>561975</xdr:colOff>
      <xdr:row>95</xdr:row>
      <xdr:rowOff>104775</xdr:rowOff>
    </xdr:to>
    <xdr:sp macro="" textlink="">
      <xdr:nvSpPr>
        <xdr:cNvPr id="48" name="Line 3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>
          <a:spLocks noChangeShapeType="1"/>
        </xdr:cNvSpPr>
      </xdr:nvSpPr>
      <xdr:spPr bwMode="auto">
        <a:xfrm>
          <a:off x="3486150" y="28965525"/>
          <a:ext cx="409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152400</xdr:colOff>
      <xdr:row>95</xdr:row>
      <xdr:rowOff>142875</xdr:rowOff>
    </xdr:from>
    <xdr:to>
      <xdr:col>5</xdr:col>
      <xdr:colOff>409575</xdr:colOff>
      <xdr:row>96</xdr:row>
      <xdr:rowOff>161925</xdr:rowOff>
    </xdr:to>
    <xdr:grpSp>
      <xdr:nvGrpSpPr>
        <xdr:cNvPr id="49" name="Group 3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GrpSpPr>
          <a:grpSpLocks/>
        </xdr:cNvGrpSpPr>
      </xdr:nvGrpSpPr>
      <xdr:grpSpPr bwMode="auto">
        <a:xfrm>
          <a:off x="3246120" y="20351115"/>
          <a:ext cx="257175" cy="247650"/>
          <a:chOff x="524" y="3782"/>
          <a:chExt cx="27" cy="17"/>
        </a:xfrm>
      </xdr:grpSpPr>
      <xdr:sp macro="" textlink="">
        <xdr:nvSpPr>
          <xdr:cNvPr id="50" name="Line 39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>
            <a:off x="532" y="3782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1" name="Line 40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529" y="3782"/>
            <a:ext cx="4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" name="Line 41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>
            <a:spLocks noChangeShapeType="1"/>
          </xdr:cNvSpPr>
        </xdr:nvSpPr>
        <xdr:spPr bwMode="auto">
          <a:xfrm>
            <a:off x="524" y="3786"/>
            <a:ext cx="5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6</xdr:col>
      <xdr:colOff>409574</xdr:colOff>
      <xdr:row>93</xdr:row>
      <xdr:rowOff>95250</xdr:rowOff>
    </xdr:from>
    <xdr:to>
      <xdr:col>6</xdr:col>
      <xdr:colOff>552449</xdr:colOff>
      <xdr:row>97</xdr:row>
      <xdr:rowOff>38100</xdr:rowOff>
    </xdr:to>
    <xdr:sp macro="" textlink="">
      <xdr:nvSpPr>
        <xdr:cNvPr id="53" name="AutoShape 4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>
          <a:spLocks/>
        </xdr:cNvSpPr>
      </xdr:nvSpPr>
      <xdr:spPr bwMode="auto">
        <a:xfrm flipH="1">
          <a:off x="4524374" y="28517850"/>
          <a:ext cx="142875" cy="857250"/>
        </a:xfrm>
        <a:prstGeom prst="leftBracket">
          <a:avLst>
            <a:gd name="adj" fmla="val 125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121</xdr:row>
      <xdr:rowOff>104775</xdr:rowOff>
    </xdr:from>
    <xdr:to>
      <xdr:col>5</xdr:col>
      <xdr:colOff>161925</xdr:colOff>
      <xdr:row>125</xdr:row>
      <xdr:rowOff>47625</xdr:rowOff>
    </xdr:to>
    <xdr:sp macro="" textlink="">
      <xdr:nvSpPr>
        <xdr:cNvPr id="54" name="AutoShape 4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>
          <a:spLocks noChangeArrowheads="1"/>
        </xdr:cNvSpPr>
      </xdr:nvSpPr>
      <xdr:spPr bwMode="auto">
        <a:xfrm>
          <a:off x="1990725" y="34451925"/>
          <a:ext cx="1504950" cy="87630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123</xdr:row>
      <xdr:rowOff>114300</xdr:rowOff>
    </xdr:from>
    <xdr:to>
      <xdr:col>5</xdr:col>
      <xdr:colOff>19050</xdr:colOff>
      <xdr:row>123</xdr:row>
      <xdr:rowOff>114300</xdr:rowOff>
    </xdr:to>
    <xdr:sp macro="" textlink="">
      <xdr:nvSpPr>
        <xdr:cNvPr id="55" name="Line 4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ShapeType="1"/>
        </xdr:cNvSpPr>
      </xdr:nvSpPr>
      <xdr:spPr bwMode="auto">
        <a:xfrm>
          <a:off x="2752725" y="34899600"/>
          <a:ext cx="600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</xdr:colOff>
      <xdr:row>123</xdr:row>
      <xdr:rowOff>142875</xdr:rowOff>
    </xdr:from>
    <xdr:to>
      <xdr:col>4</xdr:col>
      <xdr:colOff>581025</xdr:colOff>
      <xdr:row>124</xdr:row>
      <xdr:rowOff>171450</xdr:rowOff>
    </xdr:to>
    <xdr:grpSp>
      <xdr:nvGrpSpPr>
        <xdr:cNvPr id="56" name="Group 4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GrpSpPr>
          <a:grpSpLocks/>
        </xdr:cNvGrpSpPr>
      </xdr:nvGrpSpPr>
      <xdr:grpSpPr bwMode="auto">
        <a:xfrm>
          <a:off x="2457450" y="26203275"/>
          <a:ext cx="561975" cy="257175"/>
          <a:chOff x="378" y="2551"/>
          <a:chExt cx="56" cy="17"/>
        </a:xfrm>
      </xdr:grpSpPr>
      <xdr:sp macro="" textlink="">
        <xdr:nvSpPr>
          <xdr:cNvPr id="57" name="Line 46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>
            <a:off x="388" y="2551"/>
            <a:ext cx="4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8" name="Line 47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81" y="2551"/>
            <a:ext cx="9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9" name="Line 48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8" y="2555"/>
            <a:ext cx="4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3</xdr:col>
      <xdr:colOff>666750</xdr:colOff>
      <xdr:row>121</xdr:row>
      <xdr:rowOff>152400</xdr:rowOff>
    </xdr:from>
    <xdr:to>
      <xdr:col>4</xdr:col>
      <xdr:colOff>171450</xdr:colOff>
      <xdr:row>125</xdr:row>
      <xdr:rowOff>28575</xdr:rowOff>
    </xdr:to>
    <xdr:sp macro="" textlink="">
      <xdr:nvSpPr>
        <xdr:cNvPr id="60" name="AutoShape 4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>
          <a:spLocks/>
        </xdr:cNvSpPr>
      </xdr:nvSpPr>
      <xdr:spPr bwMode="auto">
        <a:xfrm>
          <a:off x="2657475" y="34499550"/>
          <a:ext cx="238125" cy="809625"/>
        </a:xfrm>
        <a:prstGeom prst="leftBracket">
          <a:avLst>
            <a:gd name="adj" fmla="val 202381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552450</xdr:colOff>
      <xdr:row>121</xdr:row>
      <xdr:rowOff>152400</xdr:rowOff>
    </xdr:from>
    <xdr:to>
      <xdr:col>5</xdr:col>
      <xdr:colOff>76200</xdr:colOff>
      <xdr:row>125</xdr:row>
      <xdr:rowOff>28575</xdr:rowOff>
    </xdr:to>
    <xdr:sp macro="" textlink="">
      <xdr:nvSpPr>
        <xdr:cNvPr id="61" name="AutoShape 5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>
          <a:spLocks/>
        </xdr:cNvSpPr>
      </xdr:nvSpPr>
      <xdr:spPr bwMode="auto">
        <a:xfrm flipH="1">
          <a:off x="3276600" y="34499550"/>
          <a:ext cx="133350" cy="809625"/>
        </a:xfrm>
        <a:prstGeom prst="leftBracket">
          <a:avLst>
            <a:gd name="adj" fmla="val 303571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600075</xdr:colOff>
      <xdr:row>144</xdr:row>
      <xdr:rowOff>95250</xdr:rowOff>
    </xdr:from>
    <xdr:to>
      <xdr:col>2</xdr:col>
      <xdr:colOff>171450</xdr:colOff>
      <xdr:row>144</xdr:row>
      <xdr:rowOff>95250</xdr:rowOff>
    </xdr:to>
    <xdr:sp macro="" textlink="">
      <xdr:nvSpPr>
        <xdr:cNvPr id="62" name="Line 5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>
          <a:spLocks noChangeShapeType="1"/>
        </xdr:cNvSpPr>
      </xdr:nvSpPr>
      <xdr:spPr bwMode="auto">
        <a:xfrm>
          <a:off x="1295400" y="395001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533400</xdr:colOff>
      <xdr:row>143</xdr:row>
      <xdr:rowOff>0</xdr:rowOff>
    </xdr:from>
    <xdr:to>
      <xdr:col>2</xdr:col>
      <xdr:colOff>609600</xdr:colOff>
      <xdr:row>146</xdr:row>
      <xdr:rowOff>38100</xdr:rowOff>
    </xdr:to>
    <xdr:sp macro="" textlink="">
      <xdr:nvSpPr>
        <xdr:cNvPr id="63" name="AutoShape 5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>
          <a:spLocks/>
        </xdr:cNvSpPr>
      </xdr:nvSpPr>
      <xdr:spPr bwMode="auto">
        <a:xfrm>
          <a:off x="1838325" y="39166800"/>
          <a:ext cx="76200" cy="752475"/>
        </a:xfrm>
        <a:prstGeom prst="leftBracket">
          <a:avLst>
            <a:gd name="adj" fmla="val 303846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571500</xdr:colOff>
      <xdr:row>144</xdr:row>
      <xdr:rowOff>104775</xdr:rowOff>
    </xdr:from>
    <xdr:to>
      <xdr:col>3</xdr:col>
      <xdr:colOff>352425</xdr:colOff>
      <xdr:row>144</xdr:row>
      <xdr:rowOff>104775</xdr:rowOff>
    </xdr:to>
    <xdr:sp macro="" textlink="">
      <xdr:nvSpPr>
        <xdr:cNvPr id="64" name="Line 5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>
          <a:spLocks noChangeShapeType="1"/>
        </xdr:cNvSpPr>
      </xdr:nvSpPr>
      <xdr:spPr bwMode="auto">
        <a:xfrm>
          <a:off x="1876425" y="39509700"/>
          <a:ext cx="466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144</xdr:row>
      <xdr:rowOff>104775</xdr:rowOff>
    </xdr:from>
    <xdr:to>
      <xdr:col>4</xdr:col>
      <xdr:colOff>485775</xdr:colOff>
      <xdr:row>144</xdr:row>
      <xdr:rowOff>104775</xdr:rowOff>
    </xdr:to>
    <xdr:sp macro="" textlink="">
      <xdr:nvSpPr>
        <xdr:cNvPr id="65" name="Line 5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>
          <a:spLocks noChangeShapeType="1"/>
        </xdr:cNvSpPr>
      </xdr:nvSpPr>
      <xdr:spPr bwMode="auto">
        <a:xfrm>
          <a:off x="2724150" y="39509700"/>
          <a:ext cx="485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161925</xdr:colOff>
      <xdr:row>144</xdr:row>
      <xdr:rowOff>104775</xdr:rowOff>
    </xdr:from>
    <xdr:to>
      <xdr:col>5</xdr:col>
      <xdr:colOff>514350</xdr:colOff>
      <xdr:row>144</xdr:row>
      <xdr:rowOff>104775</xdr:rowOff>
    </xdr:to>
    <xdr:sp macro="" textlink="">
      <xdr:nvSpPr>
        <xdr:cNvPr id="66" name="Line 5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>
          <a:spLocks noChangeShapeType="1"/>
        </xdr:cNvSpPr>
      </xdr:nvSpPr>
      <xdr:spPr bwMode="auto">
        <a:xfrm>
          <a:off x="3495675" y="39509700"/>
          <a:ext cx="352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571500</xdr:colOff>
      <xdr:row>143</xdr:row>
      <xdr:rowOff>0</xdr:rowOff>
    </xdr:from>
    <xdr:to>
      <xdr:col>5</xdr:col>
      <xdr:colOff>723900</xdr:colOff>
      <xdr:row>146</xdr:row>
      <xdr:rowOff>38100</xdr:rowOff>
    </xdr:to>
    <xdr:sp macro="" textlink="">
      <xdr:nvSpPr>
        <xdr:cNvPr id="67" name="AutoShape 5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>
          <a:spLocks/>
        </xdr:cNvSpPr>
      </xdr:nvSpPr>
      <xdr:spPr bwMode="auto">
        <a:xfrm flipH="1">
          <a:off x="3905250" y="39166800"/>
          <a:ext cx="152400" cy="752475"/>
        </a:xfrm>
        <a:prstGeom prst="leftBracket">
          <a:avLst>
            <a:gd name="adj" fmla="val 120313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219075</xdr:colOff>
      <xdr:row>144</xdr:row>
      <xdr:rowOff>104775</xdr:rowOff>
    </xdr:from>
    <xdr:to>
      <xdr:col>6</xdr:col>
      <xdr:colOff>381000</xdr:colOff>
      <xdr:row>144</xdr:row>
      <xdr:rowOff>104775</xdr:rowOff>
    </xdr:to>
    <xdr:sp macro="" textlink="">
      <xdr:nvSpPr>
        <xdr:cNvPr id="68" name="Line 5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>
          <a:spLocks noChangeShapeType="1"/>
        </xdr:cNvSpPr>
      </xdr:nvSpPr>
      <xdr:spPr bwMode="auto">
        <a:xfrm>
          <a:off x="4333875" y="39509700"/>
          <a:ext cx="1619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9525</xdr:colOff>
      <xdr:row>144</xdr:row>
      <xdr:rowOff>95250</xdr:rowOff>
    </xdr:from>
    <xdr:to>
      <xdr:col>7</xdr:col>
      <xdr:colOff>542925</xdr:colOff>
      <xdr:row>144</xdr:row>
      <xdr:rowOff>95250</xdr:rowOff>
    </xdr:to>
    <xdr:sp macro="" textlink="">
      <xdr:nvSpPr>
        <xdr:cNvPr id="69" name="Line 5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>
          <a:spLocks noChangeShapeType="1"/>
        </xdr:cNvSpPr>
      </xdr:nvSpPr>
      <xdr:spPr bwMode="auto">
        <a:xfrm>
          <a:off x="4810125" y="39500175"/>
          <a:ext cx="533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323850</xdr:colOff>
      <xdr:row>149</xdr:row>
      <xdr:rowOff>95250</xdr:rowOff>
    </xdr:from>
    <xdr:to>
      <xdr:col>2</xdr:col>
      <xdr:colOff>276225</xdr:colOff>
      <xdr:row>150</xdr:row>
      <xdr:rowOff>180975</xdr:rowOff>
    </xdr:to>
    <xdr:grpSp>
      <xdr:nvGrpSpPr>
        <xdr:cNvPr id="70" name="Group 5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GrpSpPr>
          <a:grpSpLocks/>
        </xdr:cNvGrpSpPr>
      </xdr:nvGrpSpPr>
      <xdr:grpSpPr bwMode="auto">
        <a:xfrm>
          <a:off x="933450" y="31718250"/>
          <a:ext cx="561975" cy="283845"/>
          <a:chOff x="378" y="2551"/>
          <a:chExt cx="56" cy="17"/>
        </a:xfrm>
      </xdr:grpSpPr>
      <xdr:sp macro="" textlink="">
        <xdr:nvSpPr>
          <xdr:cNvPr id="71" name="Line 60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SpPr>
            <a:spLocks noChangeShapeType="1"/>
          </xdr:cNvSpPr>
        </xdr:nvSpPr>
        <xdr:spPr bwMode="auto">
          <a:xfrm>
            <a:off x="388" y="2551"/>
            <a:ext cx="4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2" name="Line 61">
            <a:extLst>
              <a:ext uri="{FF2B5EF4-FFF2-40B4-BE49-F238E27FC236}">
                <a16:creationId xmlns:a16="http://schemas.microsoft.com/office/drawing/2014/main" id="{00000000-0008-0000-0100-000048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81" y="2551"/>
            <a:ext cx="9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3" name="Line 62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8" y="2555"/>
            <a:ext cx="4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</xdr:col>
      <xdr:colOff>247650</xdr:colOff>
      <xdr:row>142</xdr:row>
      <xdr:rowOff>95250</xdr:rowOff>
    </xdr:from>
    <xdr:to>
      <xdr:col>7</xdr:col>
      <xdr:colOff>581025</xdr:colOff>
      <xdr:row>146</xdr:row>
      <xdr:rowOff>85725</xdr:rowOff>
    </xdr:to>
    <xdr:sp macro="" textlink="">
      <xdr:nvSpPr>
        <xdr:cNvPr id="74" name="AutoShape 6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>
          <a:spLocks noChangeArrowheads="1"/>
        </xdr:cNvSpPr>
      </xdr:nvSpPr>
      <xdr:spPr bwMode="auto">
        <a:xfrm>
          <a:off x="1552575" y="39062025"/>
          <a:ext cx="3829050" cy="9048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609599</xdr:colOff>
      <xdr:row>155</xdr:row>
      <xdr:rowOff>114299</xdr:rowOff>
    </xdr:from>
    <xdr:to>
      <xdr:col>7</xdr:col>
      <xdr:colOff>542924</xdr:colOff>
      <xdr:row>158</xdr:row>
      <xdr:rowOff>152399</xdr:rowOff>
    </xdr:to>
    <xdr:grpSp>
      <xdr:nvGrpSpPr>
        <xdr:cNvPr id="75" name="Group 6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GrpSpPr>
          <a:grpSpLocks/>
        </xdr:cNvGrpSpPr>
      </xdr:nvGrpSpPr>
      <xdr:grpSpPr bwMode="auto">
        <a:xfrm>
          <a:off x="4366259" y="33017459"/>
          <a:ext cx="588645" cy="693420"/>
          <a:chOff x="380" y="3534"/>
          <a:chExt cx="75" cy="46"/>
        </a:xfrm>
      </xdr:grpSpPr>
      <xdr:sp macro="" textlink="">
        <xdr:nvSpPr>
          <xdr:cNvPr id="76" name="Line 65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>
            <a:spLocks noChangeShapeType="1"/>
          </xdr:cNvSpPr>
        </xdr:nvSpPr>
        <xdr:spPr bwMode="auto">
          <a:xfrm>
            <a:off x="397" y="3535"/>
            <a:ext cx="5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7" name="Line 66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84" y="3534"/>
            <a:ext cx="14" cy="4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8" name="Line 67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80" y="3558"/>
            <a:ext cx="4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7</xdr:col>
      <xdr:colOff>114300</xdr:colOff>
      <xdr:row>157</xdr:row>
      <xdr:rowOff>114300</xdr:rowOff>
    </xdr:from>
    <xdr:to>
      <xdr:col>7</xdr:col>
      <xdr:colOff>514350</xdr:colOff>
      <xdr:row>157</xdr:row>
      <xdr:rowOff>114300</xdr:rowOff>
    </xdr:to>
    <xdr:sp macro="" textlink="">
      <xdr:nvSpPr>
        <xdr:cNvPr id="79" name="Line 6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>
          <a:spLocks noChangeShapeType="1"/>
        </xdr:cNvSpPr>
      </xdr:nvSpPr>
      <xdr:spPr bwMode="auto">
        <a:xfrm>
          <a:off x="4914900" y="42348150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285750</xdr:colOff>
      <xdr:row>157</xdr:row>
      <xdr:rowOff>161925</xdr:rowOff>
    </xdr:from>
    <xdr:to>
      <xdr:col>7</xdr:col>
      <xdr:colOff>495300</xdr:colOff>
      <xdr:row>158</xdr:row>
      <xdr:rowOff>123825</xdr:rowOff>
    </xdr:to>
    <xdr:grpSp>
      <xdr:nvGrpSpPr>
        <xdr:cNvPr id="80" name="Group 6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GrpSpPr>
          <a:grpSpLocks/>
        </xdr:cNvGrpSpPr>
      </xdr:nvGrpSpPr>
      <xdr:grpSpPr bwMode="auto">
        <a:xfrm>
          <a:off x="4697730" y="33491805"/>
          <a:ext cx="209550" cy="190500"/>
          <a:chOff x="380" y="3534"/>
          <a:chExt cx="75" cy="46"/>
        </a:xfrm>
      </xdr:grpSpPr>
      <xdr:sp macro="" textlink="">
        <xdr:nvSpPr>
          <xdr:cNvPr id="81" name="Line 70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>
            <a:spLocks noChangeShapeType="1"/>
          </xdr:cNvSpPr>
        </xdr:nvSpPr>
        <xdr:spPr bwMode="auto">
          <a:xfrm>
            <a:off x="397" y="3535"/>
            <a:ext cx="5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2" name="Line 71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84" y="3534"/>
            <a:ext cx="14" cy="4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3" name="Line 72">
            <a:extLst>
              <a:ext uri="{FF2B5EF4-FFF2-40B4-BE49-F238E27FC236}">
                <a16:creationId xmlns:a16="http://schemas.microsoft.com/office/drawing/2014/main" id="{00000000-0008-0000-0100-000053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80" y="3558"/>
            <a:ext cx="4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4</xdr:col>
      <xdr:colOff>142875</xdr:colOff>
      <xdr:row>161</xdr:row>
      <xdr:rowOff>95250</xdr:rowOff>
    </xdr:from>
    <xdr:to>
      <xdr:col>4</xdr:col>
      <xdr:colOff>466725</xdr:colOff>
      <xdr:row>161</xdr:row>
      <xdr:rowOff>95250</xdr:rowOff>
    </xdr:to>
    <xdr:sp macro="" textlink="">
      <xdr:nvSpPr>
        <xdr:cNvPr id="84" name="Line 7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>
          <a:spLocks noChangeShapeType="1"/>
        </xdr:cNvSpPr>
      </xdr:nvSpPr>
      <xdr:spPr bwMode="auto">
        <a:xfrm>
          <a:off x="2867025" y="432054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9525</xdr:colOff>
      <xdr:row>160</xdr:row>
      <xdr:rowOff>19050</xdr:rowOff>
    </xdr:from>
    <xdr:to>
      <xdr:col>4</xdr:col>
      <xdr:colOff>619125</xdr:colOff>
      <xdr:row>163</xdr:row>
      <xdr:rowOff>0</xdr:rowOff>
    </xdr:to>
    <xdr:sp macro="" textlink="">
      <xdr:nvSpPr>
        <xdr:cNvPr id="85" name="AutoShape 74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>
          <a:spLocks noChangeArrowheads="1"/>
        </xdr:cNvSpPr>
      </xdr:nvSpPr>
      <xdr:spPr bwMode="auto">
        <a:xfrm>
          <a:off x="2733675" y="42891075"/>
          <a:ext cx="600075" cy="714375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600075</xdr:colOff>
      <xdr:row>160</xdr:row>
      <xdr:rowOff>9525</xdr:rowOff>
    </xdr:from>
    <xdr:to>
      <xdr:col>5</xdr:col>
      <xdr:colOff>342900</xdr:colOff>
      <xdr:row>160</xdr:row>
      <xdr:rowOff>9525</xdr:rowOff>
    </xdr:to>
    <xdr:sp macro="" textlink="">
      <xdr:nvSpPr>
        <xdr:cNvPr id="86" name="Line 7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>
          <a:spLocks noChangeShapeType="1"/>
        </xdr:cNvSpPr>
      </xdr:nvSpPr>
      <xdr:spPr bwMode="auto">
        <a:xfrm>
          <a:off x="3324225" y="42881550"/>
          <a:ext cx="352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9525</xdr:colOff>
      <xdr:row>161</xdr:row>
      <xdr:rowOff>161925</xdr:rowOff>
    </xdr:from>
    <xdr:to>
      <xdr:col>8</xdr:col>
      <xdr:colOff>0</xdr:colOff>
      <xdr:row>163</xdr:row>
      <xdr:rowOff>28575</xdr:rowOff>
    </xdr:to>
    <xdr:grpSp>
      <xdr:nvGrpSpPr>
        <xdr:cNvPr id="87" name="Group 7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GrpSpPr>
          <a:grpSpLocks/>
        </xdr:cNvGrpSpPr>
      </xdr:nvGrpSpPr>
      <xdr:grpSpPr bwMode="auto">
        <a:xfrm>
          <a:off x="4421505" y="34345245"/>
          <a:ext cx="600075" cy="346710"/>
          <a:chOff x="380" y="3534"/>
          <a:chExt cx="75" cy="46"/>
        </a:xfrm>
      </xdr:grpSpPr>
      <xdr:sp macro="" textlink="">
        <xdr:nvSpPr>
          <xdr:cNvPr id="88" name="Line 77">
            <a:extLst>
              <a:ext uri="{FF2B5EF4-FFF2-40B4-BE49-F238E27FC236}">
                <a16:creationId xmlns:a16="http://schemas.microsoft.com/office/drawing/2014/main" id="{00000000-0008-0000-0100-000058000000}"/>
              </a:ext>
            </a:extLst>
          </xdr:cNvPr>
          <xdr:cNvSpPr>
            <a:spLocks noChangeShapeType="1"/>
          </xdr:cNvSpPr>
        </xdr:nvSpPr>
        <xdr:spPr bwMode="auto">
          <a:xfrm>
            <a:off x="397" y="3535"/>
            <a:ext cx="5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9" name="Line 78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84" y="3534"/>
            <a:ext cx="14" cy="4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0" name="Line 79">
            <a:extLst>
              <a:ext uri="{FF2B5EF4-FFF2-40B4-BE49-F238E27FC236}">
                <a16:creationId xmlns:a16="http://schemas.microsoft.com/office/drawing/2014/main" id="{00000000-0008-0000-0100-00005A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80" y="3558"/>
            <a:ext cx="4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161</xdr:row>
      <xdr:rowOff>95250</xdr:rowOff>
    </xdr:from>
    <xdr:to>
      <xdr:col>8</xdr:col>
      <xdr:colOff>9525</xdr:colOff>
      <xdr:row>161</xdr:row>
      <xdr:rowOff>95250</xdr:rowOff>
    </xdr:to>
    <xdr:sp macro="" textlink="">
      <xdr:nvSpPr>
        <xdr:cNvPr id="91" name="Line 8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>
          <a:spLocks noChangeShapeType="1"/>
        </xdr:cNvSpPr>
      </xdr:nvSpPr>
      <xdr:spPr bwMode="auto">
        <a:xfrm>
          <a:off x="4800600" y="43205400"/>
          <a:ext cx="1057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193</xdr:row>
      <xdr:rowOff>123825</xdr:rowOff>
    </xdr:from>
    <xdr:to>
      <xdr:col>2</xdr:col>
      <xdr:colOff>190500</xdr:colOff>
      <xdr:row>193</xdr:row>
      <xdr:rowOff>123825</xdr:rowOff>
    </xdr:to>
    <xdr:sp macro="" textlink="">
      <xdr:nvSpPr>
        <xdr:cNvPr id="92" name="Line 8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>
          <a:spLocks noChangeShapeType="1"/>
        </xdr:cNvSpPr>
      </xdr:nvSpPr>
      <xdr:spPr bwMode="auto">
        <a:xfrm>
          <a:off x="1304925" y="50025300"/>
          <a:ext cx="190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285750</xdr:colOff>
      <xdr:row>193</xdr:row>
      <xdr:rowOff>104775</xdr:rowOff>
    </xdr:from>
    <xdr:to>
      <xdr:col>2</xdr:col>
      <xdr:colOff>504825</xdr:colOff>
      <xdr:row>193</xdr:row>
      <xdr:rowOff>104775</xdr:rowOff>
    </xdr:to>
    <xdr:sp macro="" textlink="">
      <xdr:nvSpPr>
        <xdr:cNvPr id="93" name="Line 8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>
          <a:spLocks noChangeShapeType="1"/>
        </xdr:cNvSpPr>
      </xdr:nvSpPr>
      <xdr:spPr bwMode="auto">
        <a:xfrm flipV="1">
          <a:off x="1590675" y="50006250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66675</xdr:colOff>
      <xdr:row>193</xdr:row>
      <xdr:rowOff>95250</xdr:rowOff>
    </xdr:from>
    <xdr:to>
      <xdr:col>3</xdr:col>
      <xdr:colOff>457200</xdr:colOff>
      <xdr:row>193</xdr:row>
      <xdr:rowOff>95250</xdr:rowOff>
    </xdr:to>
    <xdr:sp macro="" textlink="">
      <xdr:nvSpPr>
        <xdr:cNvPr id="94" name="Line 8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>
          <a:spLocks noChangeShapeType="1"/>
        </xdr:cNvSpPr>
      </xdr:nvSpPr>
      <xdr:spPr bwMode="auto">
        <a:xfrm>
          <a:off x="2057400" y="49996725"/>
          <a:ext cx="390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9525</xdr:colOff>
      <xdr:row>193</xdr:row>
      <xdr:rowOff>95250</xdr:rowOff>
    </xdr:from>
    <xdr:to>
      <xdr:col>4</xdr:col>
      <xdr:colOff>180975</xdr:colOff>
      <xdr:row>193</xdr:row>
      <xdr:rowOff>95250</xdr:rowOff>
    </xdr:to>
    <xdr:sp macro="" textlink="">
      <xdr:nvSpPr>
        <xdr:cNvPr id="95" name="Line 8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>
          <a:spLocks noChangeShapeType="1"/>
        </xdr:cNvSpPr>
      </xdr:nvSpPr>
      <xdr:spPr bwMode="auto">
        <a:xfrm>
          <a:off x="2733675" y="49996725"/>
          <a:ext cx="1714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238125</xdr:colOff>
      <xdr:row>191</xdr:row>
      <xdr:rowOff>123825</xdr:rowOff>
    </xdr:from>
    <xdr:to>
      <xdr:col>5</xdr:col>
      <xdr:colOff>381000</xdr:colOff>
      <xdr:row>195</xdr:row>
      <xdr:rowOff>85725</xdr:rowOff>
    </xdr:to>
    <xdr:sp macro="" textlink="">
      <xdr:nvSpPr>
        <xdr:cNvPr id="96" name="AutoShape 8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>
          <a:spLocks noChangeArrowheads="1"/>
        </xdr:cNvSpPr>
      </xdr:nvSpPr>
      <xdr:spPr bwMode="auto">
        <a:xfrm>
          <a:off x="1543050" y="49625250"/>
          <a:ext cx="2171700" cy="80010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10</xdr:col>
      <xdr:colOff>205740</xdr:colOff>
      <xdr:row>1</xdr:row>
      <xdr:rowOff>83820</xdr:rowOff>
    </xdr:from>
    <xdr:to>
      <xdr:col>11</xdr:col>
      <xdr:colOff>525886</xdr:colOff>
      <xdr:row>2</xdr:row>
      <xdr:rowOff>182880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DCB8858-2FFA-4CAD-A5F7-F42E67ABF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266700"/>
          <a:ext cx="929746" cy="281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lasysdesign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lasysdesig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1"/>
  <sheetViews>
    <sheetView tabSelected="1" workbookViewId="0">
      <selection activeCell="Q2" sqref="Q2"/>
    </sheetView>
  </sheetViews>
  <sheetFormatPr defaultColWidth="9.109375" defaultRowHeight="14.4" x14ac:dyDescent="0.3"/>
  <cols>
    <col min="1" max="1" width="4.109375" customWidth="1"/>
    <col min="5" max="5" width="11.44140625" customWidth="1"/>
    <col min="6" max="6" width="3.88671875" customWidth="1"/>
    <col min="7" max="7" width="10.33203125" bestFit="1" customWidth="1"/>
    <col min="8" max="8" width="18.33203125" customWidth="1"/>
    <col min="9" max="9" width="4.5546875" customWidth="1"/>
    <col min="12" max="12" width="21.88671875" customWidth="1"/>
    <col min="13" max="13" width="3.44140625" customWidth="1"/>
    <col min="14" max="14" width="8.44140625" bestFit="1" customWidth="1"/>
    <col min="15" max="15" width="8" customWidth="1"/>
    <col min="25" max="25" width="8.44140625" customWidth="1"/>
    <col min="26" max="26" width="9.109375" hidden="1" customWidth="1"/>
    <col min="27" max="27" width="24.88671875" bestFit="1" customWidth="1"/>
  </cols>
  <sheetData>
    <row r="1" spans="1:33" ht="21.6" thickTop="1" x14ac:dyDescent="0.4">
      <c r="A1" s="124"/>
      <c r="B1" s="125"/>
      <c r="C1" s="125"/>
      <c r="D1" s="125"/>
      <c r="E1" s="125"/>
      <c r="F1" s="125"/>
      <c r="G1" s="126" t="s">
        <v>297</v>
      </c>
      <c r="H1" s="127"/>
      <c r="I1" s="125"/>
      <c r="J1" s="125"/>
      <c r="K1" s="125"/>
      <c r="L1" s="164" t="s">
        <v>312</v>
      </c>
      <c r="M1" s="125"/>
      <c r="N1" s="125"/>
      <c r="O1" s="128"/>
    </row>
    <row r="2" spans="1:33" ht="21" x14ac:dyDescent="0.4">
      <c r="A2" s="159"/>
      <c r="B2" s="160"/>
      <c r="C2" s="160"/>
      <c r="D2" s="160"/>
      <c r="E2" s="160"/>
      <c r="F2" s="160"/>
      <c r="G2" s="161"/>
      <c r="H2" s="162"/>
      <c r="I2" s="160"/>
      <c r="J2" s="160"/>
      <c r="K2" s="160"/>
      <c r="L2" s="160" t="s">
        <v>313</v>
      </c>
      <c r="M2" s="160"/>
      <c r="N2" s="160"/>
      <c r="O2" s="163"/>
    </row>
    <row r="3" spans="1:33" ht="21" x14ac:dyDescent="0.4">
      <c r="A3" s="159"/>
      <c r="B3" s="160"/>
      <c r="C3" s="160"/>
      <c r="D3" s="160"/>
      <c r="E3" s="160"/>
      <c r="F3" s="160"/>
      <c r="G3" s="161"/>
      <c r="H3" s="162"/>
      <c r="I3" s="160"/>
      <c r="J3" s="160"/>
      <c r="K3" s="160"/>
      <c r="L3" s="160"/>
      <c r="M3" s="160"/>
      <c r="N3" s="160"/>
      <c r="O3" s="163"/>
    </row>
    <row r="4" spans="1:33" ht="16.5" customHeight="1" x14ac:dyDescent="0.3">
      <c r="A4" s="147" t="s">
        <v>0</v>
      </c>
      <c r="B4" s="148"/>
      <c r="C4" s="103"/>
      <c r="D4" s="103"/>
      <c r="E4" s="104"/>
      <c r="F4" s="103"/>
      <c r="G4" s="103"/>
      <c r="H4" s="108"/>
      <c r="I4" s="108"/>
      <c r="J4" s="108"/>
      <c r="K4" s="108"/>
      <c r="L4" s="108"/>
      <c r="M4" s="108"/>
      <c r="N4" s="107"/>
      <c r="O4" s="109"/>
      <c r="AA4" s="81" t="s">
        <v>274</v>
      </c>
      <c r="AB4" s="81" t="s">
        <v>277</v>
      </c>
      <c r="AC4" s="81" t="s">
        <v>289</v>
      </c>
      <c r="AD4" s="81" t="s">
        <v>306</v>
      </c>
      <c r="AE4" s="87" t="s">
        <v>278</v>
      </c>
      <c r="AF4" s="81" t="s">
        <v>290</v>
      </c>
      <c r="AG4" s="81" t="s">
        <v>279</v>
      </c>
    </row>
    <row r="5" spans="1:33" ht="15.6" x14ac:dyDescent="0.3">
      <c r="A5" s="106"/>
      <c r="B5" s="103"/>
      <c r="C5" s="103"/>
      <c r="D5" s="103"/>
      <c r="E5" s="103"/>
      <c r="F5" s="113"/>
      <c r="G5" s="103"/>
      <c r="H5" s="103"/>
      <c r="I5" s="103"/>
      <c r="J5" s="103"/>
      <c r="K5" s="103"/>
      <c r="L5" s="103"/>
      <c r="M5" s="103"/>
      <c r="N5" s="107"/>
      <c r="O5" s="109"/>
      <c r="AA5" s="82" t="s">
        <v>280</v>
      </c>
      <c r="AB5" s="83">
        <v>100</v>
      </c>
      <c r="AC5" s="84">
        <v>3.9300000000000003E-3</v>
      </c>
      <c r="AD5" s="85">
        <v>234</v>
      </c>
      <c r="AE5" s="85">
        <v>1083</v>
      </c>
      <c r="AF5" s="86">
        <v>1.72</v>
      </c>
      <c r="AG5" s="86">
        <v>3.42</v>
      </c>
    </row>
    <row r="6" spans="1:33" ht="15.6" x14ac:dyDescent="0.3">
      <c r="A6" s="114">
        <v>1</v>
      </c>
      <c r="B6" s="103" t="s">
        <v>1</v>
      </c>
      <c r="C6" s="103"/>
      <c r="D6" s="103"/>
      <c r="E6" s="103"/>
      <c r="F6" s="104" t="s">
        <v>2</v>
      </c>
      <c r="G6" s="149" t="s">
        <v>286</v>
      </c>
      <c r="H6" s="150"/>
      <c r="I6" s="104">
        <v>18</v>
      </c>
      <c r="J6" s="103" t="s">
        <v>38</v>
      </c>
      <c r="K6" s="103"/>
      <c r="L6" s="103"/>
      <c r="M6" s="104" t="s">
        <v>2</v>
      </c>
      <c r="N6" s="70">
        <v>100</v>
      </c>
      <c r="O6" s="105" t="s">
        <v>33</v>
      </c>
      <c r="AA6" s="82" t="s">
        <v>292</v>
      </c>
      <c r="AB6" s="83">
        <v>97</v>
      </c>
      <c r="AC6" s="84">
        <v>3.81E-3</v>
      </c>
      <c r="AD6" s="85">
        <v>242</v>
      </c>
      <c r="AE6" s="85">
        <v>1084</v>
      </c>
      <c r="AF6" s="86">
        <v>1.78</v>
      </c>
      <c r="AG6" s="86">
        <v>3.42</v>
      </c>
    </row>
    <row r="7" spans="1:33" ht="15.6" x14ac:dyDescent="0.3">
      <c r="A7" s="106"/>
      <c r="B7" s="103"/>
      <c r="C7" s="103"/>
      <c r="D7" s="103"/>
      <c r="E7" s="103"/>
      <c r="F7" s="113"/>
      <c r="G7" s="103"/>
      <c r="H7" s="103"/>
      <c r="I7" s="103"/>
      <c r="J7" s="103"/>
      <c r="K7" s="103"/>
      <c r="L7" s="103"/>
      <c r="M7" s="103"/>
      <c r="N7" s="103"/>
      <c r="O7" s="105"/>
      <c r="AA7" s="82" t="s">
        <v>281</v>
      </c>
      <c r="AB7" s="83">
        <v>40</v>
      </c>
      <c r="AC7" s="84">
        <v>3.7799999999999999E-3</v>
      </c>
      <c r="AD7" s="85">
        <v>245</v>
      </c>
      <c r="AE7" s="85">
        <v>1084</v>
      </c>
      <c r="AF7" s="86">
        <v>4.4000000000000004</v>
      </c>
      <c r="AG7" s="86">
        <v>3.85</v>
      </c>
    </row>
    <row r="8" spans="1:33" ht="15.6" x14ac:dyDescent="0.3">
      <c r="A8" s="114">
        <v>2</v>
      </c>
      <c r="B8" s="108" t="s">
        <v>3</v>
      </c>
      <c r="C8" s="103"/>
      <c r="D8" s="103"/>
      <c r="E8" s="104"/>
      <c r="F8" s="104" t="s">
        <v>2</v>
      </c>
      <c r="G8" s="70">
        <v>132</v>
      </c>
      <c r="H8" s="103" t="s">
        <v>4</v>
      </c>
      <c r="I8" s="104">
        <v>19</v>
      </c>
      <c r="J8" s="103" t="s">
        <v>39</v>
      </c>
      <c r="K8" s="103"/>
      <c r="L8" s="103"/>
      <c r="M8" s="104" t="s">
        <v>2</v>
      </c>
      <c r="N8" s="70">
        <v>50</v>
      </c>
      <c r="O8" s="105" t="s">
        <v>33</v>
      </c>
      <c r="AA8" s="82" t="s">
        <v>281</v>
      </c>
      <c r="AB8" s="83">
        <v>30</v>
      </c>
      <c r="AC8" s="84">
        <v>3.7799999999999999E-3</v>
      </c>
      <c r="AD8" s="85">
        <v>245</v>
      </c>
      <c r="AE8" s="85">
        <v>1084</v>
      </c>
      <c r="AF8" s="86">
        <v>5.86</v>
      </c>
      <c r="AG8" s="86">
        <v>3.85</v>
      </c>
    </row>
    <row r="9" spans="1:33" ht="15.6" x14ac:dyDescent="0.3">
      <c r="A9" s="114"/>
      <c r="B9" s="108"/>
      <c r="C9" s="115"/>
      <c r="D9" s="103"/>
      <c r="E9" s="103"/>
      <c r="F9" s="103"/>
      <c r="G9" s="104"/>
      <c r="H9" s="103"/>
      <c r="I9" s="103"/>
      <c r="J9" s="103"/>
      <c r="K9" s="103"/>
      <c r="L9" s="103"/>
      <c r="M9" s="103"/>
      <c r="N9" s="103"/>
      <c r="O9" s="105"/>
      <c r="AA9" s="82" t="s">
        <v>282</v>
      </c>
      <c r="AB9" s="83">
        <v>20</v>
      </c>
      <c r="AC9" s="84">
        <v>3.7799999999999999E-3</v>
      </c>
      <c r="AD9" s="85">
        <v>245</v>
      </c>
      <c r="AE9" s="85">
        <v>1084</v>
      </c>
      <c r="AF9" s="86">
        <v>8.6199999999999992</v>
      </c>
      <c r="AG9" s="86">
        <v>3.85</v>
      </c>
    </row>
    <row r="10" spans="1:33" ht="18" x14ac:dyDescent="0.4">
      <c r="A10" s="114">
        <v>3</v>
      </c>
      <c r="B10" s="108" t="s">
        <v>5</v>
      </c>
      <c r="C10" s="103"/>
      <c r="D10" s="103"/>
      <c r="E10" s="104"/>
      <c r="F10" s="104" t="s">
        <v>2</v>
      </c>
      <c r="G10" s="70">
        <v>31.5</v>
      </c>
      <c r="H10" s="103" t="s">
        <v>6</v>
      </c>
      <c r="I10" s="104">
        <v>20</v>
      </c>
      <c r="J10" s="103" t="s">
        <v>40</v>
      </c>
      <c r="K10" s="103"/>
      <c r="L10" s="103"/>
      <c r="M10" s="103"/>
      <c r="N10" s="70">
        <v>12</v>
      </c>
      <c r="O10" s="105" t="s">
        <v>33</v>
      </c>
      <c r="AA10" s="82" t="s">
        <v>283</v>
      </c>
      <c r="AB10" s="83">
        <v>61</v>
      </c>
      <c r="AC10" s="84">
        <v>4.0299999999999997E-3</v>
      </c>
      <c r="AD10" s="85">
        <v>228</v>
      </c>
      <c r="AE10" s="85">
        <v>657</v>
      </c>
      <c r="AF10" s="86">
        <v>2.86</v>
      </c>
      <c r="AG10" s="86">
        <v>2.56</v>
      </c>
    </row>
    <row r="11" spans="1:33" ht="15.6" x14ac:dyDescent="0.3">
      <c r="A11" s="114"/>
      <c r="B11" s="103"/>
      <c r="C11" s="103"/>
      <c r="D11" s="103"/>
      <c r="E11" s="103"/>
      <c r="F11" s="103"/>
      <c r="G11" s="104"/>
      <c r="H11" s="103"/>
      <c r="I11" s="103"/>
      <c r="J11" s="103"/>
      <c r="K11" s="103"/>
      <c r="L11" s="103"/>
      <c r="M11" s="103"/>
      <c r="N11" s="103"/>
      <c r="O11" s="105"/>
      <c r="AA11" s="82" t="s">
        <v>294</v>
      </c>
      <c r="AB11" s="83">
        <v>53.5</v>
      </c>
      <c r="AC11" s="84">
        <v>3.5300000000000002E-3</v>
      </c>
      <c r="AD11" s="85">
        <v>263</v>
      </c>
      <c r="AE11" s="85">
        <v>652</v>
      </c>
      <c r="AF11" s="86">
        <v>3.22</v>
      </c>
      <c r="AG11" s="86">
        <v>2.6</v>
      </c>
    </row>
    <row r="12" spans="1:33" ht="18" x14ac:dyDescent="0.4">
      <c r="A12" s="114">
        <v>4</v>
      </c>
      <c r="B12" s="108" t="s">
        <v>7</v>
      </c>
      <c r="C12" s="103"/>
      <c r="D12" s="103"/>
      <c r="E12" s="104"/>
      <c r="F12" s="104" t="s">
        <v>2</v>
      </c>
      <c r="G12" s="70">
        <v>1</v>
      </c>
      <c r="H12" s="103" t="s">
        <v>8</v>
      </c>
      <c r="I12" s="104">
        <v>21</v>
      </c>
      <c r="J12" s="103" t="s">
        <v>41</v>
      </c>
      <c r="K12" s="103"/>
      <c r="L12" s="103"/>
      <c r="M12" s="104" t="s">
        <v>2</v>
      </c>
      <c r="N12" s="71">
        <f>(G40*G30+G32*N40)+N10</f>
        <v>3162</v>
      </c>
      <c r="O12" s="105" t="s">
        <v>33</v>
      </c>
      <c r="AA12" s="82" t="s">
        <v>284</v>
      </c>
      <c r="AB12" s="83">
        <v>52.5</v>
      </c>
      <c r="AC12" s="84">
        <v>3.47E-3</v>
      </c>
      <c r="AD12" s="85">
        <v>268</v>
      </c>
      <c r="AE12" s="85">
        <v>654</v>
      </c>
      <c r="AF12" s="86">
        <v>3.28</v>
      </c>
      <c r="AG12" s="86">
        <v>2.6</v>
      </c>
    </row>
    <row r="13" spans="1:33" ht="15.6" x14ac:dyDescent="0.3">
      <c r="A13" s="114"/>
      <c r="B13" s="108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5"/>
      <c r="AA13" s="82" t="s">
        <v>285</v>
      </c>
      <c r="AB13" s="83">
        <v>20.3</v>
      </c>
      <c r="AC13" s="84">
        <v>3.5999999999999999E-3</v>
      </c>
      <c r="AD13" s="85">
        <v>258</v>
      </c>
      <c r="AE13" s="85">
        <v>657</v>
      </c>
      <c r="AF13" s="86">
        <v>8.48</v>
      </c>
      <c r="AG13" s="86">
        <v>3.58</v>
      </c>
    </row>
    <row r="14" spans="1:33" ht="18.600000000000001" x14ac:dyDescent="0.4">
      <c r="A14" s="114">
        <v>5</v>
      </c>
      <c r="B14" s="108" t="s">
        <v>9</v>
      </c>
      <c r="C14" s="103"/>
      <c r="D14" s="103"/>
      <c r="E14" s="104"/>
      <c r="F14" s="104" t="s">
        <v>2</v>
      </c>
      <c r="G14" s="138">
        <f>IF(G6=AA5,AE5,IF(G6=AA6,AE6,IF(G6=AA7,AE7,IF(G6=AA8,AE8,IF(G6=AA9,AE9,IF(G6=AA10,AE10,IF(G6=AA11,AE11,IF(G6=AA12,AE12,IF(G6=AA13,AE13,IF(G6=AA14,AE14,IF(G6=AA15,AE15,IF(G6=AA16,AE16,IF(G6=AA17,AE17,)))))))))))))</f>
        <v>1510</v>
      </c>
      <c r="H14" s="116" t="s">
        <v>10</v>
      </c>
      <c r="I14" s="104">
        <v>22</v>
      </c>
      <c r="J14" s="103" t="s">
        <v>42</v>
      </c>
      <c r="K14" s="103"/>
      <c r="L14" s="103"/>
      <c r="M14" s="103"/>
      <c r="N14" s="103"/>
      <c r="O14" s="105"/>
      <c r="AA14" s="82" t="s">
        <v>286</v>
      </c>
      <c r="AB14" s="83">
        <v>10.8</v>
      </c>
      <c r="AC14" s="84">
        <v>1.6000000000000001E-3</v>
      </c>
      <c r="AD14" s="85">
        <v>605</v>
      </c>
      <c r="AE14" s="85">
        <v>1510</v>
      </c>
      <c r="AF14" s="86">
        <v>15.9</v>
      </c>
      <c r="AG14" s="86">
        <v>3.28</v>
      </c>
    </row>
    <row r="15" spans="1:33" ht="15.6" x14ac:dyDescent="0.3">
      <c r="A15" s="114"/>
      <c r="B15" s="104"/>
      <c r="C15" s="108"/>
      <c r="D15" s="103"/>
      <c r="E15" s="103"/>
      <c r="F15" s="103"/>
      <c r="G15" s="103"/>
      <c r="H15" s="103"/>
      <c r="I15" s="103"/>
      <c r="J15" s="103" t="s">
        <v>43</v>
      </c>
      <c r="K15" s="103"/>
      <c r="L15" s="103"/>
      <c r="M15" s="104"/>
      <c r="N15" s="70">
        <v>0</v>
      </c>
      <c r="O15" s="105"/>
      <c r="AA15" s="82" t="s">
        <v>287</v>
      </c>
      <c r="AB15" s="83">
        <v>9.8000000000000007</v>
      </c>
      <c r="AC15" s="84">
        <v>1.6000000000000001E-3</v>
      </c>
      <c r="AD15" s="85">
        <v>605</v>
      </c>
      <c r="AE15" s="85">
        <v>1400</v>
      </c>
      <c r="AF15" s="86">
        <v>17.5</v>
      </c>
      <c r="AG15" s="86">
        <v>4.4400000000000004</v>
      </c>
    </row>
    <row r="16" spans="1:33" ht="18.600000000000001" x14ac:dyDescent="0.4">
      <c r="A16" s="114">
        <v>6</v>
      </c>
      <c r="B16" s="103" t="s">
        <v>11</v>
      </c>
      <c r="C16" s="103"/>
      <c r="D16" s="103"/>
      <c r="E16" s="103"/>
      <c r="F16" s="104" t="s">
        <v>2</v>
      </c>
      <c r="G16" s="70">
        <v>50</v>
      </c>
      <c r="H16" s="116" t="s">
        <v>10</v>
      </c>
      <c r="I16" s="103"/>
      <c r="J16" s="108" t="s">
        <v>298</v>
      </c>
      <c r="K16" s="103"/>
      <c r="L16" s="103"/>
      <c r="M16" s="104"/>
      <c r="N16" s="70">
        <v>1</v>
      </c>
      <c r="O16" s="105"/>
      <c r="AA16" s="82" t="s">
        <v>288</v>
      </c>
      <c r="AB16" s="83">
        <v>8.6</v>
      </c>
      <c r="AC16" s="84">
        <v>3.2000000000000002E-3</v>
      </c>
      <c r="AD16" s="85">
        <v>293</v>
      </c>
      <c r="AE16" s="85">
        <v>419</v>
      </c>
      <c r="AF16" s="86">
        <v>20.100000000000001</v>
      </c>
      <c r="AG16" s="86">
        <v>3.93</v>
      </c>
    </row>
    <row r="17" spans="1:33" ht="15.6" x14ac:dyDescent="0.3">
      <c r="A17" s="106"/>
      <c r="B17" s="103"/>
      <c r="C17" s="103"/>
      <c r="D17" s="103"/>
      <c r="E17" s="103"/>
      <c r="F17" s="103"/>
      <c r="G17" s="103"/>
      <c r="H17" s="103"/>
      <c r="I17" s="103"/>
      <c r="J17" s="108" t="s">
        <v>44</v>
      </c>
      <c r="K17" s="108"/>
      <c r="L17" s="108"/>
      <c r="M17" s="104"/>
      <c r="N17" s="70">
        <v>1</v>
      </c>
      <c r="O17" s="105"/>
      <c r="AA17" s="82" t="s">
        <v>291</v>
      </c>
      <c r="AB17" s="83">
        <v>2.4</v>
      </c>
      <c r="AC17" s="84">
        <v>1.2999999999999999E-3</v>
      </c>
      <c r="AD17" s="85">
        <v>749</v>
      </c>
      <c r="AE17" s="85">
        <v>1400</v>
      </c>
      <c r="AF17" s="86">
        <v>72</v>
      </c>
      <c r="AG17" s="86">
        <v>4.03</v>
      </c>
    </row>
    <row r="18" spans="1:33" ht="18.600000000000001" x14ac:dyDescent="0.4">
      <c r="A18" s="114">
        <v>7</v>
      </c>
      <c r="B18" s="103" t="s">
        <v>12</v>
      </c>
      <c r="C18" s="103"/>
      <c r="D18" s="103"/>
      <c r="E18" s="103"/>
      <c r="F18" s="104" t="s">
        <v>2</v>
      </c>
      <c r="G18" s="138">
        <v>20</v>
      </c>
      <c r="H18" s="116" t="s">
        <v>10</v>
      </c>
      <c r="I18" s="103"/>
      <c r="J18" s="108" t="s">
        <v>45</v>
      </c>
      <c r="K18" s="108"/>
      <c r="L18" s="108"/>
      <c r="M18" s="104"/>
      <c r="N18" s="70">
        <v>1</v>
      </c>
      <c r="O18" s="105"/>
      <c r="AA18" s="141" t="s">
        <v>307</v>
      </c>
    </row>
    <row r="19" spans="1:33" ht="18.600000000000001" x14ac:dyDescent="0.3">
      <c r="A19" s="106"/>
      <c r="B19" s="103"/>
      <c r="C19" s="103"/>
      <c r="D19" s="103"/>
      <c r="E19" s="103"/>
      <c r="F19" s="104"/>
      <c r="G19" s="104"/>
      <c r="H19" s="116"/>
      <c r="I19" s="103"/>
      <c r="J19" s="108" t="s">
        <v>46</v>
      </c>
      <c r="K19" s="108"/>
      <c r="L19" s="108"/>
      <c r="M19" s="104"/>
      <c r="N19" s="70">
        <v>1</v>
      </c>
      <c r="O19" s="105"/>
      <c r="AA19" s="139">
        <v>50</v>
      </c>
      <c r="AB19" s="139"/>
    </row>
    <row r="20" spans="1:33" ht="15.6" x14ac:dyDescent="0.3">
      <c r="A20" s="114">
        <v>8</v>
      </c>
      <c r="B20" s="108" t="s">
        <v>13</v>
      </c>
      <c r="C20" s="103"/>
      <c r="D20" s="103"/>
      <c r="E20" s="104"/>
      <c r="F20" s="104"/>
      <c r="G20" s="104"/>
      <c r="H20" s="103"/>
      <c r="I20" s="107"/>
      <c r="J20" s="108" t="s">
        <v>293</v>
      </c>
      <c r="K20" s="107"/>
      <c r="L20" s="107"/>
      <c r="M20" s="107"/>
      <c r="N20" s="70">
        <f>SUM(N15:N19)</f>
        <v>4</v>
      </c>
      <c r="O20" s="105"/>
      <c r="AA20" s="139">
        <v>70</v>
      </c>
      <c r="AB20" s="139"/>
    </row>
    <row r="21" spans="1:33" ht="16.2" x14ac:dyDescent="0.35">
      <c r="A21" s="114"/>
      <c r="B21" s="117" t="s">
        <v>14</v>
      </c>
      <c r="C21" s="108"/>
      <c r="D21" s="103"/>
      <c r="E21" s="104"/>
      <c r="F21" s="104" t="s">
        <v>2</v>
      </c>
      <c r="G21" s="138">
        <f>IF(G6=AA5,AC5,IF(G6=AA6,AC6,IF(G6=AA7,AC7,IF(G6=AA8,AC8,IF(G6=AA9,AC9,IF(G6=AA10,AC10,IF(G6=AA11,AC11,IF(G6=AA12,AC12,IF(G6=AA13,AC13,IF(G6=AA14,AC14,IF(G6=AA15,AC15,IF(G6=AA16,AC16,IF(G6=AA17,AC17,)))))))))))))</f>
        <v>1.6000000000000001E-3</v>
      </c>
      <c r="H21" s="103"/>
      <c r="I21" s="104">
        <v>23</v>
      </c>
      <c r="J21" s="103" t="s">
        <v>47</v>
      </c>
      <c r="K21" s="103"/>
      <c r="L21" s="113"/>
      <c r="M21" s="104" t="s">
        <v>2</v>
      </c>
      <c r="N21" s="70">
        <v>3</v>
      </c>
      <c r="O21" s="105" t="s">
        <v>48</v>
      </c>
    </row>
    <row r="22" spans="1:33" ht="18" x14ac:dyDescent="0.4">
      <c r="A22" s="118"/>
      <c r="B22" s="108"/>
      <c r="C22" s="103"/>
      <c r="D22" s="103"/>
      <c r="E22" s="104"/>
      <c r="F22" s="104"/>
      <c r="G22" s="104"/>
      <c r="H22" s="103"/>
      <c r="I22" s="104"/>
      <c r="J22" s="103" t="s">
        <v>49</v>
      </c>
      <c r="K22" s="103"/>
      <c r="L22" s="103"/>
      <c r="M22" s="104" t="s">
        <v>2</v>
      </c>
      <c r="N22" s="70">
        <f>SUM(N15:N19)*N21</f>
        <v>12</v>
      </c>
      <c r="O22" s="105" t="s">
        <v>33</v>
      </c>
    </row>
    <row r="23" spans="1:33" ht="15.6" x14ac:dyDescent="0.3">
      <c r="A23" s="114">
        <v>9</v>
      </c>
      <c r="B23" s="108" t="s">
        <v>15</v>
      </c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5"/>
    </row>
    <row r="24" spans="1:33" ht="16.8" x14ac:dyDescent="0.35">
      <c r="A24" s="114"/>
      <c r="B24" s="117" t="s">
        <v>16</v>
      </c>
      <c r="C24" s="104"/>
      <c r="D24" s="104"/>
      <c r="E24" s="103"/>
      <c r="F24" s="104" t="s">
        <v>2</v>
      </c>
      <c r="G24" s="138">
        <f>IF(G6=AA5,AF5,IF(G6=AA6,AF6,IF(G6=AA7,AF7,IF(G6=AA8,AF8,IF(G6=AA9,AF9,IF(G6=AA10,AF10,IF(G6=AA11,AF11,IF(G6=AA12,AF12,IF(G6=AA13,AF13,IF(G6=AA14,AF14,IF(G6=AA15,AF15,IF(G6=AA16,AF16,IF(G6=AA17,AF17,)))))))))))))</f>
        <v>15.9</v>
      </c>
      <c r="H24" s="119" t="s">
        <v>17</v>
      </c>
      <c r="I24" s="104">
        <v>24</v>
      </c>
      <c r="J24" s="103" t="s">
        <v>50</v>
      </c>
      <c r="K24" s="103"/>
      <c r="L24" s="103"/>
      <c r="M24" s="104" t="s">
        <v>2</v>
      </c>
      <c r="N24" s="71">
        <f>N12+N22</f>
        <v>3174</v>
      </c>
      <c r="O24" s="105" t="s">
        <v>33</v>
      </c>
    </row>
    <row r="25" spans="1:33" ht="18" x14ac:dyDescent="0.4">
      <c r="A25" s="114"/>
      <c r="B25" s="108"/>
      <c r="C25" s="103"/>
      <c r="D25" s="104"/>
      <c r="E25" s="103"/>
      <c r="F25" s="103"/>
      <c r="G25" s="103"/>
      <c r="H25" s="103"/>
      <c r="I25" s="107"/>
      <c r="J25" s="103" t="s">
        <v>51</v>
      </c>
      <c r="K25" s="107"/>
      <c r="L25" s="107"/>
      <c r="M25" s="107"/>
      <c r="N25" s="107"/>
      <c r="O25" s="109"/>
    </row>
    <row r="26" spans="1:33" ht="18.600000000000001" x14ac:dyDescent="0.3">
      <c r="A26" s="114">
        <v>10</v>
      </c>
      <c r="B26" s="108" t="s">
        <v>18</v>
      </c>
      <c r="C26" s="104"/>
      <c r="D26" s="104"/>
      <c r="E26" s="103"/>
      <c r="F26" s="104" t="s">
        <v>2</v>
      </c>
      <c r="G26" s="138">
        <f>IF(G6=AA5,AG5,IF(G6=AA6,AG6,IF(G6=AA7,AG7,IF(G6=AA8,AG8,IF(G6=AA9,AG9,IF(G6=AA10,AG10,IF(G6=AA11,AG11,IF(G6=AA12,AG12,IF(G6=AA13,AG13,IF(G6=AA14,AG14,IF(G6=AA15,AG15,IF(G6=AA16,AG16,IF(G6=AA17,AG17,)))))))))))))</f>
        <v>3.28</v>
      </c>
      <c r="H26" s="103" t="s">
        <v>19</v>
      </c>
      <c r="I26" s="104">
        <v>25</v>
      </c>
      <c r="J26" s="103" t="s">
        <v>54</v>
      </c>
      <c r="K26" s="117"/>
      <c r="L26" s="117"/>
      <c r="M26" s="104" t="s">
        <v>2</v>
      </c>
      <c r="N26" s="72">
        <v>49.12</v>
      </c>
      <c r="O26" s="120" t="s">
        <v>273</v>
      </c>
    </row>
    <row r="27" spans="1:33" ht="15.6" x14ac:dyDescent="0.3">
      <c r="A27" s="114"/>
      <c r="B27" s="108"/>
      <c r="C27" s="103"/>
      <c r="D27" s="104"/>
      <c r="E27" s="103"/>
      <c r="F27" s="103"/>
      <c r="G27" s="103"/>
      <c r="H27" s="103"/>
      <c r="I27" s="104"/>
      <c r="J27" s="103"/>
      <c r="K27" s="103"/>
      <c r="L27" s="103"/>
      <c r="M27" s="103"/>
      <c r="N27" s="103"/>
      <c r="O27" s="105"/>
    </row>
    <row r="28" spans="1:33" ht="19.2" x14ac:dyDescent="0.35">
      <c r="A28" s="114">
        <v>11</v>
      </c>
      <c r="B28" s="121" t="s">
        <v>20</v>
      </c>
      <c r="C28" s="104"/>
      <c r="D28" s="104"/>
      <c r="E28" s="122"/>
      <c r="F28" s="104" t="s">
        <v>2</v>
      </c>
      <c r="G28" s="138">
        <f>IF(G6=AA5,AD5,IF(G6=AA6,AD6,IF(G6=AA7,AD7,IF(G6=AA8,AD8,IF(G6=AA9,AD9,IF(G6=AA10,AD10,IF(G6=AA11,AD11,IF(G6=AA12,AD12,IF(G6=AA13,AD13,IF(G6=AA14,AD14,IF(G6=AA15,AD15,IF(G6=AA16,AD16,IF(G6=AA17,AD17,)))))))))))))</f>
        <v>605</v>
      </c>
      <c r="H28" s="103"/>
      <c r="I28" s="104">
        <v>26</v>
      </c>
      <c r="J28" s="103" t="s">
        <v>55</v>
      </c>
      <c r="K28" s="103"/>
      <c r="L28" s="103"/>
      <c r="M28" s="104" t="s">
        <v>2</v>
      </c>
      <c r="N28" s="70">
        <v>3000</v>
      </c>
      <c r="O28" s="120" t="s">
        <v>273</v>
      </c>
    </row>
    <row r="29" spans="1:33" ht="15.6" x14ac:dyDescent="0.3">
      <c r="A29" s="114"/>
      <c r="B29" s="108"/>
      <c r="C29" s="103"/>
      <c r="D29" s="104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5"/>
    </row>
    <row r="30" spans="1:33" ht="15.6" x14ac:dyDescent="0.3">
      <c r="A30" s="114">
        <v>12</v>
      </c>
      <c r="B30" s="103" t="s">
        <v>32</v>
      </c>
      <c r="C30" s="103"/>
      <c r="D30" s="103"/>
      <c r="E30" s="103"/>
      <c r="F30" s="104" t="s">
        <v>2</v>
      </c>
      <c r="G30" s="70">
        <v>100</v>
      </c>
      <c r="H30" s="103" t="s">
        <v>33</v>
      </c>
      <c r="I30" s="104">
        <v>27</v>
      </c>
      <c r="J30" s="103" t="s">
        <v>56</v>
      </c>
      <c r="K30" s="103"/>
      <c r="L30" s="103"/>
      <c r="M30" s="104" t="s">
        <v>2</v>
      </c>
      <c r="N30" s="72">
        <v>4</v>
      </c>
      <c r="O30" s="105" t="s">
        <v>48</v>
      </c>
    </row>
    <row r="31" spans="1:33" ht="15.6" x14ac:dyDescent="0.3">
      <c r="A31" s="114"/>
      <c r="B31" s="103"/>
      <c r="C31" s="103"/>
      <c r="D31" s="103"/>
      <c r="E31" s="103"/>
      <c r="F31" s="103"/>
      <c r="G31" s="103"/>
      <c r="H31" s="103"/>
      <c r="I31" s="104"/>
      <c r="J31" s="103"/>
      <c r="K31" s="103"/>
      <c r="L31" s="103"/>
      <c r="M31" s="104"/>
      <c r="N31" s="103"/>
      <c r="O31" s="105"/>
    </row>
    <row r="32" spans="1:33" ht="18" x14ac:dyDescent="0.4">
      <c r="A32" s="114">
        <v>13</v>
      </c>
      <c r="B32" s="103" t="s">
        <v>34</v>
      </c>
      <c r="C32" s="103"/>
      <c r="D32" s="103"/>
      <c r="E32" s="103"/>
      <c r="F32" s="104" t="s">
        <v>2</v>
      </c>
      <c r="G32" s="70">
        <v>50</v>
      </c>
      <c r="H32" s="103" t="s">
        <v>33</v>
      </c>
      <c r="I32" s="104">
        <v>28</v>
      </c>
      <c r="J32" s="103" t="s">
        <v>57</v>
      </c>
      <c r="K32" s="103"/>
      <c r="L32" s="103"/>
      <c r="M32" s="104" t="s">
        <v>2</v>
      </c>
      <c r="N32" s="70">
        <v>1</v>
      </c>
      <c r="O32" s="105"/>
    </row>
    <row r="33" spans="1:15" ht="15.6" x14ac:dyDescent="0.3">
      <c r="A33" s="106"/>
      <c r="B33" s="103"/>
      <c r="C33" s="103"/>
      <c r="D33" s="103"/>
      <c r="E33" s="103"/>
      <c r="F33" s="103"/>
      <c r="G33" s="103"/>
      <c r="H33" s="103"/>
      <c r="I33" s="104"/>
      <c r="J33" s="103"/>
      <c r="K33" s="103"/>
      <c r="L33" s="103"/>
      <c r="M33" s="104"/>
      <c r="N33" s="104"/>
      <c r="O33" s="105"/>
    </row>
    <row r="34" spans="1:15" ht="18" x14ac:dyDescent="0.4">
      <c r="A34" s="114">
        <v>14</v>
      </c>
      <c r="B34" s="103" t="s">
        <v>35</v>
      </c>
      <c r="C34" s="103"/>
      <c r="D34" s="103"/>
      <c r="E34" s="103"/>
      <c r="F34" s="104" t="s">
        <v>2</v>
      </c>
      <c r="G34" s="138">
        <f>G30*G32</f>
        <v>5000</v>
      </c>
      <c r="H34" s="103" t="s">
        <v>36</v>
      </c>
      <c r="I34" s="104">
        <v>29</v>
      </c>
      <c r="J34" s="103" t="s">
        <v>58</v>
      </c>
      <c r="K34" s="103"/>
      <c r="L34" s="103"/>
      <c r="M34" s="104" t="s">
        <v>2</v>
      </c>
      <c r="N34" s="70">
        <f>G36</f>
        <v>1</v>
      </c>
      <c r="O34" s="105" t="s">
        <v>48</v>
      </c>
    </row>
    <row r="35" spans="1:15" ht="15.6" x14ac:dyDescent="0.3">
      <c r="A35" s="110"/>
      <c r="B35" s="107"/>
      <c r="C35" s="107"/>
      <c r="D35" s="107"/>
      <c r="E35" s="107"/>
      <c r="F35" s="107"/>
      <c r="G35" s="107"/>
      <c r="H35" s="107"/>
      <c r="I35" s="104"/>
      <c r="J35" s="103"/>
      <c r="K35" s="103"/>
      <c r="L35" s="103"/>
      <c r="M35" s="103"/>
      <c r="N35" s="103"/>
      <c r="O35" s="105"/>
    </row>
    <row r="36" spans="1:15" ht="18" x14ac:dyDescent="0.4">
      <c r="A36" s="114">
        <v>15</v>
      </c>
      <c r="B36" s="103" t="s">
        <v>37</v>
      </c>
      <c r="C36" s="103"/>
      <c r="D36" s="103"/>
      <c r="E36" s="103"/>
      <c r="F36" s="104" t="s">
        <v>2</v>
      </c>
      <c r="G36" s="70">
        <v>1</v>
      </c>
      <c r="H36" s="103" t="s">
        <v>33</v>
      </c>
      <c r="I36" s="104">
        <v>29</v>
      </c>
      <c r="J36" s="103" t="s">
        <v>59</v>
      </c>
      <c r="K36" s="103"/>
      <c r="L36" s="103"/>
      <c r="M36" s="104" t="s">
        <v>2</v>
      </c>
      <c r="N36" s="70">
        <v>0.15</v>
      </c>
      <c r="O36" s="105" t="s">
        <v>48</v>
      </c>
    </row>
    <row r="37" spans="1:15" ht="15.6" x14ac:dyDescent="0.3">
      <c r="A37" s="114"/>
      <c r="B37" s="103"/>
      <c r="C37" s="103"/>
      <c r="D37" s="103"/>
      <c r="E37" s="103"/>
      <c r="F37" s="104"/>
      <c r="G37" s="104"/>
      <c r="H37" s="103"/>
      <c r="I37" s="103"/>
      <c r="J37" s="103"/>
      <c r="K37" s="103"/>
      <c r="L37" s="103"/>
      <c r="M37" s="103"/>
      <c r="N37" s="103"/>
      <c r="O37" s="105"/>
    </row>
    <row r="38" spans="1:15" ht="15.6" x14ac:dyDescent="0.3">
      <c r="A38" s="114">
        <v>16</v>
      </c>
      <c r="B38" s="103" t="s">
        <v>255</v>
      </c>
      <c r="C38" s="103"/>
      <c r="D38" s="103"/>
      <c r="E38" s="103"/>
      <c r="F38" s="104" t="s">
        <v>2</v>
      </c>
      <c r="G38" s="70">
        <v>50</v>
      </c>
      <c r="H38" s="103" t="s">
        <v>256</v>
      </c>
      <c r="I38" s="104">
        <v>30</v>
      </c>
      <c r="J38" s="103" t="s">
        <v>60</v>
      </c>
      <c r="K38" s="103"/>
      <c r="L38" s="103"/>
      <c r="M38" s="104" t="s">
        <v>2</v>
      </c>
      <c r="N38" s="70">
        <v>0.5</v>
      </c>
      <c r="O38" s="105"/>
    </row>
    <row r="39" spans="1:15" ht="15.6" x14ac:dyDescent="0.3">
      <c r="A39" s="114"/>
      <c r="B39" s="103"/>
      <c r="C39" s="103"/>
      <c r="D39" s="103"/>
      <c r="E39" s="103"/>
      <c r="F39" s="104"/>
      <c r="G39" s="103"/>
      <c r="H39" s="103"/>
      <c r="I39" s="104"/>
      <c r="J39" s="103"/>
      <c r="K39" s="103"/>
      <c r="L39" s="103"/>
      <c r="M39" s="104"/>
      <c r="N39" s="103"/>
      <c r="O39" s="105"/>
    </row>
    <row r="40" spans="1:15" ht="15.6" x14ac:dyDescent="0.3">
      <c r="A40" s="114">
        <v>17</v>
      </c>
      <c r="B40" s="123" t="s">
        <v>270</v>
      </c>
      <c r="C40" s="123"/>
      <c r="D40" s="123"/>
      <c r="E40" s="123"/>
      <c r="F40" s="104" t="s">
        <v>2</v>
      </c>
      <c r="G40" s="142">
        <f>ROUND(G30/N30,0)</f>
        <v>25</v>
      </c>
      <c r="H40" s="103"/>
      <c r="I40" s="104">
        <v>31</v>
      </c>
      <c r="J40" s="123" t="s">
        <v>271</v>
      </c>
      <c r="K40" s="123"/>
      <c r="L40" s="123"/>
      <c r="M40" s="104" t="s">
        <v>2</v>
      </c>
      <c r="N40" s="142">
        <f>ROUND(G32/N30,0)</f>
        <v>13</v>
      </c>
      <c r="O40" s="105"/>
    </row>
    <row r="41" spans="1:15" ht="15.6" x14ac:dyDescent="0.3">
      <c r="A41" s="114"/>
      <c r="B41" s="103"/>
      <c r="C41" s="103"/>
      <c r="D41" s="103"/>
      <c r="E41" s="103"/>
      <c r="F41" s="104"/>
      <c r="G41" s="103"/>
      <c r="H41" s="103"/>
      <c r="I41" s="104"/>
      <c r="J41" s="103"/>
      <c r="K41" s="103"/>
      <c r="L41" s="103"/>
      <c r="M41" s="104"/>
      <c r="N41" s="103"/>
      <c r="O41" s="105"/>
    </row>
    <row r="42" spans="1:15" ht="15.6" x14ac:dyDescent="0.3">
      <c r="A42" s="92" t="s">
        <v>251</v>
      </c>
      <c r="B42" s="93"/>
      <c r="C42" s="93"/>
      <c r="D42" s="93"/>
      <c r="E42" s="93"/>
      <c r="F42" s="94"/>
      <c r="G42" s="94"/>
      <c r="H42" s="93"/>
      <c r="I42" s="93"/>
      <c r="J42" s="93"/>
      <c r="K42" s="93"/>
      <c r="L42" s="93"/>
      <c r="M42" s="93"/>
      <c r="N42" s="93"/>
      <c r="O42" s="95"/>
    </row>
    <row r="43" spans="1:15" ht="18" x14ac:dyDescent="0.4">
      <c r="A43" s="96"/>
      <c r="B43" s="93" t="s">
        <v>30</v>
      </c>
      <c r="C43" s="97"/>
      <c r="D43" s="97"/>
      <c r="E43" s="97"/>
      <c r="F43" s="94" t="s">
        <v>2</v>
      </c>
      <c r="G43" s="111">
        <f>G10*SQRT(((G12*G21*G24*10000)/G26)/((LN(1+(G28+G14)/(G28+G16)))))</f>
        <v>231.02260143557814</v>
      </c>
      <c r="H43" s="98" t="s">
        <v>254</v>
      </c>
      <c r="I43" s="97"/>
      <c r="J43" s="93" t="s">
        <v>52</v>
      </c>
      <c r="K43" s="93"/>
      <c r="L43" s="93"/>
      <c r="M43" s="94" t="s">
        <v>2</v>
      </c>
      <c r="N43" s="111">
        <f>Calculations!D140</f>
        <v>3180.9928324222874</v>
      </c>
      <c r="O43" s="99" t="s">
        <v>252</v>
      </c>
    </row>
    <row r="44" spans="1:15" ht="15.6" x14ac:dyDescent="0.3">
      <c r="A44" s="100"/>
      <c r="B44" s="93"/>
      <c r="C44" s="94"/>
      <c r="D44" s="101"/>
      <c r="E44" s="97"/>
      <c r="F44" s="101"/>
      <c r="G44" s="102"/>
      <c r="H44" s="102"/>
      <c r="I44" s="97"/>
      <c r="J44" s="93"/>
      <c r="K44" s="93"/>
      <c r="L44" s="93"/>
      <c r="M44" s="93"/>
      <c r="N44" s="93"/>
      <c r="O44" s="99"/>
    </row>
    <row r="45" spans="1:15" ht="18" x14ac:dyDescent="0.4">
      <c r="A45" s="100"/>
      <c r="B45" s="93" t="s">
        <v>250</v>
      </c>
      <c r="C45" s="97"/>
      <c r="D45" s="97"/>
      <c r="E45" s="97"/>
      <c r="F45" s="101" t="s">
        <v>2</v>
      </c>
      <c r="G45" s="111">
        <f>G43*1.3</f>
        <v>300.32938186625159</v>
      </c>
      <c r="H45" s="93" t="s">
        <v>254</v>
      </c>
      <c r="I45" s="97"/>
      <c r="J45" s="93" t="s">
        <v>53</v>
      </c>
      <c r="K45" s="93"/>
      <c r="L45" s="93"/>
      <c r="M45" s="94" t="s">
        <v>2</v>
      </c>
      <c r="N45" s="111">
        <f>Calculations!D211</f>
        <v>2381.6999999999998</v>
      </c>
      <c r="O45" s="99" t="s">
        <v>252</v>
      </c>
    </row>
    <row r="46" spans="1:15" ht="15.6" x14ac:dyDescent="0.3">
      <c r="A46" s="100"/>
      <c r="B46" s="93"/>
      <c r="C46" s="97"/>
      <c r="D46" s="94" t="s">
        <v>31</v>
      </c>
      <c r="E46" s="97"/>
      <c r="F46" s="101" t="s">
        <v>2</v>
      </c>
      <c r="G46" s="140">
        <v>300</v>
      </c>
      <c r="H46" s="93" t="s">
        <v>254</v>
      </c>
      <c r="I46" s="97"/>
      <c r="J46" s="97"/>
      <c r="K46" s="97"/>
      <c r="L46" s="97"/>
      <c r="M46" s="97"/>
      <c r="N46" s="97"/>
      <c r="O46" s="99"/>
    </row>
    <row r="47" spans="1:15" ht="15.6" x14ac:dyDescent="0.3">
      <c r="A47" s="100"/>
      <c r="B47" s="93"/>
      <c r="C47" s="97"/>
      <c r="D47" s="94"/>
      <c r="E47" s="97"/>
      <c r="F47" s="101"/>
      <c r="G47" s="97"/>
      <c r="H47" s="93"/>
      <c r="I47" s="97"/>
      <c r="J47" s="102" t="s">
        <v>249</v>
      </c>
      <c r="K47" s="97"/>
      <c r="L47" s="97"/>
      <c r="M47" s="101" t="s">
        <v>2</v>
      </c>
      <c r="N47" s="112">
        <f>Calculations!D101</f>
        <v>0.25770791958298783</v>
      </c>
      <c r="O47" s="99" t="s">
        <v>253</v>
      </c>
    </row>
    <row r="48" spans="1:15" ht="15.6" x14ac:dyDescent="0.3">
      <c r="A48" s="100"/>
      <c r="B48" s="102" t="s">
        <v>308</v>
      </c>
      <c r="C48" s="97"/>
      <c r="D48" s="97"/>
      <c r="E48" s="97"/>
      <c r="F48" s="101" t="s">
        <v>2</v>
      </c>
      <c r="G48" s="112">
        <f>Calculations!F112</f>
        <v>4058.8997334320584</v>
      </c>
      <c r="H48" s="97" t="s">
        <v>76</v>
      </c>
      <c r="I48" s="97"/>
      <c r="J48" s="97"/>
      <c r="K48" s="97"/>
      <c r="L48" s="97"/>
      <c r="M48" s="97"/>
      <c r="N48" s="97"/>
      <c r="O48" s="99"/>
    </row>
    <row r="49" spans="1:15" ht="15.6" x14ac:dyDescent="0.3">
      <c r="A49" s="100"/>
      <c r="B49" s="102"/>
      <c r="C49" s="97"/>
      <c r="D49" s="97"/>
      <c r="E49" s="97"/>
      <c r="F49" s="101"/>
      <c r="G49" s="97"/>
      <c r="H49" s="97"/>
      <c r="I49" s="97"/>
      <c r="J49" s="97"/>
      <c r="K49" s="97"/>
      <c r="L49" s="97"/>
      <c r="M49" s="97"/>
      <c r="N49" s="97"/>
      <c r="O49" s="99"/>
    </row>
    <row r="50" spans="1:15" ht="15.6" x14ac:dyDescent="0.3">
      <c r="A50" s="96"/>
      <c r="B50" s="134" t="s">
        <v>248</v>
      </c>
      <c r="C50" s="97"/>
      <c r="D50" s="93"/>
      <c r="E50" s="97"/>
      <c r="F50" s="93"/>
      <c r="G50" s="93"/>
      <c r="H50" s="93"/>
      <c r="I50" s="97"/>
      <c r="J50" s="134" t="s">
        <v>248</v>
      </c>
      <c r="K50" s="97"/>
      <c r="L50" s="93"/>
      <c r="M50" s="93"/>
      <c r="N50" s="97"/>
      <c r="O50" s="99"/>
    </row>
    <row r="51" spans="1:15" ht="16.2" x14ac:dyDescent="0.35">
      <c r="A51" s="96"/>
      <c r="B51" s="137" t="s">
        <v>302</v>
      </c>
      <c r="C51" s="97"/>
      <c r="D51" s="97"/>
      <c r="E51" s="97"/>
      <c r="F51" s="94" t="s">
        <v>2</v>
      </c>
      <c r="G51" s="111">
        <f>IF(G38=Calculations!B20,Calculations!E32,IF(G38=Calculations!B21,Calculations!E33,"Error"))</f>
        <v>734.69924526785462</v>
      </c>
      <c r="H51" s="93" t="s">
        <v>76</v>
      </c>
      <c r="I51" s="97"/>
      <c r="J51" s="137" t="s">
        <v>304</v>
      </c>
      <c r="K51" s="97"/>
      <c r="L51" s="97"/>
      <c r="M51" s="94" t="s">
        <v>2</v>
      </c>
      <c r="N51" s="111">
        <f>IF(G38=Calculations!B36,Calculations!E41,IF(G38=Calculations!B37,Calculations!E42,"Error"))</f>
        <v>2446.6506613655811</v>
      </c>
      <c r="O51" s="99" t="s">
        <v>76</v>
      </c>
    </row>
    <row r="52" spans="1:15" ht="15.6" x14ac:dyDescent="0.3">
      <c r="A52" s="96"/>
      <c r="B52" s="135"/>
      <c r="C52" s="97"/>
      <c r="D52" s="97"/>
      <c r="E52" s="97"/>
      <c r="F52" s="93"/>
      <c r="G52" s="93"/>
      <c r="H52" s="93"/>
      <c r="I52" s="97"/>
      <c r="J52" s="135"/>
      <c r="K52" s="97"/>
      <c r="L52" s="97"/>
      <c r="M52" s="93"/>
      <c r="N52" s="93"/>
      <c r="O52" s="99"/>
    </row>
    <row r="53" spans="1:15" ht="15.6" x14ac:dyDescent="0.3">
      <c r="A53" s="96"/>
      <c r="B53" s="134" t="s">
        <v>222</v>
      </c>
      <c r="C53" s="97"/>
      <c r="D53" s="97"/>
      <c r="E53" s="97"/>
      <c r="F53" s="93"/>
      <c r="G53" s="93"/>
      <c r="H53" s="93"/>
      <c r="I53" s="97"/>
      <c r="J53" s="134" t="s">
        <v>222</v>
      </c>
      <c r="K53" s="97"/>
      <c r="L53" s="97"/>
      <c r="M53" s="93"/>
      <c r="N53" s="93"/>
      <c r="O53" s="99"/>
    </row>
    <row r="54" spans="1:15" ht="20.25" customHeight="1" x14ac:dyDescent="0.4">
      <c r="A54" s="96"/>
      <c r="B54" s="143" t="s">
        <v>303</v>
      </c>
      <c r="C54" s="143"/>
      <c r="D54" s="97"/>
      <c r="E54" s="97"/>
      <c r="F54" s="97" t="s">
        <v>2</v>
      </c>
      <c r="G54" s="144">
        <f>Calculations!G184</f>
        <v>701.20876978108413</v>
      </c>
      <c r="H54" s="135" t="s">
        <v>76</v>
      </c>
      <c r="I54" s="97"/>
      <c r="J54" s="143" t="s">
        <v>305</v>
      </c>
      <c r="K54" s="97"/>
      <c r="L54" s="97"/>
      <c r="M54" s="97" t="s">
        <v>2</v>
      </c>
      <c r="N54" s="144">
        <f>Calculations!G215</f>
        <v>379.05604357542921</v>
      </c>
      <c r="O54" s="99" t="s">
        <v>76</v>
      </c>
    </row>
    <row r="55" spans="1:15" ht="20.25" customHeight="1" x14ac:dyDescent="0.3">
      <c r="A55" s="96"/>
      <c r="B55" s="143"/>
      <c r="C55" s="143"/>
      <c r="D55" s="97"/>
      <c r="E55" s="97"/>
      <c r="F55" s="97"/>
      <c r="G55" s="135"/>
      <c r="H55" s="135"/>
      <c r="I55" s="97"/>
      <c r="J55" s="143"/>
      <c r="K55" s="97"/>
      <c r="L55" s="97"/>
      <c r="M55" s="135"/>
      <c r="N55" s="97"/>
      <c r="O55" s="99"/>
    </row>
    <row r="56" spans="1:15" ht="19.8" thickBot="1" x14ac:dyDescent="0.5">
      <c r="A56" s="129"/>
      <c r="B56" s="136"/>
      <c r="C56" s="136"/>
      <c r="D56" s="145"/>
      <c r="E56" s="145"/>
      <c r="F56" s="146" t="s">
        <v>311</v>
      </c>
      <c r="G56" s="146"/>
      <c r="H56" s="145"/>
      <c r="I56" s="130"/>
      <c r="J56" s="130"/>
      <c r="K56" s="151" t="str">
        <f>Calculations!D217</f>
        <v>SAFE</v>
      </c>
      <c r="L56" s="151"/>
      <c r="M56" s="130"/>
      <c r="N56" s="130"/>
      <c r="O56" s="131"/>
    </row>
    <row r="57" spans="1:15" ht="16.2" thickTop="1" x14ac:dyDescent="0.3">
      <c r="A57" s="2"/>
      <c r="G57" s="2"/>
      <c r="H57" s="2"/>
    </row>
    <row r="58" spans="1:15" ht="15.6" x14ac:dyDescent="0.3">
      <c r="A58" s="2"/>
      <c r="G58" s="68"/>
      <c r="H58" s="2"/>
    </row>
    <row r="59" spans="1:15" ht="15.6" x14ac:dyDescent="0.3">
      <c r="A59" s="2"/>
      <c r="B59" s="2"/>
      <c r="C59" s="2"/>
      <c r="D59" s="2"/>
      <c r="E59" s="2"/>
      <c r="F59" s="2"/>
      <c r="G59" s="2"/>
      <c r="H59" s="2"/>
    </row>
    <row r="60" spans="1:15" ht="15.6" x14ac:dyDescent="0.3">
      <c r="A60" s="2"/>
      <c r="B60" s="2"/>
      <c r="G60" s="68"/>
      <c r="H60" s="2"/>
    </row>
    <row r="61" spans="1:15" ht="15.6" x14ac:dyDescent="0.3">
      <c r="A61" s="2"/>
      <c r="B61" s="2"/>
      <c r="C61" s="2"/>
      <c r="D61" s="2"/>
      <c r="E61" s="2"/>
      <c r="F61" s="2"/>
      <c r="G61" s="2"/>
      <c r="H61" s="2"/>
    </row>
  </sheetData>
  <mergeCells count="3">
    <mergeCell ref="A4:B4"/>
    <mergeCell ref="G6:H6"/>
    <mergeCell ref="K56:L56"/>
  </mergeCells>
  <dataValidations count="2">
    <dataValidation type="list" allowBlank="1" showInputMessage="1" showErrorMessage="1" prompt="Select Material Description" sqref="G6:H6" xr:uid="{00000000-0002-0000-0000-000000000000}">
      <formula1>$AA$5:$AA$17</formula1>
    </dataValidation>
    <dataValidation type="list" allowBlank="1" showInputMessage="1" showErrorMessage="1" sqref="G38" xr:uid="{00000000-0002-0000-0000-000001000000}">
      <formula1>$AA$19:$AA$20</formula1>
    </dataValidation>
  </dataValidations>
  <hyperlinks>
    <hyperlink ref="L1" r:id="rId1" xr:uid="{D9E21841-1A5A-4E62-8BB1-25E475A6D545}"/>
  </hyperlinks>
  <pageMargins left="0.45" right="0.2" top="0" bottom="0" header="0.3" footer="0.3"/>
  <pageSetup scale="6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8"/>
  <sheetViews>
    <sheetView workbookViewId="0">
      <selection activeCell="L9" sqref="L9"/>
    </sheetView>
  </sheetViews>
  <sheetFormatPr defaultRowHeight="14.4" x14ac:dyDescent="0.3"/>
  <cols>
    <col min="5" max="5" width="9.5546875" bestFit="1" customWidth="1"/>
    <col min="6" max="6" width="9.6640625" customWidth="1"/>
    <col min="7" max="7" width="9.5546875" bestFit="1" customWidth="1"/>
    <col min="10" max="10" width="7.109375" bestFit="1" customWidth="1"/>
  </cols>
  <sheetData>
    <row r="1" spans="1:13" x14ac:dyDescent="0.3">
      <c r="J1" s="79"/>
    </row>
    <row r="2" spans="1:13" x14ac:dyDescent="0.3">
      <c r="J2" s="79"/>
      <c r="M2" s="165" t="s">
        <v>312</v>
      </c>
    </row>
    <row r="3" spans="1:13" ht="18.600000000000001" x14ac:dyDescent="0.3">
      <c r="A3" s="156" t="s">
        <v>21</v>
      </c>
      <c r="B3" s="157"/>
      <c r="C3" s="5"/>
      <c r="D3" s="5"/>
      <c r="E3" s="10"/>
      <c r="F3" s="5"/>
      <c r="G3" s="2"/>
      <c r="J3" s="79"/>
      <c r="M3" t="s">
        <v>313</v>
      </c>
    </row>
    <row r="4" spans="1:13" ht="18.600000000000001" x14ac:dyDescent="0.3">
      <c r="A4" s="11"/>
      <c r="B4" s="2"/>
      <c r="C4" s="5"/>
      <c r="D4" s="5"/>
      <c r="E4" s="10"/>
      <c r="F4" s="5"/>
      <c r="G4" s="2"/>
      <c r="J4" s="79"/>
    </row>
    <row r="5" spans="1:13" ht="15.6" x14ac:dyDescent="0.3">
      <c r="A5" s="4"/>
      <c r="B5" s="2" t="s">
        <v>22</v>
      </c>
      <c r="C5" s="2"/>
      <c r="D5" s="5"/>
      <c r="E5" s="2"/>
      <c r="F5" s="2"/>
      <c r="G5" s="2"/>
      <c r="J5" s="79"/>
    </row>
    <row r="6" spans="1:13" ht="15.6" x14ac:dyDescent="0.3">
      <c r="A6" s="4"/>
      <c r="B6" s="2"/>
      <c r="C6" s="5"/>
      <c r="D6" s="5"/>
      <c r="E6" s="2"/>
      <c r="F6" s="5"/>
      <c r="G6" s="2"/>
      <c r="J6" s="79"/>
    </row>
    <row r="7" spans="1:13" ht="16.2" x14ac:dyDescent="0.35">
      <c r="A7" s="1"/>
      <c r="B7" s="2"/>
      <c r="C7" s="2"/>
      <c r="D7" s="8" t="s">
        <v>23</v>
      </c>
      <c r="E7" s="2"/>
      <c r="F7" s="2"/>
      <c r="G7" s="7"/>
      <c r="J7" s="79"/>
    </row>
    <row r="8" spans="1:13" ht="15.6" x14ac:dyDescent="0.3">
      <c r="A8" s="1"/>
      <c r="B8" s="2"/>
      <c r="C8" s="2"/>
      <c r="D8" s="5" t="s">
        <v>24</v>
      </c>
      <c r="E8" s="2"/>
      <c r="F8" s="2"/>
      <c r="G8" s="5"/>
      <c r="J8" s="79"/>
    </row>
    <row r="9" spans="1:13" ht="18" x14ac:dyDescent="0.4">
      <c r="A9" s="12" t="s">
        <v>25</v>
      </c>
      <c r="B9" s="5" t="s">
        <v>2</v>
      </c>
      <c r="C9" s="2" t="s">
        <v>26</v>
      </c>
      <c r="D9" s="3"/>
      <c r="E9" s="2" t="s">
        <v>27</v>
      </c>
      <c r="F9" s="2"/>
      <c r="G9" s="2"/>
      <c r="J9" s="79"/>
    </row>
    <row r="10" spans="1:13" ht="15.6" x14ac:dyDescent="0.3">
      <c r="A10" s="1"/>
      <c r="B10" s="2"/>
      <c r="D10" s="7" t="s">
        <v>28</v>
      </c>
      <c r="E10" s="2"/>
      <c r="F10" s="2"/>
      <c r="G10" s="2"/>
      <c r="J10" s="79"/>
    </row>
    <row r="11" spans="1:13" ht="18" x14ac:dyDescent="0.4">
      <c r="A11" s="1"/>
      <c r="B11" s="5"/>
      <c r="C11" s="2"/>
      <c r="E11" s="3" t="s">
        <v>29</v>
      </c>
      <c r="F11" s="2"/>
      <c r="G11" s="2"/>
      <c r="J11" s="79"/>
    </row>
    <row r="12" spans="1:13" ht="15.6" x14ac:dyDescent="0.3">
      <c r="A12" s="1"/>
      <c r="B12" s="2"/>
      <c r="C12" s="2"/>
      <c r="D12" s="2"/>
      <c r="E12" s="2"/>
      <c r="F12" s="2"/>
      <c r="G12" s="2"/>
      <c r="J12" s="79"/>
    </row>
    <row r="13" spans="1:13" x14ac:dyDescent="0.3">
      <c r="J13" s="79"/>
    </row>
    <row r="14" spans="1:13" x14ac:dyDescent="0.3">
      <c r="J14" s="79"/>
    </row>
    <row r="15" spans="1:13" x14ac:dyDescent="0.3">
      <c r="J15" s="79"/>
    </row>
    <row r="16" spans="1:13" ht="18" x14ac:dyDescent="0.4">
      <c r="A16" s="17" t="s">
        <v>61</v>
      </c>
      <c r="B16" s="152" t="s">
        <v>62</v>
      </c>
      <c r="C16" s="152"/>
      <c r="D16" s="152"/>
      <c r="E16" s="152"/>
      <c r="F16" s="152"/>
      <c r="G16" s="152"/>
      <c r="H16" s="152"/>
      <c r="I16" s="152"/>
      <c r="J16" s="153"/>
    </row>
    <row r="17" spans="1:10" ht="15.6" x14ac:dyDescent="0.3">
      <c r="A17" s="18"/>
      <c r="B17" s="2"/>
      <c r="C17" s="2"/>
      <c r="D17" s="2"/>
      <c r="E17" s="2"/>
      <c r="F17" s="2"/>
      <c r="G17" s="2"/>
      <c r="H17" s="2"/>
      <c r="I17" s="2"/>
      <c r="J17" s="19"/>
    </row>
    <row r="18" spans="1:10" ht="18" x14ac:dyDescent="0.4">
      <c r="A18" s="17" t="s">
        <v>63</v>
      </c>
      <c r="B18" s="152" t="s">
        <v>260</v>
      </c>
      <c r="C18" s="152"/>
      <c r="D18" s="2"/>
      <c r="E18" s="2"/>
      <c r="F18" s="2"/>
      <c r="G18" s="2"/>
      <c r="H18" s="2"/>
      <c r="I18" s="2"/>
      <c r="J18" s="19"/>
    </row>
    <row r="19" spans="1:10" ht="15.6" x14ac:dyDescent="0.3">
      <c r="A19" s="18"/>
      <c r="B19" s="2" t="s">
        <v>64</v>
      </c>
      <c r="C19" s="2"/>
      <c r="D19" s="2"/>
      <c r="E19" s="2"/>
      <c r="F19" s="2"/>
      <c r="G19" s="2"/>
      <c r="H19" s="2"/>
      <c r="I19" s="2"/>
      <c r="J19" s="19"/>
    </row>
    <row r="20" spans="1:10" ht="18" x14ac:dyDescent="0.4">
      <c r="A20" s="73" t="s">
        <v>261</v>
      </c>
      <c r="B20" s="7">
        <v>50</v>
      </c>
      <c r="C20" s="2" t="s">
        <v>65</v>
      </c>
      <c r="D20" s="2"/>
      <c r="E20" s="20" t="s">
        <v>66</v>
      </c>
      <c r="F20" s="2"/>
      <c r="G20" s="2"/>
      <c r="H20" s="2" t="s">
        <v>299</v>
      </c>
      <c r="I20" s="19"/>
      <c r="J20" s="19"/>
    </row>
    <row r="21" spans="1:10" ht="18" x14ac:dyDescent="0.4">
      <c r="A21" s="73" t="s">
        <v>261</v>
      </c>
      <c r="B21" s="7">
        <v>70</v>
      </c>
      <c r="C21" s="2" t="s">
        <v>257</v>
      </c>
      <c r="D21" s="2"/>
      <c r="E21" s="20" t="s">
        <v>258</v>
      </c>
      <c r="F21" s="2"/>
      <c r="G21" s="2"/>
      <c r="H21" s="2"/>
      <c r="I21" s="2"/>
      <c r="J21" s="19"/>
    </row>
    <row r="22" spans="1:10" ht="15.6" x14ac:dyDescent="0.3">
      <c r="A22" s="18"/>
      <c r="B22" s="2" t="s">
        <v>67</v>
      </c>
      <c r="C22" s="2"/>
      <c r="D22" s="2"/>
      <c r="E22" s="2"/>
      <c r="F22" s="2"/>
      <c r="G22" s="2"/>
      <c r="H22" s="2"/>
      <c r="I22" s="2"/>
      <c r="J22" s="19"/>
    </row>
    <row r="23" spans="1:10" ht="18" x14ac:dyDescent="0.4">
      <c r="A23" s="18"/>
      <c r="B23" s="2"/>
      <c r="C23" s="2" t="s">
        <v>68</v>
      </c>
      <c r="D23" s="2"/>
      <c r="E23" s="2"/>
      <c r="F23" s="2"/>
      <c r="G23" s="2"/>
      <c r="H23" s="2"/>
      <c r="I23" s="2"/>
      <c r="J23" s="19"/>
    </row>
    <row r="24" spans="1:10" ht="15.6" x14ac:dyDescent="0.3">
      <c r="A24" s="18"/>
      <c r="B24" s="2"/>
      <c r="C24" s="2" t="s">
        <v>69</v>
      </c>
      <c r="D24" s="2"/>
      <c r="E24" s="2"/>
      <c r="F24" s="2"/>
      <c r="G24" s="2"/>
      <c r="H24" s="2"/>
      <c r="I24" s="2"/>
      <c r="J24" s="19"/>
    </row>
    <row r="25" spans="1:10" ht="15.6" x14ac:dyDescent="0.3">
      <c r="A25" s="18"/>
      <c r="B25" s="2"/>
      <c r="C25" s="2"/>
      <c r="D25" s="2"/>
      <c r="E25" s="2"/>
      <c r="F25" s="2"/>
      <c r="G25" s="2"/>
      <c r="H25" s="2"/>
      <c r="I25" s="2"/>
      <c r="J25" s="19"/>
    </row>
    <row r="26" spans="1:10" ht="16.2" x14ac:dyDescent="0.35">
      <c r="A26" s="18"/>
      <c r="B26" s="2"/>
      <c r="C26" t="s">
        <v>70</v>
      </c>
      <c r="D26" s="2"/>
      <c r="E26" s="2"/>
      <c r="F26" s="2"/>
      <c r="G26" s="2" t="s">
        <v>300</v>
      </c>
      <c r="H26" s="2"/>
      <c r="I26" s="2"/>
      <c r="J26" s="19"/>
    </row>
    <row r="27" spans="1:10" ht="15.6" x14ac:dyDescent="0.3">
      <c r="A27" s="18"/>
      <c r="B27" s="2"/>
      <c r="C27" s="2"/>
      <c r="D27" s="2"/>
      <c r="E27" s="2"/>
      <c r="F27" s="2"/>
      <c r="G27" s="2"/>
      <c r="H27" s="2"/>
      <c r="I27" s="2"/>
      <c r="J27" s="19"/>
    </row>
    <row r="28" spans="1:10" ht="18" x14ac:dyDescent="0.4">
      <c r="A28" s="18"/>
      <c r="B28" s="2"/>
      <c r="C28" s="2" t="s">
        <v>71</v>
      </c>
      <c r="D28" s="5" t="s">
        <v>2</v>
      </c>
      <c r="E28" s="21">
        <f>1-(0.09*((1-(Earthing!N26/Earthing!N28))/((2*Earthing!N36)+0.09)))</f>
        <v>0.77300923076923078</v>
      </c>
      <c r="F28" s="2"/>
      <c r="G28" s="2"/>
      <c r="H28" s="2"/>
      <c r="I28" s="2"/>
      <c r="J28" s="19"/>
    </row>
    <row r="29" spans="1:10" ht="18" x14ac:dyDescent="0.4">
      <c r="A29" s="18"/>
      <c r="B29" s="2"/>
      <c r="C29" s="2" t="s">
        <v>72</v>
      </c>
      <c r="D29" s="2"/>
      <c r="E29" s="2"/>
      <c r="F29" s="2"/>
      <c r="G29" s="5">
        <v>0.5</v>
      </c>
      <c r="H29" s="2"/>
      <c r="I29" s="2"/>
      <c r="J29" s="19"/>
    </row>
    <row r="30" spans="1:10" ht="15.6" x14ac:dyDescent="0.3">
      <c r="A30" s="18"/>
      <c r="B30" s="2"/>
      <c r="C30" s="2"/>
      <c r="D30" s="2" t="s">
        <v>73</v>
      </c>
      <c r="E30" s="2"/>
      <c r="F30" s="2"/>
      <c r="G30" s="2"/>
      <c r="H30" s="2"/>
      <c r="I30" s="2"/>
      <c r="J30" s="19"/>
    </row>
    <row r="31" spans="1:10" ht="15.6" x14ac:dyDescent="0.3">
      <c r="A31" s="18"/>
      <c r="B31" s="2" t="s">
        <v>74</v>
      </c>
      <c r="C31" s="2"/>
      <c r="D31" s="2"/>
      <c r="E31" s="2"/>
      <c r="F31" s="2"/>
      <c r="G31" s="2"/>
      <c r="H31" s="2"/>
      <c r="I31" s="2"/>
      <c r="J31" s="19"/>
    </row>
    <row r="32" spans="1:10" ht="18" x14ac:dyDescent="0.4">
      <c r="A32" s="18"/>
      <c r="B32" s="2" t="s">
        <v>75</v>
      </c>
      <c r="C32" s="2"/>
      <c r="D32" s="5" t="s">
        <v>2</v>
      </c>
      <c r="E32" s="22">
        <f>((1000+(1.5*E28*Earthing!N28))*0.116)/SQRT(Earthing!N38)</f>
        <v>734.69924526785462</v>
      </c>
      <c r="F32" s="2" t="s">
        <v>76</v>
      </c>
      <c r="G32" s="2"/>
      <c r="H32" s="2"/>
      <c r="I32" s="2"/>
      <c r="J32" s="19"/>
    </row>
    <row r="33" spans="1:10" ht="18" x14ac:dyDescent="0.4">
      <c r="A33" s="18"/>
      <c r="B33" s="2" t="s">
        <v>259</v>
      </c>
      <c r="C33" s="2"/>
      <c r="D33" s="5" t="s">
        <v>2</v>
      </c>
      <c r="E33" s="22">
        <f>((1000+(1.5*E28*Earthing!N28))*0.157)/SQRT(Earthing!N38)</f>
        <v>994.37742678494112</v>
      </c>
      <c r="F33" s="2" t="s">
        <v>76</v>
      </c>
      <c r="G33" s="2"/>
      <c r="H33" s="2"/>
      <c r="I33" s="2"/>
      <c r="J33" s="19"/>
    </row>
    <row r="34" spans="1:10" ht="15.6" x14ac:dyDescent="0.3">
      <c r="A34" s="18"/>
      <c r="B34" s="2"/>
      <c r="C34" s="2"/>
      <c r="D34" s="2"/>
      <c r="E34" s="2"/>
      <c r="F34" s="2"/>
      <c r="G34" s="2"/>
      <c r="H34" s="2"/>
      <c r="I34" s="2"/>
      <c r="J34" s="19"/>
    </row>
    <row r="35" spans="1:10" ht="18" x14ac:dyDescent="0.4">
      <c r="A35" s="17" t="s">
        <v>77</v>
      </c>
      <c r="B35" s="152" t="s">
        <v>264</v>
      </c>
      <c r="C35" s="152"/>
      <c r="D35" s="5"/>
      <c r="E35" s="20"/>
      <c r="F35" s="2"/>
      <c r="G35" s="2"/>
      <c r="H35" s="2" t="s">
        <v>301</v>
      </c>
      <c r="I35" s="2"/>
      <c r="J35" s="19"/>
    </row>
    <row r="36" spans="1:10" ht="18" x14ac:dyDescent="0.4">
      <c r="A36" s="3" t="s">
        <v>261</v>
      </c>
      <c r="B36" s="7">
        <v>50</v>
      </c>
      <c r="C36" s="2" t="s">
        <v>265</v>
      </c>
      <c r="D36" s="2"/>
      <c r="E36" s="20" t="s">
        <v>78</v>
      </c>
      <c r="F36" s="2"/>
      <c r="G36" s="2"/>
      <c r="H36" s="2"/>
      <c r="I36" s="2"/>
      <c r="J36" s="19"/>
    </row>
    <row r="37" spans="1:10" ht="18" x14ac:dyDescent="0.4">
      <c r="A37" s="3" t="s">
        <v>261</v>
      </c>
      <c r="B37" s="7">
        <v>70</v>
      </c>
      <c r="C37" s="2" t="s">
        <v>266</v>
      </c>
      <c r="D37" s="2"/>
      <c r="E37" s="20" t="s">
        <v>263</v>
      </c>
      <c r="F37" s="2"/>
      <c r="G37" s="2"/>
      <c r="H37" s="2"/>
      <c r="I37" s="2"/>
      <c r="J37" s="19"/>
    </row>
    <row r="38" spans="1:10" ht="15.6" x14ac:dyDescent="0.3">
      <c r="A38" s="18"/>
      <c r="B38" s="2"/>
      <c r="C38" s="2"/>
      <c r="D38" s="5"/>
      <c r="E38" s="20"/>
      <c r="F38" s="2"/>
      <c r="G38" s="2"/>
      <c r="H38" s="2"/>
      <c r="I38" s="2"/>
      <c r="J38" s="19"/>
    </row>
    <row r="39" spans="1:10" ht="14.25" customHeight="1" x14ac:dyDescent="0.3">
      <c r="A39" s="18"/>
      <c r="B39" s="2" t="s">
        <v>79</v>
      </c>
      <c r="C39" s="2"/>
      <c r="D39" s="2"/>
      <c r="E39" s="2"/>
      <c r="F39" s="2"/>
      <c r="G39" s="2"/>
      <c r="H39" s="2"/>
      <c r="I39" s="2"/>
      <c r="J39" s="19"/>
    </row>
    <row r="40" spans="1:10" ht="15.6" x14ac:dyDescent="0.3">
      <c r="A40" s="18"/>
      <c r="B40" s="2"/>
      <c r="C40" s="2"/>
      <c r="D40" s="2"/>
      <c r="E40" s="2"/>
      <c r="F40" s="2"/>
      <c r="G40" s="2"/>
      <c r="H40" s="2"/>
      <c r="I40" s="2"/>
      <c r="J40" s="19"/>
    </row>
    <row r="41" spans="1:10" ht="18" x14ac:dyDescent="0.4">
      <c r="A41" s="18"/>
      <c r="B41" s="2" t="s">
        <v>80</v>
      </c>
      <c r="C41" s="2"/>
      <c r="D41" s="5" t="s">
        <v>2</v>
      </c>
      <c r="E41" s="22">
        <f>((1000+(6*E28*Earthing!N28))*0.116)/SQRT(Earthing!N38)</f>
        <v>2446.6506613655811</v>
      </c>
      <c r="F41" s="2" t="s">
        <v>76</v>
      </c>
      <c r="G41" s="2"/>
      <c r="H41" s="2"/>
      <c r="I41" s="2"/>
      <c r="J41" s="19"/>
    </row>
    <row r="42" spans="1:10" ht="18" x14ac:dyDescent="0.4">
      <c r="A42" s="18"/>
      <c r="B42" s="2" t="s">
        <v>262</v>
      </c>
      <c r="C42" s="2"/>
      <c r="D42" s="5" t="s">
        <v>2</v>
      </c>
      <c r="E42" s="22">
        <f>((1000+(6*E28*Earthing!N28))*0.157)/SQRT(Earthing!N38)</f>
        <v>3311.4151192620366</v>
      </c>
      <c r="F42" s="2" t="s">
        <v>76</v>
      </c>
      <c r="G42" s="2"/>
      <c r="H42" s="2"/>
      <c r="I42" s="2"/>
      <c r="J42" s="19"/>
    </row>
    <row r="43" spans="1:10" ht="15.6" x14ac:dyDescent="0.3">
      <c r="A43" s="18"/>
      <c r="B43" s="2"/>
      <c r="C43" s="2"/>
      <c r="D43" s="5"/>
      <c r="E43" s="45"/>
      <c r="F43" s="2"/>
      <c r="G43" s="2"/>
      <c r="H43" s="2"/>
      <c r="I43" s="2"/>
      <c r="J43" s="19"/>
    </row>
    <row r="44" spans="1:10" ht="15.6" x14ac:dyDescent="0.3">
      <c r="A44" s="18"/>
      <c r="B44" s="2"/>
      <c r="C44" s="2"/>
      <c r="D44" s="2"/>
      <c r="E44" s="2"/>
      <c r="F44" s="2"/>
      <c r="G44" s="2"/>
      <c r="H44" s="2"/>
      <c r="I44" s="2"/>
      <c r="J44" s="19"/>
    </row>
    <row r="45" spans="1:10" ht="18" x14ac:dyDescent="0.4">
      <c r="A45" s="23" t="s">
        <v>81</v>
      </c>
      <c r="B45" s="13" t="s">
        <v>82</v>
      </c>
      <c r="C45" s="2"/>
      <c r="D45" s="2"/>
      <c r="E45" s="2"/>
      <c r="F45" s="2"/>
      <c r="G45" s="2"/>
      <c r="H45" s="2"/>
      <c r="I45" s="2"/>
      <c r="J45" s="19"/>
    </row>
    <row r="46" spans="1:10" ht="15.6" x14ac:dyDescent="0.3">
      <c r="A46" s="18"/>
      <c r="B46" s="2"/>
      <c r="C46" s="2"/>
      <c r="D46" s="2"/>
      <c r="E46" s="2"/>
      <c r="F46" s="2"/>
      <c r="G46" s="2"/>
      <c r="H46" s="2"/>
      <c r="I46" s="2"/>
      <c r="J46" s="19"/>
    </row>
    <row r="47" spans="1:10" ht="15.6" x14ac:dyDescent="0.3">
      <c r="A47" s="18"/>
      <c r="B47" s="2" t="s">
        <v>267</v>
      </c>
      <c r="C47" s="2"/>
      <c r="D47" s="2"/>
      <c r="E47" s="2"/>
      <c r="F47" s="2"/>
      <c r="G47" s="2"/>
      <c r="H47" s="2"/>
      <c r="I47" s="2"/>
      <c r="J47" s="19"/>
    </row>
    <row r="48" spans="1:10" ht="19.8" x14ac:dyDescent="0.4">
      <c r="A48" s="18"/>
      <c r="B48" s="2"/>
      <c r="C48" s="2"/>
      <c r="D48" s="2"/>
      <c r="E48" s="2"/>
      <c r="F48" s="2" t="s">
        <v>83</v>
      </c>
      <c r="G48" s="2"/>
      <c r="H48" s="2"/>
      <c r="I48" s="2"/>
      <c r="J48" s="19"/>
    </row>
    <row r="49" spans="1:10" ht="18" x14ac:dyDescent="0.4">
      <c r="A49" s="18"/>
      <c r="B49" s="2" t="s">
        <v>84</v>
      </c>
      <c r="C49" s="2"/>
      <c r="D49" s="2"/>
      <c r="E49" s="5" t="s">
        <v>2</v>
      </c>
      <c r="F49" s="2"/>
      <c r="G49" s="2"/>
      <c r="H49" s="2"/>
      <c r="I49" s="2"/>
      <c r="J49" s="19"/>
    </row>
    <row r="50" spans="1:10" ht="18" x14ac:dyDescent="0.4">
      <c r="A50" s="18"/>
      <c r="B50" s="2"/>
      <c r="C50" s="2"/>
      <c r="D50" s="2"/>
      <c r="E50" s="2"/>
      <c r="F50" s="2" t="s">
        <v>85</v>
      </c>
      <c r="G50" s="2"/>
      <c r="H50" s="2"/>
      <c r="I50" s="2"/>
      <c r="J50" s="19"/>
    </row>
    <row r="51" spans="1:10" ht="15.6" x14ac:dyDescent="0.3">
      <c r="A51" s="18"/>
      <c r="B51" s="2" t="s">
        <v>86</v>
      </c>
      <c r="C51" s="2"/>
      <c r="D51" s="2"/>
      <c r="E51" s="2"/>
      <c r="F51" s="2"/>
      <c r="G51" s="2"/>
      <c r="H51" s="2"/>
      <c r="I51" s="2"/>
      <c r="J51" s="19"/>
    </row>
    <row r="52" spans="1:10" ht="18" x14ac:dyDescent="0.4">
      <c r="A52" s="18"/>
      <c r="B52" s="5" t="s">
        <v>87</v>
      </c>
      <c r="C52" s="5" t="s">
        <v>2</v>
      </c>
      <c r="D52" s="2" t="s">
        <v>88</v>
      </c>
      <c r="E52" s="2"/>
      <c r="F52" s="2"/>
      <c r="G52" s="2"/>
      <c r="H52" s="2"/>
      <c r="I52" s="2"/>
      <c r="J52" s="19"/>
    </row>
    <row r="53" spans="1:10" ht="18" x14ac:dyDescent="0.4">
      <c r="A53" s="18"/>
      <c r="B53" s="5" t="s">
        <v>89</v>
      </c>
      <c r="C53" s="5" t="s">
        <v>2</v>
      </c>
      <c r="D53" s="2" t="s">
        <v>90</v>
      </c>
      <c r="E53" s="2"/>
      <c r="F53" s="2"/>
      <c r="G53" s="2"/>
      <c r="H53" s="2"/>
      <c r="I53" s="2"/>
      <c r="J53" s="19"/>
    </row>
    <row r="54" spans="1:10" ht="18" x14ac:dyDescent="0.4">
      <c r="A54" s="18"/>
      <c r="B54" s="5" t="s">
        <v>91</v>
      </c>
      <c r="C54" s="5" t="s">
        <v>2</v>
      </c>
      <c r="D54" s="2" t="s">
        <v>92</v>
      </c>
      <c r="E54" s="2"/>
      <c r="F54" s="2"/>
      <c r="G54" s="2"/>
      <c r="H54" s="2"/>
      <c r="I54" s="2"/>
      <c r="J54" s="19"/>
    </row>
    <row r="55" spans="1:10" ht="15.6" x14ac:dyDescent="0.3">
      <c r="A55" s="18"/>
      <c r="B55" s="2"/>
      <c r="C55" s="2"/>
      <c r="D55" s="2" t="s">
        <v>93</v>
      </c>
      <c r="E55" s="2"/>
      <c r="F55" s="2"/>
      <c r="G55" s="2"/>
      <c r="H55" s="2"/>
      <c r="I55" s="2"/>
      <c r="J55" s="19"/>
    </row>
    <row r="56" spans="1:10" ht="15.6" x14ac:dyDescent="0.3">
      <c r="A56" s="18"/>
      <c r="B56" s="2"/>
      <c r="C56" s="2"/>
      <c r="D56" s="2"/>
      <c r="E56" s="2"/>
      <c r="F56" s="2"/>
      <c r="G56" s="2"/>
      <c r="H56" s="2"/>
      <c r="I56" s="2"/>
      <c r="J56" s="19"/>
    </row>
    <row r="57" spans="1:10" ht="18" x14ac:dyDescent="0.4">
      <c r="A57" s="18"/>
      <c r="B57" s="90" t="s">
        <v>295</v>
      </c>
      <c r="C57" s="13"/>
      <c r="D57" s="13"/>
      <c r="E57" s="2"/>
      <c r="F57" s="2"/>
      <c r="G57" s="2"/>
      <c r="H57" s="2"/>
      <c r="I57" s="2"/>
      <c r="J57" s="19"/>
    </row>
    <row r="58" spans="1:10" ht="15.6" x14ac:dyDescent="0.3">
      <c r="A58" s="18"/>
      <c r="B58" s="2"/>
      <c r="C58" s="2"/>
      <c r="D58" s="2"/>
      <c r="E58" s="2"/>
      <c r="F58" s="2"/>
      <c r="G58" s="2"/>
      <c r="H58" s="2"/>
      <c r="I58" s="2"/>
      <c r="J58" s="19"/>
    </row>
    <row r="59" spans="1:10" ht="18" x14ac:dyDescent="0.4">
      <c r="A59" s="18"/>
      <c r="B59" s="2"/>
      <c r="C59" s="2"/>
      <c r="D59" s="24" t="s">
        <v>94</v>
      </c>
      <c r="E59" s="5" t="s">
        <v>95</v>
      </c>
      <c r="F59" s="5" t="s">
        <v>96</v>
      </c>
      <c r="G59" s="2"/>
      <c r="H59" s="2"/>
      <c r="I59" s="2"/>
      <c r="J59" s="19"/>
    </row>
    <row r="60" spans="1:10" ht="18" x14ac:dyDescent="0.4">
      <c r="A60" s="18"/>
      <c r="B60" s="3" t="s">
        <v>87</v>
      </c>
      <c r="C60" s="5" t="s">
        <v>2</v>
      </c>
      <c r="D60" s="3" t="s">
        <v>97</v>
      </c>
      <c r="E60" s="2"/>
      <c r="F60" s="2" t="s">
        <v>98</v>
      </c>
      <c r="G60" s="25" t="s">
        <v>99</v>
      </c>
      <c r="H60" s="2" t="s">
        <v>268</v>
      </c>
      <c r="I60" s="2"/>
      <c r="J60" s="19"/>
    </row>
    <row r="61" spans="1:10" ht="18.600000000000001" x14ac:dyDescent="0.3">
      <c r="A61" s="18"/>
      <c r="B61" s="2"/>
      <c r="C61" s="2"/>
      <c r="D61" s="24" t="s">
        <v>100</v>
      </c>
      <c r="E61" s="5" t="s">
        <v>101</v>
      </c>
      <c r="F61" s="5" t="s">
        <v>31</v>
      </c>
      <c r="G61" s="2"/>
      <c r="H61" s="2"/>
      <c r="I61" s="2"/>
      <c r="J61" s="19"/>
    </row>
    <row r="62" spans="1:10" ht="15.6" x14ac:dyDescent="0.3">
      <c r="A62" s="18"/>
      <c r="B62" s="2"/>
      <c r="C62" s="30" t="s">
        <v>275</v>
      </c>
      <c r="D62" s="14" t="s">
        <v>2</v>
      </c>
      <c r="E62" s="67">
        <f>(SQRT((Earthing!G46*4)/(3.14)))/1000</f>
        <v>1.9549056373532239E-2</v>
      </c>
      <c r="F62" s="2"/>
      <c r="G62" s="2"/>
      <c r="H62" s="2"/>
      <c r="I62" s="2"/>
      <c r="J62" s="19"/>
    </row>
    <row r="63" spans="1:10" ht="15.6" x14ac:dyDescent="0.3">
      <c r="A63" s="18"/>
      <c r="B63" s="2" t="s">
        <v>86</v>
      </c>
      <c r="C63" s="2"/>
      <c r="D63" s="2"/>
      <c r="E63" s="2"/>
      <c r="F63" s="2"/>
      <c r="G63" s="2"/>
      <c r="H63" s="2"/>
      <c r="I63" s="2"/>
      <c r="J63" s="19"/>
    </row>
    <row r="64" spans="1:10" ht="15.6" x14ac:dyDescent="0.3">
      <c r="A64" s="18"/>
      <c r="B64" s="26" t="s">
        <v>102</v>
      </c>
      <c r="C64" s="5" t="s">
        <v>2</v>
      </c>
      <c r="D64" s="2" t="s">
        <v>103</v>
      </c>
      <c r="E64" s="2"/>
      <c r="F64" s="2"/>
      <c r="G64" s="2"/>
      <c r="H64" s="2"/>
      <c r="I64" s="6">
        <f>Earthing!N26</f>
        <v>49.12</v>
      </c>
      <c r="J64" s="19" t="s">
        <v>104</v>
      </c>
    </row>
    <row r="65" spans="1:10" ht="18" x14ac:dyDescent="0.4">
      <c r="A65" s="18"/>
      <c r="B65" s="3" t="s">
        <v>105</v>
      </c>
      <c r="C65" s="5" t="s">
        <v>2</v>
      </c>
      <c r="D65" s="2" t="s">
        <v>106</v>
      </c>
      <c r="E65" s="2"/>
      <c r="F65" s="2"/>
      <c r="G65" s="2"/>
      <c r="H65" s="2"/>
      <c r="I65" s="15">
        <f>Earthing!N12</f>
        <v>3162</v>
      </c>
      <c r="J65" s="19" t="s">
        <v>107</v>
      </c>
    </row>
    <row r="66" spans="1:10" ht="18" x14ac:dyDescent="0.3">
      <c r="A66" s="18"/>
      <c r="B66" s="30" t="s">
        <v>276</v>
      </c>
      <c r="C66" s="5" t="s">
        <v>2</v>
      </c>
      <c r="D66" s="2" t="s">
        <v>108</v>
      </c>
      <c r="E66" s="2" t="s">
        <v>109</v>
      </c>
      <c r="F66" s="2"/>
      <c r="G66" s="2"/>
      <c r="H66" s="2"/>
      <c r="I66" s="132">
        <f>SQRT(E62*2*Earthing!G36)</f>
        <v>0.19773242715109851</v>
      </c>
      <c r="J66" s="19" t="s">
        <v>107</v>
      </c>
    </row>
    <row r="67" spans="1:10" ht="15.6" x14ac:dyDescent="0.3">
      <c r="A67" s="18"/>
      <c r="B67" s="3" t="s">
        <v>110</v>
      </c>
      <c r="C67" s="5" t="s">
        <v>2</v>
      </c>
      <c r="D67" s="2" t="s">
        <v>111</v>
      </c>
      <c r="E67" s="2"/>
      <c r="F67" s="2"/>
      <c r="G67" s="2"/>
      <c r="H67" s="2"/>
      <c r="I67" s="132">
        <f>E62</f>
        <v>1.9549056373532239E-2</v>
      </c>
      <c r="J67" s="19" t="s">
        <v>107</v>
      </c>
    </row>
    <row r="68" spans="1:10" ht="18.600000000000001" x14ac:dyDescent="0.3">
      <c r="A68" s="18"/>
      <c r="B68" s="3" t="s">
        <v>31</v>
      </c>
      <c r="C68" s="5" t="s">
        <v>2</v>
      </c>
      <c r="D68" s="2" t="s">
        <v>112</v>
      </c>
      <c r="E68" s="2"/>
      <c r="F68" s="2"/>
      <c r="G68" s="2"/>
      <c r="H68" s="2"/>
      <c r="I68" s="6">
        <f>Earthing!G34</f>
        <v>5000</v>
      </c>
      <c r="J68" s="19" t="s">
        <v>113</v>
      </c>
    </row>
    <row r="69" spans="1:10" ht="18" x14ac:dyDescent="0.4">
      <c r="A69" s="18"/>
      <c r="B69" s="3" t="s">
        <v>114</v>
      </c>
      <c r="C69" s="5" t="s">
        <v>2</v>
      </c>
      <c r="D69" s="2" t="s">
        <v>115</v>
      </c>
      <c r="E69" s="2"/>
      <c r="F69" s="2"/>
      <c r="G69" s="2"/>
      <c r="H69" s="2"/>
      <c r="I69" s="16">
        <f>1.13-0.05*(Earthing!N6/Earthing!N8)</f>
        <v>1.0299999999999998</v>
      </c>
      <c r="J69" s="19"/>
    </row>
    <row r="70" spans="1:10" ht="15.6" x14ac:dyDescent="0.3">
      <c r="A70" s="18"/>
      <c r="B70" s="3"/>
      <c r="C70" s="5"/>
      <c r="D70" s="27" t="s">
        <v>116</v>
      </c>
      <c r="E70" s="2"/>
      <c r="F70" s="2"/>
      <c r="G70" s="2"/>
      <c r="H70" s="2"/>
      <c r="I70" s="28"/>
      <c r="J70" s="19"/>
    </row>
    <row r="71" spans="1:10" ht="18" x14ac:dyDescent="0.4">
      <c r="A71" s="18"/>
      <c r="B71" s="3" t="s">
        <v>117</v>
      </c>
      <c r="C71" s="5" t="s">
        <v>2</v>
      </c>
      <c r="D71" s="2" t="s">
        <v>118</v>
      </c>
      <c r="E71" s="2"/>
      <c r="F71" s="2"/>
      <c r="G71" s="2"/>
      <c r="H71" s="2"/>
      <c r="I71" s="16">
        <f>4.4-0.05*(Earthing!N6/Earthing!N8)</f>
        <v>4.3000000000000007</v>
      </c>
      <c r="J71" s="19"/>
    </row>
    <row r="72" spans="1:10" ht="15.6" x14ac:dyDescent="0.3">
      <c r="A72" s="18"/>
      <c r="B72" s="3"/>
      <c r="C72" s="5"/>
      <c r="D72" s="27" t="s">
        <v>119</v>
      </c>
      <c r="E72" s="2"/>
      <c r="F72" s="2"/>
      <c r="G72" s="2"/>
      <c r="H72" s="2"/>
      <c r="I72" s="29"/>
      <c r="J72" s="19"/>
    </row>
    <row r="73" spans="1:10" ht="15.6" x14ac:dyDescent="0.3">
      <c r="A73" s="18"/>
      <c r="B73" s="2"/>
      <c r="C73" s="2"/>
      <c r="D73" s="2" t="s">
        <v>120</v>
      </c>
      <c r="E73" s="2"/>
      <c r="F73" s="2"/>
      <c r="G73" s="2"/>
      <c r="H73" s="2"/>
      <c r="I73" s="2"/>
      <c r="J73" s="19"/>
    </row>
    <row r="74" spans="1:10" ht="18" x14ac:dyDescent="0.4">
      <c r="A74" s="18"/>
      <c r="B74" s="30" t="s">
        <v>121</v>
      </c>
      <c r="C74" s="14" t="s">
        <v>2</v>
      </c>
      <c r="D74" s="31">
        <f>(I64/(PI()*I65))*((LN(2*I65/I66))+(I69*I65/SQRT(I68))-I71)</f>
        <v>0.25778058389544384</v>
      </c>
      <c r="E74" s="2" t="s">
        <v>122</v>
      </c>
      <c r="F74" s="2"/>
      <c r="G74" s="2"/>
      <c r="H74" s="2"/>
      <c r="I74" s="2"/>
      <c r="J74" s="19"/>
    </row>
    <row r="75" spans="1:10" ht="16.2" thickBot="1" x14ac:dyDescent="0.35">
      <c r="A75" s="32"/>
      <c r="B75" s="33"/>
      <c r="C75" s="33"/>
      <c r="D75" s="33"/>
      <c r="E75" s="33"/>
      <c r="F75" s="33"/>
      <c r="G75" s="33"/>
      <c r="H75" s="33"/>
      <c r="I75" s="33"/>
      <c r="J75" s="34"/>
    </row>
    <row r="76" spans="1:10" ht="15.6" x14ac:dyDescent="0.3">
      <c r="A76" s="35"/>
      <c r="B76" s="35"/>
      <c r="C76" s="35"/>
      <c r="D76" s="35"/>
      <c r="E76" s="35"/>
      <c r="F76" s="35"/>
      <c r="G76" s="35"/>
      <c r="H76" s="35"/>
      <c r="I76" s="35"/>
      <c r="J76" s="35"/>
    </row>
    <row r="77" spans="1:10" ht="16.2" thickBot="1" x14ac:dyDescent="0.35">
      <c r="A77" s="33"/>
      <c r="B77" s="33"/>
      <c r="C77" s="33"/>
      <c r="D77" s="33"/>
      <c r="E77" s="33"/>
      <c r="F77" s="33"/>
      <c r="G77" s="33"/>
      <c r="H77" s="33"/>
      <c r="I77" s="33"/>
      <c r="J77" s="33"/>
    </row>
    <row r="78" spans="1:10" ht="18" x14ac:dyDescent="0.4">
      <c r="A78" s="36"/>
      <c r="B78" s="91" t="s">
        <v>296</v>
      </c>
      <c r="C78" s="89"/>
      <c r="D78" s="89"/>
      <c r="E78" s="35"/>
      <c r="F78" s="35"/>
      <c r="G78" s="35"/>
      <c r="H78" s="35"/>
      <c r="I78" s="35"/>
      <c r="J78" s="37"/>
    </row>
    <row r="79" spans="1:10" ht="15.6" x14ac:dyDescent="0.3">
      <c r="A79" s="18"/>
      <c r="B79" s="2" t="s">
        <v>123</v>
      </c>
      <c r="C79" s="2"/>
      <c r="D79" s="2"/>
      <c r="E79" s="2"/>
      <c r="F79" s="2"/>
      <c r="G79" s="2"/>
      <c r="H79" s="2"/>
      <c r="I79" s="2"/>
      <c r="J79" s="19"/>
    </row>
    <row r="80" spans="1:10" ht="18" x14ac:dyDescent="0.4">
      <c r="A80" s="18"/>
      <c r="B80" s="2"/>
      <c r="C80" s="2"/>
      <c r="D80" s="38" t="s">
        <v>102</v>
      </c>
      <c r="E80" s="5" t="s">
        <v>124</v>
      </c>
      <c r="F80" s="158" t="s">
        <v>125</v>
      </c>
      <c r="G80" s="158"/>
      <c r="H80" s="2"/>
      <c r="I80" s="2"/>
      <c r="J80" s="19"/>
    </row>
    <row r="81" spans="1:10" ht="19.8" x14ac:dyDescent="0.4">
      <c r="A81" s="18"/>
      <c r="B81" s="3" t="s">
        <v>89</v>
      </c>
      <c r="C81" s="5" t="s">
        <v>2</v>
      </c>
      <c r="D81" s="2"/>
      <c r="E81" s="7" t="s">
        <v>97</v>
      </c>
      <c r="F81" s="25" t="s">
        <v>126</v>
      </c>
      <c r="G81" s="2" t="s">
        <v>127</v>
      </c>
      <c r="H81" s="2"/>
      <c r="I81" s="2"/>
      <c r="J81" s="19"/>
    </row>
    <row r="82" spans="1:10" ht="16.2" x14ac:dyDescent="0.35">
      <c r="A82" s="18"/>
      <c r="B82" s="2"/>
      <c r="C82" s="2"/>
      <c r="D82" s="39" t="s">
        <v>128</v>
      </c>
      <c r="E82" s="5" t="s">
        <v>129</v>
      </c>
      <c r="F82" s="158" t="s">
        <v>31</v>
      </c>
      <c r="G82" s="158"/>
      <c r="H82" s="2"/>
      <c r="I82" s="2"/>
      <c r="J82" s="19"/>
    </row>
    <row r="83" spans="1:10" ht="15.6" x14ac:dyDescent="0.3">
      <c r="A83" s="18"/>
      <c r="B83" s="2"/>
      <c r="C83" s="2"/>
      <c r="D83" s="2"/>
      <c r="E83" s="2"/>
      <c r="F83" s="2"/>
      <c r="G83" s="2"/>
      <c r="H83" s="2"/>
      <c r="I83" s="2"/>
      <c r="J83" s="19"/>
    </row>
    <row r="84" spans="1:10" ht="15.6" x14ac:dyDescent="0.3">
      <c r="A84" s="18"/>
      <c r="B84" s="2" t="s">
        <v>86</v>
      </c>
      <c r="C84" s="2"/>
      <c r="D84" s="2"/>
      <c r="E84" s="2"/>
      <c r="F84" s="2"/>
      <c r="G84" s="2"/>
      <c r="H84" s="2"/>
      <c r="I84" s="2"/>
      <c r="J84" s="19"/>
    </row>
    <row r="85" spans="1:10" ht="18" x14ac:dyDescent="0.4">
      <c r="A85" s="18"/>
      <c r="B85" s="3" t="s">
        <v>130</v>
      </c>
      <c r="C85" s="5" t="s">
        <v>2</v>
      </c>
      <c r="D85" s="2" t="s">
        <v>131</v>
      </c>
      <c r="E85" s="2"/>
      <c r="F85" s="2"/>
      <c r="G85" s="6">
        <f>Earthing!N21</f>
        <v>3</v>
      </c>
      <c r="H85" s="2" t="s">
        <v>107</v>
      </c>
      <c r="I85" s="2"/>
      <c r="J85" s="19"/>
    </row>
    <row r="86" spans="1:10" ht="15.6" x14ac:dyDescent="0.3">
      <c r="A86" s="18"/>
      <c r="B86" s="3" t="s">
        <v>132</v>
      </c>
      <c r="C86" s="5" t="s">
        <v>2</v>
      </c>
      <c r="D86" s="7" t="s">
        <v>133</v>
      </c>
      <c r="E86" s="2"/>
      <c r="F86" s="2"/>
      <c r="G86" s="88">
        <f>(SQRT((Earthing!G46*4)/(3.14)))/1000</f>
        <v>1.9549056373532239E-2</v>
      </c>
      <c r="H86" s="2" t="s">
        <v>107</v>
      </c>
      <c r="I86" s="2"/>
      <c r="J86" s="19"/>
    </row>
    <row r="87" spans="1:10" ht="18" x14ac:dyDescent="0.4">
      <c r="A87" s="18"/>
      <c r="B87" s="3" t="s">
        <v>134</v>
      </c>
      <c r="C87" s="5" t="s">
        <v>2</v>
      </c>
      <c r="D87" s="2" t="s">
        <v>135</v>
      </c>
      <c r="E87" s="2"/>
      <c r="F87" s="2"/>
      <c r="G87" s="6">
        <f>Earthing!N20</f>
        <v>4</v>
      </c>
      <c r="H87" s="2"/>
      <c r="I87" s="2"/>
      <c r="J87" s="19"/>
    </row>
    <row r="88" spans="1:10" ht="18" x14ac:dyDescent="0.4">
      <c r="A88" s="18"/>
      <c r="B88" s="3" t="s">
        <v>136</v>
      </c>
      <c r="C88" s="5" t="s">
        <v>2</v>
      </c>
      <c r="D88" s="2" t="s">
        <v>137</v>
      </c>
      <c r="E88" s="2"/>
      <c r="F88" s="2"/>
      <c r="G88" s="6">
        <f>Earthing!N22</f>
        <v>12</v>
      </c>
      <c r="H88" s="2"/>
      <c r="I88" s="2"/>
      <c r="J88" s="19"/>
    </row>
    <row r="89" spans="1:10" ht="18" x14ac:dyDescent="0.4">
      <c r="A89" s="18"/>
      <c r="B89" s="3" t="s">
        <v>114</v>
      </c>
      <c r="C89" s="5" t="s">
        <v>2</v>
      </c>
      <c r="D89" s="2" t="s">
        <v>115</v>
      </c>
      <c r="E89" s="2"/>
      <c r="F89" s="2"/>
      <c r="G89" s="2"/>
      <c r="H89" s="2"/>
      <c r="I89" s="40">
        <f>I69</f>
        <v>1.0299999999999998</v>
      </c>
      <c r="J89" s="19"/>
    </row>
    <row r="90" spans="1:10" ht="18" x14ac:dyDescent="0.4">
      <c r="A90" s="18"/>
      <c r="B90" s="30" t="s">
        <v>138</v>
      </c>
      <c r="C90" s="14" t="s">
        <v>2</v>
      </c>
      <c r="D90" s="41">
        <f>(I64/(2*PI()*G87*G88))*((LN(4*G88/(G86/2)))-1+((2*I69*G85/SQRT(I68))*((SQRT(G87)-1)^2)))</f>
        <v>1.2356145093563586</v>
      </c>
      <c r="E90" s="2" t="s">
        <v>122</v>
      </c>
      <c r="F90" s="2"/>
      <c r="G90" s="2"/>
      <c r="H90" s="2"/>
      <c r="I90" s="2"/>
      <c r="J90" s="19"/>
    </row>
    <row r="91" spans="1:10" ht="15.6" x14ac:dyDescent="0.3">
      <c r="A91" s="18"/>
      <c r="B91" s="2"/>
      <c r="C91" s="2"/>
      <c r="D91" s="2"/>
      <c r="E91" s="2"/>
      <c r="F91" s="2"/>
      <c r="G91" s="2"/>
      <c r="H91" s="2"/>
      <c r="I91" s="2"/>
      <c r="J91" s="19"/>
    </row>
    <row r="92" spans="1:10" ht="18" x14ac:dyDescent="0.4">
      <c r="A92" s="18"/>
      <c r="B92" s="2" t="s">
        <v>139</v>
      </c>
      <c r="C92" s="2"/>
      <c r="D92" s="2"/>
      <c r="E92" s="2"/>
      <c r="F92" s="2"/>
      <c r="G92" s="2"/>
      <c r="H92" s="2"/>
      <c r="I92" s="2"/>
      <c r="J92" s="19"/>
    </row>
    <row r="93" spans="1:10" ht="15.6" x14ac:dyDescent="0.3">
      <c r="A93" s="18"/>
      <c r="B93" s="2" t="s">
        <v>140</v>
      </c>
      <c r="C93" s="2"/>
      <c r="D93" s="2"/>
      <c r="E93" s="2"/>
      <c r="F93" s="2"/>
      <c r="G93" s="2"/>
      <c r="H93" s="2"/>
      <c r="I93" s="2"/>
      <c r="J93" s="19"/>
    </row>
    <row r="94" spans="1:10" ht="15.6" x14ac:dyDescent="0.3">
      <c r="A94" s="18"/>
      <c r="B94" s="2"/>
      <c r="C94" s="2"/>
      <c r="D94" s="2"/>
      <c r="E94" s="2"/>
      <c r="F94" s="2"/>
      <c r="G94" s="2"/>
      <c r="H94" s="2"/>
      <c r="I94" s="2"/>
      <c r="J94" s="19"/>
    </row>
    <row r="95" spans="1:10" ht="18" x14ac:dyDescent="0.4">
      <c r="A95" s="18"/>
      <c r="B95" s="2"/>
      <c r="C95" s="2"/>
      <c r="D95" s="42" t="s">
        <v>102</v>
      </c>
      <c r="E95" s="5" t="s">
        <v>95</v>
      </c>
      <c r="F95" s="5" t="s">
        <v>96</v>
      </c>
      <c r="G95" s="2"/>
      <c r="H95" s="2"/>
      <c r="I95" s="2"/>
      <c r="J95" s="19"/>
    </row>
    <row r="96" spans="1:10" ht="18" x14ac:dyDescent="0.4">
      <c r="A96" s="18"/>
      <c r="B96" s="3" t="s">
        <v>91</v>
      </c>
      <c r="C96" s="5" t="s">
        <v>2</v>
      </c>
      <c r="D96" s="3" t="s">
        <v>97</v>
      </c>
      <c r="E96" s="2"/>
      <c r="F96" s="2" t="s">
        <v>98</v>
      </c>
      <c r="G96" s="25" t="s">
        <v>141</v>
      </c>
      <c r="H96" s="2"/>
      <c r="I96" s="2"/>
      <c r="J96" s="19"/>
    </row>
    <row r="97" spans="1:10" ht="18" x14ac:dyDescent="0.4">
      <c r="A97" s="18"/>
      <c r="B97" s="2"/>
      <c r="C97" s="2"/>
      <c r="D97" s="9" t="s">
        <v>142</v>
      </c>
      <c r="E97" s="5" t="s">
        <v>130</v>
      </c>
      <c r="F97" s="5" t="s">
        <v>31</v>
      </c>
      <c r="G97" s="2"/>
      <c r="H97" s="2"/>
      <c r="I97" s="2"/>
      <c r="J97" s="19"/>
    </row>
    <row r="98" spans="1:10" ht="15.6" x14ac:dyDescent="0.3">
      <c r="A98" s="18"/>
      <c r="B98" s="2"/>
      <c r="C98" s="2"/>
      <c r="D98" s="2"/>
      <c r="E98" s="2"/>
      <c r="F98" s="2"/>
      <c r="G98" s="2"/>
      <c r="H98" s="2"/>
      <c r="I98" s="2"/>
      <c r="J98" s="19"/>
    </row>
    <row r="99" spans="1:10" ht="18" x14ac:dyDescent="0.4">
      <c r="A99" s="18"/>
      <c r="B99" s="30" t="s">
        <v>143</v>
      </c>
      <c r="C99" s="14" t="s">
        <v>2</v>
      </c>
      <c r="D99" s="31">
        <f>(I64/(PI()*I65))*((LN(2*I65/G85))+(I69*I65/SQRT(I68))-I71+1)</f>
        <v>0.2492782748697126</v>
      </c>
      <c r="E99" s="2" t="s">
        <v>122</v>
      </c>
      <c r="F99" s="2"/>
      <c r="G99" s="2"/>
      <c r="H99" s="2"/>
      <c r="I99" s="2"/>
      <c r="J99" s="19"/>
    </row>
    <row r="100" spans="1:10" ht="15.6" x14ac:dyDescent="0.3">
      <c r="A100" s="18"/>
      <c r="B100" s="2" t="s">
        <v>144</v>
      </c>
      <c r="C100" s="2"/>
      <c r="D100" s="2"/>
      <c r="E100" s="2"/>
      <c r="F100" s="2"/>
      <c r="G100" s="2"/>
      <c r="H100" s="2"/>
      <c r="I100" s="2"/>
      <c r="J100" s="19"/>
    </row>
    <row r="101" spans="1:10" ht="18" x14ac:dyDescent="0.4">
      <c r="A101" s="18"/>
      <c r="B101" s="14" t="s">
        <v>145</v>
      </c>
      <c r="C101" s="14" t="s">
        <v>2</v>
      </c>
      <c r="D101" s="43">
        <f>(D74*D90-(D99^2))/(D74+D90-(2*D99))</f>
        <v>0.25770791958298783</v>
      </c>
      <c r="E101" s="2" t="s">
        <v>122</v>
      </c>
      <c r="F101" s="2"/>
      <c r="G101" s="2"/>
      <c r="H101" s="2"/>
      <c r="I101" s="2"/>
      <c r="J101" s="19"/>
    </row>
    <row r="102" spans="1:10" ht="15.6" x14ac:dyDescent="0.3">
      <c r="A102" s="18"/>
      <c r="B102" s="2"/>
      <c r="C102" s="2"/>
      <c r="D102" s="2"/>
      <c r="E102" s="2"/>
      <c r="F102" s="2"/>
      <c r="G102" s="2"/>
      <c r="H102" s="2"/>
      <c r="I102" s="2"/>
      <c r="J102" s="19"/>
    </row>
    <row r="103" spans="1:10" ht="15.6" x14ac:dyDescent="0.3">
      <c r="A103" s="17" t="s">
        <v>146</v>
      </c>
      <c r="B103" s="152" t="s">
        <v>147</v>
      </c>
      <c r="C103" s="152"/>
      <c r="D103" s="152"/>
      <c r="E103" s="152"/>
      <c r="F103" s="152"/>
      <c r="G103" s="152"/>
      <c r="H103" s="152"/>
      <c r="I103" s="152"/>
      <c r="J103" s="153"/>
    </row>
    <row r="104" spans="1:10" ht="18" x14ac:dyDescent="0.4">
      <c r="A104" s="18"/>
      <c r="B104" s="2" t="s">
        <v>148</v>
      </c>
      <c r="C104" s="2"/>
      <c r="D104" s="2"/>
      <c r="E104" s="2"/>
      <c r="F104" s="74"/>
      <c r="G104" s="75" t="s">
        <v>2</v>
      </c>
      <c r="H104" s="76" t="s">
        <v>269</v>
      </c>
      <c r="I104" s="2" t="s">
        <v>76</v>
      </c>
      <c r="J104" s="19"/>
    </row>
    <row r="105" spans="1:10" ht="15.6" x14ac:dyDescent="0.3">
      <c r="A105" s="18"/>
      <c r="B105" s="2" t="s">
        <v>86</v>
      </c>
      <c r="C105" s="2"/>
      <c r="D105" s="2"/>
      <c r="E105" s="2"/>
      <c r="F105" s="2"/>
      <c r="G105" s="2"/>
      <c r="H105" s="2"/>
      <c r="I105" s="2"/>
      <c r="J105" s="19"/>
    </row>
    <row r="106" spans="1:10" ht="18" x14ac:dyDescent="0.4">
      <c r="A106" s="18"/>
      <c r="B106" s="2"/>
      <c r="C106" s="2" t="s">
        <v>149</v>
      </c>
      <c r="D106" s="2"/>
      <c r="E106" s="5" t="s">
        <v>2</v>
      </c>
      <c r="F106" s="3" t="s">
        <v>150</v>
      </c>
      <c r="G106" s="2"/>
      <c r="H106" s="2"/>
      <c r="I106" s="2"/>
      <c r="J106" s="19"/>
    </row>
    <row r="107" spans="1:10" ht="15.6" x14ac:dyDescent="0.3">
      <c r="A107" s="18"/>
      <c r="B107" s="2"/>
      <c r="C107" s="2"/>
      <c r="D107" s="2"/>
      <c r="E107" s="5"/>
      <c r="F107" s="3"/>
      <c r="G107" s="2"/>
      <c r="H107" s="2"/>
      <c r="I107" s="2"/>
      <c r="J107" s="19"/>
    </row>
    <row r="108" spans="1:10" ht="15.6" x14ac:dyDescent="0.3">
      <c r="A108" s="18"/>
      <c r="B108" s="2"/>
      <c r="C108" s="2"/>
      <c r="D108" s="2"/>
      <c r="E108" s="2"/>
      <c r="F108" s="3"/>
      <c r="G108" s="2"/>
      <c r="H108" s="2"/>
      <c r="I108" s="2"/>
      <c r="J108" s="19"/>
    </row>
    <row r="109" spans="1:10" ht="18" x14ac:dyDescent="0.4">
      <c r="A109" s="18"/>
      <c r="B109" s="2"/>
      <c r="C109" s="2"/>
      <c r="D109" s="5" t="s">
        <v>151</v>
      </c>
      <c r="E109" s="5" t="s">
        <v>2</v>
      </c>
      <c r="F109" s="133">
        <f>(Earthing!G10*Earthing!N38)</f>
        <v>15.75</v>
      </c>
      <c r="G109" s="2" t="s">
        <v>152</v>
      </c>
      <c r="H109" s="2"/>
      <c r="I109" s="2"/>
      <c r="J109" s="19"/>
    </row>
    <row r="110" spans="1:10" ht="15.6" x14ac:dyDescent="0.3">
      <c r="A110" s="18"/>
      <c r="B110" s="2" t="s">
        <v>79</v>
      </c>
      <c r="C110" s="2"/>
      <c r="D110" s="2"/>
      <c r="E110" s="2"/>
      <c r="F110" s="3"/>
      <c r="G110" s="2"/>
      <c r="H110" s="2"/>
      <c r="I110" s="2"/>
      <c r="J110" s="19"/>
    </row>
    <row r="111" spans="1:10" ht="15.6" x14ac:dyDescent="0.3">
      <c r="A111" s="18"/>
      <c r="B111" s="2"/>
      <c r="C111" s="2"/>
      <c r="D111" s="2"/>
      <c r="E111" s="2"/>
      <c r="F111" s="3"/>
      <c r="G111" s="2"/>
      <c r="H111" s="2"/>
      <c r="I111" s="2"/>
      <c r="J111" s="19"/>
    </row>
    <row r="112" spans="1:10" ht="15.6" x14ac:dyDescent="0.3">
      <c r="A112" s="18"/>
      <c r="B112" s="2" t="s">
        <v>153</v>
      </c>
      <c r="C112" s="2"/>
      <c r="D112" s="2"/>
      <c r="E112" s="5" t="s">
        <v>2</v>
      </c>
      <c r="F112" s="44">
        <f>F109*D101*1000</f>
        <v>4058.8997334320584</v>
      </c>
      <c r="G112" s="2" t="s">
        <v>76</v>
      </c>
      <c r="H112" s="2"/>
      <c r="I112" s="2"/>
      <c r="J112" s="19"/>
    </row>
    <row r="113" spans="1:10" ht="15.6" x14ac:dyDescent="0.3">
      <c r="A113" s="18"/>
      <c r="B113" s="2"/>
      <c r="C113" s="2"/>
      <c r="D113" s="2"/>
      <c r="E113" s="5"/>
      <c r="F113" s="45"/>
      <c r="G113" s="2"/>
      <c r="H113" s="2"/>
      <c r="I113" s="2"/>
      <c r="J113" s="19"/>
    </row>
    <row r="114" spans="1:10" ht="18" x14ac:dyDescent="0.4">
      <c r="A114" s="18"/>
      <c r="B114" s="2" t="s">
        <v>154</v>
      </c>
      <c r="C114" s="2"/>
      <c r="D114" s="2"/>
      <c r="E114" s="5"/>
      <c r="F114" s="45"/>
      <c r="G114" s="2"/>
      <c r="H114" s="2"/>
      <c r="I114" s="2"/>
      <c r="J114" s="19"/>
    </row>
    <row r="115" spans="1:10" ht="15.6" x14ac:dyDescent="0.3">
      <c r="A115" s="18"/>
      <c r="B115" s="2" t="s">
        <v>155</v>
      </c>
      <c r="C115" s="2"/>
      <c r="D115" s="2"/>
      <c r="E115" s="5"/>
      <c r="F115" s="45"/>
      <c r="G115" s="2"/>
      <c r="H115" s="2"/>
      <c r="I115" s="2"/>
      <c r="J115" s="19"/>
    </row>
    <row r="116" spans="1:10" ht="15.6" x14ac:dyDescent="0.3">
      <c r="A116" s="18"/>
      <c r="B116" s="2"/>
      <c r="C116" s="2"/>
      <c r="D116" s="2"/>
      <c r="E116" s="5"/>
      <c r="F116" s="45"/>
      <c r="G116" s="2"/>
      <c r="H116" s="2"/>
      <c r="I116" s="2"/>
      <c r="J116" s="19"/>
    </row>
    <row r="117" spans="1:10" ht="18" x14ac:dyDescent="0.4">
      <c r="A117" s="17" t="s">
        <v>156</v>
      </c>
      <c r="B117" s="152" t="s">
        <v>157</v>
      </c>
      <c r="C117" s="152"/>
      <c r="D117" s="152"/>
      <c r="E117" s="152"/>
      <c r="F117" s="152"/>
      <c r="G117" s="152"/>
      <c r="H117" s="152"/>
      <c r="I117" s="152"/>
      <c r="J117" s="153"/>
    </row>
    <row r="118" spans="1:10" ht="15.6" x14ac:dyDescent="0.3">
      <c r="A118" s="18"/>
      <c r="B118" s="2"/>
      <c r="C118" s="2"/>
      <c r="D118" s="2"/>
      <c r="E118" s="2"/>
      <c r="F118" s="2"/>
      <c r="G118" s="2"/>
      <c r="H118" s="2"/>
      <c r="I118" s="2"/>
      <c r="J118" s="19"/>
    </row>
    <row r="119" spans="1:10" ht="15.6" x14ac:dyDescent="0.3">
      <c r="A119" s="18"/>
      <c r="B119" s="2" t="s">
        <v>158</v>
      </c>
      <c r="C119" s="2"/>
      <c r="D119" s="2"/>
      <c r="E119" s="2"/>
      <c r="F119" s="2"/>
      <c r="G119" s="2"/>
      <c r="H119" s="2"/>
      <c r="I119" s="2"/>
      <c r="J119" s="19"/>
    </row>
    <row r="120" spans="1:10" ht="15.6" x14ac:dyDescent="0.3">
      <c r="A120" s="18"/>
      <c r="B120" s="2"/>
      <c r="C120" s="2"/>
      <c r="D120" s="2"/>
      <c r="E120" s="2"/>
      <c r="F120" s="2"/>
      <c r="G120" s="2"/>
      <c r="H120" s="2"/>
      <c r="I120" s="2"/>
      <c r="J120" s="19"/>
    </row>
    <row r="121" spans="1:10" ht="15.6" x14ac:dyDescent="0.3">
      <c r="A121" s="18"/>
      <c r="B121" s="2"/>
      <c r="C121" s="80" t="s">
        <v>272</v>
      </c>
      <c r="D121" s="13"/>
      <c r="E121" s="13"/>
      <c r="F121" s="2"/>
      <c r="G121" s="2"/>
      <c r="H121" s="2"/>
      <c r="I121" s="2"/>
      <c r="J121" s="19"/>
    </row>
    <row r="122" spans="1:10" ht="15.6" x14ac:dyDescent="0.3">
      <c r="A122" s="18"/>
      <c r="B122" s="2"/>
      <c r="C122" s="2"/>
      <c r="D122" s="2"/>
      <c r="E122" s="2"/>
      <c r="F122" s="2"/>
      <c r="G122" s="2"/>
      <c r="H122" s="2"/>
      <c r="I122" s="2"/>
      <c r="J122" s="19"/>
    </row>
    <row r="123" spans="1:10" ht="18" x14ac:dyDescent="0.4">
      <c r="A123" s="18"/>
      <c r="B123" s="2"/>
      <c r="C123" s="2"/>
      <c r="D123" s="2"/>
      <c r="E123" s="5" t="s">
        <v>130</v>
      </c>
      <c r="F123" s="2"/>
      <c r="G123" s="2"/>
      <c r="H123" s="2"/>
      <c r="I123" s="2"/>
      <c r="J123" s="19"/>
    </row>
    <row r="124" spans="1:10" ht="18" x14ac:dyDescent="0.4">
      <c r="A124" s="18"/>
      <c r="B124" s="2"/>
      <c r="C124" s="2" t="s">
        <v>159</v>
      </c>
      <c r="D124" s="2" t="s">
        <v>160</v>
      </c>
      <c r="E124" s="2"/>
      <c r="F124" s="5" t="s">
        <v>161</v>
      </c>
      <c r="G124" s="2" t="s">
        <v>162</v>
      </c>
      <c r="H124" s="2"/>
      <c r="I124" s="2"/>
      <c r="J124" s="19"/>
    </row>
    <row r="125" spans="1:10" ht="19.8" x14ac:dyDescent="0.4">
      <c r="A125" s="18"/>
      <c r="B125" s="2"/>
      <c r="C125" s="2"/>
      <c r="D125" s="2"/>
      <c r="E125" s="5" t="s">
        <v>163</v>
      </c>
      <c r="F125" s="2"/>
      <c r="G125" s="2"/>
      <c r="H125" s="2"/>
      <c r="I125" s="2"/>
      <c r="J125" s="19"/>
    </row>
    <row r="126" spans="1:10" ht="15.6" x14ac:dyDescent="0.3">
      <c r="A126" s="18"/>
      <c r="B126" s="2" t="s">
        <v>86</v>
      </c>
      <c r="C126" s="2"/>
      <c r="D126" s="2"/>
      <c r="E126" s="2"/>
      <c r="F126" s="2"/>
      <c r="G126" s="2"/>
      <c r="H126" s="2"/>
      <c r="I126" s="2"/>
      <c r="J126" s="19"/>
    </row>
    <row r="127" spans="1:10" ht="18" x14ac:dyDescent="0.4">
      <c r="A127" s="18"/>
      <c r="B127" s="5" t="s">
        <v>130</v>
      </c>
      <c r="C127" s="5" t="s">
        <v>2</v>
      </c>
      <c r="D127" s="2" t="s">
        <v>164</v>
      </c>
      <c r="E127" s="2"/>
      <c r="F127" s="2"/>
      <c r="G127" s="2"/>
      <c r="H127" s="5" t="s">
        <v>2</v>
      </c>
      <c r="I127" s="6">
        <v>3</v>
      </c>
      <c r="J127" s="19" t="s">
        <v>107</v>
      </c>
    </row>
    <row r="128" spans="1:10" ht="18" x14ac:dyDescent="0.4">
      <c r="A128" s="18"/>
      <c r="B128" s="5" t="s">
        <v>165</v>
      </c>
      <c r="C128" s="5" t="s">
        <v>2</v>
      </c>
      <c r="D128" s="2" t="s">
        <v>166</v>
      </c>
      <c r="E128" s="2"/>
      <c r="F128" s="2"/>
      <c r="G128" s="2"/>
      <c r="H128" s="2"/>
      <c r="I128" s="6">
        <f>Earthing!N6</f>
        <v>100</v>
      </c>
      <c r="J128" s="19" t="s">
        <v>107</v>
      </c>
    </row>
    <row r="129" spans="1:10" ht="18.600000000000001" thickBot="1" x14ac:dyDescent="0.45">
      <c r="A129" s="32"/>
      <c r="B129" s="47" t="s">
        <v>167</v>
      </c>
      <c r="C129" s="47" t="s">
        <v>2</v>
      </c>
      <c r="D129" s="33" t="s">
        <v>168</v>
      </c>
      <c r="E129" s="33"/>
      <c r="F129" s="33"/>
      <c r="G129" s="33"/>
      <c r="H129" s="33"/>
      <c r="I129" s="48">
        <f>Earthing!N8</f>
        <v>50</v>
      </c>
      <c r="J129" s="34" t="s">
        <v>107</v>
      </c>
    </row>
    <row r="130" spans="1:10" ht="15.6" x14ac:dyDescent="0.3">
      <c r="A130" s="35"/>
      <c r="B130" s="35"/>
      <c r="C130" s="35"/>
      <c r="D130" s="35"/>
      <c r="E130" s="35"/>
      <c r="F130" s="35"/>
      <c r="G130" s="35"/>
      <c r="H130" s="35"/>
      <c r="I130" s="35"/>
      <c r="J130" s="35"/>
    </row>
    <row r="131" spans="1:10" ht="16.2" thickBot="1" x14ac:dyDescent="0.35">
      <c r="A131" s="33"/>
      <c r="B131" s="33"/>
      <c r="C131" s="33"/>
      <c r="D131" s="33"/>
      <c r="E131" s="33"/>
      <c r="F131" s="33"/>
      <c r="G131" s="33"/>
      <c r="H131" s="33"/>
      <c r="I131" s="33"/>
      <c r="J131" s="33"/>
    </row>
    <row r="132" spans="1:10" ht="15.6" x14ac:dyDescent="0.3">
      <c r="A132" s="18"/>
      <c r="B132" s="2"/>
      <c r="C132" s="2"/>
      <c r="D132" s="2"/>
      <c r="E132" s="2"/>
      <c r="F132" s="2"/>
      <c r="G132" s="2"/>
      <c r="H132" s="2"/>
      <c r="I132" s="2"/>
      <c r="J132" s="19"/>
    </row>
    <row r="133" spans="1:10" ht="18" x14ac:dyDescent="0.4">
      <c r="A133" s="18"/>
      <c r="B133" s="5" t="s">
        <v>169</v>
      </c>
      <c r="C133" s="2" t="s">
        <v>2</v>
      </c>
      <c r="D133" s="2" t="s">
        <v>170</v>
      </c>
      <c r="E133" s="2"/>
      <c r="F133" s="2"/>
      <c r="G133" s="2"/>
      <c r="H133" s="5" t="s">
        <v>2</v>
      </c>
      <c r="I133" s="6">
        <f>F109</f>
        <v>15.75</v>
      </c>
      <c r="J133" s="19"/>
    </row>
    <row r="134" spans="1:10" ht="18" x14ac:dyDescent="0.4">
      <c r="A134" s="18"/>
      <c r="B134" s="5" t="s">
        <v>171</v>
      </c>
      <c r="C134" s="2" t="s">
        <v>2</v>
      </c>
      <c r="D134" s="2" t="s">
        <v>172</v>
      </c>
      <c r="E134" s="2"/>
      <c r="F134" s="2"/>
      <c r="G134" s="2"/>
      <c r="H134" s="5" t="s">
        <v>2</v>
      </c>
      <c r="I134" s="16">
        <f>G201</f>
        <v>3.857071963123591</v>
      </c>
      <c r="J134" s="19"/>
    </row>
    <row r="135" spans="1:10" ht="15.6" x14ac:dyDescent="0.3">
      <c r="A135" s="18"/>
      <c r="B135" s="5" t="s">
        <v>173</v>
      </c>
      <c r="C135" s="2"/>
      <c r="D135" s="2"/>
      <c r="E135" s="2"/>
      <c r="F135" s="2"/>
      <c r="G135" s="2"/>
      <c r="H135" s="5"/>
      <c r="I135" s="49"/>
      <c r="J135" s="19"/>
    </row>
    <row r="136" spans="1:10" ht="15.6" x14ac:dyDescent="0.3">
      <c r="A136" s="18"/>
      <c r="B136" s="2"/>
      <c r="C136" s="2"/>
      <c r="D136" s="2"/>
      <c r="E136" s="2"/>
      <c r="F136" s="2"/>
      <c r="G136" s="2"/>
      <c r="H136" s="2"/>
      <c r="I136" s="2"/>
      <c r="J136" s="19"/>
    </row>
    <row r="137" spans="1:10" ht="18" x14ac:dyDescent="0.4">
      <c r="A137" s="18"/>
      <c r="B137" s="5" t="s">
        <v>136</v>
      </c>
      <c r="C137" s="5" t="s">
        <v>2</v>
      </c>
      <c r="D137" s="2" t="s">
        <v>137</v>
      </c>
      <c r="E137" s="2"/>
      <c r="F137" s="2"/>
      <c r="G137" s="2"/>
      <c r="H137" s="5" t="s">
        <v>2</v>
      </c>
      <c r="I137" s="6">
        <f>Earthing!N22</f>
        <v>12</v>
      </c>
      <c r="J137" s="19" t="s">
        <v>107</v>
      </c>
    </row>
    <row r="138" spans="1:10" ht="15.6" x14ac:dyDescent="0.3">
      <c r="A138" s="18"/>
      <c r="B138" s="2" t="s">
        <v>144</v>
      </c>
      <c r="C138" s="2"/>
      <c r="D138" s="2"/>
      <c r="E138" s="2"/>
      <c r="F138" s="2"/>
      <c r="G138" s="2"/>
      <c r="H138" s="2"/>
      <c r="I138" s="2"/>
      <c r="J138" s="19"/>
    </row>
    <row r="139" spans="1:10" ht="15.6" x14ac:dyDescent="0.3">
      <c r="A139" s="18"/>
      <c r="B139" s="2"/>
      <c r="C139" s="2"/>
      <c r="D139" s="2"/>
      <c r="E139" s="2"/>
      <c r="F139" s="2"/>
      <c r="G139" s="2"/>
      <c r="H139" s="2"/>
      <c r="I139" s="2"/>
      <c r="J139" s="19"/>
    </row>
    <row r="140" spans="1:10" ht="18" x14ac:dyDescent="0.4">
      <c r="A140" s="18"/>
      <c r="B140" s="5" t="s">
        <v>174</v>
      </c>
      <c r="C140" s="5" t="s">
        <v>2</v>
      </c>
      <c r="D140" s="50">
        <f>I65+(1.55+(1.22*(I127/(SQRT(I128^2+I129^2)))))*I137</f>
        <v>3180.9928324222874</v>
      </c>
      <c r="E140" s="2" t="s">
        <v>107</v>
      </c>
      <c r="F140" s="2"/>
      <c r="G140" s="2"/>
      <c r="H140" s="2"/>
      <c r="I140" s="2"/>
      <c r="J140" s="19"/>
    </row>
    <row r="141" spans="1:10" ht="15.6" x14ac:dyDescent="0.3">
      <c r="A141" s="18"/>
      <c r="B141" s="2"/>
      <c r="C141" s="2"/>
      <c r="D141" s="2"/>
      <c r="E141" s="2"/>
      <c r="F141" s="2"/>
      <c r="G141" s="2"/>
      <c r="H141" s="2"/>
      <c r="I141" s="2"/>
      <c r="J141" s="19"/>
    </row>
    <row r="142" spans="1:10" ht="15.6" x14ac:dyDescent="0.3">
      <c r="A142" s="18"/>
      <c r="B142" s="2" t="s">
        <v>175</v>
      </c>
      <c r="C142" s="2"/>
      <c r="D142" s="2"/>
      <c r="E142" s="2"/>
      <c r="F142" s="2"/>
      <c r="G142" s="2"/>
      <c r="H142" s="2"/>
      <c r="I142" s="2"/>
      <c r="J142" s="19"/>
    </row>
    <row r="143" spans="1:10" ht="15.6" x14ac:dyDescent="0.3">
      <c r="A143" s="18"/>
      <c r="B143" s="2"/>
      <c r="C143" s="2"/>
      <c r="D143" s="2"/>
      <c r="E143" s="2"/>
      <c r="F143" s="2"/>
      <c r="G143" s="2"/>
      <c r="H143" s="2"/>
      <c r="I143" s="2"/>
      <c r="J143" s="19"/>
    </row>
    <row r="144" spans="1:10" ht="18.600000000000001" x14ac:dyDescent="0.3">
      <c r="A144" s="18"/>
      <c r="B144" s="51"/>
      <c r="C144" s="51">
        <v>1</v>
      </c>
      <c r="D144" s="51" t="s">
        <v>176</v>
      </c>
      <c r="E144" s="51" t="s">
        <v>177</v>
      </c>
      <c r="F144" s="52" t="s">
        <v>178</v>
      </c>
      <c r="G144" s="52" t="s">
        <v>179</v>
      </c>
      <c r="H144" s="51">
        <v>8</v>
      </c>
      <c r="I144" s="51"/>
      <c r="J144" s="19"/>
    </row>
    <row r="145" spans="1:10" ht="18" x14ac:dyDescent="0.3">
      <c r="A145" s="18"/>
      <c r="B145" s="51" t="s">
        <v>180</v>
      </c>
      <c r="C145" s="51" t="s">
        <v>181</v>
      </c>
      <c r="D145" s="51" t="s">
        <v>182</v>
      </c>
      <c r="E145" s="51"/>
      <c r="F145" s="51" t="s">
        <v>183</v>
      </c>
      <c r="G145" s="51" t="s">
        <v>184</v>
      </c>
      <c r="H145" s="51"/>
      <c r="I145" s="51"/>
      <c r="J145" s="19"/>
    </row>
    <row r="146" spans="1:10" ht="18" x14ac:dyDescent="0.3">
      <c r="A146" s="18"/>
      <c r="B146" s="51"/>
      <c r="C146" s="46" t="s">
        <v>185</v>
      </c>
      <c r="D146" s="51" t="s">
        <v>186</v>
      </c>
      <c r="E146" s="51" t="s">
        <v>187</v>
      </c>
      <c r="F146" s="52" t="s">
        <v>188</v>
      </c>
      <c r="G146" s="52" t="s">
        <v>189</v>
      </c>
      <c r="H146" s="53" t="s">
        <v>190</v>
      </c>
      <c r="I146" s="51"/>
      <c r="J146" s="54"/>
    </row>
    <row r="147" spans="1:10" ht="15.6" x14ac:dyDescent="0.3">
      <c r="A147" s="18"/>
      <c r="B147" s="2"/>
      <c r="C147" s="2"/>
      <c r="D147" s="2"/>
      <c r="E147" s="2"/>
      <c r="F147" s="2"/>
      <c r="G147" s="2"/>
      <c r="H147" s="2"/>
      <c r="I147" s="2"/>
      <c r="J147" s="19"/>
    </row>
    <row r="148" spans="1:10" ht="15.6" x14ac:dyDescent="0.3">
      <c r="A148" s="23"/>
      <c r="B148" s="2"/>
      <c r="C148" s="2"/>
      <c r="D148" s="2"/>
      <c r="E148" s="2"/>
      <c r="F148" s="2"/>
      <c r="G148" s="2"/>
      <c r="H148" s="2"/>
      <c r="I148" s="2"/>
      <c r="J148" s="54"/>
    </row>
    <row r="149" spans="1:10" ht="15.6" x14ac:dyDescent="0.3">
      <c r="A149" s="18"/>
      <c r="B149" s="2" t="s">
        <v>191</v>
      </c>
      <c r="C149" s="2"/>
      <c r="D149" s="2"/>
      <c r="E149" s="2"/>
      <c r="F149" s="5" t="s">
        <v>2</v>
      </c>
      <c r="G149" s="21">
        <f>(SQRT(Earthing!G43*4/3.14159))/1000</f>
        <v>1.7150724775676821E-2</v>
      </c>
      <c r="H149" s="2" t="s">
        <v>33</v>
      </c>
      <c r="I149" s="2"/>
      <c r="J149" s="19"/>
    </row>
    <row r="150" spans="1:10" ht="15.6" x14ac:dyDescent="0.3">
      <c r="A150" s="18"/>
      <c r="B150" s="2"/>
      <c r="C150" s="2"/>
      <c r="D150" s="2"/>
      <c r="E150" s="2"/>
      <c r="F150" s="2"/>
      <c r="G150" s="2"/>
      <c r="H150" s="2"/>
      <c r="I150" s="2"/>
      <c r="J150" s="19"/>
    </row>
    <row r="151" spans="1:10" ht="18" x14ac:dyDescent="0.3">
      <c r="A151" s="18"/>
      <c r="B151" s="51" t="s">
        <v>192</v>
      </c>
      <c r="C151" s="51"/>
      <c r="D151" s="51" t="s">
        <v>193</v>
      </c>
      <c r="E151" s="51"/>
      <c r="F151" s="51"/>
      <c r="G151" s="2"/>
      <c r="H151" s="2"/>
      <c r="I151" s="2"/>
      <c r="J151" s="19"/>
    </row>
    <row r="152" spans="1:10" ht="15.6" x14ac:dyDescent="0.3">
      <c r="A152" s="18"/>
      <c r="B152" s="2"/>
      <c r="C152" s="2"/>
      <c r="D152" s="2"/>
      <c r="E152" s="2"/>
      <c r="F152" s="2"/>
      <c r="G152" s="2"/>
      <c r="H152" s="2"/>
      <c r="I152" s="2"/>
      <c r="J152" s="19"/>
    </row>
    <row r="153" spans="1:10" ht="18" x14ac:dyDescent="0.4">
      <c r="A153" s="18"/>
      <c r="B153" s="2"/>
      <c r="C153" s="2" t="s">
        <v>189</v>
      </c>
      <c r="D153" s="2"/>
      <c r="E153" s="2"/>
      <c r="F153" s="5" t="s">
        <v>2</v>
      </c>
      <c r="G153" s="40">
        <f>SQRT(1+Earthing!G36/Earthing!N34)</f>
        <v>1.4142135623730951</v>
      </c>
      <c r="H153" s="2"/>
      <c r="I153" s="2"/>
      <c r="J153" s="19"/>
    </row>
    <row r="154" spans="1:10" ht="15.6" x14ac:dyDescent="0.3">
      <c r="A154" s="18"/>
      <c r="B154" s="2"/>
      <c r="C154" s="2"/>
      <c r="D154" s="2"/>
      <c r="E154" s="2"/>
      <c r="F154" s="2"/>
      <c r="G154" s="2"/>
      <c r="H154" s="2"/>
      <c r="I154" s="2"/>
      <c r="J154" s="19"/>
    </row>
    <row r="155" spans="1:10" ht="18" x14ac:dyDescent="0.4">
      <c r="A155" s="18"/>
      <c r="B155" s="2" t="s">
        <v>194</v>
      </c>
      <c r="C155" s="2"/>
      <c r="D155" s="2"/>
      <c r="E155" s="2"/>
      <c r="F155" s="5" t="s">
        <v>2</v>
      </c>
      <c r="G155" s="2" t="s">
        <v>195</v>
      </c>
      <c r="H155" s="2" t="s">
        <v>196</v>
      </c>
      <c r="I155" s="2"/>
      <c r="J155" s="19"/>
    </row>
    <row r="156" spans="1:10" ht="15.6" x14ac:dyDescent="0.3">
      <c r="A156" s="18"/>
      <c r="B156" s="2"/>
      <c r="C156" s="2"/>
      <c r="D156" s="2"/>
      <c r="E156" s="2"/>
      <c r="F156" s="5"/>
      <c r="G156" s="2"/>
      <c r="H156" s="2"/>
      <c r="I156" s="2"/>
      <c r="J156" s="19"/>
    </row>
    <row r="157" spans="1:10" ht="18" x14ac:dyDescent="0.4">
      <c r="A157" s="18"/>
      <c r="B157" s="2" t="s">
        <v>86</v>
      </c>
      <c r="C157" s="2" t="s">
        <v>197</v>
      </c>
      <c r="D157" s="2"/>
      <c r="E157" s="5"/>
      <c r="F157" s="2"/>
      <c r="G157" s="2"/>
      <c r="H157" s="5" t="s">
        <v>198</v>
      </c>
      <c r="I157" s="2"/>
      <c r="J157" s="19"/>
    </row>
    <row r="158" spans="1:10" ht="18" x14ac:dyDescent="0.4">
      <c r="A158" s="18"/>
      <c r="B158" s="2"/>
      <c r="C158" s="3" t="s">
        <v>199</v>
      </c>
      <c r="D158" s="5" t="s">
        <v>2</v>
      </c>
      <c r="E158" s="2" t="s">
        <v>200</v>
      </c>
      <c r="F158" s="3" t="s">
        <v>201</v>
      </c>
      <c r="G158" s="5" t="s">
        <v>2</v>
      </c>
      <c r="H158" s="2"/>
      <c r="I158" s="2"/>
      <c r="J158" s="19"/>
    </row>
    <row r="159" spans="1:10" ht="15.6" x14ac:dyDescent="0.3">
      <c r="A159" s="18"/>
      <c r="B159" s="2"/>
      <c r="C159" s="2"/>
      <c r="D159" s="2"/>
      <c r="E159" s="2"/>
      <c r="F159" s="2"/>
      <c r="G159" s="2"/>
      <c r="H159" s="55" t="s">
        <v>202</v>
      </c>
      <c r="I159" s="2"/>
      <c r="J159" s="19"/>
    </row>
    <row r="160" spans="1:10" ht="15.6" x14ac:dyDescent="0.3">
      <c r="A160" s="18"/>
      <c r="B160" s="2"/>
      <c r="C160" s="2"/>
      <c r="D160" s="2"/>
      <c r="E160" s="2"/>
      <c r="F160" s="7" t="s">
        <v>203</v>
      </c>
      <c r="G160" s="2"/>
      <c r="H160" s="2"/>
      <c r="I160" s="2"/>
      <c r="J160" s="19"/>
    </row>
    <row r="161" spans="1:10" ht="18" x14ac:dyDescent="0.4">
      <c r="A161" s="18"/>
      <c r="B161" s="2"/>
      <c r="C161" s="2"/>
      <c r="D161" s="2"/>
      <c r="E161" s="5" t="s">
        <v>204</v>
      </c>
      <c r="F161" s="56" t="s">
        <v>204</v>
      </c>
      <c r="G161" s="2"/>
      <c r="H161" s="5" t="s">
        <v>205</v>
      </c>
      <c r="I161" s="2"/>
      <c r="J161" s="19"/>
    </row>
    <row r="162" spans="1:10" ht="18" x14ac:dyDescent="0.4">
      <c r="A162" s="18"/>
      <c r="B162" s="2"/>
      <c r="C162" s="3" t="s">
        <v>206</v>
      </c>
      <c r="D162" s="5" t="s">
        <v>2</v>
      </c>
      <c r="E162" s="2"/>
      <c r="F162" s="3" t="s">
        <v>207</v>
      </c>
      <c r="G162" s="5" t="s">
        <v>208</v>
      </c>
      <c r="H162" s="2"/>
      <c r="I162" s="2"/>
      <c r="J162" s="19"/>
    </row>
    <row r="163" spans="1:10" ht="19.8" x14ac:dyDescent="0.4">
      <c r="A163" s="18"/>
      <c r="B163" s="2"/>
      <c r="C163" s="2"/>
      <c r="D163" s="2"/>
      <c r="E163" s="55" t="s">
        <v>31</v>
      </c>
      <c r="F163" s="5"/>
      <c r="G163" s="2"/>
      <c r="H163" s="5" t="s">
        <v>209</v>
      </c>
      <c r="I163" s="2"/>
      <c r="J163" s="19"/>
    </row>
    <row r="164" spans="1:10" ht="15.6" x14ac:dyDescent="0.3">
      <c r="A164" s="18"/>
      <c r="B164" s="2"/>
      <c r="C164" s="2"/>
      <c r="D164" s="2"/>
      <c r="E164" s="55"/>
      <c r="F164" s="5"/>
      <c r="G164" s="2"/>
      <c r="H164" s="5"/>
      <c r="I164" s="2"/>
      <c r="J164" s="19"/>
    </row>
    <row r="165" spans="1:10" ht="15.6" x14ac:dyDescent="0.3">
      <c r="A165" s="18"/>
      <c r="B165" s="2" t="s">
        <v>86</v>
      </c>
      <c r="C165" s="2"/>
      <c r="D165" s="2"/>
      <c r="E165" s="2"/>
      <c r="F165" s="5"/>
      <c r="G165" s="2"/>
      <c r="H165" s="2"/>
      <c r="I165" s="2"/>
      <c r="J165" s="19"/>
    </row>
    <row r="166" spans="1:10" ht="18" x14ac:dyDescent="0.4">
      <c r="A166" s="18"/>
      <c r="B166" s="3" t="s">
        <v>198</v>
      </c>
      <c r="C166" s="5" t="s">
        <v>2</v>
      </c>
      <c r="D166" s="2" t="s">
        <v>210</v>
      </c>
      <c r="E166" s="2"/>
      <c r="F166" s="5"/>
      <c r="G166" s="2"/>
      <c r="H166" s="5" t="s">
        <v>2</v>
      </c>
      <c r="I166" s="6">
        <f>2*Earthing!G30+2*Earthing!G32</f>
        <v>300</v>
      </c>
      <c r="J166" s="19" t="s">
        <v>107</v>
      </c>
    </row>
    <row r="167" spans="1:10" ht="18" x14ac:dyDescent="0.4">
      <c r="A167" s="18"/>
      <c r="B167" s="3" t="s">
        <v>205</v>
      </c>
      <c r="C167" s="5" t="s">
        <v>2</v>
      </c>
      <c r="D167" s="2" t="s">
        <v>211</v>
      </c>
      <c r="E167" s="2"/>
      <c r="F167" s="5"/>
      <c r="G167" s="2"/>
      <c r="H167" s="2"/>
      <c r="I167" s="2"/>
      <c r="J167" s="19"/>
    </row>
    <row r="168" spans="1:10" ht="15.6" x14ac:dyDescent="0.3">
      <c r="A168" s="18"/>
      <c r="B168" s="2"/>
      <c r="C168" s="2"/>
      <c r="D168" s="2" t="s">
        <v>212</v>
      </c>
      <c r="E168" s="2"/>
      <c r="F168" s="5"/>
      <c r="G168" s="2"/>
      <c r="H168" s="5" t="s">
        <v>2</v>
      </c>
      <c r="I168" s="57">
        <f>SQRT((Earthing!N6*Earthing!N6)+(Earthing!N8*Earthing!N8))</f>
        <v>111.80339887498948</v>
      </c>
      <c r="J168" s="19" t="s">
        <v>107</v>
      </c>
    </row>
    <row r="169" spans="1:10" ht="15.6" x14ac:dyDescent="0.3">
      <c r="A169" s="18"/>
      <c r="B169" s="2" t="s">
        <v>213</v>
      </c>
      <c r="C169" s="2"/>
      <c r="D169" s="2"/>
      <c r="E169" s="2"/>
      <c r="F169" s="5"/>
      <c r="G169" s="2"/>
      <c r="H169" s="2"/>
      <c r="I169" s="2"/>
      <c r="J169" s="19"/>
    </row>
    <row r="170" spans="1:10" ht="15.6" x14ac:dyDescent="0.3">
      <c r="A170" s="18"/>
      <c r="B170" s="2"/>
      <c r="C170" s="2"/>
      <c r="D170" s="2"/>
      <c r="E170" s="2"/>
      <c r="F170" s="5"/>
      <c r="G170" s="2"/>
      <c r="H170" s="2"/>
      <c r="I170" s="2"/>
      <c r="J170" s="19"/>
    </row>
    <row r="171" spans="1:10" ht="18" x14ac:dyDescent="0.4">
      <c r="A171" s="18"/>
      <c r="B171" s="3" t="s">
        <v>199</v>
      </c>
      <c r="C171" s="5" t="s">
        <v>2</v>
      </c>
      <c r="D171" s="58">
        <f>(2*I65)/I166</f>
        <v>21.08</v>
      </c>
      <c r="E171" s="3" t="s">
        <v>201</v>
      </c>
      <c r="F171" s="5" t="s">
        <v>2</v>
      </c>
      <c r="G171" s="59">
        <f>SQRT(I166/(4*SQRT(Calculations!I68)))</f>
        <v>1.0298835719535588</v>
      </c>
      <c r="H171" s="2"/>
      <c r="I171" s="2"/>
      <c r="J171" s="19"/>
    </row>
    <row r="172" spans="1:10" ht="15.6" x14ac:dyDescent="0.3">
      <c r="A172" s="18"/>
      <c r="B172" s="2"/>
      <c r="C172" s="2"/>
      <c r="D172" s="2"/>
      <c r="E172" s="2"/>
      <c r="F172" s="5"/>
      <c r="G172" s="2"/>
      <c r="H172" s="2"/>
      <c r="I172" s="2"/>
      <c r="J172" s="19"/>
    </row>
    <row r="173" spans="1:10" ht="18" x14ac:dyDescent="0.4">
      <c r="A173" s="18"/>
      <c r="B173" s="3" t="s">
        <v>206</v>
      </c>
      <c r="C173" s="5" t="s">
        <v>2</v>
      </c>
      <c r="D173" s="5">
        <f>((I128*I129)/I68)^((0.7*I68)/(I128*I129))</f>
        <v>1</v>
      </c>
      <c r="E173" s="3" t="s">
        <v>207</v>
      </c>
      <c r="F173" s="5" t="s">
        <v>2</v>
      </c>
      <c r="G173" s="58">
        <v>1</v>
      </c>
      <c r="H173" s="2"/>
      <c r="I173" s="2"/>
      <c r="J173" s="19"/>
    </row>
    <row r="174" spans="1:10" ht="15.6" x14ac:dyDescent="0.3">
      <c r="A174" s="18"/>
      <c r="B174" s="2"/>
      <c r="C174" s="2"/>
      <c r="D174" s="2"/>
      <c r="E174" s="2"/>
      <c r="F174" s="5"/>
      <c r="G174" s="49"/>
      <c r="H174" s="2"/>
      <c r="I174" s="2"/>
      <c r="J174" s="19"/>
    </row>
    <row r="175" spans="1:10" ht="15.6" x14ac:dyDescent="0.3">
      <c r="A175" s="18"/>
      <c r="B175" s="3" t="s">
        <v>214</v>
      </c>
      <c r="C175" s="5" t="s">
        <v>2</v>
      </c>
      <c r="D175" s="50">
        <f>D171*G171*D173*G173</f>
        <v>21.70994569678102</v>
      </c>
      <c r="E175" s="2"/>
      <c r="F175" s="5" t="s">
        <v>2</v>
      </c>
      <c r="G175" s="15">
        <f>D175</f>
        <v>21.70994569678102</v>
      </c>
      <c r="H175" s="2" t="s">
        <v>215</v>
      </c>
      <c r="I175" s="2"/>
      <c r="J175" s="19"/>
    </row>
    <row r="176" spans="1:10" ht="15.6" x14ac:dyDescent="0.3">
      <c r="A176" s="18"/>
      <c r="B176" s="2"/>
      <c r="C176" s="2"/>
      <c r="D176" s="2"/>
      <c r="E176" s="2"/>
      <c r="F176" s="2"/>
      <c r="G176" s="2"/>
      <c r="H176" s="2"/>
      <c r="I176" s="2"/>
      <c r="J176" s="19"/>
    </row>
    <row r="177" spans="1:10" ht="15.6" x14ac:dyDescent="0.3">
      <c r="A177" s="18"/>
      <c r="B177" s="2" t="s">
        <v>216</v>
      </c>
      <c r="C177" s="2"/>
      <c r="D177" s="2"/>
      <c r="E177" s="2"/>
      <c r="F177" s="2"/>
      <c r="G177" s="2"/>
      <c r="H177" s="2"/>
      <c r="I177" s="2"/>
      <c r="J177" s="19"/>
    </row>
    <row r="178" spans="1:10" ht="18" x14ac:dyDescent="0.4">
      <c r="A178" s="18"/>
      <c r="B178" s="2"/>
      <c r="C178" s="2" t="s">
        <v>217</v>
      </c>
      <c r="D178" s="2"/>
      <c r="E178" s="2"/>
      <c r="F178" s="5" t="s">
        <v>2</v>
      </c>
      <c r="G178" s="2" t="s">
        <v>218</v>
      </c>
      <c r="H178" s="2"/>
      <c r="I178" s="2" t="s">
        <v>219</v>
      </c>
      <c r="J178" s="19"/>
    </row>
    <row r="179" spans="1:10" ht="15.6" x14ac:dyDescent="0.3">
      <c r="A179" s="18"/>
      <c r="B179" s="2"/>
      <c r="C179" s="2"/>
      <c r="D179" s="2"/>
      <c r="E179" s="2"/>
      <c r="F179" s="2"/>
      <c r="G179" s="2"/>
      <c r="H179" s="2"/>
      <c r="I179" s="2"/>
      <c r="J179" s="19"/>
    </row>
    <row r="180" spans="1:10" ht="15.6" x14ac:dyDescent="0.3">
      <c r="A180" s="18"/>
      <c r="B180" s="2"/>
      <c r="C180" s="2"/>
      <c r="D180" s="2"/>
      <c r="E180" s="2"/>
      <c r="F180" s="5" t="s">
        <v>2</v>
      </c>
      <c r="G180" s="40">
        <f>0.644+(0.148*G175)</f>
        <v>3.857071963123591</v>
      </c>
      <c r="H180" s="2"/>
      <c r="I180" s="2"/>
      <c r="J180" s="19"/>
    </row>
    <row r="181" spans="1:10" ht="15.6" x14ac:dyDescent="0.3">
      <c r="A181" s="18"/>
      <c r="B181" s="2" t="s">
        <v>220</v>
      </c>
      <c r="C181" s="2"/>
      <c r="D181" s="2"/>
      <c r="E181" s="2"/>
      <c r="F181" s="2"/>
      <c r="G181" s="2"/>
      <c r="H181" s="2"/>
      <c r="I181" s="2"/>
      <c r="J181" s="19"/>
    </row>
    <row r="182" spans="1:10" ht="18" x14ac:dyDescent="0.4">
      <c r="A182" s="18"/>
      <c r="B182" s="2"/>
      <c r="C182" s="2"/>
      <c r="D182" s="2"/>
      <c r="E182" s="2" t="s">
        <v>221</v>
      </c>
      <c r="F182" s="5" t="s">
        <v>2</v>
      </c>
      <c r="G182" s="60">
        <f>(1/(2*3.14))*(LN(((Earthing!N30*Earthing!N30)/(16*Earthing!G36*G149))+(((Earthing!N30+(2*Earthing!G36))*(Earthing!N30+(2*Earthing!G36)))/(8*Earthing!N30*G149))-(Earthing!G36/(4*G149)))+((H8/G153)*(LN(8/(3.14*((2*G175)-1))))))</f>
        <v>0.74750374278871379</v>
      </c>
      <c r="H182" s="61"/>
      <c r="I182" s="61"/>
      <c r="J182" s="19"/>
    </row>
    <row r="183" spans="1:10" ht="15.6" x14ac:dyDescent="0.3">
      <c r="A183" s="18"/>
      <c r="B183" s="2"/>
      <c r="C183" s="2"/>
      <c r="D183" s="2"/>
      <c r="E183" s="2"/>
      <c r="F183" s="2"/>
      <c r="G183" s="2"/>
      <c r="H183" s="2"/>
      <c r="I183" s="2"/>
      <c r="J183" s="19"/>
    </row>
    <row r="184" spans="1:10" ht="18" x14ac:dyDescent="0.4">
      <c r="A184" s="18"/>
      <c r="C184" s="2" t="s">
        <v>222</v>
      </c>
      <c r="D184" s="2" t="s">
        <v>223</v>
      </c>
      <c r="F184" s="5" t="s">
        <v>2</v>
      </c>
      <c r="G184" s="22">
        <f>Earthing!N26*G182*G180*F109*1000/D140</f>
        <v>701.20876978108413</v>
      </c>
      <c r="H184" s="2" t="s">
        <v>76</v>
      </c>
      <c r="I184" s="2"/>
      <c r="J184" s="19"/>
    </row>
    <row r="185" spans="1:10" ht="16.2" thickBot="1" x14ac:dyDescent="0.35">
      <c r="A185" s="32"/>
      <c r="B185" s="33"/>
      <c r="C185" s="33"/>
      <c r="D185" s="33"/>
      <c r="E185" s="33"/>
      <c r="F185" s="33"/>
      <c r="G185" s="33"/>
      <c r="H185" s="33"/>
      <c r="I185" s="33"/>
      <c r="J185" s="34"/>
    </row>
    <row r="186" spans="1:10" ht="18" x14ac:dyDescent="0.4">
      <c r="A186" s="17" t="s">
        <v>224</v>
      </c>
      <c r="B186" s="154" t="s">
        <v>225</v>
      </c>
      <c r="C186" s="154"/>
      <c r="D186" s="154"/>
      <c r="E186" s="154"/>
      <c r="F186" s="154"/>
      <c r="G186" s="154"/>
      <c r="H186" s="154"/>
      <c r="I186" s="154"/>
      <c r="J186" s="155"/>
    </row>
    <row r="187" spans="1:10" ht="15.6" x14ac:dyDescent="0.3">
      <c r="A187" s="18"/>
      <c r="B187" s="2"/>
      <c r="C187" s="2"/>
      <c r="D187" s="2"/>
      <c r="E187" s="2"/>
      <c r="F187" s="2"/>
      <c r="G187" s="2"/>
      <c r="H187" s="2"/>
      <c r="I187" s="2"/>
      <c r="J187" s="19"/>
    </row>
    <row r="188" spans="1:10" ht="15.6" x14ac:dyDescent="0.3">
      <c r="A188" s="18"/>
      <c r="B188" s="2" t="s">
        <v>226</v>
      </c>
      <c r="C188" s="2"/>
      <c r="D188" s="2"/>
      <c r="E188" s="2"/>
      <c r="F188" s="2"/>
      <c r="G188" s="2"/>
      <c r="H188" s="2"/>
      <c r="I188" s="2"/>
      <c r="J188" s="19"/>
    </row>
    <row r="189" spans="1:10" ht="15.6" x14ac:dyDescent="0.3">
      <c r="A189" s="18"/>
      <c r="B189" s="2"/>
      <c r="C189" s="2"/>
      <c r="D189" s="2"/>
      <c r="E189" s="46" t="s">
        <v>227</v>
      </c>
      <c r="F189" s="2"/>
      <c r="G189" s="2"/>
      <c r="H189" s="2"/>
      <c r="I189" s="51" t="s">
        <v>228</v>
      </c>
      <c r="J189" s="19"/>
    </row>
    <row r="190" spans="1:10" ht="15.6" x14ac:dyDescent="0.3">
      <c r="A190" s="18"/>
      <c r="B190" s="2"/>
      <c r="C190" s="2"/>
      <c r="D190" s="2"/>
      <c r="E190" s="2"/>
      <c r="F190" s="2"/>
      <c r="G190" s="2"/>
      <c r="H190" s="2"/>
      <c r="I190" s="2"/>
      <c r="J190" s="19"/>
    </row>
    <row r="191" spans="1:10" ht="15.6" x14ac:dyDescent="0.3">
      <c r="A191" s="18"/>
      <c r="B191" s="2" t="s">
        <v>229</v>
      </c>
      <c r="C191" s="2"/>
      <c r="D191" s="2"/>
      <c r="E191" s="2"/>
      <c r="F191" s="2"/>
      <c r="G191" s="2"/>
      <c r="H191" s="2"/>
      <c r="I191" s="2"/>
      <c r="J191" s="19"/>
    </row>
    <row r="192" spans="1:10" ht="15.6" x14ac:dyDescent="0.3">
      <c r="A192" s="18"/>
      <c r="B192" s="2"/>
      <c r="C192" s="2"/>
      <c r="D192" s="2"/>
      <c r="E192" s="2"/>
      <c r="F192" s="2"/>
      <c r="G192" s="2"/>
      <c r="H192" s="2"/>
      <c r="I192" s="2"/>
      <c r="J192" s="19"/>
    </row>
    <row r="193" spans="1:10" ht="15.6" x14ac:dyDescent="0.3">
      <c r="A193" s="18"/>
      <c r="B193" s="51"/>
      <c r="C193" s="51" t="s">
        <v>230</v>
      </c>
      <c r="D193" s="52">
        <v>1</v>
      </c>
      <c r="E193" s="51">
        <v>1</v>
      </c>
      <c r="F193" s="51"/>
      <c r="G193" s="2"/>
      <c r="H193" s="2"/>
      <c r="I193" s="2"/>
      <c r="J193" s="19"/>
    </row>
    <row r="194" spans="1:10" ht="18.600000000000001" x14ac:dyDescent="0.3">
      <c r="A194" s="18"/>
      <c r="B194" s="51" t="s">
        <v>231</v>
      </c>
      <c r="C194" s="51" t="s">
        <v>232</v>
      </c>
      <c r="D194" s="62" t="s">
        <v>98</v>
      </c>
      <c r="E194" s="51" t="s">
        <v>233</v>
      </c>
      <c r="F194" s="63"/>
      <c r="G194" s="51" t="s">
        <v>234</v>
      </c>
      <c r="H194" s="51"/>
      <c r="I194" s="2"/>
      <c r="J194" s="19"/>
    </row>
    <row r="195" spans="1:10" ht="15.6" x14ac:dyDescent="0.3">
      <c r="A195" s="18"/>
      <c r="B195" s="51"/>
      <c r="C195" s="53" t="s">
        <v>235</v>
      </c>
      <c r="D195" s="51" t="s">
        <v>236</v>
      </c>
      <c r="E195" s="51" t="s">
        <v>237</v>
      </c>
      <c r="F195" s="51"/>
      <c r="G195" s="52"/>
      <c r="H195" s="52"/>
      <c r="I195" s="2"/>
      <c r="J195" s="19"/>
    </row>
    <row r="196" spans="1:10" ht="15.6" x14ac:dyDescent="0.3">
      <c r="A196" s="18"/>
      <c r="B196" s="2"/>
      <c r="C196" s="2"/>
      <c r="D196" s="2"/>
      <c r="E196" s="2"/>
      <c r="F196" s="2"/>
      <c r="G196" s="2"/>
      <c r="H196" s="2"/>
      <c r="I196" s="2"/>
      <c r="J196" s="19"/>
    </row>
    <row r="197" spans="1:10" ht="15.6" x14ac:dyDescent="0.3">
      <c r="A197" s="18"/>
      <c r="B197" s="2" t="s">
        <v>238</v>
      </c>
      <c r="C197" s="2"/>
      <c r="D197" s="2"/>
      <c r="E197" s="2"/>
      <c r="F197" s="5" t="s">
        <v>2</v>
      </c>
      <c r="G197" s="15">
        <f>G175</f>
        <v>21.70994569678102</v>
      </c>
      <c r="H197" s="2"/>
      <c r="I197" s="2"/>
      <c r="J197" s="19"/>
    </row>
    <row r="198" spans="1:10" ht="15.6" x14ac:dyDescent="0.3">
      <c r="A198" s="18"/>
      <c r="B198" s="2"/>
      <c r="C198" s="2"/>
      <c r="D198" s="2"/>
      <c r="E198" s="5" t="s">
        <v>214</v>
      </c>
      <c r="F198" s="5" t="s">
        <v>239</v>
      </c>
      <c r="G198" s="15">
        <f>G197</f>
        <v>21.70994569678102</v>
      </c>
      <c r="H198" s="2"/>
      <c r="I198" s="2"/>
      <c r="J198" s="19"/>
    </row>
    <row r="199" spans="1:10" ht="15.6" x14ac:dyDescent="0.3">
      <c r="A199" s="18"/>
      <c r="B199" s="2" t="s">
        <v>216</v>
      </c>
      <c r="C199" s="2"/>
      <c r="D199" s="2"/>
      <c r="E199" s="2"/>
      <c r="F199" s="2"/>
      <c r="G199" s="2"/>
      <c r="H199" s="2"/>
      <c r="I199" s="2"/>
      <c r="J199" s="19"/>
    </row>
    <row r="200" spans="1:10" ht="18" x14ac:dyDescent="0.4">
      <c r="A200" s="18"/>
      <c r="B200" s="2"/>
      <c r="C200" s="2" t="s">
        <v>217</v>
      </c>
      <c r="D200" s="2"/>
      <c r="E200" s="2"/>
      <c r="F200" s="5" t="s">
        <v>2</v>
      </c>
      <c r="G200" s="2" t="s">
        <v>218</v>
      </c>
      <c r="H200" s="2"/>
      <c r="I200" s="2"/>
      <c r="J200" s="19"/>
    </row>
    <row r="201" spans="1:10" ht="18" x14ac:dyDescent="0.4">
      <c r="A201" s="18"/>
      <c r="B201" s="2"/>
      <c r="C201" s="2"/>
      <c r="D201" s="2"/>
      <c r="E201" s="2" t="s">
        <v>240</v>
      </c>
      <c r="F201" s="5" t="s">
        <v>2</v>
      </c>
      <c r="G201" s="16">
        <f>0.644+(0.148*G175)</f>
        <v>3.857071963123591</v>
      </c>
      <c r="H201" s="2"/>
      <c r="I201" s="2"/>
      <c r="J201" s="19"/>
    </row>
    <row r="202" spans="1:10" ht="15.6" x14ac:dyDescent="0.3">
      <c r="A202" s="18"/>
      <c r="B202" s="2"/>
      <c r="C202" s="2"/>
      <c r="D202" s="2"/>
      <c r="E202" s="2"/>
      <c r="F202" s="2"/>
      <c r="G202" s="5"/>
      <c r="H202" s="2"/>
      <c r="I202" s="2"/>
      <c r="J202" s="19"/>
    </row>
    <row r="203" spans="1:10" ht="18" x14ac:dyDescent="0.4">
      <c r="A203" s="18"/>
      <c r="B203" s="2"/>
      <c r="C203" s="2"/>
      <c r="D203" s="2"/>
      <c r="E203" s="2" t="s">
        <v>241</v>
      </c>
      <c r="F203" s="5" t="s">
        <v>2</v>
      </c>
      <c r="G203" s="64">
        <f>(1/3.14)*(((1/(2*Earthing!G36)))+(1/(Earthing!N30+Earthing!G36))+((1/Earthing!N30)*(1-POWER(0.5,G197-2))))</f>
        <v>0.30254767786269737</v>
      </c>
      <c r="H203" s="2"/>
      <c r="I203" s="2"/>
      <c r="J203" s="54"/>
    </row>
    <row r="204" spans="1:10" ht="15.6" x14ac:dyDescent="0.3">
      <c r="A204" s="18"/>
      <c r="B204" s="2"/>
      <c r="C204" s="2"/>
      <c r="D204" s="2"/>
      <c r="E204" s="2"/>
      <c r="F204" s="5"/>
      <c r="G204" s="65"/>
      <c r="H204" s="2"/>
      <c r="I204" s="2"/>
      <c r="J204" s="54"/>
    </row>
    <row r="205" spans="1:10" ht="15.6" x14ac:dyDescent="0.3">
      <c r="A205" s="18"/>
      <c r="B205" s="2" t="s">
        <v>242</v>
      </c>
      <c r="C205" s="2"/>
      <c r="D205" s="2"/>
      <c r="E205" s="2"/>
      <c r="F205" s="5"/>
      <c r="G205" s="65"/>
      <c r="H205" s="2"/>
      <c r="I205" s="2"/>
      <c r="J205" s="54"/>
    </row>
    <row r="206" spans="1:10" ht="15.6" x14ac:dyDescent="0.3">
      <c r="A206" s="18"/>
      <c r="B206" s="2"/>
      <c r="C206" s="2"/>
      <c r="D206" s="2"/>
      <c r="E206" s="2"/>
      <c r="F206" s="5"/>
      <c r="G206" s="65"/>
      <c r="H206" s="2"/>
      <c r="I206" s="2"/>
      <c r="J206" s="54"/>
    </row>
    <row r="207" spans="1:10" ht="18" x14ac:dyDescent="0.4">
      <c r="A207" s="18"/>
      <c r="B207" s="3" t="s">
        <v>243</v>
      </c>
      <c r="C207" s="5" t="s">
        <v>2</v>
      </c>
      <c r="D207" s="2" t="s">
        <v>244</v>
      </c>
      <c r="E207" s="2"/>
      <c r="F207" s="51" t="s">
        <v>245</v>
      </c>
      <c r="G207" s="65"/>
      <c r="H207" s="2"/>
      <c r="I207" s="2"/>
      <c r="J207" s="54"/>
    </row>
    <row r="208" spans="1:10" ht="18" x14ac:dyDescent="0.4">
      <c r="A208" s="18"/>
      <c r="B208" s="3" t="s">
        <v>105</v>
      </c>
      <c r="C208" s="5" t="s">
        <v>2</v>
      </c>
      <c r="D208" s="2" t="s">
        <v>246</v>
      </c>
      <c r="E208" s="2"/>
      <c r="F208" s="2"/>
      <c r="G208" s="2"/>
      <c r="H208" s="2"/>
      <c r="I208" s="2"/>
      <c r="J208" s="54"/>
    </row>
    <row r="209" spans="1:10" ht="18" x14ac:dyDescent="0.4">
      <c r="A209" s="18"/>
      <c r="B209" s="3" t="s">
        <v>136</v>
      </c>
      <c r="C209" s="5" t="s">
        <v>2</v>
      </c>
      <c r="D209" s="2" t="s">
        <v>137</v>
      </c>
      <c r="E209" s="2"/>
      <c r="F209" s="2"/>
      <c r="G209" s="65"/>
      <c r="H209" s="2"/>
      <c r="I209" s="2"/>
      <c r="J209" s="54"/>
    </row>
    <row r="210" spans="1:10" ht="15.6" x14ac:dyDescent="0.3">
      <c r="A210" s="18"/>
      <c r="B210" s="2"/>
      <c r="C210" s="2"/>
      <c r="D210" s="2"/>
      <c r="E210" s="2"/>
      <c r="F210" s="5"/>
      <c r="G210" s="65"/>
      <c r="H210" s="2"/>
      <c r="I210" s="2"/>
      <c r="J210" s="54"/>
    </row>
    <row r="211" spans="1:10" ht="18" x14ac:dyDescent="0.4">
      <c r="A211" s="18"/>
      <c r="B211" s="3" t="s">
        <v>243</v>
      </c>
      <c r="C211" s="5" t="s">
        <v>2</v>
      </c>
      <c r="D211" s="66">
        <f>(0.75*I65)+(0.85*I137)</f>
        <v>2381.6999999999998</v>
      </c>
      <c r="E211" s="2" t="s">
        <v>107</v>
      </c>
      <c r="F211" s="5"/>
      <c r="G211" s="65"/>
      <c r="H211" s="2"/>
      <c r="I211" s="2"/>
      <c r="J211" s="54"/>
    </row>
    <row r="212" spans="1:10" ht="15.6" x14ac:dyDescent="0.3">
      <c r="A212" s="18"/>
      <c r="B212" s="2"/>
      <c r="C212" s="2"/>
      <c r="D212" s="2"/>
      <c r="E212" s="2"/>
      <c r="F212" s="5"/>
      <c r="G212" s="65"/>
      <c r="H212" s="2"/>
      <c r="I212" s="2"/>
      <c r="J212" s="54"/>
    </row>
    <row r="213" spans="1:10" ht="15.6" x14ac:dyDescent="0.3">
      <c r="A213" s="18"/>
      <c r="B213" s="2"/>
      <c r="C213" s="2"/>
      <c r="D213" s="2"/>
      <c r="E213" s="2"/>
      <c r="F213" s="5"/>
      <c r="G213" s="65"/>
      <c r="H213" s="2"/>
      <c r="I213" s="2"/>
      <c r="J213" s="54"/>
    </row>
    <row r="214" spans="1:10" ht="15.6" x14ac:dyDescent="0.3">
      <c r="A214" s="18"/>
      <c r="B214" s="2" t="s">
        <v>79</v>
      </c>
      <c r="C214" s="2"/>
      <c r="D214" s="2"/>
      <c r="E214" s="2"/>
      <c r="F214" s="2"/>
      <c r="G214" s="2"/>
      <c r="H214" s="2"/>
      <c r="I214" s="2"/>
      <c r="J214" s="54"/>
    </row>
    <row r="215" spans="1:10" ht="18" x14ac:dyDescent="0.4">
      <c r="A215" s="18"/>
      <c r="B215" s="2"/>
      <c r="C215" s="2" t="s">
        <v>247</v>
      </c>
      <c r="D215" s="2"/>
      <c r="E215" s="2"/>
      <c r="F215" s="5" t="s">
        <v>2</v>
      </c>
      <c r="G215" s="22">
        <f>Earthing!N26*G203*G201*F109*1000/D211</f>
        <v>379.05604357542921</v>
      </c>
      <c r="H215" s="51" t="s">
        <v>76</v>
      </c>
      <c r="I215" s="2"/>
      <c r="J215" s="19"/>
    </row>
    <row r="216" spans="1:10" ht="15.6" x14ac:dyDescent="0.3">
      <c r="A216" s="18"/>
      <c r="B216" s="2"/>
      <c r="C216" s="2"/>
      <c r="D216" s="2"/>
      <c r="E216" s="2"/>
      <c r="F216" s="5"/>
      <c r="G216" s="45"/>
      <c r="H216" s="51"/>
      <c r="I216" s="2"/>
      <c r="J216" s="19"/>
    </row>
    <row r="217" spans="1:10" ht="15.6" x14ac:dyDescent="0.3">
      <c r="A217" s="18"/>
      <c r="B217" s="2" t="s">
        <v>309</v>
      </c>
      <c r="C217" s="2"/>
      <c r="D217" s="2" t="str">
        <f>IF(Earthing!G48&gt;Earthing!N51, (IF(Earthing!G51&gt;Earthing!G54,(IF(Earthing!N51&gt;Earthing!N54, Calculations!B217,Calculations!B218)),Calculations!B218)),Calculations!B218)</f>
        <v>SAFE</v>
      </c>
      <c r="E217" s="2"/>
      <c r="F217" s="5"/>
      <c r="G217" s="45"/>
      <c r="H217" s="51"/>
      <c r="I217" s="2"/>
      <c r="J217" s="19"/>
    </row>
    <row r="218" spans="1:10" ht="15.6" x14ac:dyDescent="0.3">
      <c r="A218" s="77"/>
      <c r="B218" s="69" t="s">
        <v>310</v>
      </c>
      <c r="C218" s="69"/>
      <c r="D218" s="69"/>
      <c r="E218" s="69"/>
      <c r="F218" s="69"/>
      <c r="G218" s="69"/>
      <c r="H218" s="69"/>
      <c r="I218" s="69"/>
      <c r="J218" s="78"/>
    </row>
  </sheetData>
  <mergeCells count="9">
    <mergeCell ref="B103:J103"/>
    <mergeCell ref="B117:J117"/>
    <mergeCell ref="B186:J186"/>
    <mergeCell ref="A3:B3"/>
    <mergeCell ref="B16:J16"/>
    <mergeCell ref="B18:C18"/>
    <mergeCell ref="B35:C35"/>
    <mergeCell ref="F80:G80"/>
    <mergeCell ref="F82:G82"/>
  </mergeCells>
  <hyperlinks>
    <hyperlink ref="M2" r:id="rId1" xr:uid="{83FA51E6-F174-4607-83CA-2CEF5A162012}"/>
  </hyperlinks>
  <pageMargins left="0.45" right="0.2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Earthing</vt:lpstr>
      <vt:lpstr>Calculations</vt:lpstr>
      <vt:lpstr>Earthing!Print_Area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2025-03-17T16:18:09Z</dcterms:modified>
</cp:coreProperties>
</file>