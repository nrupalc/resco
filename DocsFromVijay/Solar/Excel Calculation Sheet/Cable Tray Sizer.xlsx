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4139B5C8-060F-4CC4-BEA5-333F9F1A1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 Tray Siz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N35" i="1"/>
  <c r="N34" i="1"/>
  <c r="J34" i="1"/>
  <c r="J27" i="1"/>
  <c r="E26" i="1"/>
  <c r="I22" i="1"/>
  <c r="J28" i="1" s="1"/>
  <c r="F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H22" i="1" s="1"/>
  <c r="N29" i="1" s="1"/>
  <c r="J10" i="1"/>
  <c r="H10" i="1"/>
  <c r="J9" i="1"/>
  <c r="H9" i="1"/>
  <c r="J8" i="1"/>
  <c r="H8" i="1"/>
  <c r="J7" i="1"/>
  <c r="J22" i="1" s="1"/>
  <c r="H7" i="1"/>
  <c r="E29" i="1" l="1"/>
  <c r="N30" i="1"/>
  <c r="E30" i="1" s="1"/>
  <c r="J37" i="1" s="1"/>
  <c r="J36" i="1" l="1"/>
  <c r="J26" i="1"/>
  <c r="N28" i="1" l="1"/>
  <c r="H30" i="1" l="1"/>
  <c r="J29" i="1"/>
  <c r="N31" i="1" s="1"/>
  <c r="J33" i="1" l="1"/>
  <c r="J32" i="1"/>
  <c r="J35" i="1" s="1"/>
  <c r="J31" i="1"/>
</calcChain>
</file>

<file path=xl/sharedStrings.xml><?xml version="1.0" encoding="utf-8"?>
<sst xmlns="http://schemas.openxmlformats.org/spreadsheetml/2006/main" count="81" uniqueCount="67">
  <si>
    <t>CABLE TRAY:  FROM</t>
  </si>
  <si>
    <t>A</t>
  </si>
  <si>
    <t>TO</t>
  </si>
  <si>
    <t>B</t>
  </si>
  <si>
    <t>LENGTH OF CABLE TRAY (Meter):</t>
  </si>
  <si>
    <t>Sr. No.</t>
  </si>
  <si>
    <t>Cable Route (From-To)</t>
  </si>
  <si>
    <t>Type &amp; Cable Size</t>
  </si>
  <si>
    <t>Size of Cable (mm2)</t>
  </si>
  <si>
    <t>No. of Cable</t>
  </si>
  <si>
    <t>Overall Diameter of each Cable (mm)</t>
  </si>
  <si>
    <t>Sum of Cable OD
(mm)</t>
  </si>
  <si>
    <t>Self Weight of Cable
(Kg/Mt)</t>
  </si>
  <si>
    <t>Total Weight of Cable
(Kg/Mt)</t>
  </si>
  <si>
    <t>Remarks</t>
  </si>
  <si>
    <t>T/C To D.G Panel-1</t>
  </si>
  <si>
    <t>3.5C x 70 Sq. mm</t>
  </si>
  <si>
    <t>T/C To D.G Panel-2</t>
  </si>
  <si>
    <t>3.5C x 300 Sq. mm</t>
  </si>
  <si>
    <t>T/C To D.G Panel-3</t>
  </si>
  <si>
    <t>T/C To LT  Panel-1</t>
  </si>
  <si>
    <t>T/C To LT  Panel-2</t>
  </si>
  <si>
    <t>T/C To LT  Panel-3</t>
  </si>
  <si>
    <t>3.5C x 400 Sq. mm</t>
  </si>
  <si>
    <t>Total</t>
  </si>
  <si>
    <t>:Calculation:</t>
  </si>
  <si>
    <t>:Result:</t>
  </si>
  <si>
    <t>Maximum Cable Diameter:</t>
  </si>
  <si>
    <t>mm</t>
  </si>
  <si>
    <t>Selected Cable Tray width:</t>
  </si>
  <si>
    <t>Consider Spare Capacity of Cable Tray:</t>
  </si>
  <si>
    <t>Selected  Cable Tray Depth:</t>
  </si>
  <si>
    <t>Distance between each Cable:</t>
  </si>
  <si>
    <t>Selectrd  Cable Tray Weight:</t>
  </si>
  <si>
    <t>Including Spare Capacity</t>
  </si>
  <si>
    <t>Calculated Width of Cable Tray:</t>
  </si>
  <si>
    <t>Selected  Cable Tray Size:</t>
  </si>
  <si>
    <t>Calculated Area of Cable Tray:</t>
  </si>
  <si>
    <t>Sq.mm</t>
  </si>
  <si>
    <t>No of Layer of Cables in Cable Tray:</t>
  </si>
  <si>
    <t xml:space="preserve">Required Cable Tray Size:  </t>
  </si>
  <si>
    <t>Selected No of Cable Tray:</t>
  </si>
  <si>
    <t>No</t>
  </si>
  <si>
    <t xml:space="preserve">Required Nos of Cable Tray:  </t>
  </si>
  <si>
    <t>Selected Cable Tray Width:</t>
  </si>
  <si>
    <t xml:space="preserve">Required Cable Tray Weight:  </t>
  </si>
  <si>
    <t>Kg/Meter/Tray</t>
  </si>
  <si>
    <t>Selected Cable Tray Depth:</t>
  </si>
  <si>
    <t>Type of Cable Tray:</t>
  </si>
  <si>
    <t>Selected Cable Tray Weight Capacity:</t>
  </si>
  <si>
    <t>Kg/Meter</t>
  </si>
  <si>
    <t>Total Length of Cable Tray:</t>
  </si>
  <si>
    <t>Meter</t>
  </si>
  <si>
    <t>Perforated</t>
  </si>
  <si>
    <t>Cable Tray Width Area Remaning:</t>
  </si>
  <si>
    <t>Total Area of Cable Tray:</t>
  </si>
  <si>
    <t>Cable Tray Area Remaning:</t>
  </si>
  <si>
    <t>Standard Ladder Type Cable Tray</t>
  </si>
  <si>
    <t>Width</t>
  </si>
  <si>
    <t>150/200/300/450/600 mm</t>
  </si>
  <si>
    <t>Height</t>
  </si>
  <si>
    <t>50/75/100 mm</t>
  </si>
  <si>
    <t>Standard Perforated Type Cable Tray</t>
  </si>
  <si>
    <t>25/50 mm</t>
  </si>
  <si>
    <t>https://www.flasysdesign.com/</t>
  </si>
  <si>
    <t>Email: contact@flasysdesign.com</t>
  </si>
  <si>
    <t>Cable Tray Size Calculation: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</si>
</sst>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color rgb="FF0000FF"/>
      <name val="Arial Narrow"/>
      <family val="2"/>
    </font>
    <font>
      <b/>
      <u/>
      <sz val="11"/>
      <color rgb="FF632423"/>
      <name val="Arial Narrow"/>
      <family val="2"/>
    </font>
    <font>
      <b/>
      <sz val="10"/>
      <color rgb="FF632423"/>
      <name val="Arial Narrow"/>
      <family val="2"/>
    </font>
    <font>
      <sz val="11"/>
      <name val="Calibri"/>
      <family val="2"/>
    </font>
    <font>
      <b/>
      <sz val="10"/>
      <color theme="1"/>
      <name val="Arial Narrow"/>
      <family val="2"/>
    </font>
    <font>
      <b/>
      <sz val="10"/>
      <color rgb="FF002060"/>
      <name val="Arial Narrow"/>
      <family val="2"/>
    </font>
    <font>
      <b/>
      <sz val="10"/>
      <color theme="1"/>
      <name val="Arial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6"/>
      <color rgb="FF006600"/>
      <name val="Arial Narrow"/>
      <family val="2"/>
    </font>
    <font>
      <b/>
      <u/>
      <sz val="16"/>
      <color rgb="FF006600"/>
      <name val="Arial Narrow"/>
      <family val="2"/>
    </font>
    <font>
      <b/>
      <u/>
      <sz val="16"/>
      <color rgb="FF632423"/>
      <name val="Arial Narrow"/>
      <family val="2"/>
    </font>
    <font>
      <b/>
      <u/>
      <sz val="16"/>
      <color rgb="FF632423"/>
      <name val="Arial Narrow"/>
      <family val="2"/>
    </font>
    <font>
      <b/>
      <sz val="12"/>
      <color rgb="FF002060"/>
      <name val="Arial"/>
      <family val="2"/>
    </font>
    <font>
      <b/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2060"/>
      <name val="Arial Narrow"/>
      <family val="2"/>
    </font>
    <font>
      <b/>
      <sz val="12"/>
      <color rgb="FFC00000"/>
      <name val="Arial Narrow"/>
      <family val="2"/>
    </font>
    <font>
      <b/>
      <sz val="14"/>
      <color rgb="FF0000FF"/>
      <name val="Arial Narrow"/>
      <family val="2"/>
    </font>
    <font>
      <b/>
      <sz val="10"/>
      <color rgb="FF0000FF"/>
      <name val="Arial"/>
      <family val="2"/>
    </font>
    <font>
      <b/>
      <sz val="10"/>
      <color rgb="FF000066"/>
      <name val="Arial"/>
      <family val="2"/>
    </font>
    <font>
      <u/>
      <sz val="11"/>
      <color theme="10"/>
      <name val="Calibri"/>
      <family val="2"/>
      <scheme val="minor"/>
    </font>
    <font>
      <b/>
      <u/>
      <sz val="20"/>
      <color rgb="FFFF0000"/>
      <name val="Arial Narrow"/>
      <family val="2"/>
    </font>
    <font>
      <sz val="11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EEECE1"/>
        <bgColor rgb="FFEEECE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6" fillId="5" borderId="8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2" fontId="19" fillId="0" borderId="0" xfId="0" applyNumberFormat="1" applyFont="1" applyAlignment="1">
      <alignment horizontal="left" vertical="center"/>
    </xf>
    <xf numFmtId="9" fontId="9" fillId="5" borderId="5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5" borderId="5" xfId="0" applyFont="1" applyFill="1" applyBorder="1" applyAlignment="1">
      <alignment horizontal="center" vertical="center"/>
    </xf>
    <xf numFmtId="1" fontId="16" fillId="5" borderId="8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9" fontId="20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left" vertical="center"/>
    </xf>
    <xf numFmtId="9" fontId="17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4" fillId="0" borderId="0" xfId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23" fillId="6" borderId="11" xfId="0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6" xfId="0" applyFont="1" applyBorder="1"/>
    <xf numFmtId="0" fontId="6" fillId="0" borderId="15" xfId="0" applyFont="1" applyBorder="1"/>
    <xf numFmtId="0" fontId="6" fillId="0" borderId="4" xfId="0" applyFont="1" applyBorder="1"/>
    <xf numFmtId="0" fontId="17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7" xfId="0" applyFont="1" applyBorder="1"/>
    <xf numFmtId="0" fontId="6" fillId="0" borderId="2" xfId="0" applyFont="1" applyBorder="1"/>
    <xf numFmtId="0" fontId="11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6" fillId="7" borderId="0" xfId="0" applyFont="1" applyFill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33CC"/>
          <bgColor rgb="FFFF33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26</xdr:row>
      <xdr:rowOff>104775</xdr:rowOff>
    </xdr:from>
    <xdr:ext cx="971550" cy="971550"/>
    <xdr:pic>
      <xdr:nvPicPr>
        <xdr:cNvPr id="2" name="image1.jpg" descr="ladder-type-cable-trays-250x25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0</xdr:colOff>
      <xdr:row>0</xdr:row>
      <xdr:rowOff>22860</xdr:rowOff>
    </xdr:from>
    <xdr:to>
      <xdr:col>7</xdr:col>
      <xdr:colOff>982980</xdr:colOff>
      <xdr:row>1</xdr:row>
      <xdr:rowOff>138063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59FC26-0DD2-43F4-B9BA-01DFCFDD2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2360" y="22860"/>
          <a:ext cx="982980" cy="298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L9" sqref="L9"/>
    </sheetView>
  </sheetViews>
  <sheetFormatPr defaultColWidth="14.44140625" defaultRowHeight="15" customHeight="1" x14ac:dyDescent="0.3"/>
  <cols>
    <col min="1" max="1" width="1.44140625" customWidth="1"/>
    <col min="2" max="2" width="8.33203125" customWidth="1"/>
    <col min="3" max="3" width="31.6640625" customWidth="1"/>
    <col min="4" max="4" width="21.33203125" customWidth="1"/>
    <col min="5" max="5" width="12.5546875" customWidth="1"/>
    <col min="6" max="6" width="12.33203125" customWidth="1"/>
    <col min="7" max="7" width="21" customWidth="1"/>
    <col min="8" max="8" width="15.44140625" customWidth="1"/>
    <col min="9" max="9" width="18.88671875" customWidth="1"/>
    <col min="10" max="10" width="19" customWidth="1"/>
    <col min="11" max="11" width="23.109375" customWidth="1"/>
    <col min="12" max="13" width="23.88671875" customWidth="1"/>
    <col min="14" max="14" width="12.44140625" hidden="1" customWidth="1"/>
    <col min="15" max="15" width="9.109375" customWidth="1"/>
    <col min="16" max="26" width="8.6640625" customWidth="1"/>
  </cols>
  <sheetData>
    <row r="1" spans="1:26" ht="14.4" x14ac:dyDescent="0.3">
      <c r="A1" s="1"/>
      <c r="B1" s="1"/>
      <c r="C1" s="1"/>
      <c r="D1" s="1"/>
      <c r="E1" s="2"/>
      <c r="F1" s="1"/>
      <c r="G1" s="1"/>
      <c r="H1" s="1"/>
      <c r="I1" s="43" t="s">
        <v>64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">
      <c r="A2" s="1"/>
      <c r="B2" s="62" t="s">
        <v>66</v>
      </c>
      <c r="C2" s="63"/>
      <c r="D2" s="63"/>
      <c r="E2" s="63"/>
      <c r="F2" s="63"/>
      <c r="G2" s="63"/>
      <c r="H2" s="42"/>
      <c r="I2" s="44" t="s">
        <v>65</v>
      </c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3">
      <c r="A4" s="1"/>
      <c r="B4" s="1"/>
      <c r="C4" s="4" t="s">
        <v>0</v>
      </c>
      <c r="D4" s="55" t="s">
        <v>1</v>
      </c>
      <c r="E4" s="57"/>
      <c r="F4" s="4" t="s">
        <v>2</v>
      </c>
      <c r="G4" s="55" t="s">
        <v>3</v>
      </c>
      <c r="H4" s="57"/>
      <c r="I4" s="61" t="s">
        <v>4</v>
      </c>
      <c r="J4" s="53"/>
      <c r="K4" s="5">
        <v>50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.25" customHeight="1" x14ac:dyDescent="0.3">
      <c r="A5" s="1"/>
      <c r="B5" s="1"/>
      <c r="C5" s="6"/>
      <c r="D5" s="6"/>
      <c r="E5" s="6"/>
      <c r="F5" s="6"/>
      <c r="G5" s="6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25" customHeight="1" x14ac:dyDescent="0.3">
      <c r="A6" s="1"/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/>
      <c r="B7" s="5">
        <v>1</v>
      </c>
      <c r="C7" s="9" t="s">
        <v>15</v>
      </c>
      <c r="D7" s="5" t="s">
        <v>16</v>
      </c>
      <c r="E7" s="5">
        <v>70</v>
      </c>
      <c r="F7" s="5">
        <v>0</v>
      </c>
      <c r="G7" s="5">
        <v>39.799999999999997</v>
      </c>
      <c r="H7" s="10">
        <f t="shared" ref="H7:H21" si="0">G7*F7</f>
        <v>0</v>
      </c>
      <c r="I7" s="5">
        <v>7.4</v>
      </c>
      <c r="J7" s="10">
        <f t="shared" ref="J7:J21" si="1">F7*I7</f>
        <v>0</v>
      </c>
      <c r="K7" s="5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5">
        <v>2</v>
      </c>
      <c r="C8" s="9" t="s">
        <v>17</v>
      </c>
      <c r="D8" s="5" t="s">
        <v>18</v>
      </c>
      <c r="E8" s="5">
        <v>35</v>
      </c>
      <c r="F8" s="5">
        <v>1</v>
      </c>
      <c r="G8" s="5">
        <v>30.6</v>
      </c>
      <c r="H8" s="10">
        <f t="shared" si="0"/>
        <v>30.6</v>
      </c>
      <c r="I8" s="5">
        <v>7.4</v>
      </c>
      <c r="J8" s="10">
        <f t="shared" si="1"/>
        <v>7.4</v>
      </c>
      <c r="K8" s="5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5">
        <v>3</v>
      </c>
      <c r="C9" s="9" t="s">
        <v>19</v>
      </c>
      <c r="D9" s="5" t="s">
        <v>18</v>
      </c>
      <c r="E9" s="5">
        <v>25</v>
      </c>
      <c r="F9" s="5">
        <v>3</v>
      </c>
      <c r="G9" s="5">
        <v>30</v>
      </c>
      <c r="H9" s="10">
        <f t="shared" si="0"/>
        <v>90</v>
      </c>
      <c r="I9" s="5">
        <v>7.4</v>
      </c>
      <c r="J9" s="10">
        <f t="shared" si="1"/>
        <v>22.200000000000003</v>
      </c>
      <c r="K9" s="5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5">
        <v>4</v>
      </c>
      <c r="C10" s="9" t="s">
        <v>20</v>
      </c>
      <c r="D10" s="5" t="s">
        <v>18</v>
      </c>
      <c r="E10" s="5"/>
      <c r="F10" s="5"/>
      <c r="G10" s="5"/>
      <c r="H10" s="10">
        <f t="shared" si="0"/>
        <v>0</v>
      </c>
      <c r="I10" s="5"/>
      <c r="J10" s="10">
        <f t="shared" si="1"/>
        <v>0</v>
      </c>
      <c r="K10" s="5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5">
        <v>5</v>
      </c>
      <c r="C11" s="9" t="s">
        <v>21</v>
      </c>
      <c r="D11" s="5" t="s">
        <v>18</v>
      </c>
      <c r="E11" s="5"/>
      <c r="F11" s="5"/>
      <c r="G11" s="5"/>
      <c r="H11" s="10">
        <f t="shared" si="0"/>
        <v>0</v>
      </c>
      <c r="I11" s="5"/>
      <c r="J11" s="10">
        <f t="shared" si="1"/>
        <v>0</v>
      </c>
      <c r="K11" s="5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5">
        <v>6</v>
      </c>
      <c r="C12" s="9" t="s">
        <v>22</v>
      </c>
      <c r="D12" s="5" t="s">
        <v>23</v>
      </c>
      <c r="E12" s="5"/>
      <c r="F12" s="5"/>
      <c r="G12" s="5"/>
      <c r="H12" s="10">
        <f t="shared" si="0"/>
        <v>0</v>
      </c>
      <c r="I12" s="5"/>
      <c r="J12" s="10">
        <f t="shared" si="1"/>
        <v>0</v>
      </c>
      <c r="K12" s="5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5">
        <v>7</v>
      </c>
      <c r="C13" s="9"/>
      <c r="D13" s="5"/>
      <c r="E13" s="5"/>
      <c r="F13" s="5"/>
      <c r="G13" s="5"/>
      <c r="H13" s="10">
        <f t="shared" si="0"/>
        <v>0</v>
      </c>
      <c r="I13" s="5"/>
      <c r="J13" s="10">
        <f t="shared" si="1"/>
        <v>0</v>
      </c>
      <c r="K13" s="5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/>
      <c r="B14" s="5">
        <v>8</v>
      </c>
      <c r="C14" s="9"/>
      <c r="D14" s="5"/>
      <c r="E14" s="5"/>
      <c r="F14" s="5"/>
      <c r="G14" s="5"/>
      <c r="H14" s="10">
        <f t="shared" si="0"/>
        <v>0</v>
      </c>
      <c r="I14" s="5"/>
      <c r="J14" s="10">
        <f t="shared" si="1"/>
        <v>0</v>
      </c>
      <c r="K14" s="5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/>
      <c r="B15" s="5">
        <v>9</v>
      </c>
      <c r="C15" s="9"/>
      <c r="D15" s="5"/>
      <c r="E15" s="5"/>
      <c r="F15" s="5"/>
      <c r="G15" s="5"/>
      <c r="H15" s="10">
        <f t="shared" si="0"/>
        <v>0</v>
      </c>
      <c r="I15" s="5"/>
      <c r="J15" s="10">
        <f t="shared" si="1"/>
        <v>0</v>
      </c>
      <c r="K15" s="5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5">
        <v>10</v>
      </c>
      <c r="C16" s="9"/>
      <c r="D16" s="5"/>
      <c r="E16" s="5"/>
      <c r="F16" s="5"/>
      <c r="G16" s="5"/>
      <c r="H16" s="10">
        <f t="shared" si="0"/>
        <v>0</v>
      </c>
      <c r="I16" s="5"/>
      <c r="J16" s="10">
        <f t="shared" si="1"/>
        <v>0</v>
      </c>
      <c r="K16" s="5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5">
        <v>11</v>
      </c>
      <c r="C17" s="9"/>
      <c r="D17" s="5"/>
      <c r="E17" s="5"/>
      <c r="F17" s="5"/>
      <c r="G17" s="5"/>
      <c r="H17" s="10">
        <f t="shared" si="0"/>
        <v>0</v>
      </c>
      <c r="I17" s="5"/>
      <c r="J17" s="10">
        <f t="shared" si="1"/>
        <v>0</v>
      </c>
      <c r="K17" s="5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5">
        <v>12</v>
      </c>
      <c r="C18" s="9"/>
      <c r="D18" s="5"/>
      <c r="E18" s="5"/>
      <c r="F18" s="5"/>
      <c r="G18" s="5"/>
      <c r="H18" s="10">
        <f t="shared" si="0"/>
        <v>0</v>
      </c>
      <c r="I18" s="5"/>
      <c r="J18" s="10">
        <f t="shared" si="1"/>
        <v>0</v>
      </c>
      <c r="K18" s="5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5">
        <v>13</v>
      </c>
      <c r="C19" s="9"/>
      <c r="D19" s="5"/>
      <c r="E19" s="5"/>
      <c r="F19" s="5"/>
      <c r="G19" s="5"/>
      <c r="H19" s="10">
        <f t="shared" si="0"/>
        <v>0</v>
      </c>
      <c r="I19" s="5"/>
      <c r="J19" s="10">
        <f t="shared" si="1"/>
        <v>0</v>
      </c>
      <c r="K19" s="5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5">
        <v>14</v>
      </c>
      <c r="C20" s="9"/>
      <c r="D20" s="5"/>
      <c r="E20" s="5"/>
      <c r="F20" s="5"/>
      <c r="G20" s="5"/>
      <c r="H20" s="10">
        <f t="shared" si="0"/>
        <v>0</v>
      </c>
      <c r="I20" s="5"/>
      <c r="J20" s="10">
        <f t="shared" si="1"/>
        <v>0</v>
      </c>
      <c r="K20" s="5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5">
        <v>15</v>
      </c>
      <c r="C21" s="9"/>
      <c r="D21" s="5"/>
      <c r="E21" s="5"/>
      <c r="F21" s="5"/>
      <c r="G21" s="5"/>
      <c r="H21" s="10">
        <f t="shared" si="0"/>
        <v>0</v>
      </c>
      <c r="I21" s="5"/>
      <c r="J21" s="10">
        <f t="shared" si="1"/>
        <v>0</v>
      </c>
      <c r="K21" s="5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1"/>
      <c r="B22" s="58" t="s">
        <v>24</v>
      </c>
      <c r="C22" s="56"/>
      <c r="D22" s="57"/>
      <c r="E22" s="12"/>
      <c r="F22" s="12">
        <f>SUM(F7:F21)</f>
        <v>4</v>
      </c>
      <c r="G22" s="13"/>
      <c r="H22" s="12">
        <f t="shared" ref="H22:J22" si="2">SUM(H7:H21)</f>
        <v>120.6</v>
      </c>
      <c r="I22" s="12">
        <f t="shared" si="2"/>
        <v>22.200000000000003</v>
      </c>
      <c r="J22" s="12">
        <f t="shared" si="2"/>
        <v>29.6</v>
      </c>
      <c r="K22" s="12"/>
      <c r="L22" s="14"/>
      <c r="M22" s="14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6" customHeight="1" x14ac:dyDescent="0.3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3">
      <c r="A24" s="1"/>
      <c r="B24" s="60" t="s">
        <v>25</v>
      </c>
      <c r="C24" s="46"/>
      <c r="D24" s="46"/>
      <c r="E24" s="46"/>
      <c r="F24" s="16"/>
      <c r="G24" s="17"/>
      <c r="H24" s="59" t="s">
        <v>26</v>
      </c>
      <c r="I24" s="46"/>
      <c r="J24" s="46"/>
      <c r="K24" s="46"/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.5" customHeight="1" x14ac:dyDescent="0.3">
      <c r="A25" s="1"/>
      <c r="B25" s="15"/>
      <c r="C25" s="15"/>
      <c r="D25" s="15"/>
      <c r="E25" s="15"/>
      <c r="F25" s="15"/>
      <c r="G25" s="19"/>
      <c r="H25" s="15"/>
      <c r="I25" s="15"/>
      <c r="J25" s="1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45" t="s">
        <v>27</v>
      </c>
      <c r="C26" s="46"/>
      <c r="D26" s="46"/>
      <c r="E26" s="21">
        <f>MAX(G7:G21)</f>
        <v>39.799999999999997</v>
      </c>
      <c r="F26" s="19" t="s">
        <v>28</v>
      </c>
      <c r="G26" s="1"/>
      <c r="H26" s="54" t="s">
        <v>29</v>
      </c>
      <c r="I26" s="46"/>
      <c r="J26" s="22" t="str">
        <f>IF(((E33*E32)*E31)&gt;E29,"O.K","Error")</f>
        <v>O.K</v>
      </c>
      <c r="K26" s="23"/>
      <c r="L26" s="23"/>
      <c r="M26" s="2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45" t="s">
        <v>30</v>
      </c>
      <c r="C27" s="46"/>
      <c r="D27" s="53"/>
      <c r="E27" s="24">
        <v>0.4</v>
      </c>
      <c r="F27" s="25"/>
      <c r="G27" s="1"/>
      <c r="H27" s="54" t="s">
        <v>31</v>
      </c>
      <c r="I27" s="46"/>
      <c r="J27" s="22" t="str">
        <f>IF(E34&gt;=(E31*E26),"O.K","Error")</f>
        <v>O.K</v>
      </c>
      <c r="K27" s="23"/>
      <c r="L27" s="23"/>
      <c r="M27" s="23"/>
      <c r="N27" s="2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45" t="s">
        <v>32</v>
      </c>
      <c r="C28" s="46"/>
      <c r="D28" s="53"/>
      <c r="E28" s="26">
        <v>10</v>
      </c>
      <c r="F28" s="25" t="s">
        <v>28</v>
      </c>
      <c r="G28" s="1"/>
      <c r="H28" s="54" t="s">
        <v>33</v>
      </c>
      <c r="I28" s="46"/>
      <c r="J28" s="22" t="str">
        <f>IF(E35&gt;=((I22*E27)+I22),"O.K","Error")</f>
        <v>O.K</v>
      </c>
      <c r="K28" s="23" t="s">
        <v>34</v>
      </c>
      <c r="L28" s="23"/>
      <c r="M28" s="23"/>
      <c r="N28" s="2">
        <f>IF(J26="O.K",IF(J27="O.K",IF(J28="O.K",1,0),0),0)</f>
        <v>1</v>
      </c>
      <c r="O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45" t="s">
        <v>35</v>
      </c>
      <c r="C29" s="46"/>
      <c r="D29" s="46"/>
      <c r="E29" s="27">
        <f>(N29*E27)+N29</f>
        <v>224.83999999999997</v>
      </c>
      <c r="F29" s="19" t="s">
        <v>28</v>
      </c>
      <c r="G29" s="19"/>
      <c r="H29" s="54" t="s">
        <v>36</v>
      </c>
      <c r="I29" s="46"/>
      <c r="J29" s="22" t="str">
        <f>IF(N28=1,IF(E37&gt;=E30,"O.K","Error"),"Error")</f>
        <v>O.K</v>
      </c>
      <c r="K29" s="20"/>
      <c r="L29" s="20"/>
      <c r="M29" s="20"/>
      <c r="N29" s="28">
        <f>H22+(E28*F22)</f>
        <v>160.6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45" t="s">
        <v>37</v>
      </c>
      <c r="C30" s="46"/>
      <c r="D30" s="46"/>
      <c r="E30" s="27">
        <f>(E27*N30)+N30</f>
        <v>8948.6319999999996</v>
      </c>
      <c r="F30" s="19" t="s">
        <v>38</v>
      </c>
      <c r="G30" s="19"/>
      <c r="H30" s="29" t="str">
        <f>IF(N28=1,"","Either increase No of Cable Tray or width of Cable Tray")</f>
        <v/>
      </c>
      <c r="I30" s="29"/>
      <c r="J30" s="30"/>
      <c r="K30" s="20"/>
      <c r="L30" s="20"/>
      <c r="M30" s="20"/>
      <c r="N30" s="28">
        <f>(N29*E26)</f>
        <v>6391.8799999999992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45" t="s">
        <v>39</v>
      </c>
      <c r="C31" s="46"/>
      <c r="D31" s="53"/>
      <c r="E31" s="31">
        <v>1</v>
      </c>
      <c r="F31" s="25"/>
      <c r="G31" s="19"/>
      <c r="H31" s="54" t="s">
        <v>40</v>
      </c>
      <c r="I31" s="46"/>
      <c r="J31" s="32" t="str">
        <f>IF(N31=1,(E33&amp;"X"&amp;E34),"")</f>
        <v>250X50</v>
      </c>
      <c r="K31" s="33" t="s">
        <v>28</v>
      </c>
      <c r="L31" s="20"/>
      <c r="M31" s="20"/>
      <c r="N31" s="2">
        <f>IF(J26="O.K",IF(J27="O.K",IF(J28="O.K",IF(J29="O.K",1),0),0),0)</f>
        <v>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45" t="s">
        <v>41</v>
      </c>
      <c r="C32" s="46"/>
      <c r="D32" s="53"/>
      <c r="E32" s="31">
        <v>1</v>
      </c>
      <c r="F32" s="25" t="s">
        <v>42</v>
      </c>
      <c r="G32" s="19"/>
      <c r="H32" s="54" t="s">
        <v>43</v>
      </c>
      <c r="I32" s="46"/>
      <c r="J32" s="34">
        <f>IF(N31=1,E32,"")</f>
        <v>1</v>
      </c>
      <c r="K32" s="35" t="s">
        <v>42</v>
      </c>
      <c r="L32" s="20"/>
      <c r="M32" s="2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45" t="s">
        <v>44</v>
      </c>
      <c r="C33" s="46"/>
      <c r="D33" s="53"/>
      <c r="E33" s="31">
        <v>250</v>
      </c>
      <c r="F33" s="25" t="s">
        <v>28</v>
      </c>
      <c r="G33" s="19"/>
      <c r="H33" s="54" t="s">
        <v>45</v>
      </c>
      <c r="I33" s="46"/>
      <c r="J33" s="34">
        <f>IF(N31=1,E35,"")</f>
        <v>120</v>
      </c>
      <c r="K33" s="35" t="s">
        <v>46</v>
      </c>
      <c r="L33" s="20"/>
      <c r="M33" s="2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45" t="s">
        <v>47</v>
      </c>
      <c r="C34" s="46"/>
      <c r="D34" s="53"/>
      <c r="E34" s="31">
        <v>50</v>
      </c>
      <c r="F34" s="25" t="s">
        <v>28</v>
      </c>
      <c r="G34" s="19"/>
      <c r="H34" s="54" t="s">
        <v>48</v>
      </c>
      <c r="I34" s="46"/>
      <c r="J34" s="36" t="str">
        <f>E36</f>
        <v>Perforated</v>
      </c>
      <c r="K34" s="37"/>
      <c r="L34" s="20"/>
      <c r="M34" s="20"/>
      <c r="N34" s="2">
        <f>(E33*E32)*E31</f>
        <v>250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45" t="s">
        <v>49</v>
      </c>
      <c r="C35" s="46"/>
      <c r="D35" s="53"/>
      <c r="E35" s="38">
        <v>120</v>
      </c>
      <c r="F35" s="25" t="s">
        <v>50</v>
      </c>
      <c r="G35" s="19"/>
      <c r="H35" s="54" t="s">
        <v>51</v>
      </c>
      <c r="I35" s="46"/>
      <c r="J35" s="39">
        <f>IF(N28=1,(J32*K4),"")</f>
        <v>50</v>
      </c>
      <c r="K35" s="37" t="s">
        <v>52</v>
      </c>
      <c r="L35" s="20"/>
      <c r="M35" s="20"/>
      <c r="N35" s="2">
        <f>(E37*E32)</f>
        <v>12500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45" t="s">
        <v>48</v>
      </c>
      <c r="C36" s="46"/>
      <c r="D36" s="53"/>
      <c r="E36" s="38" t="s">
        <v>53</v>
      </c>
      <c r="F36" s="19"/>
      <c r="G36" s="19"/>
      <c r="H36" s="54" t="s">
        <v>54</v>
      </c>
      <c r="I36" s="46"/>
      <c r="J36" s="36">
        <f t="shared" ref="J36:J37" si="3">100%-(E29/N34)</f>
        <v>0.10064000000000006</v>
      </c>
      <c r="K36" s="37"/>
      <c r="L36" s="20"/>
      <c r="M36" s="20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45" t="s">
        <v>55</v>
      </c>
      <c r="C37" s="46"/>
      <c r="D37" s="46"/>
      <c r="E37" s="40">
        <f>E32*E33*E34</f>
        <v>12500</v>
      </c>
      <c r="F37" s="19" t="s">
        <v>38</v>
      </c>
      <c r="G37" s="19"/>
      <c r="H37" s="54" t="s">
        <v>56</v>
      </c>
      <c r="I37" s="46"/>
      <c r="J37" s="36">
        <f t="shared" si="3"/>
        <v>0.28410944000000005</v>
      </c>
      <c r="K37" s="37"/>
      <c r="L37" s="20"/>
      <c r="M37" s="20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">
      <c r="A40" s="1"/>
      <c r="B40" s="47" t="s">
        <v>57</v>
      </c>
      <c r="C40" s="48"/>
      <c r="D40" s="49"/>
      <c r="E40" s="41" t="s">
        <v>58</v>
      </c>
      <c r="F40" s="55" t="s">
        <v>59</v>
      </c>
      <c r="G40" s="56"/>
      <c r="H40" s="57"/>
      <c r="I40" s="1"/>
      <c r="J40" s="1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">
      <c r="A41" s="1"/>
      <c r="B41" s="50"/>
      <c r="C41" s="51"/>
      <c r="D41" s="52"/>
      <c r="E41" s="41" t="s">
        <v>60</v>
      </c>
      <c r="F41" s="55" t="s">
        <v>61</v>
      </c>
      <c r="G41" s="56"/>
      <c r="H41" s="57"/>
      <c r="I41" s="1"/>
      <c r="J41" s="1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47" t="s">
        <v>62</v>
      </c>
      <c r="C42" s="48"/>
      <c r="D42" s="49"/>
      <c r="E42" s="41" t="s">
        <v>58</v>
      </c>
      <c r="F42" s="55" t="s">
        <v>59</v>
      </c>
      <c r="G42" s="56"/>
      <c r="H42" s="57"/>
      <c r="I42" s="1"/>
      <c r="J42" s="1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">
      <c r="A43" s="1"/>
      <c r="B43" s="50"/>
      <c r="C43" s="51"/>
      <c r="D43" s="52"/>
      <c r="E43" s="41" t="s">
        <v>60</v>
      </c>
      <c r="F43" s="55" t="s">
        <v>63</v>
      </c>
      <c r="G43" s="56"/>
      <c r="H43" s="57"/>
      <c r="I43" s="1"/>
      <c r="J43" s="1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6">
    <mergeCell ref="B2:G2"/>
    <mergeCell ref="D4:E4"/>
    <mergeCell ref="G4:H4"/>
    <mergeCell ref="I4:J4"/>
    <mergeCell ref="B22:D22"/>
    <mergeCell ref="H24:K24"/>
    <mergeCell ref="B24:E24"/>
    <mergeCell ref="B26:D26"/>
    <mergeCell ref="H26:I26"/>
    <mergeCell ref="B27:D27"/>
    <mergeCell ref="H27:I27"/>
    <mergeCell ref="B28:D28"/>
    <mergeCell ref="B29:D29"/>
    <mergeCell ref="H36:I36"/>
    <mergeCell ref="H28:I28"/>
    <mergeCell ref="H29:I29"/>
    <mergeCell ref="H31:I31"/>
    <mergeCell ref="H32:I32"/>
    <mergeCell ref="H33:I33"/>
    <mergeCell ref="H34:I34"/>
    <mergeCell ref="H35:I35"/>
    <mergeCell ref="H37:I37"/>
    <mergeCell ref="F40:H40"/>
    <mergeCell ref="F41:H41"/>
    <mergeCell ref="F42:H42"/>
    <mergeCell ref="F43:H43"/>
    <mergeCell ref="B37:D37"/>
    <mergeCell ref="B40:D41"/>
    <mergeCell ref="B42:D43"/>
    <mergeCell ref="B30:D30"/>
    <mergeCell ref="B31:D31"/>
    <mergeCell ref="B32:D32"/>
    <mergeCell ref="B33:D33"/>
    <mergeCell ref="B34:D34"/>
    <mergeCell ref="B35:D35"/>
    <mergeCell ref="B36:D36"/>
  </mergeCells>
  <conditionalFormatting sqref="J26:J29">
    <cfRule type="containsText" dxfId="1" priority="1" operator="containsText" text="Error">
      <formula>NOT(ISERROR(SEARCH(("Error"),(J26))))</formula>
    </cfRule>
    <cfRule type="containsText" dxfId="0" priority="2" operator="containsText" text="O.K">
      <formula>NOT(ISERROR(SEARCH(("O.K"),(J26))))</formula>
    </cfRule>
  </conditionalFormatting>
  <hyperlinks>
    <hyperlink ref="I1" r:id="rId1" xr:uid="{8B17BC28-642B-44B1-B95B-D973DDC325E9}"/>
  </hyperlink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Tray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2025-03-19T08:00:45Z</dcterms:modified>
</cp:coreProperties>
</file>