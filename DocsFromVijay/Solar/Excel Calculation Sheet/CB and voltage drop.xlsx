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12345\Unlocked\"/>
    </mc:Choice>
  </mc:AlternateContent>
  <xr:revisionPtr revIDLastSave="0" documentId="13_ncr:9_{C4891499-803F-4949-A255-9090181CAD01}" xr6:coauthVersionLast="47" xr6:coauthVersionMax="47" xr10:uidLastSave="{00000000-0000-0000-0000-000000000000}"/>
  <bookViews>
    <workbookView xWindow="-108" yWindow="-108" windowWidth="23256" windowHeight="12456" xr2:uid="{EA2F8BFD-883C-49AD-AE32-815DCE880F88}"/>
  </bookViews>
  <sheets>
    <sheet name="D.B. detail" sheetId="1" r:id="rId1"/>
    <sheet name="Laminaire cal." sheetId="4" r:id="rId2"/>
    <sheet name="Table1" sheetId="2" r:id="rId3"/>
    <sheet name="Table2" sheetId="5" r:id="rId4"/>
    <sheet name="cable cal 1ph" sheetId="6" r:id="rId5"/>
    <sheet name="Cable cal.3ph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" i="3" l="1"/>
  <c r="I14" i="3"/>
  <c r="I44" i="3" s="1"/>
  <c r="I47" i="3" s="1"/>
  <c r="I48" i="3" s="1"/>
  <c r="I17" i="3"/>
  <c r="I20" i="3" s="1"/>
  <c r="I30" i="3" s="1"/>
  <c r="I29" i="3"/>
  <c r="N13" i="3"/>
  <c r="C89" i="3"/>
  <c r="G81" i="3"/>
  <c r="I141" i="3"/>
  <c r="I113" i="3"/>
  <c r="I116" i="3" s="1"/>
  <c r="I119" i="3" s="1"/>
  <c r="I129" i="3" s="1"/>
  <c r="I128" i="3"/>
  <c r="I63" i="3"/>
  <c r="I66" i="3"/>
  <c r="I69" i="3"/>
  <c r="I78" i="3"/>
  <c r="I79" i="3"/>
  <c r="B2" i="6"/>
  <c r="B50" i="6" s="1"/>
  <c r="B98" i="6" s="1"/>
  <c r="I137" i="6"/>
  <c r="I139" i="6" s="1"/>
  <c r="I142" i="6" s="1"/>
  <c r="I143" i="6" s="1"/>
  <c r="I110" i="6"/>
  <c r="I113" i="6"/>
  <c r="I116" i="6"/>
  <c r="I126" i="6" s="1"/>
  <c r="I125" i="6"/>
  <c r="I133" i="6"/>
  <c r="I134" i="6"/>
  <c r="I89" i="6"/>
  <c r="I62" i="6"/>
  <c r="I65" i="6" s="1"/>
  <c r="I68" i="6" s="1"/>
  <c r="I78" i="6" s="1"/>
  <c r="I91" i="6"/>
  <c r="I94" i="6"/>
  <c r="I95" i="6"/>
  <c r="I77" i="6"/>
  <c r="I85" i="6"/>
  <c r="I86" i="6" s="1"/>
  <c r="I41" i="6"/>
  <c r="I14" i="6"/>
  <c r="I43" i="6"/>
  <c r="I46" i="6"/>
  <c r="I47" i="6"/>
  <c r="I17" i="6"/>
  <c r="I20" i="6" s="1"/>
  <c r="I30" i="6" s="1"/>
  <c r="I29" i="6"/>
  <c r="I37" i="6"/>
  <c r="I38" i="6"/>
  <c r="D92" i="3"/>
  <c r="E92" i="3" s="1"/>
  <c r="H92" i="3" s="1"/>
  <c r="H94" i="3" s="1"/>
  <c r="I84" i="3" s="1"/>
  <c r="H93" i="3"/>
  <c r="B2" i="5"/>
  <c r="B2" i="4"/>
  <c r="B2" i="3"/>
  <c r="B2" i="2"/>
  <c r="I37" i="3"/>
  <c r="I38" i="3"/>
  <c r="T26" i="4"/>
  <c r="E26" i="4"/>
  <c r="S26" i="4" s="1"/>
  <c r="T25" i="4"/>
  <c r="E25" i="4"/>
  <c r="S25" i="4"/>
  <c r="Q25" i="4"/>
  <c r="G25" i="4"/>
  <c r="H33" i="1"/>
  <c r="H34" i="1" s="1"/>
  <c r="F33" i="1"/>
  <c r="F34" i="1" s="1"/>
  <c r="G33" i="1"/>
  <c r="G34" i="1" s="1"/>
  <c r="V33" i="1"/>
  <c r="W33" i="1"/>
  <c r="W34" i="1" s="1"/>
  <c r="X33" i="1"/>
  <c r="X34" i="1" s="1"/>
  <c r="G36" i="1"/>
  <c r="G38" i="1" s="1"/>
  <c r="S36" i="1" s="1"/>
  <c r="V34" i="1"/>
  <c r="T18" i="4"/>
  <c r="E18" i="4"/>
  <c r="G18" i="4" s="1"/>
  <c r="S18" i="4"/>
  <c r="Q18" i="4"/>
  <c r="T17" i="4"/>
  <c r="E17" i="4"/>
  <c r="G17" i="4" s="1"/>
  <c r="S17" i="4"/>
  <c r="Q17" i="4"/>
  <c r="T16" i="4"/>
  <c r="E16" i="4"/>
  <c r="Q16" i="4" s="1"/>
  <c r="S16" i="4"/>
  <c r="G16" i="4"/>
  <c r="T15" i="4"/>
  <c r="E15" i="4"/>
  <c r="S15" i="4"/>
  <c r="Q15" i="4"/>
  <c r="G15" i="4"/>
  <c r="T14" i="4"/>
  <c r="E14" i="4"/>
  <c r="S14" i="4"/>
  <c r="Q14" i="4"/>
  <c r="G14" i="4"/>
  <c r="T13" i="4"/>
  <c r="E13" i="4"/>
  <c r="S13" i="4" s="1"/>
  <c r="T12" i="4"/>
  <c r="E12" i="4"/>
  <c r="S12" i="4"/>
  <c r="Q12" i="4"/>
  <c r="G12" i="4"/>
  <c r="T11" i="4"/>
  <c r="E11" i="4"/>
  <c r="S11" i="4"/>
  <c r="Q11" i="4"/>
  <c r="G11" i="4"/>
  <c r="T10" i="4"/>
  <c r="E10" i="4"/>
  <c r="S10" i="4"/>
  <c r="Q10" i="4"/>
  <c r="G10" i="4"/>
  <c r="T9" i="4"/>
  <c r="E9" i="4"/>
  <c r="S9" i="4"/>
  <c r="Q9" i="4"/>
  <c r="G9" i="4"/>
  <c r="T8" i="4"/>
  <c r="E8" i="4"/>
  <c r="S8" i="4" s="1"/>
  <c r="T7" i="4"/>
  <c r="E7" i="4"/>
  <c r="S7" i="4" s="1"/>
  <c r="T6" i="4"/>
  <c r="E6" i="4"/>
  <c r="S6" i="4"/>
  <c r="Q6" i="4"/>
  <c r="G6" i="4"/>
  <c r="I86" i="3" l="1"/>
  <c r="I87" i="3" s="1"/>
  <c r="I143" i="3"/>
  <c r="I146" i="3" s="1"/>
  <c r="I147" i="3" s="1"/>
  <c r="I136" i="3"/>
  <c r="I137" i="3" s="1"/>
  <c r="G8" i="4"/>
  <c r="Q8" i="4"/>
  <c r="G13" i="4"/>
  <c r="Q13" i="4"/>
  <c r="G7" i="4"/>
  <c r="G26" i="4"/>
  <c r="Q26" i="4"/>
  <c r="Q7" i="4"/>
</calcChain>
</file>

<file path=xl/sharedStrings.xml><?xml version="1.0" encoding="utf-8"?>
<sst xmlns="http://schemas.openxmlformats.org/spreadsheetml/2006/main" count="746" uniqueCount="214">
  <si>
    <t>MM</t>
  </si>
  <si>
    <t>SIZE</t>
  </si>
  <si>
    <t>CONDUITE</t>
  </si>
  <si>
    <t>WIRE</t>
  </si>
  <si>
    <t>CCT</t>
  </si>
  <si>
    <t>NO.</t>
  </si>
  <si>
    <t>DESCRIPTION</t>
  </si>
  <si>
    <t>CONNECTED LOAD</t>
  </si>
  <si>
    <t>PH."R"</t>
  </si>
  <si>
    <t>PH."Y"</t>
  </si>
  <si>
    <t>PH."B"</t>
  </si>
  <si>
    <t>VA</t>
  </si>
  <si>
    <t>DERI.  FAC.</t>
  </si>
  <si>
    <t>CIRCUIT BREAKER</t>
  </si>
  <si>
    <t>NO. OF</t>
  </si>
  <si>
    <t>POLES</t>
  </si>
  <si>
    <t>TRIP</t>
  </si>
  <si>
    <t>AMP.</t>
  </si>
  <si>
    <t>F.R.A.</t>
  </si>
  <si>
    <t xml:space="preserve">DEMAND </t>
  </si>
  <si>
    <t>LOAD</t>
  </si>
  <si>
    <t>R.</t>
  </si>
  <si>
    <t>Y.</t>
  </si>
  <si>
    <t>B.</t>
  </si>
  <si>
    <r>
      <t>MM</t>
    </r>
    <r>
      <rPr>
        <vertAlign val="superscript"/>
        <sz val="7"/>
        <rFont val="Times New Roman"/>
        <family val="1"/>
        <charset val="178"/>
      </rPr>
      <t>2</t>
    </r>
  </si>
  <si>
    <t xml:space="preserve">BUILDING NAME: </t>
  </si>
  <si>
    <t>PANEL NAME</t>
  </si>
  <si>
    <t>LOCATION</t>
  </si>
  <si>
    <t xml:space="preserve">FEEDER ENTRY </t>
  </si>
  <si>
    <t>MOUNTING</t>
  </si>
  <si>
    <t>ROOM NO.</t>
  </si>
  <si>
    <t>NO. OF WAYS</t>
  </si>
  <si>
    <t>WALL</t>
  </si>
  <si>
    <t>380/220V ,3PH.4W,SN</t>
  </si>
  <si>
    <t>MAIN CIRCUIT BREAKER</t>
  </si>
  <si>
    <t>FRAM</t>
  </si>
  <si>
    <t>38P.V.C.</t>
  </si>
  <si>
    <t>*</t>
  </si>
  <si>
    <t xml:space="preserve">TOTAL CONNECTED LOAD </t>
  </si>
  <si>
    <t>DEMAND FACTOR</t>
  </si>
  <si>
    <t xml:space="preserve">TOTAL DEMAND LOAD </t>
  </si>
  <si>
    <t>K.V.A.</t>
  </si>
  <si>
    <t>SUB. TOTA DEMAND LOAD</t>
  </si>
  <si>
    <t>SUB. TOTA CONNECTED LOAD V.A.</t>
  </si>
  <si>
    <t>1CABLE   =</t>
  </si>
  <si>
    <t>CABLE SIZE  =</t>
  </si>
  <si>
    <t>NOTE:</t>
  </si>
  <si>
    <t>4X300+70EPVC SINGL CORE CABLE</t>
  </si>
  <si>
    <t>2x25+10E</t>
  </si>
  <si>
    <t>Table1</t>
  </si>
  <si>
    <t xml:space="preserve"> power cables NYY,NYCY and NYCWY with copper conductors.</t>
  </si>
  <si>
    <t xml:space="preserve">Number of </t>
  </si>
  <si>
    <t>conductors and</t>
  </si>
  <si>
    <t>cross section</t>
  </si>
  <si>
    <t>D.C.resistance</t>
  </si>
  <si>
    <r>
      <t>X</t>
    </r>
    <r>
      <rPr>
        <vertAlign val="superscript"/>
        <sz val="12"/>
        <rFont val="Times New Roman"/>
        <family val="1"/>
        <charset val="178"/>
      </rPr>
      <t>'</t>
    </r>
    <r>
      <rPr>
        <vertAlign val="subscript"/>
        <sz val="12"/>
        <rFont val="Times New Roman"/>
        <family val="1"/>
        <charset val="178"/>
      </rPr>
      <t>L</t>
    </r>
  </si>
  <si>
    <r>
      <t>R</t>
    </r>
    <r>
      <rPr>
        <vertAlign val="superscript"/>
        <sz val="12"/>
        <rFont val="Times New Roman"/>
        <family val="1"/>
        <charset val="178"/>
      </rPr>
      <t>'</t>
    </r>
    <r>
      <rPr>
        <sz val="12"/>
        <rFont val="Times New Roman"/>
        <family val="1"/>
        <charset val="178"/>
      </rPr>
      <t>_</t>
    </r>
  </si>
  <si>
    <t>Ohmic resistance</t>
  </si>
  <si>
    <t xml:space="preserve">Inductive </t>
  </si>
  <si>
    <t>Reactance</t>
  </si>
  <si>
    <r>
      <t>R</t>
    </r>
    <r>
      <rPr>
        <vertAlign val="superscript"/>
        <sz val="12"/>
        <rFont val="Times New Roman"/>
        <family val="1"/>
        <charset val="178"/>
      </rPr>
      <t>'</t>
    </r>
    <r>
      <rPr>
        <vertAlign val="subscript"/>
        <sz val="12"/>
        <rFont val="Times New Roman"/>
        <family val="1"/>
        <charset val="178"/>
      </rPr>
      <t>L</t>
    </r>
  </si>
  <si>
    <t xml:space="preserve">Effective resistance per unit length </t>
  </si>
  <si>
    <t xml:space="preserve">Effective resistance per unit length of plastic -shethed cables NYM and </t>
  </si>
  <si>
    <t>at COS Ф</t>
  </si>
  <si>
    <t>4X1.5</t>
  </si>
  <si>
    <t>4X2.5</t>
  </si>
  <si>
    <t>4X4</t>
  </si>
  <si>
    <t>4X6</t>
  </si>
  <si>
    <t>4X10</t>
  </si>
  <si>
    <t>4X16</t>
  </si>
  <si>
    <t>4X25</t>
  </si>
  <si>
    <t>4X35</t>
  </si>
  <si>
    <t>4X300</t>
  </si>
  <si>
    <t>4X240</t>
  </si>
  <si>
    <t>4X185</t>
  </si>
  <si>
    <t>4X150</t>
  </si>
  <si>
    <t>4X120</t>
  </si>
  <si>
    <t>4X70</t>
  </si>
  <si>
    <t>4X50</t>
  </si>
  <si>
    <t>4X95</t>
  </si>
  <si>
    <r>
      <t>R</t>
    </r>
    <r>
      <rPr>
        <vertAlign val="superscript"/>
        <sz val="12"/>
        <rFont val="Times New Roman"/>
        <family val="1"/>
        <charset val="178"/>
      </rPr>
      <t>'</t>
    </r>
    <r>
      <rPr>
        <vertAlign val="subscript"/>
        <sz val="12"/>
        <rFont val="Times New Roman"/>
        <family val="1"/>
        <charset val="178"/>
      </rPr>
      <t>L</t>
    </r>
    <r>
      <rPr>
        <sz val="12"/>
        <rFont val="Times New Roman"/>
        <family val="1"/>
        <charset val="178"/>
      </rPr>
      <t>COSФ+X</t>
    </r>
    <r>
      <rPr>
        <vertAlign val="superscript"/>
        <sz val="12"/>
        <rFont val="Times New Roman"/>
        <family val="1"/>
        <charset val="178"/>
      </rPr>
      <t>'</t>
    </r>
    <r>
      <rPr>
        <vertAlign val="subscript"/>
        <sz val="12"/>
        <rFont val="Times New Roman"/>
        <family val="1"/>
        <charset val="178"/>
      </rPr>
      <t>L</t>
    </r>
    <r>
      <rPr>
        <sz val="12"/>
        <rFont val="Times New Roman"/>
        <family val="1"/>
        <charset val="178"/>
      </rPr>
      <t>SINФ</t>
    </r>
  </si>
  <si>
    <r>
      <t xml:space="preserve">at 70 </t>
    </r>
    <r>
      <rPr>
        <sz val="12"/>
        <rFont val="Latina"/>
        <family val="4"/>
        <charset val="178"/>
      </rPr>
      <t>°</t>
    </r>
    <r>
      <rPr>
        <sz val="12"/>
        <rFont val="Arial"/>
        <charset val="178"/>
      </rPr>
      <t>c</t>
    </r>
  </si>
  <si>
    <t>ELECTRICAL CALCULATION</t>
  </si>
  <si>
    <r>
      <t>Ω</t>
    </r>
    <r>
      <rPr>
        <b/>
        <sz val="12"/>
        <rFont val="Arial"/>
        <charset val="178"/>
      </rPr>
      <t>/Km</t>
    </r>
  </si>
  <si>
    <r>
      <t>mm</t>
    </r>
    <r>
      <rPr>
        <b/>
        <vertAlign val="superscript"/>
        <sz val="12"/>
        <rFont val="Times New Roman"/>
        <family val="1"/>
        <charset val="178"/>
      </rPr>
      <t>2</t>
    </r>
  </si>
  <si>
    <t>Project name:</t>
  </si>
  <si>
    <t>Project no.:</t>
  </si>
  <si>
    <t xml:space="preserve"> WAHAT AL KHARTOUM  </t>
  </si>
  <si>
    <t>Date:</t>
  </si>
  <si>
    <t>Designer:</t>
  </si>
  <si>
    <t>Mohammed moustafa</t>
  </si>
  <si>
    <t xml:space="preserve"> * LOAD INFORMATION</t>
  </si>
  <si>
    <t>LOAD REFERENCE</t>
  </si>
  <si>
    <t>VOLTAGE USED</t>
  </si>
  <si>
    <t>NO.OF PHASES</t>
  </si>
  <si>
    <t>AMPS</t>
  </si>
  <si>
    <t>CIRCUIT BREAKER AMPS</t>
  </si>
  <si>
    <t>V</t>
  </si>
  <si>
    <t>PHASES</t>
  </si>
  <si>
    <r>
      <t>I</t>
    </r>
    <r>
      <rPr>
        <vertAlign val="subscript"/>
        <sz val="12"/>
        <rFont val="Times New Roman"/>
        <family val="1"/>
        <charset val="178"/>
      </rPr>
      <t>a</t>
    </r>
    <r>
      <rPr>
        <sz val="12"/>
        <rFont val="Times New Roman"/>
        <family val="1"/>
        <charset val="178"/>
      </rPr>
      <t xml:space="preserve"> </t>
    </r>
  </si>
  <si>
    <t>A</t>
  </si>
  <si>
    <t>B</t>
  </si>
  <si>
    <t>Actual full load current or (RMS)current</t>
  </si>
  <si>
    <r>
      <t xml:space="preserve">at 50 </t>
    </r>
    <r>
      <rPr>
        <sz val="10"/>
        <rFont val="Latina"/>
        <family val="4"/>
        <charset val="178"/>
      </rPr>
      <t>°</t>
    </r>
    <r>
      <rPr>
        <sz val="10"/>
        <rFont val="Arial"/>
        <charset val="178"/>
      </rPr>
      <t>C</t>
    </r>
  </si>
  <si>
    <t>CORRECT SIZE CIRCUIT BREAKER AMPS</t>
  </si>
  <si>
    <t>CABLE SELECTION</t>
  </si>
  <si>
    <t>NO. of cables</t>
  </si>
  <si>
    <t>Cable size after correction factors</t>
  </si>
  <si>
    <t>VOLTAGE DROP</t>
  </si>
  <si>
    <t>Voltage drop=</t>
  </si>
  <si>
    <r>
      <t>(R</t>
    </r>
    <r>
      <rPr>
        <vertAlign val="superscript"/>
        <sz val="12"/>
        <rFont val="Times New Roman"/>
        <family val="1"/>
        <charset val="178"/>
      </rPr>
      <t>'</t>
    </r>
    <r>
      <rPr>
        <vertAlign val="subscript"/>
        <sz val="12"/>
        <rFont val="Times New Roman"/>
        <family val="1"/>
        <charset val="178"/>
      </rPr>
      <t>L</t>
    </r>
    <r>
      <rPr>
        <sz val="12"/>
        <rFont val="Times New Roman"/>
        <family val="1"/>
        <charset val="178"/>
      </rPr>
      <t>COSФ+X</t>
    </r>
    <r>
      <rPr>
        <vertAlign val="superscript"/>
        <sz val="12"/>
        <rFont val="Times New Roman"/>
        <family val="1"/>
        <charset val="178"/>
      </rPr>
      <t>'</t>
    </r>
    <r>
      <rPr>
        <vertAlign val="subscript"/>
        <sz val="12"/>
        <rFont val="Times New Roman"/>
        <family val="1"/>
        <charset val="178"/>
      </rPr>
      <t>L</t>
    </r>
    <r>
      <rPr>
        <sz val="12"/>
        <rFont val="Times New Roman"/>
        <family val="1"/>
        <charset val="178"/>
      </rPr>
      <t>SINФ)</t>
    </r>
  </si>
  <si>
    <t>√3*I*L*</t>
  </si>
  <si>
    <r>
      <t>(R</t>
    </r>
    <r>
      <rPr>
        <vertAlign val="superscript"/>
        <sz val="12"/>
        <rFont val="Times New Roman"/>
        <family val="1"/>
        <charset val="178"/>
      </rPr>
      <t>'</t>
    </r>
    <r>
      <rPr>
        <vertAlign val="subscript"/>
        <sz val="12"/>
        <rFont val="Times New Roman"/>
        <family val="1"/>
        <charset val="178"/>
      </rPr>
      <t>L</t>
    </r>
    <r>
      <rPr>
        <sz val="12"/>
        <rFont val="Times New Roman"/>
        <family val="1"/>
        <charset val="178"/>
      </rPr>
      <t>COSФ+X</t>
    </r>
    <r>
      <rPr>
        <vertAlign val="superscript"/>
        <sz val="12"/>
        <rFont val="Times New Roman"/>
        <family val="1"/>
        <charset val="178"/>
      </rPr>
      <t>'</t>
    </r>
    <r>
      <rPr>
        <vertAlign val="subscript"/>
        <sz val="12"/>
        <rFont val="Times New Roman"/>
        <family val="1"/>
        <charset val="178"/>
      </rPr>
      <t>L</t>
    </r>
    <r>
      <rPr>
        <sz val="12"/>
        <rFont val="Times New Roman"/>
        <family val="1"/>
        <charset val="178"/>
      </rPr>
      <t>SINФ)/N</t>
    </r>
  </si>
  <si>
    <t>N</t>
  </si>
  <si>
    <r>
      <t>I</t>
    </r>
    <r>
      <rPr>
        <vertAlign val="subscript"/>
        <sz val="12"/>
        <rFont val="Times New Roman"/>
        <family val="1"/>
        <charset val="178"/>
      </rPr>
      <t>C.B</t>
    </r>
    <r>
      <rPr>
        <sz val="12"/>
        <rFont val="Times New Roman"/>
        <family val="1"/>
        <charset val="178"/>
      </rPr>
      <t>=I</t>
    </r>
    <r>
      <rPr>
        <vertAlign val="subscript"/>
        <sz val="12"/>
        <rFont val="Times New Roman"/>
        <family val="1"/>
        <charset val="178"/>
      </rPr>
      <t>a</t>
    </r>
    <r>
      <rPr>
        <sz val="12"/>
        <rFont val="Times New Roman"/>
        <family val="1"/>
        <charset val="178"/>
      </rPr>
      <t xml:space="preserve"> xB / A </t>
    </r>
  </si>
  <si>
    <t>=</t>
  </si>
  <si>
    <t>Voltage drop%=</t>
  </si>
  <si>
    <t>L</t>
  </si>
  <si>
    <t>CONTINUOUS LOAD IN KVA</t>
  </si>
  <si>
    <t>CONTINUOUS LOAD IN AMPS</t>
  </si>
  <si>
    <t>Ambient temperature factor</t>
  </si>
  <si>
    <t>Safety factor</t>
  </si>
  <si>
    <t xml:space="preserve">We planning to use cable with size </t>
  </si>
  <si>
    <t>Cable current rating before the correction factors</t>
  </si>
  <si>
    <t xml:space="preserve"> Correction factors:</t>
  </si>
  <si>
    <t>Cable current rating after the correction factors</t>
  </si>
  <si>
    <t>ACC to NEC</t>
  </si>
  <si>
    <t>ACC to VDE</t>
  </si>
  <si>
    <t>Voltage drop  ∆V =</t>
  </si>
  <si>
    <t>∆V /(√3*I*L*)</t>
  </si>
  <si>
    <t xml:space="preserve">No of cables </t>
  </si>
  <si>
    <t>Length of cable per kilometer</t>
  </si>
  <si>
    <r>
      <t>(R</t>
    </r>
    <r>
      <rPr>
        <vertAlign val="superscript"/>
        <sz val="12"/>
        <rFont val="Times New Roman"/>
        <family val="1"/>
        <charset val="178"/>
      </rPr>
      <t>'</t>
    </r>
    <r>
      <rPr>
        <vertAlign val="subscript"/>
        <sz val="12"/>
        <rFont val="Times New Roman"/>
        <family val="1"/>
        <charset val="178"/>
      </rPr>
      <t>L</t>
    </r>
    <r>
      <rPr>
        <sz val="12"/>
        <rFont val="Times New Roman"/>
        <family val="1"/>
        <charset val="178"/>
      </rPr>
      <t>COSФ+X</t>
    </r>
    <r>
      <rPr>
        <vertAlign val="superscript"/>
        <sz val="12"/>
        <rFont val="Times New Roman"/>
        <family val="1"/>
        <charset val="178"/>
      </rPr>
      <t>'</t>
    </r>
    <r>
      <rPr>
        <vertAlign val="subscript"/>
        <sz val="12"/>
        <rFont val="Times New Roman"/>
        <family val="1"/>
        <charset val="178"/>
      </rPr>
      <t>L</t>
    </r>
    <r>
      <rPr>
        <sz val="12"/>
        <rFont val="Times New Roman"/>
        <family val="1"/>
        <charset val="178"/>
      </rPr>
      <t>SINФ)   =</t>
    </r>
  </si>
  <si>
    <r>
      <t>R</t>
    </r>
    <r>
      <rPr>
        <vertAlign val="superscript"/>
        <sz val="12"/>
        <rFont val="Times New Roman"/>
        <family val="1"/>
        <charset val="178"/>
      </rPr>
      <t>'</t>
    </r>
    <r>
      <rPr>
        <vertAlign val="subscript"/>
        <sz val="12"/>
        <rFont val="Times New Roman"/>
        <family val="1"/>
        <charset val="178"/>
      </rPr>
      <t>L</t>
    </r>
    <r>
      <rPr>
        <sz val="12"/>
        <rFont val="Times New Roman"/>
        <family val="1"/>
        <charset val="178"/>
      </rPr>
      <t>COSФ+X</t>
    </r>
    <r>
      <rPr>
        <vertAlign val="superscript"/>
        <sz val="12"/>
        <rFont val="Times New Roman"/>
        <family val="1"/>
        <charset val="178"/>
      </rPr>
      <t>'</t>
    </r>
    <r>
      <rPr>
        <vertAlign val="subscript"/>
        <sz val="12"/>
        <rFont val="Times New Roman"/>
        <family val="1"/>
        <charset val="178"/>
      </rPr>
      <t>L</t>
    </r>
    <r>
      <rPr>
        <sz val="12"/>
        <rFont val="Times New Roman"/>
        <family val="1"/>
        <charset val="178"/>
      </rPr>
      <t>SINФ      from  table  (1)</t>
    </r>
  </si>
  <si>
    <r>
      <t>(R</t>
    </r>
    <r>
      <rPr>
        <vertAlign val="superscript"/>
        <sz val="12"/>
        <rFont val="Times New Roman"/>
        <family val="1"/>
        <charset val="178"/>
      </rPr>
      <t>'</t>
    </r>
    <r>
      <rPr>
        <vertAlign val="subscript"/>
        <sz val="12"/>
        <rFont val="Times New Roman"/>
        <family val="1"/>
        <charset val="178"/>
      </rPr>
      <t>L</t>
    </r>
    <r>
      <rPr>
        <sz val="12"/>
        <rFont val="Times New Roman"/>
        <family val="1"/>
        <charset val="178"/>
      </rPr>
      <t>COSФ+X</t>
    </r>
    <r>
      <rPr>
        <vertAlign val="superscript"/>
        <sz val="12"/>
        <rFont val="Times New Roman"/>
        <family val="1"/>
        <charset val="178"/>
      </rPr>
      <t>'</t>
    </r>
    <r>
      <rPr>
        <vertAlign val="subscript"/>
        <sz val="12"/>
        <rFont val="Times New Roman"/>
        <family val="1"/>
        <charset val="178"/>
      </rPr>
      <t>L</t>
    </r>
    <r>
      <rPr>
        <sz val="12"/>
        <rFont val="Times New Roman"/>
        <family val="1"/>
        <charset val="178"/>
      </rPr>
      <t>SINФ) after factors</t>
    </r>
  </si>
  <si>
    <t>Room NO.</t>
  </si>
  <si>
    <t>LIGHTING</t>
  </si>
  <si>
    <t>W</t>
  </si>
  <si>
    <t>h</t>
  </si>
  <si>
    <t>K *</t>
  </si>
  <si>
    <t>Type</t>
  </si>
  <si>
    <t>Selected Laminaire Specs.</t>
  </si>
  <si>
    <t>Rated Fluxe</t>
  </si>
  <si>
    <t>Lamp/lami Z</t>
  </si>
  <si>
    <t>Lumi. FluxQ</t>
  </si>
  <si>
    <t>Lampe Power</t>
  </si>
  <si>
    <t>Utaliation Factor B*</t>
  </si>
  <si>
    <t>Maintenance Factor V*</t>
  </si>
  <si>
    <t>NO. of Laminaire n*</t>
  </si>
  <si>
    <t>Actual NO.  N</t>
  </si>
  <si>
    <t>Actual Fluxe e*</t>
  </si>
  <si>
    <t>Total power</t>
  </si>
  <si>
    <t>Office</t>
  </si>
  <si>
    <t xml:space="preserve">Recessed  Modular Fluorescent Laminaire with brightness louvers (reflection) with Fluorecsent Lamp 4x18w warm wight </t>
  </si>
  <si>
    <t>Waiting</t>
  </si>
  <si>
    <t>K *=A/((L+W)*H)</t>
  </si>
  <si>
    <t xml:space="preserve">  h=H-hs-wl</t>
  </si>
  <si>
    <t>v*=.8normal,.7high,.6special</t>
  </si>
  <si>
    <t>B*From luminaire Table</t>
  </si>
  <si>
    <t xml:space="preserve">      n*=E*A*100/(Z*Q*B*v)</t>
  </si>
  <si>
    <t>e*=N*Z*Q*B*V/(A*100)</t>
  </si>
  <si>
    <t>Ambient Temperature factor</t>
  </si>
  <si>
    <t>Grouping factor</t>
  </si>
  <si>
    <t>GROUND FLOOR</t>
  </si>
  <si>
    <t>EN /LOOPY</t>
  </si>
  <si>
    <t>loppy</t>
  </si>
  <si>
    <t>LOWER BASE.FLOOR</t>
  </si>
  <si>
    <t>Parking</t>
  </si>
  <si>
    <t>Hall</t>
  </si>
  <si>
    <t>Lifts lobby</t>
  </si>
  <si>
    <t xml:space="preserve">Surface Mounted  Modular Fluorescent Laminaire with brightness louvers (reflection) with Fluorecsent Lamp 2x36w warm wight </t>
  </si>
  <si>
    <t>Hall Part</t>
  </si>
  <si>
    <t xml:space="preserve">Recessed Circular   Modular Laminaire  with Compact Fluorecsent Lamp 36w warm wight </t>
  </si>
  <si>
    <t>KVA</t>
  </si>
  <si>
    <r>
      <t>I</t>
    </r>
    <r>
      <rPr>
        <vertAlign val="subscript"/>
        <sz val="12"/>
        <rFont val="Times New Roman"/>
        <family val="1"/>
        <charset val="178"/>
      </rPr>
      <t>C.B</t>
    </r>
    <r>
      <rPr>
        <sz val="12"/>
        <rFont val="Times New Roman"/>
        <family val="1"/>
        <charset val="178"/>
      </rPr>
      <t xml:space="preserve"> </t>
    </r>
  </si>
  <si>
    <t>∆V Shall not exdeed 3-5%   =</t>
  </si>
  <si>
    <t>according to NEC for one copper cable XLPE inslated&amp;PVCsheahed.</t>
  </si>
  <si>
    <t>TRANSFORMER</t>
  </si>
  <si>
    <t>Table2</t>
  </si>
  <si>
    <t xml:space="preserve"> power cables NYY,NYCY and NYCWY with aluminum conductors.</t>
  </si>
  <si>
    <r>
      <t xml:space="preserve">at 20 </t>
    </r>
    <r>
      <rPr>
        <sz val="11"/>
        <rFont val="Latina"/>
        <family val="4"/>
        <charset val="178"/>
      </rPr>
      <t>°</t>
    </r>
    <r>
      <rPr>
        <sz val="11"/>
        <rFont val="Arial"/>
        <charset val="178"/>
      </rPr>
      <t>c</t>
    </r>
  </si>
  <si>
    <r>
      <t xml:space="preserve">at 70 </t>
    </r>
    <r>
      <rPr>
        <sz val="11"/>
        <rFont val="Latina"/>
        <family val="4"/>
        <charset val="178"/>
      </rPr>
      <t>°</t>
    </r>
    <r>
      <rPr>
        <sz val="11"/>
        <rFont val="Arial"/>
        <charset val="178"/>
      </rPr>
      <t>c</t>
    </r>
  </si>
  <si>
    <t>Az ZOUR POWER STATION</t>
  </si>
  <si>
    <t>2NOS</t>
  </si>
  <si>
    <t>pumps in  DB-USG PUMP</t>
  </si>
  <si>
    <t>ACC toIEC</t>
  </si>
  <si>
    <r>
      <t>according toIEC for one copper cable XLPE inslated&amp;PVCsheathed.</t>
    </r>
    <r>
      <rPr>
        <b/>
        <sz val="10"/>
        <rFont val="Arial"/>
        <family val="2"/>
      </rPr>
      <t>8.7/15KV</t>
    </r>
  </si>
  <si>
    <r>
      <t>R</t>
    </r>
    <r>
      <rPr>
        <vertAlign val="superscript"/>
        <sz val="12"/>
        <rFont val="Times New Roman"/>
        <family val="1"/>
        <charset val="178"/>
      </rPr>
      <t>'</t>
    </r>
    <r>
      <rPr>
        <vertAlign val="subscript"/>
        <sz val="12"/>
        <rFont val="Times New Roman"/>
        <family val="1"/>
        <charset val="178"/>
      </rPr>
      <t>L</t>
    </r>
    <r>
      <rPr>
        <sz val="12"/>
        <rFont val="Times New Roman"/>
        <family val="1"/>
        <charset val="178"/>
      </rPr>
      <t>COSФ+X</t>
    </r>
    <r>
      <rPr>
        <vertAlign val="superscript"/>
        <sz val="12"/>
        <rFont val="Times New Roman"/>
        <family val="1"/>
        <charset val="178"/>
      </rPr>
      <t>'</t>
    </r>
    <r>
      <rPr>
        <vertAlign val="subscript"/>
        <sz val="12"/>
        <rFont val="Times New Roman"/>
        <family val="1"/>
        <charset val="178"/>
      </rPr>
      <t>L</t>
    </r>
    <r>
      <rPr>
        <sz val="12"/>
        <rFont val="Times New Roman"/>
        <family val="1"/>
        <charset val="178"/>
      </rPr>
      <t xml:space="preserve">SINФ    SEE CAL. BLOW   </t>
    </r>
  </si>
  <si>
    <t>L=mh/km</t>
  </si>
  <si>
    <r>
      <t>ω=2</t>
    </r>
    <r>
      <rPr>
        <b/>
        <sz val="11"/>
        <rFont val="Arial"/>
        <charset val="178"/>
      </rPr>
      <t>πF</t>
    </r>
  </si>
  <si>
    <t>INDUCTANCE</t>
  </si>
  <si>
    <t>SINФ=</t>
  </si>
  <si>
    <t>RESISTANCE</t>
  </si>
  <si>
    <t>COSФ=</t>
  </si>
  <si>
    <t>pb-USG</t>
  </si>
  <si>
    <t>according toIEC for one aluminum cable PVC inslated&amp;PVCsheathed.</t>
  </si>
  <si>
    <t>2x3</t>
  </si>
  <si>
    <t>2*I*L*</t>
  </si>
  <si>
    <t>∆V /(2*I*L*)</t>
  </si>
  <si>
    <r>
      <t>I</t>
    </r>
    <r>
      <rPr>
        <b/>
        <vertAlign val="subscript"/>
        <sz val="12"/>
        <rFont val="Times New Roman"/>
        <family val="1"/>
      </rPr>
      <t>CB</t>
    </r>
    <r>
      <rPr>
        <b/>
        <sz val="12"/>
        <rFont val="Times New Roman"/>
        <family val="1"/>
      </rPr>
      <t xml:space="preserve"> = I</t>
    </r>
    <r>
      <rPr>
        <b/>
        <vertAlign val="subscript"/>
        <sz val="12"/>
        <rFont val="Times New Roman"/>
        <family val="1"/>
      </rPr>
      <t>a</t>
    </r>
    <r>
      <rPr>
        <b/>
        <sz val="12"/>
        <rFont val="Times New Roman"/>
        <family val="1"/>
      </rPr>
      <t xml:space="preserve"> x B/A</t>
    </r>
  </si>
  <si>
    <r>
      <t>N</t>
    </r>
    <r>
      <rPr>
        <vertAlign val="superscript"/>
        <sz val="10"/>
        <rFont val="Arial"/>
        <family val="2"/>
      </rPr>
      <t>\</t>
    </r>
  </si>
  <si>
    <t xml:space="preserve">Actual </t>
  </si>
  <si>
    <t>4X(3x300+150+150)</t>
  </si>
  <si>
    <r>
      <t>X=ω*L*10</t>
    </r>
    <r>
      <rPr>
        <b/>
        <vertAlign val="superscript"/>
        <sz val="11"/>
        <rFont val="Arial"/>
        <family val="2"/>
      </rPr>
      <t>-3</t>
    </r>
  </si>
  <si>
    <t>Ω/Km</t>
  </si>
  <si>
    <r>
      <t>X</t>
    </r>
    <r>
      <rPr>
        <vertAlign val="superscript"/>
        <sz val="10"/>
        <rFont val="Times New Roman"/>
        <family val="1"/>
        <charset val="178"/>
      </rPr>
      <t>'</t>
    </r>
    <r>
      <rPr>
        <vertAlign val="subscript"/>
        <sz val="10"/>
        <rFont val="Times New Roman"/>
        <family val="1"/>
        <charset val="178"/>
      </rPr>
      <t>L</t>
    </r>
    <r>
      <rPr>
        <sz val="10"/>
        <rFont val="Times New Roman"/>
        <family val="1"/>
        <charset val="178"/>
      </rPr>
      <t>SINФ</t>
    </r>
  </si>
  <si>
    <r>
      <t>R</t>
    </r>
    <r>
      <rPr>
        <vertAlign val="superscript"/>
        <sz val="10"/>
        <rFont val="Times New Roman"/>
        <family val="1"/>
        <charset val="178"/>
      </rPr>
      <t>'</t>
    </r>
    <r>
      <rPr>
        <vertAlign val="subscript"/>
        <sz val="10"/>
        <rFont val="Times New Roman"/>
        <family val="1"/>
        <charset val="178"/>
      </rPr>
      <t>L</t>
    </r>
    <r>
      <rPr>
        <sz val="10"/>
        <rFont val="Times New Roman"/>
        <family val="1"/>
        <charset val="178"/>
      </rPr>
      <t>COSФ</t>
    </r>
  </si>
  <si>
    <r>
      <t>R</t>
    </r>
    <r>
      <rPr>
        <vertAlign val="superscript"/>
        <sz val="10"/>
        <rFont val="Times New Roman"/>
        <family val="1"/>
        <charset val="178"/>
      </rPr>
      <t>'</t>
    </r>
    <r>
      <rPr>
        <vertAlign val="subscript"/>
        <sz val="10"/>
        <rFont val="Times New Roman"/>
        <family val="1"/>
        <charset val="178"/>
      </rPr>
      <t>L</t>
    </r>
    <r>
      <rPr>
        <sz val="10"/>
        <rFont val="Times New Roman"/>
        <family val="1"/>
        <charset val="178"/>
      </rPr>
      <t>COSФ+X</t>
    </r>
    <r>
      <rPr>
        <vertAlign val="superscript"/>
        <sz val="10"/>
        <rFont val="Times New Roman"/>
        <family val="1"/>
        <charset val="178"/>
      </rPr>
      <t>'</t>
    </r>
    <r>
      <rPr>
        <vertAlign val="subscript"/>
        <sz val="10"/>
        <rFont val="Times New Roman"/>
        <family val="1"/>
        <charset val="178"/>
      </rPr>
      <t>L</t>
    </r>
    <r>
      <rPr>
        <sz val="10"/>
        <rFont val="Times New Roman"/>
        <family val="1"/>
        <charset val="178"/>
      </rPr>
      <t>SINФ</t>
    </r>
  </si>
  <si>
    <t xml:space="preserve"> kilometer</t>
  </si>
  <si>
    <t>1X3X</t>
  </si>
  <si>
    <t xml:space="preserve">DATA FOR </t>
  </si>
  <si>
    <t>KW</t>
  </si>
  <si>
    <t>4(3x240+120+120)</t>
  </si>
  <si>
    <t>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</si>
</sst>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5" formatCode="0.000"/>
  </numFmts>
  <fonts count="41">
    <font>
      <sz val="10"/>
      <name val="Arial"/>
      <charset val="178"/>
    </font>
    <font>
      <sz val="10"/>
      <name val="Arial"/>
      <charset val="178"/>
    </font>
    <font>
      <sz val="6"/>
      <name val="Times New Roman"/>
      <family val="1"/>
      <charset val="178"/>
    </font>
    <font>
      <sz val="7"/>
      <name val="Times New Roman"/>
      <family val="1"/>
      <charset val="178"/>
    </font>
    <font>
      <sz val="7"/>
      <name val="Arial"/>
      <charset val="178"/>
    </font>
    <font>
      <vertAlign val="superscript"/>
      <sz val="7"/>
      <name val="Times New Roman"/>
      <family val="1"/>
      <charset val="178"/>
    </font>
    <font>
      <sz val="9"/>
      <name val="Arial"/>
      <charset val="178"/>
    </font>
    <font>
      <sz val="12"/>
      <name val="Arial"/>
      <charset val="178"/>
    </font>
    <font>
      <sz val="12"/>
      <name val="Times New Roman"/>
      <family val="1"/>
      <charset val="178"/>
    </font>
    <font>
      <vertAlign val="superscript"/>
      <sz val="12"/>
      <name val="Times New Roman"/>
      <family val="1"/>
      <charset val="178"/>
    </font>
    <font>
      <vertAlign val="subscript"/>
      <sz val="12"/>
      <name val="Times New Roman"/>
      <family val="1"/>
      <charset val="178"/>
    </font>
    <font>
      <sz val="12"/>
      <name val="Latina"/>
      <family val="4"/>
      <charset val="178"/>
    </font>
    <font>
      <b/>
      <sz val="10"/>
      <name val="Arial"/>
      <family val="2"/>
      <charset val="178"/>
    </font>
    <font>
      <b/>
      <u/>
      <sz val="10"/>
      <name val="Arial"/>
      <family val="2"/>
      <charset val="178"/>
    </font>
    <font>
      <b/>
      <sz val="9"/>
      <name val="Arial"/>
      <family val="2"/>
      <charset val="178"/>
    </font>
    <font>
      <b/>
      <sz val="12"/>
      <name val="Editor"/>
      <family val="1"/>
      <charset val="178"/>
    </font>
    <font>
      <b/>
      <sz val="12"/>
      <name val="Arial"/>
      <charset val="178"/>
    </font>
    <font>
      <b/>
      <sz val="12"/>
      <name val="Times New Roman"/>
      <family val="1"/>
      <charset val="178"/>
    </font>
    <font>
      <b/>
      <vertAlign val="superscript"/>
      <sz val="12"/>
      <name val="Times New Roman"/>
      <family val="1"/>
      <charset val="178"/>
    </font>
    <font>
      <sz val="10"/>
      <name val="Arial"/>
      <family val="2"/>
      <charset val="178"/>
    </font>
    <font>
      <sz val="10"/>
      <name val="Latina"/>
      <family val="4"/>
      <charset val="178"/>
    </font>
    <font>
      <b/>
      <sz val="10"/>
      <name val="Arial"/>
      <charset val="178"/>
    </font>
    <font>
      <sz val="10"/>
      <name val="Dutch801 Rm BT"/>
      <family val="1"/>
      <charset val="178"/>
    </font>
    <font>
      <b/>
      <sz val="12"/>
      <name val="Latina"/>
      <family val="4"/>
      <charset val="178"/>
    </font>
    <font>
      <sz val="10"/>
      <color indexed="22"/>
      <name val="Arial"/>
      <charset val="178"/>
    </font>
    <font>
      <sz val="8"/>
      <name val="Arial"/>
      <family val="2"/>
      <charset val="178"/>
    </font>
    <font>
      <sz val="8"/>
      <name val="Arial"/>
      <charset val="178"/>
    </font>
    <font>
      <sz val="11"/>
      <name val="Arial"/>
      <charset val="178"/>
    </font>
    <font>
      <sz val="11"/>
      <name val="Latina"/>
      <family val="4"/>
      <charset val="178"/>
    </font>
    <font>
      <b/>
      <sz val="10"/>
      <name val="Arial"/>
      <family val="2"/>
    </font>
    <font>
      <b/>
      <sz val="8"/>
      <name val="Arial"/>
      <family val="2"/>
      <charset val="178"/>
    </font>
    <font>
      <b/>
      <sz val="11"/>
      <name val="Arial"/>
      <family val="2"/>
    </font>
    <font>
      <b/>
      <sz val="11"/>
      <name val="Arial"/>
      <charset val="178"/>
    </font>
    <font>
      <sz val="12"/>
      <name val="Times New Roman"/>
      <family val="1"/>
    </font>
    <font>
      <b/>
      <sz val="12"/>
      <name val="Times New Roman"/>
      <family val="1"/>
    </font>
    <font>
      <b/>
      <vertAlign val="subscript"/>
      <sz val="12"/>
      <name val="Times New Roman"/>
      <family val="1"/>
    </font>
    <font>
      <vertAlign val="superscript"/>
      <sz val="10"/>
      <name val="Arial"/>
      <family val="2"/>
    </font>
    <font>
      <b/>
      <vertAlign val="superscript"/>
      <sz val="11"/>
      <name val="Arial"/>
      <family val="2"/>
    </font>
    <font>
      <sz val="10"/>
      <name val="Times New Roman"/>
      <family val="1"/>
      <charset val="178"/>
    </font>
    <font>
      <vertAlign val="superscript"/>
      <sz val="10"/>
      <name val="Times New Roman"/>
      <family val="1"/>
      <charset val="178"/>
    </font>
    <font>
      <vertAlign val="subscript"/>
      <sz val="10"/>
      <name val="Times New Roman"/>
      <family val="1"/>
      <charset val="178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2" fillId="0" borderId="0" xfId="0" applyFont="1" applyAlignment="1"/>
    <xf numFmtId="0" fontId="0" fillId="0" borderId="0" xfId="0" applyAlignment="1">
      <alignment horizontal="center"/>
    </xf>
    <xf numFmtId="185" fontId="7" fillId="0" borderId="0" xfId="0" applyNumberFormat="1" applyFont="1" applyFill="1" applyBorder="1" applyAlignment="1">
      <alignment horizontal="center"/>
    </xf>
    <xf numFmtId="185" fontId="0" fillId="0" borderId="0" xfId="0" applyNumberFormat="1"/>
    <xf numFmtId="0" fontId="0" fillId="2" borderId="0" xfId="0" applyFill="1" applyBorder="1" applyAlignment="1">
      <alignment horizontal="center"/>
    </xf>
    <xf numFmtId="184" fontId="0" fillId="2" borderId="0" xfId="0" applyNumberFormat="1" applyFill="1" applyBorder="1" applyAlignment="1">
      <alignment horizontal="center"/>
    </xf>
    <xf numFmtId="0" fontId="12" fillId="2" borderId="29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185" fontId="12" fillId="2" borderId="32" xfId="0" applyNumberFormat="1" applyFont="1" applyFill="1" applyBorder="1" applyAlignment="1">
      <alignment horizontal="center"/>
    </xf>
    <xf numFmtId="0" fontId="21" fillId="2" borderId="29" xfId="0" applyFont="1" applyFill="1" applyBorder="1" applyAlignment="1">
      <alignment horizontal="left"/>
    </xf>
    <xf numFmtId="0" fontId="21" fillId="2" borderId="71" xfId="0" applyFont="1" applyFill="1" applyBorder="1" applyAlignment="1">
      <alignment horizontal="left"/>
    </xf>
    <xf numFmtId="0" fontId="0" fillId="0" borderId="40" xfId="0" applyFill="1" applyBorder="1"/>
    <xf numFmtId="0" fontId="0" fillId="0" borderId="33" xfId="0" applyFill="1" applyBorder="1"/>
    <xf numFmtId="0" fontId="0" fillId="0" borderId="0" xfId="0" applyFill="1" applyBorder="1"/>
    <xf numFmtId="0" fontId="14" fillId="0" borderId="0" xfId="0" applyFont="1" applyFill="1" applyBorder="1" applyAlignment="1"/>
    <xf numFmtId="0" fontId="6" fillId="0" borderId="0" xfId="0" applyFont="1" applyFill="1" applyBorder="1"/>
    <xf numFmtId="0" fontId="0" fillId="0" borderId="34" xfId="0" applyFill="1" applyBorder="1"/>
    <xf numFmtId="0" fontId="0" fillId="0" borderId="0" xfId="0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63" xfId="0" applyFont="1" applyFill="1" applyBorder="1" applyAlignment="1">
      <alignment horizontal="center" vertical="center"/>
    </xf>
    <xf numFmtId="0" fontId="3" fillId="0" borderId="64" xfId="0" applyFont="1" applyFill="1" applyBorder="1" applyAlignment="1">
      <alignment horizontal="center" vertical="center"/>
    </xf>
    <xf numFmtId="0" fontId="3" fillId="0" borderId="65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 wrapText="1"/>
    </xf>
    <xf numFmtId="0" fontId="3" fillId="0" borderId="6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57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readingOrder="2"/>
    </xf>
    <xf numFmtId="0" fontId="4" fillId="0" borderId="14" xfId="0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184" fontId="3" fillId="0" borderId="8" xfId="0" applyNumberFormat="1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2" fillId="0" borderId="58" xfId="0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60" xfId="0" applyFont="1" applyFill="1" applyBorder="1" applyAlignment="1">
      <alignment horizontal="center" vertical="center"/>
    </xf>
    <xf numFmtId="0" fontId="3" fillId="0" borderId="61" xfId="0" applyFont="1" applyFill="1" applyBorder="1" applyAlignment="1">
      <alignment horizontal="center" vertical="center"/>
    </xf>
    <xf numFmtId="0" fontId="3" fillId="0" borderId="62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1" fontId="0" fillId="0" borderId="0" xfId="0" applyNumberFormat="1" applyFill="1" applyBorder="1"/>
    <xf numFmtId="0" fontId="0" fillId="0" borderId="37" xfId="0" applyFill="1" applyBorder="1"/>
    <xf numFmtId="0" fontId="0" fillId="0" borderId="35" xfId="0" applyFill="1" applyBorder="1"/>
    <xf numFmtId="0" fontId="0" fillId="0" borderId="38" xfId="0" applyFill="1" applyBorder="1"/>
    <xf numFmtId="0" fontId="0" fillId="0" borderId="39" xfId="0" applyFill="1" applyBorder="1"/>
    <xf numFmtId="0" fontId="3" fillId="0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0" fillId="0" borderId="36" xfId="0" applyFill="1" applyBorder="1"/>
    <xf numFmtId="0" fontId="13" fillId="0" borderId="38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0" fillId="0" borderId="33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/>
    </xf>
    <xf numFmtId="0" fontId="25" fillId="0" borderId="67" xfId="0" applyFont="1" applyFill="1" applyBorder="1" applyAlignment="1">
      <alignment horizontal="center" vertical="center"/>
    </xf>
    <xf numFmtId="0" fontId="0" fillId="0" borderId="69" xfId="0" applyFill="1" applyBorder="1" applyAlignment="1">
      <alignment horizontal="center" vertical="center"/>
    </xf>
    <xf numFmtId="0" fontId="0" fillId="0" borderId="70" xfId="0" applyFill="1" applyBorder="1" applyAlignment="1">
      <alignment horizontal="center" vertical="center"/>
    </xf>
    <xf numFmtId="0" fontId="25" fillId="0" borderId="68" xfId="0" applyFont="1" applyFill="1" applyBorder="1" applyAlignment="1">
      <alignment horizontal="center" vertical="center"/>
    </xf>
    <xf numFmtId="0" fontId="25" fillId="0" borderId="43" xfId="0" applyFont="1" applyFill="1" applyBorder="1" applyAlignment="1">
      <alignment horizontal="center" vertical="center" wrapText="1"/>
    </xf>
    <xf numFmtId="0" fontId="25" fillId="0" borderId="44" xfId="0" applyFont="1" applyFill="1" applyBorder="1" applyAlignment="1">
      <alignment horizontal="center" vertical="center" wrapText="1"/>
    </xf>
    <xf numFmtId="0" fontId="25" fillId="0" borderId="45" xfId="0" applyFont="1" applyFill="1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1" fontId="0" fillId="0" borderId="8" xfId="0" applyNumberFormat="1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textRotation="90" wrapText="1"/>
    </xf>
    <xf numFmtId="0" fontId="0" fillId="0" borderId="50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1" xfId="0" applyFill="1" applyBorder="1" applyAlignment="1">
      <alignment horizontal="left" vertical="center"/>
    </xf>
    <xf numFmtId="0" fontId="0" fillId="0" borderId="52" xfId="0" applyFill="1" applyBorder="1"/>
    <xf numFmtId="0" fontId="0" fillId="0" borderId="53" xfId="0" applyFill="1" applyBorder="1"/>
    <xf numFmtId="0" fontId="0" fillId="0" borderId="54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27" fillId="0" borderId="55" xfId="0" applyFont="1" applyFill="1" applyBorder="1"/>
    <xf numFmtId="0" fontId="7" fillId="0" borderId="24" xfId="0" applyFont="1" applyFill="1" applyBorder="1"/>
    <xf numFmtId="0" fontId="27" fillId="0" borderId="24" xfId="0" applyFont="1" applyFill="1" applyBorder="1"/>
    <xf numFmtId="0" fontId="7" fillId="0" borderId="24" xfId="0" applyFont="1" applyFill="1" applyBorder="1" applyAlignment="1">
      <alignment horizontal="center"/>
    </xf>
    <xf numFmtId="0" fontId="7" fillId="0" borderId="66" xfId="0" applyFont="1" applyFill="1" applyBorder="1" applyAlignment="1">
      <alignment horizontal="right"/>
    </xf>
    <xf numFmtId="0" fontId="7" fillId="0" borderId="25" xfId="0" applyFont="1" applyFill="1" applyBorder="1" applyAlignment="1">
      <alignment horizontal="right"/>
    </xf>
    <xf numFmtId="0" fontId="8" fillId="0" borderId="25" xfId="0" applyFont="1" applyFill="1" applyBorder="1" applyAlignment="1">
      <alignment horizontal="left" readingOrder="2"/>
    </xf>
    <xf numFmtId="0" fontId="7" fillId="0" borderId="26" xfId="0" applyFont="1" applyFill="1" applyBorder="1" applyAlignment="1"/>
    <xf numFmtId="0" fontId="27" fillId="0" borderId="56" xfId="0" applyFont="1" applyFill="1" applyBorder="1"/>
    <xf numFmtId="0" fontId="7" fillId="0" borderId="13" xfId="0" applyFont="1" applyFill="1" applyBorder="1" applyAlignment="1">
      <alignment horizontal="center"/>
    </xf>
    <xf numFmtId="0" fontId="7" fillId="0" borderId="57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0" fontId="8" fillId="0" borderId="17" xfId="0" applyFont="1" applyFill="1" applyBorder="1" applyAlignment="1">
      <alignment horizontal="center" readingOrder="2"/>
    </xf>
    <xf numFmtId="0" fontId="8" fillId="0" borderId="22" xfId="0" applyFont="1" applyFill="1" applyBorder="1" applyAlignment="1">
      <alignment horizontal="center" readingOrder="2"/>
    </xf>
    <xf numFmtId="0" fontId="8" fillId="0" borderId="18" xfId="0" applyFont="1" applyFill="1" applyBorder="1" applyAlignment="1">
      <alignment horizontal="center" readingOrder="2"/>
    </xf>
    <xf numFmtId="0" fontId="7" fillId="0" borderId="22" xfId="0" applyFont="1" applyFill="1" applyBorder="1" applyAlignment="1">
      <alignment horizontal="center"/>
    </xf>
    <xf numFmtId="0" fontId="7" fillId="0" borderId="27" xfId="0" applyFont="1" applyFill="1" applyBorder="1" applyAlignment="1">
      <alignment horizontal="center"/>
    </xf>
    <xf numFmtId="0" fontId="17" fillId="0" borderId="5" xfId="0" applyFont="1" applyFill="1" applyBorder="1" applyAlignment="1">
      <alignment horizontal="center" readingOrder="2"/>
    </xf>
    <xf numFmtId="0" fontId="15" fillId="0" borderId="6" xfId="0" applyFont="1" applyFill="1" applyBorder="1" applyAlignment="1">
      <alignment horizontal="center"/>
    </xf>
    <xf numFmtId="0" fontId="15" fillId="0" borderId="23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28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185" fontId="7" fillId="0" borderId="4" xfId="0" applyNumberFormat="1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2" fontId="7" fillId="0" borderId="4" xfId="0" applyNumberFormat="1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27" fillId="0" borderId="13" xfId="0" applyFont="1" applyFill="1" applyBorder="1" applyAlignment="1">
      <alignment horizontal="center"/>
    </xf>
    <xf numFmtId="185" fontId="7" fillId="0" borderId="21" xfId="0" applyNumberFormat="1" applyFont="1" applyFill="1" applyBorder="1" applyAlignment="1">
      <alignment horizontal="center"/>
    </xf>
    <xf numFmtId="185" fontId="7" fillId="0" borderId="6" xfId="0" applyNumberFormat="1" applyFont="1" applyFill="1" applyBorder="1" applyAlignment="1">
      <alignment horizontal="center"/>
    </xf>
    <xf numFmtId="185" fontId="7" fillId="0" borderId="23" xfId="0" applyNumberFormat="1" applyFont="1" applyFill="1" applyBorder="1" applyAlignment="1">
      <alignment horizontal="center"/>
    </xf>
    <xf numFmtId="185" fontId="0" fillId="0" borderId="37" xfId="0" applyNumberFormat="1" applyFill="1" applyBorder="1"/>
    <xf numFmtId="0" fontId="24" fillId="0" borderId="33" xfId="0" applyFont="1" applyFill="1" applyBorder="1"/>
    <xf numFmtId="0" fontId="12" fillId="0" borderId="0" xfId="0" applyFont="1" applyFill="1" applyBorder="1" applyAlignment="1"/>
    <xf numFmtId="0" fontId="24" fillId="0" borderId="34" xfId="0" applyFont="1" applyFill="1" applyBorder="1"/>
    <xf numFmtId="0" fontId="13" fillId="0" borderId="0" xfId="0" applyFont="1" applyFill="1" applyBorder="1"/>
    <xf numFmtId="0" fontId="12" fillId="0" borderId="0" xfId="0" applyFont="1" applyFill="1" applyBorder="1"/>
    <xf numFmtId="0" fontId="12" fillId="0" borderId="0" xfId="0" applyFont="1" applyFill="1" applyBorder="1" applyAlignment="1"/>
    <xf numFmtId="0" fontId="19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184" fontId="0" fillId="0" borderId="0" xfId="0" applyNumberFormat="1" applyFill="1" applyBorder="1"/>
    <xf numFmtId="184" fontId="0" fillId="0" borderId="0" xfId="0" applyNumberFormat="1" applyFill="1" applyBorder="1" applyAlignment="1">
      <alignment horizontal="center"/>
    </xf>
    <xf numFmtId="0" fontId="33" fillId="0" borderId="0" xfId="0" applyFont="1" applyFill="1" applyAlignment="1">
      <alignment horizontal="left" readingOrder="1"/>
    </xf>
    <xf numFmtId="0" fontId="8" fillId="0" borderId="0" xfId="0" applyFont="1" applyFill="1" applyBorder="1" applyAlignment="1">
      <alignment horizontal="center" readingOrder="2"/>
    </xf>
    <xf numFmtId="0" fontId="8" fillId="0" borderId="0" xfId="0" applyFont="1" applyFill="1" applyBorder="1" applyAlignment="1">
      <alignment horizontal="left" readingOrder="2"/>
    </xf>
    <xf numFmtId="2" fontId="0" fillId="0" borderId="0" xfId="0" applyNumberFormat="1" applyFill="1" applyBorder="1"/>
    <xf numFmtId="2" fontId="0" fillId="0" borderId="0" xfId="0" applyNumberForma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left" readingOrder="2"/>
    </xf>
    <xf numFmtId="0" fontId="0" fillId="0" borderId="0" xfId="0" applyFill="1" applyBorder="1" applyAlignment="1">
      <alignment horizontal="justify" vertical="center" wrapText="1"/>
    </xf>
    <xf numFmtId="185" fontId="12" fillId="0" borderId="32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21" fillId="0" borderId="29" xfId="0" applyFont="1" applyFill="1" applyBorder="1" applyAlignment="1">
      <alignment horizontal="left"/>
    </xf>
    <xf numFmtId="0" fontId="21" fillId="0" borderId="71" xfId="0" applyFont="1" applyFill="1" applyBorder="1" applyAlignment="1">
      <alignment horizontal="left"/>
    </xf>
    <xf numFmtId="0" fontId="17" fillId="0" borderId="31" xfId="0" applyFont="1" applyFill="1" applyBorder="1" applyAlignment="1">
      <alignment horizontal="center" readingOrder="2"/>
    </xf>
    <xf numFmtId="0" fontId="8" fillId="0" borderId="0" xfId="0" applyFont="1" applyFill="1" applyBorder="1" applyAlignment="1">
      <alignment horizontal="left" readingOrder="1"/>
    </xf>
    <xf numFmtId="0" fontId="0" fillId="0" borderId="0" xfId="0" applyFill="1" applyBorder="1" applyAlignment="1">
      <alignment horizontal="right"/>
    </xf>
    <xf numFmtId="0" fontId="22" fillId="0" borderId="0" xfId="0" applyFont="1" applyFill="1" applyBorder="1" applyAlignment="1">
      <alignment horizontal="right"/>
    </xf>
    <xf numFmtId="184" fontId="0" fillId="0" borderId="32" xfId="0" applyNumberFormat="1" applyFill="1" applyBorder="1" applyAlignment="1">
      <alignment horizontal="center"/>
    </xf>
    <xf numFmtId="2" fontId="23" fillId="0" borderId="0" xfId="0" applyNumberFormat="1" applyFont="1" applyFill="1" applyBorder="1"/>
    <xf numFmtId="2" fontId="23" fillId="0" borderId="32" xfId="0" applyNumberFormat="1" applyFont="1" applyFill="1" applyBorder="1" applyAlignment="1">
      <alignment horizontal="center"/>
    </xf>
    <xf numFmtId="185" fontId="0" fillId="0" borderId="0" xfId="0" applyNumberFormat="1" applyFill="1" applyBorder="1"/>
    <xf numFmtId="185" fontId="0" fillId="0" borderId="0" xfId="0" applyNumberFormat="1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37" xfId="0" applyFill="1" applyBorder="1" applyAlignment="1">
      <alignment horizontal="center"/>
    </xf>
    <xf numFmtId="0" fontId="24" fillId="0" borderId="35" xfId="0" applyFont="1" applyFill="1" applyBorder="1"/>
    <xf numFmtId="0" fontId="29" fillId="0" borderId="0" xfId="0" applyFont="1" applyFill="1" applyBorder="1" applyAlignment="1">
      <alignment horizontal="center"/>
    </xf>
    <xf numFmtId="0" fontId="30" fillId="0" borderId="0" xfId="0" applyFont="1" applyFill="1" applyBorder="1" applyAlignment="1"/>
    <xf numFmtId="0" fontId="25" fillId="0" borderId="0" xfId="0" applyFont="1" applyFill="1" applyAlignment="1"/>
    <xf numFmtId="0" fontId="0" fillId="0" borderId="0" xfId="0" applyFill="1" applyAlignment="1">
      <alignment wrapText="1"/>
    </xf>
    <xf numFmtId="0" fontId="0" fillId="0" borderId="0" xfId="0" applyFill="1" applyAlignment="1">
      <alignment wrapText="1"/>
    </xf>
    <xf numFmtId="0" fontId="21" fillId="0" borderId="29" xfId="0" applyFont="1" applyFill="1" applyBorder="1" applyAlignment="1">
      <alignment horizontal="right"/>
    </xf>
    <xf numFmtId="0" fontId="21" fillId="0" borderId="31" xfId="0" applyFont="1" applyFill="1" applyBorder="1" applyAlignment="1">
      <alignment horizontal="left"/>
    </xf>
    <xf numFmtId="0" fontId="29" fillId="0" borderId="0" xfId="0" applyFont="1" applyFill="1" applyBorder="1" applyAlignment="1">
      <alignment horizontal="left"/>
    </xf>
    <xf numFmtId="2" fontId="23" fillId="0" borderId="0" xfId="0" applyNumberFormat="1" applyFont="1" applyFill="1" applyBorder="1" applyAlignment="1">
      <alignment horizontal="center"/>
    </xf>
    <xf numFmtId="0" fontId="29" fillId="0" borderId="0" xfId="0" applyFont="1" applyFill="1" applyAlignment="1">
      <alignment horizontal="center"/>
    </xf>
    <xf numFmtId="0" fontId="31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17" fillId="0" borderId="0" xfId="0" applyFont="1" applyFill="1" applyBorder="1" applyAlignment="1">
      <alignment horizontal="center" readingOrder="2"/>
    </xf>
    <xf numFmtId="0" fontId="31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6" fillId="0" borderId="0" xfId="0" applyFont="1" applyFill="1" applyBorder="1"/>
    <xf numFmtId="185" fontId="0" fillId="0" borderId="0" xfId="0" applyNumberFormat="1" applyFill="1"/>
    <xf numFmtId="0" fontId="38" fillId="0" borderId="0" xfId="0" applyFont="1" applyFill="1" applyBorder="1" applyAlignment="1">
      <alignment horizontal="left" readingOrder="1"/>
    </xf>
    <xf numFmtId="0" fontId="1" fillId="0" borderId="7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99060</xdr:colOff>
      <xdr:row>5</xdr:row>
      <xdr:rowOff>251460</xdr:rowOff>
    </xdr:from>
    <xdr:to>
      <xdr:col>8</xdr:col>
      <xdr:colOff>403860</xdr:colOff>
      <xdr:row>5</xdr:row>
      <xdr:rowOff>571500</xdr:rowOff>
    </xdr:to>
    <xdr:pic>
      <xdr:nvPicPr>
        <xdr:cNvPr id="2056" name="Picture 8">
          <a:extLst>
            <a:ext uri="{FF2B5EF4-FFF2-40B4-BE49-F238E27FC236}">
              <a16:creationId xmlns:a16="http://schemas.microsoft.com/office/drawing/2014/main" id="{76922D5B-EEF4-28C2-F68A-83904F20A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8040" y="134874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396240</xdr:rowOff>
        </xdr:from>
        <xdr:to>
          <xdr:col>8</xdr:col>
          <xdr:colOff>335280</xdr:colOff>
          <xdr:row>6</xdr:row>
          <xdr:rowOff>601980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B905E18C-CF7B-86E6-3584-EEF18B3FD7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</xdr:colOff>
          <xdr:row>24</xdr:row>
          <xdr:rowOff>76200</xdr:rowOff>
        </xdr:from>
        <xdr:to>
          <xdr:col>8</xdr:col>
          <xdr:colOff>495300</xdr:colOff>
          <xdr:row>24</xdr:row>
          <xdr:rowOff>220980</xdr:rowOff>
        </xdr:to>
        <xdr:sp macro="" textlink="">
          <xdr:nvSpPr>
            <xdr:cNvPr id="2066" name="Object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3C2BF38E-FFDF-C03F-187C-F46B605694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91440</xdr:colOff>
      <xdr:row>25</xdr:row>
      <xdr:rowOff>22860</xdr:rowOff>
    </xdr:from>
    <xdr:to>
      <xdr:col>8</xdr:col>
      <xdr:colOff>396240</xdr:colOff>
      <xdr:row>25</xdr:row>
      <xdr:rowOff>350520</xdr:rowOff>
    </xdr:to>
    <xdr:pic>
      <xdr:nvPicPr>
        <xdr:cNvPr id="2068" name="Picture 20">
          <a:extLst>
            <a:ext uri="{FF2B5EF4-FFF2-40B4-BE49-F238E27FC236}">
              <a16:creationId xmlns:a16="http://schemas.microsoft.com/office/drawing/2014/main" id="{623F2DAB-47F0-39AE-0E9B-73F8B0760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0420" y="8961120"/>
          <a:ext cx="30480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36</xdr:row>
      <xdr:rowOff>0</xdr:rowOff>
    </xdr:from>
    <xdr:to>
      <xdr:col>4</xdr:col>
      <xdr:colOff>342900</xdr:colOff>
      <xdr:row>36</xdr:row>
      <xdr:rowOff>0</xdr:rowOff>
    </xdr:to>
    <xdr:sp macro="" textlink="">
      <xdr:nvSpPr>
        <xdr:cNvPr id="3076" name="Line 4">
          <a:extLst>
            <a:ext uri="{FF2B5EF4-FFF2-40B4-BE49-F238E27FC236}">
              <a16:creationId xmlns:a16="http://schemas.microsoft.com/office/drawing/2014/main" id="{195CA364-CB50-872A-B780-714CB0125A0E}"/>
            </a:ext>
          </a:extLst>
        </xdr:cNvPr>
        <xdr:cNvSpPr>
          <a:spLocks noChangeShapeType="1"/>
        </xdr:cNvSpPr>
      </xdr:nvSpPr>
      <xdr:spPr bwMode="auto">
        <a:xfrm>
          <a:off x="2339340" y="6758940"/>
          <a:ext cx="91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198120</xdr:colOff>
      <xdr:row>35</xdr:row>
      <xdr:rowOff>91440</xdr:rowOff>
    </xdr:from>
    <xdr:to>
      <xdr:col>4</xdr:col>
      <xdr:colOff>274320</xdr:colOff>
      <xdr:row>35</xdr:row>
      <xdr:rowOff>91440</xdr:rowOff>
    </xdr:to>
    <xdr:sp macro="" textlink="">
      <xdr:nvSpPr>
        <xdr:cNvPr id="3081" name="Line 9">
          <a:extLst>
            <a:ext uri="{FF2B5EF4-FFF2-40B4-BE49-F238E27FC236}">
              <a16:creationId xmlns:a16="http://schemas.microsoft.com/office/drawing/2014/main" id="{247AD034-4C0A-6E98-0124-FD3590D0BC82}"/>
            </a:ext>
          </a:extLst>
        </xdr:cNvPr>
        <xdr:cNvSpPr>
          <a:spLocks noChangeShapeType="1"/>
        </xdr:cNvSpPr>
      </xdr:nvSpPr>
      <xdr:spPr bwMode="auto">
        <a:xfrm>
          <a:off x="2286000" y="659130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198120</xdr:colOff>
      <xdr:row>39</xdr:row>
      <xdr:rowOff>91440</xdr:rowOff>
    </xdr:from>
    <xdr:to>
      <xdr:col>4</xdr:col>
      <xdr:colOff>274320</xdr:colOff>
      <xdr:row>39</xdr:row>
      <xdr:rowOff>91440</xdr:rowOff>
    </xdr:to>
    <xdr:sp macro="" textlink="">
      <xdr:nvSpPr>
        <xdr:cNvPr id="3082" name="Line 10">
          <a:extLst>
            <a:ext uri="{FF2B5EF4-FFF2-40B4-BE49-F238E27FC236}">
              <a16:creationId xmlns:a16="http://schemas.microsoft.com/office/drawing/2014/main" id="{1AFB2C30-7D43-F1BB-43CD-542D47C89E46}"/>
            </a:ext>
          </a:extLst>
        </xdr:cNvPr>
        <xdr:cNvSpPr>
          <a:spLocks noChangeShapeType="1"/>
        </xdr:cNvSpPr>
      </xdr:nvSpPr>
      <xdr:spPr bwMode="auto">
        <a:xfrm>
          <a:off x="2286000" y="744474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449580</xdr:colOff>
      <xdr:row>41</xdr:row>
      <xdr:rowOff>53340</xdr:rowOff>
    </xdr:from>
    <xdr:to>
      <xdr:col>6</xdr:col>
      <xdr:colOff>419100</xdr:colOff>
      <xdr:row>41</xdr:row>
      <xdr:rowOff>53340</xdr:rowOff>
    </xdr:to>
    <xdr:sp macro="" textlink="">
      <xdr:nvSpPr>
        <xdr:cNvPr id="3083" name="Line 11">
          <a:extLst>
            <a:ext uri="{FF2B5EF4-FFF2-40B4-BE49-F238E27FC236}">
              <a16:creationId xmlns:a16="http://schemas.microsoft.com/office/drawing/2014/main" id="{80D69831-2552-DA78-44EF-0E49CDFF4453}"/>
            </a:ext>
          </a:extLst>
        </xdr:cNvPr>
        <xdr:cNvSpPr>
          <a:spLocks noChangeShapeType="1"/>
        </xdr:cNvSpPr>
      </xdr:nvSpPr>
      <xdr:spPr bwMode="auto">
        <a:xfrm flipV="1">
          <a:off x="3787140" y="78257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251460</xdr:colOff>
      <xdr:row>36</xdr:row>
      <xdr:rowOff>0</xdr:rowOff>
    </xdr:from>
    <xdr:to>
      <xdr:col>4</xdr:col>
      <xdr:colOff>342900</xdr:colOff>
      <xdr:row>36</xdr:row>
      <xdr:rowOff>0</xdr:rowOff>
    </xdr:to>
    <xdr:sp macro="" textlink="">
      <xdr:nvSpPr>
        <xdr:cNvPr id="3084" name="Line 12">
          <a:extLst>
            <a:ext uri="{FF2B5EF4-FFF2-40B4-BE49-F238E27FC236}">
              <a16:creationId xmlns:a16="http://schemas.microsoft.com/office/drawing/2014/main" id="{75EFBF94-CBF8-3184-53BC-6F27EFD130A1}"/>
            </a:ext>
          </a:extLst>
        </xdr:cNvPr>
        <xdr:cNvSpPr>
          <a:spLocks noChangeShapeType="1"/>
        </xdr:cNvSpPr>
      </xdr:nvSpPr>
      <xdr:spPr bwMode="auto">
        <a:xfrm>
          <a:off x="2339340" y="6758940"/>
          <a:ext cx="91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198120</xdr:colOff>
      <xdr:row>83</xdr:row>
      <xdr:rowOff>91440</xdr:rowOff>
    </xdr:from>
    <xdr:to>
      <xdr:col>4</xdr:col>
      <xdr:colOff>274320</xdr:colOff>
      <xdr:row>83</xdr:row>
      <xdr:rowOff>91440</xdr:rowOff>
    </xdr:to>
    <xdr:sp macro="" textlink="">
      <xdr:nvSpPr>
        <xdr:cNvPr id="3085" name="Line 13">
          <a:extLst>
            <a:ext uri="{FF2B5EF4-FFF2-40B4-BE49-F238E27FC236}">
              <a16:creationId xmlns:a16="http://schemas.microsoft.com/office/drawing/2014/main" id="{59C287F1-756B-9F0B-F91F-4DCAE7CA3F8D}"/>
            </a:ext>
          </a:extLst>
        </xdr:cNvPr>
        <xdr:cNvSpPr>
          <a:spLocks noChangeShapeType="1"/>
        </xdr:cNvSpPr>
      </xdr:nvSpPr>
      <xdr:spPr bwMode="auto">
        <a:xfrm>
          <a:off x="2286000" y="1558290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251460</xdr:colOff>
      <xdr:row>84</xdr:row>
      <xdr:rowOff>0</xdr:rowOff>
    </xdr:from>
    <xdr:to>
      <xdr:col>4</xdr:col>
      <xdr:colOff>342900</xdr:colOff>
      <xdr:row>84</xdr:row>
      <xdr:rowOff>0</xdr:rowOff>
    </xdr:to>
    <xdr:sp macro="" textlink="">
      <xdr:nvSpPr>
        <xdr:cNvPr id="3086" name="Line 14">
          <a:extLst>
            <a:ext uri="{FF2B5EF4-FFF2-40B4-BE49-F238E27FC236}">
              <a16:creationId xmlns:a16="http://schemas.microsoft.com/office/drawing/2014/main" id="{D3023D03-DE12-7501-C19F-7E06F9CF90D2}"/>
            </a:ext>
          </a:extLst>
        </xdr:cNvPr>
        <xdr:cNvSpPr>
          <a:spLocks noChangeShapeType="1"/>
        </xdr:cNvSpPr>
      </xdr:nvSpPr>
      <xdr:spPr bwMode="auto">
        <a:xfrm>
          <a:off x="2339340" y="15750540"/>
          <a:ext cx="91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198120</xdr:colOff>
      <xdr:row>131</xdr:row>
      <xdr:rowOff>91440</xdr:rowOff>
    </xdr:from>
    <xdr:to>
      <xdr:col>4</xdr:col>
      <xdr:colOff>274320</xdr:colOff>
      <xdr:row>131</xdr:row>
      <xdr:rowOff>91440</xdr:rowOff>
    </xdr:to>
    <xdr:sp macro="" textlink="">
      <xdr:nvSpPr>
        <xdr:cNvPr id="3087" name="Line 15">
          <a:extLst>
            <a:ext uri="{FF2B5EF4-FFF2-40B4-BE49-F238E27FC236}">
              <a16:creationId xmlns:a16="http://schemas.microsoft.com/office/drawing/2014/main" id="{CDF97110-7A5E-F7C6-FC93-E0569967B71A}"/>
            </a:ext>
          </a:extLst>
        </xdr:cNvPr>
        <xdr:cNvSpPr>
          <a:spLocks noChangeShapeType="1"/>
        </xdr:cNvSpPr>
      </xdr:nvSpPr>
      <xdr:spPr bwMode="auto">
        <a:xfrm>
          <a:off x="2286000" y="2460498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251460</xdr:colOff>
      <xdr:row>132</xdr:row>
      <xdr:rowOff>0</xdr:rowOff>
    </xdr:from>
    <xdr:to>
      <xdr:col>4</xdr:col>
      <xdr:colOff>342900</xdr:colOff>
      <xdr:row>132</xdr:row>
      <xdr:rowOff>0</xdr:rowOff>
    </xdr:to>
    <xdr:sp macro="" textlink="">
      <xdr:nvSpPr>
        <xdr:cNvPr id="3088" name="Line 16">
          <a:extLst>
            <a:ext uri="{FF2B5EF4-FFF2-40B4-BE49-F238E27FC236}">
              <a16:creationId xmlns:a16="http://schemas.microsoft.com/office/drawing/2014/main" id="{7EEECC26-1A52-5BF5-126C-F575BB8AA582}"/>
            </a:ext>
          </a:extLst>
        </xdr:cNvPr>
        <xdr:cNvSpPr>
          <a:spLocks noChangeShapeType="1"/>
        </xdr:cNvSpPr>
      </xdr:nvSpPr>
      <xdr:spPr bwMode="auto">
        <a:xfrm>
          <a:off x="2339340" y="24772620"/>
          <a:ext cx="91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251460</xdr:colOff>
      <xdr:row>36</xdr:row>
      <xdr:rowOff>0</xdr:rowOff>
    </xdr:from>
    <xdr:to>
      <xdr:col>4</xdr:col>
      <xdr:colOff>342900</xdr:colOff>
      <xdr:row>36</xdr:row>
      <xdr:rowOff>0</xdr:rowOff>
    </xdr:to>
    <xdr:sp macro="" textlink="">
      <xdr:nvSpPr>
        <xdr:cNvPr id="3089" name="Line 17">
          <a:extLst>
            <a:ext uri="{FF2B5EF4-FFF2-40B4-BE49-F238E27FC236}">
              <a16:creationId xmlns:a16="http://schemas.microsoft.com/office/drawing/2014/main" id="{D449C974-7C4D-7915-DAA2-C1D9572412F3}"/>
            </a:ext>
          </a:extLst>
        </xdr:cNvPr>
        <xdr:cNvSpPr>
          <a:spLocks noChangeShapeType="1"/>
        </xdr:cNvSpPr>
      </xdr:nvSpPr>
      <xdr:spPr bwMode="auto">
        <a:xfrm>
          <a:off x="2339340" y="6758940"/>
          <a:ext cx="91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251460</xdr:colOff>
      <xdr:row>84</xdr:row>
      <xdr:rowOff>0</xdr:rowOff>
    </xdr:from>
    <xdr:to>
      <xdr:col>4</xdr:col>
      <xdr:colOff>342900</xdr:colOff>
      <xdr:row>84</xdr:row>
      <xdr:rowOff>0</xdr:rowOff>
    </xdr:to>
    <xdr:sp macro="" textlink="">
      <xdr:nvSpPr>
        <xdr:cNvPr id="3090" name="Line 18">
          <a:extLst>
            <a:ext uri="{FF2B5EF4-FFF2-40B4-BE49-F238E27FC236}">
              <a16:creationId xmlns:a16="http://schemas.microsoft.com/office/drawing/2014/main" id="{8D498FA5-C8F3-DBF1-7C47-1615C59C6889}"/>
            </a:ext>
          </a:extLst>
        </xdr:cNvPr>
        <xdr:cNvSpPr>
          <a:spLocks noChangeShapeType="1"/>
        </xdr:cNvSpPr>
      </xdr:nvSpPr>
      <xdr:spPr bwMode="auto">
        <a:xfrm>
          <a:off x="2339340" y="15750540"/>
          <a:ext cx="91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251460</xdr:colOff>
      <xdr:row>132</xdr:row>
      <xdr:rowOff>0</xdr:rowOff>
    </xdr:from>
    <xdr:to>
      <xdr:col>4</xdr:col>
      <xdr:colOff>342900</xdr:colOff>
      <xdr:row>132</xdr:row>
      <xdr:rowOff>0</xdr:rowOff>
    </xdr:to>
    <xdr:sp macro="" textlink="">
      <xdr:nvSpPr>
        <xdr:cNvPr id="3091" name="Line 19">
          <a:extLst>
            <a:ext uri="{FF2B5EF4-FFF2-40B4-BE49-F238E27FC236}">
              <a16:creationId xmlns:a16="http://schemas.microsoft.com/office/drawing/2014/main" id="{A93E0E97-A1C4-D38D-950E-D9F1D770D66D}"/>
            </a:ext>
          </a:extLst>
        </xdr:cNvPr>
        <xdr:cNvSpPr>
          <a:spLocks noChangeShapeType="1"/>
        </xdr:cNvSpPr>
      </xdr:nvSpPr>
      <xdr:spPr bwMode="auto">
        <a:xfrm>
          <a:off x="2339340" y="24772620"/>
          <a:ext cx="91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35</xdr:row>
      <xdr:rowOff>91440</xdr:rowOff>
    </xdr:from>
    <xdr:to>
      <xdr:col>4</xdr:col>
      <xdr:colOff>274320</xdr:colOff>
      <xdr:row>35</xdr:row>
      <xdr:rowOff>91440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5F488ABA-BA96-BE18-4A91-FD47B5D2EF5B}"/>
            </a:ext>
          </a:extLst>
        </xdr:cNvPr>
        <xdr:cNvSpPr>
          <a:spLocks noChangeShapeType="1"/>
        </xdr:cNvSpPr>
      </xdr:nvSpPr>
      <xdr:spPr bwMode="auto">
        <a:xfrm>
          <a:off x="2286000" y="659130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198120</xdr:colOff>
      <xdr:row>40</xdr:row>
      <xdr:rowOff>91440</xdr:rowOff>
    </xdr:from>
    <xdr:to>
      <xdr:col>4</xdr:col>
      <xdr:colOff>274320</xdr:colOff>
      <xdr:row>40</xdr:row>
      <xdr:rowOff>91440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20E804A1-03AD-2B1E-37E0-17B0820E5DD1}"/>
            </a:ext>
          </a:extLst>
        </xdr:cNvPr>
        <xdr:cNvSpPr>
          <a:spLocks noChangeShapeType="1"/>
        </xdr:cNvSpPr>
      </xdr:nvSpPr>
      <xdr:spPr bwMode="auto">
        <a:xfrm>
          <a:off x="2286000" y="768858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449580</xdr:colOff>
      <xdr:row>42</xdr:row>
      <xdr:rowOff>53340</xdr:rowOff>
    </xdr:from>
    <xdr:to>
      <xdr:col>6</xdr:col>
      <xdr:colOff>419100</xdr:colOff>
      <xdr:row>42</xdr:row>
      <xdr:rowOff>53340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842FD833-3BB9-0FCA-6B36-8956A0589517}"/>
            </a:ext>
          </a:extLst>
        </xdr:cNvPr>
        <xdr:cNvSpPr>
          <a:spLocks noChangeShapeType="1"/>
        </xdr:cNvSpPr>
      </xdr:nvSpPr>
      <xdr:spPr bwMode="auto">
        <a:xfrm flipV="1">
          <a:off x="3787140" y="80695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251460</xdr:colOff>
      <xdr:row>36</xdr:row>
      <xdr:rowOff>0</xdr:rowOff>
    </xdr:from>
    <xdr:to>
      <xdr:col>4</xdr:col>
      <xdr:colOff>342900</xdr:colOff>
      <xdr:row>36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8D81BABC-9D1C-5AF7-F269-8A2CE5B3D571}"/>
            </a:ext>
          </a:extLst>
        </xdr:cNvPr>
        <xdr:cNvSpPr>
          <a:spLocks noChangeShapeType="1"/>
        </xdr:cNvSpPr>
      </xdr:nvSpPr>
      <xdr:spPr bwMode="auto">
        <a:xfrm>
          <a:off x="2339340" y="6758940"/>
          <a:ext cx="91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198120</xdr:colOff>
      <xdr:row>84</xdr:row>
      <xdr:rowOff>91440</xdr:rowOff>
    </xdr:from>
    <xdr:to>
      <xdr:col>4</xdr:col>
      <xdr:colOff>274320</xdr:colOff>
      <xdr:row>84</xdr:row>
      <xdr:rowOff>91440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0BF3DACF-7D05-21EB-BAC7-B03735E227AB}"/>
            </a:ext>
          </a:extLst>
        </xdr:cNvPr>
        <xdr:cNvSpPr>
          <a:spLocks noChangeShapeType="1"/>
        </xdr:cNvSpPr>
      </xdr:nvSpPr>
      <xdr:spPr bwMode="auto">
        <a:xfrm>
          <a:off x="2286000" y="1583436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198120</xdr:colOff>
      <xdr:row>134</xdr:row>
      <xdr:rowOff>91440</xdr:rowOff>
    </xdr:from>
    <xdr:to>
      <xdr:col>4</xdr:col>
      <xdr:colOff>274320</xdr:colOff>
      <xdr:row>134</xdr:row>
      <xdr:rowOff>91440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7F976590-42BF-D869-686C-F648173B626F}"/>
            </a:ext>
          </a:extLst>
        </xdr:cNvPr>
        <xdr:cNvSpPr>
          <a:spLocks noChangeShapeType="1"/>
        </xdr:cNvSpPr>
      </xdr:nvSpPr>
      <xdr:spPr bwMode="auto">
        <a:xfrm>
          <a:off x="2286000" y="2516886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251460</xdr:colOff>
      <xdr:row>135</xdr:row>
      <xdr:rowOff>0</xdr:rowOff>
    </xdr:from>
    <xdr:to>
      <xdr:col>4</xdr:col>
      <xdr:colOff>342900</xdr:colOff>
      <xdr:row>135</xdr:row>
      <xdr:rowOff>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60A678EB-0BE2-2F16-F20A-D4AB41D56978}"/>
            </a:ext>
          </a:extLst>
        </xdr:cNvPr>
        <xdr:cNvSpPr>
          <a:spLocks noChangeShapeType="1"/>
        </xdr:cNvSpPr>
      </xdr:nvSpPr>
      <xdr:spPr bwMode="auto">
        <a:xfrm>
          <a:off x="2339340" y="25336500"/>
          <a:ext cx="91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198120</xdr:colOff>
      <xdr:row>139</xdr:row>
      <xdr:rowOff>91440</xdr:rowOff>
    </xdr:from>
    <xdr:to>
      <xdr:col>4</xdr:col>
      <xdr:colOff>274320</xdr:colOff>
      <xdr:row>139</xdr:row>
      <xdr:rowOff>91440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D8EBDFF2-9A0E-749D-3E9D-021D618293B6}"/>
            </a:ext>
          </a:extLst>
        </xdr:cNvPr>
        <xdr:cNvSpPr>
          <a:spLocks noChangeShapeType="1"/>
        </xdr:cNvSpPr>
      </xdr:nvSpPr>
      <xdr:spPr bwMode="auto">
        <a:xfrm>
          <a:off x="2286000" y="2626614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449580</xdr:colOff>
      <xdr:row>141</xdr:row>
      <xdr:rowOff>53340</xdr:rowOff>
    </xdr:from>
    <xdr:to>
      <xdr:col>6</xdr:col>
      <xdr:colOff>419100</xdr:colOff>
      <xdr:row>141</xdr:row>
      <xdr:rowOff>53340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31A92D01-2E5C-E3A2-8EF0-029938FB8B0D}"/>
            </a:ext>
          </a:extLst>
        </xdr:cNvPr>
        <xdr:cNvSpPr>
          <a:spLocks noChangeShapeType="1"/>
        </xdr:cNvSpPr>
      </xdr:nvSpPr>
      <xdr:spPr bwMode="auto">
        <a:xfrm flipV="1">
          <a:off x="3787140" y="266471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D16B-9435-4E14-8222-33BBF9B05463}">
  <dimension ref="A1:AC40"/>
  <sheetViews>
    <sheetView tabSelected="1" workbookViewId="0">
      <selection activeCell="J14" sqref="J14"/>
    </sheetView>
  </sheetViews>
  <sheetFormatPr defaultRowHeight="13.2"/>
  <cols>
    <col min="1" max="1" width="2.44140625" customWidth="1"/>
    <col min="2" max="2" width="7.88671875" bestFit="1" customWidth="1"/>
    <col min="3" max="3" width="5.88671875" bestFit="1" customWidth="1"/>
    <col min="4" max="4" width="3.44140625" bestFit="1" customWidth="1"/>
    <col min="6" max="8" width="4.6640625" customWidth="1"/>
    <col min="9" max="9" width="5" customWidth="1"/>
    <col min="10" max="10" width="4.33203125" bestFit="1" customWidth="1"/>
    <col min="11" max="11" width="4.6640625" customWidth="1"/>
    <col min="12" max="12" width="4.33203125" customWidth="1"/>
    <col min="13" max="13" width="6.44140625" customWidth="1"/>
    <col min="14" max="16" width="1.5546875" customWidth="1"/>
    <col min="17" max="17" width="6.33203125" customWidth="1"/>
    <col min="18" max="18" width="4.33203125" customWidth="1"/>
    <col min="19" max="19" width="4.6640625" customWidth="1"/>
    <col min="20" max="20" width="4.33203125" bestFit="1" customWidth="1"/>
    <col min="21" max="21" width="5.109375" customWidth="1"/>
    <col min="22" max="24" width="4.6640625" customWidth="1"/>
    <col min="26" max="26" width="3.44140625" bestFit="1" customWidth="1"/>
    <col min="27" max="27" width="5.88671875" bestFit="1" customWidth="1"/>
    <col min="28" max="28" width="7.5546875" customWidth="1"/>
    <col min="29" max="29" width="2.109375" customWidth="1"/>
  </cols>
  <sheetData>
    <row r="1" spans="1:29" ht="13.8" thickTop="1">
      <c r="A1" s="67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3"/>
    </row>
    <row r="2" spans="1:29">
      <c r="A2" s="68"/>
      <c r="B2" s="14"/>
      <c r="C2" s="14"/>
      <c r="D2" s="14"/>
      <c r="E2" s="15" t="s">
        <v>25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4"/>
      <c r="AC2" s="17"/>
    </row>
    <row r="3" spans="1:29">
      <c r="A3" s="68"/>
      <c r="B3" s="18"/>
      <c r="C3" s="18"/>
      <c r="D3" s="18"/>
      <c r="E3" s="19" t="s">
        <v>26</v>
      </c>
      <c r="F3" s="19"/>
      <c r="G3" s="19"/>
      <c r="H3" s="19"/>
      <c r="I3" s="19"/>
      <c r="J3" s="19"/>
      <c r="K3" s="20"/>
      <c r="L3" s="20"/>
      <c r="M3" s="19" t="s">
        <v>29</v>
      </c>
      <c r="N3" s="19"/>
      <c r="O3" s="19"/>
      <c r="P3" s="19"/>
      <c r="Q3" s="21" t="s">
        <v>32</v>
      </c>
      <c r="R3" s="20"/>
      <c r="S3" s="19" t="s">
        <v>33</v>
      </c>
      <c r="T3" s="19"/>
      <c r="U3" s="19"/>
      <c r="V3" s="19"/>
      <c r="W3" s="19"/>
      <c r="X3" s="19"/>
      <c r="Y3" s="20"/>
      <c r="Z3" s="20"/>
      <c r="AA3" s="20"/>
      <c r="AB3" s="18"/>
      <c r="AC3" s="17"/>
    </row>
    <row r="4" spans="1:29">
      <c r="A4" s="68"/>
      <c r="B4" s="14"/>
      <c r="C4" s="14"/>
      <c r="D4" s="14"/>
      <c r="E4" s="19" t="s">
        <v>27</v>
      </c>
      <c r="F4" s="19"/>
      <c r="G4" s="19"/>
      <c r="H4" s="19"/>
      <c r="I4" s="19"/>
      <c r="J4" s="19"/>
      <c r="K4" s="19"/>
      <c r="L4" s="20"/>
      <c r="M4" s="19" t="s">
        <v>30</v>
      </c>
      <c r="N4" s="19"/>
      <c r="O4" s="19"/>
      <c r="P4" s="19"/>
      <c r="Q4" s="21"/>
      <c r="R4" s="16"/>
      <c r="S4" s="16"/>
      <c r="T4" s="20"/>
      <c r="U4" s="20"/>
      <c r="V4" s="20"/>
      <c r="W4" s="20"/>
      <c r="X4" s="20" t="s">
        <v>16</v>
      </c>
      <c r="Y4" s="20" t="s">
        <v>35</v>
      </c>
      <c r="Z4" s="16"/>
      <c r="AA4" s="16"/>
      <c r="AB4" s="14"/>
      <c r="AC4" s="17"/>
    </row>
    <row r="5" spans="1:29" ht="13.8" thickBot="1">
      <c r="A5" s="68"/>
      <c r="B5" s="14"/>
      <c r="C5" s="14"/>
      <c r="D5" s="14"/>
      <c r="E5" s="19" t="s">
        <v>28</v>
      </c>
      <c r="F5" s="19"/>
      <c r="G5" s="19"/>
      <c r="H5" s="19" t="s">
        <v>213</v>
      </c>
      <c r="I5" s="19"/>
      <c r="J5" s="19"/>
      <c r="K5" s="20"/>
      <c r="L5" s="20"/>
      <c r="M5" s="19" t="s">
        <v>31</v>
      </c>
      <c r="N5" s="19"/>
      <c r="O5" s="19"/>
      <c r="P5" s="19"/>
      <c r="Q5" s="21">
        <v>16</v>
      </c>
      <c r="R5" s="16"/>
      <c r="S5" s="16" t="s">
        <v>34</v>
      </c>
      <c r="T5" s="16"/>
      <c r="U5" s="16"/>
      <c r="V5" s="16"/>
      <c r="W5" s="16"/>
      <c r="X5" s="22">
        <v>250</v>
      </c>
      <c r="Y5" s="22">
        <v>250</v>
      </c>
      <c r="Z5" s="16" t="s">
        <v>17</v>
      </c>
      <c r="AA5" s="16"/>
      <c r="AB5" s="14"/>
      <c r="AC5" s="17"/>
    </row>
    <row r="6" spans="1:29" ht="12.75" customHeight="1">
      <c r="A6" s="68"/>
      <c r="B6" s="30" t="s">
        <v>2</v>
      </c>
      <c r="C6" s="23" t="s">
        <v>3</v>
      </c>
      <c r="D6" s="23" t="s">
        <v>4</v>
      </c>
      <c r="E6" s="24" t="s">
        <v>6</v>
      </c>
      <c r="F6" s="25" t="s">
        <v>7</v>
      </c>
      <c r="G6" s="26"/>
      <c r="H6" s="27"/>
      <c r="I6" s="25" t="s">
        <v>13</v>
      </c>
      <c r="J6" s="26"/>
      <c r="K6" s="27"/>
      <c r="L6" s="28" t="s">
        <v>12</v>
      </c>
      <c r="M6" s="23" t="s">
        <v>19</v>
      </c>
      <c r="N6" s="29" t="s">
        <v>21</v>
      </c>
      <c r="O6" s="29" t="s">
        <v>22</v>
      </c>
      <c r="P6" s="29" t="s">
        <v>23</v>
      </c>
      <c r="Q6" s="23" t="s">
        <v>19</v>
      </c>
      <c r="R6" s="28" t="s">
        <v>12</v>
      </c>
      <c r="S6" s="25" t="s">
        <v>13</v>
      </c>
      <c r="T6" s="26"/>
      <c r="U6" s="27"/>
      <c r="V6" s="25" t="s">
        <v>7</v>
      </c>
      <c r="W6" s="26"/>
      <c r="X6" s="27"/>
      <c r="Y6" s="24" t="s">
        <v>6</v>
      </c>
      <c r="Z6" s="23" t="s">
        <v>4</v>
      </c>
      <c r="AA6" s="30" t="s">
        <v>3</v>
      </c>
      <c r="AB6" s="31" t="s">
        <v>2</v>
      </c>
      <c r="AC6" s="17"/>
    </row>
    <row r="7" spans="1:29">
      <c r="A7" s="68"/>
      <c r="B7" s="38" t="s">
        <v>1</v>
      </c>
      <c r="C7" s="32" t="s">
        <v>1</v>
      </c>
      <c r="D7" s="33" t="s">
        <v>5</v>
      </c>
      <c r="E7" s="34"/>
      <c r="F7" s="32" t="s">
        <v>8</v>
      </c>
      <c r="G7" s="32" t="s">
        <v>9</v>
      </c>
      <c r="H7" s="32" t="s">
        <v>10</v>
      </c>
      <c r="I7" s="32" t="s">
        <v>14</v>
      </c>
      <c r="J7" s="32" t="s">
        <v>16</v>
      </c>
      <c r="K7" s="32" t="s">
        <v>18</v>
      </c>
      <c r="L7" s="35"/>
      <c r="M7" s="36" t="s">
        <v>20</v>
      </c>
      <c r="N7" s="37"/>
      <c r="O7" s="37"/>
      <c r="P7" s="37"/>
      <c r="Q7" s="36" t="s">
        <v>20</v>
      </c>
      <c r="R7" s="35"/>
      <c r="S7" s="32" t="s">
        <v>18</v>
      </c>
      <c r="T7" s="32" t="s">
        <v>16</v>
      </c>
      <c r="U7" s="32" t="s">
        <v>14</v>
      </c>
      <c r="V7" s="32" t="s">
        <v>8</v>
      </c>
      <c r="W7" s="32" t="s">
        <v>9</v>
      </c>
      <c r="X7" s="32" t="s">
        <v>10</v>
      </c>
      <c r="Y7" s="34"/>
      <c r="Z7" s="33" t="s">
        <v>5</v>
      </c>
      <c r="AA7" s="38" t="s">
        <v>1</v>
      </c>
      <c r="AB7" s="39" t="s">
        <v>1</v>
      </c>
      <c r="AC7" s="17"/>
    </row>
    <row r="8" spans="1:29" ht="13.8" thickBot="1">
      <c r="A8" s="68"/>
      <c r="B8" s="69" t="s">
        <v>0</v>
      </c>
      <c r="C8" s="40" t="s">
        <v>24</v>
      </c>
      <c r="D8" s="41"/>
      <c r="E8" s="42"/>
      <c r="F8" s="43" t="s">
        <v>11</v>
      </c>
      <c r="G8" s="43" t="s">
        <v>11</v>
      </c>
      <c r="H8" s="43" t="s">
        <v>11</v>
      </c>
      <c r="I8" s="43" t="s">
        <v>15</v>
      </c>
      <c r="J8" s="43" t="s">
        <v>17</v>
      </c>
      <c r="K8" s="43" t="s">
        <v>17</v>
      </c>
      <c r="L8" s="44"/>
      <c r="M8" s="45" t="s">
        <v>17</v>
      </c>
      <c r="N8" s="46"/>
      <c r="O8" s="46"/>
      <c r="P8" s="46"/>
      <c r="Q8" s="45" t="s">
        <v>17</v>
      </c>
      <c r="R8" s="44"/>
      <c r="S8" s="43" t="s">
        <v>17</v>
      </c>
      <c r="T8" s="43" t="s">
        <v>17</v>
      </c>
      <c r="U8" s="43" t="s">
        <v>15</v>
      </c>
      <c r="V8" s="43" t="s">
        <v>11</v>
      </c>
      <c r="W8" s="43" t="s">
        <v>11</v>
      </c>
      <c r="X8" s="43" t="s">
        <v>11</v>
      </c>
      <c r="Y8" s="42"/>
      <c r="Z8" s="41"/>
      <c r="AA8" s="40" t="s">
        <v>24</v>
      </c>
      <c r="AB8" s="47" t="s">
        <v>0</v>
      </c>
      <c r="AC8" s="17"/>
    </row>
    <row r="9" spans="1:29" ht="12.9" customHeight="1">
      <c r="A9" s="68"/>
      <c r="B9" s="30">
        <v>12</v>
      </c>
      <c r="C9" s="23" t="s">
        <v>48</v>
      </c>
      <c r="D9" s="23">
        <v>1</v>
      </c>
      <c r="E9" s="23"/>
      <c r="F9" s="23"/>
      <c r="G9" s="23"/>
      <c r="H9" s="23"/>
      <c r="I9" s="23"/>
      <c r="J9" s="23"/>
      <c r="K9" s="23"/>
      <c r="L9" s="23"/>
      <c r="M9" s="23"/>
      <c r="N9" s="23" t="s">
        <v>37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>
        <v>2</v>
      </c>
      <c r="AA9" s="23" t="s">
        <v>48</v>
      </c>
      <c r="AB9" s="23"/>
      <c r="AC9" s="17"/>
    </row>
    <row r="10" spans="1:29" ht="12.9" customHeight="1">
      <c r="A10" s="68"/>
      <c r="B10" s="70"/>
      <c r="C10" s="48"/>
      <c r="D10" s="48">
        <v>3</v>
      </c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 t="s">
        <v>37</v>
      </c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>
        <v>4</v>
      </c>
      <c r="AA10" s="48"/>
      <c r="AB10" s="48"/>
      <c r="AC10" s="17"/>
    </row>
    <row r="11" spans="1:29" ht="12.9" customHeight="1">
      <c r="A11" s="68"/>
      <c r="B11" s="70"/>
      <c r="C11" s="48"/>
      <c r="D11" s="48">
        <v>5</v>
      </c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 t="s">
        <v>37</v>
      </c>
      <c r="Q11" s="48"/>
      <c r="R11" s="48"/>
      <c r="S11" s="48"/>
      <c r="T11" s="48"/>
      <c r="U11" s="48"/>
      <c r="V11" s="48"/>
      <c r="W11" s="48"/>
      <c r="X11" s="48"/>
      <c r="Y11" s="48"/>
      <c r="Z11" s="48">
        <v>6</v>
      </c>
      <c r="AA11" s="48"/>
      <c r="AB11" s="48"/>
      <c r="AC11" s="17"/>
    </row>
    <row r="12" spans="1:29" ht="12.9" customHeight="1">
      <c r="A12" s="68"/>
      <c r="B12" s="70"/>
      <c r="C12" s="48"/>
      <c r="D12" s="48">
        <v>7</v>
      </c>
      <c r="E12" s="48"/>
      <c r="F12" s="48"/>
      <c r="G12" s="48"/>
      <c r="H12" s="48"/>
      <c r="I12" s="48"/>
      <c r="J12" s="48"/>
      <c r="K12" s="49"/>
      <c r="L12" s="48"/>
      <c r="M12" s="48"/>
      <c r="N12" s="48" t="s">
        <v>37</v>
      </c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>
        <v>8</v>
      </c>
      <c r="AA12" s="48"/>
      <c r="AB12" s="48"/>
      <c r="AC12" s="17"/>
    </row>
    <row r="13" spans="1:29" ht="12.9" customHeight="1">
      <c r="A13" s="68"/>
      <c r="B13" s="70"/>
      <c r="C13" s="48"/>
      <c r="D13" s="48">
        <v>9</v>
      </c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 t="s">
        <v>37</v>
      </c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>
        <v>10</v>
      </c>
      <c r="AA13" s="48"/>
      <c r="AB13" s="48"/>
      <c r="AC13" s="17"/>
    </row>
    <row r="14" spans="1:29" ht="12.9" customHeight="1">
      <c r="A14" s="68"/>
      <c r="B14" s="70" t="s">
        <v>36</v>
      </c>
      <c r="C14" s="48"/>
      <c r="D14" s="48">
        <v>11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 t="s">
        <v>37</v>
      </c>
      <c r="Q14" s="48"/>
      <c r="R14" s="48"/>
      <c r="S14" s="48"/>
      <c r="T14" s="48"/>
      <c r="U14" s="48"/>
      <c r="V14" s="48"/>
      <c r="W14" s="48"/>
      <c r="X14" s="48"/>
      <c r="Y14" s="48"/>
      <c r="Z14" s="48">
        <v>12</v>
      </c>
      <c r="AA14" s="48"/>
      <c r="AB14" s="48"/>
      <c r="AC14" s="17"/>
    </row>
    <row r="15" spans="1:29" ht="12.9" customHeight="1">
      <c r="A15" s="68"/>
      <c r="B15" s="70"/>
      <c r="C15" s="48"/>
      <c r="D15" s="48">
        <v>13</v>
      </c>
      <c r="E15" s="48"/>
      <c r="F15" s="48"/>
      <c r="G15" s="48"/>
      <c r="H15" s="48"/>
      <c r="I15" s="48"/>
      <c r="J15" s="48"/>
      <c r="K15" s="48"/>
      <c r="L15" s="48"/>
      <c r="M15" s="48"/>
      <c r="N15" s="48" t="s">
        <v>37</v>
      </c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>
        <v>14</v>
      </c>
      <c r="AA15" s="48"/>
      <c r="AB15" s="48"/>
      <c r="AC15" s="17"/>
    </row>
    <row r="16" spans="1:29" ht="12.9" customHeight="1">
      <c r="A16" s="68"/>
      <c r="B16" s="70"/>
      <c r="C16" s="48"/>
      <c r="D16" s="48">
        <v>15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 t="s">
        <v>37</v>
      </c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>
        <v>16</v>
      </c>
      <c r="AA16" s="48"/>
      <c r="AB16" s="48"/>
      <c r="AC16" s="17"/>
    </row>
    <row r="17" spans="1:29" ht="12.9" customHeight="1">
      <c r="A17" s="68"/>
      <c r="B17" s="70"/>
      <c r="C17" s="48"/>
      <c r="D17" s="48">
        <v>17</v>
      </c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 t="s">
        <v>37</v>
      </c>
      <c r="Q17" s="48"/>
      <c r="R17" s="48"/>
      <c r="S17" s="48"/>
      <c r="T17" s="48"/>
      <c r="U17" s="48"/>
      <c r="V17" s="48"/>
      <c r="W17" s="48"/>
      <c r="X17" s="48"/>
      <c r="Y17" s="48"/>
      <c r="Z17" s="48">
        <v>18</v>
      </c>
      <c r="AA17" s="48"/>
      <c r="AB17" s="48"/>
      <c r="AC17" s="17"/>
    </row>
    <row r="18" spans="1:29" ht="12.9" customHeight="1">
      <c r="A18" s="68"/>
      <c r="B18" s="70"/>
      <c r="C18" s="48"/>
      <c r="D18" s="48">
        <v>19</v>
      </c>
      <c r="E18" s="48"/>
      <c r="F18" s="48"/>
      <c r="G18" s="48"/>
      <c r="H18" s="48"/>
      <c r="I18" s="48"/>
      <c r="J18" s="48"/>
      <c r="K18" s="48"/>
      <c r="L18" s="48"/>
      <c r="M18" s="48"/>
      <c r="N18" s="48" t="s">
        <v>37</v>
      </c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>
        <v>20</v>
      </c>
      <c r="AA18" s="48"/>
      <c r="AB18" s="48"/>
      <c r="AC18" s="17"/>
    </row>
    <row r="19" spans="1:29" ht="12.9" customHeight="1">
      <c r="A19" s="68"/>
      <c r="B19" s="70"/>
      <c r="C19" s="48"/>
      <c r="D19" s="48">
        <v>21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 t="s">
        <v>37</v>
      </c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>
        <v>22</v>
      </c>
      <c r="AA19" s="48"/>
      <c r="AB19" s="48"/>
      <c r="AC19" s="17"/>
    </row>
    <row r="20" spans="1:29" ht="12.9" customHeight="1">
      <c r="A20" s="68"/>
      <c r="B20" s="70"/>
      <c r="C20" s="48"/>
      <c r="D20" s="48">
        <v>23</v>
      </c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 t="s">
        <v>37</v>
      </c>
      <c r="Q20" s="48"/>
      <c r="R20" s="48"/>
      <c r="S20" s="48"/>
      <c r="T20" s="48"/>
      <c r="U20" s="48"/>
      <c r="V20" s="48"/>
      <c r="W20" s="48"/>
      <c r="X20" s="48"/>
      <c r="Y20" s="48"/>
      <c r="Z20" s="48">
        <v>24</v>
      </c>
      <c r="AA20" s="48"/>
      <c r="AB20" s="48"/>
      <c r="AC20" s="17"/>
    </row>
    <row r="21" spans="1:29" ht="12.9" customHeight="1">
      <c r="A21" s="68"/>
      <c r="B21" s="70"/>
      <c r="C21" s="48"/>
      <c r="D21" s="48">
        <v>25</v>
      </c>
      <c r="E21" s="48"/>
      <c r="F21" s="48"/>
      <c r="G21" s="48"/>
      <c r="H21" s="48"/>
      <c r="I21" s="48"/>
      <c r="J21" s="48"/>
      <c r="K21" s="48"/>
      <c r="L21" s="48"/>
      <c r="M21" s="48"/>
      <c r="N21" s="48" t="s">
        <v>37</v>
      </c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>
        <v>26</v>
      </c>
      <c r="AA21" s="48"/>
      <c r="AB21" s="48"/>
      <c r="AC21" s="17"/>
    </row>
    <row r="22" spans="1:29" ht="12.9" customHeight="1">
      <c r="A22" s="68"/>
      <c r="B22" s="70"/>
      <c r="C22" s="48"/>
      <c r="D22" s="48">
        <v>27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 t="s">
        <v>37</v>
      </c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>
        <v>28</v>
      </c>
      <c r="AA22" s="48"/>
      <c r="AB22" s="48"/>
      <c r="AC22" s="17"/>
    </row>
    <row r="23" spans="1:29" ht="12.9" customHeight="1">
      <c r="A23" s="68"/>
      <c r="B23" s="70"/>
      <c r="C23" s="48"/>
      <c r="D23" s="48">
        <v>29</v>
      </c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 t="s">
        <v>37</v>
      </c>
      <c r="Q23" s="48"/>
      <c r="R23" s="48"/>
      <c r="S23" s="48"/>
      <c r="T23" s="48"/>
      <c r="U23" s="48"/>
      <c r="V23" s="48"/>
      <c r="W23" s="48"/>
      <c r="X23" s="48"/>
      <c r="Y23" s="48"/>
      <c r="Z23" s="48">
        <v>30</v>
      </c>
      <c r="AA23" s="48"/>
      <c r="AB23" s="48"/>
      <c r="AC23" s="17"/>
    </row>
    <row r="24" spans="1:29" ht="12.9" customHeight="1">
      <c r="A24" s="68"/>
      <c r="B24" s="70"/>
      <c r="C24" s="48"/>
      <c r="D24" s="48">
        <v>31</v>
      </c>
      <c r="E24" s="48"/>
      <c r="F24" s="48"/>
      <c r="G24" s="48"/>
      <c r="H24" s="48"/>
      <c r="I24" s="48"/>
      <c r="J24" s="48"/>
      <c r="K24" s="48"/>
      <c r="L24" s="48"/>
      <c r="M24" s="48"/>
      <c r="N24" s="48" t="s">
        <v>37</v>
      </c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>
        <v>32</v>
      </c>
      <c r="AA24" s="48"/>
      <c r="AB24" s="48"/>
      <c r="AC24" s="17"/>
    </row>
    <row r="25" spans="1:29" ht="12.9" customHeight="1">
      <c r="A25" s="68"/>
      <c r="B25" s="70"/>
      <c r="C25" s="48"/>
      <c r="D25" s="48">
        <v>33</v>
      </c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 t="s">
        <v>37</v>
      </c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>
        <v>34</v>
      </c>
      <c r="AA25" s="48"/>
      <c r="AB25" s="48"/>
      <c r="AC25" s="17"/>
    </row>
    <row r="26" spans="1:29" ht="12.9" customHeight="1">
      <c r="A26" s="68"/>
      <c r="B26" s="70"/>
      <c r="C26" s="48"/>
      <c r="D26" s="48">
        <v>35</v>
      </c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 t="s">
        <v>37</v>
      </c>
      <c r="Q26" s="48"/>
      <c r="R26" s="48"/>
      <c r="S26" s="48"/>
      <c r="T26" s="48"/>
      <c r="U26" s="48"/>
      <c r="V26" s="48"/>
      <c r="W26" s="48"/>
      <c r="X26" s="48"/>
      <c r="Y26" s="48"/>
      <c r="Z26" s="48">
        <v>36</v>
      </c>
      <c r="AA26" s="48"/>
      <c r="AB26" s="48"/>
      <c r="AC26" s="17"/>
    </row>
    <row r="27" spans="1:29" ht="12.9" customHeight="1">
      <c r="A27" s="68"/>
      <c r="B27" s="70"/>
      <c r="C27" s="48"/>
      <c r="D27" s="48">
        <v>37</v>
      </c>
      <c r="E27" s="48"/>
      <c r="F27" s="48"/>
      <c r="G27" s="48"/>
      <c r="H27" s="48"/>
      <c r="I27" s="48"/>
      <c r="J27" s="48"/>
      <c r="K27" s="48"/>
      <c r="L27" s="48"/>
      <c r="M27" s="48"/>
      <c r="N27" s="48" t="s">
        <v>37</v>
      </c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>
        <v>38</v>
      </c>
      <c r="AA27" s="48"/>
      <c r="AB27" s="48"/>
      <c r="AC27" s="17"/>
    </row>
    <row r="28" spans="1:29" ht="12.9" customHeight="1">
      <c r="A28" s="68"/>
      <c r="B28" s="70"/>
      <c r="C28" s="48"/>
      <c r="D28" s="48">
        <v>39</v>
      </c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 t="s">
        <v>37</v>
      </c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>
        <v>40</v>
      </c>
      <c r="AA28" s="48"/>
      <c r="AB28" s="48"/>
      <c r="AC28" s="17"/>
    </row>
    <row r="29" spans="1:29" ht="12.9" customHeight="1">
      <c r="A29" s="68"/>
      <c r="B29" s="70"/>
      <c r="C29" s="48"/>
      <c r="D29" s="48">
        <v>41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 t="s">
        <v>37</v>
      </c>
      <c r="Q29" s="48"/>
      <c r="R29" s="48"/>
      <c r="S29" s="48"/>
      <c r="T29" s="48"/>
      <c r="U29" s="48"/>
      <c r="V29" s="48"/>
      <c r="W29" s="48"/>
      <c r="X29" s="48"/>
      <c r="Y29" s="48"/>
      <c r="Z29" s="48">
        <v>42</v>
      </c>
      <c r="AA29" s="48"/>
      <c r="AB29" s="48"/>
      <c r="AC29" s="17"/>
    </row>
    <row r="30" spans="1:29" ht="12.9" customHeight="1">
      <c r="A30" s="68"/>
      <c r="B30" s="70"/>
      <c r="C30" s="48"/>
      <c r="D30" s="48">
        <v>43</v>
      </c>
      <c r="E30" s="48"/>
      <c r="F30" s="48"/>
      <c r="G30" s="48"/>
      <c r="H30" s="48"/>
      <c r="I30" s="48"/>
      <c r="J30" s="48"/>
      <c r="K30" s="48"/>
      <c r="L30" s="48"/>
      <c r="M30" s="48"/>
      <c r="N30" s="48" t="s">
        <v>37</v>
      </c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>
        <v>44</v>
      </c>
      <c r="AA30" s="48"/>
      <c r="AB30" s="48"/>
      <c r="AC30" s="17"/>
    </row>
    <row r="31" spans="1:29" ht="12.9" customHeight="1">
      <c r="A31" s="68"/>
      <c r="B31" s="70"/>
      <c r="C31" s="48"/>
      <c r="D31" s="48">
        <v>45</v>
      </c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 t="s">
        <v>37</v>
      </c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>
        <v>46</v>
      </c>
      <c r="AA31" s="48"/>
      <c r="AB31" s="48"/>
      <c r="AC31" s="17"/>
    </row>
    <row r="32" spans="1:29" ht="12.9" customHeight="1">
      <c r="A32" s="68"/>
      <c r="B32" s="70"/>
      <c r="C32" s="48"/>
      <c r="D32" s="48">
        <v>47</v>
      </c>
      <c r="E32" s="48"/>
      <c r="F32" s="48">
        <v>30600</v>
      </c>
      <c r="G32" s="48">
        <v>28200</v>
      </c>
      <c r="H32" s="48">
        <v>29600</v>
      </c>
      <c r="I32" s="50"/>
      <c r="J32" s="50"/>
      <c r="K32" s="50"/>
      <c r="L32" s="50"/>
      <c r="M32" s="50"/>
      <c r="N32" s="50"/>
      <c r="O32" s="50"/>
      <c r="P32" s="50" t="s">
        <v>37</v>
      </c>
      <c r="Q32" s="50"/>
      <c r="R32" s="50"/>
      <c r="S32" s="50"/>
      <c r="T32" s="50"/>
      <c r="U32" s="50"/>
      <c r="V32" s="48">
        <v>29600</v>
      </c>
      <c r="W32" s="48">
        <v>31200</v>
      </c>
      <c r="X32" s="48">
        <v>22800</v>
      </c>
      <c r="Y32" s="48"/>
      <c r="Z32" s="48">
        <v>48</v>
      </c>
      <c r="AA32" s="48"/>
      <c r="AB32" s="48"/>
      <c r="AC32" s="17"/>
    </row>
    <row r="33" spans="1:29" ht="12.9" customHeight="1">
      <c r="A33" s="68"/>
      <c r="B33" s="38"/>
      <c r="C33" s="51" t="s">
        <v>43</v>
      </c>
      <c r="D33" s="52"/>
      <c r="E33" s="53"/>
      <c r="F33" s="32">
        <f>SUM(F9:F32)</f>
        <v>30600</v>
      </c>
      <c r="G33" s="32">
        <f>SUM(G9:G32)</f>
        <v>28200</v>
      </c>
      <c r="H33" s="32">
        <f>SUM(H9:H32)</f>
        <v>29600</v>
      </c>
      <c r="I33" s="54"/>
      <c r="J33" s="55"/>
      <c r="K33" s="55"/>
      <c r="L33" s="55"/>
      <c r="M33" s="55"/>
      <c r="N33" s="54"/>
      <c r="O33" s="55"/>
      <c r="P33" s="56"/>
      <c r="Q33" s="55"/>
      <c r="R33" s="55"/>
      <c r="S33" s="55"/>
      <c r="T33" s="55"/>
      <c r="U33" s="56"/>
      <c r="V33" s="32">
        <f>SUM(V9:V32)</f>
        <v>29600</v>
      </c>
      <c r="W33" s="32">
        <f>SUM(W9:W32)</f>
        <v>31200</v>
      </c>
      <c r="X33" s="32">
        <f>SUM(X9:X32)</f>
        <v>22800</v>
      </c>
      <c r="Y33" s="51" t="s">
        <v>43</v>
      </c>
      <c r="Z33" s="52"/>
      <c r="AA33" s="53"/>
      <c r="AB33" s="32"/>
      <c r="AC33" s="17"/>
    </row>
    <row r="34" spans="1:29" ht="12.9" customHeight="1" thickBot="1">
      <c r="A34" s="68"/>
      <c r="B34" s="71"/>
      <c r="C34" s="57" t="s">
        <v>42</v>
      </c>
      <c r="D34" s="58"/>
      <c r="E34" s="59"/>
      <c r="F34" s="60">
        <f>F33*G37</f>
        <v>22338</v>
      </c>
      <c r="G34" s="60">
        <f>G33*G37</f>
        <v>20586</v>
      </c>
      <c r="H34" s="60">
        <f>H33*G37</f>
        <v>21608</v>
      </c>
      <c r="I34" s="61"/>
      <c r="J34" s="62"/>
      <c r="K34" s="62"/>
      <c r="L34" s="62"/>
      <c r="M34" s="62"/>
      <c r="N34" s="61"/>
      <c r="O34" s="62"/>
      <c r="P34" s="63"/>
      <c r="Q34" s="62"/>
      <c r="R34" s="62"/>
      <c r="S34" s="62"/>
      <c r="T34" s="62"/>
      <c r="U34" s="63"/>
      <c r="V34" s="60">
        <f>V33*G37</f>
        <v>21608</v>
      </c>
      <c r="W34" s="60">
        <f>W33*G37</f>
        <v>22776</v>
      </c>
      <c r="X34" s="60">
        <f>X33*G37</f>
        <v>16644</v>
      </c>
      <c r="Y34" s="57" t="s">
        <v>42</v>
      </c>
      <c r="Z34" s="58"/>
      <c r="AA34" s="59"/>
      <c r="AB34" s="60"/>
      <c r="AC34" s="17"/>
    </row>
    <row r="35" spans="1:29" ht="10.5" customHeight="1">
      <c r="A35" s="68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7"/>
    </row>
    <row r="36" spans="1:29">
      <c r="A36" s="68"/>
      <c r="B36" s="14"/>
      <c r="C36" s="14" t="s">
        <v>38</v>
      </c>
      <c r="D36" s="14"/>
      <c r="E36" s="14"/>
      <c r="F36" s="14"/>
      <c r="G36" s="14">
        <f>SUM(F33+G33+H33+V33+W33+X33)/1000</f>
        <v>172</v>
      </c>
      <c r="H36" s="14"/>
      <c r="I36" s="14" t="s">
        <v>41</v>
      </c>
      <c r="J36" s="14"/>
      <c r="K36" s="14"/>
      <c r="L36" s="14"/>
      <c r="M36" s="14" t="s">
        <v>44</v>
      </c>
      <c r="N36" s="14"/>
      <c r="O36" s="14"/>
      <c r="P36" s="14"/>
      <c r="Q36" s="14"/>
      <c r="R36" s="14"/>
      <c r="S36" s="64">
        <f>G38*1000/(380*1.7321)</f>
        <v>190.76326576501296</v>
      </c>
      <c r="T36" s="14"/>
      <c r="U36" s="14" t="s">
        <v>17</v>
      </c>
      <c r="V36" s="14"/>
      <c r="W36" s="14"/>
      <c r="X36" s="14" t="s">
        <v>46</v>
      </c>
      <c r="Y36" s="14"/>
      <c r="Z36" s="14"/>
      <c r="AA36" s="14"/>
      <c r="AB36" s="14"/>
      <c r="AC36" s="17"/>
    </row>
    <row r="37" spans="1:29">
      <c r="A37" s="68"/>
      <c r="B37" s="14"/>
      <c r="C37" s="14" t="s">
        <v>39</v>
      </c>
      <c r="D37" s="14"/>
      <c r="E37" s="14"/>
      <c r="F37" s="14"/>
      <c r="G37" s="14">
        <v>0.73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7"/>
    </row>
    <row r="38" spans="1:29">
      <c r="A38" s="68"/>
      <c r="B38" s="14"/>
      <c r="C38" s="14" t="s">
        <v>40</v>
      </c>
      <c r="D38" s="14"/>
      <c r="E38" s="14"/>
      <c r="F38" s="14"/>
      <c r="G38" s="14">
        <f>G36*G37</f>
        <v>125.56</v>
      </c>
      <c r="H38" s="14"/>
      <c r="I38" s="14" t="s">
        <v>41</v>
      </c>
      <c r="J38" s="14"/>
      <c r="K38" s="14"/>
      <c r="L38" s="14"/>
      <c r="M38" s="14" t="s">
        <v>45</v>
      </c>
      <c r="N38" s="14"/>
      <c r="O38" s="14"/>
      <c r="P38" s="14"/>
      <c r="Q38" s="14"/>
      <c r="R38" s="14" t="s">
        <v>47</v>
      </c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7"/>
    </row>
    <row r="39" spans="1:29" ht="13.8" thickBot="1">
      <c r="A39" s="72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6"/>
    </row>
    <row r="40" spans="1:29" ht="13.8" thickTop="1"/>
  </sheetData>
  <mergeCells count="29">
    <mergeCell ref="Y33:AA33"/>
    <mergeCell ref="Y34:AA34"/>
    <mergeCell ref="C34:E34"/>
    <mergeCell ref="S3:X3"/>
    <mergeCell ref="C33:E33"/>
    <mergeCell ref="H5:J5"/>
    <mergeCell ref="H4:K4"/>
    <mergeCell ref="M3:P3"/>
    <mergeCell ref="M4:P4"/>
    <mergeCell ref="M5:P5"/>
    <mergeCell ref="Z7:Z8"/>
    <mergeCell ref="E2:G2"/>
    <mergeCell ref="H2:P2"/>
    <mergeCell ref="E3:G3"/>
    <mergeCell ref="E4:G4"/>
    <mergeCell ref="E5:G5"/>
    <mergeCell ref="H3:J3"/>
    <mergeCell ref="R6:R8"/>
    <mergeCell ref="S6:U6"/>
    <mergeCell ref="V6:X6"/>
    <mergeCell ref="D7:D8"/>
    <mergeCell ref="F6:H6"/>
    <mergeCell ref="E6:E8"/>
    <mergeCell ref="Y6:Y8"/>
    <mergeCell ref="L6:L8"/>
    <mergeCell ref="I6:K6"/>
    <mergeCell ref="N6:N8"/>
    <mergeCell ref="O6:O8"/>
    <mergeCell ref="P6:P8"/>
  </mergeCells>
  <phoneticPr fontId="26" type="noConversion"/>
  <pageMargins left="0.19685039370078741" right="0.19685039370078741" top="0.39370078740157483" bottom="0.98425196850393704" header="0.31496062992125984" footer="0.51181102362204722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3BC8-BB4D-4549-BA76-91970113389B}">
  <dimension ref="A1:U41"/>
  <sheetViews>
    <sheetView workbookViewId="0">
      <selection activeCell="F10" sqref="F10"/>
    </sheetView>
  </sheetViews>
  <sheetFormatPr defaultRowHeight="13.2"/>
  <cols>
    <col min="1" max="1" width="3" customWidth="1"/>
    <col min="2" max="2" width="9" customWidth="1"/>
    <col min="3" max="7" width="5.6640625" customWidth="1"/>
    <col min="8" max="8" width="7.33203125" customWidth="1"/>
    <col min="9" max="9" width="7.5546875" customWidth="1"/>
    <col min="10" max="10" width="19.6640625" customWidth="1"/>
    <col min="11" max="11" width="6.6640625" customWidth="1"/>
    <col min="12" max="12" width="4.6640625" customWidth="1"/>
    <col min="13" max="13" width="6.6640625" customWidth="1"/>
    <col min="14" max="14" width="6.109375" customWidth="1"/>
    <col min="15" max="15" width="7.109375" customWidth="1"/>
    <col min="16" max="16" width="6.6640625" customWidth="1"/>
    <col min="17" max="17" width="7.44140625" customWidth="1"/>
    <col min="18" max="18" width="5.6640625" customWidth="1"/>
    <col min="19" max="20" width="6.6640625" customWidth="1"/>
    <col min="21" max="21" width="2.6640625" customWidth="1"/>
  </cols>
  <sheetData>
    <row r="1" spans="1:21" ht="13.5" customHeight="1" thickBo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</row>
    <row r="2" spans="1:21" ht="13.5" customHeight="1" thickTop="1">
      <c r="A2" s="103"/>
      <c r="B2" s="73">
        <f>'D.B. detail'!H2</f>
        <v>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5"/>
      <c r="U2" s="103"/>
    </row>
    <row r="3" spans="1:21" ht="13.5" customHeight="1" thickBot="1">
      <c r="A3" s="103"/>
      <c r="B3" s="72"/>
      <c r="C3" s="65"/>
      <c r="D3" s="65"/>
      <c r="E3" s="65"/>
      <c r="F3" s="76"/>
      <c r="G3" s="65"/>
      <c r="H3" s="65"/>
      <c r="I3" s="65"/>
      <c r="J3" s="77" t="s">
        <v>163</v>
      </c>
      <c r="K3" s="77"/>
      <c r="L3" s="77"/>
      <c r="M3" s="65"/>
      <c r="N3" s="65"/>
      <c r="O3" s="65"/>
      <c r="P3" s="65"/>
      <c r="Q3" s="65"/>
      <c r="R3" s="65"/>
      <c r="S3" s="65"/>
      <c r="T3" s="66"/>
      <c r="U3" s="103"/>
    </row>
    <row r="4" spans="1:21" ht="16.5" customHeight="1" thickTop="1" thickBot="1">
      <c r="A4" s="103"/>
      <c r="B4" s="78" t="s">
        <v>135</v>
      </c>
      <c r="C4" s="79" t="s">
        <v>136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103"/>
    </row>
    <row r="5" spans="1:21" ht="30.75" customHeight="1" thickTop="1" thickBot="1">
      <c r="A5" s="103"/>
      <c r="B5" s="81"/>
      <c r="C5" s="82" t="s">
        <v>117</v>
      </c>
      <c r="D5" s="83" t="s">
        <v>137</v>
      </c>
      <c r="E5" s="83" t="s">
        <v>100</v>
      </c>
      <c r="F5" s="83" t="s">
        <v>138</v>
      </c>
      <c r="G5" s="83" t="s">
        <v>139</v>
      </c>
      <c r="H5" s="83" t="s">
        <v>140</v>
      </c>
      <c r="I5" s="83"/>
      <c r="J5" s="83" t="s">
        <v>141</v>
      </c>
      <c r="K5" s="83" t="s">
        <v>142</v>
      </c>
      <c r="L5" s="83" t="s">
        <v>143</v>
      </c>
      <c r="M5" s="83" t="s">
        <v>144</v>
      </c>
      <c r="N5" s="83" t="s">
        <v>145</v>
      </c>
      <c r="O5" s="83" t="s">
        <v>146</v>
      </c>
      <c r="P5" s="83" t="s">
        <v>147</v>
      </c>
      <c r="Q5" s="83" t="s">
        <v>148</v>
      </c>
      <c r="R5" s="83" t="s">
        <v>149</v>
      </c>
      <c r="S5" s="83" t="s">
        <v>150</v>
      </c>
      <c r="T5" s="84" t="s">
        <v>151</v>
      </c>
      <c r="U5" s="103"/>
    </row>
    <row r="6" spans="1:21" ht="66.599999999999994" thickTop="1">
      <c r="A6" s="103"/>
      <c r="B6" s="85" t="s">
        <v>164</v>
      </c>
      <c r="C6" s="86">
        <v>18</v>
      </c>
      <c r="D6" s="87">
        <v>8</v>
      </c>
      <c r="E6" s="87">
        <f>C6*D6</f>
        <v>144</v>
      </c>
      <c r="F6" s="87">
        <v>3</v>
      </c>
      <c r="G6" s="87">
        <f>E6/((C6+D6)*F6)</f>
        <v>1.8461538461538463</v>
      </c>
      <c r="H6" s="87" t="s">
        <v>165</v>
      </c>
      <c r="I6" s="88"/>
      <c r="J6" s="89" t="s">
        <v>172</v>
      </c>
      <c r="K6" s="87">
        <v>300</v>
      </c>
      <c r="L6" s="87">
        <v>1</v>
      </c>
      <c r="M6" s="87">
        <v>2800</v>
      </c>
      <c r="N6" s="87">
        <v>36</v>
      </c>
      <c r="O6" s="87">
        <v>48</v>
      </c>
      <c r="P6" s="87">
        <v>0.8</v>
      </c>
      <c r="Q6" s="87">
        <f>K6*E6*100/(L6*M6*O6*P6)</f>
        <v>40.178571428571431</v>
      </c>
      <c r="R6" s="90">
        <v>27</v>
      </c>
      <c r="S6" s="90">
        <f>R6*L6*M6*O6*P6/(E6*100)</f>
        <v>201.6</v>
      </c>
      <c r="T6" s="91">
        <f>R6*N6*L6</f>
        <v>972</v>
      </c>
      <c r="U6" s="103"/>
    </row>
    <row r="7" spans="1:21" ht="79.2">
      <c r="A7" s="103"/>
      <c r="B7" s="92" t="s">
        <v>171</v>
      </c>
      <c r="C7" s="93">
        <v>18</v>
      </c>
      <c r="D7" s="94">
        <v>8</v>
      </c>
      <c r="E7" s="87">
        <f t="shared" ref="E7:E18" si="0">C7*D7</f>
        <v>144</v>
      </c>
      <c r="F7" s="87">
        <v>3</v>
      </c>
      <c r="G7" s="87">
        <f>E7/((C7+D7)*F7)</f>
        <v>1.8461538461538463</v>
      </c>
      <c r="H7" s="87" t="s">
        <v>168</v>
      </c>
      <c r="I7" s="88"/>
      <c r="J7" s="95" t="s">
        <v>153</v>
      </c>
      <c r="K7" s="87">
        <v>200</v>
      </c>
      <c r="L7" s="87">
        <v>4</v>
      </c>
      <c r="M7" s="87">
        <v>1450</v>
      </c>
      <c r="N7" s="87">
        <v>21</v>
      </c>
      <c r="O7" s="87">
        <v>51</v>
      </c>
      <c r="P7" s="87">
        <v>0.8</v>
      </c>
      <c r="Q7" s="87">
        <f t="shared" ref="Q7:Q13" si="1">K7*E7*100/(L7*M7*O7*P7)</f>
        <v>12.170385395537526</v>
      </c>
      <c r="R7" s="90">
        <v>12</v>
      </c>
      <c r="S7" s="90">
        <f t="shared" ref="S7:S13" si="2">R7*L7*M7*O7*P7/(E7*100)</f>
        <v>197.2</v>
      </c>
      <c r="T7" s="91">
        <f t="shared" ref="T7:T13" si="3">R7*N7*L7</f>
        <v>1008</v>
      </c>
      <c r="U7" s="103"/>
    </row>
    <row r="8" spans="1:21" ht="24.75" customHeight="1">
      <c r="A8" s="103"/>
      <c r="B8" s="92"/>
      <c r="C8" s="93">
        <v>7.2</v>
      </c>
      <c r="D8" s="94">
        <v>5.6</v>
      </c>
      <c r="E8" s="87">
        <f t="shared" si="0"/>
        <v>40.32</v>
      </c>
      <c r="F8" s="87">
        <v>2</v>
      </c>
      <c r="G8" s="87">
        <f t="shared" ref="G8:G18" si="4">E8/((C8+D8)*F8)</f>
        <v>1.575</v>
      </c>
      <c r="H8" s="87" t="s">
        <v>152</v>
      </c>
      <c r="I8" s="88"/>
      <c r="J8" s="96"/>
      <c r="K8" s="87">
        <v>300</v>
      </c>
      <c r="L8" s="87">
        <v>4</v>
      </c>
      <c r="M8" s="87">
        <v>1450</v>
      </c>
      <c r="N8" s="87">
        <v>21</v>
      </c>
      <c r="O8" s="87">
        <v>59</v>
      </c>
      <c r="P8" s="87">
        <v>0.8</v>
      </c>
      <c r="Q8" s="87">
        <f t="shared" si="1"/>
        <v>4.4184687317358273</v>
      </c>
      <c r="R8" s="90">
        <v>6</v>
      </c>
      <c r="S8" s="90">
        <f t="shared" si="2"/>
        <v>407.38095238095241</v>
      </c>
      <c r="T8" s="91">
        <f t="shared" si="3"/>
        <v>504</v>
      </c>
      <c r="U8" s="103"/>
    </row>
    <row r="9" spans="1:21" ht="24.75" customHeight="1">
      <c r="A9" s="103"/>
      <c r="B9" s="92"/>
      <c r="C9" s="93">
        <v>9.3000000000000007</v>
      </c>
      <c r="D9" s="94">
        <v>3.6</v>
      </c>
      <c r="E9" s="87">
        <f t="shared" si="0"/>
        <v>33.480000000000004</v>
      </c>
      <c r="F9" s="87">
        <v>2</v>
      </c>
      <c r="G9" s="87">
        <f t="shared" si="4"/>
        <v>1.2976744186046514</v>
      </c>
      <c r="H9" s="87" t="s">
        <v>152</v>
      </c>
      <c r="I9" s="88"/>
      <c r="J9" s="96"/>
      <c r="K9" s="87">
        <v>300</v>
      </c>
      <c r="L9" s="87">
        <v>4</v>
      </c>
      <c r="M9" s="87">
        <v>1450</v>
      </c>
      <c r="N9" s="87">
        <v>21</v>
      </c>
      <c r="O9" s="87">
        <v>58</v>
      </c>
      <c r="P9" s="87">
        <v>0.8</v>
      </c>
      <c r="Q9" s="87">
        <f t="shared" si="1"/>
        <v>3.7321640903686095</v>
      </c>
      <c r="R9" s="90">
        <v>4</v>
      </c>
      <c r="S9" s="90">
        <f t="shared" si="2"/>
        <v>321.52927120669051</v>
      </c>
      <c r="T9" s="91">
        <f t="shared" si="3"/>
        <v>336</v>
      </c>
      <c r="U9" s="103"/>
    </row>
    <row r="10" spans="1:21" ht="24.75" customHeight="1">
      <c r="A10" s="103"/>
      <c r="B10" s="92"/>
      <c r="C10" s="93">
        <v>6.75</v>
      </c>
      <c r="D10" s="94">
        <v>5.7</v>
      </c>
      <c r="E10" s="87">
        <f>C10*D10</f>
        <v>38.475000000000001</v>
      </c>
      <c r="F10" s="87">
        <v>2</v>
      </c>
      <c r="G10" s="87">
        <f t="shared" si="4"/>
        <v>1.5451807228915664</v>
      </c>
      <c r="H10" s="87" t="s">
        <v>152</v>
      </c>
      <c r="I10" s="88"/>
      <c r="J10" s="96"/>
      <c r="K10" s="87">
        <v>300</v>
      </c>
      <c r="L10" s="87">
        <v>4</v>
      </c>
      <c r="M10" s="87">
        <v>1450</v>
      </c>
      <c r="N10" s="87">
        <v>21</v>
      </c>
      <c r="O10" s="87">
        <v>59</v>
      </c>
      <c r="P10" s="87">
        <v>0.8</v>
      </c>
      <c r="Q10" s="87">
        <f t="shared" si="1"/>
        <v>4.2162843366452369</v>
      </c>
      <c r="R10" s="90">
        <v>4</v>
      </c>
      <c r="S10" s="90">
        <f t="shared" si="2"/>
        <v>284.61078622482131</v>
      </c>
      <c r="T10" s="91">
        <f t="shared" si="3"/>
        <v>336</v>
      </c>
      <c r="U10" s="103"/>
    </row>
    <row r="11" spans="1:21" ht="24.75" customHeight="1">
      <c r="A11" s="103"/>
      <c r="B11" s="92"/>
      <c r="C11" s="93">
        <v>6.75</v>
      </c>
      <c r="D11" s="94">
        <v>4.5</v>
      </c>
      <c r="E11" s="87">
        <f t="shared" si="0"/>
        <v>30.375</v>
      </c>
      <c r="F11" s="87">
        <v>2</v>
      </c>
      <c r="G11" s="87">
        <f t="shared" si="4"/>
        <v>1.35</v>
      </c>
      <c r="H11" s="87" t="s">
        <v>152</v>
      </c>
      <c r="I11" s="88"/>
      <c r="J11" s="96"/>
      <c r="K11" s="87">
        <v>300</v>
      </c>
      <c r="L11" s="87">
        <v>4</v>
      </c>
      <c r="M11" s="87">
        <v>1450</v>
      </c>
      <c r="N11" s="87">
        <v>21</v>
      </c>
      <c r="O11" s="87">
        <v>58</v>
      </c>
      <c r="P11" s="87">
        <v>0.8</v>
      </c>
      <c r="Q11" s="87">
        <f t="shared" si="1"/>
        <v>3.3860359690844235</v>
      </c>
      <c r="R11" s="90">
        <v>4</v>
      </c>
      <c r="S11" s="90">
        <f t="shared" si="2"/>
        <v>354.39670781893005</v>
      </c>
      <c r="T11" s="91">
        <f t="shared" si="3"/>
        <v>336</v>
      </c>
      <c r="U11" s="103"/>
    </row>
    <row r="12" spans="1:21" ht="24.75" customHeight="1">
      <c r="A12" s="103"/>
      <c r="B12" s="92"/>
      <c r="C12" s="93">
        <v>6.75</v>
      </c>
      <c r="D12" s="94">
        <v>5.7</v>
      </c>
      <c r="E12" s="87">
        <f t="shared" si="0"/>
        <v>38.475000000000001</v>
      </c>
      <c r="F12" s="87">
        <v>2</v>
      </c>
      <c r="G12" s="87">
        <f t="shared" si="4"/>
        <v>1.5451807228915664</v>
      </c>
      <c r="H12" s="87" t="s">
        <v>152</v>
      </c>
      <c r="I12" s="88"/>
      <c r="J12" s="96"/>
      <c r="K12" s="87">
        <v>300</v>
      </c>
      <c r="L12" s="87">
        <v>4</v>
      </c>
      <c r="M12" s="87">
        <v>1450</v>
      </c>
      <c r="N12" s="87">
        <v>21</v>
      </c>
      <c r="O12" s="87">
        <v>59</v>
      </c>
      <c r="P12" s="87">
        <v>0.8</v>
      </c>
      <c r="Q12" s="87">
        <f t="shared" si="1"/>
        <v>4.2162843366452369</v>
      </c>
      <c r="R12" s="90">
        <v>4</v>
      </c>
      <c r="S12" s="90">
        <f t="shared" si="2"/>
        <v>284.61078622482131</v>
      </c>
      <c r="T12" s="91">
        <f t="shared" si="3"/>
        <v>336</v>
      </c>
      <c r="U12" s="103"/>
    </row>
    <row r="13" spans="1:21" ht="24.75" customHeight="1">
      <c r="A13" s="103"/>
      <c r="B13" s="92"/>
      <c r="C13" s="93">
        <v>8.3000000000000007</v>
      </c>
      <c r="D13" s="94">
        <v>6.4</v>
      </c>
      <c r="E13" s="87">
        <f t="shared" si="0"/>
        <v>53.120000000000005</v>
      </c>
      <c r="F13" s="87">
        <v>2</v>
      </c>
      <c r="G13" s="87">
        <f t="shared" si="4"/>
        <v>1.8068027210884354</v>
      </c>
      <c r="H13" s="87" t="s">
        <v>152</v>
      </c>
      <c r="I13" s="88"/>
      <c r="J13" s="96"/>
      <c r="K13" s="87">
        <v>500</v>
      </c>
      <c r="L13" s="87">
        <v>4</v>
      </c>
      <c r="M13" s="87">
        <v>1450</v>
      </c>
      <c r="N13" s="87">
        <v>21</v>
      </c>
      <c r="O13" s="87">
        <v>61.5</v>
      </c>
      <c r="P13" s="87">
        <v>0.8</v>
      </c>
      <c r="Q13" s="87">
        <f t="shared" si="1"/>
        <v>9.3075413512755834</v>
      </c>
      <c r="R13" s="90">
        <v>9</v>
      </c>
      <c r="S13" s="90">
        <f t="shared" si="2"/>
        <v>483.47891566265059</v>
      </c>
      <c r="T13" s="91">
        <f t="shared" si="3"/>
        <v>756</v>
      </c>
      <c r="U13" s="103"/>
    </row>
    <row r="14" spans="1:21" ht="24.75" customHeight="1">
      <c r="A14" s="103"/>
      <c r="B14" s="92"/>
      <c r="C14" s="93">
        <v>8</v>
      </c>
      <c r="D14" s="94">
        <v>3</v>
      </c>
      <c r="E14" s="87">
        <f t="shared" si="0"/>
        <v>24</v>
      </c>
      <c r="F14" s="87">
        <v>2</v>
      </c>
      <c r="G14" s="87">
        <f t="shared" si="4"/>
        <v>1.0909090909090908</v>
      </c>
      <c r="H14" s="87" t="s">
        <v>152</v>
      </c>
      <c r="I14" s="88"/>
      <c r="J14" s="96"/>
      <c r="K14" s="87">
        <v>300</v>
      </c>
      <c r="L14" s="87">
        <v>4</v>
      </c>
      <c r="M14" s="87">
        <v>1450</v>
      </c>
      <c r="N14" s="87">
        <v>21</v>
      </c>
      <c r="O14" s="87">
        <v>57.5</v>
      </c>
      <c r="P14" s="87">
        <v>0.8</v>
      </c>
      <c r="Q14" s="87">
        <f>K14*E14*100/(L14*M14*O14*P14)</f>
        <v>2.6986506746626686</v>
      </c>
      <c r="R14" s="94">
        <v>3</v>
      </c>
      <c r="S14" s="90">
        <f>R14*L14*M14*O14*P14/(E14*100)</f>
        <v>333.5</v>
      </c>
      <c r="T14" s="91">
        <f>R14*N14*L14</f>
        <v>252</v>
      </c>
      <c r="U14" s="103"/>
    </row>
    <row r="15" spans="1:21" ht="24.75" customHeight="1">
      <c r="A15" s="103"/>
      <c r="B15" s="92"/>
      <c r="C15" s="93">
        <v>6.75</v>
      </c>
      <c r="D15" s="94">
        <v>4.5</v>
      </c>
      <c r="E15" s="87">
        <f t="shared" si="0"/>
        <v>30.375</v>
      </c>
      <c r="F15" s="87">
        <v>2</v>
      </c>
      <c r="G15" s="87">
        <f t="shared" si="4"/>
        <v>1.35</v>
      </c>
      <c r="H15" s="87" t="s">
        <v>152</v>
      </c>
      <c r="I15" s="88"/>
      <c r="J15" s="96"/>
      <c r="K15" s="87">
        <v>300</v>
      </c>
      <c r="L15" s="87">
        <v>4</v>
      </c>
      <c r="M15" s="87">
        <v>1450</v>
      </c>
      <c r="N15" s="87">
        <v>21</v>
      </c>
      <c r="O15" s="94">
        <v>58</v>
      </c>
      <c r="P15" s="87">
        <v>0.8</v>
      </c>
      <c r="Q15" s="87">
        <f>K15*E15*100/(L15*M15*O15*P15)</f>
        <v>3.3860359690844235</v>
      </c>
      <c r="R15" s="94">
        <v>4</v>
      </c>
      <c r="S15" s="90">
        <f>R15*L15*M15*O15*P15/(E15*100)</f>
        <v>354.39670781893005</v>
      </c>
      <c r="T15" s="91">
        <f>R15*N15*L15</f>
        <v>336</v>
      </c>
      <c r="U15" s="103"/>
    </row>
    <row r="16" spans="1:21" ht="24.75" customHeight="1">
      <c r="A16" s="103"/>
      <c r="B16" s="92"/>
      <c r="C16" s="93">
        <v>2.6</v>
      </c>
      <c r="D16" s="94">
        <v>3</v>
      </c>
      <c r="E16" s="87">
        <f t="shared" si="0"/>
        <v>7.8000000000000007</v>
      </c>
      <c r="F16" s="87">
        <v>2</v>
      </c>
      <c r="G16" s="87">
        <f t="shared" si="4"/>
        <v>0.69642857142857151</v>
      </c>
      <c r="H16" s="87" t="s">
        <v>152</v>
      </c>
      <c r="I16" s="88"/>
      <c r="J16" s="96"/>
      <c r="K16" s="87">
        <v>300</v>
      </c>
      <c r="L16" s="87">
        <v>4</v>
      </c>
      <c r="M16" s="87">
        <v>1450</v>
      </c>
      <c r="N16" s="87">
        <v>21</v>
      </c>
      <c r="O16" s="94">
        <v>51</v>
      </c>
      <c r="P16" s="87">
        <v>0.8</v>
      </c>
      <c r="Q16" s="87">
        <f>K16*E16*100/(L16*M16*O16*P16)</f>
        <v>0.98884381338742389</v>
      </c>
      <c r="R16" s="94">
        <v>1</v>
      </c>
      <c r="S16" s="90">
        <f>R16*L16*M16*O16*P16/(E16*100)</f>
        <v>303.38461538461536</v>
      </c>
      <c r="T16" s="91">
        <f>R16*N16*L16</f>
        <v>84</v>
      </c>
      <c r="U16" s="103"/>
    </row>
    <row r="17" spans="1:21" ht="24.75" customHeight="1">
      <c r="A17" s="103"/>
      <c r="B17" s="92"/>
      <c r="C17" s="93">
        <v>8.3000000000000007</v>
      </c>
      <c r="D17" s="94">
        <v>4.4000000000000004</v>
      </c>
      <c r="E17" s="87">
        <f t="shared" si="0"/>
        <v>36.520000000000003</v>
      </c>
      <c r="F17" s="87">
        <v>2</v>
      </c>
      <c r="G17" s="87">
        <f t="shared" si="4"/>
        <v>1.4377952755905512</v>
      </c>
      <c r="H17" s="87" t="s">
        <v>152</v>
      </c>
      <c r="I17" s="88"/>
      <c r="J17" s="96"/>
      <c r="K17" s="87">
        <v>300</v>
      </c>
      <c r="L17" s="87">
        <v>4</v>
      </c>
      <c r="M17" s="87">
        <v>1450</v>
      </c>
      <c r="N17" s="87">
        <v>21</v>
      </c>
      <c r="O17" s="94">
        <v>59</v>
      </c>
      <c r="P17" s="87">
        <v>0.8</v>
      </c>
      <c r="Q17" s="87">
        <f>K17*E17*100/(L17*M17*O17*P17)</f>
        <v>4.0020455873758047</v>
      </c>
      <c r="R17" s="94">
        <v>4</v>
      </c>
      <c r="S17" s="90">
        <f>R17*L17*M17*O17*P17/(E17*100)</f>
        <v>299.84665936473164</v>
      </c>
      <c r="T17" s="91">
        <f>R17*N17*L17</f>
        <v>336</v>
      </c>
      <c r="U17" s="103"/>
    </row>
    <row r="18" spans="1:21" ht="24.75" customHeight="1" thickBot="1">
      <c r="A18" s="103"/>
      <c r="B18" s="92"/>
      <c r="C18" s="93">
        <v>12</v>
      </c>
      <c r="D18" s="94">
        <v>3</v>
      </c>
      <c r="E18" s="87">
        <f t="shared" si="0"/>
        <v>36</v>
      </c>
      <c r="F18" s="87">
        <v>2</v>
      </c>
      <c r="G18" s="87">
        <f t="shared" si="4"/>
        <v>1.2</v>
      </c>
      <c r="H18" s="94" t="s">
        <v>154</v>
      </c>
      <c r="I18" s="88"/>
      <c r="J18" s="96"/>
      <c r="K18" s="87">
        <v>150</v>
      </c>
      <c r="L18" s="87">
        <v>4</v>
      </c>
      <c r="M18" s="87">
        <v>1450</v>
      </c>
      <c r="N18" s="87">
        <v>21</v>
      </c>
      <c r="O18" s="94">
        <v>57.5</v>
      </c>
      <c r="P18" s="87">
        <v>0.8</v>
      </c>
      <c r="Q18" s="87">
        <f>K18*E18*100/(L18*M18*O18*P18)</f>
        <v>2.0239880059970017</v>
      </c>
      <c r="R18" s="94">
        <v>3</v>
      </c>
      <c r="S18" s="90">
        <f>R18*L18*M18*O18*P18/(E18*100)</f>
        <v>222.33333333333334</v>
      </c>
      <c r="T18" s="91">
        <f>R18*N18*L18</f>
        <v>252</v>
      </c>
      <c r="U18" s="103"/>
    </row>
    <row r="19" spans="1:21" ht="22.5" customHeight="1" thickTop="1" thickBot="1">
      <c r="A19" s="103"/>
      <c r="B19" s="97"/>
      <c r="C19" s="98" t="s">
        <v>155</v>
      </c>
      <c r="D19" s="98"/>
      <c r="E19" s="99" t="s">
        <v>156</v>
      </c>
      <c r="F19" s="100"/>
      <c r="G19" s="101"/>
      <c r="H19" s="99" t="s">
        <v>157</v>
      </c>
      <c r="I19" s="99"/>
      <c r="J19" s="99"/>
      <c r="K19" s="99" t="s">
        <v>158</v>
      </c>
      <c r="L19" s="98"/>
      <c r="M19" s="98"/>
      <c r="N19" s="98"/>
      <c r="O19" s="98" t="s">
        <v>159</v>
      </c>
      <c r="P19" s="98"/>
      <c r="Q19" s="99" t="s">
        <v>160</v>
      </c>
      <c r="R19" s="98"/>
      <c r="S19" s="98"/>
      <c r="T19" s="102"/>
      <c r="U19" s="103"/>
    </row>
    <row r="20" spans="1:21" ht="13.8" thickTop="1">
      <c r="A20" s="103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</row>
    <row r="21" spans="1:21" ht="13.5" customHeight="1">
      <c r="A21" s="103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</row>
    <row r="22" spans="1:21" ht="13.8" thickBot="1">
      <c r="A22" s="103"/>
      <c r="B22" s="103"/>
      <c r="C22" s="103"/>
      <c r="D22" s="103"/>
      <c r="E22" s="103"/>
      <c r="F22" s="103"/>
      <c r="G22" s="103"/>
      <c r="H22" s="103"/>
      <c r="I22" s="103"/>
      <c r="J22" s="104" t="s">
        <v>166</v>
      </c>
      <c r="K22" s="104"/>
      <c r="L22" s="104"/>
      <c r="M22" s="103"/>
      <c r="N22" s="103"/>
      <c r="O22" s="103"/>
      <c r="P22" s="103"/>
      <c r="Q22" s="103"/>
      <c r="R22" s="103"/>
      <c r="S22" s="103"/>
      <c r="T22" s="103"/>
      <c r="U22" s="103"/>
    </row>
    <row r="23" spans="1:21" ht="14.4" thickTop="1" thickBot="1">
      <c r="A23" s="103"/>
      <c r="B23" s="78" t="s">
        <v>135</v>
      </c>
      <c r="C23" s="79" t="s">
        <v>136</v>
      </c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80"/>
      <c r="U23" s="103"/>
    </row>
    <row r="24" spans="1:21" ht="30.75" customHeight="1" thickTop="1" thickBot="1">
      <c r="A24" s="103"/>
      <c r="B24" s="81"/>
      <c r="C24" s="82" t="s">
        <v>117</v>
      </c>
      <c r="D24" s="83" t="s">
        <v>137</v>
      </c>
      <c r="E24" s="83" t="s">
        <v>100</v>
      </c>
      <c r="F24" s="83" t="s">
        <v>138</v>
      </c>
      <c r="G24" s="83" t="s">
        <v>139</v>
      </c>
      <c r="H24" s="83" t="s">
        <v>140</v>
      </c>
      <c r="I24" s="83"/>
      <c r="J24" s="83" t="s">
        <v>141</v>
      </c>
      <c r="K24" s="83" t="s">
        <v>142</v>
      </c>
      <c r="L24" s="83" t="s">
        <v>143</v>
      </c>
      <c r="M24" s="83" t="s">
        <v>144</v>
      </c>
      <c r="N24" s="83" t="s">
        <v>145</v>
      </c>
      <c r="O24" s="83" t="s">
        <v>146</v>
      </c>
      <c r="P24" s="83" t="s">
        <v>147</v>
      </c>
      <c r="Q24" s="83" t="s">
        <v>148</v>
      </c>
      <c r="R24" s="83" t="s">
        <v>149</v>
      </c>
      <c r="S24" s="83" t="s">
        <v>150</v>
      </c>
      <c r="T24" s="84" t="s">
        <v>151</v>
      </c>
      <c r="U24" s="103"/>
    </row>
    <row r="25" spans="1:21" ht="93" thickTop="1">
      <c r="A25" s="103"/>
      <c r="B25" s="92" t="s">
        <v>164</v>
      </c>
      <c r="C25" s="86">
        <v>18</v>
      </c>
      <c r="D25" s="87">
        <v>8</v>
      </c>
      <c r="E25" s="87">
        <f>C25*D25</f>
        <v>144</v>
      </c>
      <c r="F25" s="87">
        <v>3</v>
      </c>
      <c r="G25" s="87">
        <f>E25/((C25+D25)*F25)</f>
        <v>1.8461538461538463</v>
      </c>
      <c r="H25" s="87" t="s">
        <v>167</v>
      </c>
      <c r="I25" s="88"/>
      <c r="J25" s="89" t="s">
        <v>170</v>
      </c>
      <c r="K25" s="87">
        <v>100</v>
      </c>
      <c r="L25" s="87">
        <v>2</v>
      </c>
      <c r="M25" s="87">
        <v>3100</v>
      </c>
      <c r="N25" s="87">
        <v>36</v>
      </c>
      <c r="O25" s="87">
        <v>54</v>
      </c>
      <c r="P25" s="87">
        <v>0.8</v>
      </c>
      <c r="Q25" s="87">
        <f>K25*E25*100/(L25*M25*O25*P25)</f>
        <v>5.376344086021505</v>
      </c>
      <c r="R25" s="90">
        <v>6</v>
      </c>
      <c r="S25" s="90">
        <f>R25*L25*M25*O25*P25/(E25*100)</f>
        <v>111.6</v>
      </c>
      <c r="T25" s="91">
        <f>R25*N25*L25</f>
        <v>432</v>
      </c>
      <c r="U25" s="103"/>
    </row>
    <row r="26" spans="1:21" ht="66">
      <c r="A26" s="103"/>
      <c r="B26" s="92"/>
      <c r="C26" s="93">
        <v>7.25</v>
      </c>
      <c r="D26" s="94">
        <v>7.25</v>
      </c>
      <c r="E26" s="87">
        <f>C26*D26</f>
        <v>52.5625</v>
      </c>
      <c r="F26" s="87">
        <v>3</v>
      </c>
      <c r="G26" s="87">
        <f>E26/((C26+D26)*F26)</f>
        <v>1.2083333333333333</v>
      </c>
      <c r="H26" s="105" t="s">
        <v>169</v>
      </c>
      <c r="I26" s="88"/>
      <c r="J26" s="89" t="s">
        <v>172</v>
      </c>
      <c r="K26" s="87">
        <v>150</v>
      </c>
      <c r="L26" s="87">
        <v>1</v>
      </c>
      <c r="M26" s="87">
        <v>2800</v>
      </c>
      <c r="N26" s="87">
        <v>36</v>
      </c>
      <c r="O26" s="87">
        <v>54</v>
      </c>
      <c r="P26" s="87">
        <v>0.8</v>
      </c>
      <c r="Q26" s="87">
        <f>K26*E26*100/(L26*M26*O26*P26)</f>
        <v>6.518167162698413</v>
      </c>
      <c r="R26" s="90">
        <v>7</v>
      </c>
      <c r="S26" s="90">
        <f>R26*L26*M26*O26*P26/(E26*100)</f>
        <v>161.08822829964328</v>
      </c>
      <c r="T26" s="91">
        <f>R26*N26*L26</f>
        <v>252</v>
      </c>
      <c r="U26" s="103"/>
    </row>
    <row r="27" spans="1:21" ht="24.75" customHeight="1">
      <c r="A27" s="103"/>
      <c r="B27" s="92"/>
      <c r="C27" s="93"/>
      <c r="D27" s="94"/>
      <c r="E27" s="87"/>
      <c r="F27" s="87"/>
      <c r="G27" s="87"/>
      <c r="H27" s="105"/>
      <c r="I27" s="88"/>
      <c r="J27" s="96"/>
      <c r="K27" s="87"/>
      <c r="L27" s="87"/>
      <c r="M27" s="87"/>
      <c r="N27" s="87"/>
      <c r="O27" s="87"/>
      <c r="P27" s="87"/>
      <c r="Q27" s="87"/>
      <c r="R27" s="90"/>
      <c r="S27" s="90"/>
      <c r="T27" s="91"/>
      <c r="U27" s="103"/>
    </row>
    <row r="28" spans="1:21" ht="24.75" customHeight="1">
      <c r="A28" s="103"/>
      <c r="B28" s="92"/>
      <c r="C28" s="93"/>
      <c r="D28" s="94"/>
      <c r="E28" s="87"/>
      <c r="F28" s="87"/>
      <c r="G28" s="87"/>
      <c r="H28" s="87"/>
      <c r="I28" s="88"/>
      <c r="J28" s="96"/>
      <c r="K28" s="87"/>
      <c r="L28" s="87"/>
      <c r="M28" s="87"/>
      <c r="N28" s="87"/>
      <c r="O28" s="87"/>
      <c r="P28" s="87"/>
      <c r="Q28" s="87"/>
      <c r="R28" s="90"/>
      <c r="S28" s="90"/>
      <c r="T28" s="91"/>
      <c r="U28" s="103"/>
    </row>
    <row r="29" spans="1:21" ht="24.75" customHeight="1">
      <c r="A29" s="103"/>
      <c r="B29" s="92"/>
      <c r="C29" s="93"/>
      <c r="D29" s="94"/>
      <c r="E29" s="87"/>
      <c r="F29" s="87"/>
      <c r="G29" s="87"/>
      <c r="H29" s="87"/>
      <c r="I29" s="88"/>
      <c r="J29" s="96"/>
      <c r="K29" s="87"/>
      <c r="L29" s="87"/>
      <c r="M29" s="87"/>
      <c r="N29" s="87"/>
      <c r="O29" s="87"/>
      <c r="P29" s="87"/>
      <c r="Q29" s="87"/>
      <c r="R29" s="90"/>
      <c r="S29" s="90"/>
      <c r="T29" s="91"/>
      <c r="U29" s="103"/>
    </row>
    <row r="30" spans="1:21" ht="24.75" customHeight="1">
      <c r="A30" s="103"/>
      <c r="B30" s="92"/>
      <c r="C30" s="93"/>
      <c r="D30" s="94"/>
      <c r="E30" s="87"/>
      <c r="F30" s="87"/>
      <c r="G30" s="87"/>
      <c r="H30" s="87"/>
      <c r="I30" s="88"/>
      <c r="J30" s="96"/>
      <c r="K30" s="87"/>
      <c r="L30" s="87"/>
      <c r="M30" s="87"/>
      <c r="N30" s="87"/>
      <c r="O30" s="87"/>
      <c r="P30" s="87"/>
      <c r="Q30" s="87"/>
      <c r="R30" s="90"/>
      <c r="S30" s="90"/>
      <c r="T30" s="91"/>
      <c r="U30" s="103"/>
    </row>
    <row r="31" spans="1:21" ht="24.75" customHeight="1">
      <c r="A31" s="103"/>
      <c r="B31" s="92"/>
      <c r="C31" s="93"/>
      <c r="D31" s="94"/>
      <c r="E31" s="87"/>
      <c r="F31" s="87"/>
      <c r="G31" s="87"/>
      <c r="H31" s="87"/>
      <c r="I31" s="88"/>
      <c r="J31" s="96"/>
      <c r="K31" s="87"/>
      <c r="L31" s="87"/>
      <c r="M31" s="87"/>
      <c r="N31" s="87"/>
      <c r="O31" s="87"/>
      <c r="P31" s="87"/>
      <c r="Q31" s="87"/>
      <c r="R31" s="90"/>
      <c r="S31" s="90"/>
      <c r="T31" s="91"/>
      <c r="U31" s="103"/>
    </row>
    <row r="32" spans="1:21" ht="24.75" customHeight="1">
      <c r="A32" s="103"/>
      <c r="B32" s="92"/>
      <c r="C32" s="93"/>
      <c r="D32" s="94"/>
      <c r="E32" s="87"/>
      <c r="F32" s="87"/>
      <c r="G32" s="87"/>
      <c r="H32" s="87"/>
      <c r="I32" s="88"/>
      <c r="J32" s="96"/>
      <c r="K32" s="87"/>
      <c r="L32" s="87"/>
      <c r="M32" s="87"/>
      <c r="N32" s="87"/>
      <c r="O32" s="87"/>
      <c r="P32" s="87"/>
      <c r="Q32" s="87"/>
      <c r="R32" s="90"/>
      <c r="S32" s="90"/>
      <c r="T32" s="91"/>
      <c r="U32" s="103"/>
    </row>
    <row r="33" spans="1:21" ht="24.75" customHeight="1">
      <c r="A33" s="103"/>
      <c r="B33" s="92"/>
      <c r="C33" s="93"/>
      <c r="D33" s="94"/>
      <c r="E33" s="87"/>
      <c r="F33" s="87"/>
      <c r="G33" s="87"/>
      <c r="H33" s="87"/>
      <c r="I33" s="88"/>
      <c r="J33" s="96"/>
      <c r="K33" s="87"/>
      <c r="L33" s="87"/>
      <c r="M33" s="87"/>
      <c r="N33" s="87"/>
      <c r="O33" s="87"/>
      <c r="P33" s="87"/>
      <c r="Q33" s="87"/>
      <c r="R33" s="94"/>
      <c r="S33" s="90"/>
      <c r="T33" s="91"/>
      <c r="U33" s="103"/>
    </row>
    <row r="34" spans="1:21" ht="24.75" customHeight="1">
      <c r="A34" s="103"/>
      <c r="B34" s="92"/>
      <c r="C34" s="93"/>
      <c r="D34" s="94"/>
      <c r="E34" s="87"/>
      <c r="F34" s="87"/>
      <c r="G34" s="87"/>
      <c r="H34" s="87"/>
      <c r="I34" s="88"/>
      <c r="J34" s="96"/>
      <c r="K34" s="87"/>
      <c r="L34" s="87"/>
      <c r="M34" s="87"/>
      <c r="N34" s="87"/>
      <c r="O34" s="94"/>
      <c r="P34" s="87"/>
      <c r="Q34" s="87"/>
      <c r="R34" s="94"/>
      <c r="S34" s="90"/>
      <c r="T34" s="91"/>
      <c r="U34" s="103"/>
    </row>
    <row r="35" spans="1:21" ht="24.75" customHeight="1">
      <c r="A35" s="103"/>
      <c r="B35" s="92"/>
      <c r="C35" s="93"/>
      <c r="D35" s="94"/>
      <c r="E35" s="87"/>
      <c r="F35" s="87"/>
      <c r="G35" s="87"/>
      <c r="H35" s="94"/>
      <c r="I35" s="88"/>
      <c r="J35" s="96"/>
      <c r="K35" s="87"/>
      <c r="L35" s="87"/>
      <c r="M35" s="87"/>
      <c r="N35" s="87"/>
      <c r="O35" s="94"/>
      <c r="P35" s="87"/>
      <c r="Q35" s="87"/>
      <c r="R35" s="94"/>
      <c r="S35" s="90"/>
      <c r="T35" s="91"/>
      <c r="U35" s="103"/>
    </row>
    <row r="36" spans="1:21" ht="24.75" customHeight="1">
      <c r="A36" s="103"/>
      <c r="B36" s="92"/>
      <c r="C36" s="93"/>
      <c r="D36" s="94"/>
      <c r="E36" s="87"/>
      <c r="F36" s="87"/>
      <c r="G36" s="87"/>
      <c r="H36" s="94"/>
      <c r="I36" s="88"/>
      <c r="J36" s="96"/>
      <c r="K36" s="87"/>
      <c r="L36" s="87"/>
      <c r="M36" s="87"/>
      <c r="N36" s="87"/>
      <c r="O36" s="94"/>
      <c r="P36" s="87"/>
      <c r="Q36" s="87"/>
      <c r="R36" s="94"/>
      <c r="S36" s="90"/>
      <c r="T36" s="91"/>
      <c r="U36" s="103"/>
    </row>
    <row r="37" spans="1:21" ht="24.75" customHeight="1">
      <c r="A37" s="103"/>
      <c r="B37" s="92"/>
      <c r="C37" s="93"/>
      <c r="D37" s="94"/>
      <c r="E37" s="87"/>
      <c r="F37" s="87"/>
      <c r="G37" s="87"/>
      <c r="H37" s="94"/>
      <c r="I37" s="88"/>
      <c r="J37" s="96"/>
      <c r="K37" s="87"/>
      <c r="L37" s="87"/>
      <c r="M37" s="87"/>
      <c r="N37" s="87"/>
      <c r="O37" s="94"/>
      <c r="P37" s="87"/>
      <c r="Q37" s="87"/>
      <c r="R37" s="94"/>
      <c r="S37" s="90"/>
      <c r="T37" s="91"/>
      <c r="U37" s="103"/>
    </row>
    <row r="38" spans="1:21" ht="24.75" customHeight="1">
      <c r="A38" s="103"/>
      <c r="B38" s="106"/>
      <c r="C38" s="107"/>
      <c r="D38" s="108"/>
      <c r="E38" s="108"/>
      <c r="F38" s="88"/>
      <c r="G38" s="108"/>
      <c r="H38" s="108"/>
      <c r="I38" s="88"/>
      <c r="J38" s="96"/>
      <c r="K38" s="108"/>
      <c r="L38" s="88"/>
      <c r="M38" s="88"/>
      <c r="N38" s="88"/>
      <c r="O38" s="108"/>
      <c r="P38" s="88"/>
      <c r="Q38" s="88"/>
      <c r="R38" s="108"/>
      <c r="S38" s="108"/>
      <c r="T38" s="109"/>
      <c r="U38" s="103"/>
    </row>
    <row r="39" spans="1:21" ht="18.75" customHeight="1">
      <c r="A39" s="103"/>
      <c r="B39" s="106"/>
      <c r="C39" s="107" t="s">
        <v>155</v>
      </c>
      <c r="D39" s="108"/>
      <c r="E39" s="108" t="s">
        <v>156</v>
      </c>
      <c r="F39" s="88"/>
      <c r="G39" s="108"/>
      <c r="H39" s="108" t="s">
        <v>157</v>
      </c>
      <c r="I39" s="88"/>
      <c r="J39" s="96"/>
      <c r="K39" s="108" t="s">
        <v>158</v>
      </c>
      <c r="L39" s="88"/>
      <c r="M39" s="88"/>
      <c r="N39" s="88"/>
      <c r="O39" s="108" t="s">
        <v>159</v>
      </c>
      <c r="P39" s="88"/>
      <c r="Q39" s="88" t="s">
        <v>160</v>
      </c>
      <c r="R39" s="108"/>
      <c r="S39" s="108"/>
      <c r="T39" s="109"/>
      <c r="U39" s="103"/>
    </row>
    <row r="40" spans="1:21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</row>
    <row r="41" spans="1:21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</row>
  </sheetData>
  <mergeCells count="8">
    <mergeCell ref="B2:J2"/>
    <mergeCell ref="K2:S2"/>
    <mergeCell ref="J3:L3"/>
    <mergeCell ref="J22:L22"/>
    <mergeCell ref="B23:B24"/>
    <mergeCell ref="C23:T23"/>
    <mergeCell ref="B4:B5"/>
    <mergeCell ref="C4:T4"/>
  </mergeCells>
  <phoneticPr fontId="26" type="noConversion"/>
  <pageMargins left="0" right="0" top="0.27559055118110237" bottom="0.39370078740157483" header="0.19685039370078741" footer="0.39370078740157483"/>
  <pageSetup paperSize="9"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hotoshop.Image.7" shapeId="2057" r:id="rId4">
          <objectPr defaultSize="0" r:id="rId5">
            <anchor moveWithCells="1">
              <from>
                <xdr:col>8</xdr:col>
                <xdr:colOff>114300</xdr:colOff>
                <xdr:row>6</xdr:row>
                <xdr:rowOff>396240</xdr:rowOff>
              </from>
              <to>
                <xdr:col>8</xdr:col>
                <xdr:colOff>335280</xdr:colOff>
                <xdr:row>6</xdr:row>
                <xdr:rowOff>601980</xdr:rowOff>
              </to>
            </anchor>
          </objectPr>
        </oleObject>
      </mc:Choice>
      <mc:Fallback>
        <oleObject progId="Photoshop.Image.7" shapeId="2057" r:id="rId4"/>
      </mc:Fallback>
    </mc:AlternateContent>
    <mc:AlternateContent xmlns:mc="http://schemas.openxmlformats.org/markup-compatibility/2006">
      <mc:Choice Requires="x14">
        <oleObject progId="Photoshop.Image.7" shapeId="2066" r:id="rId6">
          <objectPr defaultSize="0" r:id="rId7">
            <anchor moveWithCells="1">
              <from>
                <xdr:col>8</xdr:col>
                <xdr:colOff>22860</xdr:colOff>
                <xdr:row>24</xdr:row>
                <xdr:rowOff>76200</xdr:rowOff>
              </from>
              <to>
                <xdr:col>8</xdr:col>
                <xdr:colOff>495300</xdr:colOff>
                <xdr:row>24</xdr:row>
                <xdr:rowOff>220980</xdr:rowOff>
              </to>
            </anchor>
          </objectPr>
        </oleObject>
      </mc:Choice>
      <mc:Fallback>
        <oleObject progId="Photoshop.Image.7" shapeId="2066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2343-A107-495C-9317-14A9DF515ACE}">
  <dimension ref="A1:K28"/>
  <sheetViews>
    <sheetView workbookViewId="0">
      <selection activeCell="H6" sqref="H6"/>
    </sheetView>
  </sheetViews>
  <sheetFormatPr defaultRowHeight="13.2"/>
  <cols>
    <col min="1" max="1" width="2.88671875" customWidth="1"/>
    <col min="2" max="10" width="15" customWidth="1"/>
    <col min="11" max="11" width="2.88671875" customWidth="1"/>
  </cols>
  <sheetData>
    <row r="1" spans="1:11" ht="13.5" customHeight="1" thickTop="1">
      <c r="A1" s="67"/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18.75" customHeight="1">
      <c r="A2" s="68"/>
      <c r="B2" s="110">
        <f>'D.B. detail'!H2</f>
        <v>0</v>
      </c>
      <c r="C2" s="110"/>
      <c r="D2" s="110"/>
      <c r="E2" s="110"/>
      <c r="F2" s="110"/>
      <c r="G2" s="110"/>
      <c r="H2" s="110"/>
      <c r="I2" s="110"/>
      <c r="J2" s="110"/>
      <c r="K2" s="17"/>
    </row>
    <row r="3" spans="1:11" ht="18.75" customHeight="1">
      <c r="A3" s="68"/>
      <c r="B3" s="111" t="s">
        <v>49</v>
      </c>
      <c r="C3" s="14"/>
      <c r="D3" s="14"/>
      <c r="E3" s="14"/>
      <c r="F3" s="14"/>
      <c r="G3" s="14"/>
      <c r="H3" s="14"/>
      <c r="I3" s="14"/>
      <c r="J3" s="14"/>
      <c r="K3" s="17"/>
    </row>
    <row r="4" spans="1:11" ht="18.75" customHeight="1">
      <c r="A4" s="68"/>
      <c r="B4" s="111" t="s">
        <v>62</v>
      </c>
      <c r="C4" s="14"/>
      <c r="D4" s="111"/>
      <c r="E4" s="14"/>
      <c r="F4" s="14"/>
      <c r="G4" s="14"/>
      <c r="H4" s="14"/>
      <c r="I4" s="14"/>
      <c r="J4" s="14"/>
      <c r="K4" s="17"/>
    </row>
    <row r="5" spans="1:11" ht="18.75" customHeight="1">
      <c r="A5" s="68"/>
      <c r="B5" s="111" t="s">
        <v>50</v>
      </c>
      <c r="C5" s="14"/>
      <c r="D5" s="14"/>
      <c r="E5" s="14"/>
      <c r="F5" s="14"/>
      <c r="G5" s="14"/>
      <c r="H5" s="14"/>
      <c r="I5" s="14"/>
      <c r="J5" s="14"/>
      <c r="K5" s="17"/>
    </row>
    <row r="6" spans="1:11" ht="12.75" customHeight="1" thickBot="1">
      <c r="A6" s="68"/>
      <c r="B6" s="14"/>
      <c r="C6" s="14"/>
      <c r="D6" s="14"/>
      <c r="E6" s="14"/>
      <c r="F6" s="14"/>
      <c r="G6" s="14"/>
      <c r="H6" s="14"/>
      <c r="I6" s="14"/>
      <c r="J6" s="14"/>
      <c r="K6" s="17"/>
    </row>
    <row r="7" spans="1:11" ht="18.75" customHeight="1">
      <c r="A7" s="68"/>
      <c r="B7" s="112" t="s">
        <v>51</v>
      </c>
      <c r="C7" s="113" t="s">
        <v>54</v>
      </c>
      <c r="D7" s="114" t="s">
        <v>57</v>
      </c>
      <c r="E7" s="115" t="s">
        <v>58</v>
      </c>
      <c r="F7" s="116" t="s">
        <v>61</v>
      </c>
      <c r="G7" s="117"/>
      <c r="H7" s="117"/>
      <c r="I7" s="118" t="s">
        <v>80</v>
      </c>
      <c r="J7" s="119"/>
      <c r="K7" s="17"/>
    </row>
    <row r="8" spans="1:11" ht="18.75" customHeight="1">
      <c r="A8" s="68"/>
      <c r="B8" s="120" t="s">
        <v>52</v>
      </c>
      <c r="C8" s="121" t="s">
        <v>81</v>
      </c>
      <c r="D8" s="121" t="s">
        <v>81</v>
      </c>
      <c r="E8" s="121" t="s">
        <v>59</v>
      </c>
      <c r="F8" s="122" t="s">
        <v>63</v>
      </c>
      <c r="G8" s="123"/>
      <c r="H8" s="123"/>
      <c r="I8" s="123"/>
      <c r="J8" s="124"/>
      <c r="K8" s="17"/>
    </row>
    <row r="9" spans="1:11" ht="18.75" customHeight="1">
      <c r="A9" s="68"/>
      <c r="B9" s="120" t="s">
        <v>53</v>
      </c>
      <c r="C9" s="125" t="s">
        <v>56</v>
      </c>
      <c r="D9" s="126" t="s">
        <v>60</v>
      </c>
      <c r="E9" s="127" t="s">
        <v>55</v>
      </c>
      <c r="F9" s="128">
        <v>0.95</v>
      </c>
      <c r="G9" s="128">
        <v>0.9</v>
      </c>
      <c r="H9" s="128">
        <v>0.8</v>
      </c>
      <c r="I9" s="128">
        <v>0.7</v>
      </c>
      <c r="J9" s="129">
        <v>0.6</v>
      </c>
      <c r="K9" s="17"/>
    </row>
    <row r="10" spans="1:11" ht="18.75" customHeight="1" thickBot="1">
      <c r="A10" s="68"/>
      <c r="B10" s="130" t="s">
        <v>84</v>
      </c>
      <c r="C10" s="131" t="s">
        <v>83</v>
      </c>
      <c r="D10" s="131" t="s">
        <v>83</v>
      </c>
      <c r="E10" s="131" t="s">
        <v>83</v>
      </c>
      <c r="F10" s="131" t="s">
        <v>83</v>
      </c>
      <c r="G10" s="131" t="s">
        <v>83</v>
      </c>
      <c r="H10" s="131" t="s">
        <v>83</v>
      </c>
      <c r="I10" s="131" t="s">
        <v>83</v>
      </c>
      <c r="J10" s="132" t="s">
        <v>83</v>
      </c>
      <c r="K10" s="17"/>
    </row>
    <row r="11" spans="1:11" ht="18.75" customHeight="1">
      <c r="A11" s="68"/>
      <c r="B11" s="133" t="s">
        <v>64</v>
      </c>
      <c r="C11" s="134">
        <v>14.47</v>
      </c>
      <c r="D11" s="134">
        <v>14.47</v>
      </c>
      <c r="E11" s="134">
        <v>0.115</v>
      </c>
      <c r="F11" s="134">
        <v>13.8</v>
      </c>
      <c r="G11" s="134">
        <v>13.1</v>
      </c>
      <c r="H11" s="134">
        <v>11.65</v>
      </c>
      <c r="I11" s="134">
        <v>10.199999999999999</v>
      </c>
      <c r="J11" s="135">
        <v>8.77</v>
      </c>
      <c r="K11" s="17"/>
    </row>
    <row r="12" spans="1:11" ht="18.75" customHeight="1">
      <c r="A12" s="68"/>
      <c r="B12" s="136" t="s">
        <v>65</v>
      </c>
      <c r="C12" s="137">
        <v>8.7100000000000009</v>
      </c>
      <c r="D12" s="137">
        <v>8.7100000000000009</v>
      </c>
      <c r="E12" s="138">
        <v>0.11</v>
      </c>
      <c r="F12" s="137">
        <v>8.31</v>
      </c>
      <c r="G12" s="137">
        <v>7.89</v>
      </c>
      <c r="H12" s="137">
        <v>7.03</v>
      </c>
      <c r="I12" s="137">
        <v>6.18</v>
      </c>
      <c r="J12" s="139">
        <v>5.31</v>
      </c>
      <c r="K12" s="17"/>
    </row>
    <row r="13" spans="1:11" ht="18.75" customHeight="1">
      <c r="A13" s="68"/>
      <c r="B13" s="136" t="s">
        <v>66</v>
      </c>
      <c r="C13" s="137">
        <v>5.45</v>
      </c>
      <c r="D13" s="137">
        <v>5.45</v>
      </c>
      <c r="E13" s="137">
        <v>0.107</v>
      </c>
      <c r="F13" s="137">
        <v>5.21</v>
      </c>
      <c r="G13" s="137">
        <v>4.95</v>
      </c>
      <c r="H13" s="137">
        <v>4.42</v>
      </c>
      <c r="I13" s="137">
        <v>3.89</v>
      </c>
      <c r="J13" s="139">
        <v>3.36</v>
      </c>
      <c r="K13" s="17"/>
    </row>
    <row r="14" spans="1:11" ht="18.75" customHeight="1">
      <c r="A14" s="68"/>
      <c r="B14" s="136" t="s">
        <v>67</v>
      </c>
      <c r="C14" s="137">
        <v>3.62</v>
      </c>
      <c r="D14" s="137">
        <v>3.62</v>
      </c>
      <c r="E14" s="138">
        <v>0.1</v>
      </c>
      <c r="F14" s="137">
        <v>3.47</v>
      </c>
      <c r="G14" s="140">
        <v>3.3</v>
      </c>
      <c r="H14" s="137">
        <v>2.96</v>
      </c>
      <c r="I14" s="137">
        <v>2.61</v>
      </c>
      <c r="J14" s="139">
        <v>2.25</v>
      </c>
      <c r="K14" s="17"/>
    </row>
    <row r="15" spans="1:11" ht="18.75" customHeight="1">
      <c r="A15" s="68"/>
      <c r="B15" s="136" t="s">
        <v>68</v>
      </c>
      <c r="C15" s="137">
        <v>2.16</v>
      </c>
      <c r="D15" s="137">
        <v>2.16</v>
      </c>
      <c r="E15" s="137">
        <v>9.4E-2</v>
      </c>
      <c r="F15" s="137">
        <v>2.08</v>
      </c>
      <c r="G15" s="137">
        <v>1.99</v>
      </c>
      <c r="H15" s="137">
        <v>1.78</v>
      </c>
      <c r="I15" s="137">
        <v>1.85</v>
      </c>
      <c r="J15" s="139">
        <v>1.37</v>
      </c>
      <c r="K15" s="17"/>
    </row>
    <row r="16" spans="1:11" ht="18.75" customHeight="1">
      <c r="A16" s="68"/>
      <c r="B16" s="136" t="s">
        <v>69</v>
      </c>
      <c r="C16" s="137">
        <v>1.36</v>
      </c>
      <c r="D16" s="137">
        <v>1.36</v>
      </c>
      <c r="E16" s="138">
        <v>0.09</v>
      </c>
      <c r="F16" s="137">
        <v>1.32</v>
      </c>
      <c r="G16" s="137">
        <v>1.26</v>
      </c>
      <c r="H16" s="137">
        <v>1.1399999999999999</v>
      </c>
      <c r="I16" s="137">
        <v>1.02</v>
      </c>
      <c r="J16" s="139">
        <v>0.88800000000000001</v>
      </c>
      <c r="K16" s="17"/>
    </row>
    <row r="17" spans="1:11" ht="18.75" customHeight="1">
      <c r="A17" s="68"/>
      <c r="B17" s="136" t="s">
        <v>70</v>
      </c>
      <c r="C17" s="137">
        <v>0.86299999999999999</v>
      </c>
      <c r="D17" s="137">
        <v>0.86299999999999999</v>
      </c>
      <c r="E17" s="137">
        <v>8.5999999999999993E-2</v>
      </c>
      <c r="F17" s="137">
        <v>0.84699999999999998</v>
      </c>
      <c r="G17" s="137">
        <v>0.81399999999999995</v>
      </c>
      <c r="H17" s="137">
        <v>0.74199999999999999</v>
      </c>
      <c r="I17" s="137">
        <v>0.66600000000000004</v>
      </c>
      <c r="J17" s="139">
        <v>0.58699999999999997</v>
      </c>
      <c r="K17" s="17"/>
    </row>
    <row r="18" spans="1:11" ht="18.75" customHeight="1">
      <c r="A18" s="68"/>
      <c r="B18" s="136" t="s">
        <v>71</v>
      </c>
      <c r="C18" s="137">
        <v>0.627</v>
      </c>
      <c r="D18" s="137">
        <v>0.627</v>
      </c>
      <c r="E18" s="137">
        <v>8.3000000000000004E-2</v>
      </c>
      <c r="F18" s="137">
        <v>0.622</v>
      </c>
      <c r="G18" s="140">
        <v>0.6</v>
      </c>
      <c r="H18" s="137">
        <v>0.55000000000000004</v>
      </c>
      <c r="I18" s="137">
        <v>0.498</v>
      </c>
      <c r="J18" s="139">
        <v>0.443</v>
      </c>
      <c r="K18" s="17"/>
    </row>
    <row r="19" spans="1:11" ht="18.75" customHeight="1">
      <c r="A19" s="68"/>
      <c r="B19" s="136" t="s">
        <v>78</v>
      </c>
      <c r="C19" s="137">
        <v>0.46300000000000002</v>
      </c>
      <c r="D19" s="137">
        <v>0.46300000000000002</v>
      </c>
      <c r="E19" s="137">
        <v>8.3000000000000004E-2</v>
      </c>
      <c r="F19" s="137">
        <v>0.46600000000000003</v>
      </c>
      <c r="G19" s="137">
        <v>0.45300000000000001</v>
      </c>
      <c r="H19" s="137">
        <v>0.42</v>
      </c>
      <c r="I19" s="137">
        <v>0.38</v>
      </c>
      <c r="J19" s="139">
        <v>0.34399999999999997</v>
      </c>
      <c r="K19" s="17"/>
    </row>
    <row r="20" spans="1:11" ht="18.75" customHeight="1">
      <c r="A20" s="68"/>
      <c r="B20" s="136" t="s">
        <v>77</v>
      </c>
      <c r="C20" s="137">
        <v>0.621</v>
      </c>
      <c r="D20" s="137">
        <v>0.621</v>
      </c>
      <c r="E20" s="137">
        <v>8.2000000000000003E-2</v>
      </c>
      <c r="F20" s="137">
        <v>0.33100000000000002</v>
      </c>
      <c r="G20" s="137">
        <v>0.32600000000000001</v>
      </c>
      <c r="H20" s="137">
        <v>0.30599999999999999</v>
      </c>
      <c r="I20" s="137">
        <v>0.28299999999999997</v>
      </c>
      <c r="J20" s="139">
        <v>0.25800000000000001</v>
      </c>
      <c r="K20" s="17"/>
    </row>
    <row r="21" spans="1:11" ht="18.75" customHeight="1">
      <c r="A21" s="68"/>
      <c r="B21" s="136" t="s">
        <v>79</v>
      </c>
      <c r="C21" s="137">
        <v>0.23100000000000001</v>
      </c>
      <c r="D21" s="137">
        <v>0.23200000000000001</v>
      </c>
      <c r="E21" s="137">
        <v>8.2000000000000003E-2</v>
      </c>
      <c r="F21" s="137">
        <v>0.246</v>
      </c>
      <c r="G21" s="137">
        <v>0.254</v>
      </c>
      <c r="H21" s="137">
        <v>0.23499999999999999</v>
      </c>
      <c r="I21" s="137">
        <v>0.221</v>
      </c>
      <c r="J21" s="139">
        <v>0.20499999999999999</v>
      </c>
      <c r="K21" s="17"/>
    </row>
    <row r="22" spans="1:11" ht="18.75" customHeight="1">
      <c r="A22" s="68"/>
      <c r="B22" s="136" t="s">
        <v>76</v>
      </c>
      <c r="C22" s="137">
        <v>0.183</v>
      </c>
      <c r="D22" s="137">
        <v>0.184</v>
      </c>
      <c r="E22" s="138">
        <v>0.08</v>
      </c>
      <c r="F22" s="140">
        <v>0.2</v>
      </c>
      <c r="G22" s="140">
        <v>0.2</v>
      </c>
      <c r="H22" s="137">
        <v>0.19500000000000001</v>
      </c>
      <c r="I22" s="137">
        <v>0.16800000000000001</v>
      </c>
      <c r="J22" s="139">
        <v>0.17399999999999999</v>
      </c>
      <c r="K22" s="17"/>
    </row>
    <row r="23" spans="1:11" ht="18.75" customHeight="1">
      <c r="A23" s="68"/>
      <c r="B23" s="136" t="s">
        <v>75</v>
      </c>
      <c r="C23" s="137">
        <v>0.14899999999999999</v>
      </c>
      <c r="D23" s="138">
        <v>0.15</v>
      </c>
      <c r="E23" s="138">
        <v>0.08</v>
      </c>
      <c r="F23" s="137">
        <v>0.16800000000000001</v>
      </c>
      <c r="G23" s="137">
        <v>0.17</v>
      </c>
      <c r="H23" s="137">
        <v>0.17799999999999999</v>
      </c>
      <c r="I23" s="137">
        <v>0.16200000000000001</v>
      </c>
      <c r="J23" s="139">
        <v>0.154</v>
      </c>
      <c r="K23" s="17"/>
    </row>
    <row r="24" spans="1:11" ht="18.75" customHeight="1">
      <c r="A24" s="68"/>
      <c r="B24" s="136" t="s">
        <v>74</v>
      </c>
      <c r="C24" s="137">
        <v>0.11799999999999999</v>
      </c>
      <c r="D24" s="137">
        <v>0.1201</v>
      </c>
      <c r="E24" s="138">
        <v>0.08</v>
      </c>
      <c r="F24" s="137">
        <v>0.13900000000000001</v>
      </c>
      <c r="G24" s="137">
        <v>0.14299999999999999</v>
      </c>
      <c r="H24" s="137">
        <v>0.14399999999999999</v>
      </c>
      <c r="I24" s="137">
        <v>0.14099999999999999</v>
      </c>
      <c r="J24" s="139">
        <v>0.13600000000000001</v>
      </c>
      <c r="K24" s="17"/>
    </row>
    <row r="25" spans="1:11" ht="18.75" customHeight="1">
      <c r="A25" s="68"/>
      <c r="B25" s="136" t="s">
        <v>73</v>
      </c>
      <c r="C25" s="128">
        <v>9.01E-2</v>
      </c>
      <c r="D25" s="128">
        <v>9.2200000000000004E-2</v>
      </c>
      <c r="E25" s="137">
        <v>7.9000000000000001E-2</v>
      </c>
      <c r="F25" s="137">
        <v>0.112</v>
      </c>
      <c r="G25" s="137">
        <v>0.11700000000000001</v>
      </c>
      <c r="H25" s="137">
        <v>0.121</v>
      </c>
      <c r="I25" s="137">
        <v>0.121</v>
      </c>
      <c r="J25" s="139">
        <v>0.11899999999999999</v>
      </c>
      <c r="K25" s="17"/>
    </row>
    <row r="26" spans="1:11" ht="18.75" customHeight="1" thickBot="1">
      <c r="A26" s="68"/>
      <c r="B26" s="141" t="s">
        <v>72</v>
      </c>
      <c r="C26" s="142">
        <v>7.1800000000000003E-2</v>
      </c>
      <c r="D26" s="142">
        <v>7.4499999999999997E-2</v>
      </c>
      <c r="E26" s="142">
        <v>7.9000000000000001E-2</v>
      </c>
      <c r="F26" s="142">
        <v>9.5399999999999999E-2</v>
      </c>
      <c r="G26" s="142">
        <v>0.10100000000000001</v>
      </c>
      <c r="H26" s="142">
        <v>0.107</v>
      </c>
      <c r="I26" s="142">
        <v>0.109</v>
      </c>
      <c r="J26" s="143">
        <v>0.108</v>
      </c>
      <c r="K26" s="17"/>
    </row>
    <row r="27" spans="1:11" ht="13.8" thickBot="1">
      <c r="A27" s="72"/>
      <c r="B27" s="65"/>
      <c r="C27" s="65"/>
      <c r="D27" s="65"/>
      <c r="E27" s="65"/>
      <c r="F27" s="65"/>
      <c r="G27" s="65"/>
      <c r="H27" s="65"/>
      <c r="I27" s="65"/>
      <c r="J27" s="65"/>
      <c r="K27" s="66"/>
    </row>
    <row r="28" spans="1:11" ht="13.8" thickTop="1"/>
  </sheetData>
  <mergeCells count="3">
    <mergeCell ref="F8:J8"/>
    <mergeCell ref="F7:H7"/>
    <mergeCell ref="B2:J2"/>
  </mergeCells>
  <phoneticPr fontId="26" type="noConversion"/>
  <pageMargins left="0.19685039370078741" right="0.19685039370078741" top="0.39370078740157483" bottom="0.98425196850393704" header="0.31496062992125984" footer="0.51181102362204722"/>
  <pageSetup paperSize="9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A751-3756-46EF-B4C6-D389BCA2B668}">
  <dimension ref="A1:N28"/>
  <sheetViews>
    <sheetView workbookViewId="0">
      <selection activeCell="L12" sqref="L12"/>
    </sheetView>
  </sheetViews>
  <sheetFormatPr defaultRowHeight="13.2"/>
  <cols>
    <col min="1" max="1" width="2.88671875" customWidth="1"/>
    <col min="2" max="2" width="15.5546875" customWidth="1"/>
    <col min="3" max="10" width="13.6640625" customWidth="1"/>
    <col min="11" max="11" width="2.88671875" customWidth="1"/>
    <col min="14" max="14" width="9.5546875" bestFit="1" customWidth="1"/>
  </cols>
  <sheetData>
    <row r="1" spans="1:11" ht="13.5" customHeight="1" thickTop="1">
      <c r="A1" s="67"/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18.75" customHeight="1">
      <c r="A2" s="68"/>
      <c r="B2" s="110">
        <f>'D.B. detail'!H2</f>
        <v>0</v>
      </c>
      <c r="C2" s="110"/>
      <c r="D2" s="110"/>
      <c r="E2" s="110"/>
      <c r="F2" s="110"/>
      <c r="G2" s="110"/>
      <c r="H2" s="110"/>
      <c r="I2" s="110"/>
      <c r="J2" s="110"/>
      <c r="K2" s="17"/>
    </row>
    <row r="3" spans="1:11" ht="18.75" customHeight="1">
      <c r="A3" s="68"/>
      <c r="B3" s="111" t="s">
        <v>178</v>
      </c>
      <c r="C3" s="14"/>
      <c r="D3" s="14"/>
      <c r="E3" s="14"/>
      <c r="F3" s="14"/>
      <c r="G3" s="14"/>
      <c r="H3" s="14"/>
      <c r="I3" s="14"/>
      <c r="J3" s="14"/>
      <c r="K3" s="17"/>
    </row>
    <row r="4" spans="1:11" ht="18.75" customHeight="1">
      <c r="A4" s="68"/>
      <c r="B4" s="111" t="s">
        <v>62</v>
      </c>
      <c r="C4" s="14"/>
      <c r="D4" s="111"/>
      <c r="E4" s="14"/>
      <c r="F4" s="14"/>
      <c r="G4" s="14"/>
      <c r="H4" s="14"/>
      <c r="I4" s="14"/>
      <c r="J4" s="14"/>
      <c r="K4" s="17"/>
    </row>
    <row r="5" spans="1:11" ht="18.75" customHeight="1">
      <c r="A5" s="68"/>
      <c r="B5" s="111" t="s">
        <v>179</v>
      </c>
      <c r="C5" s="14"/>
      <c r="D5" s="14"/>
      <c r="E5" s="14"/>
      <c r="F5" s="14"/>
      <c r="G5" s="14"/>
      <c r="H5" s="14"/>
      <c r="I5" s="14"/>
      <c r="J5" s="14"/>
      <c r="K5" s="17"/>
    </row>
    <row r="6" spans="1:11" ht="12.75" customHeight="1" thickBot="1">
      <c r="A6" s="68"/>
      <c r="B6" s="14"/>
      <c r="C6" s="14"/>
      <c r="D6" s="14"/>
      <c r="E6" s="14"/>
      <c r="F6" s="14"/>
      <c r="G6" s="14"/>
      <c r="H6" s="14"/>
      <c r="I6" s="14"/>
      <c r="J6" s="14"/>
      <c r="K6" s="17"/>
    </row>
    <row r="7" spans="1:11" ht="18.75" customHeight="1">
      <c r="A7" s="68"/>
      <c r="B7" s="112" t="s">
        <v>51</v>
      </c>
      <c r="C7" s="114" t="s">
        <v>54</v>
      </c>
      <c r="D7" s="114" t="s">
        <v>57</v>
      </c>
      <c r="E7" s="115" t="s">
        <v>58</v>
      </c>
      <c r="F7" s="116" t="s">
        <v>61</v>
      </c>
      <c r="G7" s="117"/>
      <c r="H7" s="117"/>
      <c r="I7" s="118" t="s">
        <v>80</v>
      </c>
      <c r="J7" s="119"/>
      <c r="K7" s="17"/>
    </row>
    <row r="8" spans="1:11" ht="18.75" customHeight="1">
      <c r="A8" s="68"/>
      <c r="B8" s="120" t="s">
        <v>52</v>
      </c>
      <c r="C8" s="144" t="s">
        <v>180</v>
      </c>
      <c r="D8" s="144" t="s">
        <v>181</v>
      </c>
      <c r="E8" s="121" t="s">
        <v>59</v>
      </c>
      <c r="F8" s="122" t="s">
        <v>63</v>
      </c>
      <c r="G8" s="123"/>
      <c r="H8" s="123"/>
      <c r="I8" s="123"/>
      <c r="J8" s="124"/>
      <c r="K8" s="17"/>
    </row>
    <row r="9" spans="1:11" ht="18.75" customHeight="1">
      <c r="A9" s="68"/>
      <c r="B9" s="120" t="s">
        <v>53</v>
      </c>
      <c r="C9" s="125" t="s">
        <v>56</v>
      </c>
      <c r="D9" s="126" t="s">
        <v>60</v>
      </c>
      <c r="E9" s="127" t="s">
        <v>55</v>
      </c>
      <c r="F9" s="128">
        <v>0.95</v>
      </c>
      <c r="G9" s="128">
        <v>0.9</v>
      </c>
      <c r="H9" s="128">
        <v>0.8</v>
      </c>
      <c r="I9" s="128">
        <v>0.7</v>
      </c>
      <c r="J9" s="129">
        <v>0.6</v>
      </c>
      <c r="K9" s="17"/>
    </row>
    <row r="10" spans="1:11" ht="18.75" customHeight="1" thickBot="1">
      <c r="A10" s="68"/>
      <c r="B10" s="130" t="s">
        <v>84</v>
      </c>
      <c r="C10" s="131" t="s">
        <v>83</v>
      </c>
      <c r="D10" s="131" t="s">
        <v>83</v>
      </c>
      <c r="E10" s="131" t="s">
        <v>83</v>
      </c>
      <c r="F10" s="131" t="s">
        <v>83</v>
      </c>
      <c r="G10" s="131" t="s">
        <v>83</v>
      </c>
      <c r="H10" s="131" t="s">
        <v>83</v>
      </c>
      <c r="I10" s="131" t="s">
        <v>83</v>
      </c>
      <c r="J10" s="132" t="s">
        <v>83</v>
      </c>
      <c r="K10" s="17"/>
    </row>
    <row r="11" spans="1:11" ht="18.75" customHeight="1">
      <c r="A11" s="68"/>
      <c r="B11" s="133"/>
      <c r="C11" s="134"/>
      <c r="D11" s="134"/>
      <c r="E11" s="134"/>
      <c r="F11" s="134"/>
      <c r="G11" s="134"/>
      <c r="H11" s="134"/>
      <c r="I11" s="134"/>
      <c r="J11" s="135"/>
      <c r="K11" s="17"/>
    </row>
    <row r="12" spans="1:11" ht="18.75" customHeight="1">
      <c r="A12" s="68"/>
      <c r="B12" s="136"/>
      <c r="C12" s="137"/>
      <c r="D12" s="137"/>
      <c r="E12" s="138"/>
      <c r="F12" s="137"/>
      <c r="G12" s="137"/>
      <c r="H12" s="137"/>
      <c r="I12" s="137"/>
      <c r="J12" s="139"/>
      <c r="K12" s="17"/>
    </row>
    <row r="13" spans="1:11" ht="18.75" customHeight="1">
      <c r="A13" s="68"/>
      <c r="B13" s="136"/>
      <c r="C13" s="137"/>
      <c r="D13" s="137"/>
      <c r="E13" s="137"/>
      <c r="F13" s="137"/>
      <c r="G13" s="137"/>
      <c r="H13" s="137"/>
      <c r="I13" s="137"/>
      <c r="J13" s="139"/>
      <c r="K13" s="17"/>
    </row>
    <row r="14" spans="1:11" ht="18.75" customHeight="1">
      <c r="A14" s="68"/>
      <c r="B14" s="136"/>
      <c r="C14" s="137"/>
      <c r="D14" s="137"/>
      <c r="E14" s="138"/>
      <c r="F14" s="137"/>
      <c r="G14" s="140"/>
      <c r="H14" s="137"/>
      <c r="I14" s="137"/>
      <c r="J14" s="139"/>
      <c r="K14" s="17"/>
    </row>
    <row r="15" spans="1:11" ht="18.75" customHeight="1">
      <c r="A15" s="68"/>
      <c r="B15" s="136" t="s">
        <v>68</v>
      </c>
      <c r="C15" s="138">
        <v>3.08</v>
      </c>
      <c r="D15" s="138">
        <v>3.3</v>
      </c>
      <c r="E15" s="137">
        <v>9.4E-2</v>
      </c>
      <c r="F15" s="138">
        <v>3.1643514905924723</v>
      </c>
      <c r="G15" s="138">
        <v>3.0109736500692819</v>
      </c>
      <c r="H15" s="138">
        <v>2.6964000000000001</v>
      </c>
      <c r="I15" s="138">
        <v>2.3771294272283026</v>
      </c>
      <c r="J15" s="145">
        <v>2.0551999999999997</v>
      </c>
      <c r="K15" s="17"/>
    </row>
    <row r="16" spans="1:11" ht="18.75" customHeight="1">
      <c r="A16" s="68"/>
      <c r="B16" s="136" t="s">
        <v>69</v>
      </c>
      <c r="C16" s="138">
        <v>1.91</v>
      </c>
      <c r="D16" s="138">
        <v>2.29</v>
      </c>
      <c r="E16" s="138">
        <v>8.6489880609581515E-2</v>
      </c>
      <c r="F16" s="138">
        <v>2.2025064565644277</v>
      </c>
      <c r="G16" s="138">
        <v>2.0987000649216063</v>
      </c>
      <c r="H16" s="138">
        <v>1.883893928365749</v>
      </c>
      <c r="I16" s="138">
        <v>1.6647661292166542</v>
      </c>
      <c r="J16" s="145">
        <v>1.4431919044876651</v>
      </c>
      <c r="K16" s="17"/>
    </row>
    <row r="17" spans="1:14" ht="18.75" customHeight="1">
      <c r="A17" s="68"/>
      <c r="B17" s="136" t="s">
        <v>70</v>
      </c>
      <c r="C17" s="138">
        <v>1.2</v>
      </c>
      <c r="D17" s="138">
        <v>1.44</v>
      </c>
      <c r="E17" s="138">
        <v>8.5329934985300587E-2</v>
      </c>
      <c r="F17" s="138">
        <v>1.3946442636593332</v>
      </c>
      <c r="G17" s="138">
        <v>1.3331944563459821</v>
      </c>
      <c r="H17" s="138">
        <v>1.2031979609911803</v>
      </c>
      <c r="I17" s="138">
        <v>1.0689377623509739</v>
      </c>
      <c r="J17" s="145">
        <v>0.93226394798824042</v>
      </c>
      <c r="K17" s="17"/>
    </row>
    <row r="18" spans="1:14" ht="18.75" customHeight="1">
      <c r="A18" s="68"/>
      <c r="B18" s="136" t="s">
        <v>71</v>
      </c>
      <c r="C18" s="138">
        <v>0.86799999999999999</v>
      </c>
      <c r="D18" s="138">
        <v>1.0429999999999999</v>
      </c>
      <c r="E18" s="138">
        <v>7.8689768420930895E-2</v>
      </c>
      <c r="F18" s="138">
        <v>1.0154208723141573</v>
      </c>
      <c r="G18" s="138">
        <v>0.97300007484374551</v>
      </c>
      <c r="H18" s="138">
        <v>0.88161386105255857</v>
      </c>
      <c r="I18" s="138">
        <v>0.78629573492366878</v>
      </c>
      <c r="J18" s="145">
        <v>0.68875181473674463</v>
      </c>
      <c r="K18" s="17"/>
    </row>
    <row r="19" spans="1:14" ht="18.75" customHeight="1">
      <c r="A19" s="68"/>
      <c r="B19" s="136" t="s">
        <v>78</v>
      </c>
      <c r="C19" s="138">
        <v>0.64100000000000001</v>
      </c>
      <c r="D19" s="138">
        <v>0.77100000000000002</v>
      </c>
      <c r="E19" s="138">
        <v>7.8588015946782594E-2</v>
      </c>
      <c r="F19" s="138">
        <v>0.75698910011428788</v>
      </c>
      <c r="G19" s="138">
        <v>0.72815572196853884</v>
      </c>
      <c r="H19" s="138">
        <v>0.66395280956806957</v>
      </c>
      <c r="I19" s="138">
        <v>0.59582306912251315</v>
      </c>
      <c r="J19" s="145">
        <v>0.52547041275742612</v>
      </c>
      <c r="K19" s="17"/>
    </row>
    <row r="20" spans="1:14" ht="18.75" customHeight="1">
      <c r="A20" s="68"/>
      <c r="B20" s="136" t="s">
        <v>77</v>
      </c>
      <c r="C20" s="138">
        <v>0.443</v>
      </c>
      <c r="D20" s="138">
        <v>0.55300000000000005</v>
      </c>
      <c r="E20" s="138">
        <v>5.0749784110505722E-2</v>
      </c>
      <c r="F20" s="138">
        <v>0.54119661500946292</v>
      </c>
      <c r="G20" s="138">
        <v>0.51982131803442011</v>
      </c>
      <c r="H20" s="138">
        <v>0.4728498704663035</v>
      </c>
      <c r="I20" s="138">
        <v>0.42334259509891775</v>
      </c>
      <c r="J20" s="145">
        <v>0.37239982728840459</v>
      </c>
      <c r="K20" s="17"/>
    </row>
    <row r="21" spans="1:14" ht="18.75" customHeight="1">
      <c r="A21" s="68"/>
      <c r="B21" s="136" t="s">
        <v>79</v>
      </c>
      <c r="C21" s="138">
        <v>0.32</v>
      </c>
      <c r="D21" s="138">
        <v>0.38500000000000001</v>
      </c>
      <c r="E21" s="138">
        <v>7.6526191688734244E-2</v>
      </c>
      <c r="F21" s="138">
        <v>0.38964529569605982</v>
      </c>
      <c r="G21" s="138">
        <v>0.3798569936105215</v>
      </c>
      <c r="H21" s="138">
        <v>0.35391571501324059</v>
      </c>
      <c r="I21" s="138">
        <v>0.32415063208540457</v>
      </c>
      <c r="J21" s="145">
        <v>0.29222095335098741</v>
      </c>
      <c r="K21" s="17"/>
    </row>
    <row r="22" spans="1:14" ht="18.75" customHeight="1">
      <c r="A22" s="68"/>
      <c r="B22" s="136" t="s">
        <v>76</v>
      </c>
      <c r="C22" s="138">
        <v>0.253</v>
      </c>
      <c r="D22" s="138">
        <v>0.30499999999999999</v>
      </c>
      <c r="E22" s="138">
        <v>7.4458557658021549E-2</v>
      </c>
      <c r="F22" s="138">
        <v>0.31299967717689881</v>
      </c>
      <c r="G22" s="138">
        <v>0.30695573283131128</v>
      </c>
      <c r="H22" s="138">
        <v>0.28867513459481292</v>
      </c>
      <c r="I22" s="138">
        <v>0.2666740460407292</v>
      </c>
      <c r="J22" s="145">
        <v>0.24256684612641724</v>
      </c>
      <c r="K22" s="17"/>
    </row>
    <row r="23" spans="1:14" ht="18.75" customHeight="1">
      <c r="A23" s="68"/>
      <c r="B23" s="136" t="s">
        <v>75</v>
      </c>
      <c r="C23" s="138">
        <v>0.20599999999999999</v>
      </c>
      <c r="D23" s="138">
        <v>0.249</v>
      </c>
      <c r="E23" s="138">
        <v>7.3107438881387377E-2</v>
      </c>
      <c r="F23" s="138">
        <v>0.25937779047411486</v>
      </c>
      <c r="G23" s="138">
        <v>0.25596679381050436</v>
      </c>
      <c r="H23" s="138">
        <v>0.24306446332883244</v>
      </c>
      <c r="I23" s="138">
        <v>0.22650915423654985</v>
      </c>
      <c r="J23" s="145">
        <v>0.20788595110510991</v>
      </c>
      <c r="K23" s="17"/>
    </row>
    <row r="24" spans="1:14" ht="18.75" customHeight="1">
      <c r="A24" s="68"/>
      <c r="B24" s="136" t="s">
        <v>74</v>
      </c>
      <c r="C24" s="138">
        <v>0.16400000000000001</v>
      </c>
      <c r="D24" s="138">
        <v>0.19900000000000001</v>
      </c>
      <c r="E24" s="138">
        <v>7.3378824591247102E-2</v>
      </c>
      <c r="F24" s="138">
        <v>0.21196253063485826</v>
      </c>
      <c r="G24" s="138">
        <v>0.21108508809890433</v>
      </c>
      <c r="H24" s="138">
        <v>0.20322729475474827</v>
      </c>
      <c r="I24" s="138">
        <v>0.19170296239889911</v>
      </c>
      <c r="J24" s="145">
        <v>0.17810305967299769</v>
      </c>
      <c r="K24" s="17"/>
    </row>
    <row r="25" spans="1:14" ht="18.75" customHeight="1">
      <c r="A25" s="68"/>
      <c r="B25" s="136" t="s">
        <v>73</v>
      </c>
      <c r="C25" s="138">
        <v>0.125</v>
      </c>
      <c r="D25" s="138">
        <v>0.151</v>
      </c>
      <c r="E25" s="138">
        <v>7.18702949803883E-2</v>
      </c>
      <c r="F25" s="138">
        <v>0.16651599221468122</v>
      </c>
      <c r="G25" s="138">
        <v>0.16809931507490522</v>
      </c>
      <c r="H25" s="138">
        <v>0.16512217698823298</v>
      </c>
      <c r="I25" s="138">
        <v>0.15845394245977909</v>
      </c>
      <c r="J25" s="145">
        <v>0.14969623598431064</v>
      </c>
      <c r="K25" s="17"/>
    </row>
    <row r="26" spans="1:14" ht="18.75" customHeight="1" thickBot="1">
      <c r="A26" s="68"/>
      <c r="B26" s="141" t="s">
        <v>72</v>
      </c>
      <c r="C26" s="146">
        <v>0.1</v>
      </c>
      <c r="D26" s="146">
        <v>0.123</v>
      </c>
      <c r="E26" s="146">
        <v>7.1751359919097188E-2</v>
      </c>
      <c r="F26" s="146">
        <v>0.13925435495385624</v>
      </c>
      <c r="G26" s="146">
        <v>0.14197569269489593</v>
      </c>
      <c r="H26" s="146">
        <v>0.14145081595145831</v>
      </c>
      <c r="I26" s="146">
        <v>0.13734072015128507</v>
      </c>
      <c r="J26" s="147">
        <v>0.13120108793527774</v>
      </c>
      <c r="K26" s="17"/>
    </row>
    <row r="27" spans="1:14" ht="15.6" thickBot="1">
      <c r="A27" s="72"/>
      <c r="B27" s="65"/>
      <c r="C27" s="65"/>
      <c r="D27" s="65"/>
      <c r="E27" s="65"/>
      <c r="F27" s="65"/>
      <c r="G27" s="65"/>
      <c r="H27" s="148"/>
      <c r="I27" s="65"/>
      <c r="J27" s="65"/>
      <c r="K27" s="66"/>
      <c r="M27" s="3"/>
      <c r="N27" s="4"/>
    </row>
    <row r="28" spans="1:14" ht="13.8" thickTop="1"/>
  </sheetData>
  <mergeCells count="3">
    <mergeCell ref="B2:J2"/>
    <mergeCell ref="F7:H7"/>
    <mergeCell ref="F8:J8"/>
  </mergeCells>
  <phoneticPr fontId="26" type="noConversion"/>
  <pageMargins left="0.19685039370078741" right="0.19685039370078741" top="0.39370078740157483" bottom="0.98425196850393704" header="0.31496062992125984" footer="0.51181102362204722"/>
  <pageSetup paperSize="9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5487-094E-45F0-90E0-16E54476CE68}">
  <dimension ref="A1:L145"/>
  <sheetViews>
    <sheetView workbookViewId="0">
      <selection activeCell="M14" sqref="M14"/>
    </sheetView>
  </sheetViews>
  <sheetFormatPr defaultColWidth="9.109375" defaultRowHeight="13.2"/>
  <cols>
    <col min="1" max="1" width="3.109375" customWidth="1"/>
    <col min="7" max="7" width="7.44140625" customWidth="1"/>
    <col min="9" max="9" width="10.6640625" customWidth="1"/>
    <col min="10" max="10" width="9.33203125" customWidth="1"/>
    <col min="11" max="11" width="2.44140625" customWidth="1"/>
  </cols>
  <sheetData>
    <row r="1" spans="1:12" ht="13.8" thickTop="1">
      <c r="A1" s="67"/>
      <c r="B1" s="12"/>
      <c r="C1" s="12"/>
      <c r="D1" s="12"/>
      <c r="E1" s="12"/>
      <c r="F1" s="12"/>
      <c r="G1" s="12"/>
      <c r="H1" s="12"/>
      <c r="I1" s="12"/>
      <c r="J1" s="12"/>
      <c r="K1" s="149"/>
    </row>
    <row r="2" spans="1:12">
      <c r="A2" s="68"/>
      <c r="B2" s="150">
        <f>'D.B. detail'!H2</f>
        <v>0</v>
      </c>
      <c r="C2" s="150"/>
      <c r="D2" s="150"/>
      <c r="E2" s="150"/>
      <c r="F2" s="150"/>
      <c r="G2" s="150"/>
      <c r="H2" s="150"/>
      <c r="I2" s="150"/>
      <c r="J2" s="150"/>
      <c r="K2" s="151"/>
    </row>
    <row r="3" spans="1:12">
      <c r="A3" s="68"/>
      <c r="B3" s="14"/>
      <c r="C3" s="152"/>
      <c r="D3" s="152"/>
      <c r="E3" s="152"/>
      <c r="F3" s="14"/>
      <c r="G3" s="14"/>
      <c r="H3" s="14"/>
      <c r="I3" s="14"/>
      <c r="J3" s="14"/>
      <c r="K3" s="151"/>
    </row>
    <row r="4" spans="1:12">
      <c r="A4" s="68"/>
      <c r="B4" s="14"/>
      <c r="C4" s="152" t="s">
        <v>82</v>
      </c>
      <c r="D4" s="152"/>
      <c r="E4" s="152"/>
      <c r="F4" s="14"/>
      <c r="G4" s="14"/>
      <c r="H4" s="14"/>
      <c r="I4" s="14"/>
      <c r="J4" s="14"/>
      <c r="K4" s="151"/>
    </row>
    <row r="5" spans="1:12">
      <c r="A5" s="68"/>
      <c r="B5" s="14"/>
      <c r="C5" s="14"/>
      <c r="D5" s="14"/>
      <c r="E5" s="14"/>
      <c r="F5" s="14"/>
      <c r="G5" s="14"/>
      <c r="H5" s="14"/>
      <c r="I5" s="14"/>
      <c r="J5" s="14"/>
      <c r="K5" s="151"/>
    </row>
    <row r="6" spans="1:12">
      <c r="A6" s="68"/>
      <c r="B6" s="152" t="s">
        <v>85</v>
      </c>
      <c r="C6" s="153"/>
      <c r="D6" s="152" t="s">
        <v>87</v>
      </c>
      <c r="E6" s="154"/>
      <c r="F6" s="154"/>
      <c r="G6" s="154"/>
      <c r="H6" s="154" t="s">
        <v>88</v>
      </c>
      <c r="I6" s="154"/>
      <c r="J6" s="154"/>
      <c r="K6" s="151"/>
      <c r="L6" s="1"/>
    </row>
    <row r="7" spans="1:12">
      <c r="A7" s="68"/>
      <c r="B7" s="152" t="s">
        <v>86</v>
      </c>
      <c r="C7" s="153"/>
      <c r="D7" s="153"/>
      <c r="E7" s="153"/>
      <c r="F7" s="153"/>
      <c r="G7" s="153"/>
      <c r="H7" s="153" t="s">
        <v>89</v>
      </c>
      <c r="I7" s="153" t="s">
        <v>90</v>
      </c>
      <c r="J7" s="153"/>
      <c r="K7" s="151"/>
    </row>
    <row r="8" spans="1:12">
      <c r="A8" s="68"/>
      <c r="B8" s="14"/>
      <c r="C8" s="14"/>
      <c r="D8" s="14"/>
      <c r="E8" s="14"/>
      <c r="F8" s="14"/>
      <c r="G8" s="14"/>
      <c r="H8" s="14"/>
      <c r="I8" s="14"/>
      <c r="J8" s="14"/>
      <c r="K8" s="151"/>
    </row>
    <row r="9" spans="1:12">
      <c r="A9" s="68"/>
      <c r="B9" s="152" t="s">
        <v>91</v>
      </c>
      <c r="C9" s="14"/>
      <c r="D9" s="14"/>
      <c r="E9" s="14"/>
      <c r="F9" s="14"/>
      <c r="G9" s="14"/>
      <c r="H9" s="14"/>
      <c r="I9" s="14"/>
      <c r="J9" s="14"/>
      <c r="K9" s="151"/>
    </row>
    <row r="10" spans="1:12">
      <c r="A10" s="68"/>
      <c r="B10" s="155" t="s">
        <v>92</v>
      </c>
      <c r="C10" s="14"/>
      <c r="D10" s="14"/>
      <c r="E10" s="14"/>
      <c r="F10" s="14"/>
      <c r="G10" s="14"/>
      <c r="H10" s="14"/>
      <c r="I10" s="153"/>
      <c r="J10" s="14"/>
      <c r="K10" s="151"/>
    </row>
    <row r="11" spans="1:12">
      <c r="A11" s="68"/>
      <c r="B11" s="155" t="s">
        <v>93</v>
      </c>
      <c r="C11" s="14"/>
      <c r="D11" s="14"/>
      <c r="E11" s="14"/>
      <c r="F11" s="14"/>
      <c r="G11" s="14"/>
      <c r="H11" s="14"/>
      <c r="I11" s="156">
        <v>220</v>
      </c>
      <c r="J11" s="157" t="s">
        <v>97</v>
      </c>
      <c r="K11" s="151"/>
    </row>
    <row r="12" spans="1:12">
      <c r="A12" s="68"/>
      <c r="B12" s="14" t="s">
        <v>94</v>
      </c>
      <c r="C12" s="14"/>
      <c r="D12" s="14"/>
      <c r="E12" s="14"/>
      <c r="F12" s="14"/>
      <c r="G12" s="14"/>
      <c r="H12" s="14"/>
      <c r="I12" s="156">
        <v>1</v>
      </c>
      <c r="J12" s="157" t="s">
        <v>98</v>
      </c>
      <c r="K12" s="151"/>
    </row>
    <row r="13" spans="1:12">
      <c r="A13" s="68"/>
      <c r="B13" s="14" t="s">
        <v>118</v>
      </c>
      <c r="C13" s="14"/>
      <c r="D13" s="14"/>
      <c r="E13" s="14"/>
      <c r="F13" s="14"/>
      <c r="G13" s="14"/>
      <c r="H13" s="14"/>
      <c r="I13" s="156">
        <v>2.5</v>
      </c>
      <c r="J13" s="157" t="s">
        <v>173</v>
      </c>
      <c r="K13" s="151"/>
    </row>
    <row r="14" spans="1:12">
      <c r="A14" s="68"/>
      <c r="B14" s="14" t="s">
        <v>119</v>
      </c>
      <c r="C14" s="14"/>
      <c r="D14" s="14"/>
      <c r="E14" s="14"/>
      <c r="F14" s="14"/>
      <c r="G14" s="14"/>
      <c r="H14" s="158"/>
      <c r="I14" s="159">
        <f>I13*1000/I11</f>
        <v>11.363636363636363</v>
      </c>
      <c r="J14" s="157" t="s">
        <v>95</v>
      </c>
      <c r="K14" s="151"/>
    </row>
    <row r="15" spans="1:12">
      <c r="A15" s="68"/>
      <c r="B15" s="14" t="s">
        <v>96</v>
      </c>
      <c r="C15" s="14"/>
      <c r="D15" s="14"/>
      <c r="E15" s="14"/>
      <c r="F15" s="14"/>
      <c r="G15" s="14"/>
      <c r="H15" s="158"/>
      <c r="I15" s="159"/>
      <c r="J15" s="157"/>
      <c r="K15" s="151"/>
    </row>
    <row r="16" spans="1:12" ht="18">
      <c r="A16" s="68"/>
      <c r="B16" s="160" t="s">
        <v>199</v>
      </c>
      <c r="C16" s="14"/>
      <c r="D16" s="14"/>
      <c r="E16" s="14"/>
      <c r="F16" s="14"/>
      <c r="G16" s="14"/>
      <c r="H16" s="158"/>
      <c r="I16" s="159"/>
      <c r="J16" s="157"/>
      <c r="K16" s="151"/>
    </row>
    <row r="17" spans="1:11" ht="18">
      <c r="A17" s="68"/>
      <c r="B17" s="161" t="s">
        <v>99</v>
      </c>
      <c r="C17" s="14" t="s">
        <v>102</v>
      </c>
      <c r="D17" s="14"/>
      <c r="E17" s="14"/>
      <c r="F17" s="14"/>
      <c r="G17" s="14"/>
      <c r="H17" s="158"/>
      <c r="I17" s="159">
        <f>I14</f>
        <v>11.363636363636363</v>
      </c>
      <c r="J17" s="157"/>
      <c r="K17" s="151"/>
    </row>
    <row r="18" spans="1:11" ht="15">
      <c r="A18" s="68"/>
      <c r="B18" s="156" t="s">
        <v>100</v>
      </c>
      <c r="C18" s="14" t="s">
        <v>120</v>
      </c>
      <c r="D18" s="14"/>
      <c r="E18" s="14"/>
      <c r="F18" s="14"/>
      <c r="G18" s="14" t="s">
        <v>103</v>
      </c>
      <c r="H18" s="158"/>
      <c r="I18" s="159">
        <v>0.9</v>
      </c>
      <c r="J18" s="157"/>
      <c r="K18" s="151"/>
    </row>
    <row r="19" spans="1:11">
      <c r="A19" s="68"/>
      <c r="B19" s="156" t="s">
        <v>101</v>
      </c>
      <c r="C19" s="14" t="s">
        <v>121</v>
      </c>
      <c r="D19" s="14"/>
      <c r="E19" s="14"/>
      <c r="F19" s="14"/>
      <c r="G19" s="14"/>
      <c r="H19" s="158"/>
      <c r="I19" s="159">
        <v>1.1000000000000001</v>
      </c>
      <c r="J19" s="157"/>
      <c r="K19" s="151"/>
    </row>
    <row r="20" spans="1:11" ht="18" customHeight="1" thickBot="1">
      <c r="A20" s="68"/>
      <c r="B20" s="162" t="s">
        <v>174</v>
      </c>
      <c r="C20" s="14"/>
      <c r="D20" s="14"/>
      <c r="E20" s="14"/>
      <c r="F20" s="14"/>
      <c r="G20" s="14"/>
      <c r="H20" s="163"/>
      <c r="I20" s="164">
        <f>I17*I19/I18</f>
        <v>13.888888888888889</v>
      </c>
      <c r="J20" s="157" t="s">
        <v>95</v>
      </c>
      <c r="K20" s="151"/>
    </row>
    <row r="21" spans="1:11" ht="13.8" thickBot="1">
      <c r="A21" s="68"/>
      <c r="B21" s="14" t="s">
        <v>104</v>
      </c>
      <c r="C21" s="156"/>
      <c r="D21" s="14"/>
      <c r="E21" s="14"/>
      <c r="F21" s="14"/>
      <c r="G21" s="14"/>
      <c r="H21" s="165"/>
      <c r="I21" s="166">
        <v>20</v>
      </c>
      <c r="J21" s="167" t="s">
        <v>95</v>
      </c>
      <c r="K21" s="151"/>
    </row>
    <row r="22" spans="1:11">
      <c r="A22" s="68"/>
      <c r="B22" s="152" t="s">
        <v>105</v>
      </c>
      <c r="C22" s="156"/>
      <c r="D22" s="14"/>
      <c r="E22" s="152" t="s">
        <v>126</v>
      </c>
      <c r="F22" s="14"/>
      <c r="G22" s="14"/>
      <c r="H22" s="14"/>
      <c r="I22" s="14"/>
      <c r="J22" s="157"/>
      <c r="K22" s="151"/>
    </row>
    <row r="23" spans="1:11" ht="18">
      <c r="A23" s="68"/>
      <c r="B23" s="14"/>
      <c r="C23" s="14" t="s">
        <v>122</v>
      </c>
      <c r="D23" s="14"/>
      <c r="E23" s="14"/>
      <c r="F23" s="14"/>
      <c r="G23" s="14"/>
      <c r="H23" s="168"/>
      <c r="I23" s="168">
        <v>3</v>
      </c>
      <c r="J23" s="169" t="s">
        <v>84</v>
      </c>
      <c r="K23" s="151"/>
    </row>
    <row r="24" spans="1:11">
      <c r="A24" s="68"/>
      <c r="B24" s="14"/>
      <c r="C24" s="14" t="s">
        <v>123</v>
      </c>
      <c r="D24" s="14"/>
      <c r="E24" s="14"/>
      <c r="F24" s="14"/>
      <c r="G24" s="14"/>
      <c r="H24" s="14"/>
      <c r="I24" s="163"/>
      <c r="J24" s="14"/>
      <c r="K24" s="151"/>
    </row>
    <row r="25" spans="1:11" ht="24.75" customHeight="1">
      <c r="A25" s="68"/>
      <c r="B25" s="14"/>
      <c r="C25" s="170" t="s">
        <v>176</v>
      </c>
      <c r="D25" s="170"/>
      <c r="E25" s="170"/>
      <c r="F25" s="170"/>
      <c r="G25" s="170"/>
      <c r="H25" s="14"/>
      <c r="I25" s="156">
        <v>21</v>
      </c>
      <c r="J25" s="157" t="s">
        <v>95</v>
      </c>
      <c r="K25" s="151"/>
    </row>
    <row r="26" spans="1:11">
      <c r="A26" s="68"/>
      <c r="B26" s="14"/>
      <c r="C26" s="14" t="s">
        <v>124</v>
      </c>
      <c r="D26" s="14"/>
      <c r="E26" s="14"/>
      <c r="F26" s="14"/>
      <c r="G26" s="14"/>
      <c r="H26" s="14"/>
      <c r="I26" s="156"/>
      <c r="J26" s="14"/>
      <c r="K26" s="151"/>
    </row>
    <row r="27" spans="1:11">
      <c r="A27" s="68"/>
      <c r="B27" s="14"/>
      <c r="C27" s="14" t="s">
        <v>161</v>
      </c>
      <c r="D27" s="14"/>
      <c r="E27" s="14"/>
      <c r="F27" s="14"/>
      <c r="G27" s="14"/>
      <c r="H27" s="14"/>
      <c r="I27" s="156">
        <v>0.85</v>
      </c>
      <c r="J27" s="14"/>
      <c r="K27" s="151"/>
    </row>
    <row r="28" spans="1:11">
      <c r="A28" s="68"/>
      <c r="B28" s="14"/>
      <c r="C28" s="14" t="s">
        <v>162</v>
      </c>
      <c r="D28" s="14"/>
      <c r="E28" s="14"/>
      <c r="F28" s="14"/>
      <c r="G28" s="14"/>
      <c r="H28" s="14"/>
      <c r="I28" s="156">
        <v>0.8</v>
      </c>
      <c r="J28" s="14"/>
      <c r="K28" s="151"/>
    </row>
    <row r="29" spans="1:11" ht="13.8" thickBot="1">
      <c r="A29" s="68"/>
      <c r="B29" s="14"/>
      <c r="C29" s="14" t="s">
        <v>125</v>
      </c>
      <c r="D29" s="14"/>
      <c r="E29" s="14"/>
      <c r="F29" s="14"/>
      <c r="G29" s="14"/>
      <c r="H29" s="14"/>
      <c r="I29" s="156">
        <f>I25*I27*I28</f>
        <v>14.28</v>
      </c>
      <c r="J29" s="157" t="s">
        <v>95</v>
      </c>
      <c r="K29" s="151"/>
    </row>
    <row r="30" spans="1:11" ht="16.2" thickBot="1">
      <c r="A30" s="68"/>
      <c r="B30" s="14"/>
      <c r="C30" s="14" t="s">
        <v>106</v>
      </c>
      <c r="D30" s="14"/>
      <c r="E30" s="156" t="s">
        <v>200</v>
      </c>
      <c r="F30" s="14"/>
      <c r="G30" s="14"/>
      <c r="H30" s="14"/>
      <c r="I30" s="171">
        <f>I20/I29</f>
        <v>0.97261126672891385</v>
      </c>
      <c r="J30" s="157"/>
      <c r="K30" s="151"/>
    </row>
    <row r="31" spans="1:11" ht="13.8" thickBot="1">
      <c r="A31" s="68"/>
      <c r="B31" s="172" t="s">
        <v>201</v>
      </c>
      <c r="C31" s="14" t="s">
        <v>106</v>
      </c>
      <c r="D31" s="14"/>
      <c r="E31" s="156" t="s">
        <v>113</v>
      </c>
      <c r="F31" s="14"/>
      <c r="G31" s="14"/>
      <c r="H31" s="14"/>
      <c r="I31" s="171">
        <v>1</v>
      </c>
      <c r="J31" s="14"/>
      <c r="K31" s="151"/>
    </row>
    <row r="32" spans="1:11" ht="18.600000000000001" thickBot="1">
      <c r="A32" s="68"/>
      <c r="B32" s="14"/>
      <c r="C32" s="14" t="s">
        <v>107</v>
      </c>
      <c r="D32" s="14"/>
      <c r="E32" s="14"/>
      <c r="F32" s="173" t="s">
        <v>196</v>
      </c>
      <c r="G32" s="174"/>
      <c r="H32" s="175" t="s">
        <v>84</v>
      </c>
      <c r="I32" s="156"/>
      <c r="J32" s="14"/>
      <c r="K32" s="151"/>
    </row>
    <row r="33" spans="1:11">
      <c r="A33" s="68"/>
      <c r="B33" s="14"/>
      <c r="C33" s="14" t="s">
        <v>131</v>
      </c>
      <c r="D33" s="14"/>
      <c r="E33" s="172"/>
      <c r="F33" s="157" t="s">
        <v>117</v>
      </c>
      <c r="G33" s="14"/>
      <c r="H33" s="14"/>
      <c r="I33" s="156">
        <v>0.02</v>
      </c>
      <c r="J33" s="14"/>
      <c r="K33" s="151"/>
    </row>
    <row r="34" spans="1:11">
      <c r="A34" s="68"/>
      <c r="B34" s="152" t="s">
        <v>108</v>
      </c>
      <c r="C34" s="14"/>
      <c r="D34" s="14"/>
      <c r="E34" s="14"/>
      <c r="F34" s="14"/>
      <c r="G34" s="14"/>
      <c r="H34" s="14"/>
      <c r="I34" s="156"/>
      <c r="J34" s="14"/>
      <c r="K34" s="151"/>
    </row>
    <row r="35" spans="1:11" ht="19.8">
      <c r="A35" s="68"/>
      <c r="B35" s="14"/>
      <c r="C35" s="176" t="s">
        <v>133</v>
      </c>
      <c r="D35" s="14"/>
      <c r="E35" s="14"/>
      <c r="F35" s="156"/>
      <c r="G35" s="14"/>
      <c r="H35" s="156" t="s">
        <v>115</v>
      </c>
      <c r="I35" s="156">
        <v>7.03</v>
      </c>
      <c r="J35" s="14"/>
      <c r="K35" s="151"/>
    </row>
    <row r="36" spans="1:11" ht="20.399999999999999" thickBot="1">
      <c r="A36" s="68"/>
      <c r="B36" s="14"/>
      <c r="C36" s="177" t="s">
        <v>128</v>
      </c>
      <c r="D36" s="177"/>
      <c r="E36" s="178" t="s">
        <v>197</v>
      </c>
      <c r="F36" s="176" t="s">
        <v>112</v>
      </c>
      <c r="G36" s="14"/>
      <c r="H36" s="14"/>
      <c r="I36" s="156"/>
      <c r="J36" s="14"/>
      <c r="K36" s="151"/>
    </row>
    <row r="37" spans="1:11" ht="13.8" thickBot="1">
      <c r="A37" s="68"/>
      <c r="B37" s="14"/>
      <c r="C37" s="14"/>
      <c r="D37" s="172" t="s">
        <v>115</v>
      </c>
      <c r="E37" s="14"/>
      <c r="F37" s="14"/>
      <c r="G37" s="14"/>
      <c r="H37" s="14"/>
      <c r="I37" s="179">
        <f>2*I14*I33*I35/I31</f>
        <v>3.1954545454545453</v>
      </c>
      <c r="J37" s="157" t="s">
        <v>97</v>
      </c>
      <c r="K37" s="151"/>
    </row>
    <row r="38" spans="1:11" ht="19.8" thickBot="1">
      <c r="A38" s="68"/>
      <c r="B38" s="14"/>
      <c r="C38" s="177" t="s">
        <v>116</v>
      </c>
      <c r="D38" s="177"/>
      <c r="E38" s="180"/>
      <c r="F38" s="14"/>
      <c r="G38" s="14"/>
      <c r="H38" s="14"/>
      <c r="I38" s="181">
        <f>I37/I11%</f>
        <v>1.4524793388429751</v>
      </c>
      <c r="J38" s="14"/>
      <c r="K38" s="151"/>
    </row>
    <row r="39" spans="1:11">
      <c r="A39" s="68"/>
      <c r="B39" s="152" t="s">
        <v>105</v>
      </c>
      <c r="C39" s="156"/>
      <c r="D39" s="14"/>
      <c r="E39" s="152" t="s">
        <v>127</v>
      </c>
      <c r="F39" s="14"/>
      <c r="G39" s="14"/>
      <c r="H39" s="14"/>
      <c r="I39" s="156"/>
      <c r="J39" s="14"/>
      <c r="K39" s="151"/>
    </row>
    <row r="40" spans="1:11" ht="19.8">
      <c r="A40" s="68"/>
      <c r="B40" s="14"/>
      <c r="C40" s="177" t="s">
        <v>109</v>
      </c>
      <c r="D40" s="177"/>
      <c r="E40" s="178" t="s">
        <v>197</v>
      </c>
      <c r="F40" s="176" t="s">
        <v>110</v>
      </c>
      <c r="G40" s="14"/>
      <c r="H40" s="14"/>
      <c r="I40" s="156"/>
      <c r="J40" s="14"/>
      <c r="K40" s="151"/>
    </row>
    <row r="41" spans="1:11">
      <c r="A41" s="68"/>
      <c r="B41" s="14"/>
      <c r="C41" s="14"/>
      <c r="D41" s="14" t="s">
        <v>175</v>
      </c>
      <c r="E41" s="14"/>
      <c r="F41" s="14"/>
      <c r="G41" s="14"/>
      <c r="H41" s="14"/>
      <c r="I41" s="156">
        <f>0.03*I11</f>
        <v>6.6</v>
      </c>
      <c r="J41" s="157" t="s">
        <v>97</v>
      </c>
      <c r="K41" s="151"/>
    </row>
    <row r="42" spans="1:11" ht="19.8">
      <c r="A42" s="68"/>
      <c r="B42" s="14"/>
      <c r="C42" s="14"/>
      <c r="D42" s="176" t="s">
        <v>132</v>
      </c>
      <c r="E42" s="14"/>
      <c r="F42" s="14"/>
      <c r="G42" s="111" t="s">
        <v>198</v>
      </c>
      <c r="H42" s="14"/>
      <c r="I42" s="156"/>
      <c r="J42" s="14"/>
      <c r="K42" s="151"/>
    </row>
    <row r="43" spans="1:11">
      <c r="A43" s="68"/>
      <c r="B43" s="14"/>
      <c r="C43" s="14"/>
      <c r="D43" s="14"/>
      <c r="E43" s="14"/>
      <c r="F43" s="156" t="s">
        <v>115</v>
      </c>
      <c r="G43" s="182"/>
      <c r="H43" s="14"/>
      <c r="I43" s="183">
        <f>I41/(2*I14*I33)</f>
        <v>14.52</v>
      </c>
      <c r="J43" s="14"/>
      <c r="K43" s="151"/>
    </row>
    <row r="44" spans="1:11">
      <c r="A44" s="68"/>
      <c r="B44" s="14"/>
      <c r="C44" s="14" t="s">
        <v>161</v>
      </c>
      <c r="D44" s="14"/>
      <c r="E44" s="14"/>
      <c r="F44" s="156" t="s">
        <v>115</v>
      </c>
      <c r="G44" s="14"/>
      <c r="H44" s="14"/>
      <c r="I44" s="156">
        <v>0.85</v>
      </c>
      <c r="J44" s="14"/>
      <c r="K44" s="151"/>
    </row>
    <row r="45" spans="1:11">
      <c r="A45" s="68"/>
      <c r="B45" s="14"/>
      <c r="C45" s="14" t="s">
        <v>162</v>
      </c>
      <c r="D45" s="14"/>
      <c r="E45" s="14"/>
      <c r="F45" s="156" t="s">
        <v>115</v>
      </c>
      <c r="G45" s="14"/>
      <c r="H45" s="14"/>
      <c r="I45" s="156">
        <v>0.8</v>
      </c>
      <c r="J45" s="14"/>
      <c r="K45" s="151"/>
    </row>
    <row r="46" spans="1:11" ht="20.399999999999999" thickBot="1">
      <c r="A46" s="68"/>
      <c r="B46" s="14"/>
      <c r="C46" s="14"/>
      <c r="D46" s="176" t="s">
        <v>134</v>
      </c>
      <c r="E46" s="14"/>
      <c r="F46" s="156"/>
      <c r="G46" s="176"/>
      <c r="H46" s="156" t="s">
        <v>115</v>
      </c>
      <c r="I46" s="183">
        <f>I43*I44*I45</f>
        <v>9.8735999999999997</v>
      </c>
      <c r="J46" s="14"/>
      <c r="K46" s="151"/>
    </row>
    <row r="47" spans="1:11" ht="13.8" thickBot="1">
      <c r="A47" s="68"/>
      <c r="B47" s="14"/>
      <c r="C47" s="14" t="s">
        <v>130</v>
      </c>
      <c r="D47" s="14"/>
      <c r="E47" s="14"/>
      <c r="F47" s="156" t="s">
        <v>115</v>
      </c>
      <c r="G47" s="104"/>
      <c r="H47" s="184"/>
      <c r="I47" s="171">
        <f>I35/I46</f>
        <v>0.71199967590341928</v>
      </c>
      <c r="J47" s="14"/>
      <c r="K47" s="151"/>
    </row>
    <row r="48" spans="1:11" ht="13.8" thickBot="1">
      <c r="A48" s="72"/>
      <c r="B48" s="65"/>
      <c r="C48" s="65"/>
      <c r="D48" s="65"/>
      <c r="E48" s="65"/>
      <c r="F48" s="65"/>
      <c r="G48" s="65"/>
      <c r="H48" s="65"/>
      <c r="I48" s="185"/>
      <c r="J48" s="65"/>
      <c r="K48" s="186"/>
    </row>
    <row r="49" spans="1:11" ht="13.8" thickTop="1">
      <c r="A49" s="67"/>
      <c r="B49" s="12"/>
      <c r="C49" s="12"/>
      <c r="D49" s="12"/>
      <c r="E49" s="12"/>
      <c r="F49" s="12"/>
      <c r="G49" s="12"/>
      <c r="H49" s="12"/>
      <c r="I49" s="12"/>
      <c r="J49" s="12"/>
      <c r="K49" s="149"/>
    </row>
    <row r="50" spans="1:11">
      <c r="A50" s="68"/>
      <c r="B50" s="150">
        <f>B2</f>
        <v>0</v>
      </c>
      <c r="C50" s="150"/>
      <c r="D50" s="150"/>
      <c r="E50" s="150"/>
      <c r="F50" s="150"/>
      <c r="G50" s="150"/>
      <c r="H50" s="150"/>
      <c r="I50" s="150"/>
      <c r="J50" s="150"/>
      <c r="K50" s="151"/>
    </row>
    <row r="51" spans="1:11">
      <c r="A51" s="68"/>
      <c r="B51" s="14"/>
      <c r="C51" s="152"/>
      <c r="D51" s="152"/>
      <c r="E51" s="152"/>
      <c r="F51" s="14"/>
      <c r="G51" s="14"/>
      <c r="H51" s="14"/>
      <c r="I51" s="14"/>
      <c r="J51" s="14"/>
      <c r="K51" s="151"/>
    </row>
    <row r="52" spans="1:11">
      <c r="A52" s="68"/>
      <c r="B52" s="14"/>
      <c r="C52" s="152" t="s">
        <v>82</v>
      </c>
      <c r="D52" s="152"/>
      <c r="E52" s="152"/>
      <c r="F52" s="14"/>
      <c r="G52" s="14"/>
      <c r="H52" s="14"/>
      <c r="I52" s="14"/>
      <c r="J52" s="14"/>
      <c r="K52" s="151"/>
    </row>
    <row r="53" spans="1:11">
      <c r="A53" s="68"/>
      <c r="B53" s="14"/>
      <c r="C53" s="14"/>
      <c r="D53" s="14"/>
      <c r="E53" s="14"/>
      <c r="F53" s="14"/>
      <c r="G53" s="14"/>
      <c r="H53" s="14"/>
      <c r="I53" s="14"/>
      <c r="J53" s="14"/>
      <c r="K53" s="151"/>
    </row>
    <row r="54" spans="1:11">
      <c r="A54" s="68"/>
      <c r="B54" s="152" t="s">
        <v>85</v>
      </c>
      <c r="C54" s="153"/>
      <c r="D54" s="152" t="s">
        <v>87</v>
      </c>
      <c r="E54" s="154"/>
      <c r="F54" s="154"/>
      <c r="G54" s="154"/>
      <c r="H54" s="154" t="s">
        <v>88</v>
      </c>
      <c r="I54" s="154"/>
      <c r="J54" s="154"/>
      <c r="K54" s="151"/>
    </row>
    <row r="55" spans="1:11">
      <c r="A55" s="68"/>
      <c r="B55" s="152" t="s">
        <v>86</v>
      </c>
      <c r="C55" s="153"/>
      <c r="D55" s="153"/>
      <c r="E55" s="153"/>
      <c r="F55" s="153"/>
      <c r="G55" s="153"/>
      <c r="H55" s="153" t="s">
        <v>89</v>
      </c>
      <c r="I55" s="153" t="s">
        <v>90</v>
      </c>
      <c r="J55" s="153"/>
      <c r="K55" s="151"/>
    </row>
    <row r="56" spans="1:11">
      <c r="A56" s="68"/>
      <c r="B56" s="14"/>
      <c r="C56" s="14"/>
      <c r="D56" s="14"/>
      <c r="E56" s="14"/>
      <c r="F56" s="14"/>
      <c r="G56" s="14"/>
      <c r="H56" s="14"/>
      <c r="I56" s="14"/>
      <c r="J56" s="14"/>
      <c r="K56" s="151"/>
    </row>
    <row r="57" spans="1:11">
      <c r="A57" s="68"/>
      <c r="B57" s="152" t="s">
        <v>91</v>
      </c>
      <c r="C57" s="14"/>
      <c r="D57" s="14"/>
      <c r="E57" s="14"/>
      <c r="F57" s="14"/>
      <c r="G57" s="14"/>
      <c r="H57" s="14"/>
      <c r="I57" s="14"/>
      <c r="J57" s="14"/>
      <c r="K57" s="151"/>
    </row>
    <row r="58" spans="1:11">
      <c r="A58" s="68"/>
      <c r="B58" s="155" t="s">
        <v>92</v>
      </c>
      <c r="C58" s="14"/>
      <c r="D58" s="14"/>
      <c r="E58" s="14"/>
      <c r="F58" s="14"/>
      <c r="G58" s="14"/>
      <c r="H58" s="14"/>
      <c r="I58" s="153"/>
      <c r="J58" s="14"/>
      <c r="K58" s="151"/>
    </row>
    <row r="59" spans="1:11">
      <c r="A59" s="68"/>
      <c r="B59" s="155" t="s">
        <v>93</v>
      </c>
      <c r="C59" s="14"/>
      <c r="D59" s="14"/>
      <c r="E59" s="14"/>
      <c r="F59" s="14"/>
      <c r="G59" s="14"/>
      <c r="H59" s="14"/>
      <c r="I59" s="156">
        <v>220</v>
      </c>
      <c r="J59" s="157" t="s">
        <v>97</v>
      </c>
      <c r="K59" s="151"/>
    </row>
    <row r="60" spans="1:11">
      <c r="A60" s="68"/>
      <c r="B60" s="14" t="s">
        <v>94</v>
      </c>
      <c r="C60" s="14"/>
      <c r="D60" s="14"/>
      <c r="E60" s="14"/>
      <c r="F60" s="14"/>
      <c r="G60" s="14"/>
      <c r="H60" s="14"/>
      <c r="I60" s="156">
        <v>1</v>
      </c>
      <c r="J60" s="157" t="s">
        <v>98</v>
      </c>
      <c r="K60" s="151"/>
    </row>
    <row r="61" spans="1:11">
      <c r="A61" s="68"/>
      <c r="B61" s="14" t="s">
        <v>118</v>
      </c>
      <c r="C61" s="14"/>
      <c r="D61" s="14"/>
      <c r="E61" s="14"/>
      <c r="F61" s="14"/>
      <c r="G61" s="14"/>
      <c r="H61" s="14"/>
      <c r="I61" s="156">
        <v>2.5</v>
      </c>
      <c r="J61" s="157" t="s">
        <v>173</v>
      </c>
      <c r="K61" s="151"/>
    </row>
    <row r="62" spans="1:11">
      <c r="A62" s="68"/>
      <c r="B62" s="14" t="s">
        <v>119</v>
      </c>
      <c r="C62" s="14"/>
      <c r="D62" s="14"/>
      <c r="E62" s="14"/>
      <c r="F62" s="14"/>
      <c r="G62" s="14"/>
      <c r="H62" s="158"/>
      <c r="I62" s="159">
        <f>I61*1000/I59</f>
        <v>11.363636363636363</v>
      </c>
      <c r="J62" s="157" t="s">
        <v>95</v>
      </c>
      <c r="K62" s="151"/>
    </row>
    <row r="63" spans="1:11">
      <c r="A63" s="68"/>
      <c r="B63" s="14" t="s">
        <v>96</v>
      </c>
      <c r="C63" s="14"/>
      <c r="D63" s="14"/>
      <c r="E63" s="14"/>
      <c r="F63" s="14"/>
      <c r="G63" s="14"/>
      <c r="H63" s="158"/>
      <c r="I63" s="159"/>
      <c r="J63" s="157"/>
      <c r="K63" s="151"/>
    </row>
    <row r="64" spans="1:11" ht="18">
      <c r="A64" s="68"/>
      <c r="B64" s="162" t="s">
        <v>114</v>
      </c>
      <c r="C64" s="14"/>
      <c r="D64" s="14"/>
      <c r="E64" s="14"/>
      <c r="F64" s="14"/>
      <c r="G64" s="14"/>
      <c r="H64" s="158"/>
      <c r="I64" s="159"/>
      <c r="J64" s="157"/>
      <c r="K64" s="151"/>
    </row>
    <row r="65" spans="1:11" ht="18">
      <c r="A65" s="68"/>
      <c r="B65" s="161" t="s">
        <v>99</v>
      </c>
      <c r="C65" s="14" t="s">
        <v>102</v>
      </c>
      <c r="D65" s="14"/>
      <c r="E65" s="14"/>
      <c r="F65" s="14"/>
      <c r="G65" s="14"/>
      <c r="H65" s="158"/>
      <c r="I65" s="159">
        <f>I62</f>
        <v>11.363636363636363</v>
      </c>
      <c r="J65" s="157"/>
      <c r="K65" s="151"/>
    </row>
    <row r="66" spans="1:11" ht="15">
      <c r="A66" s="68"/>
      <c r="B66" s="156" t="s">
        <v>100</v>
      </c>
      <c r="C66" s="14" t="s">
        <v>120</v>
      </c>
      <c r="D66" s="14"/>
      <c r="E66" s="14"/>
      <c r="F66" s="14"/>
      <c r="G66" s="14" t="s">
        <v>103</v>
      </c>
      <c r="H66" s="158"/>
      <c r="I66" s="159">
        <v>0.9</v>
      </c>
      <c r="J66" s="157"/>
      <c r="K66" s="151"/>
    </row>
    <row r="67" spans="1:11">
      <c r="A67" s="68"/>
      <c r="B67" s="156" t="s">
        <v>101</v>
      </c>
      <c r="C67" s="14" t="s">
        <v>121</v>
      </c>
      <c r="D67" s="14"/>
      <c r="E67" s="14"/>
      <c r="F67" s="14"/>
      <c r="G67" s="14"/>
      <c r="H67" s="158"/>
      <c r="I67" s="159">
        <v>1.1000000000000001</v>
      </c>
      <c r="J67" s="157"/>
      <c r="K67" s="151"/>
    </row>
    <row r="68" spans="1:11" ht="18.600000000000001" thickBot="1">
      <c r="A68" s="68"/>
      <c r="B68" s="162" t="s">
        <v>174</v>
      </c>
      <c r="C68" s="14"/>
      <c r="D68" s="14"/>
      <c r="E68" s="14"/>
      <c r="F68" s="14"/>
      <c r="G68" s="14"/>
      <c r="H68" s="163"/>
      <c r="I68" s="164">
        <f>I65*I67/I66</f>
        <v>13.888888888888889</v>
      </c>
      <c r="J68" s="157" t="s">
        <v>95</v>
      </c>
      <c r="K68" s="151"/>
    </row>
    <row r="69" spans="1:11" ht="13.8" thickBot="1">
      <c r="A69" s="68"/>
      <c r="B69" s="14" t="s">
        <v>104</v>
      </c>
      <c r="C69" s="156"/>
      <c r="D69" s="14"/>
      <c r="E69" s="14"/>
      <c r="F69" s="14"/>
      <c r="G69" s="14"/>
      <c r="H69" s="165"/>
      <c r="I69" s="166">
        <v>20</v>
      </c>
      <c r="J69" s="167" t="s">
        <v>95</v>
      </c>
      <c r="K69" s="151"/>
    </row>
    <row r="70" spans="1:11">
      <c r="A70" s="68"/>
      <c r="B70" s="152" t="s">
        <v>105</v>
      </c>
      <c r="C70" s="156"/>
      <c r="D70" s="14"/>
      <c r="E70" s="152" t="s">
        <v>126</v>
      </c>
      <c r="F70" s="14"/>
      <c r="G70" s="14"/>
      <c r="H70" s="14"/>
      <c r="I70" s="14"/>
      <c r="J70" s="157"/>
      <c r="K70" s="151"/>
    </row>
    <row r="71" spans="1:11" ht="18">
      <c r="A71" s="68"/>
      <c r="B71" s="14"/>
      <c r="C71" s="14" t="s">
        <v>122</v>
      </c>
      <c r="D71" s="14"/>
      <c r="E71" s="14"/>
      <c r="F71" s="14"/>
      <c r="G71" s="14"/>
      <c r="H71" s="168"/>
      <c r="I71" s="168">
        <v>3</v>
      </c>
      <c r="J71" s="169" t="s">
        <v>84</v>
      </c>
      <c r="K71" s="151"/>
    </row>
    <row r="72" spans="1:11">
      <c r="A72" s="68"/>
      <c r="B72" s="14"/>
      <c r="C72" s="14" t="s">
        <v>123</v>
      </c>
      <c r="D72" s="14"/>
      <c r="E72" s="14"/>
      <c r="F72" s="14"/>
      <c r="G72" s="14"/>
      <c r="H72" s="14"/>
      <c r="I72" s="163"/>
      <c r="J72" s="14"/>
      <c r="K72" s="151"/>
    </row>
    <row r="73" spans="1:11" ht="12.75" customHeight="1">
      <c r="A73" s="68"/>
      <c r="B73" s="14"/>
      <c r="C73" s="170" t="s">
        <v>176</v>
      </c>
      <c r="D73" s="170"/>
      <c r="E73" s="170"/>
      <c r="F73" s="170"/>
      <c r="G73" s="170"/>
      <c r="H73" s="14"/>
      <c r="I73" s="156">
        <v>21</v>
      </c>
      <c r="J73" s="157" t="s">
        <v>95</v>
      </c>
      <c r="K73" s="151"/>
    </row>
    <row r="74" spans="1:11">
      <c r="A74" s="68"/>
      <c r="B74" s="14"/>
      <c r="C74" s="14" t="s">
        <v>124</v>
      </c>
      <c r="D74" s="14"/>
      <c r="E74" s="14"/>
      <c r="F74" s="14"/>
      <c r="G74" s="14"/>
      <c r="H74" s="14"/>
      <c r="I74" s="156"/>
      <c r="J74" s="14"/>
      <c r="K74" s="151"/>
    </row>
    <row r="75" spans="1:11">
      <c r="A75" s="68"/>
      <c r="B75" s="14"/>
      <c r="C75" s="14" t="s">
        <v>161</v>
      </c>
      <c r="D75" s="14"/>
      <c r="E75" s="14"/>
      <c r="F75" s="14"/>
      <c r="G75" s="14"/>
      <c r="H75" s="14"/>
      <c r="I75" s="156">
        <v>0.85</v>
      </c>
      <c r="J75" s="14"/>
      <c r="K75" s="151"/>
    </row>
    <row r="76" spans="1:11">
      <c r="A76" s="68"/>
      <c r="B76" s="14"/>
      <c r="C76" s="14" t="s">
        <v>162</v>
      </c>
      <c r="D76" s="14"/>
      <c r="E76" s="14"/>
      <c r="F76" s="14"/>
      <c r="G76" s="14"/>
      <c r="H76" s="14"/>
      <c r="I76" s="156">
        <v>0.8</v>
      </c>
      <c r="J76" s="14"/>
      <c r="K76" s="151"/>
    </row>
    <row r="77" spans="1:11" ht="13.8" thickBot="1">
      <c r="A77" s="68"/>
      <c r="B77" s="14"/>
      <c r="C77" s="14" t="s">
        <v>125</v>
      </c>
      <c r="D77" s="14"/>
      <c r="E77" s="14"/>
      <c r="F77" s="14"/>
      <c r="G77" s="14"/>
      <c r="H77" s="14"/>
      <c r="I77" s="156">
        <f>I73*I75*I76</f>
        <v>14.28</v>
      </c>
      <c r="J77" s="157" t="s">
        <v>95</v>
      </c>
      <c r="K77" s="151"/>
    </row>
    <row r="78" spans="1:11" ht="16.2" thickBot="1">
      <c r="A78" s="68"/>
      <c r="B78" s="14"/>
      <c r="C78" s="14" t="s">
        <v>106</v>
      </c>
      <c r="D78" s="14"/>
      <c r="E78" s="156" t="s">
        <v>200</v>
      </c>
      <c r="F78" s="14"/>
      <c r="G78" s="14"/>
      <c r="H78" s="14"/>
      <c r="I78" s="171">
        <f>I68/I77</f>
        <v>0.97261126672891385</v>
      </c>
      <c r="J78" s="157"/>
      <c r="K78" s="151"/>
    </row>
    <row r="79" spans="1:11" ht="13.8" thickBot="1">
      <c r="A79" s="68"/>
      <c r="B79" s="172" t="s">
        <v>201</v>
      </c>
      <c r="C79" s="14" t="s">
        <v>106</v>
      </c>
      <c r="D79" s="14"/>
      <c r="E79" s="156" t="s">
        <v>113</v>
      </c>
      <c r="F79" s="14"/>
      <c r="G79" s="14"/>
      <c r="H79" s="14"/>
      <c r="I79" s="171">
        <v>1</v>
      </c>
      <c r="J79" s="14"/>
      <c r="K79" s="151"/>
    </row>
    <row r="80" spans="1:11" ht="18.600000000000001" thickBot="1">
      <c r="A80" s="68"/>
      <c r="B80" s="14"/>
      <c r="C80" s="14" t="s">
        <v>107</v>
      </c>
      <c r="D80" s="14"/>
      <c r="E80" s="14"/>
      <c r="F80" s="173" t="s">
        <v>196</v>
      </c>
      <c r="G80" s="174"/>
      <c r="H80" s="175" t="s">
        <v>84</v>
      </c>
      <c r="I80" s="156"/>
      <c r="J80" s="14"/>
      <c r="K80" s="151"/>
    </row>
    <row r="81" spans="1:11">
      <c r="A81" s="68"/>
      <c r="B81" s="14"/>
      <c r="C81" s="14" t="s">
        <v>131</v>
      </c>
      <c r="D81" s="14"/>
      <c r="E81" s="172"/>
      <c r="F81" s="157" t="s">
        <v>117</v>
      </c>
      <c r="G81" s="14"/>
      <c r="H81" s="14"/>
      <c r="I81" s="156">
        <v>0.02</v>
      </c>
      <c r="J81" s="14"/>
      <c r="K81" s="151"/>
    </row>
    <row r="82" spans="1:11">
      <c r="A82" s="68"/>
      <c r="B82" s="152" t="s">
        <v>108</v>
      </c>
      <c r="C82" s="14"/>
      <c r="D82" s="14"/>
      <c r="E82" s="14"/>
      <c r="F82" s="14"/>
      <c r="G82" s="14"/>
      <c r="H82" s="14"/>
      <c r="I82" s="156"/>
      <c r="J82" s="14"/>
      <c r="K82" s="151"/>
    </row>
    <row r="83" spans="1:11" ht="19.8">
      <c r="A83" s="68"/>
      <c r="B83" s="14"/>
      <c r="C83" s="176" t="s">
        <v>133</v>
      </c>
      <c r="D83" s="14"/>
      <c r="E83" s="14"/>
      <c r="F83" s="156"/>
      <c r="G83" s="14"/>
      <c r="H83" s="156" t="s">
        <v>115</v>
      </c>
      <c r="I83" s="156">
        <v>7.03</v>
      </c>
      <c r="J83" s="14"/>
      <c r="K83" s="151"/>
    </row>
    <row r="84" spans="1:11" ht="20.399999999999999" thickBot="1">
      <c r="A84" s="68"/>
      <c r="B84" s="14"/>
      <c r="C84" s="177" t="s">
        <v>128</v>
      </c>
      <c r="D84" s="177"/>
      <c r="E84" s="178" t="s">
        <v>197</v>
      </c>
      <c r="F84" s="176" t="s">
        <v>112</v>
      </c>
      <c r="G84" s="14"/>
      <c r="H84" s="14"/>
      <c r="I84" s="156"/>
      <c r="J84" s="14"/>
      <c r="K84" s="151"/>
    </row>
    <row r="85" spans="1:11" ht="13.8" thickBot="1">
      <c r="A85" s="68"/>
      <c r="B85" s="14"/>
      <c r="C85" s="14"/>
      <c r="D85" s="172" t="s">
        <v>115</v>
      </c>
      <c r="E85" s="14"/>
      <c r="F85" s="14"/>
      <c r="G85" s="14"/>
      <c r="H85" s="14"/>
      <c r="I85" s="179">
        <f>2*I62*I81*I83/I79</f>
        <v>3.1954545454545453</v>
      </c>
      <c r="J85" s="157" t="s">
        <v>97</v>
      </c>
      <c r="K85" s="151"/>
    </row>
    <row r="86" spans="1:11" ht="19.8" thickBot="1">
      <c r="A86" s="68"/>
      <c r="B86" s="14"/>
      <c r="C86" s="177" t="s">
        <v>116</v>
      </c>
      <c r="D86" s="177"/>
      <c r="E86" s="180"/>
      <c r="F86" s="14"/>
      <c r="G86" s="14"/>
      <c r="H86" s="14"/>
      <c r="I86" s="181">
        <f>I85/I59%</f>
        <v>1.4524793388429751</v>
      </c>
      <c r="J86" s="14"/>
      <c r="K86" s="151"/>
    </row>
    <row r="87" spans="1:11">
      <c r="A87" s="68"/>
      <c r="B87" s="152" t="s">
        <v>105</v>
      </c>
      <c r="C87" s="156"/>
      <c r="D87" s="14"/>
      <c r="E87" s="152" t="s">
        <v>127</v>
      </c>
      <c r="F87" s="14"/>
      <c r="G87" s="14"/>
      <c r="H87" s="14"/>
      <c r="I87" s="156"/>
      <c r="J87" s="14"/>
      <c r="K87" s="151"/>
    </row>
    <row r="88" spans="1:11" ht="19.8">
      <c r="A88" s="68"/>
      <c r="B88" s="14"/>
      <c r="C88" s="177" t="s">
        <v>109</v>
      </c>
      <c r="D88" s="177"/>
      <c r="E88" s="178" t="s">
        <v>197</v>
      </c>
      <c r="F88" s="176" t="s">
        <v>110</v>
      </c>
      <c r="G88" s="14"/>
      <c r="H88" s="14"/>
      <c r="I88" s="156"/>
      <c r="J88" s="14"/>
      <c r="K88" s="151"/>
    </row>
    <row r="89" spans="1:11">
      <c r="A89" s="68"/>
      <c r="B89" s="14"/>
      <c r="C89" s="14"/>
      <c r="D89" s="14" t="s">
        <v>175</v>
      </c>
      <c r="E89" s="14"/>
      <c r="F89" s="14"/>
      <c r="G89" s="14"/>
      <c r="H89" s="14"/>
      <c r="I89" s="156">
        <f>0.03*I59</f>
        <v>6.6</v>
      </c>
      <c r="J89" s="157" t="s">
        <v>97</v>
      </c>
      <c r="K89" s="151"/>
    </row>
    <row r="90" spans="1:11" ht="19.8">
      <c r="A90" s="68"/>
      <c r="B90" s="14"/>
      <c r="C90" s="14"/>
      <c r="D90" s="176" t="s">
        <v>132</v>
      </c>
      <c r="E90" s="14"/>
      <c r="F90" s="14"/>
      <c r="G90" s="111" t="s">
        <v>198</v>
      </c>
      <c r="H90" s="14"/>
      <c r="I90" s="156"/>
      <c r="J90" s="14"/>
      <c r="K90" s="151"/>
    </row>
    <row r="91" spans="1:11" ht="15.75" customHeight="1">
      <c r="A91" s="68"/>
      <c r="B91" s="14"/>
      <c r="C91" s="14"/>
      <c r="D91" s="14"/>
      <c r="E91" s="14"/>
      <c r="F91" s="156" t="s">
        <v>115</v>
      </c>
      <c r="G91" s="182"/>
      <c r="H91" s="14"/>
      <c r="I91" s="183">
        <f>I89/(2*I62*I81)</f>
        <v>14.52</v>
      </c>
      <c r="J91" s="14"/>
      <c r="K91" s="151"/>
    </row>
    <row r="92" spans="1:11">
      <c r="A92" s="68"/>
      <c r="B92" s="14"/>
      <c r="C92" s="14" t="s">
        <v>161</v>
      </c>
      <c r="D92" s="14"/>
      <c r="E92" s="14"/>
      <c r="F92" s="156" t="s">
        <v>115</v>
      </c>
      <c r="G92" s="14"/>
      <c r="H92" s="14"/>
      <c r="I92" s="156">
        <v>0.85</v>
      </c>
      <c r="J92" s="14"/>
      <c r="K92" s="151"/>
    </row>
    <row r="93" spans="1:11">
      <c r="A93" s="68"/>
      <c r="B93" s="14"/>
      <c r="C93" s="14" t="s">
        <v>162</v>
      </c>
      <c r="D93" s="14"/>
      <c r="E93" s="14"/>
      <c r="F93" s="156" t="s">
        <v>115</v>
      </c>
      <c r="G93" s="14"/>
      <c r="H93" s="14"/>
      <c r="I93" s="156">
        <v>0.8</v>
      </c>
      <c r="J93" s="14"/>
      <c r="K93" s="151"/>
    </row>
    <row r="94" spans="1:11" ht="20.399999999999999" thickBot="1">
      <c r="A94" s="68"/>
      <c r="B94" s="14"/>
      <c r="C94" s="14"/>
      <c r="D94" s="176" t="s">
        <v>134</v>
      </c>
      <c r="E94" s="14"/>
      <c r="F94" s="156"/>
      <c r="G94" s="176"/>
      <c r="H94" s="156" t="s">
        <v>115</v>
      </c>
      <c r="I94" s="183">
        <f>I91*I92*I93</f>
        <v>9.8735999999999997</v>
      </c>
      <c r="J94" s="14"/>
      <c r="K94" s="151"/>
    </row>
    <row r="95" spans="1:11" ht="13.8" thickBot="1">
      <c r="A95" s="68"/>
      <c r="B95" s="14"/>
      <c r="C95" s="14" t="s">
        <v>130</v>
      </c>
      <c r="D95" s="14"/>
      <c r="E95" s="14"/>
      <c r="F95" s="156" t="s">
        <v>115</v>
      </c>
      <c r="G95" s="104"/>
      <c r="H95" s="184"/>
      <c r="I95" s="171">
        <f>I83/I94</f>
        <v>0.71199967590341928</v>
      </c>
      <c r="J95" s="14"/>
      <c r="K95" s="151"/>
    </row>
    <row r="96" spans="1:11" ht="13.8" thickBot="1">
      <c r="A96" s="72"/>
      <c r="B96" s="65"/>
      <c r="C96" s="65"/>
      <c r="D96" s="65"/>
      <c r="E96" s="65"/>
      <c r="F96" s="65"/>
      <c r="G96" s="65"/>
      <c r="H96" s="65"/>
      <c r="I96" s="185"/>
      <c r="J96" s="65"/>
      <c r="K96" s="186"/>
    </row>
    <row r="97" spans="1:11" ht="13.8" thickTop="1">
      <c r="A97" s="67"/>
      <c r="B97" s="12"/>
      <c r="C97" s="12"/>
      <c r="D97" s="12"/>
      <c r="E97" s="12"/>
      <c r="F97" s="12"/>
      <c r="G97" s="12"/>
      <c r="H97" s="12"/>
      <c r="I97" s="12"/>
      <c r="J97" s="12"/>
      <c r="K97" s="149"/>
    </row>
    <row r="98" spans="1:11">
      <c r="A98" s="68"/>
      <c r="B98" s="150">
        <f>B50</f>
        <v>0</v>
      </c>
      <c r="C98" s="150"/>
      <c r="D98" s="150"/>
      <c r="E98" s="150"/>
      <c r="F98" s="150"/>
      <c r="G98" s="150"/>
      <c r="H98" s="150"/>
      <c r="I98" s="150"/>
      <c r="J98" s="150"/>
      <c r="K98" s="151"/>
    </row>
    <row r="99" spans="1:11">
      <c r="A99" s="68"/>
      <c r="B99" s="14"/>
      <c r="C99" s="152"/>
      <c r="D99" s="152"/>
      <c r="E99" s="152"/>
      <c r="F99" s="14"/>
      <c r="G99" s="14"/>
      <c r="H99" s="14"/>
      <c r="I99" s="14"/>
      <c r="J99" s="14"/>
      <c r="K99" s="151"/>
    </row>
    <row r="100" spans="1:11">
      <c r="A100" s="68"/>
      <c r="B100" s="14"/>
      <c r="C100" s="152" t="s">
        <v>82</v>
      </c>
      <c r="D100" s="152"/>
      <c r="E100" s="152"/>
      <c r="F100" s="14"/>
      <c r="G100" s="14"/>
      <c r="H100" s="14"/>
      <c r="I100" s="14"/>
      <c r="J100" s="14"/>
      <c r="K100" s="151"/>
    </row>
    <row r="101" spans="1:11">
      <c r="A101" s="68"/>
      <c r="B101" s="14"/>
      <c r="C101" s="14"/>
      <c r="D101" s="14"/>
      <c r="E101" s="14"/>
      <c r="F101" s="14"/>
      <c r="G101" s="14"/>
      <c r="H101" s="14"/>
      <c r="I101" s="14"/>
      <c r="J101" s="14"/>
      <c r="K101" s="151"/>
    </row>
    <row r="102" spans="1:11">
      <c r="A102" s="68"/>
      <c r="B102" s="152" t="s">
        <v>85</v>
      </c>
      <c r="C102" s="153"/>
      <c r="D102" s="152" t="s">
        <v>87</v>
      </c>
      <c r="E102" s="154"/>
      <c r="F102" s="154"/>
      <c r="G102" s="154"/>
      <c r="H102" s="154" t="s">
        <v>88</v>
      </c>
      <c r="I102" s="154"/>
      <c r="J102" s="154"/>
      <c r="K102" s="151"/>
    </row>
    <row r="103" spans="1:11">
      <c r="A103" s="68"/>
      <c r="B103" s="152" t="s">
        <v>86</v>
      </c>
      <c r="C103" s="153"/>
      <c r="D103" s="153"/>
      <c r="E103" s="153"/>
      <c r="F103" s="153"/>
      <c r="G103" s="153"/>
      <c r="H103" s="153" t="s">
        <v>89</v>
      </c>
      <c r="I103" s="153" t="s">
        <v>90</v>
      </c>
      <c r="J103" s="153"/>
      <c r="K103" s="151"/>
    </row>
    <row r="104" spans="1:11">
      <c r="A104" s="68"/>
      <c r="B104" s="14"/>
      <c r="C104" s="14"/>
      <c r="D104" s="14"/>
      <c r="E104" s="14"/>
      <c r="F104" s="14"/>
      <c r="G104" s="14"/>
      <c r="H104" s="14"/>
      <c r="I104" s="14"/>
      <c r="J104" s="14"/>
      <c r="K104" s="151"/>
    </row>
    <row r="105" spans="1:11">
      <c r="A105" s="68"/>
      <c r="B105" s="152" t="s">
        <v>91</v>
      </c>
      <c r="C105" s="14"/>
      <c r="D105" s="14"/>
      <c r="E105" s="14"/>
      <c r="F105" s="14"/>
      <c r="G105" s="14"/>
      <c r="H105" s="14"/>
      <c r="I105" s="14"/>
      <c r="J105" s="14"/>
      <c r="K105" s="151"/>
    </row>
    <row r="106" spans="1:11">
      <c r="A106" s="68"/>
      <c r="B106" s="155" t="s">
        <v>92</v>
      </c>
      <c r="C106" s="14"/>
      <c r="D106" s="14"/>
      <c r="E106" s="14"/>
      <c r="F106" s="14"/>
      <c r="G106" s="14"/>
      <c r="H106" s="14"/>
      <c r="I106" s="153"/>
      <c r="J106" s="14"/>
      <c r="K106" s="151"/>
    </row>
    <row r="107" spans="1:11">
      <c r="A107" s="68"/>
      <c r="B107" s="155" t="s">
        <v>93</v>
      </c>
      <c r="C107" s="14"/>
      <c r="D107" s="14"/>
      <c r="E107" s="14"/>
      <c r="F107" s="14"/>
      <c r="G107" s="14"/>
      <c r="H107" s="14"/>
      <c r="I107" s="156">
        <v>220</v>
      </c>
      <c r="J107" s="157" t="s">
        <v>97</v>
      </c>
      <c r="K107" s="151"/>
    </row>
    <row r="108" spans="1:11">
      <c r="A108" s="68"/>
      <c r="B108" s="14" t="s">
        <v>94</v>
      </c>
      <c r="C108" s="14"/>
      <c r="D108" s="14"/>
      <c r="E108" s="14"/>
      <c r="F108" s="14"/>
      <c r="G108" s="14"/>
      <c r="H108" s="14"/>
      <c r="I108" s="156">
        <v>1</v>
      </c>
      <c r="J108" s="157" t="s">
        <v>98</v>
      </c>
      <c r="K108" s="151"/>
    </row>
    <row r="109" spans="1:11">
      <c r="A109" s="68"/>
      <c r="B109" s="14" t="s">
        <v>118</v>
      </c>
      <c r="C109" s="14"/>
      <c r="D109" s="14"/>
      <c r="E109" s="14"/>
      <c r="F109" s="14"/>
      <c r="G109" s="14"/>
      <c r="H109" s="14"/>
      <c r="I109" s="156">
        <v>2.5</v>
      </c>
      <c r="J109" s="157" t="s">
        <v>173</v>
      </c>
      <c r="K109" s="151"/>
    </row>
    <row r="110" spans="1:11">
      <c r="A110" s="68"/>
      <c r="B110" s="14" t="s">
        <v>119</v>
      </c>
      <c r="C110" s="14"/>
      <c r="D110" s="14"/>
      <c r="E110" s="14"/>
      <c r="F110" s="14"/>
      <c r="G110" s="14"/>
      <c r="H110" s="158"/>
      <c r="I110" s="159">
        <f>I109*1000/I107</f>
        <v>11.363636363636363</v>
      </c>
      <c r="J110" s="157" t="s">
        <v>95</v>
      </c>
      <c r="K110" s="151"/>
    </row>
    <row r="111" spans="1:11">
      <c r="A111" s="68"/>
      <c r="B111" s="14" t="s">
        <v>96</v>
      </c>
      <c r="C111" s="14"/>
      <c r="D111" s="14"/>
      <c r="E111" s="14"/>
      <c r="F111" s="14"/>
      <c r="G111" s="14"/>
      <c r="H111" s="158"/>
      <c r="I111" s="159"/>
      <c r="J111" s="157"/>
      <c r="K111" s="151"/>
    </row>
    <row r="112" spans="1:11" ht="18">
      <c r="A112" s="68"/>
      <c r="B112" s="162" t="s">
        <v>114</v>
      </c>
      <c r="C112" s="14"/>
      <c r="D112" s="14"/>
      <c r="E112" s="14"/>
      <c r="F112" s="14"/>
      <c r="G112" s="14"/>
      <c r="H112" s="158"/>
      <c r="I112" s="159"/>
      <c r="J112" s="157"/>
      <c r="K112" s="151"/>
    </row>
    <row r="113" spans="1:11" ht="18">
      <c r="A113" s="68"/>
      <c r="B113" s="161" t="s">
        <v>99</v>
      </c>
      <c r="C113" s="14" t="s">
        <v>102</v>
      </c>
      <c r="D113" s="14"/>
      <c r="E113" s="14"/>
      <c r="F113" s="14"/>
      <c r="G113" s="14"/>
      <c r="H113" s="158"/>
      <c r="I113" s="159">
        <f>I110</f>
        <v>11.363636363636363</v>
      </c>
      <c r="J113" s="157"/>
      <c r="K113" s="151"/>
    </row>
    <row r="114" spans="1:11" ht="15">
      <c r="A114" s="68"/>
      <c r="B114" s="156" t="s">
        <v>100</v>
      </c>
      <c r="C114" s="14" t="s">
        <v>120</v>
      </c>
      <c r="D114" s="14"/>
      <c r="E114" s="14"/>
      <c r="F114" s="14"/>
      <c r="G114" s="14" t="s">
        <v>103</v>
      </c>
      <c r="H114" s="158"/>
      <c r="I114" s="159">
        <v>0.9</v>
      </c>
      <c r="J114" s="157"/>
      <c r="K114" s="151"/>
    </row>
    <row r="115" spans="1:11">
      <c r="A115" s="68"/>
      <c r="B115" s="156" t="s">
        <v>101</v>
      </c>
      <c r="C115" s="14" t="s">
        <v>121</v>
      </c>
      <c r="D115" s="14"/>
      <c r="E115" s="14"/>
      <c r="F115" s="14"/>
      <c r="G115" s="14"/>
      <c r="H115" s="158"/>
      <c r="I115" s="159">
        <v>1.1000000000000001</v>
      </c>
      <c r="J115" s="157"/>
      <c r="K115" s="151"/>
    </row>
    <row r="116" spans="1:11" ht="18.600000000000001" thickBot="1">
      <c r="A116" s="68"/>
      <c r="B116" s="162" t="s">
        <v>174</v>
      </c>
      <c r="C116" s="14"/>
      <c r="D116" s="14"/>
      <c r="E116" s="14"/>
      <c r="F116" s="14"/>
      <c r="G116" s="14"/>
      <c r="H116" s="163"/>
      <c r="I116" s="164">
        <f>I113*I115/I114</f>
        <v>13.888888888888889</v>
      </c>
      <c r="J116" s="157" t="s">
        <v>95</v>
      </c>
      <c r="K116" s="151"/>
    </row>
    <row r="117" spans="1:11" ht="13.8" thickBot="1">
      <c r="A117" s="68"/>
      <c r="B117" s="14" t="s">
        <v>104</v>
      </c>
      <c r="C117" s="156"/>
      <c r="D117" s="14"/>
      <c r="E117" s="14"/>
      <c r="F117" s="14"/>
      <c r="G117" s="14"/>
      <c r="H117" s="165"/>
      <c r="I117" s="166">
        <v>20</v>
      </c>
      <c r="J117" s="167" t="s">
        <v>95</v>
      </c>
      <c r="K117" s="151"/>
    </row>
    <row r="118" spans="1:11">
      <c r="A118" s="68"/>
      <c r="B118" s="152" t="s">
        <v>105</v>
      </c>
      <c r="C118" s="156"/>
      <c r="D118" s="14"/>
      <c r="E118" s="152" t="s">
        <v>126</v>
      </c>
      <c r="F118" s="14"/>
      <c r="G118" s="14"/>
      <c r="H118" s="14"/>
      <c r="I118" s="14"/>
      <c r="J118" s="157"/>
      <c r="K118" s="151"/>
    </row>
    <row r="119" spans="1:11" ht="18">
      <c r="A119" s="68"/>
      <c r="B119" s="14"/>
      <c r="C119" s="14" t="s">
        <v>122</v>
      </c>
      <c r="D119" s="14"/>
      <c r="E119" s="14"/>
      <c r="F119" s="14"/>
      <c r="G119" s="14"/>
      <c r="H119" s="168"/>
      <c r="I119" s="168">
        <v>3</v>
      </c>
      <c r="J119" s="169" t="s">
        <v>84</v>
      </c>
      <c r="K119" s="151"/>
    </row>
    <row r="120" spans="1:11">
      <c r="A120" s="68"/>
      <c r="B120" s="14"/>
      <c r="C120" s="14" t="s">
        <v>123</v>
      </c>
      <c r="D120" s="14"/>
      <c r="E120" s="14"/>
      <c r="F120" s="14"/>
      <c r="G120" s="14"/>
      <c r="H120" s="14"/>
      <c r="I120" s="163"/>
      <c r="J120" s="14"/>
      <c r="K120" s="151"/>
    </row>
    <row r="121" spans="1:11" ht="12.75" customHeight="1">
      <c r="A121" s="68"/>
      <c r="B121" s="14"/>
      <c r="C121" s="170" t="s">
        <v>176</v>
      </c>
      <c r="D121" s="170"/>
      <c r="E121" s="170"/>
      <c r="F121" s="170"/>
      <c r="G121" s="170"/>
      <c r="H121" s="14"/>
      <c r="I121" s="156">
        <v>21</v>
      </c>
      <c r="J121" s="157" t="s">
        <v>95</v>
      </c>
      <c r="K121" s="151"/>
    </row>
    <row r="122" spans="1:11">
      <c r="A122" s="68"/>
      <c r="B122" s="14"/>
      <c r="C122" s="14" t="s">
        <v>124</v>
      </c>
      <c r="D122" s="14"/>
      <c r="E122" s="14"/>
      <c r="F122" s="14"/>
      <c r="G122" s="14"/>
      <c r="H122" s="14"/>
      <c r="I122" s="156"/>
      <c r="J122" s="14"/>
      <c r="K122" s="151"/>
    </row>
    <row r="123" spans="1:11">
      <c r="A123" s="68"/>
      <c r="B123" s="14"/>
      <c r="C123" s="14" t="s">
        <v>161</v>
      </c>
      <c r="D123" s="14"/>
      <c r="E123" s="14"/>
      <c r="F123" s="14"/>
      <c r="G123" s="14"/>
      <c r="H123" s="14"/>
      <c r="I123" s="156">
        <v>0.85</v>
      </c>
      <c r="J123" s="14"/>
      <c r="K123" s="151"/>
    </row>
    <row r="124" spans="1:11">
      <c r="A124" s="68"/>
      <c r="B124" s="14"/>
      <c r="C124" s="14" t="s">
        <v>162</v>
      </c>
      <c r="D124" s="14"/>
      <c r="E124" s="14"/>
      <c r="F124" s="14"/>
      <c r="G124" s="14"/>
      <c r="H124" s="14"/>
      <c r="I124" s="156">
        <v>0.8</v>
      </c>
      <c r="J124" s="14"/>
      <c r="K124" s="151"/>
    </row>
    <row r="125" spans="1:11" ht="13.8" thickBot="1">
      <c r="A125" s="68"/>
      <c r="B125" s="14"/>
      <c r="C125" s="14" t="s">
        <v>125</v>
      </c>
      <c r="D125" s="14"/>
      <c r="E125" s="14"/>
      <c r="F125" s="14"/>
      <c r="G125" s="14"/>
      <c r="H125" s="14"/>
      <c r="I125" s="156">
        <f>I121*I123*I124</f>
        <v>14.28</v>
      </c>
      <c r="J125" s="157" t="s">
        <v>95</v>
      </c>
      <c r="K125" s="151"/>
    </row>
    <row r="126" spans="1:11" ht="16.2" thickBot="1">
      <c r="A126" s="68"/>
      <c r="B126" s="14"/>
      <c r="C126" s="14" t="s">
        <v>106</v>
      </c>
      <c r="D126" s="14"/>
      <c r="E126" s="156" t="s">
        <v>200</v>
      </c>
      <c r="F126" s="14"/>
      <c r="G126" s="14"/>
      <c r="H126" s="14"/>
      <c r="I126" s="171">
        <f>I116/I125</f>
        <v>0.97261126672891385</v>
      </c>
      <c r="J126" s="157"/>
      <c r="K126" s="151"/>
    </row>
    <row r="127" spans="1:11" ht="13.8" thickBot="1">
      <c r="A127" s="68"/>
      <c r="B127" s="172" t="s">
        <v>201</v>
      </c>
      <c r="C127" s="14" t="s">
        <v>106</v>
      </c>
      <c r="D127" s="14"/>
      <c r="E127" s="156" t="s">
        <v>113</v>
      </c>
      <c r="F127" s="14"/>
      <c r="G127" s="14"/>
      <c r="H127" s="14"/>
      <c r="I127" s="171">
        <v>1</v>
      </c>
      <c r="J127" s="14"/>
      <c r="K127" s="151"/>
    </row>
    <row r="128" spans="1:11" ht="18.600000000000001" thickBot="1">
      <c r="A128" s="68"/>
      <c r="B128" s="14"/>
      <c r="C128" s="14" t="s">
        <v>107</v>
      </c>
      <c r="D128" s="14"/>
      <c r="E128" s="14"/>
      <c r="F128" s="173" t="s">
        <v>196</v>
      </c>
      <c r="G128" s="174"/>
      <c r="H128" s="175" t="s">
        <v>84</v>
      </c>
      <c r="I128" s="156"/>
      <c r="J128" s="14"/>
      <c r="K128" s="151"/>
    </row>
    <row r="129" spans="1:11">
      <c r="A129" s="68"/>
      <c r="B129" s="14"/>
      <c r="C129" s="14" t="s">
        <v>131</v>
      </c>
      <c r="D129" s="14"/>
      <c r="E129" s="172"/>
      <c r="F129" s="157" t="s">
        <v>117</v>
      </c>
      <c r="G129" s="14"/>
      <c r="H129" s="14"/>
      <c r="I129" s="156">
        <v>0.02</v>
      </c>
      <c r="J129" s="14"/>
      <c r="K129" s="151"/>
    </row>
    <row r="130" spans="1:11">
      <c r="A130" s="68"/>
      <c r="B130" s="152" t="s">
        <v>108</v>
      </c>
      <c r="C130" s="14"/>
      <c r="D130" s="14"/>
      <c r="E130" s="14"/>
      <c r="F130" s="14"/>
      <c r="G130" s="14"/>
      <c r="H130" s="14"/>
      <c r="I130" s="156"/>
      <c r="J130" s="14"/>
      <c r="K130" s="151"/>
    </row>
    <row r="131" spans="1:11" ht="19.8">
      <c r="A131" s="68"/>
      <c r="B131" s="14"/>
      <c r="C131" s="176" t="s">
        <v>133</v>
      </c>
      <c r="D131" s="14"/>
      <c r="E131" s="14"/>
      <c r="F131" s="156"/>
      <c r="G131" s="14"/>
      <c r="H131" s="156" t="s">
        <v>115</v>
      </c>
      <c r="I131" s="156">
        <v>7.03</v>
      </c>
      <c r="J131" s="14"/>
      <c r="K131" s="151"/>
    </row>
    <row r="132" spans="1:11" ht="20.399999999999999" thickBot="1">
      <c r="A132" s="68"/>
      <c r="B132" s="14"/>
      <c r="C132" s="177" t="s">
        <v>128</v>
      </c>
      <c r="D132" s="177"/>
      <c r="E132" s="178" t="s">
        <v>197</v>
      </c>
      <c r="F132" s="176" t="s">
        <v>112</v>
      </c>
      <c r="G132" s="14"/>
      <c r="H132" s="14"/>
      <c r="I132" s="156"/>
      <c r="J132" s="14"/>
      <c r="K132" s="151"/>
    </row>
    <row r="133" spans="1:11" ht="13.8" thickBot="1">
      <c r="A133" s="68"/>
      <c r="B133" s="14"/>
      <c r="C133" s="14"/>
      <c r="D133" s="172" t="s">
        <v>115</v>
      </c>
      <c r="E133" s="14"/>
      <c r="F133" s="14"/>
      <c r="G133" s="14"/>
      <c r="H133" s="14"/>
      <c r="I133" s="179">
        <f>2*I110*I129*I131/I127</f>
        <v>3.1954545454545453</v>
      </c>
      <c r="J133" s="157" t="s">
        <v>97</v>
      </c>
      <c r="K133" s="151"/>
    </row>
    <row r="134" spans="1:11" ht="19.8" thickBot="1">
      <c r="A134" s="68"/>
      <c r="B134" s="14"/>
      <c r="C134" s="177" t="s">
        <v>116</v>
      </c>
      <c r="D134" s="177"/>
      <c r="E134" s="180"/>
      <c r="F134" s="14"/>
      <c r="G134" s="14"/>
      <c r="H134" s="14"/>
      <c r="I134" s="181">
        <f>I133/I107%</f>
        <v>1.4524793388429751</v>
      </c>
      <c r="J134" s="14"/>
      <c r="K134" s="151"/>
    </row>
    <row r="135" spans="1:11">
      <c r="A135" s="68"/>
      <c r="B135" s="152" t="s">
        <v>105</v>
      </c>
      <c r="C135" s="156"/>
      <c r="D135" s="14"/>
      <c r="E135" s="152" t="s">
        <v>127</v>
      </c>
      <c r="F135" s="14"/>
      <c r="G135" s="14"/>
      <c r="H135" s="14"/>
      <c r="I135" s="156"/>
      <c r="J135" s="14"/>
      <c r="K135" s="151"/>
    </row>
    <row r="136" spans="1:11" ht="19.8">
      <c r="A136" s="68"/>
      <c r="B136" s="14"/>
      <c r="C136" s="177" t="s">
        <v>109</v>
      </c>
      <c r="D136" s="177"/>
      <c r="E136" s="178" t="s">
        <v>197</v>
      </c>
      <c r="F136" s="176" t="s">
        <v>110</v>
      </c>
      <c r="G136" s="14"/>
      <c r="H136" s="14"/>
      <c r="I136" s="156"/>
      <c r="J136" s="14"/>
      <c r="K136" s="151"/>
    </row>
    <row r="137" spans="1:11">
      <c r="A137" s="68"/>
      <c r="B137" s="14"/>
      <c r="C137" s="14"/>
      <c r="D137" s="14" t="s">
        <v>175</v>
      </c>
      <c r="E137" s="14"/>
      <c r="F137" s="14"/>
      <c r="G137" s="14"/>
      <c r="H137" s="14"/>
      <c r="I137" s="156">
        <f>0.03*I107</f>
        <v>6.6</v>
      </c>
      <c r="J137" s="157" t="s">
        <v>97</v>
      </c>
      <c r="K137" s="151"/>
    </row>
    <row r="138" spans="1:11" ht="19.8">
      <c r="A138" s="68"/>
      <c r="B138" s="14"/>
      <c r="C138" s="14"/>
      <c r="D138" s="176" t="s">
        <v>132</v>
      </c>
      <c r="E138" s="14"/>
      <c r="F138" s="14"/>
      <c r="G138" s="111" t="s">
        <v>198</v>
      </c>
      <c r="H138" s="14"/>
      <c r="I138" s="156"/>
      <c r="J138" s="14"/>
      <c r="K138" s="151"/>
    </row>
    <row r="139" spans="1:11" ht="19.5" customHeight="1">
      <c r="A139" s="68"/>
      <c r="B139" s="14"/>
      <c r="C139" s="14"/>
      <c r="D139" s="14"/>
      <c r="E139" s="14"/>
      <c r="F139" s="156" t="s">
        <v>115</v>
      </c>
      <c r="G139" s="182"/>
      <c r="H139" s="14"/>
      <c r="I139" s="183">
        <f>I137/(2*I110*I129)</f>
        <v>14.52</v>
      </c>
      <c r="J139" s="14"/>
      <c r="K139" s="151"/>
    </row>
    <row r="140" spans="1:11">
      <c r="A140" s="68"/>
      <c r="B140" s="14"/>
      <c r="C140" s="14" t="s">
        <v>161</v>
      </c>
      <c r="D140" s="14"/>
      <c r="E140" s="14"/>
      <c r="F140" s="156" t="s">
        <v>115</v>
      </c>
      <c r="G140" s="14"/>
      <c r="H140" s="14"/>
      <c r="I140" s="156">
        <v>0.85</v>
      </c>
      <c r="J140" s="14"/>
      <c r="K140" s="151"/>
    </row>
    <row r="141" spans="1:11">
      <c r="A141" s="68"/>
      <c r="B141" s="14"/>
      <c r="C141" s="14" t="s">
        <v>162</v>
      </c>
      <c r="D141" s="14"/>
      <c r="E141" s="14"/>
      <c r="F141" s="156" t="s">
        <v>115</v>
      </c>
      <c r="G141" s="14"/>
      <c r="H141" s="14"/>
      <c r="I141" s="156">
        <v>0.8</v>
      </c>
      <c r="J141" s="14"/>
      <c r="K141" s="151"/>
    </row>
    <row r="142" spans="1:11" ht="20.399999999999999" thickBot="1">
      <c r="A142" s="68"/>
      <c r="B142" s="14"/>
      <c r="C142" s="14"/>
      <c r="D142" s="176" t="s">
        <v>134</v>
      </c>
      <c r="E142" s="14"/>
      <c r="F142" s="156"/>
      <c r="G142" s="176"/>
      <c r="H142" s="156" t="s">
        <v>115</v>
      </c>
      <c r="I142" s="183">
        <f>I139*I140*I141</f>
        <v>9.8735999999999997</v>
      </c>
      <c r="J142" s="14"/>
      <c r="K142" s="151"/>
    </row>
    <row r="143" spans="1:11" ht="13.8" thickBot="1">
      <c r="A143" s="68"/>
      <c r="B143" s="14"/>
      <c r="C143" s="14" t="s">
        <v>130</v>
      </c>
      <c r="D143" s="14"/>
      <c r="E143" s="14"/>
      <c r="F143" s="156" t="s">
        <v>115</v>
      </c>
      <c r="G143" s="104"/>
      <c r="H143" s="184"/>
      <c r="I143" s="171">
        <f>I131/I142</f>
        <v>0.71199967590341928</v>
      </c>
      <c r="J143" s="14"/>
      <c r="K143" s="151"/>
    </row>
    <row r="144" spans="1:11" ht="13.8" thickBot="1">
      <c r="A144" s="72"/>
      <c r="B144" s="65"/>
      <c r="C144" s="65"/>
      <c r="D144" s="65"/>
      <c r="E144" s="65"/>
      <c r="F144" s="65"/>
      <c r="G144" s="65"/>
      <c r="H144" s="65"/>
      <c r="I144" s="185"/>
      <c r="J144" s="65"/>
      <c r="K144" s="186"/>
    </row>
    <row r="145" ht="13.8" thickTop="1"/>
  </sheetData>
  <mergeCells count="21">
    <mergeCell ref="B50:J50"/>
    <mergeCell ref="C73:G73"/>
    <mergeCell ref="F80:G80"/>
    <mergeCell ref="C84:D84"/>
    <mergeCell ref="F128:G128"/>
    <mergeCell ref="C132:D132"/>
    <mergeCell ref="C134:D134"/>
    <mergeCell ref="C86:D86"/>
    <mergeCell ref="C88:D88"/>
    <mergeCell ref="G95:H95"/>
    <mergeCell ref="B98:J98"/>
    <mergeCell ref="B2:J2"/>
    <mergeCell ref="C25:G25"/>
    <mergeCell ref="F32:G32"/>
    <mergeCell ref="C36:D36"/>
    <mergeCell ref="C136:D136"/>
    <mergeCell ref="G143:H143"/>
    <mergeCell ref="C38:D38"/>
    <mergeCell ref="C40:D40"/>
    <mergeCell ref="G47:H47"/>
    <mergeCell ref="C121:G121"/>
  </mergeCells>
  <phoneticPr fontId="26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8F8B-408F-4E48-8BAA-17E06556231B}">
  <dimension ref="A1:N149"/>
  <sheetViews>
    <sheetView workbookViewId="0">
      <selection activeCell="N19" sqref="N19"/>
    </sheetView>
  </sheetViews>
  <sheetFormatPr defaultColWidth="9.109375" defaultRowHeight="13.2"/>
  <cols>
    <col min="1" max="1" width="3.109375" customWidth="1"/>
    <col min="7" max="7" width="7.44140625" customWidth="1"/>
    <col min="8" max="8" width="9.5546875" bestFit="1" customWidth="1"/>
    <col min="9" max="9" width="10.6640625" customWidth="1"/>
    <col min="10" max="10" width="9.33203125" customWidth="1"/>
    <col min="11" max="11" width="2.44140625" customWidth="1"/>
  </cols>
  <sheetData>
    <row r="1" spans="1:14" ht="13.8" thickTop="1">
      <c r="A1" s="67"/>
      <c r="B1" s="12"/>
      <c r="C1" s="12"/>
      <c r="D1" s="12"/>
      <c r="E1" s="12"/>
      <c r="F1" s="12"/>
      <c r="G1" s="12"/>
      <c r="H1" s="12"/>
      <c r="I1" s="12"/>
      <c r="J1" s="12"/>
      <c r="K1" s="149"/>
    </row>
    <row r="2" spans="1:14">
      <c r="A2" s="68"/>
      <c r="B2" s="150">
        <f>'D.B. detail'!H2</f>
        <v>0</v>
      </c>
      <c r="C2" s="150"/>
      <c r="D2" s="150"/>
      <c r="E2" s="150"/>
      <c r="F2" s="150"/>
      <c r="G2" s="150"/>
      <c r="H2" s="150"/>
      <c r="I2" s="150"/>
      <c r="J2" s="150"/>
      <c r="K2" s="151"/>
    </row>
    <row r="3" spans="1:14">
      <c r="A3" s="68"/>
      <c r="B3" s="14"/>
      <c r="C3" s="152"/>
      <c r="D3" s="152"/>
      <c r="E3" s="152"/>
      <c r="F3" s="14"/>
      <c r="G3" s="14"/>
      <c r="H3" s="14"/>
      <c r="I3" s="14"/>
      <c r="J3" s="14"/>
      <c r="K3" s="151"/>
    </row>
    <row r="4" spans="1:14">
      <c r="A4" s="68"/>
      <c r="B4" s="14"/>
      <c r="C4" s="152" t="s">
        <v>82</v>
      </c>
      <c r="D4" s="152"/>
      <c r="E4" s="152"/>
      <c r="F4" s="14"/>
      <c r="G4" s="14"/>
      <c r="H4" s="14"/>
      <c r="I4" s="14"/>
      <c r="J4" s="14"/>
      <c r="K4" s="151"/>
    </row>
    <row r="5" spans="1:14">
      <c r="A5" s="68"/>
      <c r="B5" s="14"/>
      <c r="C5" s="14"/>
      <c r="D5" s="14"/>
      <c r="E5" s="14"/>
      <c r="F5" s="14"/>
      <c r="G5" s="14"/>
      <c r="H5" s="14"/>
      <c r="I5" s="14"/>
      <c r="J5" s="14"/>
      <c r="K5" s="151"/>
    </row>
    <row r="6" spans="1:14">
      <c r="A6" s="68"/>
      <c r="B6" s="152" t="s">
        <v>85</v>
      </c>
      <c r="C6" s="153"/>
      <c r="D6" s="152" t="s">
        <v>87</v>
      </c>
      <c r="E6" s="154"/>
      <c r="F6" s="154"/>
      <c r="G6" s="154"/>
      <c r="H6" s="154" t="s">
        <v>88</v>
      </c>
      <c r="I6" s="154"/>
      <c r="J6" s="154"/>
      <c r="K6" s="151"/>
      <c r="L6" s="1"/>
    </row>
    <row r="7" spans="1:14">
      <c r="A7" s="68"/>
      <c r="B7" s="152" t="s">
        <v>86</v>
      </c>
      <c r="C7" s="153"/>
      <c r="D7" s="153"/>
      <c r="E7" s="153"/>
      <c r="F7" s="153"/>
      <c r="G7" s="153"/>
      <c r="H7" s="153" t="s">
        <v>89</v>
      </c>
      <c r="I7" s="153" t="s">
        <v>90</v>
      </c>
      <c r="J7" s="153"/>
      <c r="K7" s="151"/>
    </row>
    <row r="8" spans="1:14">
      <c r="A8" s="68"/>
      <c r="B8" s="14"/>
      <c r="C8" s="14"/>
      <c r="D8" s="14"/>
      <c r="E8" s="14"/>
      <c r="F8" s="14"/>
      <c r="G8" s="14"/>
      <c r="H8" s="14"/>
      <c r="I8" s="14"/>
      <c r="J8" s="14"/>
      <c r="K8" s="151"/>
    </row>
    <row r="9" spans="1:14">
      <c r="A9" s="68"/>
      <c r="B9" s="152" t="s">
        <v>91</v>
      </c>
      <c r="C9" s="14"/>
      <c r="D9" s="14"/>
      <c r="E9" s="14"/>
      <c r="F9" s="14"/>
      <c r="G9" s="14"/>
      <c r="H9" s="14"/>
      <c r="I9" s="14"/>
      <c r="J9" s="14"/>
      <c r="K9" s="151"/>
    </row>
    <row r="10" spans="1:14">
      <c r="A10" s="68"/>
      <c r="B10" s="155" t="s">
        <v>92</v>
      </c>
      <c r="C10" s="14"/>
      <c r="D10" s="14"/>
      <c r="E10" s="14"/>
      <c r="F10" s="14"/>
      <c r="G10" s="14"/>
      <c r="H10" s="14"/>
      <c r="I10" s="153" t="s">
        <v>177</v>
      </c>
      <c r="J10" s="14"/>
      <c r="K10" s="151"/>
    </row>
    <row r="11" spans="1:14">
      <c r="A11" s="68"/>
      <c r="B11" s="155" t="s">
        <v>93</v>
      </c>
      <c r="C11" s="14"/>
      <c r="D11" s="14"/>
      <c r="E11" s="14"/>
      <c r="F11" s="14"/>
      <c r="G11" s="14"/>
      <c r="H11" s="14"/>
      <c r="I11" s="5">
        <v>380</v>
      </c>
      <c r="J11" s="157" t="s">
        <v>97</v>
      </c>
      <c r="K11" s="151"/>
    </row>
    <row r="12" spans="1:14">
      <c r="A12" s="68"/>
      <c r="B12" s="14" t="s">
        <v>94</v>
      </c>
      <c r="C12" s="14"/>
      <c r="D12" s="14"/>
      <c r="E12" s="14"/>
      <c r="F12" s="14"/>
      <c r="G12" s="14"/>
      <c r="H12" s="14"/>
      <c r="I12" s="5">
        <v>3</v>
      </c>
      <c r="J12" s="157" t="s">
        <v>98</v>
      </c>
      <c r="K12" s="151"/>
      <c r="M12" s="2" t="s">
        <v>211</v>
      </c>
      <c r="N12" s="2" t="s">
        <v>173</v>
      </c>
    </row>
    <row r="13" spans="1:14">
      <c r="A13" s="68"/>
      <c r="B13" s="14" t="s">
        <v>118</v>
      </c>
      <c r="C13" s="14"/>
      <c r="D13" s="14"/>
      <c r="E13" s="14"/>
      <c r="F13" s="14"/>
      <c r="G13" s="14"/>
      <c r="H13" s="14"/>
      <c r="I13" s="5">
        <v>630</v>
      </c>
      <c r="J13" s="157" t="s">
        <v>173</v>
      </c>
      <c r="K13" s="151"/>
      <c r="M13" s="2">
        <v>80</v>
      </c>
      <c r="N13" s="2">
        <f>M13/0.8</f>
        <v>100</v>
      </c>
    </row>
    <row r="14" spans="1:14">
      <c r="A14" s="68"/>
      <c r="B14" s="14" t="s">
        <v>119</v>
      </c>
      <c r="C14" s="14"/>
      <c r="D14" s="14"/>
      <c r="E14" s="14"/>
      <c r="F14" s="14"/>
      <c r="G14" s="14"/>
      <c r="H14" s="158"/>
      <c r="I14" s="159">
        <f>I13*1000/(1.732051*I11)</f>
        <v>957.18586626034983</v>
      </c>
      <c r="J14" s="157" t="s">
        <v>95</v>
      </c>
      <c r="K14" s="151"/>
    </row>
    <row r="15" spans="1:14">
      <c r="A15" s="68"/>
      <c r="B15" s="14" t="s">
        <v>96</v>
      </c>
      <c r="C15" s="14"/>
      <c r="D15" s="14"/>
      <c r="E15" s="14"/>
      <c r="F15" s="14"/>
      <c r="G15" s="14"/>
      <c r="H15" s="158"/>
      <c r="I15" s="159"/>
      <c r="J15" s="157"/>
      <c r="K15" s="151"/>
    </row>
    <row r="16" spans="1:14" ht="18">
      <c r="A16" s="68"/>
      <c r="B16" s="160" t="s">
        <v>199</v>
      </c>
      <c r="C16" s="14"/>
      <c r="D16" s="14"/>
      <c r="E16" s="14"/>
      <c r="F16" s="14"/>
      <c r="G16" s="14"/>
      <c r="H16" s="158"/>
      <c r="I16" s="159"/>
      <c r="J16" s="157"/>
      <c r="K16" s="151"/>
    </row>
    <row r="17" spans="1:11" ht="18">
      <c r="A17" s="68"/>
      <c r="B17" s="161" t="s">
        <v>99</v>
      </c>
      <c r="C17" s="14" t="s">
        <v>102</v>
      </c>
      <c r="D17" s="14"/>
      <c r="E17" s="14"/>
      <c r="F17" s="14"/>
      <c r="G17" s="14"/>
      <c r="H17" s="158"/>
      <c r="I17" s="159">
        <f>I14</f>
        <v>957.18586626034983</v>
      </c>
      <c r="J17" s="157"/>
      <c r="K17" s="151"/>
    </row>
    <row r="18" spans="1:11" ht="15">
      <c r="A18" s="68"/>
      <c r="B18" s="156" t="s">
        <v>100</v>
      </c>
      <c r="C18" s="14" t="s">
        <v>120</v>
      </c>
      <c r="D18" s="14"/>
      <c r="E18" s="14"/>
      <c r="F18" s="14"/>
      <c r="G18" s="14" t="s">
        <v>103</v>
      </c>
      <c r="H18" s="158"/>
      <c r="I18" s="6">
        <v>0.9</v>
      </c>
      <c r="J18" s="157"/>
      <c r="K18" s="151"/>
    </row>
    <row r="19" spans="1:11">
      <c r="A19" s="68"/>
      <c r="B19" s="156" t="s">
        <v>101</v>
      </c>
      <c r="C19" s="14" t="s">
        <v>121</v>
      </c>
      <c r="D19" s="14"/>
      <c r="E19" s="14"/>
      <c r="F19" s="14"/>
      <c r="G19" s="14"/>
      <c r="H19" s="158"/>
      <c r="I19" s="6">
        <v>1.1000000000000001</v>
      </c>
      <c r="J19" s="157"/>
      <c r="K19" s="151"/>
    </row>
    <row r="20" spans="1:11" ht="18" customHeight="1" thickBot="1">
      <c r="A20" s="68"/>
      <c r="B20" s="162" t="s">
        <v>174</v>
      </c>
      <c r="C20" s="14"/>
      <c r="D20" s="14"/>
      <c r="E20" s="14"/>
      <c r="F20" s="14"/>
      <c r="G20" s="14"/>
      <c r="H20" s="163"/>
      <c r="I20" s="164">
        <f>I17*I19/I18</f>
        <v>1169.8938365404276</v>
      </c>
      <c r="J20" s="157" t="s">
        <v>95</v>
      </c>
      <c r="K20" s="151"/>
    </row>
    <row r="21" spans="1:11" ht="13.8" thickBot="1">
      <c r="A21" s="68"/>
      <c r="B21" s="14" t="s">
        <v>104</v>
      </c>
      <c r="C21" s="156"/>
      <c r="D21" s="14"/>
      <c r="E21" s="14"/>
      <c r="F21" s="14"/>
      <c r="G21" s="14"/>
      <c r="H21" s="165"/>
      <c r="I21" s="7">
        <v>1200</v>
      </c>
      <c r="J21" s="167" t="s">
        <v>95</v>
      </c>
      <c r="K21" s="151"/>
    </row>
    <row r="22" spans="1:11">
      <c r="A22" s="68"/>
      <c r="B22" s="152" t="s">
        <v>105</v>
      </c>
      <c r="C22" s="156"/>
      <c r="D22" s="14"/>
      <c r="E22" s="152" t="s">
        <v>126</v>
      </c>
      <c r="F22" s="14"/>
      <c r="G22" s="14"/>
      <c r="H22" s="14"/>
      <c r="I22" s="14"/>
      <c r="J22" s="157"/>
      <c r="K22" s="151"/>
    </row>
    <row r="23" spans="1:11" ht="18">
      <c r="A23" s="68"/>
      <c r="B23" s="14"/>
      <c r="C23" s="14" t="s">
        <v>122</v>
      </c>
      <c r="D23" s="14"/>
      <c r="E23" s="14"/>
      <c r="F23" s="14"/>
      <c r="G23" s="14"/>
      <c r="H23" s="168"/>
      <c r="I23" s="8">
        <v>240</v>
      </c>
      <c r="J23" s="169" t="s">
        <v>84</v>
      </c>
      <c r="K23" s="151"/>
    </row>
    <row r="24" spans="1:11">
      <c r="A24" s="68"/>
      <c r="B24" s="14"/>
      <c r="C24" s="14" t="s">
        <v>123</v>
      </c>
      <c r="D24" s="14"/>
      <c r="E24" s="14"/>
      <c r="F24" s="14"/>
      <c r="G24" s="14"/>
      <c r="H24" s="14"/>
      <c r="I24" s="163"/>
      <c r="J24" s="14"/>
      <c r="K24" s="151"/>
    </row>
    <row r="25" spans="1:11" ht="24.75" customHeight="1">
      <c r="A25" s="68"/>
      <c r="B25" s="14"/>
      <c r="C25" s="170" t="s">
        <v>176</v>
      </c>
      <c r="D25" s="170"/>
      <c r="E25" s="170"/>
      <c r="F25" s="170"/>
      <c r="G25" s="170"/>
      <c r="H25" s="14"/>
      <c r="I25" s="5">
        <v>374</v>
      </c>
      <c r="J25" s="157" t="s">
        <v>95</v>
      </c>
      <c r="K25" s="151"/>
    </row>
    <row r="26" spans="1:11">
      <c r="A26" s="68"/>
      <c r="B26" s="14"/>
      <c r="C26" s="14" t="s">
        <v>124</v>
      </c>
      <c r="D26" s="14"/>
      <c r="E26" s="14"/>
      <c r="F26" s="14"/>
      <c r="G26" s="14"/>
      <c r="H26" s="14"/>
      <c r="I26" s="156"/>
      <c r="J26" s="14"/>
      <c r="K26" s="151"/>
    </row>
    <row r="27" spans="1:11">
      <c r="A27" s="68"/>
      <c r="B27" s="14"/>
      <c r="C27" s="14" t="s">
        <v>161</v>
      </c>
      <c r="D27" s="14"/>
      <c r="E27" s="14"/>
      <c r="F27" s="14"/>
      <c r="G27" s="14"/>
      <c r="H27" s="14"/>
      <c r="I27" s="5">
        <v>0.85</v>
      </c>
      <c r="J27" s="14"/>
      <c r="K27" s="151"/>
    </row>
    <row r="28" spans="1:11">
      <c r="A28" s="68"/>
      <c r="B28" s="14"/>
      <c r="C28" s="14" t="s">
        <v>162</v>
      </c>
      <c r="D28" s="14"/>
      <c r="E28" s="14"/>
      <c r="F28" s="14"/>
      <c r="G28" s="14"/>
      <c r="H28" s="14"/>
      <c r="I28" s="5">
        <v>0.9</v>
      </c>
      <c r="J28" s="14"/>
      <c r="K28" s="151"/>
    </row>
    <row r="29" spans="1:11" ht="13.8" thickBot="1">
      <c r="A29" s="68"/>
      <c r="B29" s="14"/>
      <c r="C29" s="14" t="s">
        <v>125</v>
      </c>
      <c r="D29" s="14"/>
      <c r="E29" s="14"/>
      <c r="F29" s="14"/>
      <c r="G29" s="14"/>
      <c r="H29" s="14"/>
      <c r="I29" s="156">
        <f>I25*I27*I28</f>
        <v>286.11</v>
      </c>
      <c r="J29" s="157" t="s">
        <v>95</v>
      </c>
      <c r="K29" s="151"/>
    </row>
    <row r="30" spans="1:11" ht="16.2" thickBot="1">
      <c r="A30" s="68"/>
      <c r="B30" s="14"/>
      <c r="C30" s="14" t="s">
        <v>106</v>
      </c>
      <c r="D30" s="14"/>
      <c r="E30" s="156" t="s">
        <v>200</v>
      </c>
      <c r="F30" s="14"/>
      <c r="G30" s="14"/>
      <c r="H30" s="14"/>
      <c r="I30" s="171">
        <f>I20/I29</f>
        <v>4.088965211074159</v>
      </c>
      <c r="J30" s="157"/>
      <c r="K30" s="151"/>
    </row>
    <row r="31" spans="1:11" ht="13.8" thickBot="1">
      <c r="A31" s="68"/>
      <c r="B31" s="172" t="s">
        <v>201</v>
      </c>
      <c r="C31" s="14" t="s">
        <v>106</v>
      </c>
      <c r="D31" s="14"/>
      <c r="E31" s="156" t="s">
        <v>113</v>
      </c>
      <c r="F31" s="14"/>
      <c r="G31" s="14"/>
      <c r="H31" s="14"/>
      <c r="I31" s="9">
        <v>4</v>
      </c>
      <c r="J31" s="14"/>
      <c r="K31" s="151"/>
    </row>
    <row r="32" spans="1:11" ht="18.600000000000001" thickBot="1">
      <c r="A32" s="68"/>
      <c r="B32" s="14"/>
      <c r="C32" s="14" t="s">
        <v>107</v>
      </c>
      <c r="D32" s="14"/>
      <c r="E32" s="14"/>
      <c r="F32" s="10" t="s">
        <v>212</v>
      </c>
      <c r="G32" s="11"/>
      <c r="H32" s="175" t="s">
        <v>84</v>
      </c>
      <c r="I32" s="156"/>
      <c r="J32" s="14"/>
      <c r="K32" s="151"/>
    </row>
    <row r="33" spans="1:11">
      <c r="A33" s="68"/>
      <c r="B33" s="14"/>
      <c r="C33" s="14" t="s">
        <v>131</v>
      </c>
      <c r="D33" s="14"/>
      <c r="E33" s="172"/>
      <c r="F33" s="157" t="s">
        <v>117</v>
      </c>
      <c r="G33" s="14"/>
      <c r="H33" s="14"/>
      <c r="I33" s="5">
        <v>0.05</v>
      </c>
      <c r="J33" s="14"/>
      <c r="K33" s="151"/>
    </row>
    <row r="34" spans="1:11">
      <c r="A34" s="68"/>
      <c r="B34" s="152" t="s">
        <v>108</v>
      </c>
      <c r="C34" s="14"/>
      <c r="D34" s="14"/>
      <c r="E34" s="14"/>
      <c r="F34" s="14"/>
      <c r="G34" s="14"/>
      <c r="H34" s="14"/>
      <c r="I34" s="156"/>
      <c r="J34" s="14"/>
      <c r="K34" s="151"/>
    </row>
    <row r="35" spans="1:11" ht="19.8">
      <c r="A35" s="68"/>
      <c r="B35" s="14"/>
      <c r="C35" s="176" t="s">
        <v>133</v>
      </c>
      <c r="D35" s="14"/>
      <c r="E35" s="14"/>
      <c r="F35" s="156"/>
      <c r="G35" s="14"/>
      <c r="H35" s="156" t="s">
        <v>115</v>
      </c>
      <c r="I35" s="5">
        <v>0.121</v>
      </c>
      <c r="J35" s="14"/>
      <c r="K35" s="151"/>
    </row>
    <row r="36" spans="1:11" ht="20.399999999999999" thickBot="1">
      <c r="A36" s="68"/>
      <c r="B36" s="14"/>
      <c r="C36" s="177" t="s">
        <v>128</v>
      </c>
      <c r="D36" s="177"/>
      <c r="E36" s="178" t="s">
        <v>111</v>
      </c>
      <c r="F36" s="176" t="s">
        <v>112</v>
      </c>
      <c r="G36" s="14"/>
      <c r="H36" s="14"/>
      <c r="I36" s="156"/>
      <c r="J36" s="14"/>
      <c r="K36" s="151"/>
    </row>
    <row r="37" spans="1:11" ht="13.8" thickBot="1">
      <c r="A37" s="68"/>
      <c r="B37" s="14"/>
      <c r="C37" s="14"/>
      <c r="D37" s="172" t="s">
        <v>115</v>
      </c>
      <c r="E37" s="14"/>
      <c r="F37" s="14"/>
      <c r="G37" s="14"/>
      <c r="H37" s="14"/>
      <c r="I37" s="179">
        <f>1.7321*I14*I33*I35/I31</f>
        <v>2.5076367289111974</v>
      </c>
      <c r="J37" s="157" t="s">
        <v>97</v>
      </c>
      <c r="K37" s="151"/>
    </row>
    <row r="38" spans="1:11" ht="19.8" thickBot="1">
      <c r="A38" s="68"/>
      <c r="B38" s="14"/>
      <c r="C38" s="177" t="s">
        <v>116</v>
      </c>
      <c r="D38" s="177"/>
      <c r="E38" s="180"/>
      <c r="F38" s="14"/>
      <c r="G38" s="14"/>
      <c r="H38" s="14"/>
      <c r="I38" s="181">
        <f>I37/I11%</f>
        <v>0.65990440234505199</v>
      </c>
      <c r="J38" s="14"/>
      <c r="K38" s="151"/>
    </row>
    <row r="39" spans="1:11" ht="19.2">
      <c r="A39" s="68"/>
      <c r="B39" s="14"/>
      <c r="C39" s="172"/>
      <c r="D39" s="172"/>
      <c r="E39" s="180"/>
      <c r="F39" s="14"/>
      <c r="G39" s="14"/>
      <c r="H39" s="14"/>
      <c r="I39" s="195"/>
      <c r="J39" s="14"/>
      <c r="K39" s="151"/>
    </row>
    <row r="40" spans="1:11">
      <c r="A40" s="68"/>
      <c r="B40" s="152" t="s">
        <v>105</v>
      </c>
      <c r="C40" s="156"/>
      <c r="D40" s="14"/>
      <c r="E40" s="152" t="s">
        <v>127</v>
      </c>
      <c r="F40" s="14"/>
      <c r="G40" s="14"/>
      <c r="H40" s="14"/>
      <c r="I40" s="156"/>
      <c r="J40" s="14"/>
      <c r="K40" s="151"/>
    </row>
    <row r="41" spans="1:11" ht="19.8">
      <c r="A41" s="68"/>
      <c r="B41" s="14"/>
      <c r="C41" s="177" t="s">
        <v>109</v>
      </c>
      <c r="D41" s="177"/>
      <c r="E41" s="178" t="s">
        <v>111</v>
      </c>
      <c r="F41" s="176" t="s">
        <v>110</v>
      </c>
      <c r="G41" s="14"/>
      <c r="H41" s="14"/>
      <c r="I41" s="156"/>
      <c r="J41" s="14"/>
      <c r="K41" s="151"/>
    </row>
    <row r="42" spans="1:11">
      <c r="A42" s="68"/>
      <c r="B42" s="14"/>
      <c r="C42" s="14"/>
      <c r="D42" s="14" t="s">
        <v>175</v>
      </c>
      <c r="E42" s="14"/>
      <c r="F42" s="14"/>
      <c r="G42" s="14"/>
      <c r="H42" s="14"/>
      <c r="I42" s="156">
        <f>0.03*I11</f>
        <v>11.4</v>
      </c>
      <c r="J42" s="157" t="s">
        <v>97</v>
      </c>
      <c r="K42" s="151"/>
    </row>
    <row r="43" spans="1:11" ht="19.8">
      <c r="A43" s="68"/>
      <c r="B43" s="14"/>
      <c r="C43" s="14"/>
      <c r="D43" s="176" t="s">
        <v>132</v>
      </c>
      <c r="E43" s="14"/>
      <c r="F43" s="14"/>
      <c r="G43" s="111" t="s">
        <v>129</v>
      </c>
      <c r="H43" s="14"/>
      <c r="I43" s="156"/>
      <c r="J43" s="14"/>
      <c r="K43" s="151"/>
    </row>
    <row r="44" spans="1:11">
      <c r="A44" s="68"/>
      <c r="B44" s="14"/>
      <c r="C44" s="14"/>
      <c r="D44" s="14"/>
      <c r="E44" s="14"/>
      <c r="F44" s="156" t="s">
        <v>115</v>
      </c>
      <c r="G44" s="182"/>
      <c r="H44" s="14"/>
      <c r="I44" s="183">
        <f>I42/(1.7321*I14*I33)</f>
        <v>0.13751991906328953</v>
      </c>
      <c r="J44" s="14"/>
      <c r="K44" s="151"/>
    </row>
    <row r="45" spans="1:11">
      <c r="A45" s="68"/>
      <c r="B45" s="14"/>
      <c r="C45" s="14" t="s">
        <v>161</v>
      </c>
      <c r="D45" s="14"/>
      <c r="E45" s="14"/>
      <c r="F45" s="156" t="s">
        <v>115</v>
      </c>
      <c r="G45" s="14"/>
      <c r="H45" s="14"/>
      <c r="I45" s="5">
        <v>0.85</v>
      </c>
      <c r="J45" s="14"/>
      <c r="K45" s="151"/>
    </row>
    <row r="46" spans="1:11">
      <c r="A46" s="68"/>
      <c r="B46" s="14"/>
      <c r="C46" s="14" t="s">
        <v>162</v>
      </c>
      <c r="D46" s="14"/>
      <c r="E46" s="14"/>
      <c r="F46" s="156" t="s">
        <v>115</v>
      </c>
      <c r="G46" s="14"/>
      <c r="H46" s="14"/>
      <c r="I46" s="5">
        <v>0.8</v>
      </c>
      <c r="J46" s="14"/>
      <c r="K46" s="151"/>
    </row>
    <row r="47" spans="1:11" ht="20.399999999999999" thickBot="1">
      <c r="A47" s="68"/>
      <c r="B47" s="14"/>
      <c r="C47" s="14"/>
      <c r="D47" s="176" t="s">
        <v>134</v>
      </c>
      <c r="E47" s="14"/>
      <c r="F47" s="156"/>
      <c r="G47" s="176"/>
      <c r="H47" s="156" t="s">
        <v>115</v>
      </c>
      <c r="I47" s="183">
        <f>I44*I45*I46</f>
        <v>9.3513544963036876E-2</v>
      </c>
      <c r="J47" s="14"/>
      <c r="K47" s="151"/>
    </row>
    <row r="48" spans="1:11" ht="13.8" thickBot="1">
      <c r="A48" s="68"/>
      <c r="B48" s="14"/>
      <c r="C48" s="14" t="s">
        <v>130</v>
      </c>
      <c r="D48" s="14"/>
      <c r="E48" s="14"/>
      <c r="F48" s="156" t="s">
        <v>115</v>
      </c>
      <c r="G48" s="104"/>
      <c r="H48" s="184"/>
      <c r="I48" s="171">
        <f>I35/I47</f>
        <v>1.2939302006765725</v>
      </c>
      <c r="J48" s="14"/>
      <c r="K48" s="151"/>
    </row>
    <row r="49" spans="1:11" ht="13.8" thickBot="1">
      <c r="A49" s="72"/>
      <c r="B49" s="65"/>
      <c r="C49" s="65"/>
      <c r="D49" s="65"/>
      <c r="E49" s="65"/>
      <c r="F49" s="65"/>
      <c r="G49" s="65"/>
      <c r="H49" s="65"/>
      <c r="I49" s="185"/>
      <c r="J49" s="65"/>
      <c r="K49" s="186"/>
    </row>
    <row r="50" spans="1:11" ht="13.8" thickTop="1">
      <c r="A50" s="67"/>
      <c r="B50" s="12"/>
      <c r="C50" s="12"/>
      <c r="D50" s="12"/>
      <c r="E50" s="12"/>
      <c r="F50" s="12"/>
      <c r="G50" s="12"/>
      <c r="H50" s="12"/>
      <c r="I50" s="12"/>
      <c r="J50" s="12"/>
      <c r="K50" s="149"/>
    </row>
    <row r="51" spans="1:11">
      <c r="A51" s="68"/>
      <c r="B51" s="150" t="s">
        <v>182</v>
      </c>
      <c r="C51" s="150"/>
      <c r="D51" s="150"/>
      <c r="E51" s="150"/>
      <c r="F51" s="150"/>
      <c r="G51" s="150"/>
      <c r="H51" s="150"/>
      <c r="I51" s="150"/>
      <c r="J51" s="150"/>
      <c r="K51" s="151"/>
    </row>
    <row r="52" spans="1:11">
      <c r="A52" s="68"/>
      <c r="B52" s="14"/>
      <c r="C52" s="152"/>
      <c r="D52" s="152"/>
      <c r="E52" s="152"/>
      <c r="F52" s="14"/>
      <c r="G52" s="14"/>
      <c r="H52" s="14"/>
      <c r="I52" s="14"/>
      <c r="J52" s="14"/>
      <c r="K52" s="151"/>
    </row>
    <row r="53" spans="1:11">
      <c r="A53" s="68"/>
      <c r="B53" s="14"/>
      <c r="C53" s="152" t="s">
        <v>82</v>
      </c>
      <c r="D53" s="152"/>
      <c r="E53" s="152"/>
      <c r="F53" s="14"/>
      <c r="G53" s="14"/>
      <c r="H53" s="14"/>
      <c r="I53" s="14"/>
      <c r="J53" s="14"/>
      <c r="K53" s="151"/>
    </row>
    <row r="54" spans="1:11">
      <c r="A54" s="68"/>
      <c r="B54" s="14"/>
      <c r="C54" s="14"/>
      <c r="D54" s="14"/>
      <c r="E54" s="14"/>
      <c r="F54" s="14"/>
      <c r="G54" s="14"/>
      <c r="H54" s="14"/>
      <c r="I54" s="14"/>
      <c r="J54" s="14"/>
      <c r="K54" s="151"/>
    </row>
    <row r="55" spans="1:11">
      <c r="A55" s="68"/>
      <c r="B55" s="152" t="s">
        <v>85</v>
      </c>
      <c r="C55" s="153"/>
      <c r="D55" s="152" t="s">
        <v>182</v>
      </c>
      <c r="E55" s="154"/>
      <c r="F55" s="154"/>
      <c r="G55" s="154"/>
      <c r="H55" s="154" t="s">
        <v>88</v>
      </c>
      <c r="I55" s="154"/>
      <c r="J55" s="154"/>
      <c r="K55" s="151"/>
    </row>
    <row r="56" spans="1:11">
      <c r="A56" s="68"/>
      <c r="B56" s="152" t="s">
        <v>86</v>
      </c>
      <c r="C56" s="153"/>
      <c r="D56" s="153"/>
      <c r="E56" s="153"/>
      <c r="F56" s="153"/>
      <c r="G56" s="153"/>
      <c r="H56" s="153" t="s">
        <v>89</v>
      </c>
      <c r="I56" s="153" t="s">
        <v>90</v>
      </c>
      <c r="J56" s="153"/>
      <c r="K56" s="151"/>
    </row>
    <row r="57" spans="1:11">
      <c r="A57" s="68"/>
      <c r="B57" s="14"/>
      <c r="C57" s="14"/>
      <c r="D57" s="14"/>
      <c r="E57" s="14"/>
      <c r="F57" s="14"/>
      <c r="G57" s="14"/>
      <c r="H57" s="14"/>
      <c r="I57" s="14"/>
      <c r="J57" s="14"/>
      <c r="K57" s="151"/>
    </row>
    <row r="58" spans="1:11">
      <c r="A58" s="68"/>
      <c r="B58" s="152" t="s">
        <v>91</v>
      </c>
      <c r="C58" s="14"/>
      <c r="D58" s="14"/>
      <c r="E58" s="14"/>
      <c r="F58" s="14"/>
      <c r="G58" s="14"/>
      <c r="H58" s="14"/>
      <c r="I58" s="14"/>
      <c r="J58" s="14"/>
      <c r="K58" s="151"/>
    </row>
    <row r="59" spans="1:11">
      <c r="A59" s="68"/>
      <c r="B59" s="155" t="s">
        <v>92</v>
      </c>
      <c r="C59" s="14"/>
      <c r="D59" s="14"/>
      <c r="E59" s="14"/>
      <c r="F59" s="14"/>
      <c r="G59" s="14"/>
      <c r="H59" s="187" t="s">
        <v>183</v>
      </c>
      <c r="I59" s="188" t="s">
        <v>184</v>
      </c>
      <c r="J59" s="189"/>
      <c r="K59" s="151"/>
    </row>
    <row r="60" spans="1:11">
      <c r="A60" s="68"/>
      <c r="B60" s="155" t="s">
        <v>93</v>
      </c>
      <c r="C60" s="14"/>
      <c r="D60" s="14"/>
      <c r="E60" s="14"/>
      <c r="F60" s="14"/>
      <c r="G60" s="14"/>
      <c r="H60" s="14"/>
      <c r="I60" s="156">
        <v>22000</v>
      </c>
      <c r="J60" s="157" t="s">
        <v>97</v>
      </c>
      <c r="K60" s="151"/>
    </row>
    <row r="61" spans="1:11">
      <c r="A61" s="68"/>
      <c r="B61" s="14" t="s">
        <v>94</v>
      </c>
      <c r="C61" s="14"/>
      <c r="D61" s="14"/>
      <c r="E61" s="14"/>
      <c r="F61" s="14"/>
      <c r="G61" s="14"/>
      <c r="H61" s="14"/>
      <c r="I61" s="156">
        <v>3</v>
      </c>
      <c r="J61" s="157" t="s">
        <v>98</v>
      </c>
      <c r="K61" s="151"/>
    </row>
    <row r="62" spans="1:11">
      <c r="A62" s="68"/>
      <c r="B62" s="14" t="s">
        <v>118</v>
      </c>
      <c r="C62" s="14"/>
      <c r="D62" s="14"/>
      <c r="E62" s="14"/>
      <c r="F62" s="14"/>
      <c r="G62" s="14"/>
      <c r="H62" s="14"/>
      <c r="I62" s="103">
        <v>17500</v>
      </c>
      <c r="J62" s="157" t="s">
        <v>173</v>
      </c>
      <c r="K62" s="151"/>
    </row>
    <row r="63" spans="1:11">
      <c r="A63" s="68"/>
      <c r="B63" s="14" t="s">
        <v>119</v>
      </c>
      <c r="C63" s="14"/>
      <c r="D63" s="14"/>
      <c r="E63" s="14"/>
      <c r="F63" s="14"/>
      <c r="G63" s="14"/>
      <c r="H63" s="158"/>
      <c r="I63" s="159">
        <f>I62*1000/(1.732051*I60)</f>
        <v>459.25584492289511</v>
      </c>
      <c r="J63" s="157" t="s">
        <v>95</v>
      </c>
      <c r="K63" s="151"/>
    </row>
    <row r="64" spans="1:11">
      <c r="A64" s="68"/>
      <c r="B64" s="14" t="s">
        <v>96</v>
      </c>
      <c r="C64" s="14"/>
      <c r="D64" s="14"/>
      <c r="E64" s="14"/>
      <c r="F64" s="14"/>
      <c r="G64" s="14"/>
      <c r="H64" s="158"/>
      <c r="I64" s="159"/>
      <c r="J64" s="157"/>
      <c r="K64" s="151"/>
    </row>
    <row r="65" spans="1:11" ht="18">
      <c r="A65" s="68"/>
      <c r="B65" s="160" t="s">
        <v>199</v>
      </c>
      <c r="C65" s="14"/>
      <c r="D65" s="14"/>
      <c r="E65" s="14"/>
      <c r="F65" s="14"/>
      <c r="G65" s="14"/>
      <c r="H65" s="158"/>
      <c r="I65" s="159"/>
      <c r="J65" s="157"/>
      <c r="K65" s="151"/>
    </row>
    <row r="66" spans="1:11" ht="18">
      <c r="A66" s="68"/>
      <c r="B66" s="161" t="s">
        <v>99</v>
      </c>
      <c r="C66" s="14" t="s">
        <v>102</v>
      </c>
      <c r="D66" s="14"/>
      <c r="E66" s="14"/>
      <c r="F66" s="14"/>
      <c r="G66" s="14"/>
      <c r="H66" s="158"/>
      <c r="I66" s="159">
        <f>I63</f>
        <v>459.25584492289511</v>
      </c>
      <c r="J66" s="157"/>
      <c r="K66" s="151"/>
    </row>
    <row r="67" spans="1:11" ht="15">
      <c r="A67" s="68"/>
      <c r="B67" s="156" t="s">
        <v>100</v>
      </c>
      <c r="C67" s="14" t="s">
        <v>120</v>
      </c>
      <c r="D67" s="14"/>
      <c r="E67" s="14"/>
      <c r="F67" s="14"/>
      <c r="G67" s="14" t="s">
        <v>103</v>
      </c>
      <c r="H67" s="158"/>
      <c r="I67" s="159">
        <v>0.8</v>
      </c>
      <c r="J67" s="157"/>
      <c r="K67" s="151"/>
    </row>
    <row r="68" spans="1:11">
      <c r="A68" s="68"/>
      <c r="B68" s="156" t="s">
        <v>101</v>
      </c>
      <c r="C68" s="14" t="s">
        <v>121</v>
      </c>
      <c r="D68" s="14"/>
      <c r="E68" s="14"/>
      <c r="F68" s="14"/>
      <c r="G68" s="14"/>
      <c r="H68" s="158"/>
      <c r="I68" s="159">
        <v>1.05</v>
      </c>
      <c r="J68" s="157"/>
      <c r="K68" s="151"/>
    </row>
    <row r="69" spans="1:11" ht="18.600000000000001" thickBot="1">
      <c r="A69" s="68"/>
      <c r="B69" s="162" t="s">
        <v>174</v>
      </c>
      <c r="C69" s="14"/>
      <c r="D69" s="14"/>
      <c r="E69" s="14"/>
      <c r="F69" s="14"/>
      <c r="G69" s="14"/>
      <c r="H69" s="163"/>
      <c r="I69" s="164">
        <f>I66*I68/I67</f>
        <v>602.77329646129976</v>
      </c>
      <c r="J69" s="157" t="s">
        <v>95</v>
      </c>
      <c r="K69" s="151"/>
    </row>
    <row r="70" spans="1:11" ht="13.8" thickBot="1">
      <c r="A70" s="68"/>
      <c r="B70" s="14" t="s">
        <v>104</v>
      </c>
      <c r="C70" s="156"/>
      <c r="D70" s="14"/>
      <c r="E70" s="14"/>
      <c r="F70" s="14"/>
      <c r="G70" s="14"/>
      <c r="H70" s="165"/>
      <c r="I70" s="166">
        <v>630</v>
      </c>
      <c r="J70" s="167" t="s">
        <v>95</v>
      </c>
      <c r="K70" s="151"/>
    </row>
    <row r="71" spans="1:11">
      <c r="A71" s="68"/>
      <c r="B71" s="152" t="s">
        <v>105</v>
      </c>
      <c r="C71" s="156"/>
      <c r="D71" s="14"/>
      <c r="E71" s="152" t="s">
        <v>185</v>
      </c>
      <c r="F71" s="14"/>
      <c r="G71" s="14"/>
      <c r="H71" s="14"/>
      <c r="I71" s="14"/>
      <c r="J71" s="157"/>
      <c r="K71" s="151"/>
    </row>
    <row r="72" spans="1:11" ht="18">
      <c r="A72" s="68"/>
      <c r="B72" s="14"/>
      <c r="C72" s="14" t="s">
        <v>122</v>
      </c>
      <c r="D72" s="14"/>
      <c r="E72" s="14"/>
      <c r="F72" s="14"/>
      <c r="G72" s="14"/>
      <c r="H72" s="168"/>
      <c r="I72" s="168">
        <v>500</v>
      </c>
      <c r="J72" s="169" t="s">
        <v>84</v>
      </c>
      <c r="K72" s="151"/>
    </row>
    <row r="73" spans="1:11">
      <c r="A73" s="68"/>
      <c r="B73" s="14"/>
      <c r="C73" s="14" t="s">
        <v>123</v>
      </c>
      <c r="D73" s="14"/>
      <c r="E73" s="14"/>
      <c r="F73" s="14"/>
      <c r="G73" s="14"/>
      <c r="H73" s="14"/>
      <c r="I73" s="163"/>
      <c r="J73" s="14"/>
      <c r="K73" s="151"/>
    </row>
    <row r="74" spans="1:11">
      <c r="A74" s="68"/>
      <c r="B74" s="14"/>
      <c r="C74" s="170" t="s">
        <v>186</v>
      </c>
      <c r="D74" s="190"/>
      <c r="E74" s="190"/>
      <c r="F74" s="190"/>
      <c r="G74" s="190"/>
      <c r="H74" s="191"/>
      <c r="I74" s="156">
        <v>651</v>
      </c>
      <c r="J74" s="157" t="s">
        <v>95</v>
      </c>
      <c r="K74" s="151"/>
    </row>
    <row r="75" spans="1:11">
      <c r="A75" s="68"/>
      <c r="B75" s="14"/>
      <c r="C75" s="14" t="s">
        <v>124</v>
      </c>
      <c r="D75" s="14"/>
      <c r="E75" s="14"/>
      <c r="F75" s="14"/>
      <c r="G75" s="14"/>
      <c r="H75" s="14"/>
      <c r="I75" s="156"/>
      <c r="J75" s="14"/>
      <c r="K75" s="151"/>
    </row>
    <row r="76" spans="1:11">
      <c r="A76" s="68"/>
      <c r="B76" s="14"/>
      <c r="C76" s="14" t="s">
        <v>161</v>
      </c>
      <c r="D76" s="14"/>
      <c r="E76" s="14"/>
      <c r="F76" s="14"/>
      <c r="G76" s="14"/>
      <c r="H76" s="14"/>
      <c r="I76" s="156">
        <v>0.8</v>
      </c>
      <c r="J76" s="14"/>
      <c r="K76" s="151"/>
    </row>
    <row r="77" spans="1:11">
      <c r="A77" s="68"/>
      <c r="B77" s="14"/>
      <c r="C77" s="14" t="s">
        <v>162</v>
      </c>
      <c r="D77" s="14"/>
      <c r="E77" s="14"/>
      <c r="F77" s="14"/>
      <c r="G77" s="14"/>
      <c r="H77" s="14"/>
      <c r="I77" s="156">
        <v>1</v>
      </c>
      <c r="J77" s="14"/>
      <c r="K77" s="151"/>
    </row>
    <row r="78" spans="1:11" ht="13.8" thickBot="1">
      <c r="A78" s="68"/>
      <c r="B78" s="14"/>
      <c r="C78" s="14" t="s">
        <v>125</v>
      </c>
      <c r="D78" s="14"/>
      <c r="E78" s="14"/>
      <c r="F78" s="14"/>
      <c r="G78" s="14"/>
      <c r="H78" s="14"/>
      <c r="I78" s="156">
        <f>I74*I76*I77</f>
        <v>520.80000000000007</v>
      </c>
      <c r="J78" s="157" t="s">
        <v>95</v>
      </c>
      <c r="K78" s="151"/>
    </row>
    <row r="79" spans="1:11" ht="16.2" thickBot="1">
      <c r="A79" s="68"/>
      <c r="B79" s="14"/>
      <c r="C79" s="14" t="s">
        <v>106</v>
      </c>
      <c r="D79" s="14"/>
      <c r="E79" s="156" t="s">
        <v>200</v>
      </c>
      <c r="F79" s="14"/>
      <c r="G79" s="14"/>
      <c r="H79" s="14"/>
      <c r="I79" s="171">
        <f>I69/I78</f>
        <v>1.15739880272907</v>
      </c>
      <c r="J79" s="157"/>
      <c r="K79" s="151"/>
    </row>
    <row r="80" spans="1:11" ht="13.8" thickBot="1">
      <c r="A80" s="68"/>
      <c r="B80" s="172" t="s">
        <v>201</v>
      </c>
      <c r="C80" s="14" t="s">
        <v>106</v>
      </c>
      <c r="D80" s="14"/>
      <c r="E80" s="156" t="s">
        <v>113</v>
      </c>
      <c r="F80" s="14"/>
      <c r="G80" s="14"/>
      <c r="H80" s="14"/>
      <c r="I80" s="171">
        <v>1</v>
      </c>
      <c r="J80" s="14"/>
      <c r="K80" s="151"/>
    </row>
    <row r="81" spans="1:11" ht="18.600000000000001" thickBot="1">
      <c r="A81" s="68"/>
      <c r="B81" s="14"/>
      <c r="C81" s="14" t="s">
        <v>107</v>
      </c>
      <c r="D81" s="14"/>
      <c r="E81" s="14"/>
      <c r="F81" s="192" t="s">
        <v>209</v>
      </c>
      <c r="G81" s="193">
        <f>I72</f>
        <v>500</v>
      </c>
      <c r="H81" s="175" t="s">
        <v>84</v>
      </c>
      <c r="I81" s="156"/>
      <c r="J81" s="14"/>
      <c r="K81" s="151"/>
    </row>
    <row r="82" spans="1:11">
      <c r="A82" s="68"/>
      <c r="B82" s="14"/>
      <c r="C82" s="14" t="s">
        <v>131</v>
      </c>
      <c r="D82" s="14"/>
      <c r="E82" s="172"/>
      <c r="F82" s="156" t="s">
        <v>117</v>
      </c>
      <c r="G82" s="14"/>
      <c r="H82" s="14"/>
      <c r="I82" s="156">
        <v>4.2</v>
      </c>
      <c r="J82" s="194" t="s">
        <v>208</v>
      </c>
      <c r="K82" s="151"/>
    </row>
    <row r="83" spans="1:11">
      <c r="A83" s="68"/>
      <c r="B83" s="152" t="s">
        <v>108</v>
      </c>
      <c r="C83" s="14"/>
      <c r="D83" s="14"/>
      <c r="E83" s="14"/>
      <c r="F83" s="14"/>
      <c r="G83" s="14"/>
      <c r="H83" s="14"/>
      <c r="I83" s="156"/>
      <c r="J83" s="14"/>
      <c r="K83" s="151"/>
    </row>
    <row r="84" spans="1:11" ht="19.8">
      <c r="A84" s="68"/>
      <c r="B84" s="14"/>
      <c r="C84" s="176" t="s">
        <v>187</v>
      </c>
      <c r="D84" s="14"/>
      <c r="E84" s="14"/>
      <c r="F84" s="156"/>
      <c r="G84" s="14"/>
      <c r="H84" s="156" t="s">
        <v>115</v>
      </c>
      <c r="I84" s="183">
        <f>H94</f>
        <v>3.927652919704145E-2</v>
      </c>
      <c r="J84" s="14"/>
      <c r="K84" s="151"/>
    </row>
    <row r="85" spans="1:11" ht="20.399999999999999" thickBot="1">
      <c r="A85" s="68"/>
      <c r="B85" s="14"/>
      <c r="C85" s="177" t="s">
        <v>128</v>
      </c>
      <c r="D85" s="177"/>
      <c r="E85" s="178" t="s">
        <v>111</v>
      </c>
      <c r="F85" s="176" t="s">
        <v>112</v>
      </c>
      <c r="G85" s="14"/>
      <c r="H85" s="14"/>
      <c r="I85" s="156"/>
      <c r="J85" s="14"/>
      <c r="K85" s="151"/>
    </row>
    <row r="86" spans="1:11" ht="13.8" thickBot="1">
      <c r="A86" s="68"/>
      <c r="B86" s="14"/>
      <c r="C86" s="14"/>
      <c r="D86" s="172" t="s">
        <v>115</v>
      </c>
      <c r="E86" s="14"/>
      <c r="F86" s="14"/>
      <c r="G86" s="14"/>
      <c r="H86" s="14"/>
      <c r="I86" s="179">
        <f>1.7321*I63*I82*I84/I80</f>
        <v>131.223025669131</v>
      </c>
      <c r="J86" s="157" t="s">
        <v>97</v>
      </c>
      <c r="K86" s="151"/>
    </row>
    <row r="87" spans="1:11" ht="19.8" thickBot="1">
      <c r="A87" s="68"/>
      <c r="B87" s="14"/>
      <c r="C87" s="177" t="s">
        <v>116</v>
      </c>
      <c r="D87" s="177"/>
      <c r="E87" s="180"/>
      <c r="F87" s="14"/>
      <c r="G87" s="14"/>
      <c r="H87" s="14"/>
      <c r="I87" s="181">
        <f>I86/I60%</f>
        <v>0.59646829849604999</v>
      </c>
      <c r="J87" s="14"/>
      <c r="K87" s="151"/>
    </row>
    <row r="88" spans="1:11" ht="12.75" customHeight="1">
      <c r="A88" s="68"/>
      <c r="B88" s="14"/>
      <c r="C88" s="172"/>
      <c r="D88" s="172"/>
      <c r="E88" s="180"/>
      <c r="F88" s="14"/>
      <c r="G88" s="14"/>
      <c r="H88" s="14"/>
      <c r="I88" s="195"/>
      <c r="J88" s="14"/>
      <c r="K88" s="151"/>
    </row>
    <row r="89" spans="1:11" ht="19.8">
      <c r="A89" s="68"/>
      <c r="B89" s="187" t="s">
        <v>210</v>
      </c>
      <c r="C89" s="196">
        <f>I72</f>
        <v>500</v>
      </c>
      <c r="D89" s="196" t="s">
        <v>84</v>
      </c>
      <c r="E89" s="180"/>
      <c r="F89" s="14"/>
      <c r="G89" s="14"/>
      <c r="H89" s="14"/>
      <c r="I89" s="195"/>
      <c r="J89" s="14"/>
      <c r="K89" s="151"/>
    </row>
    <row r="90" spans="1:11" ht="16.8">
      <c r="A90" s="68"/>
      <c r="B90" s="197" t="s">
        <v>188</v>
      </c>
      <c r="C90" s="198"/>
      <c r="D90" s="197" t="s">
        <v>203</v>
      </c>
      <c r="E90" s="199"/>
      <c r="F90" s="200" t="s">
        <v>204</v>
      </c>
      <c r="G90" s="14"/>
      <c r="H90" s="14"/>
      <c r="I90" s="156"/>
      <c r="J90" s="14"/>
      <c r="K90" s="151"/>
    </row>
    <row r="91" spans="1:11" ht="13.8">
      <c r="A91" s="68"/>
      <c r="B91" s="14"/>
      <c r="C91" s="172"/>
      <c r="D91" s="201" t="s">
        <v>189</v>
      </c>
      <c r="E91" s="201"/>
      <c r="F91" s="202"/>
      <c r="G91" s="201"/>
      <c r="H91" s="14"/>
      <c r="I91" s="156"/>
      <c r="J91" s="14"/>
      <c r="K91" s="151"/>
    </row>
    <row r="92" spans="1:11" ht="16.8">
      <c r="A92" s="68"/>
      <c r="B92" s="203" t="s">
        <v>190</v>
      </c>
      <c r="C92" s="103">
        <v>4.06E-4</v>
      </c>
      <c r="D92" s="103">
        <f>PI()</f>
        <v>3.1415926535897931</v>
      </c>
      <c r="E92" s="103">
        <f>C92*D92*100*POWER(10,-3)</f>
        <v>1.2754866173574561E-4</v>
      </c>
      <c r="F92" s="202" t="s">
        <v>191</v>
      </c>
      <c r="G92" s="103">
        <v>0.6</v>
      </c>
      <c r="H92" s="204">
        <f>E92*G92</f>
        <v>7.6529197041447366E-5</v>
      </c>
      <c r="I92" s="205" t="s">
        <v>205</v>
      </c>
      <c r="J92" s="14"/>
      <c r="K92" s="151"/>
    </row>
    <row r="93" spans="1:11" ht="16.8">
      <c r="A93" s="68"/>
      <c r="B93" s="203" t="s">
        <v>192</v>
      </c>
      <c r="C93" s="103"/>
      <c r="D93" s="103"/>
      <c r="E93" s="103">
        <v>4.9000000000000002E-2</v>
      </c>
      <c r="F93" s="202" t="s">
        <v>193</v>
      </c>
      <c r="G93" s="103">
        <v>0.8</v>
      </c>
      <c r="H93" s="204">
        <f>E93*G93</f>
        <v>3.9200000000000006E-2</v>
      </c>
      <c r="I93" s="205" t="s">
        <v>206</v>
      </c>
      <c r="J93" s="14"/>
      <c r="K93" s="151"/>
    </row>
    <row r="94" spans="1:11" ht="16.8">
      <c r="A94" s="68"/>
      <c r="B94" s="14"/>
      <c r="C94" s="103"/>
      <c r="D94" s="103"/>
      <c r="E94" s="103"/>
      <c r="F94" s="103"/>
      <c r="G94" s="103"/>
      <c r="H94" s="204">
        <f>SUM(H92:H93)</f>
        <v>3.927652919704145E-2</v>
      </c>
      <c r="I94" s="205" t="s">
        <v>207</v>
      </c>
      <c r="J94" s="14"/>
      <c r="K94" s="151"/>
    </row>
    <row r="95" spans="1:11">
      <c r="A95" s="68"/>
      <c r="B95" s="14"/>
      <c r="C95" s="14"/>
      <c r="D95" s="14"/>
      <c r="E95" s="14"/>
      <c r="F95" s="156"/>
      <c r="G95" s="182"/>
      <c r="H95" s="14"/>
      <c r="I95" s="183"/>
      <c r="J95" s="14"/>
      <c r="K95" s="151"/>
    </row>
    <row r="96" spans="1:11">
      <c r="A96" s="68"/>
      <c r="B96" s="14"/>
      <c r="C96" s="14"/>
      <c r="D96" s="14"/>
      <c r="E96" s="14"/>
      <c r="F96" s="156"/>
      <c r="G96" s="182"/>
      <c r="H96" s="14"/>
      <c r="I96" s="183"/>
      <c r="J96" s="14"/>
      <c r="K96" s="151"/>
    </row>
    <row r="97" spans="1:11">
      <c r="A97" s="68"/>
      <c r="B97" s="14"/>
      <c r="C97" s="14"/>
      <c r="D97" s="14"/>
      <c r="E97" s="14"/>
      <c r="F97" s="156"/>
      <c r="G97" s="14"/>
      <c r="H97" s="14"/>
      <c r="I97" s="156"/>
      <c r="J97" s="14"/>
      <c r="K97" s="151"/>
    </row>
    <row r="98" spans="1:11">
      <c r="A98" s="68"/>
      <c r="B98" s="14"/>
      <c r="C98" s="14"/>
      <c r="D98" s="14"/>
      <c r="E98" s="14"/>
      <c r="F98" s="156"/>
      <c r="G98" s="14"/>
      <c r="H98" s="14"/>
      <c r="I98" s="156"/>
      <c r="J98" s="14"/>
      <c r="K98" s="151"/>
    </row>
    <row r="99" spans="1:11" ht="13.8" thickBot="1">
      <c r="A99" s="72"/>
      <c r="B99" s="65"/>
      <c r="C99" s="65"/>
      <c r="D99" s="65"/>
      <c r="E99" s="65"/>
      <c r="F99" s="65"/>
      <c r="G99" s="65"/>
      <c r="H99" s="65"/>
      <c r="I99" s="185"/>
      <c r="J99" s="65"/>
      <c r="K99" s="186"/>
    </row>
    <row r="100" spans="1:11" ht="13.8" thickTop="1">
      <c r="A100" s="67"/>
      <c r="B100" s="12"/>
      <c r="C100" s="12"/>
      <c r="D100" s="12"/>
      <c r="E100" s="12"/>
      <c r="F100" s="12"/>
      <c r="G100" s="12"/>
      <c r="H100" s="12"/>
      <c r="I100" s="12"/>
      <c r="J100" s="12"/>
      <c r="K100" s="149"/>
    </row>
    <row r="101" spans="1:11">
      <c r="A101" s="68"/>
      <c r="B101" s="150" t="s">
        <v>182</v>
      </c>
      <c r="C101" s="150"/>
      <c r="D101" s="150"/>
      <c r="E101" s="150"/>
      <c r="F101" s="150"/>
      <c r="G101" s="150"/>
      <c r="H101" s="150"/>
      <c r="I101" s="150"/>
      <c r="J101" s="150"/>
      <c r="K101" s="151"/>
    </row>
    <row r="102" spans="1:11">
      <c r="A102" s="68"/>
      <c r="B102" s="14"/>
      <c r="C102" s="152"/>
      <c r="D102" s="152"/>
      <c r="E102" s="152"/>
      <c r="F102" s="14"/>
      <c r="G102" s="14"/>
      <c r="H102" s="14"/>
      <c r="I102" s="14"/>
      <c r="J102" s="14"/>
      <c r="K102" s="151"/>
    </row>
    <row r="103" spans="1:11">
      <c r="A103" s="68"/>
      <c r="B103" s="14"/>
      <c r="C103" s="152" t="s">
        <v>82</v>
      </c>
      <c r="D103" s="152"/>
      <c r="E103" s="152"/>
      <c r="F103" s="14"/>
      <c r="G103" s="14"/>
      <c r="H103" s="14"/>
      <c r="I103" s="14"/>
      <c r="J103" s="14"/>
      <c r="K103" s="151"/>
    </row>
    <row r="104" spans="1:11">
      <c r="A104" s="68"/>
      <c r="B104" s="14"/>
      <c r="C104" s="14"/>
      <c r="D104" s="14"/>
      <c r="E104" s="14"/>
      <c r="F104" s="14"/>
      <c r="G104" s="14"/>
      <c r="H104" s="14"/>
      <c r="I104" s="14"/>
      <c r="J104" s="14"/>
      <c r="K104" s="151"/>
    </row>
    <row r="105" spans="1:11">
      <c r="A105" s="68"/>
      <c r="B105" s="152" t="s">
        <v>85</v>
      </c>
      <c r="C105" s="153"/>
      <c r="D105" s="152" t="s">
        <v>182</v>
      </c>
      <c r="E105" s="154"/>
      <c r="F105" s="154"/>
      <c r="G105" s="154"/>
      <c r="H105" s="154" t="s">
        <v>88</v>
      </c>
      <c r="I105" s="154"/>
      <c r="J105" s="154"/>
      <c r="K105" s="151"/>
    </row>
    <row r="106" spans="1:11">
      <c r="A106" s="68"/>
      <c r="B106" s="152" t="s">
        <v>86</v>
      </c>
      <c r="C106" s="153"/>
      <c r="D106" s="153"/>
      <c r="E106" s="153"/>
      <c r="F106" s="153"/>
      <c r="G106" s="153"/>
      <c r="H106" s="153" t="s">
        <v>89</v>
      </c>
      <c r="I106" s="153" t="s">
        <v>90</v>
      </c>
      <c r="J106" s="153"/>
      <c r="K106" s="151"/>
    </row>
    <row r="107" spans="1:11">
      <c r="A107" s="68"/>
      <c r="B107" s="14"/>
      <c r="C107" s="14"/>
      <c r="D107" s="14"/>
      <c r="E107" s="14"/>
      <c r="F107" s="14"/>
      <c r="G107" s="14"/>
      <c r="H107" s="14"/>
      <c r="I107" s="14"/>
      <c r="J107" s="14"/>
      <c r="K107" s="151"/>
    </row>
    <row r="108" spans="1:11">
      <c r="A108" s="68"/>
      <c r="B108" s="152" t="s">
        <v>91</v>
      </c>
      <c r="C108" s="14"/>
      <c r="D108" s="14"/>
      <c r="E108" s="14"/>
      <c r="F108" s="14"/>
      <c r="G108" s="14"/>
      <c r="H108" s="14"/>
      <c r="I108" s="14"/>
      <c r="J108" s="14"/>
      <c r="K108" s="151"/>
    </row>
    <row r="109" spans="1:11">
      <c r="A109" s="68"/>
      <c r="B109" s="155" t="s">
        <v>92</v>
      </c>
      <c r="C109" s="14"/>
      <c r="D109" s="14"/>
      <c r="E109" s="14"/>
      <c r="F109" s="14"/>
      <c r="G109" s="14"/>
      <c r="H109" s="14"/>
      <c r="I109" s="153" t="s">
        <v>194</v>
      </c>
      <c r="J109" s="14"/>
      <c r="K109" s="151"/>
    </row>
    <row r="110" spans="1:11">
      <c r="A110" s="68"/>
      <c r="B110" s="155" t="s">
        <v>93</v>
      </c>
      <c r="C110" s="14"/>
      <c r="D110" s="14"/>
      <c r="E110" s="14"/>
      <c r="F110" s="14"/>
      <c r="G110" s="14"/>
      <c r="H110" s="14"/>
      <c r="I110" s="156">
        <v>415</v>
      </c>
      <c r="J110" s="157" t="s">
        <v>97</v>
      </c>
      <c r="K110" s="151"/>
    </row>
    <row r="111" spans="1:11">
      <c r="A111" s="68"/>
      <c r="B111" s="14" t="s">
        <v>94</v>
      </c>
      <c r="C111" s="14"/>
      <c r="D111" s="14"/>
      <c r="E111" s="14"/>
      <c r="F111" s="14"/>
      <c r="G111" s="14"/>
      <c r="H111" s="14"/>
      <c r="I111" s="156">
        <v>3</v>
      </c>
      <c r="J111" s="157" t="s">
        <v>98</v>
      </c>
      <c r="K111" s="151"/>
    </row>
    <row r="112" spans="1:11">
      <c r="A112" s="68"/>
      <c r="B112" s="14" t="s">
        <v>118</v>
      </c>
      <c r="C112" s="14"/>
      <c r="D112" s="14"/>
      <c r="E112" s="14"/>
      <c r="F112" s="14"/>
      <c r="G112" s="14"/>
      <c r="H112" s="14"/>
      <c r="I112" s="156">
        <v>575</v>
      </c>
      <c r="J112" s="157" t="s">
        <v>173</v>
      </c>
      <c r="K112" s="151"/>
    </row>
    <row r="113" spans="1:11">
      <c r="A113" s="68"/>
      <c r="B113" s="14" t="s">
        <v>119</v>
      </c>
      <c r="C113" s="14"/>
      <c r="D113" s="14"/>
      <c r="E113" s="14"/>
      <c r="F113" s="14"/>
      <c r="G113" s="14"/>
      <c r="H113" s="158"/>
      <c r="I113" s="159">
        <f>I112*1000/(1.732051*I110)</f>
        <v>799.9430551841134</v>
      </c>
      <c r="J113" s="157" t="s">
        <v>95</v>
      </c>
      <c r="K113" s="151"/>
    </row>
    <row r="114" spans="1:11">
      <c r="A114" s="68"/>
      <c r="B114" s="14" t="s">
        <v>96</v>
      </c>
      <c r="C114" s="14"/>
      <c r="D114" s="14"/>
      <c r="E114" s="14"/>
      <c r="F114" s="14"/>
      <c r="G114" s="14"/>
      <c r="H114" s="158"/>
      <c r="I114" s="159"/>
      <c r="J114" s="157"/>
      <c r="K114" s="151"/>
    </row>
    <row r="115" spans="1:11" ht="18">
      <c r="A115" s="68"/>
      <c r="B115" s="160" t="s">
        <v>199</v>
      </c>
      <c r="C115" s="14"/>
      <c r="D115" s="14"/>
      <c r="E115" s="14"/>
      <c r="F115" s="14"/>
      <c r="G115" s="14"/>
      <c r="H115" s="158"/>
      <c r="I115" s="159"/>
      <c r="J115" s="157"/>
      <c r="K115" s="151"/>
    </row>
    <row r="116" spans="1:11" ht="18">
      <c r="A116" s="68"/>
      <c r="B116" s="161" t="s">
        <v>99</v>
      </c>
      <c r="C116" s="14" t="s">
        <v>102</v>
      </c>
      <c r="D116" s="14"/>
      <c r="E116" s="14"/>
      <c r="F116" s="14"/>
      <c r="G116" s="14"/>
      <c r="H116" s="158"/>
      <c r="I116" s="159">
        <f>I113</f>
        <v>799.9430551841134</v>
      </c>
      <c r="J116" s="157"/>
      <c r="K116" s="151"/>
    </row>
    <row r="117" spans="1:11" ht="15">
      <c r="A117" s="68"/>
      <c r="B117" s="156" t="s">
        <v>100</v>
      </c>
      <c r="C117" s="14" t="s">
        <v>120</v>
      </c>
      <c r="D117" s="14"/>
      <c r="E117" s="14"/>
      <c r="F117" s="14"/>
      <c r="G117" s="14" t="s">
        <v>103</v>
      </c>
      <c r="H117" s="158"/>
      <c r="I117" s="159">
        <v>0.8</v>
      </c>
      <c r="J117" s="157"/>
      <c r="K117" s="151"/>
    </row>
    <row r="118" spans="1:11">
      <c r="A118" s="68"/>
      <c r="B118" s="156" t="s">
        <v>101</v>
      </c>
      <c r="C118" s="14" t="s">
        <v>121</v>
      </c>
      <c r="D118" s="14"/>
      <c r="E118" s="14"/>
      <c r="F118" s="14"/>
      <c r="G118" s="14"/>
      <c r="H118" s="158"/>
      <c r="I118" s="159">
        <v>1.1000000000000001</v>
      </c>
      <c r="J118" s="157"/>
      <c r="K118" s="151"/>
    </row>
    <row r="119" spans="1:11" ht="18.600000000000001" thickBot="1">
      <c r="A119" s="68"/>
      <c r="B119" s="162" t="s">
        <v>174</v>
      </c>
      <c r="C119" s="14"/>
      <c r="D119" s="14"/>
      <c r="E119" s="14"/>
      <c r="F119" s="14"/>
      <c r="G119" s="14"/>
      <c r="H119" s="163"/>
      <c r="I119" s="164">
        <f>I116*I118/I117</f>
        <v>1099.9217008781561</v>
      </c>
      <c r="J119" s="157" t="s">
        <v>95</v>
      </c>
      <c r="K119" s="151"/>
    </row>
    <row r="120" spans="1:11" ht="13.8" thickBot="1">
      <c r="A120" s="68"/>
      <c r="B120" s="14" t="s">
        <v>104</v>
      </c>
      <c r="C120" s="156"/>
      <c r="D120" s="14"/>
      <c r="E120" s="14"/>
      <c r="F120" s="14"/>
      <c r="G120" s="14"/>
      <c r="H120" s="165"/>
      <c r="I120" s="166">
        <v>1200</v>
      </c>
      <c r="J120" s="167" t="s">
        <v>95</v>
      </c>
      <c r="K120" s="151"/>
    </row>
    <row r="121" spans="1:11">
      <c r="A121" s="68"/>
      <c r="B121" s="152" t="s">
        <v>105</v>
      </c>
      <c r="C121" s="156"/>
      <c r="D121" s="14"/>
      <c r="E121" s="152" t="s">
        <v>126</v>
      </c>
      <c r="F121" s="14"/>
      <c r="G121" s="14"/>
      <c r="H121" s="14"/>
      <c r="I121" s="14"/>
      <c r="J121" s="157"/>
      <c r="K121" s="151"/>
    </row>
    <row r="122" spans="1:11" ht="18">
      <c r="A122" s="68"/>
      <c r="B122" s="14"/>
      <c r="C122" s="14" t="s">
        <v>122</v>
      </c>
      <c r="D122" s="14"/>
      <c r="E122" s="14"/>
      <c r="F122" s="14"/>
      <c r="G122" s="14"/>
      <c r="H122" s="168"/>
      <c r="I122" s="168">
        <v>300</v>
      </c>
      <c r="J122" s="169" t="s">
        <v>84</v>
      </c>
      <c r="K122" s="151"/>
    </row>
    <row r="123" spans="1:11">
      <c r="A123" s="68"/>
      <c r="B123" s="14"/>
      <c r="C123" s="14" t="s">
        <v>123</v>
      </c>
      <c r="D123" s="14"/>
      <c r="E123" s="14"/>
      <c r="F123" s="14"/>
      <c r="G123" s="14"/>
      <c r="H123" s="14"/>
      <c r="I123" s="163"/>
      <c r="J123" s="14"/>
      <c r="K123" s="151"/>
    </row>
    <row r="124" spans="1:11">
      <c r="A124" s="68"/>
      <c r="B124" s="14"/>
      <c r="C124" s="170" t="s">
        <v>195</v>
      </c>
      <c r="D124" s="190"/>
      <c r="E124" s="190"/>
      <c r="F124" s="190"/>
      <c r="G124" s="190"/>
      <c r="H124" s="14"/>
      <c r="I124" s="156">
        <v>320</v>
      </c>
      <c r="J124" s="157" t="s">
        <v>95</v>
      </c>
      <c r="K124" s="151"/>
    </row>
    <row r="125" spans="1:11">
      <c r="A125" s="68"/>
      <c r="B125" s="14"/>
      <c r="C125" s="14" t="s">
        <v>124</v>
      </c>
      <c r="D125" s="14"/>
      <c r="E125" s="14"/>
      <c r="F125" s="14"/>
      <c r="G125" s="14"/>
      <c r="H125" s="14"/>
      <c r="I125" s="156"/>
      <c r="J125" s="14"/>
      <c r="K125" s="151"/>
    </row>
    <row r="126" spans="1:11">
      <c r="A126" s="68"/>
      <c r="B126" s="14"/>
      <c r="C126" s="14" t="s">
        <v>161</v>
      </c>
      <c r="D126" s="14"/>
      <c r="E126" s="14"/>
      <c r="F126" s="14"/>
      <c r="G126" s="14"/>
      <c r="H126" s="14"/>
      <c r="I126" s="156">
        <v>0.8</v>
      </c>
      <c r="J126" s="14"/>
      <c r="K126" s="151"/>
    </row>
    <row r="127" spans="1:11">
      <c r="A127" s="68"/>
      <c r="B127" s="14"/>
      <c r="C127" s="14" t="s">
        <v>162</v>
      </c>
      <c r="D127" s="14"/>
      <c r="E127" s="14"/>
      <c r="F127" s="14"/>
      <c r="G127" s="14"/>
      <c r="H127" s="14"/>
      <c r="I127" s="156">
        <v>1</v>
      </c>
      <c r="J127" s="14"/>
      <c r="K127" s="151"/>
    </row>
    <row r="128" spans="1:11" ht="13.8" thickBot="1">
      <c r="A128" s="68"/>
      <c r="B128" s="14"/>
      <c r="C128" s="14" t="s">
        <v>125</v>
      </c>
      <c r="D128" s="14"/>
      <c r="E128" s="14"/>
      <c r="F128" s="14"/>
      <c r="G128" s="14"/>
      <c r="H128" s="14"/>
      <c r="I128" s="156">
        <f>I124*I126*I127</f>
        <v>256</v>
      </c>
      <c r="J128" s="157" t="s">
        <v>95</v>
      </c>
      <c r="K128" s="151"/>
    </row>
    <row r="129" spans="1:11" ht="16.2" thickBot="1">
      <c r="A129" s="68"/>
      <c r="B129" s="14"/>
      <c r="C129" s="14" t="s">
        <v>106</v>
      </c>
      <c r="D129" s="14"/>
      <c r="E129" s="156" t="s">
        <v>200</v>
      </c>
      <c r="F129" s="14"/>
      <c r="G129" s="14"/>
      <c r="H129" s="14"/>
      <c r="I129" s="171">
        <f>I119/I128</f>
        <v>4.2965691440552973</v>
      </c>
      <c r="J129" s="157"/>
      <c r="K129" s="151"/>
    </row>
    <row r="130" spans="1:11" ht="13.8" thickBot="1">
      <c r="A130" s="68"/>
      <c r="B130" s="172" t="s">
        <v>201</v>
      </c>
      <c r="C130" s="14" t="s">
        <v>106</v>
      </c>
      <c r="D130" s="14"/>
      <c r="E130" s="156" t="s">
        <v>113</v>
      </c>
      <c r="F130" s="14"/>
      <c r="G130" s="14"/>
      <c r="H130" s="14"/>
      <c r="I130" s="171">
        <v>4</v>
      </c>
      <c r="J130" s="14"/>
      <c r="K130" s="151"/>
    </row>
    <row r="131" spans="1:11" ht="18.600000000000001" thickBot="1">
      <c r="A131" s="68"/>
      <c r="B131" s="14"/>
      <c r="C131" s="14" t="s">
        <v>107</v>
      </c>
      <c r="D131" s="14"/>
      <c r="E131" s="14"/>
      <c r="F131" s="173" t="s">
        <v>202</v>
      </c>
      <c r="G131" s="206"/>
      <c r="H131" s="175" t="s">
        <v>84</v>
      </c>
      <c r="I131" s="156"/>
      <c r="J131" s="14"/>
      <c r="K131" s="151"/>
    </row>
    <row r="132" spans="1:11">
      <c r="A132" s="68"/>
      <c r="B132" s="14"/>
      <c r="C132" s="14" t="s">
        <v>131</v>
      </c>
      <c r="D132" s="14"/>
      <c r="E132" s="172"/>
      <c r="F132" s="156" t="s">
        <v>117</v>
      </c>
      <c r="G132" s="14"/>
      <c r="H132" s="14"/>
      <c r="I132" s="156">
        <v>0.1</v>
      </c>
      <c r="J132" s="14"/>
      <c r="K132" s="151"/>
    </row>
    <row r="133" spans="1:11">
      <c r="A133" s="68"/>
      <c r="B133" s="152" t="s">
        <v>108</v>
      </c>
      <c r="C133" s="14"/>
      <c r="D133" s="14"/>
      <c r="E133" s="14"/>
      <c r="F133" s="14"/>
      <c r="G133" s="14"/>
      <c r="H133" s="14"/>
      <c r="I133" s="156"/>
      <c r="J133" s="14"/>
      <c r="K133" s="151"/>
    </row>
    <row r="134" spans="1:11" ht="19.8">
      <c r="A134" s="68"/>
      <c r="B134" s="14"/>
      <c r="C134" s="176" t="s">
        <v>133</v>
      </c>
      <c r="D134" s="14"/>
      <c r="E134" s="14"/>
      <c r="F134" s="156"/>
      <c r="G134" s="14"/>
      <c r="H134" s="156" t="s">
        <v>115</v>
      </c>
      <c r="I134" s="156">
        <v>0.107</v>
      </c>
      <c r="J134" s="14"/>
      <c r="K134" s="151"/>
    </row>
    <row r="135" spans="1:11" ht="20.399999999999999" thickBot="1">
      <c r="A135" s="68"/>
      <c r="B135" s="14"/>
      <c r="C135" s="177" t="s">
        <v>128</v>
      </c>
      <c r="D135" s="177"/>
      <c r="E135" s="178" t="s">
        <v>111</v>
      </c>
      <c r="F135" s="176" t="s">
        <v>112</v>
      </c>
      <c r="G135" s="14"/>
      <c r="H135" s="14"/>
      <c r="I135" s="156"/>
      <c r="J135" s="14"/>
      <c r="K135" s="151"/>
    </row>
    <row r="136" spans="1:11" ht="13.8" thickBot="1">
      <c r="A136" s="68"/>
      <c r="B136" s="14"/>
      <c r="C136" s="14"/>
      <c r="D136" s="172" t="s">
        <v>115</v>
      </c>
      <c r="E136" s="14"/>
      <c r="F136" s="14"/>
      <c r="G136" s="14"/>
      <c r="H136" s="14"/>
      <c r="I136" s="179">
        <f>1.7321*I113*I132*I134/I130</f>
        <v>3.706430153740778</v>
      </c>
      <c r="J136" s="157" t="s">
        <v>97</v>
      </c>
      <c r="K136" s="151"/>
    </row>
    <row r="137" spans="1:11" ht="19.8" thickBot="1">
      <c r="A137" s="68"/>
      <c r="B137" s="14"/>
      <c r="C137" s="177" t="s">
        <v>116</v>
      </c>
      <c r="D137" s="177"/>
      <c r="E137" s="180"/>
      <c r="F137" s="14"/>
      <c r="G137" s="14"/>
      <c r="H137" s="14"/>
      <c r="I137" s="181">
        <f>I136/I110%</f>
        <v>0.8931156996965729</v>
      </c>
      <c r="J137" s="14"/>
      <c r="K137" s="151"/>
    </row>
    <row r="138" spans="1:11" ht="19.2">
      <c r="A138" s="68"/>
      <c r="B138" s="14"/>
      <c r="C138" s="172"/>
      <c r="D138" s="172"/>
      <c r="E138" s="180"/>
      <c r="F138" s="14"/>
      <c r="G138" s="14"/>
      <c r="H138" s="14"/>
      <c r="I138" s="195"/>
      <c r="J138" s="14"/>
      <c r="K138" s="151"/>
    </row>
    <row r="139" spans="1:11">
      <c r="A139" s="68"/>
      <c r="B139" s="152" t="s">
        <v>105</v>
      </c>
      <c r="C139" s="156"/>
      <c r="D139" s="14"/>
      <c r="E139" s="152" t="s">
        <v>127</v>
      </c>
      <c r="F139" s="14"/>
      <c r="G139" s="14"/>
      <c r="H139" s="14"/>
      <c r="I139" s="156"/>
      <c r="J139" s="14"/>
      <c r="K139" s="151"/>
    </row>
    <row r="140" spans="1:11" ht="19.8">
      <c r="A140" s="68"/>
      <c r="B140" s="14"/>
      <c r="C140" s="177" t="s">
        <v>109</v>
      </c>
      <c r="D140" s="177"/>
      <c r="E140" s="178" t="s">
        <v>111</v>
      </c>
      <c r="F140" s="176" t="s">
        <v>110</v>
      </c>
      <c r="G140" s="14"/>
      <c r="H140" s="14"/>
      <c r="I140" s="156"/>
      <c r="J140" s="14"/>
      <c r="K140" s="151"/>
    </row>
    <row r="141" spans="1:11">
      <c r="A141" s="68"/>
      <c r="B141" s="14"/>
      <c r="C141" s="14"/>
      <c r="D141" s="14" t="s">
        <v>175</v>
      </c>
      <c r="E141" s="14"/>
      <c r="F141" s="14"/>
      <c r="G141" s="14"/>
      <c r="H141" s="14"/>
      <c r="I141" s="156">
        <f>0.03*I110</f>
        <v>12.45</v>
      </c>
      <c r="J141" s="157" t="s">
        <v>97</v>
      </c>
      <c r="K141" s="151"/>
    </row>
    <row r="142" spans="1:11" ht="19.8">
      <c r="A142" s="68"/>
      <c r="B142" s="14"/>
      <c r="C142" s="14"/>
      <c r="D142" s="176" t="s">
        <v>132</v>
      </c>
      <c r="E142" s="14"/>
      <c r="F142" s="14"/>
      <c r="G142" s="111" t="s">
        <v>129</v>
      </c>
      <c r="H142" s="14"/>
      <c r="I142" s="156"/>
      <c r="J142" s="14"/>
      <c r="K142" s="151"/>
    </row>
    <row r="143" spans="1:11">
      <c r="A143" s="68"/>
      <c r="B143" s="14"/>
      <c r="C143" s="14"/>
      <c r="D143" s="14"/>
      <c r="E143" s="14"/>
      <c r="F143" s="156" t="s">
        <v>115</v>
      </c>
      <c r="G143" s="182"/>
      <c r="H143" s="14"/>
      <c r="I143" s="183">
        <f>I141/(1.7321*I113*I132)</f>
        <v>8.9853979755662242E-2</v>
      </c>
      <c r="J143" s="14"/>
      <c r="K143" s="151"/>
    </row>
    <row r="144" spans="1:11">
      <c r="A144" s="68"/>
      <c r="B144" s="14"/>
      <c r="C144" s="14" t="s">
        <v>161</v>
      </c>
      <c r="D144" s="14"/>
      <c r="E144" s="14"/>
      <c r="F144" s="156" t="s">
        <v>115</v>
      </c>
      <c r="G144" s="14"/>
      <c r="H144" s="14"/>
      <c r="I144" s="156">
        <v>0.85</v>
      </c>
      <c r="J144" s="14"/>
      <c r="K144" s="151"/>
    </row>
    <row r="145" spans="1:11">
      <c r="A145" s="68"/>
      <c r="B145" s="14"/>
      <c r="C145" s="14" t="s">
        <v>162</v>
      </c>
      <c r="D145" s="14"/>
      <c r="E145" s="14"/>
      <c r="F145" s="156" t="s">
        <v>115</v>
      </c>
      <c r="G145" s="14"/>
      <c r="H145" s="14"/>
      <c r="I145" s="156">
        <v>0.8</v>
      </c>
      <c r="J145" s="14"/>
      <c r="K145" s="151"/>
    </row>
    <row r="146" spans="1:11" ht="20.399999999999999" thickBot="1">
      <c r="A146" s="68"/>
      <c r="B146" s="14"/>
      <c r="C146" s="14"/>
      <c r="D146" s="176" t="s">
        <v>134</v>
      </c>
      <c r="E146" s="14"/>
      <c r="F146" s="156"/>
      <c r="G146" s="176"/>
      <c r="H146" s="156" t="s">
        <v>115</v>
      </c>
      <c r="I146" s="183">
        <f>I143*I144*I145</f>
        <v>6.1100706233850326E-2</v>
      </c>
      <c r="J146" s="14"/>
      <c r="K146" s="151"/>
    </row>
    <row r="147" spans="1:11" ht="13.8" thickBot="1">
      <c r="A147" s="68"/>
      <c r="B147" s="14"/>
      <c r="C147" s="14" t="s">
        <v>130</v>
      </c>
      <c r="D147" s="14"/>
      <c r="E147" s="14"/>
      <c r="F147" s="156" t="s">
        <v>115</v>
      </c>
      <c r="G147" s="104"/>
      <c r="H147" s="184"/>
      <c r="I147" s="171">
        <f>I134/I146</f>
        <v>1.7512072543070061</v>
      </c>
      <c r="J147" s="14"/>
      <c r="K147" s="151"/>
    </row>
    <row r="148" spans="1:11" ht="13.8" thickBot="1">
      <c r="A148" s="72"/>
      <c r="B148" s="65"/>
      <c r="C148" s="65"/>
      <c r="D148" s="65"/>
      <c r="E148" s="65"/>
      <c r="F148" s="65"/>
      <c r="G148" s="65"/>
      <c r="H148" s="65"/>
      <c r="I148" s="185"/>
      <c r="J148" s="65"/>
      <c r="K148" s="186"/>
    </row>
    <row r="149" spans="1:11" ht="13.8" thickTop="1"/>
  </sheetData>
  <mergeCells count="21">
    <mergeCell ref="B101:J101"/>
    <mergeCell ref="C124:G124"/>
    <mergeCell ref="F131:G131"/>
    <mergeCell ref="C135:D135"/>
    <mergeCell ref="B51:J51"/>
    <mergeCell ref="I59:J59"/>
    <mergeCell ref="C74:G74"/>
    <mergeCell ref="C140:D140"/>
    <mergeCell ref="G147:H147"/>
    <mergeCell ref="C85:D85"/>
    <mergeCell ref="C87:D87"/>
    <mergeCell ref="B90:C90"/>
    <mergeCell ref="D90:E90"/>
    <mergeCell ref="C137:D137"/>
    <mergeCell ref="C41:D41"/>
    <mergeCell ref="G48:H48"/>
    <mergeCell ref="B2:J2"/>
    <mergeCell ref="F32:G32"/>
    <mergeCell ref="C36:D36"/>
    <mergeCell ref="C38:D38"/>
    <mergeCell ref="C25:G25"/>
  </mergeCells>
  <phoneticPr fontId="26" type="noConversion"/>
  <pageMargins left="0.59055118110236227" right="0.59055118110236227" top="0.9055118110236221" bottom="0.98425196850393704" header="0.9055118110236221" footer="0.51181102362204722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D.B. detail</vt:lpstr>
      <vt:lpstr>Laminaire cal.</vt:lpstr>
      <vt:lpstr>Table1</vt:lpstr>
      <vt:lpstr>Table2</vt:lpstr>
      <vt:lpstr>cable cal 1ph</vt:lpstr>
      <vt:lpstr>Cable cal.3ph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mohamedmostafa</dc:creator>
  <cp:lastModifiedBy>Ankesh Mishra</cp:lastModifiedBy>
  <cp:lastPrinted>2005-08-18T10:13:36Z</cp:lastPrinted>
  <dcterms:created xsi:type="dcterms:W3CDTF">2003-04-30T20:16:02Z</dcterms:created>
  <dcterms:modified xsi:type="dcterms:W3CDTF">2025-03-19T08:22:59Z</dcterms:modified>
</cp:coreProperties>
</file>