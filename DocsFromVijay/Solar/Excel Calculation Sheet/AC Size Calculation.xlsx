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ANKESH MISHRA\@FLASYS\Sales\@Online Selling Service\Solar Documents Bundle\@Ready to Deliver\"/>
    </mc:Choice>
  </mc:AlternateContent>
  <xr:revisionPtr revIDLastSave="0" documentId="13_ncr:1_{E8F61B62-273E-4CC4-8A78-EA361D95925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1" l="1"/>
  <c r="J13" i="1"/>
  <c r="F14" i="1"/>
  <c r="O14" i="1"/>
  <c r="Z32" i="1"/>
  <c r="R28" i="1"/>
  <c r="O28" i="1"/>
  <c r="R27" i="1"/>
  <c r="O27" i="1"/>
  <c r="R26" i="1"/>
  <c r="O26" i="1"/>
  <c r="R25" i="1"/>
  <c r="O25" i="1"/>
  <c r="I25" i="1"/>
  <c r="C25" i="1"/>
  <c r="R24" i="1"/>
  <c r="O24" i="1"/>
  <c r="R23" i="1"/>
  <c r="O23" i="1"/>
  <c r="R22" i="1"/>
  <c r="O22" i="1"/>
  <c r="R21" i="1"/>
  <c r="O21" i="1"/>
  <c r="J21" i="1"/>
  <c r="F21" i="1"/>
  <c r="R20" i="1"/>
  <c r="O20" i="1"/>
  <c r="J20" i="1"/>
  <c r="F20" i="1"/>
  <c r="R19" i="1"/>
  <c r="O19" i="1"/>
  <c r="J19" i="1"/>
  <c r="F19" i="1"/>
  <c r="R18" i="1"/>
  <c r="O18" i="1"/>
  <c r="R17" i="1"/>
  <c r="O17" i="1"/>
  <c r="J17" i="1"/>
  <c r="F17" i="1"/>
  <c r="R16" i="1"/>
  <c r="O16" i="1"/>
  <c r="J16" i="1"/>
  <c r="F16" i="1"/>
  <c r="R15" i="1"/>
  <c r="O15" i="1"/>
  <c r="J15" i="1"/>
  <c r="F15" i="1"/>
  <c r="R14" i="1"/>
  <c r="J14" i="1"/>
  <c r="W13" i="1"/>
  <c r="R13" i="1"/>
  <c r="O13" i="1"/>
  <c r="F13" i="1"/>
  <c r="R12" i="1"/>
  <c r="O12" i="1"/>
  <c r="I12" i="1"/>
  <c r="F18" i="1" s="1"/>
  <c r="H12" i="1"/>
  <c r="E12" i="1"/>
  <c r="D12" i="1"/>
  <c r="R11" i="1"/>
  <c r="R29" i="1" s="1"/>
  <c r="W15" i="1" s="1"/>
  <c r="O11" i="1"/>
  <c r="O29" i="1" s="1"/>
  <c r="W14" i="1" s="1"/>
  <c r="W9" i="1"/>
  <c r="G9" i="1"/>
  <c r="C9" i="1"/>
  <c r="E23" i="1" l="1"/>
  <c r="W11" i="1"/>
  <c r="J18" i="1"/>
  <c r="W10" i="1" l="1"/>
  <c r="W12" i="1" s="1"/>
  <c r="W17" i="1" s="1"/>
  <c r="W18" i="1" s="1"/>
  <c r="W20" i="1" s="1"/>
  <c r="W22" i="1" s="1"/>
</calcChain>
</file>

<file path=xl/sharedStrings.xml><?xml version="1.0" encoding="utf-8"?>
<sst xmlns="http://schemas.openxmlformats.org/spreadsheetml/2006/main" count="41" uniqueCount="32">
  <si>
    <t>Room Detail</t>
  </si>
  <si>
    <t>Unit</t>
  </si>
  <si>
    <t>Sq.Foot</t>
  </si>
  <si>
    <t>Electrical Appliances  in The Room</t>
  </si>
  <si>
    <t>CALCULATION</t>
  </si>
  <si>
    <t>Electrical Equipments</t>
  </si>
  <si>
    <t xml:space="preserve">Electrical Lighting </t>
  </si>
  <si>
    <t>Room BTU</t>
  </si>
  <si>
    <t>Qty</t>
  </si>
  <si>
    <t>Watt</t>
  </si>
  <si>
    <t>Total</t>
  </si>
  <si>
    <t>South window BTU</t>
  </si>
  <si>
    <t xml:space="preserve">Windows in North Side </t>
  </si>
  <si>
    <t>Window in South Side</t>
  </si>
  <si>
    <t>North Window BTU</t>
  </si>
  <si>
    <t>Windows BTU</t>
  </si>
  <si>
    <t>Occupant BTU</t>
  </si>
  <si>
    <t>Equipment BTU</t>
  </si>
  <si>
    <t xml:space="preserve"> Lighting BTU</t>
  </si>
  <si>
    <t>Total Heat Load BTU</t>
  </si>
  <si>
    <t>Total Cooling Required (BTU)</t>
  </si>
  <si>
    <t>Required A.C (Tone)</t>
  </si>
  <si>
    <t>OR</t>
  </si>
  <si>
    <t>Required A.C (KW)</t>
  </si>
  <si>
    <t>Is there any Blinds on The windows</t>
  </si>
  <si>
    <t>Yes</t>
  </si>
  <si>
    <t>Nos of Persons Who may utilize the Room</t>
  </si>
  <si>
    <t>No</t>
  </si>
  <si>
    <t>Sq.Meter</t>
  </si>
  <si>
    <t>https://www.flasysdesign.com/</t>
  </si>
  <si>
    <t>Email: contact@flasysdesign.com</t>
  </si>
  <si>
    <t xml:space="preserve">CALCULATE CAPACITY OF ROOM AIR CONDITIONER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</si>
</sst>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b/>
      <sz val="10"/>
      <color rgb="FF003366"/>
      <name val="Arial"/>
      <family val="2"/>
    </font>
    <font>
      <b/>
      <sz val="10"/>
      <color rgb="FF3F3151"/>
      <name val="Arial"/>
      <family val="2"/>
    </font>
    <font>
      <b/>
      <sz val="10"/>
      <color rgb="FF632423"/>
      <name val="Arial"/>
      <family val="2"/>
    </font>
    <font>
      <sz val="10"/>
      <color rgb="FF0066CC"/>
      <name val="Arial"/>
      <family val="2"/>
    </font>
    <font>
      <sz val="10"/>
      <color rgb="FFC6D9F0"/>
      <name val="Arial"/>
      <family val="2"/>
    </font>
    <font>
      <sz val="10"/>
      <color theme="0"/>
      <name val="Arial"/>
      <family val="2"/>
    </font>
    <font>
      <b/>
      <sz val="10"/>
      <color rgb="FF0066CC"/>
      <name val="Arial"/>
      <family val="2"/>
    </font>
    <font>
      <u/>
      <sz val="11"/>
      <color theme="10"/>
      <name val="Calibri"/>
      <family val="2"/>
      <scheme val="minor"/>
    </font>
    <font>
      <b/>
      <sz val="18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C6D9F0"/>
        <bgColor rgb="FFC6D9F0"/>
      </patternFill>
    </fill>
    <fill>
      <patternFill patternType="solid">
        <fgColor theme="0"/>
        <bgColor theme="0"/>
      </patternFill>
    </fill>
    <fill>
      <patternFill patternType="solid">
        <fgColor rgb="FF003366"/>
        <bgColor rgb="FF003366"/>
      </patternFill>
    </fill>
    <fill>
      <patternFill patternType="solid">
        <fgColor theme="9" tint="0.59999389629810485"/>
        <bgColor rgb="FFC6D9F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rgb="FFC6D9F0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249977111117893"/>
        <bgColor theme="0"/>
      </patternFill>
    </fill>
    <fill>
      <patternFill patternType="solid">
        <fgColor theme="5" tint="0.39997558519241921"/>
        <bgColor rgb="FFC6D9F0"/>
      </patternFill>
    </fill>
    <fill>
      <patternFill patternType="solid">
        <fgColor theme="5" tint="0.39997558519241921"/>
        <bgColor indexed="64"/>
      </patternFill>
    </fill>
  </fills>
  <borders count="35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66CC"/>
      </left>
      <right style="medium">
        <color rgb="FF0066CC"/>
      </right>
      <top style="medium">
        <color rgb="FF0066CC"/>
      </top>
      <bottom style="medium">
        <color rgb="FF0066CC"/>
      </bottom>
      <diagonal/>
    </border>
    <border>
      <left/>
      <right style="thin">
        <color rgb="FF000000"/>
      </right>
      <top/>
      <bottom/>
      <diagonal/>
    </border>
    <border>
      <left style="medium">
        <color rgb="FF0066CC"/>
      </left>
      <right/>
      <top style="medium">
        <color rgb="FF0066CC"/>
      </top>
      <bottom style="medium">
        <color rgb="FF0066CC"/>
      </bottom>
      <diagonal/>
    </border>
    <border>
      <left/>
      <right/>
      <top style="medium">
        <color rgb="FF0066CC"/>
      </top>
      <bottom style="medium">
        <color rgb="FF0066CC"/>
      </bottom>
      <diagonal/>
    </border>
    <border>
      <left/>
      <right style="medium">
        <color rgb="FF0066CC"/>
      </right>
      <top style="medium">
        <color rgb="FF0066CC"/>
      </top>
      <bottom style="medium">
        <color rgb="FF0066CC"/>
      </bottom>
      <diagonal/>
    </border>
    <border>
      <left style="medium">
        <color rgb="FF0066CC"/>
      </left>
      <right style="thin">
        <color rgb="FF0066CC"/>
      </right>
      <top/>
      <bottom style="thin">
        <color rgb="FF0066CC"/>
      </bottom>
      <diagonal/>
    </border>
    <border>
      <left style="thin">
        <color rgb="FF0066CC"/>
      </left>
      <right style="thin">
        <color rgb="FF0066CC"/>
      </right>
      <top/>
      <bottom style="thin">
        <color rgb="FF0066CC"/>
      </bottom>
      <diagonal/>
    </border>
    <border>
      <left/>
      <right style="medium">
        <color rgb="FF0066CC"/>
      </right>
      <top/>
      <bottom/>
      <diagonal/>
    </border>
    <border>
      <left style="medium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>
      <left style="thin">
        <color rgb="FF0066CC"/>
      </left>
      <right style="thin">
        <color rgb="FF0066CC"/>
      </right>
      <top style="thin">
        <color rgb="FF0066CC"/>
      </top>
      <bottom style="thin">
        <color rgb="FF0066CC"/>
      </bottom>
      <diagonal/>
    </border>
    <border>
      <left style="medium">
        <color rgb="FF0066CC"/>
      </left>
      <right style="thin">
        <color rgb="FF0066CC"/>
      </right>
      <top style="medium">
        <color rgb="FF0066CC"/>
      </top>
      <bottom style="thin">
        <color rgb="FF0066CC"/>
      </bottom>
      <diagonal/>
    </border>
    <border>
      <left style="thin">
        <color rgb="FF0066CC"/>
      </left>
      <right style="thin">
        <color rgb="FF0066CC"/>
      </right>
      <top style="medium">
        <color rgb="FF0066CC"/>
      </top>
      <bottom style="thin">
        <color rgb="FF0066CC"/>
      </bottom>
      <diagonal/>
    </border>
    <border>
      <left style="thin">
        <color rgb="FF0066CC"/>
      </left>
      <right style="medium">
        <color rgb="FF0066CC"/>
      </right>
      <top style="medium">
        <color rgb="FF0066CC"/>
      </top>
      <bottom style="thin">
        <color rgb="FF0066CC"/>
      </bottom>
      <diagonal/>
    </border>
    <border>
      <left style="thin">
        <color rgb="FF0066CC"/>
      </left>
      <right style="medium">
        <color rgb="FF0066CC"/>
      </right>
      <top style="thin">
        <color rgb="FF0066CC"/>
      </top>
      <bottom style="thin">
        <color rgb="FF0066CC"/>
      </bottom>
      <diagonal/>
    </border>
    <border>
      <left style="medium">
        <color rgb="FF0066CC"/>
      </left>
      <right style="thin">
        <color rgb="FF0066CC"/>
      </right>
      <top style="thin">
        <color rgb="FF0066CC"/>
      </top>
      <bottom style="medium">
        <color rgb="FF0066CC"/>
      </bottom>
      <diagonal/>
    </border>
    <border>
      <left style="thin">
        <color rgb="FF0066CC"/>
      </left>
      <right style="thin">
        <color rgb="FF0066CC"/>
      </right>
      <top style="thin">
        <color rgb="FF0066CC"/>
      </top>
      <bottom style="medium">
        <color rgb="FF0066CC"/>
      </bottom>
      <diagonal/>
    </border>
    <border>
      <left style="thin">
        <color rgb="FF0066CC"/>
      </left>
      <right style="medium">
        <color rgb="FF0066CC"/>
      </right>
      <top style="thin">
        <color rgb="FF0066CC"/>
      </top>
      <bottom style="medium">
        <color rgb="FF0066CC"/>
      </bottom>
      <diagonal/>
    </border>
    <border>
      <left/>
      <right style="medium">
        <color rgb="FF0066CC"/>
      </right>
      <top/>
      <bottom style="medium">
        <color rgb="FF0066CC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68">
    <xf numFmtId="0" fontId="0" fillId="0" borderId="0" xfId="0"/>
    <xf numFmtId="0" fontId="1" fillId="3" borderId="6" xfId="0" applyFont="1" applyFill="1" applyBorder="1" applyAlignment="1">
      <alignment horizontal="center"/>
    </xf>
    <xf numFmtId="0" fontId="1" fillId="2" borderId="11" xfId="0" applyFont="1" applyFill="1" applyBorder="1"/>
    <xf numFmtId="0" fontId="1" fillId="2" borderId="12" xfId="0" applyFont="1" applyFill="1" applyBorder="1"/>
    <xf numFmtId="0" fontId="1" fillId="2" borderId="13" xfId="0" applyFont="1" applyFill="1" applyBorder="1"/>
    <xf numFmtId="0" fontId="1" fillId="3" borderId="14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/>
    </xf>
    <xf numFmtId="0" fontId="1" fillId="2" borderId="16" xfId="0" applyFont="1" applyFill="1" applyBorder="1"/>
    <xf numFmtId="0" fontId="1" fillId="2" borderId="17" xfId="0" applyFont="1" applyFill="1" applyBorder="1"/>
    <xf numFmtId="0" fontId="1" fillId="2" borderId="18" xfId="0" applyFont="1" applyFill="1" applyBorder="1"/>
    <xf numFmtId="0" fontId="1" fillId="3" borderId="19" xfId="0" applyFont="1" applyFill="1" applyBorder="1" applyAlignment="1">
      <alignment horizontal="center"/>
    </xf>
    <xf numFmtId="0" fontId="9" fillId="4" borderId="1" xfId="0" applyFont="1" applyFill="1" applyBorder="1"/>
    <xf numFmtId="2" fontId="9" fillId="4" borderId="1" xfId="0" applyNumberFormat="1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2" xfId="0" applyFont="1" applyFill="1" applyBorder="1" applyAlignment="1">
      <alignment horizontal="center"/>
    </xf>
    <xf numFmtId="0" fontId="7" fillId="2" borderId="23" xfId="0" applyFont="1" applyFill="1" applyBorder="1" applyAlignment="1">
      <alignment horizontal="center"/>
    </xf>
    <xf numFmtId="0" fontId="6" fillId="2" borderId="8" xfId="0" applyFont="1" applyFill="1" applyBorder="1" applyAlignment="1">
      <alignment horizontal="center"/>
    </xf>
    <xf numFmtId="0" fontId="3" fillId="0" borderId="9" xfId="0" applyFont="1" applyBorder="1"/>
    <xf numFmtId="0" fontId="3" fillId="0" borderId="10" xfId="0" applyFont="1" applyBorder="1"/>
    <xf numFmtId="0" fontId="1" fillId="5" borderId="27" xfId="0" applyFont="1" applyFill="1" applyBorder="1"/>
    <xf numFmtId="0" fontId="1" fillId="5" borderId="28" xfId="0" applyFont="1" applyFill="1" applyBorder="1"/>
    <xf numFmtId="0" fontId="11" fillId="6" borderId="28" xfId="1" applyFill="1" applyBorder="1" applyAlignment="1">
      <alignment vertical="center" wrapText="1"/>
    </xf>
    <xf numFmtId="0" fontId="3" fillId="6" borderId="28" xfId="0" applyFont="1" applyFill="1" applyBorder="1"/>
    <xf numFmtId="0" fontId="1" fillId="5" borderId="29" xfId="0" applyFont="1" applyFill="1" applyBorder="1"/>
    <xf numFmtId="0" fontId="1" fillId="5" borderId="30" xfId="0" applyFont="1" applyFill="1" applyBorder="1"/>
    <xf numFmtId="0" fontId="1" fillId="5" borderId="5" xfId="0" applyFont="1" applyFill="1" applyBorder="1"/>
    <xf numFmtId="0" fontId="12" fillId="5" borderId="5" xfId="0" applyFont="1" applyFill="1" applyBorder="1" applyAlignment="1">
      <alignment horizontal="center" vertical="center"/>
    </xf>
    <xf numFmtId="0" fontId="3" fillId="6" borderId="5" xfId="0" applyFont="1" applyFill="1" applyBorder="1"/>
    <xf numFmtId="0" fontId="1" fillId="5" borderId="31" xfId="0" applyFont="1" applyFill="1" applyBorder="1"/>
    <xf numFmtId="0" fontId="1" fillId="5" borderId="32" xfId="0" applyFont="1" applyFill="1" applyBorder="1"/>
    <xf numFmtId="0" fontId="1" fillId="5" borderId="33" xfId="0" applyFont="1" applyFill="1" applyBorder="1"/>
    <xf numFmtId="0" fontId="1" fillId="5" borderId="34" xfId="0" applyFont="1" applyFill="1" applyBorder="1"/>
    <xf numFmtId="0" fontId="1" fillId="7" borderId="1" xfId="0" applyFont="1" applyFill="1" applyBorder="1"/>
    <xf numFmtId="0" fontId="8" fillId="7" borderId="1" xfId="0" applyFont="1" applyFill="1" applyBorder="1"/>
    <xf numFmtId="0" fontId="0" fillId="8" borderId="0" xfId="0" applyFill="1"/>
    <xf numFmtId="0" fontId="1" fillId="7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3" fillId="8" borderId="4" xfId="0" applyFont="1" applyFill="1" applyBorder="1"/>
    <xf numFmtId="0" fontId="3" fillId="8" borderId="5" xfId="0" applyFont="1" applyFill="1" applyBorder="1"/>
    <xf numFmtId="0" fontId="1" fillId="9" borderId="1" xfId="0" applyFont="1" applyFill="1" applyBorder="1"/>
    <xf numFmtId="0" fontId="8" fillId="7" borderId="1" xfId="0" applyFont="1" applyFill="1" applyBorder="1" applyAlignment="1">
      <alignment horizontal="center"/>
    </xf>
    <xf numFmtId="0" fontId="1" fillId="10" borderId="2" xfId="0" applyFont="1" applyFill="1" applyBorder="1"/>
    <xf numFmtId="0" fontId="1" fillId="10" borderId="1" xfId="0" applyFont="1" applyFill="1" applyBorder="1"/>
    <xf numFmtId="0" fontId="1" fillId="10" borderId="7" xfId="0" applyFont="1" applyFill="1" applyBorder="1"/>
    <xf numFmtId="0" fontId="1" fillId="10" borderId="24" xfId="0" applyFont="1" applyFill="1" applyBorder="1"/>
    <xf numFmtId="0" fontId="1" fillId="10" borderId="25" xfId="0" applyFont="1" applyFill="1" applyBorder="1"/>
    <xf numFmtId="0" fontId="1" fillId="10" borderId="26" xfId="0" applyFont="1" applyFill="1" applyBorder="1"/>
    <xf numFmtId="0" fontId="2" fillId="10" borderId="3" xfId="0" applyFont="1" applyFill="1" applyBorder="1" applyAlignment="1">
      <alignment horizontal="left"/>
    </xf>
    <xf numFmtId="0" fontId="3" fillId="11" borderId="4" xfId="0" applyFont="1" applyFill="1" applyBorder="1"/>
    <xf numFmtId="0" fontId="3" fillId="11" borderId="5" xfId="0" applyFont="1" applyFill="1" applyBorder="1"/>
    <xf numFmtId="0" fontId="2" fillId="10" borderId="3" xfId="0" applyFont="1" applyFill="1" applyBorder="1" applyAlignment="1">
      <alignment horizontal="center"/>
    </xf>
    <xf numFmtId="0" fontId="2" fillId="10" borderId="1" xfId="0" applyFont="1" applyFill="1" applyBorder="1" applyAlignment="1">
      <alignment horizontal="center"/>
    </xf>
    <xf numFmtId="0" fontId="1" fillId="10" borderId="7" xfId="0" applyFont="1" applyFill="1" applyBorder="1" applyAlignment="1">
      <alignment horizontal="center"/>
    </xf>
    <xf numFmtId="0" fontId="8" fillId="10" borderId="7" xfId="0" applyFont="1" applyFill="1" applyBorder="1"/>
    <xf numFmtId="0" fontId="8" fillId="10" borderId="1" xfId="0" applyFont="1" applyFill="1" applyBorder="1"/>
    <xf numFmtId="0" fontId="1" fillId="10" borderId="3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4" fillId="10" borderId="3" xfId="0" applyFont="1" applyFill="1" applyBorder="1" applyAlignment="1">
      <alignment horizontal="center"/>
    </xf>
    <xf numFmtId="0" fontId="4" fillId="10" borderId="1" xfId="0" applyFont="1" applyFill="1" applyBorder="1"/>
    <xf numFmtId="0" fontId="1" fillId="10" borderId="5" xfId="0" applyFont="1" applyFill="1" applyBorder="1"/>
    <xf numFmtId="0" fontId="10" fillId="10" borderId="25" xfId="0" applyFont="1" applyFill="1" applyBorder="1" applyAlignment="1">
      <alignment horizontal="center"/>
    </xf>
    <xf numFmtId="0" fontId="5" fillId="10" borderId="3" xfId="0" applyFont="1" applyFill="1" applyBorder="1" applyAlignment="1">
      <alignment horizontal="center"/>
    </xf>
    <xf numFmtId="1" fontId="1" fillId="10" borderId="1" xfId="0" applyNumberFormat="1" applyFont="1" applyFill="1" applyBorder="1" applyAlignment="1">
      <alignment horizontal="center"/>
    </xf>
    <xf numFmtId="1" fontId="1" fillId="10" borderId="1" xfId="0" applyNumberFormat="1" applyFont="1" applyFill="1" applyBorder="1"/>
    <xf numFmtId="2" fontId="1" fillId="10" borderId="1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C6D9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381001</xdr:colOff>
      <xdr:row>3</xdr:row>
      <xdr:rowOff>7620</xdr:rowOff>
    </xdr:from>
    <xdr:to>
      <xdr:col>21</xdr:col>
      <xdr:colOff>1363981</xdr:colOff>
      <xdr:row>4</xdr:row>
      <xdr:rowOff>107583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70190A2-B42B-394F-CA9C-65BFC611A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51621" y="487680"/>
          <a:ext cx="982980" cy="29808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flasysdesig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0"/>
  <sheetViews>
    <sheetView tabSelected="1" workbookViewId="0">
      <selection activeCell="Z5" sqref="Z5"/>
    </sheetView>
  </sheetViews>
  <sheetFormatPr defaultColWidth="14.44140625" defaultRowHeight="15" customHeight="1" x14ac:dyDescent="0.3"/>
  <cols>
    <col min="1" max="1" width="1.5546875" style="36" customWidth="1"/>
    <col min="2" max="2" width="1.88671875" style="36" customWidth="1"/>
    <col min="3" max="3" width="6.6640625" style="36" customWidth="1"/>
    <col min="4" max="4" width="12.5546875" style="36" customWidth="1"/>
    <col min="5" max="5" width="12.6640625" style="36" customWidth="1"/>
    <col min="6" max="6" width="3.44140625" style="36" customWidth="1"/>
    <col min="7" max="7" width="6" style="36" customWidth="1"/>
    <col min="8" max="8" width="13.33203125" style="36" customWidth="1"/>
    <col min="9" max="9" width="11.88671875" style="36" customWidth="1"/>
    <col min="10" max="10" width="2.88671875" style="36" customWidth="1"/>
    <col min="11" max="12" width="1.5546875" style="36" customWidth="1"/>
    <col min="13" max="13" width="6" style="36" customWidth="1"/>
    <col min="14" max="14" width="8.5546875" style="36" customWidth="1"/>
    <col min="15" max="15" width="8" style="36" customWidth="1"/>
    <col min="16" max="16" width="5" style="36" customWidth="1"/>
    <col min="17" max="18" width="9.109375" style="36" customWidth="1"/>
    <col min="19" max="19" width="1.6640625" style="36" customWidth="1"/>
    <col min="20" max="20" width="2.5546875" style="36" customWidth="1"/>
    <col min="21" max="21" width="1.88671875" style="36" customWidth="1"/>
    <col min="22" max="22" width="25.88671875" style="36" customWidth="1"/>
    <col min="23" max="23" width="11.88671875" style="36" customWidth="1"/>
    <col min="24" max="24" width="1.44140625" style="36" customWidth="1"/>
    <col min="25" max="31" width="9.109375" style="36" customWidth="1"/>
    <col min="32" max="16384" width="14.44140625" style="36"/>
  </cols>
  <sheetData>
    <row r="1" spans="1:31" ht="13.5" customHeight="1" x14ac:dyDescent="0.3">
      <c r="A1" s="34"/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</row>
    <row r="2" spans="1:31" ht="12.75" customHeight="1" x14ac:dyDescent="0.3">
      <c r="A2" s="34"/>
      <c r="B2" s="21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3" t="s">
        <v>29</v>
      </c>
      <c r="W2" s="24"/>
      <c r="X2" s="25"/>
      <c r="Y2" s="34"/>
      <c r="Z2" s="34"/>
      <c r="AA2" s="34"/>
      <c r="AB2" s="34"/>
      <c r="AC2" s="34"/>
      <c r="AD2" s="34"/>
      <c r="AE2" s="34"/>
    </row>
    <row r="3" spans="1:31" ht="12" customHeight="1" x14ac:dyDescent="0.3">
      <c r="A3" s="34"/>
      <c r="B3" s="26"/>
      <c r="C3" s="27"/>
      <c r="D3" s="28" t="s">
        <v>31</v>
      </c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7"/>
      <c r="S3" s="27"/>
      <c r="T3" s="27"/>
      <c r="U3" s="27"/>
      <c r="V3" s="29" t="s">
        <v>30</v>
      </c>
      <c r="W3" s="29"/>
      <c r="X3" s="30"/>
      <c r="Y3" s="34"/>
      <c r="Z3" s="34"/>
      <c r="AA3" s="34"/>
      <c r="AB3" s="34"/>
      <c r="AC3" s="34"/>
      <c r="AD3" s="34"/>
      <c r="AE3" s="34"/>
    </row>
    <row r="4" spans="1:31" ht="15.75" customHeight="1" x14ac:dyDescent="0.3">
      <c r="A4" s="34"/>
      <c r="B4" s="26"/>
      <c r="C4" s="27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7"/>
      <c r="S4" s="27"/>
      <c r="T4" s="27"/>
      <c r="U4" s="27"/>
      <c r="V4" s="29"/>
      <c r="W4" s="29"/>
      <c r="X4" s="30"/>
      <c r="Y4" s="34"/>
      <c r="Z4" s="34"/>
      <c r="AA4" s="34"/>
      <c r="AB4" s="34"/>
      <c r="AC4" s="34"/>
      <c r="AD4" s="34"/>
      <c r="AE4" s="34"/>
    </row>
    <row r="5" spans="1:31" ht="12.75" customHeight="1" x14ac:dyDescent="0.3">
      <c r="A5" s="34"/>
      <c r="B5" s="31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  <c r="Y5" s="34"/>
      <c r="Z5" s="34"/>
      <c r="AA5" s="34"/>
      <c r="AB5" s="34"/>
      <c r="AC5" s="34"/>
      <c r="AD5" s="34"/>
      <c r="AE5" s="34"/>
    </row>
    <row r="6" spans="1:31" ht="13.5" customHeight="1" x14ac:dyDescent="0.3">
      <c r="A6" s="34"/>
      <c r="B6" s="44"/>
      <c r="C6" s="62"/>
      <c r="D6" s="62"/>
      <c r="E6" s="62"/>
      <c r="F6" s="62"/>
      <c r="G6" s="62"/>
      <c r="H6" s="62"/>
      <c r="I6" s="62"/>
      <c r="J6" s="46"/>
      <c r="K6" s="62"/>
      <c r="L6" s="44"/>
      <c r="M6" s="62"/>
      <c r="N6" s="62"/>
      <c r="O6" s="62"/>
      <c r="P6" s="62"/>
      <c r="Q6" s="62"/>
      <c r="R6" s="62"/>
      <c r="S6" s="46"/>
      <c r="T6" s="62"/>
      <c r="U6" s="44"/>
      <c r="V6" s="62"/>
      <c r="W6" s="62"/>
      <c r="X6" s="46"/>
      <c r="Y6" s="34"/>
      <c r="Z6" s="34"/>
      <c r="AA6" s="34"/>
      <c r="AB6" s="34"/>
      <c r="AC6" s="34"/>
      <c r="AD6" s="34"/>
      <c r="AE6" s="34"/>
    </row>
    <row r="7" spans="1:31" ht="13.5" customHeight="1" x14ac:dyDescent="0.3">
      <c r="A7" s="34"/>
      <c r="B7" s="44"/>
      <c r="C7" s="60" t="s">
        <v>0</v>
      </c>
      <c r="D7" s="51"/>
      <c r="E7" s="51"/>
      <c r="F7" s="51"/>
      <c r="G7" s="52"/>
      <c r="H7" s="61" t="s">
        <v>1</v>
      </c>
      <c r="I7" s="1" t="s">
        <v>2</v>
      </c>
      <c r="J7" s="46"/>
      <c r="K7" s="45"/>
      <c r="L7" s="44"/>
      <c r="M7" s="60" t="s">
        <v>3</v>
      </c>
      <c r="N7" s="51"/>
      <c r="O7" s="51"/>
      <c r="P7" s="51"/>
      <c r="Q7" s="51"/>
      <c r="R7" s="52"/>
      <c r="S7" s="46"/>
      <c r="T7" s="45"/>
      <c r="U7" s="44"/>
      <c r="V7" s="64" t="s">
        <v>4</v>
      </c>
      <c r="W7" s="52"/>
      <c r="X7" s="46"/>
      <c r="Y7" s="34"/>
      <c r="Z7" s="34"/>
      <c r="AA7" s="34"/>
      <c r="AB7" s="34"/>
      <c r="AC7" s="34"/>
      <c r="AD7" s="34"/>
      <c r="AE7" s="34"/>
    </row>
    <row r="8" spans="1:31" ht="6" customHeight="1" x14ac:dyDescent="0.3">
      <c r="A8" s="34"/>
      <c r="B8" s="44"/>
      <c r="C8" s="59"/>
      <c r="D8" s="59"/>
      <c r="E8" s="59"/>
      <c r="F8" s="59"/>
      <c r="G8" s="59"/>
      <c r="H8" s="59"/>
      <c r="I8" s="59"/>
      <c r="J8" s="46"/>
      <c r="K8" s="45"/>
      <c r="L8" s="44"/>
      <c r="M8" s="45"/>
      <c r="N8" s="45"/>
      <c r="O8" s="45"/>
      <c r="P8" s="45"/>
      <c r="Q8" s="45"/>
      <c r="R8" s="45"/>
      <c r="S8" s="46"/>
      <c r="T8" s="45"/>
      <c r="U8" s="44"/>
      <c r="V8" s="45"/>
      <c r="W8" s="45"/>
      <c r="X8" s="46"/>
      <c r="Y8" s="34"/>
      <c r="Z8" s="34"/>
      <c r="AA8" s="34"/>
      <c r="AB8" s="34"/>
      <c r="AC8" s="34"/>
      <c r="AD8" s="34"/>
      <c r="AE8" s="34"/>
    </row>
    <row r="9" spans="1:31" ht="13.5" customHeight="1" x14ac:dyDescent="0.3">
      <c r="A9" s="34"/>
      <c r="B9" s="44"/>
      <c r="C9" s="58" t="str">
        <f>"Length of Room"&amp;Z32</f>
        <v>Length of Room(Foot)</v>
      </c>
      <c r="D9" s="52"/>
      <c r="E9" s="1">
        <v>12</v>
      </c>
      <c r="F9" s="45"/>
      <c r="G9" s="58" t="str">
        <f>"Width of Room"&amp;Z32</f>
        <v>Width of Room(Foot)</v>
      </c>
      <c r="H9" s="52"/>
      <c r="I9" s="1">
        <v>11</v>
      </c>
      <c r="J9" s="46"/>
      <c r="K9" s="45"/>
      <c r="L9" s="44"/>
      <c r="M9" s="18" t="s">
        <v>5</v>
      </c>
      <c r="N9" s="19"/>
      <c r="O9" s="20"/>
      <c r="P9" s="18" t="s">
        <v>6</v>
      </c>
      <c r="Q9" s="19"/>
      <c r="R9" s="20"/>
      <c r="S9" s="46"/>
      <c r="T9" s="45"/>
      <c r="U9" s="44"/>
      <c r="V9" s="45" t="s">
        <v>7</v>
      </c>
      <c r="W9" s="65">
        <f>IF(I7="Sq.Meter",(E9*I9*10.76*31.25),(E9*I9*31.25))</f>
        <v>4125</v>
      </c>
      <c r="X9" s="46"/>
      <c r="Y9" s="34"/>
      <c r="Z9" s="34"/>
      <c r="AA9" s="34"/>
      <c r="AB9" s="34"/>
      <c r="AC9" s="34"/>
      <c r="AD9" s="34"/>
      <c r="AE9" s="34"/>
    </row>
    <row r="10" spans="1:31" ht="13.5" customHeight="1" x14ac:dyDescent="0.3">
      <c r="A10" s="34"/>
      <c r="B10" s="44"/>
      <c r="C10" s="45"/>
      <c r="D10" s="45"/>
      <c r="E10" s="45"/>
      <c r="F10" s="45"/>
      <c r="G10" s="45"/>
      <c r="H10" s="45"/>
      <c r="I10" s="45"/>
      <c r="J10" s="46"/>
      <c r="K10" s="45"/>
      <c r="L10" s="44"/>
      <c r="M10" s="2" t="s">
        <v>8</v>
      </c>
      <c r="N10" s="3" t="s">
        <v>9</v>
      </c>
      <c r="O10" s="4" t="s">
        <v>10</v>
      </c>
      <c r="P10" s="2" t="s">
        <v>8</v>
      </c>
      <c r="Q10" s="3" t="s">
        <v>9</v>
      </c>
      <c r="R10" s="4" t="s">
        <v>10</v>
      </c>
      <c r="S10" s="46"/>
      <c r="T10" s="45"/>
      <c r="U10" s="44"/>
      <c r="V10" s="45" t="s">
        <v>11</v>
      </c>
      <c r="W10" s="65">
        <f>IF(I26="Yes",(I23)*868,((I23)*868*1.5))</f>
        <v>3228.9599999999996</v>
      </c>
      <c r="X10" s="46"/>
      <c r="Y10" s="34"/>
      <c r="Z10" s="34"/>
      <c r="AA10" s="34"/>
      <c r="AB10" s="34"/>
      <c r="AC10" s="34"/>
      <c r="AD10" s="34"/>
      <c r="AE10" s="34"/>
    </row>
    <row r="11" spans="1:31" ht="15" customHeight="1" x14ac:dyDescent="0.3">
      <c r="A11" s="34"/>
      <c r="B11" s="44"/>
      <c r="C11" s="18" t="s">
        <v>12</v>
      </c>
      <c r="D11" s="19"/>
      <c r="E11" s="20"/>
      <c r="F11" s="45"/>
      <c r="G11" s="18" t="s">
        <v>13</v>
      </c>
      <c r="H11" s="19"/>
      <c r="I11" s="20"/>
      <c r="J11" s="55"/>
      <c r="K11" s="59"/>
      <c r="L11" s="44"/>
      <c r="M11" s="5"/>
      <c r="N11" s="6"/>
      <c r="O11" s="7">
        <f t="shared" ref="O11:O28" si="0">M11*N11</f>
        <v>0</v>
      </c>
      <c r="P11" s="5"/>
      <c r="Q11" s="6"/>
      <c r="R11" s="7">
        <f t="shared" ref="R11:R28" si="1">P11*Q11</f>
        <v>0</v>
      </c>
      <c r="S11" s="46"/>
      <c r="T11" s="45"/>
      <c r="U11" s="44"/>
      <c r="V11" s="45" t="s">
        <v>14</v>
      </c>
      <c r="W11" s="65">
        <f>IF(I26="Yes",(E23)*164,((E23)*164*1.5))</f>
        <v>137.268</v>
      </c>
      <c r="X11" s="46"/>
      <c r="Y11" s="34"/>
      <c r="Z11" s="34"/>
      <c r="AA11" s="34"/>
      <c r="AB11" s="34"/>
      <c r="AC11" s="34"/>
      <c r="AD11" s="34"/>
      <c r="AE11" s="34"/>
    </row>
    <row r="12" spans="1:31" ht="12.75" customHeight="1" x14ac:dyDescent="0.3">
      <c r="A12" s="34"/>
      <c r="B12" s="44"/>
      <c r="C12" s="8" t="s">
        <v>8</v>
      </c>
      <c r="D12" s="9" t="str">
        <f>"Lengt"&amp;Z32</f>
        <v>Lengt(Foot)</v>
      </c>
      <c r="E12" s="10" t="str">
        <f>"Width"&amp;Z32</f>
        <v>Width(Foot)</v>
      </c>
      <c r="F12" s="45"/>
      <c r="G12" s="8" t="s">
        <v>8</v>
      </c>
      <c r="H12" s="9" t="str">
        <f>"Lengt"&amp;Z32</f>
        <v>Lengt(Foot)</v>
      </c>
      <c r="I12" s="10" t="str">
        <f>"Width"&amp;Z32</f>
        <v>Width(Foot)</v>
      </c>
      <c r="J12" s="46"/>
      <c r="K12" s="45"/>
      <c r="L12" s="44"/>
      <c r="M12" s="5"/>
      <c r="N12" s="6"/>
      <c r="O12" s="7">
        <f t="shared" si="0"/>
        <v>0</v>
      </c>
      <c r="P12" s="5"/>
      <c r="Q12" s="6"/>
      <c r="R12" s="7">
        <f t="shared" si="1"/>
        <v>0</v>
      </c>
      <c r="S12" s="46"/>
      <c r="T12" s="45"/>
      <c r="U12" s="44"/>
      <c r="V12" s="45" t="s">
        <v>15</v>
      </c>
      <c r="W12" s="65">
        <f>W10+W11</f>
        <v>3366.2279999999996</v>
      </c>
      <c r="X12" s="46"/>
      <c r="Y12" s="34"/>
      <c r="Z12" s="34"/>
      <c r="AA12" s="34"/>
      <c r="AB12" s="34"/>
      <c r="AC12" s="34"/>
      <c r="AD12" s="34"/>
      <c r="AE12" s="34"/>
    </row>
    <row r="13" spans="1:31" ht="12.75" customHeight="1" x14ac:dyDescent="0.3">
      <c r="A13" s="34"/>
      <c r="B13" s="44"/>
      <c r="C13" s="5">
        <v>1</v>
      </c>
      <c r="D13" s="6">
        <v>3</v>
      </c>
      <c r="E13" s="11">
        <v>3</v>
      </c>
      <c r="F13" s="57">
        <f t="shared" ref="F13:F21" si="2">IF(I7="Sq.Meter",C13*(D13*E13),C13*(D13*E13*0.093))</f>
        <v>0.83699999999999997</v>
      </c>
      <c r="G13" s="5">
        <v>1</v>
      </c>
      <c r="H13" s="6">
        <v>10</v>
      </c>
      <c r="I13" s="11">
        <v>4</v>
      </c>
      <c r="J13" s="56">
        <f>IF(I7="Sq.Meter",G13*(H13*I13),G13*(H13*I13*0.093))</f>
        <v>3.7199999999999998</v>
      </c>
      <c r="K13" s="45"/>
      <c r="L13" s="44"/>
      <c r="M13" s="5"/>
      <c r="N13" s="6"/>
      <c r="O13" s="7">
        <f t="shared" si="0"/>
        <v>0</v>
      </c>
      <c r="P13" s="5"/>
      <c r="Q13" s="6"/>
      <c r="R13" s="7">
        <f t="shared" si="1"/>
        <v>0</v>
      </c>
      <c r="S13" s="46"/>
      <c r="T13" s="45"/>
      <c r="U13" s="44"/>
      <c r="V13" s="45" t="s">
        <v>16</v>
      </c>
      <c r="W13" s="65">
        <f>I27*440</f>
        <v>0</v>
      </c>
      <c r="X13" s="46"/>
      <c r="Y13" s="34"/>
      <c r="Z13" s="34"/>
      <c r="AA13" s="34"/>
      <c r="AB13" s="34"/>
      <c r="AC13" s="34"/>
      <c r="AD13" s="34"/>
      <c r="AE13" s="34"/>
    </row>
    <row r="14" spans="1:31" ht="12.75" customHeight="1" x14ac:dyDescent="0.3">
      <c r="A14" s="34"/>
      <c r="B14" s="44"/>
      <c r="C14" s="5"/>
      <c r="D14" s="6"/>
      <c r="E14" s="11"/>
      <c r="F14" s="57">
        <f>IF(I8="Sq.Meter",C14*(D14*E14),C14*(D14*E14*0.093))</f>
        <v>0</v>
      </c>
      <c r="G14" s="5"/>
      <c r="H14" s="6"/>
      <c r="I14" s="11"/>
      <c r="J14" s="56">
        <f t="shared" ref="J13:J21" si="3">IF(I8="Sq.Meter",G14*(H14*I14),G14*(H14*I14*0.093))</f>
        <v>0</v>
      </c>
      <c r="K14" s="45"/>
      <c r="L14" s="44"/>
      <c r="M14" s="5"/>
      <c r="N14" s="6"/>
      <c r="O14" s="7">
        <f>M14*N14</f>
        <v>0</v>
      </c>
      <c r="P14" s="5"/>
      <c r="Q14" s="6"/>
      <c r="R14" s="7">
        <f t="shared" si="1"/>
        <v>0</v>
      </c>
      <c r="S14" s="46"/>
      <c r="T14" s="45"/>
      <c r="U14" s="44"/>
      <c r="V14" s="45" t="s">
        <v>17</v>
      </c>
      <c r="W14" s="65">
        <f>O29*3.5</f>
        <v>0</v>
      </c>
      <c r="X14" s="46"/>
      <c r="Y14" s="34"/>
      <c r="Z14" s="34"/>
      <c r="AA14" s="34"/>
      <c r="AB14" s="34"/>
      <c r="AC14" s="34"/>
      <c r="AD14" s="34"/>
      <c r="AE14" s="34"/>
    </row>
    <row r="15" spans="1:31" ht="12.75" customHeight="1" x14ac:dyDescent="0.3">
      <c r="A15" s="34"/>
      <c r="B15" s="44"/>
      <c r="C15" s="5"/>
      <c r="D15" s="6"/>
      <c r="E15" s="11"/>
      <c r="F15" s="57">
        <f t="shared" si="2"/>
        <v>0</v>
      </c>
      <c r="G15" s="5"/>
      <c r="H15" s="6"/>
      <c r="I15" s="11"/>
      <c r="J15" s="56">
        <f t="shared" si="3"/>
        <v>0</v>
      </c>
      <c r="K15" s="45"/>
      <c r="L15" s="44"/>
      <c r="M15" s="5"/>
      <c r="N15" s="6"/>
      <c r="O15" s="7">
        <f t="shared" si="0"/>
        <v>0</v>
      </c>
      <c r="P15" s="5"/>
      <c r="Q15" s="6"/>
      <c r="R15" s="7">
        <f t="shared" si="1"/>
        <v>0</v>
      </c>
      <c r="S15" s="46"/>
      <c r="T15" s="45"/>
      <c r="U15" s="44"/>
      <c r="V15" s="45" t="s">
        <v>18</v>
      </c>
      <c r="W15" s="65">
        <f>R29*4.25</f>
        <v>0</v>
      </c>
      <c r="X15" s="46"/>
      <c r="Y15" s="34"/>
      <c r="Z15" s="34"/>
      <c r="AA15" s="34"/>
      <c r="AB15" s="34"/>
      <c r="AC15" s="34"/>
      <c r="AD15" s="34"/>
      <c r="AE15" s="34"/>
    </row>
    <row r="16" spans="1:31" ht="12.75" customHeight="1" x14ac:dyDescent="0.3">
      <c r="A16" s="34"/>
      <c r="B16" s="44"/>
      <c r="C16" s="5"/>
      <c r="D16" s="6"/>
      <c r="E16" s="11"/>
      <c r="F16" s="57">
        <f t="shared" si="2"/>
        <v>0</v>
      </c>
      <c r="G16" s="5"/>
      <c r="H16" s="6"/>
      <c r="I16" s="11"/>
      <c r="J16" s="56">
        <f t="shared" si="3"/>
        <v>0</v>
      </c>
      <c r="K16" s="45"/>
      <c r="L16" s="44"/>
      <c r="M16" s="5"/>
      <c r="N16" s="6"/>
      <c r="O16" s="7">
        <f t="shared" si="0"/>
        <v>0</v>
      </c>
      <c r="P16" s="5"/>
      <c r="Q16" s="6"/>
      <c r="R16" s="7">
        <f t="shared" si="1"/>
        <v>0</v>
      </c>
      <c r="S16" s="46"/>
      <c r="T16" s="45"/>
      <c r="U16" s="44"/>
      <c r="V16" s="45"/>
      <c r="W16" s="66"/>
      <c r="X16" s="46"/>
      <c r="Y16" s="34"/>
      <c r="Z16" s="34"/>
      <c r="AA16" s="34"/>
      <c r="AB16" s="34"/>
      <c r="AC16" s="34"/>
      <c r="AD16" s="34"/>
      <c r="AE16" s="34"/>
    </row>
    <row r="17" spans="1:31" ht="12.75" customHeight="1" x14ac:dyDescent="0.3">
      <c r="A17" s="34"/>
      <c r="B17" s="44"/>
      <c r="C17" s="5"/>
      <c r="D17" s="6"/>
      <c r="E17" s="11"/>
      <c r="F17" s="57">
        <f t="shared" si="2"/>
        <v>0</v>
      </c>
      <c r="G17" s="5"/>
      <c r="H17" s="6"/>
      <c r="I17" s="11"/>
      <c r="J17" s="56">
        <f t="shared" si="3"/>
        <v>0</v>
      </c>
      <c r="K17" s="45"/>
      <c r="L17" s="44"/>
      <c r="M17" s="5"/>
      <c r="N17" s="6"/>
      <c r="O17" s="7">
        <f t="shared" si="0"/>
        <v>0</v>
      </c>
      <c r="P17" s="5"/>
      <c r="Q17" s="6"/>
      <c r="R17" s="7">
        <f t="shared" si="1"/>
        <v>0</v>
      </c>
      <c r="S17" s="46"/>
      <c r="T17" s="45"/>
      <c r="U17" s="44"/>
      <c r="V17" s="45" t="s">
        <v>19</v>
      </c>
      <c r="W17" s="65">
        <f>SUM(W9:W15)</f>
        <v>10857.455999999998</v>
      </c>
      <c r="X17" s="46"/>
      <c r="Y17" s="34"/>
      <c r="Z17" s="34"/>
      <c r="AA17" s="34"/>
      <c r="AB17" s="34"/>
      <c r="AC17" s="34"/>
      <c r="AD17" s="34"/>
      <c r="AE17" s="34"/>
    </row>
    <row r="18" spans="1:31" ht="12.75" customHeight="1" x14ac:dyDescent="0.3">
      <c r="A18" s="34"/>
      <c r="B18" s="44"/>
      <c r="C18" s="5"/>
      <c r="D18" s="6"/>
      <c r="E18" s="11"/>
      <c r="F18" s="57">
        <f t="shared" si="2"/>
        <v>0</v>
      </c>
      <c r="G18" s="5"/>
      <c r="H18" s="6"/>
      <c r="I18" s="11"/>
      <c r="J18" s="56">
        <f t="shared" si="3"/>
        <v>0</v>
      </c>
      <c r="K18" s="45"/>
      <c r="L18" s="44"/>
      <c r="M18" s="5"/>
      <c r="N18" s="6"/>
      <c r="O18" s="7">
        <f t="shared" si="0"/>
        <v>0</v>
      </c>
      <c r="P18" s="5"/>
      <c r="Q18" s="6"/>
      <c r="R18" s="7">
        <f t="shared" si="1"/>
        <v>0</v>
      </c>
      <c r="S18" s="46"/>
      <c r="T18" s="45"/>
      <c r="U18" s="44"/>
      <c r="V18" s="45" t="s">
        <v>20</v>
      </c>
      <c r="W18" s="65">
        <f>W17</f>
        <v>10857.455999999998</v>
      </c>
      <c r="X18" s="46"/>
      <c r="Y18" s="34"/>
      <c r="Z18" s="34"/>
      <c r="AA18" s="34"/>
      <c r="AB18" s="34"/>
      <c r="AC18" s="34"/>
      <c r="AD18" s="34"/>
      <c r="AE18" s="34"/>
    </row>
    <row r="19" spans="1:31" ht="12.75" customHeight="1" x14ac:dyDescent="0.3">
      <c r="A19" s="34"/>
      <c r="B19" s="44"/>
      <c r="C19" s="5"/>
      <c r="D19" s="6"/>
      <c r="E19" s="11"/>
      <c r="F19" s="57">
        <f t="shared" si="2"/>
        <v>0</v>
      </c>
      <c r="G19" s="5"/>
      <c r="H19" s="6"/>
      <c r="I19" s="11"/>
      <c r="J19" s="56">
        <f t="shared" si="3"/>
        <v>0</v>
      </c>
      <c r="K19" s="45"/>
      <c r="L19" s="44"/>
      <c r="M19" s="5"/>
      <c r="N19" s="6"/>
      <c r="O19" s="7">
        <f t="shared" si="0"/>
        <v>0</v>
      </c>
      <c r="P19" s="5"/>
      <c r="Q19" s="6"/>
      <c r="R19" s="7">
        <f t="shared" si="1"/>
        <v>0</v>
      </c>
      <c r="S19" s="46"/>
      <c r="T19" s="45"/>
      <c r="U19" s="44"/>
      <c r="V19" s="45"/>
      <c r="W19" s="67"/>
      <c r="X19" s="46"/>
      <c r="Y19" s="34"/>
      <c r="Z19" s="34"/>
      <c r="AA19" s="34"/>
      <c r="AB19" s="34"/>
      <c r="AC19" s="34"/>
      <c r="AD19" s="34"/>
      <c r="AE19" s="34"/>
    </row>
    <row r="20" spans="1:31" ht="12.75" customHeight="1" x14ac:dyDescent="0.3">
      <c r="A20" s="34"/>
      <c r="B20" s="44"/>
      <c r="C20" s="5"/>
      <c r="D20" s="6"/>
      <c r="E20" s="11"/>
      <c r="F20" s="57">
        <f t="shared" si="2"/>
        <v>0</v>
      </c>
      <c r="G20" s="5"/>
      <c r="H20" s="6"/>
      <c r="I20" s="11"/>
      <c r="J20" s="56">
        <f t="shared" si="3"/>
        <v>0</v>
      </c>
      <c r="K20" s="45"/>
      <c r="L20" s="44"/>
      <c r="M20" s="5"/>
      <c r="N20" s="6"/>
      <c r="O20" s="7">
        <f t="shared" si="0"/>
        <v>0</v>
      </c>
      <c r="P20" s="5"/>
      <c r="Q20" s="6"/>
      <c r="R20" s="7">
        <f t="shared" si="1"/>
        <v>0</v>
      </c>
      <c r="S20" s="46"/>
      <c r="T20" s="45"/>
      <c r="U20" s="44"/>
      <c r="V20" s="12" t="s">
        <v>21</v>
      </c>
      <c r="W20" s="13">
        <f>W18/12000</f>
        <v>0.90478799999999981</v>
      </c>
      <c r="X20" s="46"/>
      <c r="Y20" s="34"/>
      <c r="Z20" s="34"/>
      <c r="AA20" s="34"/>
      <c r="AB20" s="34"/>
      <c r="AC20" s="34"/>
      <c r="AD20" s="34"/>
      <c r="AE20" s="34"/>
    </row>
    <row r="21" spans="1:31" ht="13.5" customHeight="1" x14ac:dyDescent="0.3">
      <c r="A21" s="34"/>
      <c r="B21" s="44"/>
      <c r="C21" s="14"/>
      <c r="D21" s="15"/>
      <c r="E21" s="16"/>
      <c r="F21" s="57">
        <f t="shared" si="2"/>
        <v>0</v>
      </c>
      <c r="G21" s="14"/>
      <c r="H21" s="15"/>
      <c r="I21" s="16"/>
      <c r="J21" s="56">
        <f t="shared" si="3"/>
        <v>0</v>
      </c>
      <c r="K21" s="45"/>
      <c r="L21" s="44"/>
      <c r="M21" s="5"/>
      <c r="N21" s="6"/>
      <c r="O21" s="7">
        <f t="shared" si="0"/>
        <v>0</v>
      </c>
      <c r="P21" s="5"/>
      <c r="Q21" s="6"/>
      <c r="R21" s="7">
        <f t="shared" si="1"/>
        <v>0</v>
      </c>
      <c r="S21" s="46"/>
      <c r="T21" s="45"/>
      <c r="U21" s="44"/>
      <c r="V21" s="54" t="s">
        <v>22</v>
      </c>
      <c r="W21" s="45"/>
      <c r="X21" s="46"/>
      <c r="Y21" s="34"/>
      <c r="Z21" s="34"/>
      <c r="AA21" s="34"/>
      <c r="AB21" s="34"/>
      <c r="AC21" s="34"/>
      <c r="AD21" s="34"/>
      <c r="AE21" s="34"/>
    </row>
    <row r="22" spans="1:31" ht="12.75" customHeight="1" x14ac:dyDescent="0.3">
      <c r="A22" s="34"/>
      <c r="B22" s="44"/>
      <c r="C22" s="45"/>
      <c r="D22" s="45"/>
      <c r="E22" s="45"/>
      <c r="F22" s="45"/>
      <c r="G22" s="45"/>
      <c r="H22" s="45"/>
      <c r="I22" s="45"/>
      <c r="J22" s="46"/>
      <c r="K22" s="45"/>
      <c r="L22" s="44"/>
      <c r="M22" s="5"/>
      <c r="N22" s="6"/>
      <c r="O22" s="7">
        <f t="shared" si="0"/>
        <v>0</v>
      </c>
      <c r="P22" s="5"/>
      <c r="Q22" s="6"/>
      <c r="R22" s="7">
        <f t="shared" si="1"/>
        <v>0</v>
      </c>
      <c r="S22" s="46"/>
      <c r="T22" s="45"/>
      <c r="U22" s="44"/>
      <c r="V22" s="12" t="s">
        <v>23</v>
      </c>
      <c r="W22" s="13">
        <f>W20*3.516</f>
        <v>3.1812346079999996</v>
      </c>
      <c r="X22" s="46"/>
      <c r="Y22" s="34"/>
      <c r="Z22" s="34"/>
      <c r="AA22" s="34"/>
      <c r="AB22" s="34"/>
      <c r="AC22" s="34"/>
      <c r="AD22" s="34"/>
      <c r="AE22" s="34"/>
    </row>
    <row r="23" spans="1:31" ht="15" customHeight="1" x14ac:dyDescent="0.3">
      <c r="A23" s="34"/>
      <c r="B23" s="44"/>
      <c r="C23" s="53" t="s">
        <v>10</v>
      </c>
      <c r="D23" s="52"/>
      <c r="E23" s="54">
        <f>SUM(F13:F21)</f>
        <v>0.83699999999999997</v>
      </c>
      <c r="F23" s="45"/>
      <c r="G23" s="53" t="s">
        <v>10</v>
      </c>
      <c r="H23" s="52"/>
      <c r="I23" s="54">
        <f>SUM(J13:J21)</f>
        <v>3.7199999999999998</v>
      </c>
      <c r="J23" s="46"/>
      <c r="K23" s="45"/>
      <c r="L23" s="44"/>
      <c r="M23" s="5"/>
      <c r="N23" s="6"/>
      <c r="O23" s="7">
        <f t="shared" si="0"/>
        <v>0</v>
      </c>
      <c r="P23" s="5"/>
      <c r="Q23" s="6"/>
      <c r="R23" s="7">
        <f t="shared" si="1"/>
        <v>0</v>
      </c>
      <c r="S23" s="46"/>
      <c r="T23" s="45"/>
      <c r="U23" s="44"/>
      <c r="V23" s="45"/>
      <c r="W23" s="45"/>
      <c r="X23" s="46"/>
      <c r="Y23" s="34"/>
      <c r="Z23" s="34"/>
      <c r="AA23" s="34"/>
      <c r="AB23" s="34"/>
      <c r="AC23" s="34"/>
      <c r="AD23" s="34"/>
      <c r="AE23" s="34"/>
    </row>
    <row r="24" spans="1:31" ht="15" customHeight="1" x14ac:dyDescent="0.3">
      <c r="A24" s="34"/>
      <c r="B24" s="44"/>
      <c r="C24" s="54"/>
      <c r="D24" s="54"/>
      <c r="E24" s="54"/>
      <c r="F24" s="45"/>
      <c r="G24" s="54"/>
      <c r="H24" s="54"/>
      <c r="I24" s="54"/>
      <c r="J24" s="46"/>
      <c r="K24" s="45"/>
      <c r="L24" s="44"/>
      <c r="M24" s="5"/>
      <c r="N24" s="6"/>
      <c r="O24" s="7">
        <f t="shared" si="0"/>
        <v>0</v>
      </c>
      <c r="P24" s="5"/>
      <c r="Q24" s="6"/>
      <c r="R24" s="7">
        <f t="shared" si="1"/>
        <v>0</v>
      </c>
      <c r="S24" s="46"/>
      <c r="T24" s="45"/>
      <c r="U24" s="44"/>
      <c r="V24" s="45"/>
      <c r="W24" s="45"/>
      <c r="X24" s="46"/>
      <c r="Y24" s="34"/>
      <c r="Z24" s="34"/>
      <c r="AA24" s="34"/>
      <c r="AB24" s="34"/>
      <c r="AC24" s="34"/>
      <c r="AD24" s="34"/>
      <c r="AE24" s="34"/>
    </row>
    <row r="25" spans="1:31" ht="13.5" customHeight="1" x14ac:dyDescent="0.3">
      <c r="A25" s="34"/>
      <c r="B25" s="44"/>
      <c r="C25" s="50" t="str">
        <f>"Total Room Area in  "&amp;I7</f>
        <v>Total Room Area in  Sq.Foot</v>
      </c>
      <c r="D25" s="51"/>
      <c r="E25" s="51"/>
      <c r="F25" s="51"/>
      <c r="G25" s="51"/>
      <c r="H25" s="52"/>
      <c r="I25" s="54">
        <f>E9*I9</f>
        <v>132</v>
      </c>
      <c r="J25" s="46"/>
      <c r="K25" s="45"/>
      <c r="L25" s="44"/>
      <c r="M25" s="5"/>
      <c r="N25" s="6"/>
      <c r="O25" s="7">
        <f t="shared" si="0"/>
        <v>0</v>
      </c>
      <c r="P25" s="5"/>
      <c r="Q25" s="6"/>
      <c r="R25" s="7">
        <f t="shared" si="1"/>
        <v>0</v>
      </c>
      <c r="S25" s="46"/>
      <c r="T25" s="45"/>
      <c r="U25" s="44"/>
      <c r="V25" s="45"/>
      <c r="W25" s="45"/>
      <c r="X25" s="46"/>
      <c r="Y25" s="34"/>
      <c r="Z25" s="34"/>
      <c r="AA25" s="34"/>
      <c r="AB25" s="34"/>
      <c r="AC25" s="34"/>
      <c r="AD25" s="34"/>
      <c r="AE25" s="34"/>
    </row>
    <row r="26" spans="1:31" ht="13.5" customHeight="1" x14ac:dyDescent="0.3">
      <c r="A26" s="34"/>
      <c r="B26" s="44"/>
      <c r="C26" s="50" t="s">
        <v>24</v>
      </c>
      <c r="D26" s="51"/>
      <c r="E26" s="51"/>
      <c r="F26" s="51"/>
      <c r="G26" s="51"/>
      <c r="H26" s="52"/>
      <c r="I26" s="1" t="s">
        <v>25</v>
      </c>
      <c r="J26" s="46"/>
      <c r="K26" s="45"/>
      <c r="L26" s="44"/>
      <c r="M26" s="5"/>
      <c r="N26" s="6"/>
      <c r="O26" s="7">
        <f t="shared" si="0"/>
        <v>0</v>
      </c>
      <c r="P26" s="5"/>
      <c r="Q26" s="6"/>
      <c r="R26" s="7">
        <f t="shared" si="1"/>
        <v>0</v>
      </c>
      <c r="S26" s="46"/>
      <c r="T26" s="45"/>
      <c r="U26" s="44"/>
      <c r="V26" s="45"/>
      <c r="W26" s="45"/>
      <c r="X26" s="46"/>
      <c r="Y26" s="34"/>
      <c r="Z26" s="35"/>
      <c r="AA26" s="34"/>
      <c r="AB26" s="34"/>
      <c r="AC26" s="34"/>
      <c r="AD26" s="34"/>
      <c r="AE26" s="34"/>
    </row>
    <row r="27" spans="1:31" ht="13.5" customHeight="1" x14ac:dyDescent="0.3">
      <c r="A27" s="34"/>
      <c r="B27" s="44"/>
      <c r="C27" s="50" t="s">
        <v>26</v>
      </c>
      <c r="D27" s="51"/>
      <c r="E27" s="51"/>
      <c r="F27" s="51"/>
      <c r="G27" s="51"/>
      <c r="H27" s="52"/>
      <c r="I27" s="1"/>
      <c r="J27" s="46"/>
      <c r="K27" s="45"/>
      <c r="L27" s="44"/>
      <c r="M27" s="5"/>
      <c r="N27" s="6"/>
      <c r="O27" s="7">
        <f t="shared" si="0"/>
        <v>0</v>
      </c>
      <c r="P27" s="5"/>
      <c r="Q27" s="6"/>
      <c r="R27" s="7">
        <f t="shared" si="1"/>
        <v>0</v>
      </c>
      <c r="S27" s="46"/>
      <c r="T27" s="45"/>
      <c r="U27" s="44"/>
      <c r="V27" s="45"/>
      <c r="W27" s="45"/>
      <c r="X27" s="46"/>
      <c r="Y27" s="34"/>
      <c r="Z27" s="43" t="s">
        <v>25</v>
      </c>
      <c r="AA27" s="34"/>
      <c r="AB27" s="34"/>
      <c r="AC27" s="34"/>
      <c r="AD27" s="34"/>
      <c r="AE27" s="34"/>
    </row>
    <row r="28" spans="1:31" ht="13.5" customHeight="1" x14ac:dyDescent="0.3">
      <c r="A28" s="34"/>
      <c r="B28" s="44"/>
      <c r="C28" s="45"/>
      <c r="D28" s="45"/>
      <c r="E28" s="45"/>
      <c r="F28" s="45"/>
      <c r="G28" s="45"/>
      <c r="H28" s="45"/>
      <c r="I28" s="45"/>
      <c r="J28" s="46"/>
      <c r="K28" s="45"/>
      <c r="L28" s="44"/>
      <c r="M28" s="14"/>
      <c r="N28" s="15"/>
      <c r="O28" s="17">
        <f t="shared" si="0"/>
        <v>0</v>
      </c>
      <c r="P28" s="14"/>
      <c r="Q28" s="15"/>
      <c r="R28" s="17">
        <f t="shared" si="1"/>
        <v>0</v>
      </c>
      <c r="S28" s="46"/>
      <c r="T28" s="45"/>
      <c r="U28" s="44"/>
      <c r="V28" s="45"/>
      <c r="W28" s="45"/>
      <c r="X28" s="46"/>
      <c r="Y28" s="34"/>
      <c r="Z28" s="43" t="s">
        <v>27</v>
      </c>
      <c r="AA28" s="34"/>
      <c r="AB28" s="34"/>
      <c r="AC28" s="34"/>
      <c r="AD28" s="34"/>
      <c r="AE28" s="34"/>
    </row>
    <row r="29" spans="1:31" ht="12.75" customHeight="1" x14ac:dyDescent="0.3">
      <c r="A29" s="34"/>
      <c r="B29" s="47"/>
      <c r="C29" s="48"/>
      <c r="D29" s="48"/>
      <c r="E29" s="48"/>
      <c r="F29" s="48"/>
      <c r="G29" s="48"/>
      <c r="H29" s="48"/>
      <c r="I29" s="48"/>
      <c r="J29" s="49"/>
      <c r="K29" s="45"/>
      <c r="L29" s="47"/>
      <c r="M29" s="48"/>
      <c r="N29" s="48"/>
      <c r="O29" s="63">
        <f>SUM(O11:O28)</f>
        <v>0</v>
      </c>
      <c r="P29" s="63"/>
      <c r="Q29" s="63"/>
      <c r="R29" s="63">
        <f>SUM(R11:R28)</f>
        <v>0</v>
      </c>
      <c r="S29" s="49"/>
      <c r="T29" s="45"/>
      <c r="U29" s="47"/>
      <c r="V29" s="48"/>
      <c r="W29" s="48"/>
      <c r="X29" s="49"/>
      <c r="Y29" s="34"/>
      <c r="Z29" s="35"/>
      <c r="AA29" s="34"/>
      <c r="AB29" s="34"/>
      <c r="AC29" s="34"/>
      <c r="AD29" s="34"/>
      <c r="AE29" s="34"/>
    </row>
    <row r="30" spans="1:31" ht="12.75" customHeight="1" x14ac:dyDescent="0.3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5" t="s">
        <v>2</v>
      </c>
      <c r="AA30" s="34"/>
      <c r="AB30" s="34"/>
      <c r="AC30" s="34"/>
      <c r="AD30" s="34"/>
      <c r="AE30" s="34"/>
    </row>
    <row r="31" spans="1:31" ht="12.75" customHeight="1" x14ac:dyDescent="0.3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5" t="s">
        <v>28</v>
      </c>
      <c r="AA31" s="34"/>
      <c r="AB31" s="34"/>
      <c r="AC31" s="34"/>
      <c r="AD31" s="34"/>
      <c r="AE31" s="34"/>
    </row>
    <row r="32" spans="1:31" ht="12.75" customHeight="1" x14ac:dyDescent="0.3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7"/>
      <c r="O32" s="37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5" t="str">
        <f>IF(I7="Sq.Foot","(Foot)","(Meter)")</f>
        <v>(Foot)</v>
      </c>
      <c r="AA32" s="34"/>
      <c r="AB32" s="34"/>
      <c r="AC32" s="34"/>
      <c r="AD32" s="34"/>
      <c r="AE32" s="34"/>
    </row>
    <row r="33" spans="1:31" ht="7.5" customHeight="1" x14ac:dyDescent="0.3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7"/>
      <c r="O33" s="37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34"/>
      <c r="AE33" s="34"/>
    </row>
    <row r="34" spans="1:31" ht="12.75" customHeight="1" x14ac:dyDescent="0.3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7"/>
      <c r="O34" s="37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  <c r="AC34" s="34"/>
      <c r="AD34" s="34"/>
      <c r="AE34" s="34"/>
    </row>
    <row r="35" spans="1:31" ht="12.75" customHeight="1" x14ac:dyDescent="0.3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7"/>
      <c r="O35" s="37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  <c r="AC35" s="34"/>
      <c r="AD35" s="34"/>
      <c r="AE35" s="34"/>
    </row>
    <row r="36" spans="1:31" ht="12.75" customHeight="1" x14ac:dyDescent="0.3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8"/>
      <c r="O36" s="37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  <c r="AC36" s="34"/>
      <c r="AD36" s="34"/>
      <c r="AE36" s="34"/>
    </row>
    <row r="37" spans="1:31" ht="12.75" customHeight="1" x14ac:dyDescent="0.3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8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  <c r="AC37" s="34"/>
      <c r="AD37" s="34"/>
      <c r="AE37" s="34"/>
    </row>
    <row r="38" spans="1:31" ht="12.75" customHeight="1" x14ac:dyDescent="0.3">
      <c r="A38" s="34"/>
      <c r="B38" s="34"/>
      <c r="C38" s="34"/>
      <c r="D38" s="34"/>
      <c r="E38" s="34"/>
      <c r="F38" s="34"/>
      <c r="G38" s="34"/>
      <c r="H38" s="34"/>
      <c r="I38" s="34"/>
      <c r="J38" s="39"/>
      <c r="K38" s="40"/>
      <c r="L38" s="40"/>
      <c r="M38" s="41"/>
      <c r="N38" s="38"/>
      <c r="O38" s="34"/>
      <c r="P38" s="39"/>
      <c r="Q38" s="41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  <c r="AC38" s="34"/>
      <c r="AD38" s="34"/>
      <c r="AE38" s="34"/>
    </row>
    <row r="39" spans="1:31" ht="12.75" customHeight="1" x14ac:dyDescent="0.3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8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  <c r="AC39" s="34"/>
      <c r="AD39" s="34"/>
      <c r="AE39" s="34"/>
    </row>
    <row r="40" spans="1:31" ht="12.75" customHeight="1" x14ac:dyDescent="0.3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  <c r="AC40" s="34"/>
      <c r="AD40" s="34"/>
      <c r="AE40" s="34"/>
    </row>
    <row r="41" spans="1:31" ht="12.75" customHeight="1" x14ac:dyDescent="0.3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  <c r="AC41" s="34"/>
      <c r="AD41" s="34"/>
      <c r="AE41" s="34"/>
    </row>
    <row r="42" spans="1:31" ht="12.75" customHeight="1" x14ac:dyDescent="0.3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  <c r="AC42" s="34"/>
      <c r="AD42" s="34"/>
      <c r="AE42" s="34"/>
    </row>
    <row r="43" spans="1:31" ht="12.75" customHeight="1" x14ac:dyDescent="0.3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  <c r="AC43" s="34"/>
      <c r="AD43" s="34"/>
      <c r="AE43" s="34"/>
    </row>
    <row r="44" spans="1:31" ht="12.75" customHeight="1" x14ac:dyDescent="0.3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  <c r="AC44" s="34"/>
      <c r="AD44" s="34"/>
      <c r="AE44" s="34"/>
    </row>
    <row r="45" spans="1:31" ht="12.75" customHeight="1" x14ac:dyDescent="0.3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  <c r="AC45" s="34"/>
      <c r="AD45" s="34"/>
      <c r="AE45" s="34"/>
    </row>
    <row r="46" spans="1:31" ht="12.75" customHeight="1" x14ac:dyDescent="0.3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</row>
    <row r="47" spans="1:31" ht="12.75" customHeight="1" x14ac:dyDescent="0.3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</row>
    <row r="48" spans="1:31" ht="12.75" customHeight="1" x14ac:dyDescent="0.3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</row>
    <row r="49" spans="1:31" ht="12.75" customHeight="1" x14ac:dyDescent="0.3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</row>
    <row r="50" spans="1:31" ht="12.75" customHeight="1" x14ac:dyDescent="0.3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</row>
    <row r="51" spans="1:31" ht="12.75" customHeight="1" x14ac:dyDescent="0.3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</row>
    <row r="52" spans="1:31" ht="12.75" customHeight="1" x14ac:dyDescent="0.3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</row>
    <row r="53" spans="1:31" ht="12.75" customHeight="1" x14ac:dyDescent="0.3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</row>
    <row r="54" spans="1:31" ht="12.75" customHeight="1" x14ac:dyDescent="0.3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42"/>
      <c r="AB54" s="42"/>
      <c r="AC54" s="42"/>
      <c r="AD54" s="42"/>
      <c r="AE54" s="42"/>
    </row>
    <row r="55" spans="1:31" ht="12.75" customHeight="1" x14ac:dyDescent="0.3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42"/>
      <c r="AB55" s="42"/>
      <c r="AC55" s="42"/>
      <c r="AD55" s="42"/>
      <c r="AE55" s="42"/>
    </row>
    <row r="56" spans="1:31" ht="12.75" customHeight="1" x14ac:dyDescent="0.3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42"/>
      <c r="AB56" s="42"/>
      <c r="AC56" s="42"/>
      <c r="AD56" s="42"/>
      <c r="AE56" s="42"/>
    </row>
    <row r="57" spans="1:31" ht="12.75" customHeight="1" x14ac:dyDescent="0.3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42"/>
      <c r="AB57" s="42"/>
      <c r="AC57" s="42"/>
      <c r="AD57" s="42"/>
      <c r="AE57" s="42"/>
    </row>
    <row r="58" spans="1:31" ht="12.75" customHeight="1" x14ac:dyDescent="0.3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</row>
    <row r="59" spans="1:31" ht="12.75" customHeight="1" x14ac:dyDescent="0.3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</row>
    <row r="60" spans="1:31" ht="12.75" customHeight="1" x14ac:dyDescent="0.3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</row>
    <row r="61" spans="1:31" ht="12.75" customHeight="1" x14ac:dyDescent="0.3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</row>
    <row r="62" spans="1:31" ht="12.75" customHeight="1" x14ac:dyDescent="0.3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</row>
    <row r="63" spans="1:31" ht="12.75" customHeight="1" x14ac:dyDescent="0.3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</row>
    <row r="64" spans="1:31" ht="12.75" customHeight="1" x14ac:dyDescent="0.3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</row>
    <row r="65" spans="1:31" ht="12.75" customHeight="1" x14ac:dyDescent="0.3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42"/>
      <c r="AB65" s="42"/>
      <c r="AC65" s="42"/>
      <c r="AD65" s="42"/>
      <c r="AE65" s="42"/>
    </row>
    <row r="66" spans="1:31" ht="12.75" customHeight="1" x14ac:dyDescent="0.3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</row>
    <row r="67" spans="1:31" ht="12.75" customHeight="1" x14ac:dyDescent="0.3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42"/>
      <c r="AB67" s="42"/>
      <c r="AC67" s="42"/>
      <c r="AD67" s="42"/>
      <c r="AE67" s="42"/>
    </row>
    <row r="68" spans="1:31" ht="12.75" customHeight="1" x14ac:dyDescent="0.3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</row>
    <row r="69" spans="1:31" ht="12.75" customHeight="1" x14ac:dyDescent="0.3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</row>
    <row r="70" spans="1:31" ht="12.75" customHeight="1" x14ac:dyDescent="0.3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</row>
    <row r="71" spans="1:31" ht="12.75" customHeight="1" x14ac:dyDescent="0.3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  <c r="AA71" s="42"/>
      <c r="AB71" s="42"/>
      <c r="AC71" s="42"/>
      <c r="AD71" s="42"/>
      <c r="AE71" s="42"/>
    </row>
    <row r="72" spans="1:31" ht="12.75" customHeight="1" x14ac:dyDescent="0.3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  <c r="AA72" s="42"/>
      <c r="AB72" s="42"/>
      <c r="AC72" s="42"/>
      <c r="AD72" s="42"/>
      <c r="AE72" s="42"/>
    </row>
    <row r="73" spans="1:31" ht="12.75" customHeight="1" x14ac:dyDescent="0.3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  <c r="AA73" s="42"/>
      <c r="AB73" s="42"/>
      <c r="AC73" s="42"/>
      <c r="AD73" s="42"/>
      <c r="AE73" s="42"/>
    </row>
    <row r="74" spans="1:31" ht="12.75" customHeight="1" x14ac:dyDescent="0.3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  <c r="AA74" s="42"/>
      <c r="AB74" s="42"/>
      <c r="AC74" s="42"/>
      <c r="AD74" s="42"/>
      <c r="AE74" s="42"/>
    </row>
    <row r="75" spans="1:31" ht="12.75" customHeight="1" x14ac:dyDescent="0.3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  <c r="AA75" s="42"/>
      <c r="AB75" s="42"/>
      <c r="AC75" s="42"/>
      <c r="AD75" s="42"/>
      <c r="AE75" s="42"/>
    </row>
    <row r="76" spans="1:31" ht="12.75" customHeight="1" x14ac:dyDescent="0.3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  <c r="AA76" s="42"/>
      <c r="AB76" s="42"/>
      <c r="AC76" s="42"/>
      <c r="AD76" s="42"/>
      <c r="AE76" s="42"/>
    </row>
    <row r="77" spans="1:31" ht="12.75" customHeight="1" x14ac:dyDescent="0.3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  <c r="AA77" s="42"/>
      <c r="AB77" s="42"/>
      <c r="AC77" s="42"/>
      <c r="AD77" s="42"/>
      <c r="AE77" s="42"/>
    </row>
    <row r="78" spans="1:31" ht="12.75" customHeight="1" x14ac:dyDescent="0.3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  <c r="AA78" s="42"/>
      <c r="AB78" s="42"/>
      <c r="AC78" s="42"/>
      <c r="AD78" s="42"/>
      <c r="AE78" s="42"/>
    </row>
    <row r="79" spans="1:31" ht="12.75" customHeight="1" x14ac:dyDescent="0.3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  <c r="AA79" s="42"/>
      <c r="AB79" s="42"/>
      <c r="AC79" s="42"/>
      <c r="AD79" s="42"/>
      <c r="AE79" s="42"/>
    </row>
    <row r="80" spans="1:31" ht="12.75" customHeight="1" x14ac:dyDescent="0.3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  <c r="AC80" s="42"/>
      <c r="AD80" s="42"/>
      <c r="AE80" s="42"/>
    </row>
    <row r="81" spans="1:31" ht="12.75" customHeight="1" x14ac:dyDescent="0.3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  <c r="AC81" s="42"/>
      <c r="AD81" s="42"/>
      <c r="AE81" s="42"/>
    </row>
    <row r="82" spans="1:31" ht="12.75" customHeight="1" x14ac:dyDescent="0.3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  <c r="AC82" s="42"/>
      <c r="AD82" s="42"/>
      <c r="AE82" s="42"/>
    </row>
    <row r="83" spans="1:31" ht="12.75" customHeight="1" x14ac:dyDescent="0.3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  <c r="AC83" s="42"/>
      <c r="AD83" s="42"/>
      <c r="AE83" s="42"/>
    </row>
    <row r="84" spans="1:31" ht="12.75" customHeight="1" x14ac:dyDescent="0.3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  <c r="AA84" s="42"/>
      <c r="AB84" s="42"/>
      <c r="AC84" s="42"/>
      <c r="AD84" s="42"/>
      <c r="AE84" s="42"/>
    </row>
    <row r="85" spans="1:31" ht="12.75" customHeight="1" x14ac:dyDescent="0.3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  <c r="AA85" s="42"/>
      <c r="AB85" s="42"/>
      <c r="AC85" s="42"/>
      <c r="AD85" s="42"/>
      <c r="AE85" s="42"/>
    </row>
    <row r="86" spans="1:31" ht="12.75" customHeight="1" x14ac:dyDescent="0.3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  <c r="AA86" s="42"/>
      <c r="AB86" s="42"/>
      <c r="AC86" s="42"/>
      <c r="AD86" s="42"/>
      <c r="AE86" s="42"/>
    </row>
    <row r="87" spans="1:31" ht="12.75" customHeight="1" x14ac:dyDescent="0.3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  <c r="AA87" s="42"/>
      <c r="AB87" s="42"/>
      <c r="AC87" s="42"/>
      <c r="AD87" s="42"/>
      <c r="AE87" s="42"/>
    </row>
    <row r="88" spans="1:31" ht="12.75" customHeight="1" x14ac:dyDescent="0.3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  <c r="AC88" s="42"/>
      <c r="AD88" s="42"/>
      <c r="AE88" s="42"/>
    </row>
    <row r="89" spans="1:31" ht="12.75" customHeight="1" x14ac:dyDescent="0.3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  <c r="AC89" s="42"/>
      <c r="AD89" s="42"/>
      <c r="AE89" s="42"/>
    </row>
    <row r="90" spans="1:31" ht="12.75" customHeight="1" x14ac:dyDescent="0.3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  <c r="AC90" s="42"/>
      <c r="AD90" s="42"/>
      <c r="AE90" s="42"/>
    </row>
    <row r="91" spans="1:31" ht="12.75" customHeight="1" x14ac:dyDescent="0.3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  <c r="AC91" s="42"/>
      <c r="AD91" s="42"/>
      <c r="AE91" s="42"/>
    </row>
    <row r="92" spans="1:31" ht="12.75" customHeight="1" x14ac:dyDescent="0.3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  <c r="AA92" s="42"/>
      <c r="AB92" s="42"/>
      <c r="AC92" s="42"/>
      <c r="AD92" s="42"/>
      <c r="AE92" s="42"/>
    </row>
    <row r="93" spans="1:31" ht="12.75" customHeight="1" x14ac:dyDescent="0.3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  <c r="AA93" s="42"/>
      <c r="AB93" s="42"/>
      <c r="AC93" s="42"/>
      <c r="AD93" s="42"/>
      <c r="AE93" s="42"/>
    </row>
    <row r="94" spans="1:31" ht="12.75" customHeight="1" x14ac:dyDescent="0.3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  <c r="AA94" s="42"/>
      <c r="AB94" s="42"/>
      <c r="AC94" s="42"/>
      <c r="AD94" s="42"/>
      <c r="AE94" s="42"/>
    </row>
    <row r="95" spans="1:31" ht="12.75" customHeight="1" x14ac:dyDescent="0.3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  <c r="AA95" s="42"/>
      <c r="AB95" s="42"/>
      <c r="AC95" s="42"/>
      <c r="AD95" s="42"/>
      <c r="AE95" s="42"/>
    </row>
    <row r="96" spans="1:31" ht="12.75" customHeight="1" x14ac:dyDescent="0.3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</row>
    <row r="97" spans="1:31" ht="12.75" customHeight="1" x14ac:dyDescent="0.3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  <c r="AC97" s="42"/>
      <c r="AD97" s="42"/>
      <c r="AE97" s="42"/>
    </row>
    <row r="98" spans="1:31" ht="12.75" customHeight="1" x14ac:dyDescent="0.3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</row>
    <row r="99" spans="1:31" ht="12.75" customHeight="1" x14ac:dyDescent="0.3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  <c r="AC99" s="42"/>
      <c r="AD99" s="42"/>
      <c r="AE99" s="42"/>
    </row>
    <row r="100" spans="1:31" ht="12.75" customHeight="1" x14ac:dyDescent="0.3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  <c r="AA100" s="42"/>
      <c r="AB100" s="42"/>
      <c r="AC100" s="42"/>
      <c r="AD100" s="42"/>
      <c r="AE100" s="42"/>
    </row>
    <row r="101" spans="1:31" ht="12.75" customHeight="1" x14ac:dyDescent="0.3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</row>
    <row r="102" spans="1:31" ht="12.75" customHeight="1" x14ac:dyDescent="0.3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  <c r="AA102" s="42"/>
      <c r="AB102" s="42"/>
      <c r="AC102" s="42"/>
      <c r="AD102" s="42"/>
      <c r="AE102" s="42"/>
    </row>
    <row r="103" spans="1:31" ht="12.75" customHeight="1" x14ac:dyDescent="0.3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  <c r="AA103" s="42"/>
      <c r="AB103" s="42"/>
      <c r="AC103" s="42"/>
      <c r="AD103" s="42"/>
      <c r="AE103" s="42"/>
    </row>
    <row r="104" spans="1:31" ht="12.75" customHeight="1" x14ac:dyDescent="0.3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</row>
    <row r="105" spans="1:31" ht="12.75" customHeight="1" x14ac:dyDescent="0.3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  <c r="AC105" s="42"/>
      <c r="AD105" s="42"/>
      <c r="AE105" s="42"/>
    </row>
    <row r="106" spans="1:31" ht="12.75" customHeight="1" x14ac:dyDescent="0.3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  <c r="AC106" s="42"/>
      <c r="AD106" s="42"/>
      <c r="AE106" s="42"/>
    </row>
    <row r="107" spans="1:31" ht="12.75" customHeight="1" x14ac:dyDescent="0.3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  <c r="AC107" s="42"/>
      <c r="AD107" s="42"/>
      <c r="AE107" s="42"/>
    </row>
    <row r="108" spans="1:31" ht="12.75" customHeight="1" x14ac:dyDescent="0.3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  <c r="AA108" s="42"/>
      <c r="AB108" s="42"/>
      <c r="AC108" s="42"/>
      <c r="AD108" s="42"/>
      <c r="AE108" s="42"/>
    </row>
    <row r="109" spans="1:31" ht="12.75" customHeight="1" x14ac:dyDescent="0.3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</row>
    <row r="110" spans="1:31" ht="12.75" customHeight="1" x14ac:dyDescent="0.3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</row>
    <row r="111" spans="1:31" ht="12.75" customHeight="1" x14ac:dyDescent="0.3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</row>
    <row r="112" spans="1:31" ht="12.75" customHeight="1" x14ac:dyDescent="0.3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</row>
    <row r="113" spans="1:31" ht="12.75" customHeight="1" x14ac:dyDescent="0.3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</row>
    <row r="114" spans="1:31" ht="12.75" customHeight="1" x14ac:dyDescent="0.3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</row>
    <row r="115" spans="1:31" ht="12.75" customHeight="1" x14ac:dyDescent="0.3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  <c r="AC115" s="42"/>
      <c r="AD115" s="42"/>
      <c r="AE115" s="42"/>
    </row>
    <row r="116" spans="1:31" ht="12.75" customHeight="1" x14ac:dyDescent="0.3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  <c r="AA116" s="42"/>
      <c r="AB116" s="42"/>
      <c r="AC116" s="42"/>
      <c r="AD116" s="42"/>
      <c r="AE116" s="42"/>
    </row>
    <row r="117" spans="1:31" ht="12.75" customHeight="1" x14ac:dyDescent="0.3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  <c r="AA117" s="42"/>
      <c r="AB117" s="42"/>
      <c r="AC117" s="42"/>
      <c r="AD117" s="42"/>
      <c r="AE117" s="42"/>
    </row>
    <row r="118" spans="1:31" ht="12.75" customHeight="1" x14ac:dyDescent="0.3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  <c r="AA118" s="42"/>
      <c r="AB118" s="42"/>
      <c r="AC118" s="42"/>
      <c r="AD118" s="42"/>
      <c r="AE118" s="42"/>
    </row>
    <row r="119" spans="1:31" ht="12.75" customHeight="1" x14ac:dyDescent="0.3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  <c r="AA119" s="42"/>
      <c r="AB119" s="42"/>
      <c r="AC119" s="42"/>
      <c r="AD119" s="42"/>
      <c r="AE119" s="42"/>
    </row>
    <row r="120" spans="1:31" ht="12.75" customHeight="1" x14ac:dyDescent="0.3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  <c r="AC120" s="42"/>
      <c r="AD120" s="42"/>
      <c r="AE120" s="42"/>
    </row>
    <row r="121" spans="1:31" ht="12.75" customHeight="1" x14ac:dyDescent="0.3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  <c r="AC121" s="42"/>
      <c r="AD121" s="42"/>
      <c r="AE121" s="42"/>
    </row>
    <row r="122" spans="1:31" ht="12.75" customHeight="1" x14ac:dyDescent="0.3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  <c r="AC122" s="42"/>
      <c r="AD122" s="42"/>
      <c r="AE122" s="42"/>
    </row>
    <row r="123" spans="1:31" ht="12.75" customHeight="1" x14ac:dyDescent="0.3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  <c r="AC123" s="42"/>
      <c r="AD123" s="42"/>
      <c r="AE123" s="42"/>
    </row>
    <row r="124" spans="1:31" ht="12.75" customHeight="1" x14ac:dyDescent="0.3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  <c r="AA124" s="42"/>
      <c r="AB124" s="42"/>
      <c r="AC124" s="42"/>
      <c r="AD124" s="42"/>
      <c r="AE124" s="42"/>
    </row>
    <row r="125" spans="1:31" ht="12.75" customHeight="1" x14ac:dyDescent="0.3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  <c r="AA125" s="42"/>
      <c r="AB125" s="42"/>
      <c r="AC125" s="42"/>
      <c r="AD125" s="42"/>
      <c r="AE125" s="42"/>
    </row>
    <row r="126" spans="1:31" ht="12.75" customHeight="1" x14ac:dyDescent="0.3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  <c r="AA126" s="42"/>
      <c r="AB126" s="42"/>
      <c r="AC126" s="42"/>
      <c r="AD126" s="42"/>
      <c r="AE126" s="42"/>
    </row>
    <row r="127" spans="1:31" ht="12.75" customHeight="1" x14ac:dyDescent="0.3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  <c r="AA127" s="42"/>
      <c r="AB127" s="42"/>
      <c r="AC127" s="42"/>
      <c r="AD127" s="42"/>
      <c r="AE127" s="42"/>
    </row>
    <row r="128" spans="1:31" ht="12.75" customHeight="1" x14ac:dyDescent="0.3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</row>
    <row r="129" spans="1:31" ht="12.75" customHeight="1" x14ac:dyDescent="0.3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</row>
    <row r="130" spans="1:31" ht="12.75" customHeight="1" x14ac:dyDescent="0.3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  <c r="AC130" s="42"/>
      <c r="AD130" s="42"/>
      <c r="AE130" s="42"/>
    </row>
    <row r="131" spans="1:31" ht="12.75" customHeight="1" x14ac:dyDescent="0.3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  <c r="AC131" s="42"/>
      <c r="AD131" s="42"/>
      <c r="AE131" s="42"/>
    </row>
    <row r="132" spans="1:31" ht="12.75" customHeight="1" x14ac:dyDescent="0.3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  <c r="AA132" s="42"/>
      <c r="AB132" s="42"/>
      <c r="AC132" s="42"/>
      <c r="AD132" s="42"/>
      <c r="AE132" s="42"/>
    </row>
    <row r="133" spans="1:31" ht="12.75" customHeight="1" x14ac:dyDescent="0.3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  <c r="AA133" s="42"/>
      <c r="AB133" s="42"/>
      <c r="AC133" s="42"/>
      <c r="AD133" s="42"/>
      <c r="AE133" s="42"/>
    </row>
    <row r="134" spans="1:31" ht="12.75" customHeight="1" x14ac:dyDescent="0.3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  <c r="AA134" s="42"/>
      <c r="AB134" s="42"/>
      <c r="AC134" s="42"/>
      <c r="AD134" s="42"/>
      <c r="AE134" s="42"/>
    </row>
    <row r="135" spans="1:31" ht="12.75" customHeight="1" x14ac:dyDescent="0.3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  <c r="AA135" s="42"/>
      <c r="AB135" s="42"/>
      <c r="AC135" s="42"/>
      <c r="AD135" s="42"/>
      <c r="AE135" s="42"/>
    </row>
    <row r="136" spans="1:31" ht="12.75" customHeight="1" x14ac:dyDescent="0.3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  <c r="AC136" s="42"/>
      <c r="AD136" s="42"/>
      <c r="AE136" s="42"/>
    </row>
    <row r="137" spans="1:31" ht="12.75" customHeight="1" x14ac:dyDescent="0.3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  <c r="AC137" s="42"/>
      <c r="AD137" s="42"/>
      <c r="AE137" s="42"/>
    </row>
    <row r="138" spans="1:31" ht="12.75" customHeight="1" x14ac:dyDescent="0.3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  <c r="AC138" s="42"/>
      <c r="AD138" s="42"/>
      <c r="AE138" s="42"/>
    </row>
    <row r="139" spans="1:31" ht="12.75" customHeight="1" x14ac:dyDescent="0.3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</row>
    <row r="140" spans="1:31" ht="12.75" customHeight="1" x14ac:dyDescent="0.3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  <c r="AA140" s="42"/>
      <c r="AB140" s="42"/>
      <c r="AC140" s="42"/>
      <c r="AD140" s="42"/>
      <c r="AE140" s="42"/>
    </row>
    <row r="141" spans="1:31" ht="12.75" customHeight="1" x14ac:dyDescent="0.3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  <c r="AA141" s="42"/>
      <c r="AB141" s="42"/>
      <c r="AC141" s="42"/>
      <c r="AD141" s="42"/>
      <c r="AE141" s="42"/>
    </row>
    <row r="142" spans="1:31" ht="12.75" customHeight="1" x14ac:dyDescent="0.3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</row>
    <row r="143" spans="1:31" ht="12.75" customHeight="1" x14ac:dyDescent="0.3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  <c r="AA143" s="42"/>
      <c r="AB143" s="42"/>
      <c r="AC143" s="42"/>
      <c r="AD143" s="42"/>
      <c r="AE143" s="42"/>
    </row>
    <row r="144" spans="1:31" ht="12.75" customHeight="1" x14ac:dyDescent="0.3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  <c r="AC144" s="42"/>
      <c r="AD144" s="42"/>
      <c r="AE144" s="42"/>
    </row>
    <row r="145" spans="1:31" ht="12.75" customHeight="1" x14ac:dyDescent="0.3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  <c r="AC145" s="42"/>
      <c r="AD145" s="42"/>
      <c r="AE145" s="42"/>
    </row>
    <row r="146" spans="1:31" ht="12.75" customHeight="1" x14ac:dyDescent="0.3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  <c r="AC146" s="42"/>
      <c r="AD146" s="42"/>
      <c r="AE146" s="42"/>
    </row>
    <row r="147" spans="1:31" ht="12.75" customHeight="1" x14ac:dyDescent="0.3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  <c r="AC147" s="42"/>
      <c r="AD147" s="42"/>
      <c r="AE147" s="42"/>
    </row>
    <row r="148" spans="1:31" ht="12.75" customHeight="1" x14ac:dyDescent="0.3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  <c r="AA148" s="42"/>
      <c r="AB148" s="42"/>
      <c r="AC148" s="42"/>
      <c r="AD148" s="42"/>
      <c r="AE148" s="42"/>
    </row>
    <row r="149" spans="1:31" ht="12.75" customHeight="1" x14ac:dyDescent="0.3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  <c r="AA149" s="42"/>
      <c r="AB149" s="42"/>
      <c r="AC149" s="42"/>
      <c r="AD149" s="42"/>
      <c r="AE149" s="42"/>
    </row>
    <row r="150" spans="1:31" ht="12.75" customHeight="1" x14ac:dyDescent="0.3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  <c r="AA150" s="42"/>
      <c r="AB150" s="42"/>
      <c r="AC150" s="42"/>
      <c r="AD150" s="42"/>
      <c r="AE150" s="42"/>
    </row>
    <row r="151" spans="1:31" ht="12.75" customHeight="1" x14ac:dyDescent="0.3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  <c r="AA151" s="42"/>
      <c r="AB151" s="42"/>
      <c r="AC151" s="42"/>
      <c r="AD151" s="42"/>
      <c r="AE151" s="42"/>
    </row>
    <row r="152" spans="1:31" ht="12.75" customHeight="1" x14ac:dyDescent="0.3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  <c r="AA152" s="42"/>
      <c r="AB152" s="42"/>
      <c r="AC152" s="42"/>
      <c r="AD152" s="42"/>
      <c r="AE152" s="42"/>
    </row>
    <row r="153" spans="1:31" ht="12.75" customHeight="1" x14ac:dyDescent="0.3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  <c r="AA153" s="42"/>
      <c r="AB153" s="42"/>
      <c r="AC153" s="42"/>
      <c r="AD153" s="42"/>
      <c r="AE153" s="42"/>
    </row>
    <row r="154" spans="1:31" ht="12.75" customHeight="1" x14ac:dyDescent="0.3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  <c r="AA154" s="42"/>
      <c r="AB154" s="42"/>
      <c r="AC154" s="42"/>
      <c r="AD154" s="42"/>
      <c r="AE154" s="42"/>
    </row>
    <row r="155" spans="1:31" ht="12.75" customHeight="1" x14ac:dyDescent="0.3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  <c r="AA155" s="42"/>
      <c r="AB155" s="42"/>
      <c r="AC155" s="42"/>
      <c r="AD155" s="42"/>
      <c r="AE155" s="42"/>
    </row>
    <row r="156" spans="1:31" ht="12.75" customHeight="1" x14ac:dyDescent="0.3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  <c r="AA156" s="42"/>
      <c r="AB156" s="42"/>
      <c r="AC156" s="42"/>
      <c r="AD156" s="42"/>
      <c r="AE156" s="42"/>
    </row>
    <row r="157" spans="1:31" ht="12.75" customHeight="1" x14ac:dyDescent="0.3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  <c r="AA157" s="42"/>
      <c r="AB157" s="42"/>
      <c r="AC157" s="42"/>
      <c r="AD157" s="42"/>
      <c r="AE157" s="42"/>
    </row>
    <row r="158" spans="1:31" ht="12.75" customHeight="1" x14ac:dyDescent="0.3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  <c r="AA158" s="42"/>
      <c r="AB158" s="42"/>
      <c r="AC158" s="42"/>
      <c r="AD158" s="42"/>
      <c r="AE158" s="42"/>
    </row>
    <row r="159" spans="1:31" ht="12.75" customHeight="1" x14ac:dyDescent="0.3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</row>
    <row r="160" spans="1:31" ht="12.75" customHeight="1" x14ac:dyDescent="0.3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</row>
    <row r="161" spans="1:31" ht="12.75" customHeight="1" x14ac:dyDescent="0.3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</row>
    <row r="162" spans="1:31" ht="12.75" customHeight="1" x14ac:dyDescent="0.3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</row>
    <row r="163" spans="1:31" ht="12.75" customHeight="1" x14ac:dyDescent="0.3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  <c r="AA163" s="42"/>
      <c r="AB163" s="42"/>
      <c r="AC163" s="42"/>
      <c r="AD163" s="42"/>
      <c r="AE163" s="42"/>
    </row>
    <row r="164" spans="1:31" ht="12.75" customHeight="1" x14ac:dyDescent="0.3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  <c r="AA164" s="42"/>
      <c r="AB164" s="42"/>
      <c r="AC164" s="42"/>
      <c r="AD164" s="42"/>
      <c r="AE164" s="42"/>
    </row>
    <row r="165" spans="1:31" ht="12.75" customHeight="1" x14ac:dyDescent="0.3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  <c r="AA165" s="42"/>
      <c r="AB165" s="42"/>
      <c r="AC165" s="42"/>
      <c r="AD165" s="42"/>
      <c r="AE165" s="42"/>
    </row>
    <row r="166" spans="1:31" ht="12.75" customHeight="1" x14ac:dyDescent="0.3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  <c r="AA166" s="42"/>
      <c r="AB166" s="42"/>
      <c r="AC166" s="42"/>
      <c r="AD166" s="42"/>
      <c r="AE166" s="42"/>
    </row>
    <row r="167" spans="1:31" ht="12.75" customHeight="1" x14ac:dyDescent="0.3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  <c r="AA167" s="42"/>
      <c r="AB167" s="42"/>
      <c r="AC167" s="42"/>
      <c r="AD167" s="42"/>
      <c r="AE167" s="42"/>
    </row>
    <row r="168" spans="1:31" ht="12.75" customHeight="1" x14ac:dyDescent="0.3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  <c r="AA168" s="42"/>
      <c r="AB168" s="42"/>
      <c r="AC168" s="42"/>
      <c r="AD168" s="42"/>
      <c r="AE168" s="42"/>
    </row>
    <row r="169" spans="1:31" ht="12.75" customHeight="1" x14ac:dyDescent="0.3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  <c r="AA169" s="42"/>
      <c r="AB169" s="42"/>
      <c r="AC169" s="42"/>
      <c r="AD169" s="42"/>
      <c r="AE169" s="42"/>
    </row>
    <row r="170" spans="1:31" ht="12.75" customHeight="1" x14ac:dyDescent="0.3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  <c r="AA170" s="42"/>
      <c r="AB170" s="42"/>
      <c r="AC170" s="42"/>
      <c r="AD170" s="42"/>
      <c r="AE170" s="42"/>
    </row>
    <row r="171" spans="1:31" ht="12.75" customHeight="1" x14ac:dyDescent="0.3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  <c r="AA171" s="42"/>
      <c r="AB171" s="42"/>
      <c r="AC171" s="42"/>
      <c r="AD171" s="42"/>
      <c r="AE171" s="42"/>
    </row>
    <row r="172" spans="1:31" ht="12.75" customHeight="1" x14ac:dyDescent="0.3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  <c r="AA172" s="42"/>
      <c r="AB172" s="42"/>
      <c r="AC172" s="42"/>
      <c r="AD172" s="42"/>
      <c r="AE172" s="42"/>
    </row>
    <row r="173" spans="1:31" ht="12.75" customHeight="1" x14ac:dyDescent="0.3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  <c r="AA173" s="42"/>
      <c r="AB173" s="42"/>
      <c r="AC173" s="42"/>
      <c r="AD173" s="42"/>
      <c r="AE173" s="42"/>
    </row>
    <row r="174" spans="1:31" ht="12.75" customHeight="1" x14ac:dyDescent="0.3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  <c r="AA174" s="42"/>
      <c r="AB174" s="42"/>
      <c r="AC174" s="42"/>
      <c r="AD174" s="42"/>
      <c r="AE174" s="42"/>
    </row>
    <row r="175" spans="1:31" ht="12.75" customHeight="1" x14ac:dyDescent="0.3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</row>
    <row r="176" spans="1:31" ht="12.75" customHeight="1" x14ac:dyDescent="0.3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</row>
    <row r="177" spans="1:31" ht="12.75" customHeight="1" x14ac:dyDescent="0.3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</row>
    <row r="178" spans="1:31" ht="12.75" customHeight="1" x14ac:dyDescent="0.3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</row>
    <row r="179" spans="1:31" ht="12.75" customHeight="1" x14ac:dyDescent="0.3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</row>
    <row r="180" spans="1:31" ht="12.75" customHeight="1" x14ac:dyDescent="0.3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</row>
    <row r="181" spans="1:31" ht="12.75" customHeight="1" x14ac:dyDescent="0.3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</row>
    <row r="182" spans="1:31" ht="12.75" customHeight="1" x14ac:dyDescent="0.3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</row>
    <row r="183" spans="1:31" ht="12.75" customHeight="1" x14ac:dyDescent="0.3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</row>
    <row r="184" spans="1:31" ht="12.75" customHeight="1" x14ac:dyDescent="0.3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</row>
    <row r="185" spans="1:31" ht="12.75" customHeight="1" x14ac:dyDescent="0.3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</row>
    <row r="186" spans="1:31" ht="12.75" customHeight="1" x14ac:dyDescent="0.3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</row>
    <row r="187" spans="1:31" ht="12.75" customHeight="1" x14ac:dyDescent="0.3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</row>
    <row r="188" spans="1:31" ht="12.75" customHeight="1" x14ac:dyDescent="0.3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</row>
    <row r="189" spans="1:31" ht="12.75" customHeight="1" x14ac:dyDescent="0.3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</row>
    <row r="190" spans="1:31" ht="12.75" customHeight="1" x14ac:dyDescent="0.3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</row>
    <row r="191" spans="1:31" ht="12.75" customHeight="1" x14ac:dyDescent="0.3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</row>
    <row r="192" spans="1:31" ht="12.75" customHeight="1" x14ac:dyDescent="0.3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</row>
    <row r="193" spans="1:31" ht="12.75" customHeight="1" x14ac:dyDescent="0.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</row>
    <row r="194" spans="1:31" ht="12.75" customHeight="1" x14ac:dyDescent="0.3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</row>
    <row r="195" spans="1:31" ht="12.75" customHeight="1" x14ac:dyDescent="0.3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</row>
    <row r="196" spans="1:31" ht="12.75" customHeight="1" x14ac:dyDescent="0.3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</row>
    <row r="197" spans="1:31" ht="12.75" customHeight="1" x14ac:dyDescent="0.3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</row>
    <row r="198" spans="1:31" ht="12.75" customHeight="1" x14ac:dyDescent="0.3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</row>
    <row r="199" spans="1:31" ht="12.75" customHeight="1" x14ac:dyDescent="0.3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</row>
    <row r="200" spans="1:31" ht="12.75" customHeight="1" x14ac:dyDescent="0.3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</row>
    <row r="201" spans="1:31" ht="12.75" customHeight="1" x14ac:dyDescent="0.3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</row>
    <row r="202" spans="1:31" ht="12.75" customHeight="1" x14ac:dyDescent="0.3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</row>
    <row r="203" spans="1:31" ht="12.75" customHeight="1" x14ac:dyDescent="0.3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</row>
    <row r="204" spans="1:31" ht="12.75" customHeight="1" x14ac:dyDescent="0.3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</row>
    <row r="205" spans="1:31" ht="12.75" customHeight="1" x14ac:dyDescent="0.3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</row>
    <row r="206" spans="1:31" ht="12.75" customHeight="1" x14ac:dyDescent="0.3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</row>
    <row r="207" spans="1:31" ht="12.75" customHeight="1" x14ac:dyDescent="0.3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</row>
    <row r="208" spans="1:31" ht="12.75" customHeight="1" x14ac:dyDescent="0.3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</row>
    <row r="209" spans="1:31" ht="12.75" customHeight="1" x14ac:dyDescent="0.3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</row>
    <row r="210" spans="1:31" ht="12.75" customHeight="1" x14ac:dyDescent="0.3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</row>
    <row r="211" spans="1:31" ht="12.75" customHeight="1" x14ac:dyDescent="0.3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</row>
    <row r="212" spans="1:31" ht="12.75" customHeight="1" x14ac:dyDescent="0.3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</row>
    <row r="213" spans="1:31" ht="12.75" customHeight="1" x14ac:dyDescent="0.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</row>
    <row r="214" spans="1:31" ht="12.75" customHeight="1" x14ac:dyDescent="0.3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</row>
    <row r="215" spans="1:31" ht="12.75" customHeight="1" x14ac:dyDescent="0.3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</row>
    <row r="216" spans="1:31" ht="12.75" customHeight="1" x14ac:dyDescent="0.3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</row>
    <row r="217" spans="1:31" ht="12.75" customHeight="1" x14ac:dyDescent="0.3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</row>
    <row r="218" spans="1:31" ht="12.75" customHeight="1" x14ac:dyDescent="0.3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</row>
    <row r="219" spans="1:31" ht="12.75" customHeight="1" x14ac:dyDescent="0.3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</row>
    <row r="220" spans="1:31" ht="12.75" customHeight="1" x14ac:dyDescent="0.3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</row>
    <row r="221" spans="1:31" ht="12.75" customHeight="1" x14ac:dyDescent="0.3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</row>
    <row r="222" spans="1:31" ht="12.75" customHeight="1" x14ac:dyDescent="0.3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</row>
    <row r="223" spans="1:31" ht="12.75" customHeight="1" x14ac:dyDescent="0.3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</row>
    <row r="224" spans="1:31" ht="12.75" customHeight="1" x14ac:dyDescent="0.3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</row>
    <row r="225" spans="1:31" ht="12.75" customHeight="1" x14ac:dyDescent="0.3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</row>
    <row r="226" spans="1:31" ht="12.75" customHeight="1" x14ac:dyDescent="0.3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</row>
    <row r="227" spans="1:31" ht="12.75" customHeight="1" x14ac:dyDescent="0.3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</row>
    <row r="228" spans="1:31" ht="12.75" customHeight="1" x14ac:dyDescent="0.3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"/>
      <c r="N228" s="42"/>
      <c r="O228" s="42"/>
      <c r="P228" s="42"/>
      <c r="Q228" s="42"/>
      <c r="R228" s="42"/>
      <c r="S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</row>
    <row r="229" spans="1:31" ht="12.75" customHeight="1" x14ac:dyDescent="0.3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"/>
      <c r="N229" s="42"/>
      <c r="O229" s="42"/>
      <c r="P229" s="42"/>
      <c r="Q229" s="42"/>
      <c r="R229" s="42"/>
      <c r="S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</row>
    <row r="230" spans="1:31" ht="12.75" customHeight="1" x14ac:dyDescent="0.3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"/>
      <c r="N230" s="42"/>
      <c r="O230" s="42"/>
      <c r="P230" s="42"/>
      <c r="Q230" s="42"/>
      <c r="R230" s="42"/>
      <c r="S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</row>
    <row r="231" spans="1:31" ht="12.75" customHeight="1" x14ac:dyDescent="0.3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"/>
      <c r="N231" s="42"/>
      <c r="O231" s="42"/>
      <c r="P231" s="42"/>
      <c r="Q231" s="42"/>
      <c r="R231" s="42"/>
      <c r="S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</row>
    <row r="232" spans="1:31" ht="12.75" customHeight="1" x14ac:dyDescent="0.3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"/>
      <c r="N232" s="42"/>
      <c r="O232" s="42"/>
      <c r="P232" s="42"/>
      <c r="Q232" s="42"/>
      <c r="R232" s="42"/>
      <c r="S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</row>
    <row r="233" spans="1:31" ht="12.75" customHeight="1" x14ac:dyDescent="0.3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  <c r="M233" s="42"/>
      <c r="N233" s="42"/>
      <c r="O233" s="42"/>
      <c r="P233" s="42"/>
      <c r="Q233" s="42"/>
      <c r="R233" s="42"/>
      <c r="S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</row>
    <row r="234" spans="1:31" ht="12.75" customHeight="1" x14ac:dyDescent="0.3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  <c r="M234" s="42"/>
      <c r="N234" s="42"/>
      <c r="O234" s="42"/>
      <c r="P234" s="42"/>
      <c r="Q234" s="42"/>
      <c r="R234" s="42"/>
      <c r="S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</row>
    <row r="235" spans="1:31" ht="12.75" customHeight="1" x14ac:dyDescent="0.3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  <c r="M235" s="42"/>
      <c r="N235" s="42"/>
      <c r="O235" s="42"/>
      <c r="P235" s="42"/>
      <c r="Q235" s="42"/>
      <c r="R235" s="42"/>
      <c r="S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</row>
    <row r="236" spans="1:31" ht="12.75" customHeight="1" x14ac:dyDescent="0.3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  <c r="M236" s="42"/>
      <c r="N236" s="42"/>
      <c r="O236" s="42"/>
      <c r="P236" s="42"/>
      <c r="Q236" s="42"/>
      <c r="R236" s="42"/>
      <c r="S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</row>
    <row r="237" spans="1:31" ht="12.75" customHeight="1" x14ac:dyDescent="0.3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  <c r="M237" s="42"/>
      <c r="N237" s="42"/>
      <c r="O237" s="42"/>
      <c r="P237" s="42"/>
      <c r="Q237" s="42"/>
      <c r="R237" s="42"/>
      <c r="S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</row>
    <row r="238" spans="1:31" ht="12.75" customHeight="1" x14ac:dyDescent="0.3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  <c r="M238" s="42"/>
      <c r="N238" s="42"/>
      <c r="O238" s="42"/>
      <c r="P238" s="42"/>
      <c r="Q238" s="42"/>
      <c r="R238" s="42"/>
      <c r="S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</row>
    <row r="239" spans="1:31" ht="12.75" customHeight="1" x14ac:dyDescent="0.3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  <c r="M239" s="42"/>
      <c r="N239" s="42"/>
      <c r="O239" s="42"/>
      <c r="P239" s="42"/>
      <c r="Q239" s="42"/>
      <c r="R239" s="42"/>
      <c r="S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</row>
    <row r="240" spans="1:31" ht="12.75" customHeight="1" x14ac:dyDescent="0.3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  <c r="M240" s="42"/>
      <c r="N240" s="42"/>
      <c r="O240" s="42"/>
      <c r="P240" s="42"/>
      <c r="Q240" s="42"/>
      <c r="R240" s="42"/>
      <c r="S240" s="42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</row>
    <row r="241" spans="1:31" ht="12.75" customHeight="1" x14ac:dyDescent="0.3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  <c r="M241" s="42"/>
      <c r="N241" s="42"/>
      <c r="O241" s="42"/>
      <c r="P241" s="42"/>
      <c r="Q241" s="42"/>
      <c r="R241" s="42"/>
      <c r="S241" s="42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</row>
    <row r="242" spans="1:31" ht="12.75" customHeight="1" x14ac:dyDescent="0.3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  <c r="M242" s="42"/>
      <c r="N242" s="42"/>
      <c r="O242" s="42"/>
      <c r="P242" s="42"/>
      <c r="Q242" s="42"/>
      <c r="R242" s="42"/>
      <c r="S242" s="42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</row>
    <row r="243" spans="1:31" ht="12.75" customHeight="1" x14ac:dyDescent="0.3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  <c r="M243" s="42"/>
      <c r="N243" s="42"/>
      <c r="O243" s="42"/>
      <c r="P243" s="42"/>
      <c r="Q243" s="42"/>
      <c r="R243" s="42"/>
      <c r="S243" s="42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</row>
    <row r="244" spans="1:31" ht="12.75" customHeight="1" x14ac:dyDescent="0.3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  <c r="M244" s="42"/>
      <c r="N244" s="42"/>
      <c r="O244" s="42"/>
      <c r="P244" s="42"/>
      <c r="Q244" s="42"/>
      <c r="R244" s="42"/>
      <c r="S244" s="42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</row>
    <row r="245" spans="1:31" ht="12.75" customHeight="1" x14ac:dyDescent="0.3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  <c r="M245" s="42"/>
      <c r="N245" s="42"/>
      <c r="O245" s="42"/>
      <c r="P245" s="42"/>
      <c r="Q245" s="42"/>
      <c r="R245" s="42"/>
      <c r="S245" s="42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</row>
    <row r="246" spans="1:31" ht="12.75" customHeight="1" x14ac:dyDescent="0.3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  <c r="M246" s="42"/>
      <c r="N246" s="42"/>
      <c r="O246" s="42"/>
      <c r="P246" s="42"/>
      <c r="Q246" s="42"/>
      <c r="R246" s="42"/>
      <c r="S246" s="42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</row>
    <row r="247" spans="1:31" ht="12.75" customHeight="1" x14ac:dyDescent="0.3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  <c r="M247" s="42"/>
      <c r="N247" s="42"/>
      <c r="O247" s="42"/>
      <c r="P247" s="42"/>
      <c r="Q247" s="42"/>
      <c r="R247" s="42"/>
      <c r="S247" s="42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</row>
    <row r="248" spans="1:31" ht="12.75" customHeight="1" x14ac:dyDescent="0.3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  <c r="M248" s="42"/>
      <c r="N248" s="42"/>
      <c r="O248" s="42"/>
      <c r="P248" s="42"/>
      <c r="Q248" s="42"/>
      <c r="R248" s="42"/>
      <c r="S248" s="42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</row>
    <row r="249" spans="1:31" ht="12.75" customHeight="1" x14ac:dyDescent="0.3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"/>
      <c r="N249" s="42"/>
      <c r="O249" s="42"/>
      <c r="P249" s="42"/>
      <c r="Q249" s="42"/>
      <c r="R249" s="42"/>
      <c r="S249" s="42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</row>
    <row r="250" spans="1:31" ht="12.75" customHeight="1" x14ac:dyDescent="0.3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"/>
      <c r="N250" s="42"/>
      <c r="O250" s="42"/>
      <c r="P250" s="42"/>
      <c r="Q250" s="42"/>
      <c r="R250" s="42"/>
      <c r="S250" s="42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</row>
    <row r="251" spans="1:31" ht="12.75" customHeight="1" x14ac:dyDescent="0.3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42"/>
      <c r="N251" s="42"/>
      <c r="O251" s="42"/>
      <c r="P251" s="42"/>
      <c r="Q251" s="42"/>
      <c r="R251" s="42"/>
      <c r="S251" s="42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</row>
    <row r="252" spans="1:31" ht="12.75" customHeight="1" x14ac:dyDescent="0.3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  <c r="N252" s="42"/>
      <c r="O252" s="42"/>
      <c r="P252" s="42"/>
      <c r="Q252" s="42"/>
      <c r="R252" s="42"/>
      <c r="S252" s="42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</row>
    <row r="253" spans="1:31" ht="12.75" customHeight="1" x14ac:dyDescent="0.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  <c r="N253" s="42"/>
      <c r="O253" s="42"/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</row>
    <row r="254" spans="1:31" ht="12.75" customHeight="1" x14ac:dyDescent="0.3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  <c r="N254" s="42"/>
      <c r="O254" s="42"/>
      <c r="P254" s="42"/>
      <c r="Q254" s="42"/>
      <c r="R254" s="42"/>
      <c r="S254" s="42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</row>
    <row r="255" spans="1:31" ht="12.75" customHeight="1" x14ac:dyDescent="0.3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  <c r="N255" s="42"/>
      <c r="O255" s="42"/>
      <c r="P255" s="42"/>
      <c r="Q255" s="42"/>
      <c r="R255" s="42"/>
      <c r="S255" s="42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</row>
    <row r="256" spans="1:31" ht="12.75" customHeight="1" x14ac:dyDescent="0.3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  <c r="N256" s="42"/>
      <c r="O256" s="42"/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</row>
    <row r="257" spans="1:31" ht="12.75" customHeight="1" x14ac:dyDescent="0.3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  <c r="N257" s="42"/>
      <c r="O257" s="42"/>
      <c r="P257" s="42"/>
      <c r="Q257" s="42"/>
      <c r="R257" s="42"/>
      <c r="S257" s="42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</row>
    <row r="258" spans="1:31" ht="12.75" customHeight="1" x14ac:dyDescent="0.3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  <c r="N258" s="42"/>
      <c r="O258" s="42"/>
      <c r="P258" s="42"/>
      <c r="Q258" s="42"/>
      <c r="R258" s="42"/>
      <c r="S258" s="42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</row>
    <row r="259" spans="1:31" ht="12.75" customHeight="1" x14ac:dyDescent="0.3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  <c r="N259" s="42"/>
      <c r="O259" s="42"/>
      <c r="P259" s="42"/>
      <c r="Q259" s="42"/>
      <c r="R259" s="42"/>
      <c r="S259" s="42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</row>
    <row r="260" spans="1:31" ht="12.75" customHeight="1" x14ac:dyDescent="0.3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  <c r="N260" s="42"/>
      <c r="O260" s="42"/>
      <c r="P260" s="42"/>
      <c r="Q260" s="42"/>
      <c r="R260" s="42"/>
      <c r="S260" s="42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</row>
    <row r="261" spans="1:31" ht="12.75" customHeight="1" x14ac:dyDescent="0.3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  <c r="N261" s="42"/>
      <c r="O261" s="42"/>
      <c r="P261" s="42"/>
      <c r="Q261" s="42"/>
      <c r="R261" s="42"/>
      <c r="S261" s="42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</row>
    <row r="262" spans="1:31" ht="12.75" customHeight="1" x14ac:dyDescent="0.3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  <c r="N262" s="42"/>
      <c r="O262" s="42"/>
      <c r="P262" s="42"/>
      <c r="Q262" s="42"/>
      <c r="R262" s="42"/>
      <c r="S262" s="42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</row>
    <row r="263" spans="1:31" ht="12.75" customHeight="1" x14ac:dyDescent="0.3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  <c r="N263" s="42"/>
      <c r="O263" s="42"/>
      <c r="P263" s="42"/>
      <c r="Q263" s="42"/>
      <c r="R263" s="42"/>
      <c r="S263" s="42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</row>
    <row r="264" spans="1:31" ht="12.75" customHeight="1" x14ac:dyDescent="0.3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  <c r="N264" s="42"/>
      <c r="O264" s="42"/>
      <c r="P264" s="42"/>
      <c r="Q264" s="42"/>
      <c r="R264" s="42"/>
      <c r="S264" s="42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</row>
    <row r="265" spans="1:31" ht="12.75" customHeight="1" x14ac:dyDescent="0.3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  <c r="N265" s="42"/>
      <c r="O265" s="42"/>
      <c r="P265" s="42"/>
      <c r="Q265" s="42"/>
      <c r="R265" s="42"/>
      <c r="S265" s="42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</row>
    <row r="266" spans="1:31" ht="12.75" customHeight="1" x14ac:dyDescent="0.3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  <c r="N266" s="42"/>
      <c r="O266" s="42"/>
      <c r="P266" s="42"/>
      <c r="Q266" s="42"/>
      <c r="R266" s="42"/>
      <c r="S266" s="42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</row>
    <row r="267" spans="1:31" ht="12.75" customHeight="1" x14ac:dyDescent="0.3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  <c r="N267" s="42"/>
      <c r="O267" s="42"/>
      <c r="P267" s="42"/>
      <c r="Q267" s="42"/>
      <c r="R267" s="42"/>
      <c r="S267" s="42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</row>
    <row r="268" spans="1:31" ht="12.75" customHeight="1" x14ac:dyDescent="0.3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  <c r="N268" s="42"/>
      <c r="O268" s="42"/>
      <c r="P268" s="42"/>
      <c r="Q268" s="42"/>
      <c r="R268" s="42"/>
      <c r="S268" s="42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</row>
    <row r="269" spans="1:31" ht="12.75" customHeight="1" x14ac:dyDescent="0.3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  <c r="N269" s="42"/>
      <c r="O269" s="42"/>
      <c r="P269" s="42"/>
      <c r="Q269" s="42"/>
      <c r="R269" s="42"/>
      <c r="S269" s="42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</row>
    <row r="270" spans="1:31" ht="12.75" customHeight="1" x14ac:dyDescent="0.3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  <c r="N270" s="42"/>
      <c r="O270" s="42"/>
      <c r="P270" s="42"/>
      <c r="Q270" s="42"/>
      <c r="R270" s="42"/>
      <c r="S270" s="42"/>
      <c r="T270" s="42"/>
      <c r="U270" s="42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</row>
    <row r="271" spans="1:31" ht="12.75" customHeight="1" x14ac:dyDescent="0.3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  <c r="N271" s="42"/>
      <c r="O271" s="42"/>
      <c r="P271" s="42"/>
      <c r="Q271" s="42"/>
      <c r="R271" s="42"/>
      <c r="S271" s="4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</row>
    <row r="272" spans="1:31" ht="12.75" customHeight="1" x14ac:dyDescent="0.3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  <c r="N272" s="42"/>
      <c r="O272" s="42"/>
      <c r="P272" s="42"/>
      <c r="Q272" s="42"/>
      <c r="R272" s="42"/>
      <c r="S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</row>
    <row r="273" spans="1:31" ht="12.75" customHeight="1" x14ac:dyDescent="0.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  <c r="N273" s="42"/>
      <c r="O273" s="42"/>
      <c r="P273" s="42"/>
      <c r="Q273" s="42"/>
      <c r="R273" s="42"/>
      <c r="S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</row>
    <row r="274" spans="1:31" ht="12.75" customHeight="1" x14ac:dyDescent="0.3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  <c r="N274" s="42"/>
      <c r="O274" s="42"/>
      <c r="P274" s="42"/>
      <c r="Q274" s="42"/>
      <c r="R274" s="42"/>
      <c r="S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</row>
    <row r="275" spans="1:31" ht="12.75" customHeight="1" x14ac:dyDescent="0.3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  <c r="N275" s="42"/>
      <c r="O275" s="42"/>
      <c r="P275" s="42"/>
      <c r="Q275" s="42"/>
      <c r="R275" s="42"/>
      <c r="S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</row>
    <row r="276" spans="1:31" ht="12.75" customHeight="1" x14ac:dyDescent="0.3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  <c r="N276" s="42"/>
      <c r="O276" s="42"/>
      <c r="P276" s="42"/>
      <c r="Q276" s="42"/>
      <c r="R276" s="42"/>
      <c r="S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</row>
    <row r="277" spans="1:31" ht="12.75" customHeight="1" x14ac:dyDescent="0.3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  <c r="N277" s="42"/>
      <c r="O277" s="42"/>
      <c r="P277" s="42"/>
      <c r="Q277" s="42"/>
      <c r="R277" s="42"/>
      <c r="S277" s="42"/>
      <c r="T277" s="42"/>
      <c r="U277" s="42"/>
      <c r="V277" s="42"/>
      <c r="W277" s="42"/>
      <c r="X277" s="42"/>
      <c r="Y277" s="42"/>
      <c r="Z277" s="42"/>
      <c r="AA277" s="42"/>
      <c r="AB277" s="42"/>
      <c r="AC277" s="42"/>
      <c r="AD277" s="42"/>
      <c r="AE277" s="42"/>
    </row>
    <row r="278" spans="1:31" ht="12.75" customHeight="1" x14ac:dyDescent="0.3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  <c r="N278" s="42"/>
      <c r="O278" s="42"/>
      <c r="P278" s="42"/>
      <c r="Q278" s="42"/>
      <c r="R278" s="42"/>
      <c r="S278" s="42"/>
      <c r="T278" s="42"/>
      <c r="U278" s="42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</row>
    <row r="279" spans="1:31" ht="12.75" customHeight="1" x14ac:dyDescent="0.3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  <c r="N279" s="42"/>
      <c r="O279" s="42"/>
      <c r="P279" s="42"/>
      <c r="Q279" s="42"/>
      <c r="R279" s="42"/>
      <c r="S279" s="42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</row>
    <row r="280" spans="1:31" ht="12.75" customHeight="1" x14ac:dyDescent="0.3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  <c r="N280" s="42"/>
      <c r="O280" s="42"/>
      <c r="P280" s="42"/>
      <c r="Q280" s="42"/>
      <c r="R280" s="42"/>
      <c r="S280" s="42"/>
      <c r="T280" s="42"/>
      <c r="U280" s="42"/>
      <c r="V280" s="42"/>
      <c r="W280" s="42"/>
      <c r="X280" s="42"/>
      <c r="Y280" s="42"/>
      <c r="Z280" s="42"/>
      <c r="AA280" s="42"/>
      <c r="AB280" s="42"/>
      <c r="AC280" s="42"/>
      <c r="AD280" s="42"/>
      <c r="AE280" s="42"/>
    </row>
    <row r="281" spans="1:31" ht="12.75" customHeight="1" x14ac:dyDescent="0.3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  <c r="N281" s="42"/>
      <c r="O281" s="42"/>
      <c r="P281" s="42"/>
      <c r="Q281" s="42"/>
      <c r="R281" s="42"/>
      <c r="S281" s="42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</row>
    <row r="282" spans="1:31" ht="12.75" customHeight="1" x14ac:dyDescent="0.3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  <c r="N282" s="42"/>
      <c r="O282" s="42"/>
      <c r="P282" s="42"/>
      <c r="Q282" s="42"/>
      <c r="R282" s="42"/>
      <c r="S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</row>
    <row r="283" spans="1:31" ht="12.75" customHeight="1" x14ac:dyDescent="0.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  <c r="N283" s="42"/>
      <c r="O283" s="42"/>
      <c r="P283" s="42"/>
      <c r="Q283" s="42"/>
      <c r="R283" s="42"/>
      <c r="S283" s="42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</row>
    <row r="284" spans="1:31" ht="12.75" customHeight="1" x14ac:dyDescent="0.3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  <c r="N284" s="42"/>
      <c r="O284" s="42"/>
      <c r="P284" s="42"/>
      <c r="Q284" s="42"/>
      <c r="R284" s="42"/>
      <c r="S284" s="42"/>
      <c r="T284" s="42"/>
      <c r="U284" s="42"/>
      <c r="V284" s="42"/>
      <c r="W284" s="42"/>
      <c r="X284" s="42"/>
      <c r="Y284" s="42"/>
      <c r="Z284" s="42"/>
      <c r="AA284" s="42"/>
      <c r="AB284" s="42"/>
      <c r="AC284" s="42"/>
      <c r="AD284" s="42"/>
      <c r="AE284" s="42"/>
    </row>
    <row r="285" spans="1:31" ht="12.75" customHeight="1" x14ac:dyDescent="0.3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  <c r="N285" s="42"/>
      <c r="O285" s="42"/>
      <c r="P285" s="42"/>
      <c r="Q285" s="42"/>
      <c r="R285" s="42"/>
      <c r="S285" s="42"/>
      <c r="T285" s="42"/>
      <c r="U285" s="42"/>
      <c r="V285" s="42"/>
      <c r="W285" s="42"/>
      <c r="X285" s="42"/>
      <c r="Y285" s="42"/>
      <c r="Z285" s="42"/>
      <c r="AA285" s="42"/>
      <c r="AB285" s="42"/>
      <c r="AC285" s="42"/>
      <c r="AD285" s="42"/>
      <c r="AE285" s="42"/>
    </row>
    <row r="286" spans="1:31" ht="12.75" customHeight="1" x14ac:dyDescent="0.3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  <c r="N286" s="42"/>
      <c r="O286" s="42"/>
      <c r="P286" s="42"/>
      <c r="Q286" s="42"/>
      <c r="R286" s="42"/>
      <c r="S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</row>
    <row r="287" spans="1:31" ht="12.75" customHeight="1" x14ac:dyDescent="0.3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  <c r="N287" s="42"/>
      <c r="O287" s="42"/>
      <c r="P287" s="42"/>
      <c r="Q287" s="42"/>
      <c r="R287" s="42"/>
      <c r="S287" s="42"/>
      <c r="T287" s="42"/>
      <c r="U287" s="42"/>
      <c r="V287" s="42"/>
      <c r="W287" s="42"/>
      <c r="X287" s="42"/>
      <c r="Y287" s="42"/>
      <c r="Z287" s="42"/>
      <c r="AA287" s="42"/>
      <c r="AB287" s="42"/>
      <c r="AC287" s="42"/>
      <c r="AD287" s="42"/>
      <c r="AE287" s="42"/>
    </row>
    <row r="288" spans="1:31" ht="12.75" customHeight="1" x14ac:dyDescent="0.3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  <c r="N288" s="42"/>
      <c r="O288" s="42"/>
      <c r="P288" s="42"/>
      <c r="Q288" s="42"/>
      <c r="R288" s="42"/>
      <c r="S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</row>
    <row r="289" spans="1:31" ht="12.75" customHeight="1" x14ac:dyDescent="0.3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  <c r="N289" s="42"/>
      <c r="O289" s="42"/>
      <c r="P289" s="42"/>
      <c r="Q289" s="42"/>
      <c r="R289" s="42"/>
      <c r="S289" s="42"/>
      <c r="T289" s="42"/>
      <c r="U289" s="42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</row>
    <row r="290" spans="1:31" ht="12.75" customHeight="1" x14ac:dyDescent="0.3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  <c r="N290" s="42"/>
      <c r="O290" s="42"/>
      <c r="P290" s="42"/>
      <c r="Q290" s="42"/>
      <c r="R290" s="42"/>
      <c r="S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</row>
    <row r="291" spans="1:31" ht="12.75" customHeight="1" x14ac:dyDescent="0.3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  <c r="N291" s="42"/>
      <c r="O291" s="42"/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</row>
    <row r="292" spans="1:31" ht="12.75" customHeight="1" x14ac:dyDescent="0.3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  <c r="N292" s="42"/>
      <c r="O292" s="42"/>
      <c r="P292" s="42"/>
      <c r="Q292" s="42"/>
      <c r="R292" s="42"/>
      <c r="S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</row>
    <row r="293" spans="1:31" ht="12.75" customHeight="1" x14ac:dyDescent="0.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  <c r="N293" s="42"/>
      <c r="O293" s="42"/>
      <c r="P293" s="42"/>
      <c r="Q293" s="42"/>
      <c r="R293" s="42"/>
      <c r="S293" s="42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</row>
    <row r="294" spans="1:31" ht="12.75" customHeight="1" x14ac:dyDescent="0.3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  <c r="N294" s="42"/>
      <c r="O294" s="42"/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</row>
    <row r="295" spans="1:31" ht="12.75" customHeight="1" x14ac:dyDescent="0.3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  <c r="N295" s="42"/>
      <c r="O295" s="42"/>
      <c r="P295" s="42"/>
      <c r="Q295" s="42"/>
      <c r="R295" s="42"/>
      <c r="S295" s="42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</row>
    <row r="296" spans="1:31" ht="12.75" customHeight="1" x14ac:dyDescent="0.3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  <c r="N296" s="42"/>
      <c r="O296" s="42"/>
      <c r="P296" s="42"/>
      <c r="Q296" s="42"/>
      <c r="R296" s="42"/>
      <c r="S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</row>
    <row r="297" spans="1:31" ht="12.75" customHeight="1" x14ac:dyDescent="0.3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  <c r="N297" s="42"/>
      <c r="O297" s="42"/>
      <c r="P297" s="42"/>
      <c r="Q297" s="42"/>
      <c r="R297" s="42"/>
      <c r="S297" s="42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</row>
    <row r="298" spans="1:31" ht="12.75" customHeight="1" x14ac:dyDescent="0.3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  <c r="N298" s="42"/>
      <c r="O298" s="42"/>
      <c r="P298" s="42"/>
      <c r="Q298" s="42"/>
      <c r="R298" s="42"/>
      <c r="S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</row>
    <row r="299" spans="1:31" ht="12.75" customHeight="1" x14ac:dyDescent="0.3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  <c r="N299" s="42"/>
      <c r="O299" s="42"/>
      <c r="P299" s="42"/>
      <c r="Q299" s="42"/>
      <c r="R299" s="42"/>
      <c r="S299" s="42"/>
      <c r="T299" s="42"/>
      <c r="U299" s="42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</row>
    <row r="300" spans="1:31" ht="12.75" customHeight="1" x14ac:dyDescent="0.3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  <c r="N300" s="42"/>
      <c r="O300" s="42"/>
      <c r="P300" s="42"/>
      <c r="Q300" s="42"/>
      <c r="R300" s="42"/>
      <c r="S300" s="42"/>
      <c r="T300" s="42"/>
      <c r="U300" s="42"/>
      <c r="V300" s="42"/>
      <c r="W300" s="42"/>
      <c r="X300" s="42"/>
      <c r="Y300" s="42"/>
      <c r="Z300" s="42"/>
      <c r="AA300" s="42"/>
      <c r="AB300" s="42"/>
      <c r="AC300" s="42"/>
      <c r="AD300" s="42"/>
      <c r="AE300" s="42"/>
    </row>
    <row r="301" spans="1:31" ht="12.75" customHeight="1" x14ac:dyDescent="0.3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  <c r="N301" s="42"/>
      <c r="O301" s="42"/>
      <c r="P301" s="42"/>
      <c r="Q301" s="42"/>
      <c r="R301" s="42"/>
      <c r="S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</row>
    <row r="302" spans="1:31" ht="12.75" customHeight="1" x14ac:dyDescent="0.3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  <c r="N302" s="42"/>
      <c r="O302" s="42"/>
      <c r="P302" s="42"/>
      <c r="Q302" s="42"/>
      <c r="R302" s="42"/>
      <c r="S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</row>
    <row r="303" spans="1:31" ht="12.75" customHeight="1" x14ac:dyDescent="0.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  <c r="N303" s="42"/>
      <c r="O303" s="42"/>
      <c r="P303" s="42"/>
      <c r="Q303" s="42"/>
      <c r="R303" s="42"/>
      <c r="S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</row>
    <row r="304" spans="1:31" ht="12.75" customHeight="1" x14ac:dyDescent="0.3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  <c r="N304" s="42"/>
      <c r="O304" s="42"/>
      <c r="P304" s="42"/>
      <c r="Q304" s="42"/>
      <c r="R304" s="42"/>
      <c r="S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</row>
    <row r="305" spans="1:31" ht="12.75" customHeight="1" x14ac:dyDescent="0.3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  <c r="N305" s="42"/>
      <c r="O305" s="42"/>
      <c r="P305" s="42"/>
      <c r="Q305" s="42"/>
      <c r="R305" s="42"/>
      <c r="S305" s="42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</row>
    <row r="306" spans="1:31" ht="12.75" customHeight="1" x14ac:dyDescent="0.3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  <c r="N306" s="42"/>
      <c r="O306" s="42"/>
      <c r="P306" s="42"/>
      <c r="Q306" s="42"/>
      <c r="R306" s="42"/>
      <c r="S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</row>
    <row r="307" spans="1:31" ht="12.75" customHeight="1" x14ac:dyDescent="0.3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  <c r="N307" s="42"/>
      <c r="O307" s="42"/>
      <c r="P307" s="42"/>
      <c r="Q307" s="42"/>
      <c r="R307" s="42"/>
      <c r="S307" s="42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</row>
    <row r="308" spans="1:31" ht="12.75" customHeight="1" x14ac:dyDescent="0.3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  <c r="N308" s="42"/>
      <c r="O308" s="42"/>
      <c r="P308" s="42"/>
      <c r="Q308" s="42"/>
      <c r="R308" s="42"/>
      <c r="S308" s="42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</row>
    <row r="309" spans="1:31" ht="12.75" customHeight="1" x14ac:dyDescent="0.3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  <c r="N309" s="42"/>
      <c r="O309" s="42"/>
      <c r="P309" s="42"/>
      <c r="Q309" s="42"/>
      <c r="R309" s="42"/>
      <c r="S309" s="42"/>
      <c r="T309" s="42"/>
      <c r="U309" s="42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</row>
    <row r="310" spans="1:31" ht="12.75" customHeight="1" x14ac:dyDescent="0.3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  <c r="N310" s="42"/>
      <c r="O310" s="42"/>
      <c r="P310" s="42"/>
      <c r="Q310" s="42"/>
      <c r="R310" s="42"/>
      <c r="S310" s="42"/>
      <c r="T310" s="42"/>
      <c r="U310" s="42"/>
      <c r="V310" s="42"/>
      <c r="W310" s="42"/>
      <c r="X310" s="42"/>
      <c r="Y310" s="42"/>
      <c r="Z310" s="42"/>
      <c r="AA310" s="42"/>
      <c r="AB310" s="42"/>
      <c r="AC310" s="42"/>
      <c r="AD310" s="42"/>
      <c r="AE310" s="42"/>
    </row>
    <row r="311" spans="1:31" ht="12.75" customHeight="1" x14ac:dyDescent="0.3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  <c r="N311" s="42"/>
      <c r="O311" s="42"/>
      <c r="P311" s="42"/>
      <c r="Q311" s="42"/>
      <c r="R311" s="42"/>
      <c r="S311" s="42"/>
      <c r="T311" s="42"/>
      <c r="U311" s="42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</row>
    <row r="312" spans="1:31" ht="12.75" customHeight="1" x14ac:dyDescent="0.3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  <c r="N312" s="42"/>
      <c r="O312" s="42"/>
      <c r="P312" s="42"/>
      <c r="Q312" s="42"/>
      <c r="R312" s="42"/>
      <c r="S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</row>
    <row r="313" spans="1:31" ht="12.75" customHeight="1" x14ac:dyDescent="0.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  <c r="N313" s="42"/>
      <c r="O313" s="42"/>
      <c r="P313" s="42"/>
      <c r="Q313" s="42"/>
      <c r="R313" s="42"/>
      <c r="S313" s="42"/>
      <c r="T313" s="42"/>
      <c r="U313" s="42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</row>
    <row r="314" spans="1:31" ht="12.75" customHeight="1" x14ac:dyDescent="0.3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  <c r="N314" s="42"/>
      <c r="O314" s="42"/>
      <c r="P314" s="42"/>
      <c r="Q314" s="42"/>
      <c r="R314" s="42"/>
      <c r="S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</row>
    <row r="315" spans="1:31" ht="12.75" customHeight="1" x14ac:dyDescent="0.3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  <c r="N315" s="42"/>
      <c r="O315" s="42"/>
      <c r="P315" s="42"/>
      <c r="Q315" s="42"/>
      <c r="R315" s="42"/>
      <c r="S315" s="42"/>
      <c r="T315" s="42"/>
      <c r="U315" s="42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</row>
    <row r="316" spans="1:31" ht="12.75" customHeight="1" x14ac:dyDescent="0.3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  <c r="N316" s="42"/>
      <c r="O316" s="42"/>
      <c r="P316" s="42"/>
      <c r="Q316" s="42"/>
      <c r="R316" s="42"/>
      <c r="S316" s="42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</row>
    <row r="317" spans="1:31" ht="12.75" customHeight="1" x14ac:dyDescent="0.3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  <c r="N317" s="42"/>
      <c r="O317" s="42"/>
      <c r="P317" s="42"/>
      <c r="Q317" s="42"/>
      <c r="R317" s="42"/>
      <c r="S317" s="42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</row>
    <row r="318" spans="1:31" ht="12.75" customHeight="1" x14ac:dyDescent="0.3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  <c r="N318" s="42"/>
      <c r="O318" s="42"/>
      <c r="P318" s="42"/>
      <c r="Q318" s="42"/>
      <c r="R318" s="42"/>
      <c r="S318" s="42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</row>
    <row r="319" spans="1:31" ht="12.75" customHeight="1" x14ac:dyDescent="0.3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  <c r="N319" s="42"/>
      <c r="O319" s="42"/>
      <c r="P319" s="42"/>
      <c r="Q319" s="42"/>
      <c r="R319" s="42"/>
      <c r="S319" s="42"/>
      <c r="T319" s="42"/>
      <c r="U319" s="42"/>
      <c r="V319" s="42"/>
      <c r="W319" s="42"/>
      <c r="X319" s="42"/>
      <c r="Y319" s="42"/>
      <c r="Z319" s="42"/>
      <c r="AA319" s="42"/>
      <c r="AB319" s="42"/>
      <c r="AC319" s="42"/>
      <c r="AD319" s="42"/>
      <c r="AE319" s="42"/>
    </row>
    <row r="320" spans="1:31" ht="12.75" customHeight="1" x14ac:dyDescent="0.3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  <c r="N320" s="42"/>
      <c r="O320" s="42"/>
      <c r="P320" s="42"/>
      <c r="Q320" s="42"/>
      <c r="R320" s="42"/>
      <c r="S320" s="42"/>
      <c r="T320" s="42"/>
      <c r="U320" s="42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</row>
    <row r="321" spans="1:31" ht="12.75" customHeight="1" x14ac:dyDescent="0.3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  <c r="N321" s="42"/>
      <c r="O321" s="42"/>
      <c r="P321" s="42"/>
      <c r="Q321" s="42"/>
      <c r="R321" s="42"/>
      <c r="S321" s="42"/>
      <c r="T321" s="42"/>
      <c r="U321" s="42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</row>
    <row r="322" spans="1:31" ht="12.75" customHeight="1" x14ac:dyDescent="0.3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  <c r="N322" s="42"/>
      <c r="O322" s="42"/>
      <c r="P322" s="42"/>
      <c r="Q322" s="42"/>
      <c r="R322" s="42"/>
      <c r="S322" s="42"/>
      <c r="T322" s="42"/>
      <c r="U322" s="42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</row>
    <row r="323" spans="1:31" ht="12.75" customHeight="1" x14ac:dyDescent="0.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  <c r="N323" s="42"/>
      <c r="O323" s="42"/>
      <c r="P323" s="42"/>
      <c r="Q323" s="42"/>
      <c r="R323" s="42"/>
      <c r="S323" s="42"/>
      <c r="T323" s="42"/>
      <c r="U323" s="42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</row>
    <row r="324" spans="1:31" ht="12.75" customHeight="1" x14ac:dyDescent="0.3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  <c r="N324" s="42"/>
      <c r="O324" s="42"/>
      <c r="P324" s="42"/>
      <c r="Q324" s="42"/>
      <c r="R324" s="42"/>
      <c r="S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</row>
    <row r="325" spans="1:31" ht="12.75" customHeight="1" x14ac:dyDescent="0.3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  <c r="N325" s="42"/>
      <c r="O325" s="42"/>
      <c r="P325" s="42"/>
      <c r="Q325" s="42"/>
      <c r="R325" s="42"/>
      <c r="S325" s="42"/>
      <c r="T325" s="42"/>
      <c r="U325" s="42"/>
      <c r="V325" s="42"/>
      <c r="W325" s="42"/>
      <c r="X325" s="42"/>
      <c r="Y325" s="42"/>
      <c r="Z325" s="42"/>
      <c r="AA325" s="42"/>
      <c r="AB325" s="42"/>
      <c r="AC325" s="42"/>
      <c r="AD325" s="42"/>
      <c r="AE325" s="42"/>
    </row>
    <row r="326" spans="1:31" ht="12.75" customHeight="1" x14ac:dyDescent="0.3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  <c r="N326" s="42"/>
      <c r="O326" s="42"/>
      <c r="P326" s="42"/>
      <c r="Q326" s="42"/>
      <c r="R326" s="42"/>
      <c r="S326" s="42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</row>
    <row r="327" spans="1:31" ht="12.75" customHeight="1" x14ac:dyDescent="0.3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  <c r="N327" s="42"/>
      <c r="O327" s="42"/>
      <c r="P327" s="42"/>
      <c r="Q327" s="42"/>
      <c r="R327" s="42"/>
      <c r="S327" s="42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</row>
    <row r="328" spans="1:31" ht="12.75" customHeight="1" x14ac:dyDescent="0.3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  <c r="N328" s="42"/>
      <c r="O328" s="42"/>
      <c r="P328" s="42"/>
      <c r="Q328" s="42"/>
      <c r="R328" s="42"/>
      <c r="S328" s="42"/>
      <c r="T328" s="42"/>
      <c r="U328" s="42"/>
      <c r="V328" s="42"/>
      <c r="W328" s="42"/>
      <c r="X328" s="42"/>
      <c r="Y328" s="42"/>
      <c r="Z328" s="42"/>
      <c r="AA328" s="42"/>
      <c r="AB328" s="42"/>
      <c r="AC328" s="42"/>
      <c r="AD328" s="42"/>
      <c r="AE328" s="42"/>
    </row>
    <row r="329" spans="1:31" ht="12.75" customHeight="1" x14ac:dyDescent="0.3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  <c r="N329" s="42"/>
      <c r="O329" s="42"/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</row>
    <row r="330" spans="1:31" ht="12.75" customHeight="1" x14ac:dyDescent="0.3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  <c r="N330" s="42"/>
      <c r="O330" s="42"/>
      <c r="P330" s="42"/>
      <c r="Q330" s="42"/>
      <c r="R330" s="42"/>
      <c r="S330" s="42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</row>
    <row r="331" spans="1:31" ht="12.75" customHeight="1" x14ac:dyDescent="0.3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  <c r="N331" s="42"/>
      <c r="O331" s="42"/>
      <c r="P331" s="42"/>
      <c r="Q331" s="42"/>
      <c r="R331" s="42"/>
      <c r="S331" s="42"/>
      <c r="T331" s="42"/>
      <c r="U331" s="42"/>
      <c r="V331" s="42"/>
      <c r="W331" s="42"/>
      <c r="X331" s="42"/>
      <c r="Y331" s="42"/>
      <c r="Z331" s="42"/>
      <c r="AA331" s="42"/>
      <c r="AB331" s="42"/>
      <c r="AC331" s="42"/>
      <c r="AD331" s="42"/>
      <c r="AE331" s="42"/>
    </row>
    <row r="332" spans="1:31" ht="12.75" customHeight="1" x14ac:dyDescent="0.3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  <c r="N332" s="42"/>
      <c r="O332" s="42"/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</row>
    <row r="333" spans="1:31" ht="12.75" customHeight="1" x14ac:dyDescent="0.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  <c r="N333" s="42"/>
      <c r="O333" s="42"/>
      <c r="P333" s="42"/>
      <c r="Q333" s="42"/>
      <c r="R333" s="42"/>
      <c r="S333" s="42"/>
      <c r="T333" s="42"/>
      <c r="U333" s="42"/>
      <c r="V333" s="42"/>
      <c r="W333" s="42"/>
      <c r="X333" s="42"/>
      <c r="Y333" s="42"/>
      <c r="Z333" s="42"/>
      <c r="AA333" s="42"/>
      <c r="AB333" s="42"/>
      <c r="AC333" s="42"/>
      <c r="AD333" s="42"/>
      <c r="AE333" s="42"/>
    </row>
    <row r="334" spans="1:31" ht="12.75" customHeight="1" x14ac:dyDescent="0.3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  <c r="N334" s="42"/>
      <c r="O334" s="42"/>
      <c r="P334" s="42"/>
      <c r="Q334" s="42"/>
      <c r="R334" s="42"/>
      <c r="S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</row>
    <row r="335" spans="1:31" ht="12.75" customHeight="1" x14ac:dyDescent="0.3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  <c r="N335" s="42"/>
      <c r="O335" s="42"/>
      <c r="P335" s="42"/>
      <c r="Q335" s="42"/>
      <c r="R335" s="42"/>
      <c r="S335" s="42"/>
      <c r="T335" s="42"/>
      <c r="U335" s="42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</row>
    <row r="336" spans="1:31" ht="12.75" customHeight="1" x14ac:dyDescent="0.3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  <c r="N336" s="42"/>
      <c r="O336" s="42"/>
      <c r="P336" s="42"/>
      <c r="Q336" s="42"/>
      <c r="R336" s="42"/>
      <c r="S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</row>
    <row r="337" spans="1:31" ht="12.75" customHeight="1" x14ac:dyDescent="0.3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  <c r="N337" s="42"/>
      <c r="O337" s="42"/>
      <c r="P337" s="42"/>
      <c r="Q337" s="42"/>
      <c r="R337" s="42"/>
      <c r="S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</row>
    <row r="338" spans="1:31" ht="12.75" customHeight="1" x14ac:dyDescent="0.3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  <c r="N338" s="42"/>
      <c r="O338" s="42"/>
      <c r="P338" s="42"/>
      <c r="Q338" s="42"/>
      <c r="R338" s="42"/>
      <c r="S338" s="42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</row>
    <row r="339" spans="1:31" ht="12.75" customHeight="1" x14ac:dyDescent="0.3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  <c r="N339" s="42"/>
      <c r="O339" s="42"/>
      <c r="P339" s="42"/>
      <c r="Q339" s="42"/>
      <c r="R339" s="42"/>
      <c r="S339" s="42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</row>
    <row r="340" spans="1:31" ht="12.75" customHeight="1" x14ac:dyDescent="0.3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  <c r="N340" s="42"/>
      <c r="O340" s="42"/>
      <c r="P340" s="42"/>
      <c r="Q340" s="42"/>
      <c r="R340" s="42"/>
      <c r="S340" s="42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</row>
    <row r="341" spans="1:31" ht="12.75" customHeight="1" x14ac:dyDescent="0.3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  <c r="N341" s="42"/>
      <c r="O341" s="42"/>
      <c r="P341" s="42"/>
      <c r="Q341" s="42"/>
      <c r="R341" s="42"/>
      <c r="S341" s="42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</row>
    <row r="342" spans="1:31" ht="12.75" customHeight="1" x14ac:dyDescent="0.3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  <c r="N342" s="42"/>
      <c r="O342" s="42"/>
      <c r="P342" s="42"/>
      <c r="Q342" s="42"/>
      <c r="R342" s="42"/>
      <c r="S342" s="42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</row>
    <row r="343" spans="1:31" ht="12.75" customHeight="1" x14ac:dyDescent="0.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  <c r="N343" s="42"/>
      <c r="O343" s="42"/>
      <c r="P343" s="42"/>
      <c r="Q343" s="42"/>
      <c r="R343" s="42"/>
      <c r="S343" s="42"/>
      <c r="T343" s="42"/>
      <c r="U343" s="42"/>
      <c r="V343" s="42"/>
      <c r="W343" s="42"/>
      <c r="X343" s="42"/>
      <c r="Y343" s="42"/>
      <c r="Z343" s="42"/>
      <c r="AA343" s="42"/>
      <c r="AB343" s="42"/>
      <c r="AC343" s="42"/>
      <c r="AD343" s="42"/>
      <c r="AE343" s="42"/>
    </row>
    <row r="344" spans="1:31" ht="12.75" customHeight="1" x14ac:dyDescent="0.3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  <c r="N344" s="42"/>
      <c r="O344" s="42"/>
      <c r="P344" s="42"/>
      <c r="Q344" s="42"/>
      <c r="R344" s="42"/>
      <c r="S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</row>
    <row r="345" spans="1:31" ht="12.75" customHeight="1" x14ac:dyDescent="0.3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  <c r="N345" s="42"/>
      <c r="O345" s="42"/>
      <c r="P345" s="42"/>
      <c r="Q345" s="42"/>
      <c r="R345" s="42"/>
      <c r="S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</row>
    <row r="346" spans="1:31" ht="12.75" customHeight="1" x14ac:dyDescent="0.3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  <c r="N346" s="42"/>
      <c r="O346" s="42"/>
      <c r="P346" s="42"/>
      <c r="Q346" s="42"/>
      <c r="R346" s="42"/>
      <c r="S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</row>
    <row r="347" spans="1:31" ht="12.75" customHeight="1" x14ac:dyDescent="0.3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  <c r="N347" s="42"/>
      <c r="O347" s="42"/>
      <c r="P347" s="42"/>
      <c r="Q347" s="42"/>
      <c r="R347" s="42"/>
      <c r="S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</row>
    <row r="348" spans="1:31" ht="12.75" customHeight="1" x14ac:dyDescent="0.3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  <c r="N348" s="42"/>
      <c r="O348" s="42"/>
      <c r="P348" s="42"/>
      <c r="Q348" s="42"/>
      <c r="R348" s="42"/>
      <c r="S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</row>
    <row r="349" spans="1:31" ht="12.75" customHeight="1" x14ac:dyDescent="0.3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  <c r="N349" s="42"/>
      <c r="O349" s="42"/>
      <c r="P349" s="42"/>
      <c r="Q349" s="42"/>
      <c r="R349" s="42"/>
      <c r="S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</row>
    <row r="350" spans="1:31" ht="12.75" customHeight="1" x14ac:dyDescent="0.3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  <c r="N350" s="42"/>
      <c r="O350" s="42"/>
      <c r="P350" s="42"/>
      <c r="Q350" s="42"/>
      <c r="R350" s="42"/>
      <c r="S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</row>
    <row r="351" spans="1:31" ht="12.75" customHeight="1" x14ac:dyDescent="0.3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  <c r="N351" s="42"/>
      <c r="O351" s="42"/>
      <c r="P351" s="42"/>
      <c r="Q351" s="42"/>
      <c r="R351" s="42"/>
      <c r="S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</row>
    <row r="352" spans="1:31" ht="12.75" customHeight="1" x14ac:dyDescent="0.3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  <c r="N352" s="42"/>
      <c r="O352" s="42"/>
      <c r="P352" s="42"/>
      <c r="Q352" s="42"/>
      <c r="R352" s="42"/>
      <c r="S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</row>
    <row r="353" spans="1:31" ht="12.75" customHeight="1" x14ac:dyDescent="0.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  <c r="N353" s="42"/>
      <c r="O353" s="42"/>
      <c r="P353" s="42"/>
      <c r="Q353" s="42"/>
      <c r="R353" s="42"/>
      <c r="S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</row>
    <row r="354" spans="1:31" ht="12.75" customHeight="1" x14ac:dyDescent="0.3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  <c r="N354" s="42"/>
      <c r="O354" s="42"/>
      <c r="P354" s="42"/>
      <c r="Q354" s="42"/>
      <c r="R354" s="42"/>
      <c r="S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</row>
    <row r="355" spans="1:31" ht="12.75" customHeight="1" x14ac:dyDescent="0.3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  <c r="N355" s="42"/>
      <c r="O355" s="42"/>
      <c r="P355" s="42"/>
      <c r="Q355" s="42"/>
      <c r="R355" s="42"/>
      <c r="S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</row>
    <row r="356" spans="1:31" ht="12.75" customHeight="1" x14ac:dyDescent="0.3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  <c r="N356" s="42"/>
      <c r="O356" s="42"/>
      <c r="P356" s="42"/>
      <c r="Q356" s="42"/>
      <c r="R356" s="42"/>
      <c r="S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</row>
    <row r="357" spans="1:31" ht="12.75" customHeight="1" x14ac:dyDescent="0.3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  <c r="N357" s="42"/>
      <c r="O357" s="42"/>
      <c r="P357" s="42"/>
      <c r="Q357" s="42"/>
      <c r="R357" s="42"/>
      <c r="S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</row>
    <row r="358" spans="1:31" ht="12.75" customHeight="1" x14ac:dyDescent="0.3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  <c r="N358" s="42"/>
      <c r="O358" s="42"/>
      <c r="P358" s="42"/>
      <c r="Q358" s="42"/>
      <c r="R358" s="42"/>
      <c r="S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</row>
    <row r="359" spans="1:31" ht="12.75" customHeight="1" x14ac:dyDescent="0.3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  <c r="N359" s="42"/>
      <c r="O359" s="42"/>
      <c r="P359" s="42"/>
      <c r="Q359" s="42"/>
      <c r="R359" s="42"/>
      <c r="S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</row>
    <row r="360" spans="1:31" ht="12.75" customHeight="1" x14ac:dyDescent="0.3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  <c r="N360" s="42"/>
      <c r="O360" s="42"/>
      <c r="P360" s="42"/>
      <c r="Q360" s="42"/>
      <c r="R360" s="42"/>
      <c r="S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</row>
    <row r="361" spans="1:31" ht="12.75" customHeight="1" x14ac:dyDescent="0.3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  <c r="N361" s="42"/>
      <c r="O361" s="42"/>
      <c r="P361" s="42"/>
      <c r="Q361" s="42"/>
      <c r="R361" s="42"/>
      <c r="S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</row>
    <row r="362" spans="1:31" ht="12.75" customHeight="1" x14ac:dyDescent="0.3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  <c r="N362" s="42"/>
      <c r="O362" s="42"/>
      <c r="P362" s="42"/>
      <c r="Q362" s="42"/>
      <c r="R362" s="42"/>
      <c r="S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</row>
    <row r="363" spans="1:31" ht="12.75" customHeight="1" x14ac:dyDescent="0.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  <c r="N363" s="42"/>
      <c r="O363" s="42"/>
      <c r="P363" s="42"/>
      <c r="Q363" s="42"/>
      <c r="R363" s="42"/>
      <c r="S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</row>
    <row r="364" spans="1:31" ht="12.75" customHeight="1" x14ac:dyDescent="0.3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  <c r="N364" s="42"/>
      <c r="O364" s="42"/>
      <c r="P364" s="42"/>
      <c r="Q364" s="42"/>
      <c r="R364" s="42"/>
      <c r="S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</row>
    <row r="365" spans="1:31" ht="12.75" customHeight="1" x14ac:dyDescent="0.3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  <c r="N365" s="42"/>
      <c r="O365" s="42"/>
      <c r="P365" s="42"/>
      <c r="Q365" s="42"/>
      <c r="R365" s="42"/>
      <c r="S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</row>
    <row r="366" spans="1:31" ht="12.75" customHeight="1" x14ac:dyDescent="0.3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  <c r="N366" s="42"/>
      <c r="O366" s="42"/>
      <c r="P366" s="42"/>
      <c r="Q366" s="42"/>
      <c r="R366" s="42"/>
      <c r="S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</row>
    <row r="367" spans="1:31" ht="12.75" customHeight="1" x14ac:dyDescent="0.3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  <c r="N367" s="42"/>
      <c r="O367" s="42"/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</row>
    <row r="368" spans="1:31" ht="12.75" customHeight="1" x14ac:dyDescent="0.3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  <c r="N368" s="42"/>
      <c r="O368" s="42"/>
      <c r="P368" s="42"/>
      <c r="Q368" s="42"/>
      <c r="R368" s="42"/>
      <c r="S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</row>
    <row r="369" spans="1:31" ht="12.75" customHeight="1" x14ac:dyDescent="0.3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  <c r="N369" s="42"/>
      <c r="O369" s="42"/>
      <c r="P369" s="42"/>
      <c r="Q369" s="42"/>
      <c r="R369" s="42"/>
      <c r="S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</row>
    <row r="370" spans="1:31" ht="12.75" customHeight="1" x14ac:dyDescent="0.3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  <c r="N370" s="42"/>
      <c r="O370" s="42"/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</row>
    <row r="371" spans="1:31" ht="12.75" customHeight="1" x14ac:dyDescent="0.3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  <c r="N371" s="42"/>
      <c r="O371" s="42"/>
      <c r="P371" s="42"/>
      <c r="Q371" s="42"/>
      <c r="R371" s="42"/>
      <c r="S371" s="42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</row>
    <row r="372" spans="1:31" ht="12.75" customHeight="1" x14ac:dyDescent="0.3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  <c r="N372" s="42"/>
      <c r="O372" s="42"/>
      <c r="P372" s="42"/>
      <c r="Q372" s="42"/>
      <c r="R372" s="42"/>
      <c r="S372" s="42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</row>
    <row r="373" spans="1:31" ht="12.75" customHeight="1" x14ac:dyDescent="0.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  <c r="N373" s="42"/>
      <c r="O373" s="42"/>
      <c r="P373" s="42"/>
      <c r="Q373" s="42"/>
      <c r="R373" s="42"/>
      <c r="S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</row>
    <row r="374" spans="1:31" ht="12.75" customHeight="1" x14ac:dyDescent="0.3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  <c r="N374" s="42"/>
      <c r="O374" s="42"/>
      <c r="P374" s="42"/>
      <c r="Q374" s="42"/>
      <c r="R374" s="42"/>
      <c r="S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</row>
    <row r="375" spans="1:31" ht="12.75" customHeight="1" x14ac:dyDescent="0.3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  <c r="N375" s="42"/>
      <c r="O375" s="42"/>
      <c r="P375" s="42"/>
      <c r="Q375" s="42"/>
      <c r="R375" s="42"/>
      <c r="S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</row>
    <row r="376" spans="1:31" ht="12.75" customHeight="1" x14ac:dyDescent="0.3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  <c r="N376" s="42"/>
      <c r="O376" s="42"/>
      <c r="P376" s="42"/>
      <c r="Q376" s="42"/>
      <c r="R376" s="42"/>
      <c r="S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</row>
    <row r="377" spans="1:31" ht="12.75" customHeight="1" x14ac:dyDescent="0.3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  <c r="N377" s="42"/>
      <c r="O377" s="42"/>
      <c r="P377" s="42"/>
      <c r="Q377" s="42"/>
      <c r="R377" s="42"/>
      <c r="S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</row>
    <row r="378" spans="1:31" ht="12.75" customHeight="1" x14ac:dyDescent="0.3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  <c r="N378" s="42"/>
      <c r="O378" s="42"/>
      <c r="P378" s="42"/>
      <c r="Q378" s="42"/>
      <c r="R378" s="42"/>
      <c r="S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</row>
    <row r="379" spans="1:31" ht="12.75" customHeight="1" x14ac:dyDescent="0.3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  <c r="N379" s="42"/>
      <c r="O379" s="42"/>
      <c r="P379" s="42"/>
      <c r="Q379" s="42"/>
      <c r="R379" s="42"/>
      <c r="S379" s="42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</row>
    <row r="380" spans="1:31" ht="12.75" customHeight="1" x14ac:dyDescent="0.3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  <c r="N380" s="42"/>
      <c r="O380" s="42"/>
      <c r="P380" s="42"/>
      <c r="Q380" s="42"/>
      <c r="R380" s="42"/>
      <c r="S380" s="42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</row>
    <row r="381" spans="1:31" ht="12.75" customHeight="1" x14ac:dyDescent="0.3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  <c r="N381" s="42"/>
      <c r="O381" s="42"/>
      <c r="P381" s="42"/>
      <c r="Q381" s="42"/>
      <c r="R381" s="42"/>
      <c r="S381" s="42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</row>
    <row r="382" spans="1:31" ht="12.75" customHeight="1" x14ac:dyDescent="0.3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  <c r="N382" s="42"/>
      <c r="O382" s="42"/>
      <c r="P382" s="42"/>
      <c r="Q382" s="42"/>
      <c r="R382" s="42"/>
      <c r="S382" s="42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</row>
    <row r="383" spans="1:31" ht="12.75" customHeight="1" x14ac:dyDescent="0.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  <c r="N383" s="42"/>
      <c r="O383" s="42"/>
      <c r="P383" s="42"/>
      <c r="Q383" s="42"/>
      <c r="R383" s="42"/>
      <c r="S383" s="42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</row>
    <row r="384" spans="1:31" ht="12.75" customHeight="1" x14ac:dyDescent="0.3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  <c r="N384" s="42"/>
      <c r="O384" s="42"/>
      <c r="P384" s="42"/>
      <c r="Q384" s="42"/>
      <c r="R384" s="42"/>
      <c r="S384" s="42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</row>
    <row r="385" spans="1:31" ht="12.75" customHeight="1" x14ac:dyDescent="0.3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  <c r="N385" s="42"/>
      <c r="O385" s="42"/>
      <c r="P385" s="42"/>
      <c r="Q385" s="42"/>
      <c r="R385" s="42"/>
      <c r="S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</row>
    <row r="386" spans="1:31" ht="12.75" customHeight="1" x14ac:dyDescent="0.3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  <c r="N386" s="42"/>
      <c r="O386" s="42"/>
      <c r="P386" s="42"/>
      <c r="Q386" s="42"/>
      <c r="R386" s="42"/>
      <c r="S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</row>
    <row r="387" spans="1:31" ht="12.75" customHeight="1" x14ac:dyDescent="0.3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  <c r="N387" s="42"/>
      <c r="O387" s="42"/>
      <c r="P387" s="42"/>
      <c r="Q387" s="42"/>
      <c r="R387" s="42"/>
      <c r="S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</row>
    <row r="388" spans="1:31" ht="12.75" customHeight="1" x14ac:dyDescent="0.3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  <c r="N388" s="42"/>
      <c r="O388" s="42"/>
      <c r="P388" s="42"/>
      <c r="Q388" s="42"/>
      <c r="R388" s="42"/>
      <c r="S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</row>
    <row r="389" spans="1:31" ht="12.75" customHeight="1" x14ac:dyDescent="0.3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  <c r="N389" s="42"/>
      <c r="O389" s="42"/>
      <c r="P389" s="42"/>
      <c r="Q389" s="42"/>
      <c r="R389" s="42"/>
      <c r="S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</row>
    <row r="390" spans="1:31" ht="12.75" customHeight="1" x14ac:dyDescent="0.3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  <c r="N390" s="42"/>
      <c r="O390" s="42"/>
      <c r="P390" s="42"/>
      <c r="Q390" s="42"/>
      <c r="R390" s="42"/>
      <c r="S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</row>
    <row r="391" spans="1:31" ht="12.75" customHeight="1" x14ac:dyDescent="0.3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  <c r="N391" s="42"/>
      <c r="O391" s="42"/>
      <c r="P391" s="42"/>
      <c r="Q391" s="42"/>
      <c r="R391" s="42"/>
      <c r="S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</row>
    <row r="392" spans="1:31" ht="12.75" customHeight="1" x14ac:dyDescent="0.3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  <c r="N392" s="42"/>
      <c r="O392" s="42"/>
      <c r="P392" s="42"/>
      <c r="Q392" s="42"/>
      <c r="R392" s="42"/>
      <c r="S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</row>
    <row r="393" spans="1:31" ht="12.75" customHeight="1" x14ac:dyDescent="0.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  <c r="N393" s="42"/>
      <c r="O393" s="42"/>
      <c r="P393" s="42"/>
      <c r="Q393" s="42"/>
      <c r="R393" s="42"/>
      <c r="S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</row>
    <row r="394" spans="1:31" ht="12.75" customHeight="1" x14ac:dyDescent="0.3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  <c r="N394" s="42"/>
      <c r="O394" s="42"/>
      <c r="P394" s="42"/>
      <c r="Q394" s="42"/>
      <c r="R394" s="42"/>
      <c r="S394" s="42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</row>
    <row r="395" spans="1:31" ht="12.75" customHeight="1" x14ac:dyDescent="0.3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  <c r="N395" s="42"/>
      <c r="O395" s="42"/>
      <c r="P395" s="42"/>
      <c r="Q395" s="42"/>
      <c r="R395" s="42"/>
      <c r="S395" s="42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</row>
    <row r="396" spans="1:31" ht="12.75" customHeight="1" x14ac:dyDescent="0.3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  <c r="N396" s="42"/>
      <c r="O396" s="42"/>
      <c r="P396" s="42"/>
      <c r="Q396" s="42"/>
      <c r="R396" s="42"/>
      <c r="S396" s="42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</row>
    <row r="397" spans="1:31" ht="12.75" customHeight="1" x14ac:dyDescent="0.3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  <c r="N397" s="42"/>
      <c r="O397" s="42"/>
      <c r="P397" s="42"/>
      <c r="Q397" s="42"/>
      <c r="R397" s="42"/>
      <c r="S397" s="42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</row>
    <row r="398" spans="1:31" ht="12.75" customHeight="1" x14ac:dyDescent="0.3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  <c r="N398" s="42"/>
      <c r="O398" s="42"/>
      <c r="P398" s="42"/>
      <c r="Q398" s="42"/>
      <c r="R398" s="42"/>
      <c r="S398" s="42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</row>
    <row r="399" spans="1:31" ht="12.75" customHeight="1" x14ac:dyDescent="0.3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  <c r="N399" s="42"/>
      <c r="O399" s="42"/>
      <c r="P399" s="42"/>
      <c r="Q399" s="42"/>
      <c r="R399" s="42"/>
      <c r="S399" s="42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</row>
    <row r="400" spans="1:31" ht="12.75" customHeight="1" x14ac:dyDescent="0.3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  <c r="N400" s="42"/>
      <c r="O400" s="42"/>
      <c r="P400" s="42"/>
      <c r="Q400" s="42"/>
      <c r="R400" s="42"/>
      <c r="S400" s="42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</row>
    <row r="401" spans="1:31" ht="12.75" customHeight="1" x14ac:dyDescent="0.3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  <c r="N401" s="42"/>
      <c r="O401" s="42"/>
      <c r="P401" s="42"/>
      <c r="Q401" s="42"/>
      <c r="R401" s="42"/>
      <c r="S401" s="42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</row>
    <row r="402" spans="1:31" ht="12.75" customHeight="1" x14ac:dyDescent="0.3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  <c r="N402" s="42"/>
      <c r="O402" s="42"/>
      <c r="P402" s="42"/>
      <c r="Q402" s="42"/>
      <c r="R402" s="42"/>
      <c r="S402" s="42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</row>
    <row r="403" spans="1:31" ht="12.75" customHeight="1" x14ac:dyDescent="0.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  <c r="N403" s="42"/>
      <c r="O403" s="42"/>
      <c r="P403" s="42"/>
      <c r="Q403" s="42"/>
      <c r="R403" s="42"/>
      <c r="S403" s="42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</row>
    <row r="404" spans="1:31" ht="12.75" customHeight="1" x14ac:dyDescent="0.3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  <c r="N404" s="42"/>
      <c r="O404" s="42"/>
      <c r="P404" s="42"/>
      <c r="Q404" s="42"/>
      <c r="R404" s="42"/>
      <c r="S404" s="42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</row>
    <row r="405" spans="1:31" ht="12.75" customHeight="1" x14ac:dyDescent="0.3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  <c r="N405" s="42"/>
      <c r="O405" s="42"/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</row>
    <row r="406" spans="1:31" ht="12.75" customHeight="1" x14ac:dyDescent="0.3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  <c r="N406" s="42"/>
      <c r="O406" s="42"/>
      <c r="P406" s="42"/>
      <c r="Q406" s="42"/>
      <c r="R406" s="42"/>
      <c r="S406" s="42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</row>
    <row r="407" spans="1:31" ht="12.75" customHeight="1" x14ac:dyDescent="0.3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  <c r="N407" s="42"/>
      <c r="O407" s="42"/>
      <c r="P407" s="42"/>
      <c r="Q407" s="42"/>
      <c r="R407" s="42"/>
      <c r="S407" s="42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</row>
    <row r="408" spans="1:31" ht="12.75" customHeight="1" x14ac:dyDescent="0.3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  <c r="N408" s="42"/>
      <c r="O408" s="42"/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</row>
    <row r="409" spans="1:31" ht="12.75" customHeight="1" x14ac:dyDescent="0.3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  <c r="N409" s="42"/>
      <c r="O409" s="42"/>
      <c r="P409" s="42"/>
      <c r="Q409" s="42"/>
      <c r="R409" s="42"/>
      <c r="S409" s="42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</row>
    <row r="410" spans="1:31" ht="12.75" customHeight="1" x14ac:dyDescent="0.3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  <c r="N410" s="42"/>
      <c r="O410" s="42"/>
      <c r="P410" s="42"/>
      <c r="Q410" s="42"/>
      <c r="R410" s="42"/>
      <c r="S410" s="42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</row>
    <row r="411" spans="1:31" ht="12.75" customHeight="1" x14ac:dyDescent="0.3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  <c r="N411" s="42"/>
      <c r="O411" s="42"/>
      <c r="P411" s="42"/>
      <c r="Q411" s="42"/>
      <c r="R411" s="42"/>
      <c r="S411" s="42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</row>
    <row r="412" spans="1:31" ht="12.75" customHeight="1" x14ac:dyDescent="0.3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  <c r="N412" s="42"/>
      <c r="O412" s="42"/>
      <c r="P412" s="42"/>
      <c r="Q412" s="42"/>
      <c r="R412" s="42"/>
      <c r="S412" s="42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</row>
    <row r="413" spans="1:31" ht="12.75" customHeight="1" x14ac:dyDescent="0.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  <c r="N413" s="42"/>
      <c r="O413" s="42"/>
      <c r="P413" s="42"/>
      <c r="Q413" s="42"/>
      <c r="R413" s="42"/>
      <c r="S413" s="42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</row>
    <row r="414" spans="1:31" ht="12.75" customHeight="1" x14ac:dyDescent="0.3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  <c r="N414" s="42"/>
      <c r="O414" s="42"/>
      <c r="P414" s="42"/>
      <c r="Q414" s="42"/>
      <c r="R414" s="42"/>
      <c r="S414" s="42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</row>
    <row r="415" spans="1:31" ht="12.75" customHeight="1" x14ac:dyDescent="0.3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  <c r="N415" s="42"/>
      <c r="O415" s="42"/>
      <c r="P415" s="42"/>
      <c r="Q415" s="42"/>
      <c r="R415" s="42"/>
      <c r="S415" s="42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</row>
    <row r="416" spans="1:31" ht="12.75" customHeight="1" x14ac:dyDescent="0.3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  <c r="N416" s="42"/>
      <c r="O416" s="42"/>
      <c r="P416" s="42"/>
      <c r="Q416" s="42"/>
      <c r="R416" s="42"/>
      <c r="S416" s="42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</row>
    <row r="417" spans="1:31" ht="12.75" customHeight="1" x14ac:dyDescent="0.3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  <c r="N417" s="42"/>
      <c r="O417" s="42"/>
      <c r="P417" s="42"/>
      <c r="Q417" s="42"/>
      <c r="R417" s="42"/>
      <c r="S417" s="42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</row>
    <row r="418" spans="1:31" ht="12.75" customHeight="1" x14ac:dyDescent="0.3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  <c r="N418" s="42"/>
      <c r="O418" s="42"/>
      <c r="P418" s="42"/>
      <c r="Q418" s="42"/>
      <c r="R418" s="42"/>
      <c r="S418" s="42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</row>
    <row r="419" spans="1:31" ht="12.75" customHeight="1" x14ac:dyDescent="0.3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  <c r="N419" s="42"/>
      <c r="O419" s="42"/>
      <c r="P419" s="42"/>
      <c r="Q419" s="42"/>
      <c r="R419" s="42"/>
      <c r="S419" s="42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</row>
    <row r="420" spans="1:31" ht="12.75" customHeight="1" x14ac:dyDescent="0.3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</row>
    <row r="421" spans="1:31" ht="12.75" customHeight="1" x14ac:dyDescent="0.3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</row>
    <row r="422" spans="1:31" ht="12.75" customHeight="1" x14ac:dyDescent="0.3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</row>
    <row r="423" spans="1:31" ht="12.75" customHeight="1" x14ac:dyDescent="0.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</row>
    <row r="424" spans="1:31" ht="12.75" customHeight="1" x14ac:dyDescent="0.3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</row>
    <row r="425" spans="1:31" ht="12.75" customHeight="1" x14ac:dyDescent="0.3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</row>
    <row r="426" spans="1:31" ht="12.75" customHeight="1" x14ac:dyDescent="0.3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</row>
    <row r="427" spans="1:31" ht="12.75" customHeight="1" x14ac:dyDescent="0.3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</row>
    <row r="428" spans="1:31" ht="12.75" customHeight="1" x14ac:dyDescent="0.3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</row>
    <row r="429" spans="1:31" ht="12.75" customHeight="1" x14ac:dyDescent="0.3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</row>
    <row r="430" spans="1:31" ht="12.75" customHeight="1" x14ac:dyDescent="0.3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</row>
    <row r="431" spans="1:31" ht="12.75" customHeight="1" x14ac:dyDescent="0.3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</row>
    <row r="432" spans="1:31" ht="12.75" customHeight="1" x14ac:dyDescent="0.3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</row>
    <row r="433" spans="1:31" ht="12.75" customHeight="1" x14ac:dyDescent="0.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</row>
    <row r="434" spans="1:31" ht="12.75" customHeight="1" x14ac:dyDescent="0.3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</row>
    <row r="435" spans="1:31" ht="12.75" customHeight="1" x14ac:dyDescent="0.3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</row>
    <row r="436" spans="1:31" ht="12.75" customHeight="1" x14ac:dyDescent="0.3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</row>
    <row r="437" spans="1:31" ht="12.75" customHeight="1" x14ac:dyDescent="0.3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</row>
    <row r="438" spans="1:31" ht="12.75" customHeight="1" x14ac:dyDescent="0.3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</row>
    <row r="439" spans="1:31" ht="12.75" customHeight="1" x14ac:dyDescent="0.3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</row>
    <row r="440" spans="1:31" ht="12.75" customHeight="1" x14ac:dyDescent="0.3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</row>
    <row r="441" spans="1:31" ht="12.75" customHeight="1" x14ac:dyDescent="0.3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</row>
    <row r="442" spans="1:31" ht="12.75" customHeight="1" x14ac:dyDescent="0.3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</row>
    <row r="443" spans="1:31" ht="12.75" customHeight="1" x14ac:dyDescent="0.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</row>
    <row r="444" spans="1:31" ht="12.75" customHeight="1" x14ac:dyDescent="0.3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</row>
    <row r="445" spans="1:31" ht="12.75" customHeight="1" x14ac:dyDescent="0.3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</row>
    <row r="446" spans="1:31" ht="12.75" customHeight="1" x14ac:dyDescent="0.3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</row>
    <row r="447" spans="1:31" ht="12.75" customHeight="1" x14ac:dyDescent="0.3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</row>
    <row r="448" spans="1:31" ht="12.75" customHeight="1" x14ac:dyDescent="0.3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</row>
    <row r="449" spans="1:31" ht="12.75" customHeight="1" x14ac:dyDescent="0.3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</row>
    <row r="450" spans="1:31" ht="12.75" customHeight="1" x14ac:dyDescent="0.3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</row>
    <row r="451" spans="1:31" ht="12.75" customHeight="1" x14ac:dyDescent="0.3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</row>
    <row r="452" spans="1:31" ht="12.75" customHeight="1" x14ac:dyDescent="0.3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</row>
    <row r="453" spans="1:31" ht="12.75" customHeight="1" x14ac:dyDescent="0.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</row>
    <row r="454" spans="1:31" ht="12.75" customHeight="1" x14ac:dyDescent="0.3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</row>
    <row r="455" spans="1:31" ht="12.75" customHeight="1" x14ac:dyDescent="0.3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</row>
    <row r="456" spans="1:31" ht="12.75" customHeight="1" x14ac:dyDescent="0.3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</row>
    <row r="457" spans="1:31" ht="12.75" customHeight="1" x14ac:dyDescent="0.3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</row>
    <row r="458" spans="1:31" ht="12.75" customHeight="1" x14ac:dyDescent="0.3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</row>
    <row r="459" spans="1:31" ht="12.75" customHeight="1" x14ac:dyDescent="0.3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</row>
    <row r="460" spans="1:31" ht="12.75" customHeight="1" x14ac:dyDescent="0.3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</row>
    <row r="461" spans="1:31" ht="12.75" customHeight="1" x14ac:dyDescent="0.3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</row>
    <row r="462" spans="1:31" ht="12.75" customHeight="1" x14ac:dyDescent="0.3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</row>
    <row r="463" spans="1:31" ht="12.75" customHeight="1" x14ac:dyDescent="0.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</row>
    <row r="464" spans="1:31" ht="12.75" customHeight="1" x14ac:dyDescent="0.3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</row>
    <row r="465" spans="1:31" ht="12.75" customHeight="1" x14ac:dyDescent="0.3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</row>
    <row r="466" spans="1:31" ht="12.75" customHeight="1" x14ac:dyDescent="0.3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</row>
    <row r="467" spans="1:31" ht="12.75" customHeight="1" x14ac:dyDescent="0.3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</row>
    <row r="468" spans="1:31" ht="12.75" customHeight="1" x14ac:dyDescent="0.3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</row>
    <row r="469" spans="1:31" ht="12.75" customHeight="1" x14ac:dyDescent="0.3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</row>
    <row r="470" spans="1:31" ht="12.75" customHeight="1" x14ac:dyDescent="0.3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</row>
    <row r="471" spans="1:31" ht="12.75" customHeight="1" x14ac:dyDescent="0.3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</row>
    <row r="472" spans="1:31" ht="12.75" customHeight="1" x14ac:dyDescent="0.3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</row>
    <row r="473" spans="1:31" ht="12.75" customHeight="1" x14ac:dyDescent="0.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</row>
    <row r="474" spans="1:31" ht="12.75" customHeight="1" x14ac:dyDescent="0.3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</row>
    <row r="475" spans="1:31" ht="12.75" customHeight="1" x14ac:dyDescent="0.3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</row>
    <row r="476" spans="1:31" ht="12.75" customHeight="1" x14ac:dyDescent="0.3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</row>
    <row r="477" spans="1:31" ht="12.75" customHeight="1" x14ac:dyDescent="0.3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</row>
    <row r="478" spans="1:31" ht="12.75" customHeight="1" x14ac:dyDescent="0.3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</row>
    <row r="479" spans="1:31" ht="12.75" customHeight="1" x14ac:dyDescent="0.3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</row>
    <row r="480" spans="1:31" ht="12.75" customHeight="1" x14ac:dyDescent="0.3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</row>
    <row r="481" spans="1:31" ht="12.75" customHeight="1" x14ac:dyDescent="0.3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</row>
    <row r="482" spans="1:31" ht="12.75" customHeight="1" x14ac:dyDescent="0.3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</row>
    <row r="483" spans="1:31" ht="12.75" customHeight="1" x14ac:dyDescent="0.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</row>
    <row r="484" spans="1:31" ht="12.75" customHeight="1" x14ac:dyDescent="0.3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</row>
    <row r="485" spans="1:31" ht="12.75" customHeight="1" x14ac:dyDescent="0.3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</row>
    <row r="486" spans="1:31" ht="12.75" customHeight="1" x14ac:dyDescent="0.3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</row>
    <row r="487" spans="1:31" ht="12.75" customHeight="1" x14ac:dyDescent="0.3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</row>
    <row r="488" spans="1:31" ht="12.75" customHeight="1" x14ac:dyDescent="0.3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</row>
    <row r="489" spans="1:31" ht="12.75" customHeight="1" x14ac:dyDescent="0.3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</row>
    <row r="490" spans="1:31" ht="12.75" customHeight="1" x14ac:dyDescent="0.3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</row>
    <row r="491" spans="1:31" ht="12.75" customHeight="1" x14ac:dyDescent="0.3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</row>
    <row r="492" spans="1:31" ht="12.75" customHeight="1" x14ac:dyDescent="0.3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</row>
    <row r="493" spans="1:31" ht="12.75" customHeight="1" x14ac:dyDescent="0.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</row>
    <row r="494" spans="1:31" ht="12.75" customHeight="1" x14ac:dyDescent="0.3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</row>
    <row r="495" spans="1:31" ht="12.75" customHeight="1" x14ac:dyDescent="0.3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</row>
    <row r="496" spans="1:31" ht="12.75" customHeight="1" x14ac:dyDescent="0.3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</row>
    <row r="497" spans="1:31" ht="12.75" customHeight="1" x14ac:dyDescent="0.3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</row>
    <row r="498" spans="1:31" ht="12.75" customHeight="1" x14ac:dyDescent="0.3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</row>
    <row r="499" spans="1:31" ht="12.75" customHeight="1" x14ac:dyDescent="0.3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</row>
    <row r="500" spans="1:31" ht="12.75" customHeight="1" x14ac:dyDescent="0.3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</row>
    <row r="501" spans="1:31" ht="12.75" customHeight="1" x14ac:dyDescent="0.3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</row>
    <row r="502" spans="1:31" ht="12.75" customHeight="1" x14ac:dyDescent="0.3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</row>
    <row r="503" spans="1:31" ht="12.75" customHeight="1" x14ac:dyDescent="0.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</row>
    <row r="504" spans="1:31" ht="12.75" customHeight="1" x14ac:dyDescent="0.3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</row>
    <row r="505" spans="1:31" ht="12.75" customHeight="1" x14ac:dyDescent="0.3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</row>
    <row r="506" spans="1:31" ht="12.75" customHeight="1" x14ac:dyDescent="0.3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</row>
    <row r="507" spans="1:31" ht="12.75" customHeight="1" x14ac:dyDescent="0.3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</row>
    <row r="508" spans="1:31" ht="12.75" customHeight="1" x14ac:dyDescent="0.3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</row>
    <row r="509" spans="1:31" ht="12.75" customHeight="1" x14ac:dyDescent="0.3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</row>
    <row r="510" spans="1:31" ht="12.75" customHeight="1" x14ac:dyDescent="0.3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</row>
    <row r="511" spans="1:31" ht="12.75" customHeight="1" x14ac:dyDescent="0.3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</row>
    <row r="512" spans="1:31" ht="12.75" customHeight="1" x14ac:dyDescent="0.3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</row>
    <row r="513" spans="1:31" ht="12.75" customHeight="1" x14ac:dyDescent="0.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</row>
    <row r="514" spans="1:31" ht="12.75" customHeight="1" x14ac:dyDescent="0.3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</row>
    <row r="515" spans="1:31" ht="12.75" customHeight="1" x14ac:dyDescent="0.3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</row>
    <row r="516" spans="1:31" ht="12.75" customHeight="1" x14ac:dyDescent="0.3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</row>
    <row r="517" spans="1:31" ht="12.75" customHeight="1" x14ac:dyDescent="0.3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</row>
    <row r="518" spans="1:31" ht="12.75" customHeight="1" x14ac:dyDescent="0.3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</row>
    <row r="519" spans="1:31" ht="12.75" customHeight="1" x14ac:dyDescent="0.3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</row>
    <row r="520" spans="1:31" ht="12.75" customHeight="1" x14ac:dyDescent="0.3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</row>
    <row r="521" spans="1:31" ht="12.75" customHeight="1" x14ac:dyDescent="0.3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</row>
    <row r="522" spans="1:31" ht="12.75" customHeight="1" x14ac:dyDescent="0.3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</row>
    <row r="523" spans="1:31" ht="12.75" customHeight="1" x14ac:dyDescent="0.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</row>
    <row r="524" spans="1:31" ht="12.75" customHeight="1" x14ac:dyDescent="0.3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</row>
    <row r="525" spans="1:31" ht="12.75" customHeight="1" x14ac:dyDescent="0.3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</row>
    <row r="526" spans="1:31" ht="12.75" customHeight="1" x14ac:dyDescent="0.3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</row>
    <row r="527" spans="1:31" ht="12.75" customHeight="1" x14ac:dyDescent="0.3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</row>
    <row r="528" spans="1:31" ht="12.75" customHeight="1" x14ac:dyDescent="0.3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</row>
    <row r="529" spans="1:31" ht="12.75" customHeight="1" x14ac:dyDescent="0.3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</row>
    <row r="530" spans="1:31" ht="12.75" customHeight="1" x14ac:dyDescent="0.3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</row>
    <row r="531" spans="1:31" ht="12.75" customHeight="1" x14ac:dyDescent="0.3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</row>
    <row r="532" spans="1:31" ht="12.75" customHeight="1" x14ac:dyDescent="0.3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</row>
    <row r="533" spans="1:31" ht="12.75" customHeight="1" x14ac:dyDescent="0.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</row>
    <row r="534" spans="1:31" ht="12.75" customHeight="1" x14ac:dyDescent="0.3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</row>
    <row r="535" spans="1:31" ht="12.75" customHeight="1" x14ac:dyDescent="0.3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</row>
    <row r="536" spans="1:31" ht="12.75" customHeight="1" x14ac:dyDescent="0.3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</row>
    <row r="537" spans="1:31" ht="12.75" customHeight="1" x14ac:dyDescent="0.3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</row>
    <row r="538" spans="1:31" ht="12.75" customHeight="1" x14ac:dyDescent="0.3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  <c r="AD538" s="42"/>
      <c r="AE538" s="42"/>
    </row>
    <row r="539" spans="1:31" ht="12.75" customHeight="1" x14ac:dyDescent="0.3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  <c r="AD539" s="42"/>
      <c r="AE539" s="42"/>
    </row>
    <row r="540" spans="1:31" ht="12.75" customHeight="1" x14ac:dyDescent="0.3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  <c r="AD540" s="42"/>
      <c r="AE540" s="42"/>
    </row>
    <row r="541" spans="1:31" ht="12.75" customHeight="1" x14ac:dyDescent="0.3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  <c r="AD541" s="42"/>
      <c r="AE541" s="42"/>
    </row>
    <row r="542" spans="1:31" ht="12.75" customHeight="1" x14ac:dyDescent="0.3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  <c r="AD542" s="42"/>
      <c r="AE542" s="42"/>
    </row>
    <row r="543" spans="1:31" ht="12.75" customHeight="1" x14ac:dyDescent="0.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  <c r="AD543" s="42"/>
      <c r="AE543" s="42"/>
    </row>
    <row r="544" spans="1:31" ht="12.75" customHeight="1" x14ac:dyDescent="0.3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  <c r="AD544" s="42"/>
      <c r="AE544" s="42"/>
    </row>
    <row r="545" spans="1:31" ht="12.75" customHeight="1" x14ac:dyDescent="0.3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  <c r="AD545" s="42"/>
      <c r="AE545" s="42"/>
    </row>
    <row r="546" spans="1:31" ht="12.75" customHeight="1" x14ac:dyDescent="0.3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  <c r="AD546" s="42"/>
      <c r="AE546" s="42"/>
    </row>
    <row r="547" spans="1:31" ht="12.75" customHeight="1" x14ac:dyDescent="0.3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  <c r="AD547" s="42"/>
      <c r="AE547" s="42"/>
    </row>
    <row r="548" spans="1:31" ht="12.75" customHeight="1" x14ac:dyDescent="0.3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  <c r="AD548" s="42"/>
      <c r="AE548" s="42"/>
    </row>
    <row r="549" spans="1:31" ht="12.75" customHeight="1" x14ac:dyDescent="0.3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  <c r="AD549" s="42"/>
      <c r="AE549" s="42"/>
    </row>
    <row r="550" spans="1:31" ht="12.75" customHeight="1" x14ac:dyDescent="0.3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  <c r="AD550" s="42"/>
      <c r="AE550" s="42"/>
    </row>
    <row r="551" spans="1:31" ht="12.75" customHeight="1" x14ac:dyDescent="0.3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  <c r="AD551" s="42"/>
      <c r="AE551" s="42"/>
    </row>
    <row r="552" spans="1:31" ht="12.75" customHeight="1" x14ac:dyDescent="0.3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  <c r="AD552" s="42"/>
      <c r="AE552" s="42"/>
    </row>
    <row r="553" spans="1:31" ht="12.75" customHeight="1" x14ac:dyDescent="0.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  <c r="AD553" s="42"/>
      <c r="AE553" s="42"/>
    </row>
    <row r="554" spans="1:31" ht="12.75" customHeight="1" x14ac:dyDescent="0.3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  <c r="AD554" s="42"/>
      <c r="AE554" s="42"/>
    </row>
    <row r="555" spans="1:31" ht="12.75" customHeight="1" x14ac:dyDescent="0.3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  <c r="AD555" s="42"/>
      <c r="AE555" s="42"/>
    </row>
    <row r="556" spans="1:31" ht="12.75" customHeight="1" x14ac:dyDescent="0.3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  <c r="AD556" s="42"/>
      <c r="AE556" s="42"/>
    </row>
    <row r="557" spans="1:31" ht="12.75" customHeight="1" x14ac:dyDescent="0.3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</row>
    <row r="558" spans="1:31" ht="12.75" customHeight="1" x14ac:dyDescent="0.3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  <c r="AD558" s="42"/>
      <c r="AE558" s="42"/>
    </row>
    <row r="559" spans="1:31" ht="12.75" customHeight="1" x14ac:dyDescent="0.3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  <c r="AD559" s="42"/>
      <c r="AE559" s="42"/>
    </row>
    <row r="560" spans="1:31" ht="12.75" customHeight="1" x14ac:dyDescent="0.3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</row>
    <row r="561" spans="1:31" ht="12.75" customHeight="1" x14ac:dyDescent="0.3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  <c r="AD561" s="42"/>
      <c r="AE561" s="42"/>
    </row>
    <row r="562" spans="1:31" ht="12.75" customHeight="1" x14ac:dyDescent="0.3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  <c r="AD562" s="42"/>
      <c r="AE562" s="42"/>
    </row>
    <row r="563" spans="1:31" ht="12.75" customHeight="1" x14ac:dyDescent="0.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  <c r="AD563" s="42"/>
      <c r="AE563" s="42"/>
    </row>
    <row r="564" spans="1:31" ht="12.75" customHeight="1" x14ac:dyDescent="0.3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  <c r="AD564" s="42"/>
      <c r="AE564" s="42"/>
    </row>
    <row r="565" spans="1:31" ht="12.75" customHeight="1" x14ac:dyDescent="0.3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  <c r="AD565" s="42"/>
      <c r="AE565" s="42"/>
    </row>
    <row r="566" spans="1:31" ht="12.75" customHeight="1" x14ac:dyDescent="0.3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  <c r="AD566" s="42"/>
      <c r="AE566" s="42"/>
    </row>
    <row r="567" spans="1:31" ht="12.75" customHeight="1" x14ac:dyDescent="0.3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  <c r="AD567" s="42"/>
      <c r="AE567" s="42"/>
    </row>
    <row r="568" spans="1:31" ht="12.75" customHeight="1" x14ac:dyDescent="0.3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  <c r="AD568" s="42"/>
      <c r="AE568" s="42"/>
    </row>
    <row r="569" spans="1:31" ht="12.75" customHeight="1" x14ac:dyDescent="0.3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  <c r="AD569" s="42"/>
      <c r="AE569" s="42"/>
    </row>
    <row r="570" spans="1:31" ht="12.75" customHeight="1" x14ac:dyDescent="0.3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  <c r="AD570" s="42"/>
      <c r="AE570" s="42"/>
    </row>
    <row r="571" spans="1:31" ht="12.75" customHeight="1" x14ac:dyDescent="0.3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  <c r="AD571" s="42"/>
      <c r="AE571" s="42"/>
    </row>
    <row r="572" spans="1:31" ht="12.75" customHeight="1" x14ac:dyDescent="0.3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  <c r="AD572" s="42"/>
      <c r="AE572" s="42"/>
    </row>
    <row r="573" spans="1:31" ht="12.75" customHeight="1" x14ac:dyDescent="0.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  <c r="AD573" s="42"/>
      <c r="AE573" s="42"/>
    </row>
    <row r="574" spans="1:31" ht="12.75" customHeight="1" x14ac:dyDescent="0.3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  <c r="AD574" s="42"/>
      <c r="AE574" s="42"/>
    </row>
    <row r="575" spans="1:31" ht="12.75" customHeight="1" x14ac:dyDescent="0.3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  <c r="AD575" s="42"/>
      <c r="AE575" s="42"/>
    </row>
    <row r="576" spans="1:31" ht="12.75" customHeight="1" x14ac:dyDescent="0.3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  <c r="AD576" s="42"/>
      <c r="AE576" s="42"/>
    </row>
    <row r="577" spans="1:31" ht="12.75" customHeight="1" x14ac:dyDescent="0.3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  <c r="AD577" s="42"/>
      <c r="AE577" s="42"/>
    </row>
    <row r="578" spans="1:31" ht="12.75" customHeight="1" x14ac:dyDescent="0.3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  <c r="AD578" s="42"/>
      <c r="AE578" s="42"/>
    </row>
    <row r="579" spans="1:31" ht="12.75" customHeight="1" x14ac:dyDescent="0.3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  <c r="AD579" s="42"/>
      <c r="AE579" s="42"/>
    </row>
    <row r="580" spans="1:31" ht="12.75" customHeight="1" x14ac:dyDescent="0.3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  <c r="AD580" s="42"/>
      <c r="AE580" s="42"/>
    </row>
    <row r="581" spans="1:31" ht="12.75" customHeight="1" x14ac:dyDescent="0.3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  <c r="AD581" s="42"/>
      <c r="AE581" s="42"/>
    </row>
    <row r="582" spans="1:31" ht="12.75" customHeight="1" x14ac:dyDescent="0.3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  <c r="AD582" s="42"/>
      <c r="AE582" s="42"/>
    </row>
    <row r="583" spans="1:31" ht="12.75" customHeight="1" x14ac:dyDescent="0.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  <c r="AD583" s="42"/>
      <c r="AE583" s="42"/>
    </row>
    <row r="584" spans="1:31" ht="12.75" customHeight="1" x14ac:dyDescent="0.3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  <c r="AD584" s="42"/>
      <c r="AE584" s="42"/>
    </row>
    <row r="585" spans="1:31" ht="12.75" customHeight="1" x14ac:dyDescent="0.3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  <c r="AD585" s="42"/>
      <c r="AE585" s="42"/>
    </row>
    <row r="586" spans="1:31" ht="12.75" customHeight="1" x14ac:dyDescent="0.3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  <c r="AD586" s="42"/>
      <c r="AE586" s="42"/>
    </row>
    <row r="587" spans="1:31" ht="12.75" customHeight="1" x14ac:dyDescent="0.3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  <c r="AD587" s="42"/>
      <c r="AE587" s="42"/>
    </row>
    <row r="588" spans="1:31" ht="12.75" customHeight="1" x14ac:dyDescent="0.3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  <c r="AD588" s="42"/>
      <c r="AE588" s="42"/>
    </row>
    <row r="589" spans="1:31" ht="12.75" customHeight="1" x14ac:dyDescent="0.3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  <c r="AD589" s="42"/>
      <c r="AE589" s="42"/>
    </row>
    <row r="590" spans="1:31" ht="12.75" customHeight="1" x14ac:dyDescent="0.3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  <c r="AD590" s="42"/>
      <c r="AE590" s="42"/>
    </row>
    <row r="591" spans="1:31" ht="12.75" customHeight="1" x14ac:dyDescent="0.3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  <c r="AD591" s="42"/>
      <c r="AE591" s="42"/>
    </row>
    <row r="592" spans="1:31" ht="12.75" customHeight="1" x14ac:dyDescent="0.3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  <c r="AD592" s="42"/>
      <c r="AE592" s="42"/>
    </row>
    <row r="593" spans="1:31" ht="12.75" customHeight="1" x14ac:dyDescent="0.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  <c r="AD593" s="42"/>
      <c r="AE593" s="42"/>
    </row>
    <row r="594" spans="1:31" ht="12.75" customHeight="1" x14ac:dyDescent="0.3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  <c r="AD594" s="42"/>
      <c r="AE594" s="42"/>
    </row>
    <row r="595" spans="1:31" ht="12.75" customHeight="1" x14ac:dyDescent="0.3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</row>
    <row r="596" spans="1:31" ht="12.75" customHeight="1" x14ac:dyDescent="0.3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  <c r="AD596" s="42"/>
      <c r="AE596" s="42"/>
    </row>
    <row r="597" spans="1:31" ht="12.75" customHeight="1" x14ac:dyDescent="0.3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  <c r="AD597" s="42"/>
      <c r="AE597" s="42"/>
    </row>
    <row r="598" spans="1:31" ht="12.75" customHeight="1" x14ac:dyDescent="0.3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</row>
    <row r="599" spans="1:31" ht="12.75" customHeight="1" x14ac:dyDescent="0.3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  <c r="AD599" s="42"/>
      <c r="AE599" s="42"/>
    </row>
    <row r="600" spans="1:31" ht="12.75" customHeight="1" x14ac:dyDescent="0.3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  <c r="AD600" s="42"/>
      <c r="AE600" s="42"/>
    </row>
    <row r="601" spans="1:31" ht="12.75" customHeight="1" x14ac:dyDescent="0.3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  <c r="AD601" s="42"/>
      <c r="AE601" s="42"/>
    </row>
    <row r="602" spans="1:31" ht="12.75" customHeight="1" x14ac:dyDescent="0.3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  <c r="AD602" s="42"/>
      <c r="AE602" s="42"/>
    </row>
    <row r="603" spans="1:31" ht="12.75" customHeight="1" x14ac:dyDescent="0.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  <c r="AD603" s="42"/>
      <c r="AE603" s="42"/>
    </row>
    <row r="604" spans="1:31" ht="12.75" customHeight="1" x14ac:dyDescent="0.3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  <c r="AD604" s="42"/>
      <c r="AE604" s="42"/>
    </row>
    <row r="605" spans="1:31" ht="12.75" customHeight="1" x14ac:dyDescent="0.3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  <c r="AD605" s="42"/>
      <c r="AE605" s="42"/>
    </row>
    <row r="606" spans="1:31" ht="12.75" customHeight="1" x14ac:dyDescent="0.3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  <c r="AD606" s="42"/>
      <c r="AE606" s="42"/>
    </row>
    <row r="607" spans="1:31" ht="12.75" customHeight="1" x14ac:dyDescent="0.3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  <c r="AD607" s="42"/>
      <c r="AE607" s="42"/>
    </row>
    <row r="608" spans="1:31" ht="12.75" customHeight="1" x14ac:dyDescent="0.3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  <c r="AD608" s="42"/>
      <c r="AE608" s="42"/>
    </row>
    <row r="609" spans="1:31" ht="12.75" customHeight="1" x14ac:dyDescent="0.3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  <c r="AD609" s="42"/>
      <c r="AE609" s="42"/>
    </row>
    <row r="610" spans="1:31" ht="12.75" customHeight="1" x14ac:dyDescent="0.3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  <c r="AD610" s="42"/>
      <c r="AE610" s="42"/>
    </row>
    <row r="611" spans="1:31" ht="12.75" customHeight="1" x14ac:dyDescent="0.3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  <c r="AD611" s="42"/>
      <c r="AE611" s="42"/>
    </row>
    <row r="612" spans="1:31" ht="12.75" customHeight="1" x14ac:dyDescent="0.3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  <c r="AD612" s="42"/>
      <c r="AE612" s="42"/>
    </row>
    <row r="613" spans="1:31" ht="12.75" customHeight="1" x14ac:dyDescent="0.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  <c r="AD613" s="42"/>
      <c r="AE613" s="42"/>
    </row>
    <row r="614" spans="1:31" ht="12.75" customHeight="1" x14ac:dyDescent="0.3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  <c r="AD614" s="42"/>
      <c r="AE614" s="42"/>
    </row>
    <row r="615" spans="1:31" ht="12.75" customHeight="1" x14ac:dyDescent="0.3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  <c r="AD615" s="42"/>
      <c r="AE615" s="42"/>
    </row>
    <row r="616" spans="1:31" ht="12.75" customHeight="1" x14ac:dyDescent="0.3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  <c r="AD616" s="42"/>
      <c r="AE616" s="42"/>
    </row>
    <row r="617" spans="1:31" ht="12.75" customHeight="1" x14ac:dyDescent="0.3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  <c r="AD617" s="42"/>
      <c r="AE617" s="42"/>
    </row>
    <row r="618" spans="1:31" ht="12.75" customHeight="1" x14ac:dyDescent="0.3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  <c r="AD618" s="42"/>
      <c r="AE618" s="42"/>
    </row>
    <row r="619" spans="1:31" ht="12.75" customHeight="1" x14ac:dyDescent="0.3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  <c r="AD619" s="42"/>
      <c r="AE619" s="42"/>
    </row>
    <row r="620" spans="1:31" ht="12.75" customHeight="1" x14ac:dyDescent="0.3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  <c r="AD620" s="42"/>
      <c r="AE620" s="42"/>
    </row>
    <row r="621" spans="1:31" ht="12.75" customHeight="1" x14ac:dyDescent="0.3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  <c r="AD621" s="42"/>
      <c r="AE621" s="42"/>
    </row>
    <row r="622" spans="1:31" ht="12.75" customHeight="1" x14ac:dyDescent="0.3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  <c r="AD622" s="42"/>
      <c r="AE622" s="42"/>
    </row>
    <row r="623" spans="1:31" ht="12.75" customHeight="1" x14ac:dyDescent="0.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  <c r="AD623" s="42"/>
      <c r="AE623" s="42"/>
    </row>
    <row r="624" spans="1:31" ht="12.75" customHeight="1" x14ac:dyDescent="0.3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  <c r="AD624" s="42"/>
      <c r="AE624" s="42"/>
    </row>
    <row r="625" spans="1:31" ht="12.75" customHeight="1" x14ac:dyDescent="0.3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  <c r="AD625" s="42"/>
      <c r="AE625" s="42"/>
    </row>
    <row r="626" spans="1:31" ht="12.75" customHeight="1" x14ac:dyDescent="0.3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  <c r="AD626" s="42"/>
      <c r="AE626" s="42"/>
    </row>
    <row r="627" spans="1:31" ht="12.75" customHeight="1" x14ac:dyDescent="0.3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  <c r="AD627" s="42"/>
      <c r="AE627" s="42"/>
    </row>
    <row r="628" spans="1:31" ht="12.75" customHeight="1" x14ac:dyDescent="0.3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  <c r="AD628" s="42"/>
      <c r="AE628" s="42"/>
    </row>
    <row r="629" spans="1:31" ht="12.75" customHeight="1" x14ac:dyDescent="0.3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  <c r="AD629" s="42"/>
      <c r="AE629" s="42"/>
    </row>
    <row r="630" spans="1:31" ht="12.75" customHeight="1" x14ac:dyDescent="0.3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  <c r="AD630" s="42"/>
      <c r="AE630" s="42"/>
    </row>
    <row r="631" spans="1:31" ht="12.75" customHeight="1" x14ac:dyDescent="0.3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  <c r="AD631" s="42"/>
      <c r="AE631" s="42"/>
    </row>
    <row r="632" spans="1:31" ht="12.75" customHeight="1" x14ac:dyDescent="0.3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  <c r="AD632" s="42"/>
      <c r="AE632" s="42"/>
    </row>
    <row r="633" spans="1:31" ht="12.75" customHeight="1" x14ac:dyDescent="0.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</row>
    <row r="634" spans="1:31" ht="12.75" customHeight="1" x14ac:dyDescent="0.3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  <c r="AD634" s="42"/>
      <c r="AE634" s="42"/>
    </row>
    <row r="635" spans="1:31" ht="12.75" customHeight="1" x14ac:dyDescent="0.3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  <c r="AD635" s="42"/>
      <c r="AE635" s="42"/>
    </row>
    <row r="636" spans="1:31" ht="12.75" customHeight="1" x14ac:dyDescent="0.3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</row>
    <row r="637" spans="1:31" ht="12.75" customHeight="1" x14ac:dyDescent="0.3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  <c r="AD637" s="42"/>
      <c r="AE637" s="42"/>
    </row>
    <row r="638" spans="1:31" ht="12.75" customHeight="1" x14ac:dyDescent="0.3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  <c r="AD638" s="42"/>
      <c r="AE638" s="42"/>
    </row>
    <row r="639" spans="1:31" ht="12.75" customHeight="1" x14ac:dyDescent="0.3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  <c r="AD639" s="42"/>
      <c r="AE639" s="42"/>
    </row>
    <row r="640" spans="1:31" ht="12.75" customHeight="1" x14ac:dyDescent="0.3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  <c r="AD640" s="42"/>
      <c r="AE640" s="42"/>
    </row>
    <row r="641" spans="1:31" ht="12.75" customHeight="1" x14ac:dyDescent="0.3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  <c r="AD641" s="42"/>
      <c r="AE641" s="42"/>
    </row>
    <row r="642" spans="1:31" ht="12.75" customHeight="1" x14ac:dyDescent="0.3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  <c r="AD642" s="42"/>
      <c r="AE642" s="42"/>
    </row>
    <row r="643" spans="1:31" ht="12.75" customHeight="1" x14ac:dyDescent="0.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  <c r="AD643" s="42"/>
      <c r="AE643" s="42"/>
    </row>
    <row r="644" spans="1:31" ht="12.75" customHeight="1" x14ac:dyDescent="0.3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  <c r="AD644" s="42"/>
      <c r="AE644" s="42"/>
    </row>
    <row r="645" spans="1:31" ht="12.75" customHeight="1" x14ac:dyDescent="0.3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  <c r="AD645" s="42"/>
      <c r="AE645" s="42"/>
    </row>
    <row r="646" spans="1:31" ht="12.75" customHeight="1" x14ac:dyDescent="0.3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  <c r="AD646" s="42"/>
      <c r="AE646" s="42"/>
    </row>
    <row r="647" spans="1:31" ht="12.75" customHeight="1" x14ac:dyDescent="0.3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  <c r="AD647" s="42"/>
      <c r="AE647" s="42"/>
    </row>
    <row r="648" spans="1:31" ht="12.75" customHeight="1" x14ac:dyDescent="0.3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  <c r="AD648" s="42"/>
      <c r="AE648" s="42"/>
    </row>
    <row r="649" spans="1:31" ht="12.75" customHeight="1" x14ac:dyDescent="0.3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  <c r="AD649" s="42"/>
      <c r="AE649" s="42"/>
    </row>
    <row r="650" spans="1:31" ht="12.75" customHeight="1" x14ac:dyDescent="0.3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  <c r="AD650" s="42"/>
      <c r="AE650" s="42"/>
    </row>
    <row r="651" spans="1:31" ht="12.75" customHeight="1" x14ac:dyDescent="0.3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  <c r="AD651" s="42"/>
      <c r="AE651" s="42"/>
    </row>
    <row r="652" spans="1:31" ht="12.75" customHeight="1" x14ac:dyDescent="0.3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  <c r="AD652" s="42"/>
      <c r="AE652" s="42"/>
    </row>
    <row r="653" spans="1:31" ht="12.75" customHeight="1" x14ac:dyDescent="0.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  <c r="AD653" s="42"/>
      <c r="AE653" s="42"/>
    </row>
    <row r="654" spans="1:31" ht="12.75" customHeight="1" x14ac:dyDescent="0.3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  <c r="AD654" s="42"/>
      <c r="AE654" s="42"/>
    </row>
    <row r="655" spans="1:31" ht="12.75" customHeight="1" x14ac:dyDescent="0.3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  <c r="AD655" s="42"/>
      <c r="AE655" s="42"/>
    </row>
    <row r="656" spans="1:31" ht="12.75" customHeight="1" x14ac:dyDescent="0.3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  <c r="AD656" s="42"/>
      <c r="AE656" s="42"/>
    </row>
    <row r="657" spans="1:31" ht="12.75" customHeight="1" x14ac:dyDescent="0.3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  <c r="AD657" s="42"/>
      <c r="AE657" s="42"/>
    </row>
    <row r="658" spans="1:31" ht="12.75" customHeight="1" x14ac:dyDescent="0.3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  <c r="AD658" s="42"/>
      <c r="AE658" s="42"/>
    </row>
    <row r="659" spans="1:31" ht="12.75" customHeight="1" x14ac:dyDescent="0.3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  <c r="AD659" s="42"/>
      <c r="AE659" s="42"/>
    </row>
    <row r="660" spans="1:31" ht="12.75" customHeight="1" x14ac:dyDescent="0.3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  <c r="AD660" s="42"/>
      <c r="AE660" s="42"/>
    </row>
    <row r="661" spans="1:31" ht="12.75" customHeight="1" x14ac:dyDescent="0.3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  <c r="AD661" s="42"/>
      <c r="AE661" s="42"/>
    </row>
    <row r="662" spans="1:31" ht="12.75" customHeight="1" x14ac:dyDescent="0.3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  <c r="AD662" s="42"/>
      <c r="AE662" s="42"/>
    </row>
    <row r="663" spans="1:31" ht="12.75" customHeight="1" x14ac:dyDescent="0.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  <c r="AD663" s="42"/>
      <c r="AE663" s="42"/>
    </row>
    <row r="664" spans="1:31" ht="12.75" customHeight="1" x14ac:dyDescent="0.3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  <c r="AD664" s="42"/>
      <c r="AE664" s="42"/>
    </row>
    <row r="665" spans="1:31" ht="12.75" customHeight="1" x14ac:dyDescent="0.3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  <c r="AD665" s="42"/>
      <c r="AE665" s="42"/>
    </row>
    <row r="666" spans="1:31" ht="12.75" customHeight="1" x14ac:dyDescent="0.3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  <c r="AD666" s="42"/>
      <c r="AE666" s="42"/>
    </row>
    <row r="667" spans="1:31" ht="12.75" customHeight="1" x14ac:dyDescent="0.3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  <c r="AD667" s="42"/>
      <c r="AE667" s="42"/>
    </row>
    <row r="668" spans="1:31" ht="12.75" customHeight="1" x14ac:dyDescent="0.3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  <c r="AD668" s="42"/>
      <c r="AE668" s="42"/>
    </row>
    <row r="669" spans="1:31" ht="12.75" customHeight="1" x14ac:dyDescent="0.3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  <c r="AD669" s="42"/>
      <c r="AE669" s="42"/>
    </row>
    <row r="670" spans="1:31" ht="12.75" customHeight="1" x14ac:dyDescent="0.3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  <c r="AD670" s="42"/>
      <c r="AE670" s="42"/>
    </row>
    <row r="671" spans="1:31" ht="12.75" customHeight="1" x14ac:dyDescent="0.3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</row>
    <row r="672" spans="1:31" ht="12.75" customHeight="1" x14ac:dyDescent="0.3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  <c r="AD672" s="42"/>
      <c r="AE672" s="42"/>
    </row>
    <row r="673" spans="1:31" ht="12.75" customHeight="1" x14ac:dyDescent="0.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  <c r="AD673" s="42"/>
      <c r="AE673" s="42"/>
    </row>
    <row r="674" spans="1:31" ht="12.75" customHeight="1" x14ac:dyDescent="0.3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</row>
    <row r="675" spans="1:31" ht="12.75" customHeight="1" x14ac:dyDescent="0.3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  <c r="AD675" s="42"/>
      <c r="AE675" s="42"/>
    </row>
    <row r="676" spans="1:31" ht="12.75" customHeight="1" x14ac:dyDescent="0.3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  <c r="AD676" s="42"/>
      <c r="AE676" s="42"/>
    </row>
    <row r="677" spans="1:31" ht="12.75" customHeight="1" x14ac:dyDescent="0.3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  <c r="AD677" s="42"/>
      <c r="AE677" s="42"/>
    </row>
    <row r="678" spans="1:31" ht="12.75" customHeight="1" x14ac:dyDescent="0.3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  <c r="AD678" s="42"/>
      <c r="AE678" s="42"/>
    </row>
    <row r="679" spans="1:31" ht="12.75" customHeight="1" x14ac:dyDescent="0.3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  <c r="AD679" s="42"/>
      <c r="AE679" s="42"/>
    </row>
    <row r="680" spans="1:31" ht="12.75" customHeight="1" x14ac:dyDescent="0.3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  <c r="AD680" s="42"/>
      <c r="AE680" s="42"/>
    </row>
    <row r="681" spans="1:31" ht="12.75" customHeight="1" x14ac:dyDescent="0.3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  <c r="AD681" s="42"/>
      <c r="AE681" s="42"/>
    </row>
    <row r="682" spans="1:31" ht="12.75" customHeight="1" x14ac:dyDescent="0.3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  <c r="AD682" s="42"/>
      <c r="AE682" s="42"/>
    </row>
    <row r="683" spans="1:31" ht="12.75" customHeight="1" x14ac:dyDescent="0.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  <c r="AD683" s="42"/>
      <c r="AE683" s="42"/>
    </row>
    <row r="684" spans="1:31" ht="12.75" customHeight="1" x14ac:dyDescent="0.3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  <c r="AD684" s="42"/>
      <c r="AE684" s="42"/>
    </row>
    <row r="685" spans="1:31" ht="12.75" customHeight="1" x14ac:dyDescent="0.3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  <c r="AD685" s="42"/>
      <c r="AE685" s="42"/>
    </row>
    <row r="686" spans="1:31" ht="12.75" customHeight="1" x14ac:dyDescent="0.3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  <c r="AD686" s="42"/>
      <c r="AE686" s="42"/>
    </row>
    <row r="687" spans="1:31" ht="12.75" customHeight="1" x14ac:dyDescent="0.3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  <c r="AD687" s="42"/>
      <c r="AE687" s="42"/>
    </row>
    <row r="688" spans="1:31" ht="12.75" customHeight="1" x14ac:dyDescent="0.3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  <c r="AD688" s="42"/>
      <c r="AE688" s="42"/>
    </row>
    <row r="689" spans="1:31" ht="12.75" customHeight="1" x14ac:dyDescent="0.3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  <c r="AD689" s="42"/>
      <c r="AE689" s="42"/>
    </row>
    <row r="690" spans="1:31" ht="12.75" customHeight="1" x14ac:dyDescent="0.3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  <c r="AD690" s="42"/>
      <c r="AE690" s="42"/>
    </row>
    <row r="691" spans="1:31" ht="12.75" customHeight="1" x14ac:dyDescent="0.3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  <c r="AD691" s="42"/>
      <c r="AE691" s="42"/>
    </row>
    <row r="692" spans="1:31" ht="12.75" customHeight="1" x14ac:dyDescent="0.3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  <c r="AD692" s="42"/>
      <c r="AE692" s="42"/>
    </row>
    <row r="693" spans="1:31" ht="12.75" customHeight="1" x14ac:dyDescent="0.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  <c r="AD693" s="42"/>
      <c r="AE693" s="42"/>
    </row>
    <row r="694" spans="1:31" ht="12.75" customHeight="1" x14ac:dyDescent="0.3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  <c r="AD694" s="42"/>
      <c r="AE694" s="42"/>
    </row>
    <row r="695" spans="1:31" ht="12.75" customHeight="1" x14ac:dyDescent="0.3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  <c r="AD695" s="42"/>
      <c r="AE695" s="42"/>
    </row>
    <row r="696" spans="1:31" ht="12.75" customHeight="1" x14ac:dyDescent="0.3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  <c r="AD696" s="42"/>
      <c r="AE696" s="42"/>
    </row>
    <row r="697" spans="1:31" ht="12.75" customHeight="1" x14ac:dyDescent="0.3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  <c r="AD697" s="42"/>
      <c r="AE697" s="42"/>
    </row>
    <row r="698" spans="1:31" ht="12.75" customHeight="1" x14ac:dyDescent="0.3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  <c r="AD698" s="42"/>
      <c r="AE698" s="42"/>
    </row>
    <row r="699" spans="1:31" ht="12.75" customHeight="1" x14ac:dyDescent="0.3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  <c r="AD699" s="42"/>
      <c r="AE699" s="42"/>
    </row>
    <row r="700" spans="1:31" ht="12.75" customHeight="1" x14ac:dyDescent="0.3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  <c r="AD700" s="42"/>
      <c r="AE700" s="42"/>
    </row>
    <row r="701" spans="1:31" ht="12.75" customHeight="1" x14ac:dyDescent="0.3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  <c r="AD701" s="42"/>
      <c r="AE701" s="42"/>
    </row>
    <row r="702" spans="1:31" ht="12.75" customHeight="1" x14ac:dyDescent="0.3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  <c r="AD702" s="42"/>
      <c r="AE702" s="42"/>
    </row>
    <row r="703" spans="1:31" ht="12.75" customHeight="1" x14ac:dyDescent="0.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  <c r="AD703" s="42"/>
      <c r="AE703" s="42"/>
    </row>
    <row r="704" spans="1:31" ht="12.75" customHeight="1" x14ac:dyDescent="0.3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  <c r="AD704" s="42"/>
      <c r="AE704" s="42"/>
    </row>
    <row r="705" spans="1:31" ht="12.75" customHeight="1" x14ac:dyDescent="0.3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  <c r="AD705" s="42"/>
      <c r="AE705" s="42"/>
    </row>
    <row r="706" spans="1:31" ht="12.75" customHeight="1" x14ac:dyDescent="0.3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  <c r="AD706" s="42"/>
      <c r="AE706" s="42"/>
    </row>
    <row r="707" spans="1:31" ht="12.75" customHeight="1" x14ac:dyDescent="0.3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  <c r="AD707" s="42"/>
      <c r="AE707" s="42"/>
    </row>
    <row r="708" spans="1:31" ht="12.75" customHeight="1" x14ac:dyDescent="0.3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  <c r="AD708" s="42"/>
      <c r="AE708" s="42"/>
    </row>
    <row r="709" spans="1:31" ht="12.75" customHeight="1" x14ac:dyDescent="0.3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</row>
    <row r="710" spans="1:31" ht="12.75" customHeight="1" x14ac:dyDescent="0.3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  <c r="AD710" s="42"/>
      <c r="AE710" s="42"/>
    </row>
    <row r="711" spans="1:31" ht="12.75" customHeight="1" x14ac:dyDescent="0.3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  <c r="AD711" s="42"/>
      <c r="AE711" s="42"/>
    </row>
    <row r="712" spans="1:31" ht="12.75" customHeight="1" x14ac:dyDescent="0.3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</row>
    <row r="713" spans="1:31" ht="12.75" customHeight="1" x14ac:dyDescent="0.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  <c r="AD713" s="42"/>
      <c r="AE713" s="42"/>
    </row>
    <row r="714" spans="1:31" ht="12.75" customHeight="1" x14ac:dyDescent="0.3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  <c r="AD714" s="42"/>
      <c r="AE714" s="42"/>
    </row>
    <row r="715" spans="1:31" ht="12.75" customHeight="1" x14ac:dyDescent="0.3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  <c r="AD715" s="42"/>
      <c r="AE715" s="42"/>
    </row>
    <row r="716" spans="1:31" ht="12.75" customHeight="1" x14ac:dyDescent="0.3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  <c r="AD716" s="42"/>
      <c r="AE716" s="42"/>
    </row>
    <row r="717" spans="1:31" ht="12.75" customHeight="1" x14ac:dyDescent="0.3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  <c r="AD717" s="42"/>
      <c r="AE717" s="42"/>
    </row>
    <row r="718" spans="1:31" ht="12.75" customHeight="1" x14ac:dyDescent="0.3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  <c r="AD718" s="42"/>
      <c r="AE718" s="42"/>
    </row>
    <row r="719" spans="1:31" ht="12.75" customHeight="1" x14ac:dyDescent="0.3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  <c r="AD719" s="42"/>
      <c r="AE719" s="42"/>
    </row>
    <row r="720" spans="1:31" ht="12.75" customHeight="1" x14ac:dyDescent="0.3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  <c r="AD720" s="42"/>
      <c r="AE720" s="42"/>
    </row>
    <row r="721" spans="1:31" ht="12.75" customHeight="1" x14ac:dyDescent="0.3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  <c r="AD721" s="42"/>
      <c r="AE721" s="42"/>
    </row>
    <row r="722" spans="1:31" ht="12.75" customHeight="1" x14ac:dyDescent="0.3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  <c r="AD722" s="42"/>
      <c r="AE722" s="42"/>
    </row>
    <row r="723" spans="1:31" ht="12.75" customHeight="1" x14ac:dyDescent="0.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  <c r="AD723" s="42"/>
      <c r="AE723" s="42"/>
    </row>
    <row r="724" spans="1:31" ht="12.75" customHeight="1" x14ac:dyDescent="0.3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  <c r="AD724" s="42"/>
      <c r="AE724" s="42"/>
    </row>
    <row r="725" spans="1:31" ht="12.75" customHeight="1" x14ac:dyDescent="0.3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  <c r="AD725" s="42"/>
      <c r="AE725" s="42"/>
    </row>
    <row r="726" spans="1:31" ht="12.75" customHeight="1" x14ac:dyDescent="0.3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  <c r="AD726" s="42"/>
      <c r="AE726" s="42"/>
    </row>
    <row r="727" spans="1:31" ht="12.75" customHeight="1" x14ac:dyDescent="0.3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  <c r="AD727" s="42"/>
      <c r="AE727" s="42"/>
    </row>
    <row r="728" spans="1:31" ht="12.75" customHeight="1" x14ac:dyDescent="0.3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  <c r="AD728" s="42"/>
      <c r="AE728" s="42"/>
    </row>
    <row r="729" spans="1:31" ht="12.75" customHeight="1" x14ac:dyDescent="0.3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  <c r="AD729" s="42"/>
      <c r="AE729" s="42"/>
    </row>
    <row r="730" spans="1:31" ht="12.75" customHeight="1" x14ac:dyDescent="0.3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  <c r="AD730" s="42"/>
      <c r="AE730" s="42"/>
    </row>
    <row r="731" spans="1:31" ht="12.75" customHeight="1" x14ac:dyDescent="0.3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  <c r="AD731" s="42"/>
      <c r="AE731" s="42"/>
    </row>
    <row r="732" spans="1:31" ht="12.75" customHeight="1" x14ac:dyDescent="0.3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  <c r="AD732" s="42"/>
      <c r="AE732" s="42"/>
    </row>
    <row r="733" spans="1:31" ht="12.75" customHeight="1" x14ac:dyDescent="0.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  <c r="AD733" s="42"/>
      <c r="AE733" s="42"/>
    </row>
    <row r="734" spans="1:31" ht="12.75" customHeight="1" x14ac:dyDescent="0.3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  <c r="AD734" s="42"/>
      <c r="AE734" s="42"/>
    </row>
    <row r="735" spans="1:31" ht="12.75" customHeight="1" x14ac:dyDescent="0.3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  <c r="AC735" s="42"/>
      <c r="AD735" s="42"/>
      <c r="AE735" s="42"/>
    </row>
    <row r="736" spans="1:31" ht="12.75" customHeight="1" x14ac:dyDescent="0.3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  <c r="AD736" s="42"/>
      <c r="AE736" s="42"/>
    </row>
    <row r="737" spans="1:31" ht="12.75" customHeight="1" x14ac:dyDescent="0.3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  <c r="AC737" s="42"/>
      <c r="AD737" s="42"/>
      <c r="AE737" s="42"/>
    </row>
    <row r="738" spans="1:31" ht="12.75" customHeight="1" x14ac:dyDescent="0.3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  <c r="AC738" s="42"/>
      <c r="AD738" s="42"/>
      <c r="AE738" s="42"/>
    </row>
    <row r="739" spans="1:31" ht="12.75" customHeight="1" x14ac:dyDescent="0.3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  <c r="AC739" s="42"/>
      <c r="AD739" s="42"/>
      <c r="AE739" s="42"/>
    </row>
    <row r="740" spans="1:31" ht="12.75" customHeight="1" x14ac:dyDescent="0.3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  <c r="AC740" s="42"/>
      <c r="AD740" s="42"/>
      <c r="AE740" s="42"/>
    </row>
    <row r="741" spans="1:31" ht="12.75" customHeight="1" x14ac:dyDescent="0.3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  <c r="AC741" s="42"/>
      <c r="AD741" s="42"/>
      <c r="AE741" s="42"/>
    </row>
    <row r="742" spans="1:31" ht="12.75" customHeight="1" x14ac:dyDescent="0.3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  <c r="AC742" s="42"/>
      <c r="AD742" s="42"/>
      <c r="AE742" s="42"/>
    </row>
    <row r="743" spans="1:31" ht="12.75" customHeight="1" x14ac:dyDescent="0.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  <c r="AC743" s="42"/>
      <c r="AD743" s="42"/>
      <c r="AE743" s="42"/>
    </row>
    <row r="744" spans="1:31" ht="12.75" customHeight="1" x14ac:dyDescent="0.3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  <c r="AC744" s="42"/>
      <c r="AD744" s="42"/>
      <c r="AE744" s="42"/>
    </row>
    <row r="745" spans="1:31" ht="12.75" customHeight="1" x14ac:dyDescent="0.3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  <c r="AC745" s="42"/>
      <c r="AD745" s="42"/>
      <c r="AE745" s="42"/>
    </row>
    <row r="746" spans="1:31" ht="12.75" customHeight="1" x14ac:dyDescent="0.3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  <c r="AC746" s="42"/>
      <c r="AD746" s="42"/>
      <c r="AE746" s="42"/>
    </row>
    <row r="747" spans="1:31" ht="12.75" customHeight="1" x14ac:dyDescent="0.3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</row>
    <row r="748" spans="1:31" ht="12.75" customHeight="1" x14ac:dyDescent="0.3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  <c r="AC748" s="42"/>
      <c r="AD748" s="42"/>
      <c r="AE748" s="42"/>
    </row>
    <row r="749" spans="1:31" ht="12.75" customHeight="1" x14ac:dyDescent="0.3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  <c r="AC749" s="42"/>
      <c r="AD749" s="42"/>
      <c r="AE749" s="42"/>
    </row>
    <row r="750" spans="1:31" ht="12.75" customHeight="1" x14ac:dyDescent="0.3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</row>
    <row r="751" spans="1:31" ht="12.75" customHeight="1" x14ac:dyDescent="0.3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  <c r="AC751" s="42"/>
      <c r="AD751" s="42"/>
      <c r="AE751" s="42"/>
    </row>
    <row r="752" spans="1:31" ht="12.75" customHeight="1" x14ac:dyDescent="0.3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  <c r="AC752" s="42"/>
      <c r="AD752" s="42"/>
      <c r="AE752" s="42"/>
    </row>
    <row r="753" spans="1:31" ht="12.75" customHeight="1" x14ac:dyDescent="0.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  <c r="AC753" s="42"/>
      <c r="AD753" s="42"/>
      <c r="AE753" s="42"/>
    </row>
    <row r="754" spans="1:31" ht="12.75" customHeight="1" x14ac:dyDescent="0.3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  <c r="AC754" s="42"/>
      <c r="AD754" s="42"/>
      <c r="AE754" s="42"/>
    </row>
    <row r="755" spans="1:31" ht="12.75" customHeight="1" x14ac:dyDescent="0.3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  <c r="AC755" s="42"/>
      <c r="AD755" s="42"/>
      <c r="AE755" s="42"/>
    </row>
    <row r="756" spans="1:31" ht="12.75" customHeight="1" x14ac:dyDescent="0.3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  <c r="AC756" s="42"/>
      <c r="AD756" s="42"/>
      <c r="AE756" s="42"/>
    </row>
    <row r="757" spans="1:31" ht="12.75" customHeight="1" x14ac:dyDescent="0.3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  <c r="AC757" s="42"/>
      <c r="AD757" s="42"/>
      <c r="AE757" s="42"/>
    </row>
    <row r="758" spans="1:31" ht="12.75" customHeight="1" x14ac:dyDescent="0.3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  <c r="AC758" s="42"/>
      <c r="AD758" s="42"/>
      <c r="AE758" s="42"/>
    </row>
    <row r="759" spans="1:31" ht="12.75" customHeight="1" x14ac:dyDescent="0.3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  <c r="AC759" s="42"/>
      <c r="AD759" s="42"/>
      <c r="AE759" s="42"/>
    </row>
    <row r="760" spans="1:31" ht="12.75" customHeight="1" x14ac:dyDescent="0.3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  <c r="AC760" s="42"/>
      <c r="AD760" s="42"/>
      <c r="AE760" s="42"/>
    </row>
    <row r="761" spans="1:31" ht="12.75" customHeight="1" x14ac:dyDescent="0.3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  <c r="AC761" s="42"/>
      <c r="AD761" s="42"/>
      <c r="AE761" s="42"/>
    </row>
    <row r="762" spans="1:31" ht="12.75" customHeight="1" x14ac:dyDescent="0.3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  <c r="AC762" s="42"/>
      <c r="AD762" s="42"/>
      <c r="AE762" s="42"/>
    </row>
    <row r="763" spans="1:31" ht="12.75" customHeight="1" x14ac:dyDescent="0.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  <c r="AC763" s="42"/>
      <c r="AD763" s="42"/>
      <c r="AE763" s="42"/>
    </row>
    <row r="764" spans="1:31" ht="12.75" customHeight="1" x14ac:dyDescent="0.3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  <c r="AC764" s="42"/>
      <c r="AD764" s="42"/>
      <c r="AE764" s="42"/>
    </row>
    <row r="765" spans="1:31" ht="12.75" customHeight="1" x14ac:dyDescent="0.3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  <c r="AC765" s="42"/>
      <c r="AD765" s="42"/>
      <c r="AE765" s="42"/>
    </row>
    <row r="766" spans="1:31" ht="12.75" customHeight="1" x14ac:dyDescent="0.3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  <c r="AC766" s="42"/>
      <c r="AD766" s="42"/>
      <c r="AE766" s="42"/>
    </row>
    <row r="767" spans="1:31" ht="12.75" customHeight="1" x14ac:dyDescent="0.3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  <c r="AC767" s="42"/>
      <c r="AD767" s="42"/>
      <c r="AE767" s="42"/>
    </row>
    <row r="768" spans="1:31" ht="12.75" customHeight="1" x14ac:dyDescent="0.3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  <c r="AC768" s="42"/>
      <c r="AD768" s="42"/>
      <c r="AE768" s="42"/>
    </row>
    <row r="769" spans="1:31" ht="12.75" customHeight="1" x14ac:dyDescent="0.3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  <c r="AC769" s="42"/>
      <c r="AD769" s="42"/>
      <c r="AE769" s="42"/>
    </row>
    <row r="770" spans="1:31" ht="12.75" customHeight="1" x14ac:dyDescent="0.3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  <c r="AC770" s="42"/>
      <c r="AD770" s="42"/>
      <c r="AE770" s="42"/>
    </row>
    <row r="771" spans="1:31" ht="12.75" customHeight="1" x14ac:dyDescent="0.3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  <c r="AC771" s="42"/>
      <c r="AD771" s="42"/>
      <c r="AE771" s="42"/>
    </row>
    <row r="772" spans="1:31" ht="12.75" customHeight="1" x14ac:dyDescent="0.3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  <c r="AC772" s="42"/>
      <c r="AD772" s="42"/>
      <c r="AE772" s="42"/>
    </row>
    <row r="773" spans="1:31" ht="12.75" customHeight="1" x14ac:dyDescent="0.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  <c r="AC773" s="42"/>
      <c r="AD773" s="42"/>
      <c r="AE773" s="42"/>
    </row>
    <row r="774" spans="1:31" ht="12.75" customHeight="1" x14ac:dyDescent="0.3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  <c r="AC774" s="42"/>
      <c r="AD774" s="42"/>
      <c r="AE774" s="42"/>
    </row>
    <row r="775" spans="1:31" ht="12.75" customHeight="1" x14ac:dyDescent="0.3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  <c r="AC775" s="42"/>
      <c r="AD775" s="42"/>
      <c r="AE775" s="42"/>
    </row>
    <row r="776" spans="1:31" ht="12.75" customHeight="1" x14ac:dyDescent="0.3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  <c r="AC776" s="42"/>
      <c r="AD776" s="42"/>
      <c r="AE776" s="42"/>
    </row>
    <row r="777" spans="1:31" ht="12.75" customHeight="1" x14ac:dyDescent="0.3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  <c r="AC777" s="42"/>
      <c r="AD777" s="42"/>
      <c r="AE777" s="42"/>
    </row>
    <row r="778" spans="1:31" ht="12.75" customHeight="1" x14ac:dyDescent="0.3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  <c r="AC778" s="42"/>
      <c r="AD778" s="42"/>
      <c r="AE778" s="42"/>
    </row>
    <row r="779" spans="1:31" ht="12.75" customHeight="1" x14ac:dyDescent="0.3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  <c r="AC779" s="42"/>
      <c r="AD779" s="42"/>
      <c r="AE779" s="42"/>
    </row>
    <row r="780" spans="1:31" ht="12.75" customHeight="1" x14ac:dyDescent="0.3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  <c r="AC780" s="42"/>
      <c r="AD780" s="42"/>
      <c r="AE780" s="42"/>
    </row>
    <row r="781" spans="1:31" ht="12.75" customHeight="1" x14ac:dyDescent="0.3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  <c r="AC781" s="42"/>
      <c r="AD781" s="42"/>
      <c r="AE781" s="42"/>
    </row>
    <row r="782" spans="1:31" ht="12.75" customHeight="1" x14ac:dyDescent="0.3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  <c r="AC782" s="42"/>
      <c r="AD782" s="42"/>
      <c r="AE782" s="42"/>
    </row>
    <row r="783" spans="1:31" ht="12.75" customHeight="1" x14ac:dyDescent="0.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  <c r="AC783" s="42"/>
      <c r="AD783" s="42"/>
      <c r="AE783" s="42"/>
    </row>
    <row r="784" spans="1:31" ht="12.75" customHeight="1" x14ac:dyDescent="0.3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  <c r="AC784" s="42"/>
      <c r="AD784" s="42"/>
      <c r="AE784" s="42"/>
    </row>
    <row r="785" spans="1:31" ht="12.75" customHeight="1" x14ac:dyDescent="0.3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</row>
    <row r="786" spans="1:31" ht="12.75" customHeight="1" x14ac:dyDescent="0.3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  <c r="AC786" s="42"/>
      <c r="AD786" s="42"/>
      <c r="AE786" s="42"/>
    </row>
    <row r="787" spans="1:31" ht="12.75" customHeight="1" x14ac:dyDescent="0.3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  <c r="AC787" s="42"/>
      <c r="AD787" s="42"/>
      <c r="AE787" s="42"/>
    </row>
    <row r="788" spans="1:31" ht="12.75" customHeight="1" x14ac:dyDescent="0.3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</row>
    <row r="789" spans="1:31" ht="12.75" customHeight="1" x14ac:dyDescent="0.3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  <c r="AC789" s="42"/>
      <c r="AD789" s="42"/>
      <c r="AE789" s="42"/>
    </row>
    <row r="790" spans="1:31" ht="12.75" customHeight="1" x14ac:dyDescent="0.3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  <c r="AC790" s="42"/>
      <c r="AD790" s="42"/>
      <c r="AE790" s="42"/>
    </row>
    <row r="791" spans="1:31" ht="12.75" customHeight="1" x14ac:dyDescent="0.3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  <c r="AC791" s="42"/>
      <c r="AD791" s="42"/>
      <c r="AE791" s="42"/>
    </row>
    <row r="792" spans="1:31" ht="12.75" customHeight="1" x14ac:dyDescent="0.3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  <c r="AC792" s="42"/>
      <c r="AD792" s="42"/>
      <c r="AE792" s="42"/>
    </row>
    <row r="793" spans="1:31" ht="12.75" customHeight="1" x14ac:dyDescent="0.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  <c r="AC793" s="42"/>
      <c r="AD793" s="42"/>
      <c r="AE793" s="42"/>
    </row>
    <row r="794" spans="1:31" ht="12.75" customHeight="1" x14ac:dyDescent="0.3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  <c r="AC794" s="42"/>
      <c r="AD794" s="42"/>
      <c r="AE794" s="42"/>
    </row>
    <row r="795" spans="1:31" ht="12.75" customHeight="1" x14ac:dyDescent="0.3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  <c r="AC795" s="42"/>
      <c r="AD795" s="42"/>
      <c r="AE795" s="42"/>
    </row>
    <row r="796" spans="1:31" ht="12.75" customHeight="1" x14ac:dyDescent="0.3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  <c r="AC796" s="42"/>
      <c r="AD796" s="42"/>
      <c r="AE796" s="42"/>
    </row>
    <row r="797" spans="1:31" ht="12.75" customHeight="1" x14ac:dyDescent="0.3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  <c r="AC797" s="42"/>
      <c r="AD797" s="42"/>
      <c r="AE797" s="42"/>
    </row>
    <row r="798" spans="1:31" ht="12.75" customHeight="1" x14ac:dyDescent="0.3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  <c r="AC798" s="42"/>
      <c r="AD798" s="42"/>
      <c r="AE798" s="42"/>
    </row>
    <row r="799" spans="1:31" ht="12.75" customHeight="1" x14ac:dyDescent="0.3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  <c r="AC799" s="42"/>
      <c r="AD799" s="42"/>
      <c r="AE799" s="42"/>
    </row>
    <row r="800" spans="1:31" ht="12.75" customHeight="1" x14ac:dyDescent="0.3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  <c r="AC800" s="42"/>
      <c r="AD800" s="42"/>
      <c r="AE800" s="42"/>
    </row>
    <row r="801" spans="1:31" ht="12.75" customHeight="1" x14ac:dyDescent="0.3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  <c r="AC801" s="42"/>
      <c r="AD801" s="42"/>
      <c r="AE801" s="42"/>
    </row>
    <row r="802" spans="1:31" ht="12.75" customHeight="1" x14ac:dyDescent="0.3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  <c r="AC802" s="42"/>
      <c r="AD802" s="42"/>
      <c r="AE802" s="42"/>
    </row>
    <row r="803" spans="1:31" ht="12.75" customHeight="1" x14ac:dyDescent="0.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  <c r="AC803" s="42"/>
      <c r="AD803" s="42"/>
      <c r="AE803" s="42"/>
    </row>
    <row r="804" spans="1:31" ht="12.75" customHeight="1" x14ac:dyDescent="0.3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  <c r="AC804" s="42"/>
      <c r="AD804" s="42"/>
      <c r="AE804" s="42"/>
    </row>
    <row r="805" spans="1:31" ht="12.75" customHeight="1" x14ac:dyDescent="0.3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  <c r="AC805" s="42"/>
      <c r="AD805" s="42"/>
      <c r="AE805" s="42"/>
    </row>
    <row r="806" spans="1:31" ht="12.75" customHeight="1" x14ac:dyDescent="0.3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  <c r="AC806" s="42"/>
      <c r="AD806" s="42"/>
      <c r="AE806" s="42"/>
    </row>
    <row r="807" spans="1:31" ht="12.75" customHeight="1" x14ac:dyDescent="0.3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  <c r="AC807" s="42"/>
      <c r="AD807" s="42"/>
      <c r="AE807" s="42"/>
    </row>
    <row r="808" spans="1:31" ht="12.75" customHeight="1" x14ac:dyDescent="0.3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  <c r="AC808" s="42"/>
      <c r="AD808" s="42"/>
      <c r="AE808" s="42"/>
    </row>
    <row r="809" spans="1:31" ht="12.75" customHeight="1" x14ac:dyDescent="0.3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  <c r="AC809" s="42"/>
      <c r="AD809" s="42"/>
      <c r="AE809" s="42"/>
    </row>
    <row r="810" spans="1:31" ht="12.75" customHeight="1" x14ac:dyDescent="0.3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  <c r="AC810" s="42"/>
      <c r="AD810" s="42"/>
      <c r="AE810" s="42"/>
    </row>
    <row r="811" spans="1:31" ht="12.75" customHeight="1" x14ac:dyDescent="0.3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  <c r="AC811" s="42"/>
      <c r="AD811" s="42"/>
      <c r="AE811" s="42"/>
    </row>
    <row r="812" spans="1:31" ht="12.75" customHeight="1" x14ac:dyDescent="0.3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  <c r="AC812" s="42"/>
      <c r="AD812" s="42"/>
      <c r="AE812" s="42"/>
    </row>
    <row r="813" spans="1:31" ht="12.75" customHeight="1" x14ac:dyDescent="0.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  <c r="AC813" s="42"/>
      <c r="AD813" s="42"/>
      <c r="AE813" s="42"/>
    </row>
    <row r="814" spans="1:31" ht="12.75" customHeight="1" x14ac:dyDescent="0.3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  <c r="AC814" s="42"/>
      <c r="AD814" s="42"/>
      <c r="AE814" s="42"/>
    </row>
    <row r="815" spans="1:31" ht="12.75" customHeight="1" x14ac:dyDescent="0.3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  <c r="AC815" s="42"/>
      <c r="AD815" s="42"/>
      <c r="AE815" s="42"/>
    </row>
    <row r="816" spans="1:31" ht="12.75" customHeight="1" x14ac:dyDescent="0.3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  <c r="AC816" s="42"/>
      <c r="AD816" s="42"/>
      <c r="AE816" s="42"/>
    </row>
    <row r="817" spans="1:31" ht="12.75" customHeight="1" x14ac:dyDescent="0.3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  <c r="AC817" s="42"/>
      <c r="AD817" s="42"/>
      <c r="AE817" s="42"/>
    </row>
    <row r="818" spans="1:31" ht="12.75" customHeight="1" x14ac:dyDescent="0.3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  <c r="AC818" s="42"/>
      <c r="AD818" s="42"/>
      <c r="AE818" s="42"/>
    </row>
    <row r="819" spans="1:31" ht="12.75" customHeight="1" x14ac:dyDescent="0.3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  <c r="AC819" s="42"/>
      <c r="AD819" s="42"/>
      <c r="AE819" s="42"/>
    </row>
    <row r="820" spans="1:31" ht="12.75" customHeight="1" x14ac:dyDescent="0.3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  <c r="AC820" s="42"/>
      <c r="AD820" s="42"/>
      <c r="AE820" s="42"/>
    </row>
    <row r="821" spans="1:31" ht="12.75" customHeight="1" x14ac:dyDescent="0.3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  <c r="AC821" s="42"/>
      <c r="AD821" s="42"/>
      <c r="AE821" s="42"/>
    </row>
    <row r="822" spans="1:31" ht="12.75" customHeight="1" x14ac:dyDescent="0.3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  <c r="AC822" s="42"/>
      <c r="AD822" s="42"/>
      <c r="AE822" s="42"/>
    </row>
    <row r="823" spans="1:31" ht="12.75" customHeight="1" x14ac:dyDescent="0.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</row>
    <row r="824" spans="1:31" ht="12.75" customHeight="1" x14ac:dyDescent="0.3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  <c r="AC824" s="42"/>
      <c r="AD824" s="42"/>
      <c r="AE824" s="42"/>
    </row>
    <row r="825" spans="1:31" ht="12.75" customHeight="1" x14ac:dyDescent="0.3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  <c r="AC825" s="42"/>
      <c r="AD825" s="42"/>
      <c r="AE825" s="42"/>
    </row>
    <row r="826" spans="1:31" ht="12.75" customHeight="1" x14ac:dyDescent="0.3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</row>
    <row r="827" spans="1:31" ht="12.75" customHeight="1" x14ac:dyDescent="0.3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  <c r="AC827" s="42"/>
      <c r="AD827" s="42"/>
      <c r="AE827" s="42"/>
    </row>
    <row r="828" spans="1:31" ht="12.75" customHeight="1" x14ac:dyDescent="0.3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  <c r="AC828" s="42"/>
      <c r="AD828" s="42"/>
      <c r="AE828" s="42"/>
    </row>
    <row r="829" spans="1:31" ht="12.75" customHeight="1" x14ac:dyDescent="0.3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  <c r="AC829" s="42"/>
      <c r="AD829" s="42"/>
      <c r="AE829" s="42"/>
    </row>
    <row r="830" spans="1:31" ht="12.75" customHeight="1" x14ac:dyDescent="0.3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  <c r="AC830" s="42"/>
      <c r="AD830" s="42"/>
      <c r="AE830" s="42"/>
    </row>
    <row r="831" spans="1:31" ht="12.75" customHeight="1" x14ac:dyDescent="0.3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  <c r="AC831" s="42"/>
      <c r="AD831" s="42"/>
      <c r="AE831" s="42"/>
    </row>
    <row r="832" spans="1:31" ht="12.75" customHeight="1" x14ac:dyDescent="0.3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  <c r="AC832" s="42"/>
      <c r="AD832" s="42"/>
      <c r="AE832" s="42"/>
    </row>
    <row r="833" spans="1:31" ht="12.75" customHeight="1" x14ac:dyDescent="0.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  <c r="AC833" s="42"/>
      <c r="AD833" s="42"/>
      <c r="AE833" s="42"/>
    </row>
    <row r="834" spans="1:31" ht="12.75" customHeight="1" x14ac:dyDescent="0.3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  <c r="AC834" s="42"/>
      <c r="AD834" s="42"/>
      <c r="AE834" s="42"/>
    </row>
    <row r="835" spans="1:31" ht="12.75" customHeight="1" x14ac:dyDescent="0.3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  <c r="AC835" s="42"/>
      <c r="AD835" s="42"/>
      <c r="AE835" s="42"/>
    </row>
    <row r="836" spans="1:31" ht="12.75" customHeight="1" x14ac:dyDescent="0.3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  <c r="AC836" s="42"/>
      <c r="AD836" s="42"/>
      <c r="AE836" s="42"/>
    </row>
    <row r="837" spans="1:31" ht="12.75" customHeight="1" x14ac:dyDescent="0.3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  <c r="AC837" s="42"/>
      <c r="AD837" s="42"/>
      <c r="AE837" s="42"/>
    </row>
    <row r="838" spans="1:31" ht="12.75" customHeight="1" x14ac:dyDescent="0.3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  <c r="AC838" s="42"/>
      <c r="AD838" s="42"/>
      <c r="AE838" s="42"/>
    </row>
    <row r="839" spans="1:31" ht="12.75" customHeight="1" x14ac:dyDescent="0.3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  <c r="AC839" s="42"/>
      <c r="AD839" s="42"/>
      <c r="AE839" s="42"/>
    </row>
    <row r="840" spans="1:31" ht="12.75" customHeight="1" x14ac:dyDescent="0.3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  <c r="AC840" s="42"/>
      <c r="AD840" s="42"/>
      <c r="AE840" s="42"/>
    </row>
    <row r="841" spans="1:31" ht="12.75" customHeight="1" x14ac:dyDescent="0.3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  <c r="AC841" s="42"/>
      <c r="AD841" s="42"/>
      <c r="AE841" s="42"/>
    </row>
    <row r="842" spans="1:31" ht="12.75" customHeight="1" x14ac:dyDescent="0.3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  <c r="AC842" s="42"/>
      <c r="AD842" s="42"/>
      <c r="AE842" s="42"/>
    </row>
    <row r="843" spans="1:31" ht="12.75" customHeight="1" x14ac:dyDescent="0.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  <c r="AC843" s="42"/>
      <c r="AD843" s="42"/>
      <c r="AE843" s="42"/>
    </row>
    <row r="844" spans="1:31" ht="12.75" customHeight="1" x14ac:dyDescent="0.3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  <c r="AC844" s="42"/>
      <c r="AD844" s="42"/>
      <c r="AE844" s="42"/>
    </row>
    <row r="845" spans="1:31" ht="12.75" customHeight="1" x14ac:dyDescent="0.3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  <c r="AC845" s="42"/>
      <c r="AD845" s="42"/>
      <c r="AE845" s="42"/>
    </row>
    <row r="846" spans="1:31" ht="12.75" customHeight="1" x14ac:dyDescent="0.3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  <c r="AC846" s="42"/>
      <c r="AD846" s="42"/>
      <c r="AE846" s="42"/>
    </row>
    <row r="847" spans="1:31" ht="12.75" customHeight="1" x14ac:dyDescent="0.3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  <c r="AC847" s="42"/>
      <c r="AD847" s="42"/>
      <c r="AE847" s="42"/>
    </row>
    <row r="848" spans="1:31" ht="12.75" customHeight="1" x14ac:dyDescent="0.3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  <c r="AC848" s="42"/>
      <c r="AD848" s="42"/>
      <c r="AE848" s="42"/>
    </row>
    <row r="849" spans="1:31" ht="12.75" customHeight="1" x14ac:dyDescent="0.3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  <c r="AC849" s="42"/>
      <c r="AD849" s="42"/>
      <c r="AE849" s="42"/>
    </row>
    <row r="850" spans="1:31" ht="12.75" customHeight="1" x14ac:dyDescent="0.3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  <c r="AC850" s="42"/>
      <c r="AD850" s="42"/>
      <c r="AE850" s="42"/>
    </row>
    <row r="851" spans="1:31" ht="12.75" customHeight="1" x14ac:dyDescent="0.3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  <c r="AC851" s="42"/>
      <c r="AD851" s="42"/>
      <c r="AE851" s="42"/>
    </row>
    <row r="852" spans="1:31" ht="12.75" customHeight="1" x14ac:dyDescent="0.3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  <c r="AC852" s="42"/>
      <c r="AD852" s="42"/>
      <c r="AE852" s="42"/>
    </row>
    <row r="853" spans="1:31" ht="12.75" customHeight="1" x14ac:dyDescent="0.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  <c r="AC853" s="42"/>
      <c r="AD853" s="42"/>
      <c r="AE853" s="42"/>
    </row>
    <row r="854" spans="1:31" ht="12.75" customHeight="1" x14ac:dyDescent="0.3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  <c r="AC854" s="42"/>
      <c r="AD854" s="42"/>
      <c r="AE854" s="42"/>
    </row>
    <row r="855" spans="1:31" ht="12.75" customHeight="1" x14ac:dyDescent="0.3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  <c r="AC855" s="42"/>
      <c r="AD855" s="42"/>
      <c r="AE855" s="42"/>
    </row>
    <row r="856" spans="1:31" ht="12.75" customHeight="1" x14ac:dyDescent="0.3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  <c r="AC856" s="42"/>
      <c r="AD856" s="42"/>
      <c r="AE856" s="42"/>
    </row>
    <row r="857" spans="1:31" ht="12.75" customHeight="1" x14ac:dyDescent="0.3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  <c r="AC857" s="42"/>
      <c r="AD857" s="42"/>
      <c r="AE857" s="42"/>
    </row>
    <row r="858" spans="1:31" ht="12.75" customHeight="1" x14ac:dyDescent="0.3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  <c r="AC858" s="42"/>
      <c r="AD858" s="42"/>
      <c r="AE858" s="42"/>
    </row>
    <row r="859" spans="1:31" ht="12.75" customHeight="1" x14ac:dyDescent="0.3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  <c r="AC859" s="42"/>
      <c r="AD859" s="42"/>
      <c r="AE859" s="42"/>
    </row>
    <row r="860" spans="1:31" ht="12.75" customHeight="1" x14ac:dyDescent="0.3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  <c r="AC860" s="42"/>
      <c r="AD860" s="42"/>
      <c r="AE860" s="42"/>
    </row>
    <row r="861" spans="1:31" ht="12.75" customHeight="1" x14ac:dyDescent="0.3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  <c r="N861" s="42"/>
      <c r="O861" s="42"/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</row>
    <row r="862" spans="1:31" ht="12.75" customHeight="1" x14ac:dyDescent="0.3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  <c r="N862" s="42"/>
      <c r="O862" s="42"/>
      <c r="P862" s="42"/>
      <c r="Q862" s="42"/>
      <c r="R862" s="42"/>
      <c r="S862" s="42"/>
      <c r="T862" s="42"/>
      <c r="U862" s="42"/>
      <c r="V862" s="42"/>
      <c r="W862" s="42"/>
      <c r="X862" s="42"/>
      <c r="Y862" s="42"/>
      <c r="Z862" s="42"/>
      <c r="AA862" s="42"/>
      <c r="AB862" s="42"/>
      <c r="AC862" s="42"/>
      <c r="AD862" s="42"/>
      <c r="AE862" s="42"/>
    </row>
    <row r="863" spans="1:31" ht="12.75" customHeight="1" x14ac:dyDescent="0.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  <c r="N863" s="42"/>
      <c r="O863" s="42"/>
      <c r="P863" s="42"/>
      <c r="Q863" s="42"/>
      <c r="R863" s="42"/>
      <c r="S863" s="42"/>
      <c r="T863" s="42"/>
      <c r="U863" s="42"/>
      <c r="V863" s="42"/>
      <c r="W863" s="42"/>
      <c r="X863" s="42"/>
      <c r="Y863" s="42"/>
      <c r="Z863" s="42"/>
      <c r="AA863" s="42"/>
      <c r="AB863" s="42"/>
      <c r="AC863" s="42"/>
      <c r="AD863" s="42"/>
      <c r="AE863" s="42"/>
    </row>
    <row r="864" spans="1:31" ht="12.75" customHeight="1" x14ac:dyDescent="0.3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  <c r="N864" s="42"/>
      <c r="O864" s="42"/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</row>
    <row r="865" spans="1:31" ht="12.75" customHeight="1" x14ac:dyDescent="0.3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  <c r="N865" s="42"/>
      <c r="O865" s="42"/>
      <c r="P865" s="42"/>
      <c r="Q865" s="42"/>
      <c r="R865" s="42"/>
      <c r="S865" s="42"/>
      <c r="T865" s="42"/>
      <c r="U865" s="42"/>
      <c r="V865" s="42"/>
      <c r="W865" s="42"/>
      <c r="X865" s="42"/>
      <c r="Y865" s="42"/>
      <c r="Z865" s="42"/>
      <c r="AA865" s="42"/>
      <c r="AB865" s="42"/>
      <c r="AC865" s="42"/>
      <c r="AD865" s="42"/>
      <c r="AE865" s="42"/>
    </row>
    <row r="866" spans="1:31" ht="12.75" customHeight="1" x14ac:dyDescent="0.3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  <c r="N866" s="42"/>
      <c r="O866" s="42"/>
      <c r="P866" s="42"/>
      <c r="Q866" s="42"/>
      <c r="R866" s="42"/>
      <c r="S866" s="42"/>
      <c r="T866" s="42"/>
      <c r="U866" s="42"/>
      <c r="V866" s="42"/>
      <c r="W866" s="42"/>
      <c r="X866" s="42"/>
      <c r="Y866" s="42"/>
      <c r="Z866" s="42"/>
      <c r="AA866" s="42"/>
      <c r="AB866" s="42"/>
      <c r="AC866" s="42"/>
      <c r="AD866" s="42"/>
      <c r="AE866" s="42"/>
    </row>
    <row r="867" spans="1:31" ht="12.75" customHeight="1" x14ac:dyDescent="0.3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  <c r="N867" s="42"/>
      <c r="O867" s="42"/>
      <c r="P867" s="42"/>
      <c r="Q867" s="42"/>
      <c r="R867" s="42"/>
      <c r="S867" s="42"/>
      <c r="T867" s="42"/>
      <c r="U867" s="42"/>
      <c r="V867" s="42"/>
      <c r="W867" s="42"/>
      <c r="X867" s="42"/>
      <c r="Y867" s="42"/>
      <c r="Z867" s="42"/>
      <c r="AA867" s="42"/>
      <c r="AB867" s="42"/>
      <c r="AC867" s="42"/>
      <c r="AD867" s="42"/>
      <c r="AE867" s="42"/>
    </row>
    <row r="868" spans="1:31" ht="12.75" customHeight="1" x14ac:dyDescent="0.3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  <c r="N868" s="42"/>
      <c r="O868" s="42"/>
      <c r="P868" s="42"/>
      <c r="Q868" s="42"/>
      <c r="R868" s="42"/>
      <c r="S868" s="42"/>
      <c r="T868" s="42"/>
      <c r="U868" s="42"/>
      <c r="V868" s="42"/>
      <c r="W868" s="42"/>
      <c r="X868" s="42"/>
      <c r="Y868" s="42"/>
      <c r="Z868" s="42"/>
      <c r="AA868" s="42"/>
      <c r="AB868" s="42"/>
      <c r="AC868" s="42"/>
      <c r="AD868" s="42"/>
      <c r="AE868" s="42"/>
    </row>
    <row r="869" spans="1:31" ht="12.75" customHeight="1" x14ac:dyDescent="0.3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  <c r="N869" s="42"/>
      <c r="O869" s="42"/>
      <c r="P869" s="42"/>
      <c r="Q869" s="42"/>
      <c r="R869" s="42"/>
      <c r="S869" s="42"/>
      <c r="T869" s="42"/>
      <c r="U869" s="42"/>
      <c r="V869" s="42"/>
      <c r="W869" s="42"/>
      <c r="X869" s="42"/>
      <c r="Y869" s="42"/>
      <c r="Z869" s="42"/>
      <c r="AA869" s="42"/>
      <c r="AB869" s="42"/>
      <c r="AC869" s="42"/>
      <c r="AD869" s="42"/>
      <c r="AE869" s="42"/>
    </row>
    <row r="870" spans="1:31" ht="12.75" customHeight="1" x14ac:dyDescent="0.3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  <c r="N870" s="42"/>
      <c r="O870" s="42"/>
      <c r="P870" s="42"/>
      <c r="Q870" s="42"/>
      <c r="R870" s="42"/>
      <c r="S870" s="42"/>
      <c r="T870" s="42"/>
      <c r="U870" s="42"/>
      <c r="V870" s="42"/>
      <c r="W870" s="42"/>
      <c r="X870" s="42"/>
      <c r="Y870" s="42"/>
      <c r="Z870" s="42"/>
      <c r="AA870" s="42"/>
      <c r="AB870" s="42"/>
      <c r="AC870" s="42"/>
      <c r="AD870" s="42"/>
      <c r="AE870" s="42"/>
    </row>
    <row r="871" spans="1:31" ht="12.75" customHeight="1" x14ac:dyDescent="0.3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  <c r="N871" s="42"/>
      <c r="O871" s="42"/>
      <c r="P871" s="42"/>
      <c r="Q871" s="42"/>
      <c r="R871" s="42"/>
      <c r="S871" s="42"/>
      <c r="T871" s="42"/>
      <c r="U871" s="42"/>
      <c r="V871" s="42"/>
      <c r="W871" s="42"/>
      <c r="X871" s="42"/>
      <c r="Y871" s="42"/>
      <c r="Z871" s="42"/>
      <c r="AA871" s="42"/>
      <c r="AB871" s="42"/>
      <c r="AC871" s="42"/>
      <c r="AD871" s="42"/>
      <c r="AE871" s="42"/>
    </row>
    <row r="872" spans="1:31" ht="12.75" customHeight="1" x14ac:dyDescent="0.3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  <c r="N872" s="42"/>
      <c r="O872" s="42"/>
      <c r="P872" s="42"/>
      <c r="Q872" s="42"/>
      <c r="R872" s="42"/>
      <c r="S872" s="42"/>
      <c r="T872" s="42"/>
      <c r="U872" s="42"/>
      <c r="V872" s="42"/>
      <c r="W872" s="42"/>
      <c r="X872" s="42"/>
      <c r="Y872" s="42"/>
      <c r="Z872" s="42"/>
      <c r="AA872" s="42"/>
      <c r="AB872" s="42"/>
      <c r="AC872" s="42"/>
      <c r="AD872" s="42"/>
      <c r="AE872" s="42"/>
    </row>
    <row r="873" spans="1:31" ht="12.75" customHeight="1" x14ac:dyDescent="0.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  <c r="N873" s="42"/>
      <c r="O873" s="42"/>
      <c r="P873" s="42"/>
      <c r="Q873" s="42"/>
      <c r="R873" s="42"/>
      <c r="S873" s="42"/>
      <c r="T873" s="42"/>
      <c r="U873" s="42"/>
      <c r="V873" s="42"/>
      <c r="W873" s="42"/>
      <c r="X873" s="42"/>
      <c r="Y873" s="42"/>
      <c r="Z873" s="42"/>
      <c r="AA873" s="42"/>
      <c r="AB873" s="42"/>
      <c r="AC873" s="42"/>
      <c r="AD873" s="42"/>
      <c r="AE873" s="42"/>
    </row>
    <row r="874" spans="1:31" ht="12.75" customHeight="1" x14ac:dyDescent="0.3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  <c r="N874" s="42"/>
      <c r="O874" s="42"/>
      <c r="P874" s="42"/>
      <c r="Q874" s="42"/>
      <c r="R874" s="42"/>
      <c r="S874" s="42"/>
      <c r="T874" s="42"/>
      <c r="U874" s="42"/>
      <c r="V874" s="42"/>
      <c r="W874" s="42"/>
      <c r="X874" s="42"/>
      <c r="Y874" s="42"/>
      <c r="Z874" s="42"/>
      <c r="AA874" s="42"/>
      <c r="AB874" s="42"/>
      <c r="AC874" s="42"/>
      <c r="AD874" s="42"/>
      <c r="AE874" s="42"/>
    </row>
    <row r="875" spans="1:31" ht="12.75" customHeight="1" x14ac:dyDescent="0.3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  <c r="N875" s="42"/>
      <c r="O875" s="42"/>
      <c r="P875" s="42"/>
      <c r="Q875" s="42"/>
      <c r="R875" s="42"/>
      <c r="S875" s="42"/>
      <c r="T875" s="42"/>
      <c r="U875" s="42"/>
      <c r="V875" s="42"/>
      <c r="W875" s="42"/>
      <c r="X875" s="42"/>
      <c r="Y875" s="42"/>
      <c r="Z875" s="42"/>
      <c r="AA875" s="42"/>
      <c r="AB875" s="42"/>
      <c r="AC875" s="42"/>
      <c r="AD875" s="42"/>
      <c r="AE875" s="42"/>
    </row>
    <row r="876" spans="1:31" ht="12.75" customHeight="1" x14ac:dyDescent="0.3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  <c r="N876" s="42"/>
      <c r="O876" s="42"/>
      <c r="P876" s="42"/>
      <c r="Q876" s="42"/>
      <c r="R876" s="42"/>
      <c r="S876" s="42"/>
      <c r="T876" s="42"/>
      <c r="U876" s="42"/>
      <c r="V876" s="42"/>
      <c r="W876" s="42"/>
      <c r="X876" s="42"/>
      <c r="Y876" s="42"/>
      <c r="Z876" s="42"/>
      <c r="AA876" s="42"/>
      <c r="AB876" s="42"/>
      <c r="AC876" s="42"/>
      <c r="AD876" s="42"/>
      <c r="AE876" s="42"/>
    </row>
    <row r="877" spans="1:31" ht="12.75" customHeight="1" x14ac:dyDescent="0.3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  <c r="N877" s="42"/>
      <c r="O877" s="42"/>
      <c r="P877" s="42"/>
      <c r="Q877" s="42"/>
      <c r="R877" s="42"/>
      <c r="S877" s="42"/>
      <c r="T877" s="42"/>
      <c r="U877" s="42"/>
      <c r="V877" s="42"/>
      <c r="W877" s="42"/>
      <c r="X877" s="42"/>
      <c r="Y877" s="42"/>
      <c r="Z877" s="42"/>
      <c r="AA877" s="42"/>
      <c r="AB877" s="42"/>
      <c r="AC877" s="42"/>
      <c r="AD877" s="42"/>
      <c r="AE877" s="42"/>
    </row>
    <row r="878" spans="1:31" ht="12.75" customHeight="1" x14ac:dyDescent="0.3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  <c r="N878" s="42"/>
      <c r="O878" s="42"/>
      <c r="P878" s="42"/>
      <c r="Q878" s="42"/>
      <c r="R878" s="42"/>
      <c r="S878" s="42"/>
      <c r="T878" s="42"/>
      <c r="U878" s="42"/>
      <c r="V878" s="42"/>
      <c r="W878" s="42"/>
      <c r="X878" s="42"/>
      <c r="Y878" s="42"/>
      <c r="Z878" s="42"/>
      <c r="AA878" s="42"/>
      <c r="AB878" s="42"/>
      <c r="AC878" s="42"/>
      <c r="AD878" s="42"/>
      <c r="AE878" s="42"/>
    </row>
    <row r="879" spans="1:31" ht="12.75" customHeight="1" x14ac:dyDescent="0.3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  <c r="N879" s="42"/>
      <c r="O879" s="42"/>
      <c r="P879" s="42"/>
      <c r="Q879" s="42"/>
      <c r="R879" s="42"/>
      <c r="S879" s="42"/>
      <c r="T879" s="42"/>
      <c r="U879" s="42"/>
      <c r="V879" s="42"/>
      <c r="W879" s="42"/>
      <c r="X879" s="42"/>
      <c r="Y879" s="42"/>
      <c r="Z879" s="42"/>
      <c r="AA879" s="42"/>
      <c r="AB879" s="42"/>
      <c r="AC879" s="42"/>
      <c r="AD879" s="42"/>
      <c r="AE879" s="42"/>
    </row>
    <row r="880" spans="1:31" ht="12.75" customHeight="1" x14ac:dyDescent="0.3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  <c r="N880" s="42"/>
      <c r="O880" s="42"/>
      <c r="P880" s="42"/>
      <c r="Q880" s="42"/>
      <c r="R880" s="42"/>
      <c r="S880" s="42"/>
      <c r="T880" s="42"/>
      <c r="U880" s="42"/>
      <c r="V880" s="42"/>
      <c r="W880" s="42"/>
      <c r="X880" s="42"/>
      <c r="Y880" s="42"/>
      <c r="Z880" s="42"/>
      <c r="AA880" s="42"/>
      <c r="AB880" s="42"/>
      <c r="AC880" s="42"/>
      <c r="AD880" s="42"/>
      <c r="AE880" s="42"/>
    </row>
    <row r="881" spans="1:31" ht="12.75" customHeight="1" x14ac:dyDescent="0.3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  <c r="N881" s="42"/>
      <c r="O881" s="42"/>
      <c r="P881" s="42"/>
      <c r="Q881" s="42"/>
      <c r="R881" s="42"/>
      <c r="S881" s="42"/>
      <c r="T881" s="42"/>
      <c r="U881" s="42"/>
      <c r="V881" s="42"/>
      <c r="W881" s="42"/>
      <c r="X881" s="42"/>
      <c r="Y881" s="42"/>
      <c r="Z881" s="42"/>
      <c r="AA881" s="42"/>
      <c r="AB881" s="42"/>
      <c r="AC881" s="42"/>
      <c r="AD881" s="42"/>
      <c r="AE881" s="42"/>
    </row>
    <row r="882" spans="1:31" ht="12.75" customHeight="1" x14ac:dyDescent="0.3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  <c r="N882" s="42"/>
      <c r="O882" s="42"/>
      <c r="P882" s="42"/>
      <c r="Q882" s="42"/>
      <c r="R882" s="42"/>
      <c r="S882" s="42"/>
      <c r="T882" s="42"/>
      <c r="U882" s="42"/>
      <c r="V882" s="42"/>
      <c r="W882" s="42"/>
      <c r="X882" s="42"/>
      <c r="Y882" s="42"/>
      <c r="Z882" s="42"/>
      <c r="AA882" s="42"/>
      <c r="AB882" s="42"/>
      <c r="AC882" s="42"/>
      <c r="AD882" s="42"/>
      <c r="AE882" s="42"/>
    </row>
    <row r="883" spans="1:31" ht="12.75" customHeight="1" x14ac:dyDescent="0.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  <c r="N883" s="42"/>
      <c r="O883" s="42"/>
      <c r="P883" s="42"/>
      <c r="Q883" s="42"/>
      <c r="R883" s="42"/>
      <c r="S883" s="42"/>
      <c r="T883" s="42"/>
      <c r="U883" s="42"/>
      <c r="V883" s="42"/>
      <c r="W883" s="42"/>
      <c r="X883" s="42"/>
      <c r="Y883" s="42"/>
      <c r="Z883" s="42"/>
      <c r="AA883" s="42"/>
      <c r="AB883" s="42"/>
      <c r="AC883" s="42"/>
      <c r="AD883" s="42"/>
      <c r="AE883" s="42"/>
    </row>
    <row r="884" spans="1:31" ht="12.75" customHeight="1" x14ac:dyDescent="0.3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  <c r="N884" s="42"/>
      <c r="O884" s="42"/>
      <c r="P884" s="42"/>
      <c r="Q884" s="42"/>
      <c r="R884" s="42"/>
      <c r="S884" s="42"/>
      <c r="T884" s="42"/>
      <c r="U884" s="42"/>
      <c r="V884" s="42"/>
      <c r="W884" s="42"/>
      <c r="X884" s="42"/>
      <c r="Y884" s="42"/>
      <c r="Z884" s="42"/>
      <c r="AA884" s="42"/>
      <c r="AB884" s="42"/>
      <c r="AC884" s="42"/>
      <c r="AD884" s="42"/>
      <c r="AE884" s="42"/>
    </row>
    <row r="885" spans="1:31" ht="12.75" customHeight="1" x14ac:dyDescent="0.3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  <c r="N885" s="42"/>
      <c r="O885" s="42"/>
      <c r="P885" s="42"/>
      <c r="Q885" s="42"/>
      <c r="R885" s="42"/>
      <c r="S885" s="42"/>
      <c r="T885" s="42"/>
      <c r="U885" s="42"/>
      <c r="V885" s="42"/>
      <c r="W885" s="42"/>
      <c r="X885" s="42"/>
      <c r="Y885" s="42"/>
      <c r="Z885" s="42"/>
      <c r="AA885" s="42"/>
      <c r="AB885" s="42"/>
      <c r="AC885" s="42"/>
      <c r="AD885" s="42"/>
      <c r="AE885" s="42"/>
    </row>
    <row r="886" spans="1:31" ht="12.75" customHeight="1" x14ac:dyDescent="0.3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  <c r="N886" s="42"/>
      <c r="O886" s="42"/>
      <c r="P886" s="42"/>
      <c r="Q886" s="42"/>
      <c r="R886" s="42"/>
      <c r="S886" s="42"/>
      <c r="T886" s="42"/>
      <c r="U886" s="42"/>
      <c r="V886" s="42"/>
      <c r="W886" s="42"/>
      <c r="X886" s="42"/>
      <c r="Y886" s="42"/>
      <c r="Z886" s="42"/>
      <c r="AA886" s="42"/>
      <c r="AB886" s="42"/>
      <c r="AC886" s="42"/>
      <c r="AD886" s="42"/>
      <c r="AE886" s="42"/>
    </row>
    <row r="887" spans="1:31" ht="12.75" customHeight="1" x14ac:dyDescent="0.3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  <c r="N887" s="42"/>
      <c r="O887" s="42"/>
      <c r="P887" s="42"/>
      <c r="Q887" s="42"/>
      <c r="R887" s="42"/>
      <c r="S887" s="42"/>
      <c r="T887" s="42"/>
      <c r="U887" s="42"/>
      <c r="V887" s="42"/>
      <c r="W887" s="42"/>
      <c r="X887" s="42"/>
      <c r="Y887" s="42"/>
      <c r="Z887" s="42"/>
      <c r="AA887" s="42"/>
      <c r="AB887" s="42"/>
      <c r="AC887" s="42"/>
      <c r="AD887" s="42"/>
      <c r="AE887" s="42"/>
    </row>
    <row r="888" spans="1:31" ht="12.75" customHeight="1" x14ac:dyDescent="0.3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  <c r="N888" s="42"/>
      <c r="O888" s="42"/>
      <c r="P888" s="42"/>
      <c r="Q888" s="42"/>
      <c r="R888" s="42"/>
      <c r="S888" s="42"/>
      <c r="T888" s="42"/>
      <c r="U888" s="42"/>
      <c r="V888" s="42"/>
      <c r="W888" s="42"/>
      <c r="X888" s="42"/>
      <c r="Y888" s="42"/>
      <c r="Z888" s="42"/>
      <c r="AA888" s="42"/>
      <c r="AB888" s="42"/>
      <c r="AC888" s="42"/>
      <c r="AD888" s="42"/>
      <c r="AE888" s="42"/>
    </row>
    <row r="889" spans="1:31" ht="12.75" customHeight="1" x14ac:dyDescent="0.3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  <c r="N889" s="42"/>
      <c r="O889" s="42"/>
      <c r="P889" s="42"/>
      <c r="Q889" s="42"/>
      <c r="R889" s="42"/>
      <c r="S889" s="42"/>
      <c r="T889" s="42"/>
      <c r="U889" s="42"/>
      <c r="V889" s="42"/>
      <c r="W889" s="42"/>
      <c r="X889" s="42"/>
      <c r="Y889" s="42"/>
      <c r="Z889" s="42"/>
      <c r="AA889" s="42"/>
      <c r="AB889" s="42"/>
      <c r="AC889" s="42"/>
      <c r="AD889" s="42"/>
      <c r="AE889" s="42"/>
    </row>
    <row r="890" spans="1:31" ht="12.75" customHeight="1" x14ac:dyDescent="0.3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  <c r="N890" s="42"/>
      <c r="O890" s="42"/>
      <c r="P890" s="42"/>
      <c r="Q890" s="42"/>
      <c r="R890" s="42"/>
      <c r="S890" s="42"/>
      <c r="T890" s="42"/>
      <c r="U890" s="42"/>
      <c r="V890" s="42"/>
      <c r="W890" s="42"/>
      <c r="X890" s="42"/>
      <c r="Y890" s="42"/>
      <c r="Z890" s="42"/>
      <c r="AA890" s="42"/>
      <c r="AB890" s="42"/>
      <c r="AC890" s="42"/>
      <c r="AD890" s="42"/>
      <c r="AE890" s="42"/>
    </row>
    <row r="891" spans="1:31" ht="12.75" customHeight="1" x14ac:dyDescent="0.3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  <c r="N891" s="42"/>
      <c r="O891" s="42"/>
      <c r="P891" s="42"/>
      <c r="Q891" s="42"/>
      <c r="R891" s="42"/>
      <c r="S891" s="42"/>
      <c r="T891" s="42"/>
      <c r="U891" s="42"/>
      <c r="V891" s="42"/>
      <c r="W891" s="42"/>
      <c r="X891" s="42"/>
      <c r="Y891" s="42"/>
      <c r="Z891" s="42"/>
      <c r="AA891" s="42"/>
      <c r="AB891" s="42"/>
      <c r="AC891" s="42"/>
      <c r="AD891" s="42"/>
      <c r="AE891" s="42"/>
    </row>
    <row r="892" spans="1:31" ht="12.75" customHeight="1" x14ac:dyDescent="0.3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  <c r="N892" s="42"/>
      <c r="O892" s="42"/>
      <c r="P892" s="42"/>
      <c r="Q892" s="42"/>
      <c r="R892" s="42"/>
      <c r="S892" s="42"/>
      <c r="T892" s="42"/>
      <c r="U892" s="42"/>
      <c r="V892" s="42"/>
      <c r="W892" s="42"/>
      <c r="X892" s="42"/>
      <c r="Y892" s="42"/>
      <c r="Z892" s="42"/>
      <c r="AA892" s="42"/>
      <c r="AB892" s="42"/>
      <c r="AC892" s="42"/>
      <c r="AD892" s="42"/>
      <c r="AE892" s="42"/>
    </row>
    <row r="893" spans="1:31" ht="12.75" customHeight="1" x14ac:dyDescent="0.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  <c r="N893" s="42"/>
      <c r="O893" s="42"/>
      <c r="P893" s="42"/>
      <c r="Q893" s="42"/>
      <c r="R893" s="42"/>
      <c r="S893" s="42"/>
      <c r="T893" s="42"/>
      <c r="U893" s="42"/>
      <c r="V893" s="42"/>
      <c r="W893" s="42"/>
      <c r="X893" s="42"/>
      <c r="Y893" s="42"/>
      <c r="Z893" s="42"/>
      <c r="AA893" s="42"/>
      <c r="AB893" s="42"/>
      <c r="AC893" s="42"/>
      <c r="AD893" s="42"/>
      <c r="AE893" s="42"/>
    </row>
    <row r="894" spans="1:31" ht="12.75" customHeight="1" x14ac:dyDescent="0.3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  <c r="N894" s="42"/>
      <c r="O894" s="42"/>
      <c r="P894" s="42"/>
      <c r="Q894" s="42"/>
      <c r="R894" s="42"/>
      <c r="S894" s="42"/>
      <c r="T894" s="42"/>
      <c r="U894" s="42"/>
      <c r="V894" s="42"/>
      <c r="W894" s="42"/>
      <c r="X894" s="42"/>
      <c r="Y894" s="42"/>
      <c r="Z894" s="42"/>
      <c r="AA894" s="42"/>
      <c r="AB894" s="42"/>
      <c r="AC894" s="42"/>
      <c r="AD894" s="42"/>
      <c r="AE894" s="42"/>
    </row>
    <row r="895" spans="1:31" ht="12.75" customHeight="1" x14ac:dyDescent="0.3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  <c r="N895" s="42"/>
      <c r="O895" s="42"/>
      <c r="P895" s="42"/>
      <c r="Q895" s="42"/>
      <c r="R895" s="42"/>
      <c r="S895" s="42"/>
      <c r="T895" s="42"/>
      <c r="U895" s="42"/>
      <c r="V895" s="42"/>
      <c r="W895" s="42"/>
      <c r="X895" s="42"/>
      <c r="Y895" s="42"/>
      <c r="Z895" s="42"/>
      <c r="AA895" s="42"/>
      <c r="AB895" s="42"/>
      <c r="AC895" s="42"/>
      <c r="AD895" s="42"/>
      <c r="AE895" s="42"/>
    </row>
    <row r="896" spans="1:31" ht="12.75" customHeight="1" x14ac:dyDescent="0.3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  <c r="N896" s="42"/>
      <c r="O896" s="42"/>
      <c r="P896" s="42"/>
      <c r="Q896" s="42"/>
      <c r="R896" s="42"/>
      <c r="S896" s="42"/>
      <c r="T896" s="42"/>
      <c r="U896" s="42"/>
      <c r="V896" s="42"/>
      <c r="W896" s="42"/>
      <c r="X896" s="42"/>
      <c r="Y896" s="42"/>
      <c r="Z896" s="42"/>
      <c r="AA896" s="42"/>
      <c r="AB896" s="42"/>
      <c r="AC896" s="42"/>
      <c r="AD896" s="42"/>
      <c r="AE896" s="42"/>
    </row>
    <row r="897" spans="1:31" ht="12.75" customHeight="1" x14ac:dyDescent="0.3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  <c r="N897" s="42"/>
      <c r="O897" s="42"/>
      <c r="P897" s="42"/>
      <c r="Q897" s="42"/>
      <c r="R897" s="42"/>
      <c r="S897" s="42"/>
      <c r="T897" s="42"/>
      <c r="U897" s="42"/>
      <c r="V897" s="42"/>
      <c r="W897" s="42"/>
      <c r="X897" s="42"/>
      <c r="Y897" s="42"/>
      <c r="Z897" s="42"/>
      <c r="AA897" s="42"/>
      <c r="AB897" s="42"/>
      <c r="AC897" s="42"/>
      <c r="AD897" s="42"/>
      <c r="AE897" s="42"/>
    </row>
    <row r="898" spans="1:31" ht="12.75" customHeight="1" x14ac:dyDescent="0.3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  <c r="N898" s="42"/>
      <c r="O898" s="42"/>
      <c r="P898" s="42"/>
      <c r="Q898" s="42"/>
      <c r="R898" s="42"/>
      <c r="S898" s="42"/>
      <c r="T898" s="42"/>
      <c r="U898" s="42"/>
      <c r="V898" s="42"/>
      <c r="W898" s="42"/>
      <c r="X898" s="42"/>
      <c r="Y898" s="42"/>
      <c r="Z898" s="42"/>
      <c r="AA898" s="42"/>
      <c r="AB898" s="42"/>
      <c r="AC898" s="42"/>
      <c r="AD898" s="42"/>
      <c r="AE898" s="42"/>
    </row>
    <row r="899" spans="1:31" ht="12.75" customHeight="1" x14ac:dyDescent="0.3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  <c r="N899" s="42"/>
      <c r="O899" s="42"/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</row>
    <row r="900" spans="1:31" ht="12.75" customHeight="1" x14ac:dyDescent="0.3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  <c r="N900" s="42"/>
      <c r="O900" s="42"/>
      <c r="P900" s="42"/>
      <c r="Q900" s="42"/>
      <c r="R900" s="42"/>
      <c r="S900" s="42"/>
      <c r="T900" s="42"/>
      <c r="U900" s="42"/>
      <c r="V900" s="42"/>
      <c r="W900" s="42"/>
      <c r="X900" s="42"/>
      <c r="Y900" s="42"/>
      <c r="Z900" s="42"/>
      <c r="AA900" s="42"/>
      <c r="AB900" s="42"/>
      <c r="AC900" s="42"/>
      <c r="AD900" s="42"/>
      <c r="AE900" s="42"/>
    </row>
    <row r="901" spans="1:31" ht="12.75" customHeight="1" x14ac:dyDescent="0.3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  <c r="N901" s="42"/>
      <c r="O901" s="42"/>
      <c r="P901" s="42"/>
      <c r="Q901" s="42"/>
      <c r="R901" s="42"/>
      <c r="S901" s="42"/>
      <c r="T901" s="42"/>
      <c r="U901" s="42"/>
      <c r="V901" s="42"/>
      <c r="W901" s="42"/>
      <c r="X901" s="42"/>
      <c r="Y901" s="42"/>
      <c r="Z901" s="42"/>
      <c r="AA901" s="42"/>
      <c r="AB901" s="42"/>
      <c r="AC901" s="42"/>
      <c r="AD901" s="42"/>
      <c r="AE901" s="42"/>
    </row>
    <row r="902" spans="1:31" ht="12.75" customHeight="1" x14ac:dyDescent="0.3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  <c r="N902" s="42"/>
      <c r="O902" s="42"/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</row>
    <row r="903" spans="1:31" ht="12.75" customHeight="1" x14ac:dyDescent="0.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  <c r="N903" s="42"/>
      <c r="O903" s="42"/>
      <c r="P903" s="42"/>
      <c r="Q903" s="42"/>
      <c r="R903" s="42"/>
      <c r="S903" s="42"/>
      <c r="T903" s="42"/>
      <c r="U903" s="42"/>
      <c r="V903" s="42"/>
      <c r="W903" s="42"/>
      <c r="X903" s="42"/>
      <c r="Y903" s="42"/>
      <c r="Z903" s="42"/>
      <c r="AA903" s="42"/>
      <c r="AB903" s="42"/>
      <c r="AC903" s="42"/>
      <c r="AD903" s="42"/>
      <c r="AE903" s="42"/>
    </row>
    <row r="904" spans="1:31" ht="12.75" customHeight="1" x14ac:dyDescent="0.3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  <c r="N904" s="42"/>
      <c r="O904" s="42"/>
      <c r="P904" s="42"/>
      <c r="Q904" s="42"/>
      <c r="R904" s="42"/>
      <c r="S904" s="42"/>
      <c r="T904" s="42"/>
      <c r="U904" s="42"/>
      <c r="V904" s="42"/>
      <c r="W904" s="42"/>
      <c r="X904" s="42"/>
      <c r="Y904" s="42"/>
      <c r="Z904" s="42"/>
      <c r="AA904" s="42"/>
      <c r="AB904" s="42"/>
      <c r="AC904" s="42"/>
      <c r="AD904" s="42"/>
      <c r="AE904" s="42"/>
    </row>
    <row r="905" spans="1:31" ht="12.75" customHeight="1" x14ac:dyDescent="0.3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  <c r="N905" s="42"/>
      <c r="O905" s="42"/>
      <c r="P905" s="42"/>
      <c r="Q905" s="42"/>
      <c r="R905" s="42"/>
      <c r="S905" s="42"/>
      <c r="T905" s="42"/>
      <c r="U905" s="42"/>
      <c r="V905" s="42"/>
      <c r="W905" s="42"/>
      <c r="X905" s="42"/>
      <c r="Y905" s="42"/>
      <c r="Z905" s="42"/>
      <c r="AA905" s="42"/>
      <c r="AB905" s="42"/>
      <c r="AC905" s="42"/>
      <c r="AD905" s="42"/>
      <c r="AE905" s="42"/>
    </row>
    <row r="906" spans="1:31" ht="12.75" customHeight="1" x14ac:dyDescent="0.3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  <c r="N906" s="42"/>
      <c r="O906" s="42"/>
      <c r="P906" s="42"/>
      <c r="Q906" s="42"/>
      <c r="R906" s="42"/>
      <c r="S906" s="42"/>
      <c r="T906" s="42"/>
      <c r="U906" s="42"/>
      <c r="V906" s="42"/>
      <c r="W906" s="42"/>
      <c r="X906" s="42"/>
      <c r="Y906" s="42"/>
      <c r="Z906" s="42"/>
      <c r="AA906" s="42"/>
      <c r="AB906" s="42"/>
      <c r="AC906" s="42"/>
      <c r="AD906" s="42"/>
      <c r="AE906" s="42"/>
    </row>
    <row r="907" spans="1:31" ht="12.75" customHeight="1" x14ac:dyDescent="0.3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  <c r="N907" s="42"/>
      <c r="O907" s="42"/>
      <c r="P907" s="42"/>
      <c r="Q907" s="42"/>
      <c r="R907" s="42"/>
      <c r="S907" s="42"/>
      <c r="T907" s="42"/>
      <c r="U907" s="42"/>
      <c r="V907" s="42"/>
      <c r="W907" s="42"/>
      <c r="X907" s="42"/>
      <c r="Y907" s="42"/>
      <c r="Z907" s="42"/>
      <c r="AA907" s="42"/>
      <c r="AB907" s="42"/>
      <c r="AC907" s="42"/>
      <c r="AD907" s="42"/>
      <c r="AE907" s="42"/>
    </row>
    <row r="908" spans="1:31" ht="12.75" customHeight="1" x14ac:dyDescent="0.3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  <c r="N908" s="42"/>
      <c r="O908" s="42"/>
      <c r="P908" s="42"/>
      <c r="Q908" s="42"/>
      <c r="R908" s="42"/>
      <c r="S908" s="42"/>
      <c r="T908" s="42"/>
      <c r="U908" s="42"/>
      <c r="V908" s="42"/>
      <c r="W908" s="42"/>
      <c r="X908" s="42"/>
      <c r="Y908" s="42"/>
      <c r="Z908" s="42"/>
      <c r="AA908" s="42"/>
      <c r="AB908" s="42"/>
      <c r="AC908" s="42"/>
      <c r="AD908" s="42"/>
      <c r="AE908" s="42"/>
    </row>
    <row r="909" spans="1:31" ht="12.75" customHeight="1" x14ac:dyDescent="0.3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  <c r="N909" s="42"/>
      <c r="O909" s="42"/>
      <c r="P909" s="42"/>
      <c r="Q909" s="42"/>
      <c r="R909" s="42"/>
      <c r="S909" s="42"/>
      <c r="T909" s="42"/>
      <c r="U909" s="42"/>
      <c r="V909" s="42"/>
      <c r="W909" s="42"/>
      <c r="X909" s="42"/>
      <c r="Y909" s="42"/>
      <c r="Z909" s="42"/>
      <c r="AA909" s="42"/>
      <c r="AB909" s="42"/>
      <c r="AC909" s="42"/>
      <c r="AD909" s="42"/>
      <c r="AE909" s="42"/>
    </row>
    <row r="910" spans="1:31" ht="12.75" customHeight="1" x14ac:dyDescent="0.3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  <c r="N910" s="42"/>
      <c r="O910" s="42"/>
      <c r="P910" s="42"/>
      <c r="Q910" s="42"/>
      <c r="R910" s="42"/>
      <c r="S910" s="42"/>
      <c r="T910" s="42"/>
      <c r="U910" s="42"/>
      <c r="V910" s="42"/>
      <c r="W910" s="42"/>
      <c r="X910" s="42"/>
      <c r="Y910" s="42"/>
      <c r="Z910" s="42"/>
      <c r="AA910" s="42"/>
      <c r="AB910" s="42"/>
      <c r="AC910" s="42"/>
      <c r="AD910" s="42"/>
      <c r="AE910" s="42"/>
    </row>
    <row r="911" spans="1:31" ht="12.75" customHeight="1" x14ac:dyDescent="0.3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  <c r="N911" s="42"/>
      <c r="O911" s="42"/>
      <c r="P911" s="42"/>
      <c r="Q911" s="42"/>
      <c r="R911" s="42"/>
      <c r="S911" s="42"/>
      <c r="T911" s="42"/>
      <c r="U911" s="42"/>
      <c r="V911" s="42"/>
      <c r="W911" s="42"/>
      <c r="X911" s="42"/>
      <c r="Y911" s="42"/>
      <c r="Z911" s="42"/>
      <c r="AA911" s="42"/>
      <c r="AB911" s="42"/>
      <c r="AC911" s="42"/>
      <c r="AD911" s="42"/>
      <c r="AE911" s="42"/>
    </row>
    <row r="912" spans="1:31" ht="12.75" customHeight="1" x14ac:dyDescent="0.3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  <c r="N912" s="42"/>
      <c r="O912" s="42"/>
      <c r="P912" s="42"/>
      <c r="Q912" s="42"/>
      <c r="R912" s="42"/>
      <c r="S912" s="42"/>
      <c r="T912" s="42"/>
      <c r="U912" s="42"/>
      <c r="V912" s="42"/>
      <c r="W912" s="42"/>
      <c r="X912" s="42"/>
      <c r="Y912" s="42"/>
      <c r="Z912" s="42"/>
      <c r="AA912" s="42"/>
      <c r="AB912" s="42"/>
      <c r="AC912" s="42"/>
      <c r="AD912" s="42"/>
      <c r="AE912" s="42"/>
    </row>
    <row r="913" spans="1:31" ht="12.75" customHeight="1" x14ac:dyDescent="0.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  <c r="N913" s="42"/>
      <c r="O913" s="42"/>
      <c r="P913" s="42"/>
      <c r="Q913" s="42"/>
      <c r="R913" s="42"/>
      <c r="S913" s="42"/>
      <c r="T913" s="42"/>
      <c r="U913" s="42"/>
      <c r="V913" s="42"/>
      <c r="W913" s="42"/>
      <c r="X913" s="42"/>
      <c r="Y913" s="42"/>
      <c r="Z913" s="42"/>
      <c r="AA913" s="42"/>
      <c r="AB913" s="42"/>
      <c r="AC913" s="42"/>
      <c r="AD913" s="42"/>
      <c r="AE913" s="42"/>
    </row>
    <row r="914" spans="1:31" ht="12.75" customHeight="1" x14ac:dyDescent="0.3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  <c r="N914" s="42"/>
      <c r="O914" s="42"/>
      <c r="P914" s="42"/>
      <c r="Q914" s="42"/>
      <c r="R914" s="42"/>
      <c r="S914" s="42"/>
      <c r="T914" s="42"/>
      <c r="U914" s="42"/>
      <c r="V914" s="42"/>
      <c r="W914" s="42"/>
      <c r="X914" s="42"/>
      <c r="Y914" s="42"/>
      <c r="Z914" s="42"/>
      <c r="AA914" s="42"/>
      <c r="AB914" s="42"/>
      <c r="AC914" s="42"/>
      <c r="AD914" s="42"/>
      <c r="AE914" s="42"/>
    </row>
    <row r="915" spans="1:31" ht="12.75" customHeight="1" x14ac:dyDescent="0.3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  <c r="N915" s="42"/>
      <c r="O915" s="42"/>
      <c r="P915" s="42"/>
      <c r="Q915" s="42"/>
      <c r="R915" s="42"/>
      <c r="S915" s="42"/>
      <c r="T915" s="42"/>
      <c r="U915" s="42"/>
      <c r="V915" s="42"/>
      <c r="W915" s="42"/>
      <c r="X915" s="42"/>
      <c r="Y915" s="42"/>
      <c r="Z915" s="42"/>
      <c r="AA915" s="42"/>
      <c r="AB915" s="42"/>
      <c r="AC915" s="42"/>
      <c r="AD915" s="42"/>
      <c r="AE915" s="42"/>
    </row>
    <row r="916" spans="1:31" ht="12.75" customHeight="1" x14ac:dyDescent="0.3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  <c r="N916" s="42"/>
      <c r="O916" s="42"/>
      <c r="P916" s="42"/>
      <c r="Q916" s="42"/>
      <c r="R916" s="42"/>
      <c r="S916" s="42"/>
      <c r="T916" s="42"/>
      <c r="U916" s="42"/>
      <c r="V916" s="42"/>
      <c r="W916" s="42"/>
      <c r="X916" s="42"/>
      <c r="Y916" s="42"/>
      <c r="Z916" s="42"/>
      <c r="AA916" s="42"/>
      <c r="AB916" s="42"/>
      <c r="AC916" s="42"/>
      <c r="AD916" s="42"/>
      <c r="AE916" s="42"/>
    </row>
    <row r="917" spans="1:31" ht="12.75" customHeight="1" x14ac:dyDescent="0.3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  <c r="N917" s="42"/>
      <c r="O917" s="42"/>
      <c r="P917" s="42"/>
      <c r="Q917" s="42"/>
      <c r="R917" s="42"/>
      <c r="S917" s="42"/>
      <c r="T917" s="42"/>
      <c r="U917" s="42"/>
      <c r="V917" s="42"/>
      <c r="W917" s="42"/>
      <c r="X917" s="42"/>
      <c r="Y917" s="42"/>
      <c r="Z917" s="42"/>
      <c r="AA917" s="42"/>
      <c r="AB917" s="42"/>
      <c r="AC917" s="42"/>
      <c r="AD917" s="42"/>
      <c r="AE917" s="42"/>
    </row>
    <row r="918" spans="1:31" ht="12.75" customHeight="1" x14ac:dyDescent="0.3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  <c r="N918" s="42"/>
      <c r="O918" s="42"/>
      <c r="P918" s="42"/>
      <c r="Q918" s="42"/>
      <c r="R918" s="42"/>
      <c r="S918" s="42"/>
      <c r="T918" s="42"/>
      <c r="U918" s="42"/>
      <c r="V918" s="42"/>
      <c r="W918" s="42"/>
      <c r="X918" s="42"/>
      <c r="Y918" s="42"/>
      <c r="Z918" s="42"/>
      <c r="AA918" s="42"/>
      <c r="AB918" s="42"/>
      <c r="AC918" s="42"/>
      <c r="AD918" s="42"/>
      <c r="AE918" s="42"/>
    </row>
    <row r="919" spans="1:31" ht="12.75" customHeight="1" x14ac:dyDescent="0.3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  <c r="N919" s="42"/>
      <c r="O919" s="42"/>
      <c r="P919" s="42"/>
      <c r="Q919" s="42"/>
      <c r="R919" s="42"/>
      <c r="S919" s="42"/>
      <c r="T919" s="42"/>
      <c r="U919" s="42"/>
      <c r="V919" s="42"/>
      <c r="W919" s="42"/>
      <c r="X919" s="42"/>
      <c r="Y919" s="42"/>
      <c r="Z919" s="42"/>
      <c r="AA919" s="42"/>
      <c r="AB919" s="42"/>
      <c r="AC919" s="42"/>
      <c r="AD919" s="42"/>
      <c r="AE919" s="42"/>
    </row>
    <row r="920" spans="1:31" ht="12.75" customHeight="1" x14ac:dyDescent="0.3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  <c r="N920" s="42"/>
      <c r="O920" s="42"/>
      <c r="P920" s="42"/>
      <c r="Q920" s="42"/>
      <c r="R920" s="42"/>
      <c r="S920" s="42"/>
      <c r="T920" s="42"/>
      <c r="U920" s="42"/>
      <c r="V920" s="42"/>
      <c r="W920" s="42"/>
      <c r="X920" s="42"/>
      <c r="Y920" s="42"/>
      <c r="Z920" s="42"/>
      <c r="AA920" s="42"/>
      <c r="AB920" s="42"/>
      <c r="AC920" s="42"/>
      <c r="AD920" s="42"/>
      <c r="AE920" s="42"/>
    </row>
    <row r="921" spans="1:31" ht="12.75" customHeight="1" x14ac:dyDescent="0.3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  <c r="N921" s="42"/>
      <c r="O921" s="42"/>
      <c r="P921" s="42"/>
      <c r="Q921" s="42"/>
      <c r="R921" s="42"/>
      <c r="S921" s="42"/>
      <c r="T921" s="42"/>
      <c r="U921" s="42"/>
      <c r="V921" s="42"/>
      <c r="W921" s="42"/>
      <c r="X921" s="42"/>
      <c r="Y921" s="42"/>
      <c r="Z921" s="42"/>
      <c r="AA921" s="42"/>
      <c r="AB921" s="42"/>
      <c r="AC921" s="42"/>
      <c r="AD921" s="42"/>
      <c r="AE921" s="42"/>
    </row>
    <row r="922" spans="1:31" ht="12.75" customHeight="1" x14ac:dyDescent="0.3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  <c r="N922" s="42"/>
      <c r="O922" s="42"/>
      <c r="P922" s="42"/>
      <c r="Q922" s="42"/>
      <c r="R922" s="42"/>
      <c r="S922" s="42"/>
      <c r="T922" s="42"/>
      <c r="U922" s="42"/>
      <c r="V922" s="42"/>
      <c r="W922" s="42"/>
      <c r="X922" s="42"/>
      <c r="Y922" s="42"/>
      <c r="Z922" s="42"/>
      <c r="AA922" s="42"/>
      <c r="AB922" s="42"/>
      <c r="AC922" s="42"/>
      <c r="AD922" s="42"/>
      <c r="AE922" s="42"/>
    </row>
    <row r="923" spans="1:31" ht="12.75" customHeight="1" x14ac:dyDescent="0.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  <c r="N923" s="42"/>
      <c r="O923" s="42"/>
      <c r="P923" s="42"/>
      <c r="Q923" s="42"/>
      <c r="R923" s="42"/>
      <c r="S923" s="42"/>
      <c r="T923" s="42"/>
      <c r="U923" s="42"/>
      <c r="V923" s="42"/>
      <c r="W923" s="42"/>
      <c r="X923" s="42"/>
      <c r="Y923" s="42"/>
      <c r="Z923" s="42"/>
      <c r="AA923" s="42"/>
      <c r="AB923" s="42"/>
      <c r="AC923" s="42"/>
      <c r="AD923" s="42"/>
      <c r="AE923" s="42"/>
    </row>
    <row r="924" spans="1:31" ht="12.75" customHeight="1" x14ac:dyDescent="0.3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  <c r="N924" s="42"/>
      <c r="O924" s="42"/>
      <c r="P924" s="42"/>
      <c r="Q924" s="42"/>
      <c r="R924" s="42"/>
      <c r="S924" s="42"/>
      <c r="T924" s="42"/>
      <c r="U924" s="42"/>
      <c r="V924" s="42"/>
      <c r="W924" s="42"/>
      <c r="X924" s="42"/>
      <c r="Y924" s="42"/>
      <c r="Z924" s="42"/>
      <c r="AA924" s="42"/>
      <c r="AB924" s="42"/>
      <c r="AC924" s="42"/>
      <c r="AD924" s="42"/>
      <c r="AE924" s="42"/>
    </row>
    <row r="925" spans="1:31" ht="12.75" customHeight="1" x14ac:dyDescent="0.3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  <c r="N925" s="42"/>
      <c r="O925" s="42"/>
      <c r="P925" s="42"/>
      <c r="Q925" s="42"/>
      <c r="R925" s="42"/>
      <c r="S925" s="42"/>
      <c r="T925" s="42"/>
      <c r="U925" s="42"/>
      <c r="V925" s="42"/>
      <c r="W925" s="42"/>
      <c r="X925" s="42"/>
      <c r="Y925" s="42"/>
      <c r="Z925" s="42"/>
      <c r="AA925" s="42"/>
      <c r="AB925" s="42"/>
      <c r="AC925" s="42"/>
      <c r="AD925" s="42"/>
      <c r="AE925" s="42"/>
    </row>
    <row r="926" spans="1:31" ht="12.75" customHeight="1" x14ac:dyDescent="0.3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  <c r="N926" s="42"/>
      <c r="O926" s="42"/>
      <c r="P926" s="42"/>
      <c r="Q926" s="42"/>
      <c r="R926" s="42"/>
      <c r="S926" s="42"/>
      <c r="T926" s="42"/>
      <c r="U926" s="42"/>
      <c r="V926" s="42"/>
      <c r="W926" s="42"/>
      <c r="X926" s="42"/>
      <c r="Y926" s="42"/>
      <c r="Z926" s="42"/>
      <c r="AA926" s="42"/>
      <c r="AB926" s="42"/>
      <c r="AC926" s="42"/>
      <c r="AD926" s="42"/>
      <c r="AE926" s="42"/>
    </row>
    <row r="927" spans="1:31" ht="12.75" customHeight="1" x14ac:dyDescent="0.3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  <c r="N927" s="42"/>
      <c r="O927" s="42"/>
      <c r="P927" s="42"/>
      <c r="Q927" s="42"/>
      <c r="R927" s="42"/>
      <c r="S927" s="42"/>
      <c r="T927" s="42"/>
      <c r="U927" s="42"/>
      <c r="V927" s="42"/>
      <c r="W927" s="42"/>
      <c r="X927" s="42"/>
      <c r="Y927" s="42"/>
      <c r="Z927" s="42"/>
      <c r="AA927" s="42"/>
      <c r="AB927" s="42"/>
      <c r="AC927" s="42"/>
      <c r="AD927" s="42"/>
      <c r="AE927" s="42"/>
    </row>
    <row r="928" spans="1:31" ht="12.75" customHeight="1" x14ac:dyDescent="0.3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  <c r="N928" s="42"/>
      <c r="O928" s="42"/>
      <c r="P928" s="42"/>
      <c r="Q928" s="42"/>
      <c r="R928" s="42"/>
      <c r="S928" s="42"/>
      <c r="T928" s="42"/>
      <c r="U928" s="42"/>
      <c r="V928" s="42"/>
      <c r="W928" s="42"/>
      <c r="X928" s="42"/>
      <c r="Y928" s="42"/>
      <c r="Z928" s="42"/>
      <c r="AA928" s="42"/>
      <c r="AB928" s="42"/>
      <c r="AC928" s="42"/>
      <c r="AD928" s="42"/>
      <c r="AE928" s="42"/>
    </row>
    <row r="929" spans="1:31" ht="12.75" customHeight="1" x14ac:dyDescent="0.3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  <c r="N929" s="42"/>
      <c r="O929" s="42"/>
      <c r="P929" s="42"/>
      <c r="Q929" s="42"/>
      <c r="R929" s="42"/>
      <c r="S929" s="42"/>
      <c r="T929" s="42"/>
      <c r="U929" s="42"/>
      <c r="V929" s="42"/>
      <c r="W929" s="42"/>
      <c r="X929" s="42"/>
      <c r="Y929" s="42"/>
      <c r="Z929" s="42"/>
      <c r="AA929" s="42"/>
      <c r="AB929" s="42"/>
      <c r="AC929" s="42"/>
      <c r="AD929" s="42"/>
      <c r="AE929" s="42"/>
    </row>
    <row r="930" spans="1:31" ht="12.75" customHeight="1" x14ac:dyDescent="0.3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  <c r="N930" s="42"/>
      <c r="O930" s="42"/>
      <c r="P930" s="42"/>
      <c r="Q930" s="42"/>
      <c r="R930" s="42"/>
      <c r="S930" s="42"/>
      <c r="T930" s="42"/>
      <c r="U930" s="42"/>
      <c r="V930" s="42"/>
      <c r="W930" s="42"/>
      <c r="X930" s="42"/>
      <c r="Y930" s="42"/>
      <c r="Z930" s="42"/>
      <c r="AA930" s="42"/>
      <c r="AB930" s="42"/>
      <c r="AC930" s="42"/>
      <c r="AD930" s="42"/>
      <c r="AE930" s="42"/>
    </row>
    <row r="931" spans="1:31" ht="12.75" customHeight="1" x14ac:dyDescent="0.3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  <c r="N931" s="42"/>
      <c r="O931" s="42"/>
      <c r="P931" s="42"/>
      <c r="Q931" s="42"/>
      <c r="R931" s="42"/>
      <c r="S931" s="42"/>
      <c r="T931" s="42"/>
      <c r="U931" s="42"/>
      <c r="V931" s="42"/>
      <c r="W931" s="42"/>
      <c r="X931" s="42"/>
      <c r="Y931" s="42"/>
      <c r="Z931" s="42"/>
      <c r="AA931" s="42"/>
      <c r="AB931" s="42"/>
      <c r="AC931" s="42"/>
      <c r="AD931" s="42"/>
      <c r="AE931" s="42"/>
    </row>
    <row r="932" spans="1:31" ht="12.75" customHeight="1" x14ac:dyDescent="0.3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  <c r="N932" s="42"/>
      <c r="O932" s="42"/>
      <c r="P932" s="42"/>
      <c r="Q932" s="42"/>
      <c r="R932" s="42"/>
      <c r="S932" s="42"/>
      <c r="T932" s="42"/>
      <c r="U932" s="42"/>
      <c r="V932" s="42"/>
      <c r="W932" s="42"/>
      <c r="X932" s="42"/>
      <c r="Y932" s="42"/>
      <c r="Z932" s="42"/>
      <c r="AA932" s="42"/>
      <c r="AB932" s="42"/>
      <c r="AC932" s="42"/>
      <c r="AD932" s="42"/>
      <c r="AE932" s="42"/>
    </row>
    <row r="933" spans="1:31" ht="12.75" customHeight="1" x14ac:dyDescent="0.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  <c r="N933" s="42"/>
      <c r="O933" s="42"/>
      <c r="P933" s="42"/>
      <c r="Q933" s="42"/>
      <c r="R933" s="42"/>
      <c r="S933" s="42"/>
      <c r="T933" s="42"/>
      <c r="U933" s="42"/>
      <c r="V933" s="42"/>
      <c r="W933" s="42"/>
      <c r="X933" s="42"/>
      <c r="Y933" s="42"/>
      <c r="Z933" s="42"/>
      <c r="AA933" s="42"/>
      <c r="AB933" s="42"/>
      <c r="AC933" s="42"/>
      <c r="AD933" s="42"/>
      <c r="AE933" s="42"/>
    </row>
    <row r="934" spans="1:31" ht="12.75" customHeight="1" x14ac:dyDescent="0.3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  <c r="N934" s="42"/>
      <c r="O934" s="42"/>
      <c r="P934" s="42"/>
      <c r="Q934" s="42"/>
      <c r="R934" s="42"/>
      <c r="S934" s="42"/>
      <c r="T934" s="42"/>
      <c r="U934" s="42"/>
      <c r="V934" s="42"/>
      <c r="W934" s="42"/>
      <c r="X934" s="42"/>
      <c r="Y934" s="42"/>
      <c r="Z934" s="42"/>
      <c r="AA934" s="42"/>
      <c r="AB934" s="42"/>
      <c r="AC934" s="42"/>
      <c r="AD934" s="42"/>
      <c r="AE934" s="42"/>
    </row>
    <row r="935" spans="1:31" ht="12.75" customHeight="1" x14ac:dyDescent="0.3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  <c r="N935" s="42"/>
      <c r="O935" s="42"/>
      <c r="P935" s="42"/>
      <c r="Q935" s="42"/>
      <c r="R935" s="42"/>
      <c r="S935" s="42"/>
      <c r="T935" s="42"/>
      <c r="U935" s="42"/>
      <c r="V935" s="42"/>
      <c r="W935" s="42"/>
      <c r="X935" s="42"/>
      <c r="Y935" s="42"/>
      <c r="Z935" s="42"/>
      <c r="AA935" s="42"/>
      <c r="AB935" s="42"/>
      <c r="AC935" s="42"/>
      <c r="AD935" s="42"/>
      <c r="AE935" s="42"/>
    </row>
    <row r="936" spans="1:31" ht="12.75" customHeight="1" x14ac:dyDescent="0.3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  <c r="N936" s="42"/>
      <c r="O936" s="42"/>
      <c r="P936" s="42"/>
      <c r="Q936" s="42"/>
      <c r="R936" s="42"/>
      <c r="S936" s="42"/>
      <c r="T936" s="42"/>
      <c r="U936" s="42"/>
      <c r="V936" s="42"/>
      <c r="W936" s="42"/>
      <c r="X936" s="42"/>
      <c r="Y936" s="42"/>
      <c r="Z936" s="42"/>
      <c r="AA936" s="42"/>
      <c r="AB936" s="42"/>
      <c r="AC936" s="42"/>
      <c r="AD936" s="42"/>
      <c r="AE936" s="42"/>
    </row>
    <row r="937" spans="1:31" ht="12.75" customHeight="1" x14ac:dyDescent="0.3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  <c r="N937" s="42"/>
      <c r="O937" s="42"/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</row>
    <row r="938" spans="1:31" ht="12.75" customHeight="1" x14ac:dyDescent="0.3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  <c r="N938" s="42"/>
      <c r="O938" s="42"/>
      <c r="P938" s="42"/>
      <c r="Q938" s="42"/>
      <c r="R938" s="42"/>
      <c r="S938" s="42"/>
      <c r="T938" s="42"/>
      <c r="U938" s="42"/>
      <c r="V938" s="42"/>
      <c r="W938" s="42"/>
      <c r="X938" s="42"/>
      <c r="Y938" s="42"/>
      <c r="Z938" s="42"/>
      <c r="AA938" s="42"/>
      <c r="AB938" s="42"/>
      <c r="AC938" s="42"/>
      <c r="AD938" s="42"/>
      <c r="AE938" s="42"/>
    </row>
    <row r="939" spans="1:31" ht="12.75" customHeight="1" x14ac:dyDescent="0.3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  <c r="N939" s="42"/>
      <c r="O939" s="42"/>
      <c r="P939" s="42"/>
      <c r="Q939" s="42"/>
      <c r="R939" s="42"/>
      <c r="S939" s="42"/>
      <c r="T939" s="42"/>
      <c r="U939" s="42"/>
      <c r="V939" s="42"/>
      <c r="W939" s="42"/>
      <c r="X939" s="42"/>
      <c r="Y939" s="42"/>
      <c r="Z939" s="42"/>
      <c r="AA939" s="42"/>
      <c r="AB939" s="42"/>
      <c r="AC939" s="42"/>
      <c r="AD939" s="42"/>
      <c r="AE939" s="42"/>
    </row>
    <row r="940" spans="1:31" ht="12.75" customHeight="1" x14ac:dyDescent="0.3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  <c r="N940" s="42"/>
      <c r="O940" s="42"/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</row>
    <row r="941" spans="1:31" ht="12.75" customHeight="1" x14ac:dyDescent="0.3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  <c r="N941" s="42"/>
      <c r="O941" s="42"/>
      <c r="P941" s="42"/>
      <c r="Q941" s="42"/>
      <c r="R941" s="42"/>
      <c r="S941" s="42"/>
      <c r="T941" s="42"/>
      <c r="U941" s="42"/>
      <c r="V941" s="42"/>
      <c r="W941" s="42"/>
      <c r="X941" s="42"/>
      <c r="Y941" s="42"/>
      <c r="Z941" s="42"/>
      <c r="AA941" s="42"/>
      <c r="AB941" s="42"/>
      <c r="AC941" s="42"/>
      <c r="AD941" s="42"/>
      <c r="AE941" s="42"/>
    </row>
    <row r="942" spans="1:31" ht="12.75" customHeight="1" x14ac:dyDescent="0.3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  <c r="N942" s="42"/>
      <c r="O942" s="42"/>
      <c r="P942" s="42"/>
      <c r="Q942" s="42"/>
      <c r="R942" s="42"/>
      <c r="S942" s="42"/>
      <c r="T942" s="42"/>
      <c r="U942" s="42"/>
      <c r="V942" s="42"/>
      <c r="W942" s="42"/>
      <c r="X942" s="42"/>
      <c r="Y942" s="42"/>
      <c r="Z942" s="42"/>
      <c r="AA942" s="42"/>
      <c r="AB942" s="42"/>
      <c r="AC942" s="42"/>
      <c r="AD942" s="42"/>
      <c r="AE942" s="42"/>
    </row>
    <row r="943" spans="1:31" ht="12.75" customHeight="1" x14ac:dyDescent="0.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  <c r="N943" s="42"/>
      <c r="O943" s="42"/>
      <c r="P943" s="42"/>
      <c r="Q943" s="42"/>
      <c r="R943" s="42"/>
      <c r="S943" s="42"/>
      <c r="T943" s="42"/>
      <c r="U943" s="42"/>
      <c r="V943" s="42"/>
      <c r="W943" s="42"/>
      <c r="X943" s="42"/>
      <c r="Y943" s="42"/>
      <c r="Z943" s="42"/>
      <c r="AA943" s="42"/>
      <c r="AB943" s="42"/>
      <c r="AC943" s="42"/>
      <c r="AD943" s="42"/>
      <c r="AE943" s="42"/>
    </row>
    <row r="944" spans="1:31" ht="12.75" customHeight="1" x14ac:dyDescent="0.3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  <c r="N944" s="42"/>
      <c r="O944" s="42"/>
      <c r="P944" s="42"/>
      <c r="Q944" s="42"/>
      <c r="R944" s="42"/>
      <c r="S944" s="42"/>
      <c r="T944" s="42"/>
      <c r="U944" s="42"/>
      <c r="V944" s="42"/>
      <c r="W944" s="42"/>
      <c r="X944" s="42"/>
      <c r="Y944" s="42"/>
      <c r="Z944" s="42"/>
      <c r="AA944" s="42"/>
      <c r="AB944" s="42"/>
      <c r="AC944" s="42"/>
      <c r="AD944" s="42"/>
      <c r="AE944" s="42"/>
    </row>
    <row r="945" spans="1:31" ht="12.75" customHeight="1" x14ac:dyDescent="0.3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  <c r="N945" s="42"/>
      <c r="O945" s="42"/>
      <c r="P945" s="42"/>
      <c r="Q945" s="42"/>
      <c r="R945" s="42"/>
      <c r="S945" s="42"/>
      <c r="T945" s="42"/>
      <c r="U945" s="42"/>
      <c r="V945" s="42"/>
      <c r="W945" s="42"/>
      <c r="X945" s="42"/>
      <c r="Y945" s="42"/>
      <c r="Z945" s="42"/>
      <c r="AA945" s="42"/>
      <c r="AB945" s="42"/>
      <c r="AC945" s="42"/>
      <c r="AD945" s="42"/>
      <c r="AE945" s="42"/>
    </row>
    <row r="946" spans="1:31" ht="12.75" customHeight="1" x14ac:dyDescent="0.3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  <c r="N946" s="42"/>
      <c r="O946" s="42"/>
      <c r="P946" s="42"/>
      <c r="Q946" s="42"/>
      <c r="R946" s="42"/>
      <c r="S946" s="42"/>
      <c r="T946" s="42"/>
      <c r="U946" s="42"/>
      <c r="V946" s="42"/>
      <c r="W946" s="42"/>
      <c r="X946" s="42"/>
      <c r="Y946" s="42"/>
      <c r="Z946" s="42"/>
      <c r="AA946" s="42"/>
      <c r="AB946" s="42"/>
      <c r="AC946" s="42"/>
      <c r="AD946" s="42"/>
      <c r="AE946" s="42"/>
    </row>
    <row r="947" spans="1:31" ht="12.75" customHeight="1" x14ac:dyDescent="0.3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  <c r="N947" s="42"/>
      <c r="O947" s="42"/>
      <c r="P947" s="42"/>
      <c r="Q947" s="42"/>
      <c r="R947" s="42"/>
      <c r="S947" s="42"/>
      <c r="T947" s="42"/>
      <c r="U947" s="42"/>
      <c r="V947" s="42"/>
      <c r="W947" s="42"/>
      <c r="X947" s="42"/>
      <c r="Y947" s="42"/>
      <c r="Z947" s="42"/>
      <c r="AA947" s="42"/>
      <c r="AB947" s="42"/>
      <c r="AC947" s="42"/>
      <c r="AD947" s="42"/>
      <c r="AE947" s="42"/>
    </row>
    <row r="948" spans="1:31" ht="12.75" customHeight="1" x14ac:dyDescent="0.3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  <c r="N948" s="42"/>
      <c r="O948" s="42"/>
      <c r="P948" s="42"/>
      <c r="Q948" s="42"/>
      <c r="R948" s="42"/>
      <c r="S948" s="42"/>
      <c r="T948" s="42"/>
      <c r="U948" s="42"/>
      <c r="V948" s="42"/>
      <c r="W948" s="42"/>
      <c r="X948" s="42"/>
      <c r="Y948" s="42"/>
      <c r="Z948" s="42"/>
      <c r="AA948" s="42"/>
      <c r="AB948" s="42"/>
      <c r="AC948" s="42"/>
      <c r="AD948" s="42"/>
      <c r="AE948" s="42"/>
    </row>
    <row r="949" spans="1:31" ht="12.75" customHeight="1" x14ac:dyDescent="0.3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  <c r="N949" s="42"/>
      <c r="O949" s="42"/>
      <c r="P949" s="42"/>
      <c r="Q949" s="42"/>
      <c r="R949" s="42"/>
      <c r="S949" s="42"/>
      <c r="T949" s="42"/>
      <c r="U949" s="42"/>
      <c r="V949" s="42"/>
      <c r="W949" s="42"/>
      <c r="X949" s="42"/>
      <c r="Y949" s="42"/>
      <c r="Z949" s="42"/>
      <c r="AA949" s="42"/>
      <c r="AB949" s="42"/>
      <c r="AC949" s="42"/>
      <c r="AD949" s="42"/>
      <c r="AE949" s="42"/>
    </row>
    <row r="950" spans="1:31" ht="12.75" customHeight="1" x14ac:dyDescent="0.3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  <c r="N950" s="42"/>
      <c r="O950" s="42"/>
      <c r="P950" s="42"/>
      <c r="Q950" s="42"/>
      <c r="R950" s="42"/>
      <c r="S950" s="42"/>
      <c r="T950" s="42"/>
      <c r="U950" s="42"/>
      <c r="V950" s="42"/>
      <c r="W950" s="42"/>
      <c r="X950" s="42"/>
      <c r="Y950" s="42"/>
      <c r="Z950" s="42"/>
      <c r="AA950" s="42"/>
      <c r="AB950" s="42"/>
      <c r="AC950" s="42"/>
      <c r="AD950" s="42"/>
      <c r="AE950" s="42"/>
    </row>
    <row r="951" spans="1:31" ht="12.75" customHeight="1" x14ac:dyDescent="0.3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  <c r="N951" s="42"/>
      <c r="O951" s="42"/>
      <c r="P951" s="42"/>
      <c r="Q951" s="42"/>
      <c r="R951" s="42"/>
      <c r="S951" s="42"/>
      <c r="T951" s="42"/>
      <c r="U951" s="42"/>
      <c r="V951" s="42"/>
      <c r="W951" s="42"/>
      <c r="X951" s="42"/>
      <c r="Y951" s="42"/>
      <c r="Z951" s="42"/>
      <c r="AA951" s="42"/>
      <c r="AB951" s="42"/>
      <c r="AC951" s="42"/>
      <c r="AD951" s="42"/>
      <c r="AE951" s="42"/>
    </row>
    <row r="952" spans="1:31" ht="12.75" customHeight="1" x14ac:dyDescent="0.3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  <c r="N952" s="42"/>
      <c r="O952" s="42"/>
      <c r="P952" s="42"/>
      <c r="Q952" s="42"/>
      <c r="R952" s="42"/>
      <c r="S952" s="42"/>
      <c r="T952" s="42"/>
      <c r="U952" s="42"/>
      <c r="V952" s="42"/>
      <c r="W952" s="42"/>
      <c r="X952" s="42"/>
      <c r="Y952" s="42"/>
      <c r="Z952" s="42"/>
      <c r="AA952" s="42"/>
      <c r="AB952" s="42"/>
      <c r="AC952" s="42"/>
      <c r="AD952" s="42"/>
      <c r="AE952" s="42"/>
    </row>
    <row r="953" spans="1:31" ht="12.75" customHeight="1" x14ac:dyDescent="0.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  <c r="N953" s="42"/>
      <c r="O953" s="42"/>
      <c r="P953" s="42"/>
      <c r="Q953" s="42"/>
      <c r="R953" s="42"/>
      <c r="S953" s="42"/>
      <c r="T953" s="42"/>
      <c r="U953" s="42"/>
      <c r="V953" s="42"/>
      <c r="W953" s="42"/>
      <c r="X953" s="42"/>
      <c r="Y953" s="42"/>
      <c r="Z953" s="42"/>
      <c r="AA953" s="42"/>
      <c r="AB953" s="42"/>
      <c r="AC953" s="42"/>
      <c r="AD953" s="42"/>
      <c r="AE953" s="42"/>
    </row>
    <row r="954" spans="1:31" ht="12.75" customHeight="1" x14ac:dyDescent="0.3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  <c r="N954" s="42"/>
      <c r="O954" s="42"/>
      <c r="P954" s="42"/>
      <c r="Q954" s="42"/>
      <c r="R954" s="42"/>
      <c r="S954" s="42"/>
      <c r="T954" s="42"/>
      <c r="U954" s="42"/>
      <c r="V954" s="42"/>
      <c r="W954" s="42"/>
      <c r="X954" s="42"/>
      <c r="Y954" s="42"/>
      <c r="Z954" s="42"/>
      <c r="AA954" s="42"/>
      <c r="AB954" s="42"/>
      <c r="AC954" s="42"/>
      <c r="AD954" s="42"/>
      <c r="AE954" s="42"/>
    </row>
    <row r="955" spans="1:31" ht="12.75" customHeight="1" x14ac:dyDescent="0.3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  <c r="N955" s="42"/>
      <c r="O955" s="42"/>
      <c r="P955" s="42"/>
      <c r="Q955" s="42"/>
      <c r="R955" s="42"/>
      <c r="S955" s="42"/>
      <c r="T955" s="42"/>
      <c r="U955" s="42"/>
      <c r="V955" s="42"/>
      <c r="W955" s="42"/>
      <c r="X955" s="42"/>
      <c r="Y955" s="42"/>
      <c r="Z955" s="42"/>
      <c r="AA955" s="42"/>
      <c r="AB955" s="42"/>
      <c r="AC955" s="42"/>
      <c r="AD955" s="42"/>
      <c r="AE955" s="42"/>
    </row>
    <row r="956" spans="1:31" ht="12.75" customHeight="1" x14ac:dyDescent="0.3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  <c r="N956" s="42"/>
      <c r="O956" s="42"/>
      <c r="P956" s="42"/>
      <c r="Q956" s="42"/>
      <c r="R956" s="42"/>
      <c r="S956" s="42"/>
      <c r="T956" s="42"/>
      <c r="U956" s="42"/>
      <c r="V956" s="42"/>
      <c r="W956" s="42"/>
      <c r="X956" s="42"/>
      <c r="Y956" s="42"/>
      <c r="Z956" s="42"/>
      <c r="AA956" s="42"/>
      <c r="AB956" s="42"/>
      <c r="AC956" s="42"/>
      <c r="AD956" s="42"/>
      <c r="AE956" s="42"/>
    </row>
    <row r="957" spans="1:31" ht="12.75" customHeight="1" x14ac:dyDescent="0.3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  <c r="N957" s="42"/>
      <c r="O957" s="42"/>
      <c r="P957" s="42"/>
      <c r="Q957" s="42"/>
      <c r="R957" s="42"/>
      <c r="S957" s="42"/>
      <c r="T957" s="42"/>
      <c r="U957" s="42"/>
      <c r="V957" s="42"/>
      <c r="W957" s="42"/>
      <c r="X957" s="42"/>
      <c r="Y957" s="42"/>
      <c r="Z957" s="42"/>
      <c r="AA957" s="42"/>
      <c r="AB957" s="42"/>
      <c r="AC957" s="42"/>
      <c r="AD957" s="42"/>
      <c r="AE957" s="42"/>
    </row>
    <row r="958" spans="1:31" ht="12.75" customHeight="1" x14ac:dyDescent="0.3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  <c r="N958" s="42"/>
      <c r="O958" s="42"/>
      <c r="P958" s="42"/>
      <c r="Q958" s="42"/>
      <c r="R958" s="42"/>
      <c r="S958" s="42"/>
      <c r="T958" s="42"/>
      <c r="U958" s="42"/>
      <c r="V958" s="42"/>
      <c r="W958" s="42"/>
      <c r="X958" s="42"/>
      <c r="Y958" s="42"/>
      <c r="Z958" s="42"/>
      <c r="AA958" s="42"/>
      <c r="AB958" s="42"/>
      <c r="AC958" s="42"/>
      <c r="AD958" s="42"/>
      <c r="AE958" s="42"/>
    </row>
    <row r="959" spans="1:31" ht="12.75" customHeight="1" x14ac:dyDescent="0.3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  <c r="N959" s="42"/>
      <c r="O959" s="42"/>
      <c r="P959" s="42"/>
      <c r="Q959" s="42"/>
      <c r="R959" s="42"/>
      <c r="S959" s="42"/>
      <c r="T959" s="42"/>
      <c r="U959" s="42"/>
      <c r="V959" s="42"/>
      <c r="W959" s="42"/>
      <c r="X959" s="42"/>
      <c r="Y959" s="42"/>
      <c r="Z959" s="42"/>
      <c r="AA959" s="42"/>
      <c r="AB959" s="42"/>
      <c r="AC959" s="42"/>
      <c r="AD959" s="42"/>
      <c r="AE959" s="42"/>
    </row>
    <row r="960" spans="1:31" ht="12.75" customHeight="1" x14ac:dyDescent="0.3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  <c r="N960" s="42"/>
      <c r="O960" s="42"/>
      <c r="P960" s="42"/>
      <c r="Q960" s="42"/>
      <c r="R960" s="42"/>
      <c r="S960" s="42"/>
      <c r="T960" s="42"/>
      <c r="U960" s="42"/>
      <c r="V960" s="42"/>
      <c r="W960" s="42"/>
      <c r="X960" s="42"/>
      <c r="Y960" s="42"/>
      <c r="Z960" s="42"/>
      <c r="AA960" s="42"/>
      <c r="AB960" s="42"/>
      <c r="AC960" s="42"/>
      <c r="AD960" s="42"/>
      <c r="AE960" s="42"/>
    </row>
    <row r="961" spans="1:31" ht="12.75" customHeight="1" x14ac:dyDescent="0.3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  <c r="N961" s="42"/>
      <c r="O961" s="42"/>
      <c r="P961" s="42"/>
      <c r="Q961" s="42"/>
      <c r="R961" s="42"/>
      <c r="S961" s="42"/>
      <c r="T961" s="42"/>
      <c r="U961" s="42"/>
      <c r="V961" s="42"/>
      <c r="W961" s="42"/>
      <c r="X961" s="42"/>
      <c r="Y961" s="42"/>
      <c r="Z961" s="42"/>
      <c r="AA961" s="42"/>
      <c r="AB961" s="42"/>
      <c r="AC961" s="42"/>
      <c r="AD961" s="42"/>
      <c r="AE961" s="42"/>
    </row>
    <row r="962" spans="1:31" ht="12.75" customHeight="1" x14ac:dyDescent="0.3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  <c r="N962" s="42"/>
      <c r="O962" s="42"/>
      <c r="P962" s="42"/>
      <c r="Q962" s="42"/>
      <c r="R962" s="42"/>
      <c r="S962" s="42"/>
      <c r="T962" s="42"/>
      <c r="U962" s="42"/>
      <c r="V962" s="42"/>
      <c r="W962" s="42"/>
      <c r="X962" s="42"/>
      <c r="Y962" s="42"/>
      <c r="Z962" s="42"/>
      <c r="AA962" s="42"/>
      <c r="AB962" s="42"/>
      <c r="AC962" s="42"/>
      <c r="AD962" s="42"/>
      <c r="AE962" s="42"/>
    </row>
    <row r="963" spans="1:31" ht="12.75" customHeight="1" x14ac:dyDescent="0.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  <c r="N963" s="42"/>
      <c r="O963" s="42"/>
      <c r="P963" s="42"/>
      <c r="Q963" s="42"/>
      <c r="R963" s="42"/>
      <c r="S963" s="42"/>
      <c r="T963" s="42"/>
      <c r="U963" s="42"/>
      <c r="V963" s="42"/>
      <c r="W963" s="42"/>
      <c r="X963" s="42"/>
      <c r="Y963" s="42"/>
      <c r="Z963" s="42"/>
      <c r="AA963" s="42"/>
      <c r="AB963" s="42"/>
      <c r="AC963" s="42"/>
      <c r="AD963" s="42"/>
      <c r="AE963" s="42"/>
    </row>
    <row r="964" spans="1:31" ht="12.75" customHeight="1" x14ac:dyDescent="0.3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  <c r="N964" s="42"/>
      <c r="O964" s="42"/>
      <c r="P964" s="42"/>
      <c r="Q964" s="42"/>
      <c r="R964" s="42"/>
      <c r="S964" s="42"/>
      <c r="T964" s="42"/>
      <c r="U964" s="42"/>
      <c r="V964" s="42"/>
      <c r="W964" s="42"/>
      <c r="X964" s="42"/>
      <c r="Y964" s="42"/>
      <c r="Z964" s="42"/>
      <c r="AA964" s="42"/>
      <c r="AB964" s="42"/>
      <c r="AC964" s="42"/>
      <c r="AD964" s="42"/>
      <c r="AE964" s="42"/>
    </row>
    <row r="965" spans="1:31" ht="12.75" customHeight="1" x14ac:dyDescent="0.3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  <c r="N965" s="42"/>
      <c r="O965" s="42"/>
      <c r="P965" s="42"/>
      <c r="Q965" s="42"/>
      <c r="R965" s="42"/>
      <c r="S965" s="42"/>
      <c r="T965" s="42"/>
      <c r="U965" s="42"/>
      <c r="V965" s="42"/>
      <c r="W965" s="42"/>
      <c r="X965" s="42"/>
      <c r="Y965" s="42"/>
      <c r="Z965" s="42"/>
      <c r="AA965" s="42"/>
      <c r="AB965" s="42"/>
      <c r="AC965" s="42"/>
      <c r="AD965" s="42"/>
      <c r="AE965" s="42"/>
    </row>
    <row r="966" spans="1:31" ht="12.75" customHeight="1" x14ac:dyDescent="0.3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  <c r="N966" s="42"/>
      <c r="O966" s="42"/>
      <c r="P966" s="42"/>
      <c r="Q966" s="42"/>
      <c r="R966" s="42"/>
      <c r="S966" s="42"/>
      <c r="T966" s="42"/>
      <c r="U966" s="42"/>
      <c r="V966" s="42"/>
      <c r="W966" s="42"/>
      <c r="X966" s="42"/>
      <c r="Y966" s="42"/>
      <c r="Z966" s="42"/>
      <c r="AA966" s="42"/>
      <c r="AB966" s="42"/>
      <c r="AC966" s="42"/>
      <c r="AD966" s="42"/>
      <c r="AE966" s="42"/>
    </row>
    <row r="967" spans="1:31" ht="12.75" customHeight="1" x14ac:dyDescent="0.3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  <c r="N967" s="42"/>
      <c r="O967" s="42"/>
      <c r="P967" s="42"/>
      <c r="Q967" s="42"/>
      <c r="R967" s="42"/>
      <c r="S967" s="42"/>
      <c r="T967" s="42"/>
      <c r="U967" s="42"/>
      <c r="V967" s="42"/>
      <c r="W967" s="42"/>
      <c r="X967" s="42"/>
      <c r="Y967" s="42"/>
      <c r="Z967" s="42"/>
      <c r="AA967" s="42"/>
      <c r="AB967" s="42"/>
      <c r="AC967" s="42"/>
      <c r="AD967" s="42"/>
      <c r="AE967" s="42"/>
    </row>
    <row r="968" spans="1:31" ht="12.75" customHeight="1" x14ac:dyDescent="0.3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  <c r="N968" s="42"/>
      <c r="O968" s="42"/>
      <c r="P968" s="42"/>
      <c r="Q968" s="42"/>
      <c r="R968" s="42"/>
      <c r="S968" s="42"/>
      <c r="T968" s="42"/>
      <c r="U968" s="42"/>
      <c r="V968" s="42"/>
      <c r="W968" s="42"/>
      <c r="X968" s="42"/>
      <c r="Y968" s="42"/>
      <c r="Z968" s="42"/>
      <c r="AA968" s="42"/>
      <c r="AB968" s="42"/>
      <c r="AC968" s="42"/>
      <c r="AD968" s="42"/>
      <c r="AE968" s="42"/>
    </row>
    <row r="969" spans="1:31" ht="12.75" customHeight="1" x14ac:dyDescent="0.3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  <c r="N969" s="42"/>
      <c r="O969" s="42"/>
      <c r="P969" s="42"/>
      <c r="Q969" s="42"/>
      <c r="R969" s="42"/>
      <c r="S969" s="42"/>
      <c r="T969" s="42"/>
      <c r="U969" s="42"/>
      <c r="V969" s="42"/>
      <c r="W969" s="42"/>
      <c r="X969" s="42"/>
      <c r="Y969" s="42"/>
      <c r="Z969" s="42"/>
      <c r="AA969" s="42"/>
      <c r="AB969" s="42"/>
      <c r="AC969" s="42"/>
      <c r="AD969" s="42"/>
      <c r="AE969" s="42"/>
    </row>
    <row r="970" spans="1:31" ht="12.75" customHeight="1" x14ac:dyDescent="0.3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  <c r="N970" s="42"/>
      <c r="O970" s="42"/>
      <c r="P970" s="42"/>
      <c r="Q970" s="42"/>
      <c r="R970" s="42"/>
      <c r="S970" s="42"/>
      <c r="T970" s="42"/>
      <c r="U970" s="42"/>
      <c r="V970" s="42"/>
      <c r="W970" s="42"/>
      <c r="X970" s="42"/>
      <c r="Y970" s="42"/>
      <c r="Z970" s="42"/>
      <c r="AA970" s="42"/>
      <c r="AB970" s="42"/>
      <c r="AC970" s="42"/>
      <c r="AD970" s="42"/>
      <c r="AE970" s="42"/>
    </row>
    <row r="971" spans="1:31" ht="12.75" customHeight="1" x14ac:dyDescent="0.3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  <c r="N971" s="42"/>
      <c r="O971" s="42"/>
      <c r="P971" s="42"/>
      <c r="Q971" s="42"/>
      <c r="R971" s="42"/>
      <c r="S971" s="42"/>
      <c r="T971" s="42"/>
      <c r="U971" s="42"/>
      <c r="V971" s="42"/>
      <c r="W971" s="42"/>
      <c r="X971" s="42"/>
      <c r="Y971" s="42"/>
      <c r="Z971" s="42"/>
      <c r="AA971" s="42"/>
      <c r="AB971" s="42"/>
      <c r="AC971" s="42"/>
      <c r="AD971" s="42"/>
      <c r="AE971" s="42"/>
    </row>
    <row r="972" spans="1:31" ht="12.75" customHeight="1" x14ac:dyDescent="0.3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  <c r="N972" s="42"/>
      <c r="O972" s="42"/>
      <c r="P972" s="42"/>
      <c r="Q972" s="42"/>
      <c r="R972" s="42"/>
      <c r="S972" s="42"/>
      <c r="T972" s="42"/>
      <c r="U972" s="42"/>
      <c r="V972" s="42"/>
      <c r="W972" s="42"/>
      <c r="X972" s="42"/>
      <c r="Y972" s="42"/>
      <c r="Z972" s="42"/>
      <c r="AA972" s="42"/>
      <c r="AB972" s="42"/>
      <c r="AC972" s="42"/>
      <c r="AD972" s="42"/>
      <c r="AE972" s="42"/>
    </row>
    <row r="973" spans="1:31" ht="12.75" customHeight="1" x14ac:dyDescent="0.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  <c r="N973" s="42"/>
      <c r="O973" s="42"/>
      <c r="P973" s="42"/>
      <c r="Q973" s="42"/>
      <c r="R973" s="42"/>
      <c r="S973" s="42"/>
      <c r="T973" s="42"/>
      <c r="U973" s="42"/>
      <c r="V973" s="42"/>
      <c r="W973" s="42"/>
      <c r="X973" s="42"/>
      <c r="Y973" s="42"/>
      <c r="Z973" s="42"/>
      <c r="AA973" s="42"/>
      <c r="AB973" s="42"/>
      <c r="AC973" s="42"/>
      <c r="AD973" s="42"/>
      <c r="AE973" s="42"/>
    </row>
    <row r="974" spans="1:31" ht="12.75" customHeight="1" x14ac:dyDescent="0.3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  <c r="N974" s="42"/>
      <c r="O974" s="42"/>
      <c r="P974" s="42"/>
      <c r="Q974" s="42"/>
      <c r="R974" s="42"/>
      <c r="S974" s="42"/>
      <c r="T974" s="42"/>
      <c r="U974" s="42"/>
      <c r="V974" s="42"/>
      <c r="W974" s="42"/>
      <c r="X974" s="42"/>
      <c r="Y974" s="42"/>
      <c r="Z974" s="42"/>
      <c r="AA974" s="42"/>
      <c r="AB974" s="42"/>
      <c r="AC974" s="42"/>
      <c r="AD974" s="42"/>
      <c r="AE974" s="42"/>
    </row>
    <row r="975" spans="1:31" ht="12.75" customHeight="1" x14ac:dyDescent="0.3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  <c r="N975" s="42"/>
      <c r="O975" s="42"/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</row>
    <row r="976" spans="1:31" ht="12.75" customHeight="1" x14ac:dyDescent="0.3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  <c r="N976" s="42"/>
      <c r="O976" s="42"/>
      <c r="P976" s="42"/>
      <c r="Q976" s="42"/>
      <c r="R976" s="42"/>
      <c r="S976" s="42"/>
      <c r="T976" s="42"/>
      <c r="U976" s="42"/>
      <c r="V976" s="42"/>
      <c r="W976" s="42"/>
      <c r="X976" s="42"/>
      <c r="Y976" s="42"/>
      <c r="Z976" s="42"/>
      <c r="AA976" s="42"/>
      <c r="AB976" s="42"/>
      <c r="AC976" s="42"/>
      <c r="AD976" s="42"/>
      <c r="AE976" s="42"/>
    </row>
    <row r="977" spans="1:31" ht="12.75" customHeight="1" x14ac:dyDescent="0.3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  <c r="N977" s="42"/>
      <c r="O977" s="42"/>
      <c r="P977" s="42"/>
      <c r="Q977" s="42"/>
      <c r="R977" s="42"/>
      <c r="S977" s="42"/>
      <c r="T977" s="42"/>
      <c r="U977" s="42"/>
      <c r="V977" s="42"/>
      <c r="W977" s="42"/>
      <c r="X977" s="42"/>
      <c r="Y977" s="42"/>
      <c r="Z977" s="42"/>
      <c r="AA977" s="42"/>
      <c r="AB977" s="42"/>
      <c r="AC977" s="42"/>
      <c r="AD977" s="42"/>
      <c r="AE977" s="42"/>
    </row>
    <row r="978" spans="1:31" ht="12.75" customHeight="1" x14ac:dyDescent="0.3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  <c r="N978" s="42"/>
      <c r="O978" s="42"/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</row>
    <row r="979" spans="1:31" ht="12.75" customHeight="1" x14ac:dyDescent="0.3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  <c r="N979" s="42"/>
      <c r="O979" s="42"/>
      <c r="P979" s="42"/>
      <c r="Q979" s="42"/>
      <c r="R979" s="42"/>
      <c r="S979" s="42"/>
      <c r="T979" s="42"/>
      <c r="U979" s="42"/>
      <c r="V979" s="42"/>
      <c r="W979" s="42"/>
      <c r="X979" s="42"/>
      <c r="Y979" s="42"/>
      <c r="Z979" s="42"/>
      <c r="AA979" s="42"/>
      <c r="AB979" s="42"/>
      <c r="AC979" s="42"/>
      <c r="AD979" s="42"/>
      <c r="AE979" s="42"/>
    </row>
    <row r="980" spans="1:31" ht="12.75" customHeight="1" x14ac:dyDescent="0.3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  <c r="N980" s="42"/>
      <c r="O980" s="42"/>
      <c r="P980" s="42"/>
      <c r="Q980" s="42"/>
      <c r="R980" s="42"/>
      <c r="S980" s="42"/>
      <c r="T980" s="42"/>
      <c r="U980" s="42"/>
      <c r="V980" s="42"/>
      <c r="W980" s="42"/>
      <c r="X980" s="42"/>
      <c r="Y980" s="42"/>
      <c r="Z980" s="42"/>
      <c r="AA980" s="42"/>
      <c r="AB980" s="42"/>
      <c r="AC980" s="42"/>
      <c r="AD980" s="42"/>
      <c r="AE980" s="42"/>
    </row>
    <row r="981" spans="1:31" ht="12.75" customHeight="1" x14ac:dyDescent="0.3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  <c r="N981" s="42"/>
      <c r="O981" s="42"/>
      <c r="P981" s="42"/>
      <c r="Q981" s="42"/>
      <c r="R981" s="42"/>
      <c r="S981" s="42"/>
      <c r="T981" s="42"/>
      <c r="U981" s="42"/>
      <c r="V981" s="42"/>
      <c r="W981" s="42"/>
      <c r="X981" s="42"/>
      <c r="Y981" s="42"/>
      <c r="Z981" s="42"/>
      <c r="AA981" s="42"/>
      <c r="AB981" s="42"/>
      <c r="AC981" s="42"/>
      <c r="AD981" s="42"/>
      <c r="AE981" s="42"/>
    </row>
    <row r="982" spans="1:31" ht="12.75" customHeight="1" x14ac:dyDescent="0.3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  <c r="N982" s="42"/>
      <c r="O982" s="42"/>
      <c r="P982" s="42"/>
      <c r="Q982" s="42"/>
      <c r="R982" s="42"/>
      <c r="S982" s="42"/>
      <c r="T982" s="42"/>
      <c r="U982" s="42"/>
      <c r="V982" s="42"/>
      <c r="W982" s="42"/>
      <c r="X982" s="42"/>
      <c r="Y982" s="42"/>
      <c r="Z982" s="42"/>
      <c r="AA982" s="42"/>
      <c r="AB982" s="42"/>
      <c r="AC982" s="42"/>
      <c r="AD982" s="42"/>
      <c r="AE982" s="42"/>
    </row>
    <row r="983" spans="1:31" ht="12.75" customHeight="1" x14ac:dyDescent="0.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  <c r="N983" s="42"/>
      <c r="O983" s="42"/>
      <c r="P983" s="42"/>
      <c r="Q983" s="42"/>
      <c r="R983" s="42"/>
      <c r="S983" s="42"/>
      <c r="T983" s="42"/>
      <c r="U983" s="42"/>
      <c r="V983" s="42"/>
      <c r="W983" s="42"/>
      <c r="X983" s="42"/>
      <c r="Y983" s="42"/>
      <c r="Z983" s="42"/>
      <c r="AA983" s="42"/>
      <c r="AB983" s="42"/>
      <c r="AC983" s="42"/>
      <c r="AD983" s="42"/>
      <c r="AE983" s="42"/>
    </row>
    <row r="984" spans="1:31" ht="12.75" customHeight="1" x14ac:dyDescent="0.3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  <c r="N984" s="42"/>
      <c r="O984" s="42"/>
      <c r="P984" s="42"/>
      <c r="Q984" s="42"/>
      <c r="R984" s="42"/>
      <c r="S984" s="42"/>
      <c r="T984" s="42"/>
      <c r="U984" s="42"/>
      <c r="V984" s="42"/>
      <c r="W984" s="42"/>
      <c r="X984" s="42"/>
      <c r="Y984" s="42"/>
      <c r="Z984" s="42"/>
      <c r="AA984" s="42"/>
      <c r="AB984" s="42"/>
      <c r="AC984" s="42"/>
      <c r="AD984" s="42"/>
      <c r="AE984" s="42"/>
    </row>
    <row r="985" spans="1:31" ht="12.75" customHeight="1" x14ac:dyDescent="0.3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  <c r="N985" s="42"/>
      <c r="O985" s="42"/>
      <c r="P985" s="42"/>
      <c r="Q985" s="42"/>
      <c r="R985" s="42"/>
      <c r="S985" s="42"/>
      <c r="T985" s="42"/>
      <c r="U985" s="42"/>
      <c r="V985" s="42"/>
      <c r="W985" s="42"/>
      <c r="X985" s="42"/>
      <c r="Y985" s="42"/>
      <c r="Z985" s="42"/>
      <c r="AA985" s="42"/>
      <c r="AB985" s="42"/>
      <c r="AC985" s="42"/>
      <c r="AD985" s="42"/>
      <c r="AE985" s="42"/>
    </row>
    <row r="986" spans="1:31" ht="12.75" customHeight="1" x14ac:dyDescent="0.3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  <c r="N986" s="42"/>
      <c r="O986" s="42"/>
      <c r="P986" s="42"/>
      <c r="Q986" s="42"/>
      <c r="R986" s="42"/>
      <c r="S986" s="42"/>
      <c r="T986" s="42"/>
      <c r="U986" s="42"/>
      <c r="V986" s="42"/>
      <c r="W986" s="42"/>
      <c r="X986" s="42"/>
      <c r="Y986" s="42"/>
      <c r="Z986" s="42"/>
      <c r="AA986" s="42"/>
      <c r="AB986" s="42"/>
      <c r="AC986" s="42"/>
      <c r="AD986" s="42"/>
      <c r="AE986" s="42"/>
    </row>
    <row r="987" spans="1:31" ht="12.75" customHeight="1" x14ac:dyDescent="0.3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  <c r="N987" s="42"/>
      <c r="O987" s="42"/>
      <c r="P987" s="42"/>
      <c r="Q987" s="42"/>
      <c r="R987" s="42"/>
      <c r="S987" s="42"/>
      <c r="T987" s="42"/>
      <c r="U987" s="42"/>
      <c r="V987" s="42"/>
      <c r="W987" s="42"/>
      <c r="X987" s="42"/>
      <c r="Y987" s="42"/>
      <c r="Z987" s="42"/>
      <c r="AA987" s="42"/>
      <c r="AB987" s="42"/>
      <c r="AC987" s="42"/>
      <c r="AD987" s="42"/>
      <c r="AE987" s="42"/>
    </row>
    <row r="988" spans="1:31" ht="12.75" customHeight="1" x14ac:dyDescent="0.3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  <c r="N988" s="42"/>
      <c r="O988" s="42"/>
      <c r="P988" s="42"/>
      <c r="Q988" s="42"/>
      <c r="R988" s="42"/>
      <c r="S988" s="42"/>
      <c r="T988" s="42"/>
      <c r="U988" s="42"/>
      <c r="V988" s="42"/>
      <c r="W988" s="42"/>
      <c r="X988" s="42"/>
      <c r="Y988" s="42"/>
      <c r="Z988" s="42"/>
      <c r="AA988" s="42"/>
      <c r="AB988" s="42"/>
      <c r="AC988" s="42"/>
      <c r="AD988" s="42"/>
      <c r="AE988" s="42"/>
    </row>
    <row r="989" spans="1:31" ht="12.75" customHeight="1" x14ac:dyDescent="0.3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  <c r="N989" s="42"/>
      <c r="O989" s="42"/>
      <c r="P989" s="42"/>
      <c r="Q989" s="42"/>
      <c r="R989" s="42"/>
      <c r="S989" s="42"/>
      <c r="T989" s="42"/>
      <c r="U989" s="42"/>
      <c r="V989" s="42"/>
      <c r="W989" s="42"/>
      <c r="X989" s="42"/>
      <c r="Y989" s="42"/>
      <c r="Z989" s="42"/>
      <c r="AA989" s="42"/>
      <c r="AB989" s="42"/>
      <c r="AC989" s="42"/>
      <c r="AD989" s="42"/>
      <c r="AE989" s="42"/>
    </row>
    <row r="990" spans="1:31" ht="12.75" customHeight="1" x14ac:dyDescent="0.3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  <c r="N990" s="42"/>
      <c r="O990" s="42"/>
      <c r="P990" s="42"/>
      <c r="Q990" s="42"/>
      <c r="R990" s="42"/>
      <c r="S990" s="42"/>
      <c r="T990" s="42"/>
      <c r="U990" s="42"/>
      <c r="V990" s="42"/>
      <c r="W990" s="42"/>
      <c r="X990" s="42"/>
      <c r="Y990" s="42"/>
      <c r="Z990" s="42"/>
      <c r="AA990" s="42"/>
      <c r="AB990" s="42"/>
      <c r="AC990" s="42"/>
      <c r="AD990" s="42"/>
      <c r="AE990" s="42"/>
    </row>
    <row r="991" spans="1:31" ht="12.75" customHeight="1" x14ac:dyDescent="0.3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  <c r="N991" s="42"/>
      <c r="O991" s="42"/>
      <c r="P991" s="42"/>
      <c r="Q991" s="42"/>
      <c r="R991" s="42"/>
      <c r="S991" s="42"/>
      <c r="T991" s="42"/>
      <c r="U991" s="42"/>
      <c r="V991" s="42"/>
      <c r="W991" s="42"/>
      <c r="X991" s="42"/>
      <c r="Y991" s="42"/>
      <c r="Z991" s="42"/>
      <c r="AA991" s="42"/>
      <c r="AB991" s="42"/>
      <c r="AC991" s="42"/>
      <c r="AD991" s="42"/>
      <c r="AE991" s="42"/>
    </row>
    <row r="992" spans="1:31" ht="12.75" customHeight="1" x14ac:dyDescent="0.3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  <c r="N992" s="42"/>
      <c r="O992" s="42"/>
      <c r="P992" s="42"/>
      <c r="Q992" s="42"/>
      <c r="R992" s="42"/>
      <c r="S992" s="42"/>
      <c r="T992" s="42"/>
      <c r="U992" s="42"/>
      <c r="V992" s="42"/>
      <c r="W992" s="42"/>
      <c r="X992" s="42"/>
      <c r="Y992" s="42"/>
      <c r="Z992" s="42"/>
      <c r="AA992" s="42"/>
      <c r="AB992" s="42"/>
      <c r="AC992" s="42"/>
      <c r="AD992" s="42"/>
      <c r="AE992" s="42"/>
    </row>
    <row r="993" spans="1:31" ht="12.75" customHeight="1" x14ac:dyDescent="0.3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  <c r="N993" s="42"/>
      <c r="O993" s="42"/>
      <c r="P993" s="42"/>
      <c r="Q993" s="42"/>
      <c r="R993" s="42"/>
      <c r="S993" s="42"/>
      <c r="T993" s="42"/>
      <c r="U993" s="42"/>
      <c r="V993" s="42"/>
      <c r="W993" s="42"/>
      <c r="X993" s="42"/>
      <c r="Y993" s="42"/>
      <c r="Z993" s="42"/>
      <c r="AA993" s="42"/>
      <c r="AB993" s="42"/>
      <c r="AC993" s="42"/>
      <c r="AD993" s="42"/>
      <c r="AE993" s="42"/>
    </row>
    <row r="994" spans="1:31" ht="12.75" customHeight="1" x14ac:dyDescent="0.3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  <c r="N994" s="42"/>
      <c r="O994" s="42"/>
      <c r="P994" s="42"/>
      <c r="Q994" s="42"/>
      <c r="R994" s="42"/>
      <c r="S994" s="42"/>
      <c r="T994" s="42"/>
      <c r="U994" s="42"/>
      <c r="V994" s="42"/>
      <c r="W994" s="42"/>
      <c r="X994" s="42"/>
      <c r="Y994" s="42"/>
      <c r="Z994" s="42"/>
      <c r="AA994" s="42"/>
      <c r="AB994" s="42"/>
      <c r="AC994" s="42"/>
      <c r="AD994" s="42"/>
      <c r="AE994" s="42"/>
    </row>
    <row r="995" spans="1:31" ht="12.75" customHeight="1" x14ac:dyDescent="0.3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  <c r="N995" s="42"/>
      <c r="O995" s="42"/>
      <c r="P995" s="42"/>
      <c r="Q995" s="42"/>
      <c r="R995" s="42"/>
      <c r="S995" s="42"/>
      <c r="T995" s="42"/>
      <c r="U995" s="42"/>
      <c r="V995" s="42"/>
      <c r="W995" s="42"/>
      <c r="X995" s="42"/>
      <c r="Y995" s="42"/>
      <c r="Z995" s="42"/>
      <c r="AA995" s="42"/>
      <c r="AB995" s="42"/>
      <c r="AC995" s="42"/>
      <c r="AD995" s="42"/>
      <c r="AE995" s="42"/>
    </row>
    <row r="996" spans="1:31" ht="12.75" customHeight="1" x14ac:dyDescent="0.3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  <c r="N996" s="42"/>
      <c r="O996" s="42"/>
      <c r="P996" s="42"/>
      <c r="Q996" s="42"/>
      <c r="R996" s="42"/>
      <c r="S996" s="42"/>
      <c r="T996" s="42"/>
      <c r="U996" s="42"/>
      <c r="V996" s="42"/>
      <c r="W996" s="42"/>
      <c r="X996" s="42"/>
      <c r="Y996" s="42"/>
      <c r="Z996" s="42"/>
      <c r="AA996" s="42"/>
      <c r="AB996" s="42"/>
      <c r="AC996" s="42"/>
      <c r="AD996" s="42"/>
      <c r="AE996" s="42"/>
    </row>
    <row r="997" spans="1:31" ht="12.75" customHeight="1" x14ac:dyDescent="0.3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  <c r="N997" s="42"/>
      <c r="O997" s="42"/>
      <c r="P997" s="42"/>
      <c r="Q997" s="42"/>
      <c r="R997" s="42"/>
      <c r="S997" s="42"/>
      <c r="T997" s="42"/>
      <c r="U997" s="42"/>
      <c r="V997" s="42"/>
      <c r="W997" s="42"/>
      <c r="X997" s="42"/>
      <c r="Y997" s="42"/>
      <c r="Z997" s="42"/>
      <c r="AA997" s="42"/>
      <c r="AB997" s="42"/>
      <c r="AC997" s="42"/>
      <c r="AD997" s="42"/>
      <c r="AE997" s="42"/>
    </row>
    <row r="998" spans="1:31" ht="12.75" customHeight="1" x14ac:dyDescent="0.3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  <c r="N998" s="42"/>
      <c r="O998" s="42"/>
      <c r="P998" s="42"/>
      <c r="Q998" s="42"/>
      <c r="R998" s="42"/>
      <c r="S998" s="42"/>
      <c r="T998" s="42"/>
      <c r="U998" s="42"/>
      <c r="V998" s="42"/>
      <c r="W998" s="42"/>
      <c r="X998" s="42"/>
      <c r="Y998" s="42"/>
      <c r="Z998" s="42"/>
      <c r="AA998" s="42"/>
      <c r="AB998" s="42"/>
      <c r="AC998" s="42"/>
      <c r="AD998" s="42"/>
      <c r="AE998" s="42"/>
    </row>
    <row r="999" spans="1:31" ht="12.75" customHeight="1" x14ac:dyDescent="0.3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  <c r="N999" s="42"/>
      <c r="O999" s="42"/>
      <c r="P999" s="42"/>
      <c r="Q999" s="42"/>
      <c r="R999" s="42"/>
      <c r="S999" s="42"/>
      <c r="T999" s="42"/>
      <c r="U999" s="42"/>
      <c r="V999" s="42"/>
      <c r="W999" s="42"/>
      <c r="X999" s="42"/>
      <c r="Y999" s="42"/>
      <c r="Z999" s="42"/>
      <c r="AA999" s="42"/>
      <c r="AB999" s="42"/>
      <c r="AC999" s="42"/>
      <c r="AD999" s="42"/>
      <c r="AE999" s="42"/>
    </row>
    <row r="1000" spans="1:31" ht="12.75" customHeight="1" x14ac:dyDescent="0.3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  <c r="N1000" s="42"/>
      <c r="O1000" s="42"/>
      <c r="P1000" s="42"/>
      <c r="Q1000" s="42"/>
      <c r="R1000" s="42"/>
      <c r="S1000" s="42"/>
      <c r="T1000" s="42"/>
      <c r="U1000" s="42"/>
      <c r="V1000" s="42"/>
      <c r="W1000" s="42"/>
      <c r="X1000" s="42"/>
      <c r="Y1000" s="42"/>
      <c r="Z1000" s="42"/>
      <c r="AA1000" s="42"/>
      <c r="AB1000" s="42"/>
      <c r="AC1000" s="42"/>
      <c r="AD1000" s="42"/>
      <c r="AE1000" s="42"/>
    </row>
  </sheetData>
  <mergeCells count="17">
    <mergeCell ref="D3:Q4"/>
    <mergeCell ref="G23:H23"/>
    <mergeCell ref="J38:M38"/>
    <mergeCell ref="P38:Q38"/>
    <mergeCell ref="C9:D9"/>
    <mergeCell ref="C11:E11"/>
    <mergeCell ref="G11:I11"/>
    <mergeCell ref="C23:D23"/>
    <mergeCell ref="C25:H25"/>
    <mergeCell ref="C26:H26"/>
    <mergeCell ref="C27:H27"/>
    <mergeCell ref="C7:G7"/>
    <mergeCell ref="M7:R7"/>
    <mergeCell ref="V7:W7"/>
    <mergeCell ref="G9:H9"/>
    <mergeCell ref="M9:O9"/>
    <mergeCell ref="P9:R9"/>
  </mergeCells>
  <dataValidations count="2">
    <dataValidation type="list" allowBlank="1" showInputMessage="1" showErrorMessage="1" prompt=" - " sqref="I26" xr:uid="{00000000-0002-0000-0000-000000000000}">
      <formula1>$Z$27:$Z$28</formula1>
    </dataValidation>
    <dataValidation type="list" allowBlank="1" showInputMessage="1" showErrorMessage="1" prompt=" - " sqref="I7" xr:uid="{00000000-0002-0000-0000-000001000000}">
      <formula1>$Z$30:$Z$31</formula1>
    </dataValidation>
  </dataValidations>
  <hyperlinks>
    <hyperlink ref="V2" r:id="rId1" xr:uid="{822F1EE4-2B70-46CD-B582-708B98C78650}"/>
  </hyperlinks>
  <pageMargins left="0.7" right="0.7" top="0.75" bottom="0.75" header="0" footer="0"/>
  <pageSetup orientation="landscape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Ankesh Mishra</cp:lastModifiedBy>
  <dcterms:modified xsi:type="dcterms:W3CDTF">2025-03-19T07:45:23Z</dcterms:modified>
</cp:coreProperties>
</file>