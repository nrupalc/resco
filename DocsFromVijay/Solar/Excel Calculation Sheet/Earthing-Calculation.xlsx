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A18ECA94-ECCB-4631-8E53-BC026EA27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arthing calculation" sheetId="1" r:id="rId1"/>
    <sheet name="Sheet1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1" l="1"/>
  <c r="E50" i="1"/>
  <c r="C46" i="1"/>
  <c r="E52" i="1" s="1"/>
  <c r="D66" i="1" s="1"/>
  <c r="G35" i="1"/>
  <c r="D11" i="1"/>
  <c r="G24" i="1" s="1"/>
  <c r="D37" i="1" s="1"/>
</calcChain>
</file>

<file path=xl/sharedStrings.xml><?xml version="1.0" encoding="utf-8"?>
<sst xmlns="http://schemas.openxmlformats.org/spreadsheetml/2006/main" count="85" uniqueCount="75">
  <si>
    <t>S.NO.</t>
  </si>
  <si>
    <t>EARTHING CALCULATION DC</t>
  </si>
  <si>
    <t>ESTIMATION OF DC SIDE EARTHING</t>
  </si>
  <si>
    <r>
      <t xml:space="preserve">ENTER SOIL RESTIVITY       </t>
    </r>
    <r>
      <rPr>
        <b/>
        <sz val="11"/>
        <color theme="1"/>
        <rFont val="Calibri"/>
        <family val="2"/>
      </rPr>
      <t>ῤ=</t>
    </r>
  </si>
  <si>
    <t>ῼm</t>
  </si>
  <si>
    <t>CALCULATING THE EARTHING STRIP SIZE</t>
  </si>
  <si>
    <t>ENTER THE Isc OF THE SELECTED MODULE</t>
  </si>
  <si>
    <t>Amps</t>
  </si>
  <si>
    <t>ENTER THE NO. OF STRINGS CONNECTED TO THE INVERTER</t>
  </si>
  <si>
    <t>NO.</t>
  </si>
  <si>
    <t xml:space="preserve">ESTIMATING THE SHORT CIRCUIT CURRENT THAT CAN FLOW IN THE DC SIDE EARTHING SYSTEM                                                      </t>
  </si>
  <si>
    <t>Isc=Isc OF THE SELECTED PV MODULE*NO. OF STRING CONNECTED TO THE INVERTER*1.25    (1.25 IS THE DESIGN MARGIN)</t>
  </si>
  <si>
    <t>SO,             Isc=</t>
  </si>
  <si>
    <t>NOW USING THE conductor sizing FORMULA</t>
  </si>
  <si>
    <r>
      <t>A=(Isc*</t>
    </r>
    <r>
      <rPr>
        <b/>
        <sz val="18"/>
        <color theme="1"/>
        <rFont val="Calibri"/>
        <family val="2"/>
      </rPr>
      <t>√t)/k</t>
    </r>
  </si>
  <si>
    <t>HERE t= THE OPERATING TIME OF THE DISCONNECTING DEVICE</t>
  </si>
  <si>
    <t>k, IS THE CURRENT RATING OF THE VARIOUS PROTECTIVE EARTHING MATERIAL</t>
  </si>
  <si>
    <t>CONSIDER THE TABBLE BELOW</t>
  </si>
  <si>
    <t>CURRENT RATING OF VARIOUS PROTECTIVE EARTHING MATERIALS Amps</t>
  </si>
  <si>
    <t>TIME/MATERIAL</t>
  </si>
  <si>
    <t>COPPER</t>
  </si>
  <si>
    <t>ALUMINIUM</t>
  </si>
  <si>
    <t>STEEL</t>
  </si>
  <si>
    <t>1sec   CURRENT RATING Amps/mm²</t>
  </si>
  <si>
    <t>3sec   CURRENT RATING Amps/mm²</t>
  </si>
  <si>
    <t>ENTER THE SELECTED VALUE OF         t =</t>
  </si>
  <si>
    <t>sec</t>
  </si>
  <si>
    <t>ENTER THE SELECTED VALUE OF         k=</t>
  </si>
  <si>
    <t>THEREFORE THE CALCULATED CONDUCTER SIZE IS   "A"=</t>
  </si>
  <si>
    <t>mm²</t>
  </si>
  <si>
    <t>STANDARD VALUE AVAILABLE IN THE MARKET</t>
  </si>
  <si>
    <r>
      <t>25*3 mm</t>
    </r>
    <r>
      <rPr>
        <b/>
        <sz val="11"/>
        <color rgb="FFFF0000"/>
        <rFont val="Calibri"/>
        <family val="2"/>
      </rPr>
      <t>² G.I. STRIP</t>
    </r>
    <r>
      <rPr>
        <b/>
        <sz val="11"/>
        <color rgb="FFFF0000"/>
        <rFont val="Calibri"/>
        <family val="2"/>
        <scheme val="minor"/>
      </rPr>
      <t xml:space="preserve"> i.e 75 mm²</t>
    </r>
  </si>
  <si>
    <t>FOR APPLICABLE CORROSION FACTOR OF 15% FROM THE FOLLOWING TABLE:</t>
  </si>
  <si>
    <t>TYPE OF LAYING OF THE EARTH CONDUCTOR</t>
  </si>
  <si>
    <t>ALLOWANCE TO BE CONSIDERED</t>
  </si>
  <si>
    <t>CONDUCTORS LAIED TO SOIL HAVING RESISTIVITY GREATER THAN 100 ohm-meters</t>
  </si>
  <si>
    <t>0% corrosion</t>
  </si>
  <si>
    <t>CONDUCTORS LAIED TO SOIL HAVING RESISTIVITY from 25 to 100 ohm-meters</t>
  </si>
  <si>
    <t>15% corrosion</t>
  </si>
  <si>
    <t>conductor laid in soil having resistivity lower than 25ohm-meters</t>
  </si>
  <si>
    <t>30% corrosion</t>
  </si>
  <si>
    <t>enter the selected corrosion factor from above table =</t>
  </si>
  <si>
    <t>%</t>
  </si>
  <si>
    <t>i.e.</t>
  </si>
  <si>
    <t>CF</t>
  </si>
  <si>
    <t>now multiplying the value of "A" with corrosion factor CF</t>
  </si>
  <si>
    <t>so        A=</t>
  </si>
  <si>
    <r>
      <t>mm</t>
    </r>
    <r>
      <rPr>
        <b/>
        <sz val="11"/>
        <color theme="1"/>
        <rFont val="Calibri"/>
        <family val="2"/>
      </rPr>
      <t>²</t>
    </r>
  </si>
  <si>
    <t>Now Earth resistance due to earthing pit is given as :</t>
  </si>
  <si>
    <t>where "L" is the length of the GI pipe</t>
  </si>
  <si>
    <t>and "d" is the diameter of the pipe</t>
  </si>
  <si>
    <t>where R1 is the equivalent resistance / no. of earth pits</t>
  </si>
  <si>
    <t>ENTER THE VALUE OF L=</t>
  </si>
  <si>
    <t>cm</t>
  </si>
  <si>
    <t>ENTER THE VALUE OF d =</t>
  </si>
  <si>
    <t>SO      R=</t>
  </si>
  <si>
    <t>ῼ</t>
  </si>
  <si>
    <t>enter the no. of earthing pits for inverter</t>
  </si>
  <si>
    <t>enter the no. of earthing pits for ACDB</t>
  </si>
  <si>
    <t>TOTAL EARTHING PITS</t>
  </si>
  <si>
    <t>HENCE EQUIVALENT RESISTANCE OF INDIVIDUAL PIT IS = R1/NO. OF PITS</t>
  </si>
  <si>
    <t xml:space="preserve">HENCE EQUIVQLENT             R1= </t>
  </si>
  <si>
    <t>EARTHING RESISTANCE DUE TO EARTHING STRIP</t>
  </si>
  <si>
    <t>where "L" is the length of the GI STRIP</t>
  </si>
  <si>
    <t>where "W" is the depth of burial of electrode</t>
  </si>
  <si>
    <t>where "t" is the width of the strip</t>
  </si>
  <si>
    <t>ENTER THE VALUE OF W=</t>
  </si>
  <si>
    <t>ENTER THE VALUE OF t=</t>
  </si>
  <si>
    <t>SO      R2=</t>
  </si>
  <si>
    <t>HENCE R2 IS THE EQUIVALENT RESISTANCE DUE TO HORIZONTAL AND VERTICAL ELECTRODE</t>
  </si>
  <si>
    <t>Since the horizontal and vertical electrode are interconnected in parallel arrangement , the equivalent resistance of the PV yard is computed by the following formula</t>
  </si>
  <si>
    <t>so,       (R)parallel =</t>
  </si>
  <si>
    <r>
      <t>note : the value of (R)parallel should be less than 1</t>
    </r>
    <r>
      <rPr>
        <b/>
        <sz val="11"/>
        <color rgb="FFFF0000"/>
        <rFont val="Calibri"/>
        <family val="2"/>
      </rPr>
      <t>ῼ</t>
    </r>
    <r>
      <rPr>
        <b/>
        <sz val="11"/>
        <color rgb="FFFF0000"/>
        <rFont val="Calibri"/>
        <family val="2"/>
        <scheme val="minor"/>
      </rPr>
      <t xml:space="preserve"> for a propper earthing.</t>
    </r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</si>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</sst>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0" fontId="3" fillId="2" borderId="3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5" xfId="0" applyFont="1" applyFill="1" applyBorder="1" applyAlignment="1">
      <alignment horizontal="center"/>
    </xf>
    <xf numFmtId="0" fontId="0" fillId="2" borderId="5" xfId="0" applyFill="1" applyBorder="1"/>
    <xf numFmtId="0" fontId="0" fillId="2" borderId="1" xfId="0" applyFill="1" applyBorder="1" applyAlignment="1">
      <alignment horizontal="center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/>
    <xf numFmtId="0" fontId="1" fillId="2" borderId="5" xfId="0" applyFont="1" applyFill="1" applyBorder="1"/>
    <xf numFmtId="0" fontId="0" fillId="2" borderId="0" xfId="0" applyFill="1" applyAlignment="1">
      <alignment horizontal="center"/>
    </xf>
    <xf numFmtId="0" fontId="0" fillId="2" borderId="9" xfId="0" applyFill="1" applyBorder="1"/>
    <xf numFmtId="0" fontId="4" fillId="2" borderId="5" xfId="0" applyFont="1" applyFill="1" applyBorder="1"/>
    <xf numFmtId="0" fontId="4" fillId="2" borderId="9" xfId="0" applyFont="1" applyFill="1" applyBorder="1"/>
    <xf numFmtId="0" fontId="0" fillId="3" borderId="0" xfId="0" applyFill="1"/>
    <xf numFmtId="0" fontId="9" fillId="0" borderId="0" xfId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7" fillId="2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54</xdr:row>
      <xdr:rowOff>85725</xdr:rowOff>
    </xdr:from>
    <xdr:to>
      <xdr:col>5</xdr:col>
      <xdr:colOff>200363</xdr:colOff>
      <xdr:row>54</xdr:row>
      <xdr:rowOff>952621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0349C3-B720-4054-84D0-E46CDD785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3954125"/>
          <a:ext cx="2419688" cy="866896"/>
        </a:xfrm>
        <a:prstGeom prst="rect">
          <a:avLst/>
        </a:prstGeom>
      </xdr:spPr>
    </xdr:pic>
    <xdr:clientData/>
  </xdr:twoCellAnchor>
  <xdr:twoCellAnchor editAs="oneCell">
    <xdr:from>
      <xdr:col>1</xdr:col>
      <xdr:colOff>365522</xdr:colOff>
      <xdr:row>39</xdr:row>
      <xdr:rowOff>65484</xdr:rowOff>
    </xdr:from>
    <xdr:to>
      <xdr:col>5</xdr:col>
      <xdr:colOff>527810</xdr:colOff>
      <xdr:row>39</xdr:row>
      <xdr:rowOff>932380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12D792-28CE-4B7D-8B75-349F68FF9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522" y="10285809"/>
          <a:ext cx="2600688" cy="86689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64</xdr:row>
      <xdr:rowOff>19050</xdr:rowOff>
    </xdr:from>
    <xdr:to>
      <xdr:col>5</xdr:col>
      <xdr:colOff>409575</xdr:colOff>
      <xdr:row>64</xdr:row>
      <xdr:rowOff>1057913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6DE88C-FDD4-44F9-9E32-45B2F649A8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22" t="30872" b="50472"/>
        <a:stretch/>
      </xdr:blipFill>
      <xdr:spPr>
        <a:xfrm>
          <a:off x="476250" y="17230725"/>
          <a:ext cx="2752725" cy="1038863"/>
        </a:xfrm>
        <a:prstGeom prst="rect">
          <a:avLst/>
        </a:prstGeom>
      </xdr:spPr>
    </xdr:pic>
    <xdr:clientData/>
  </xdr:twoCellAnchor>
  <xdr:twoCellAnchor editAs="oneCell">
    <xdr:from>
      <xdr:col>0</xdr:col>
      <xdr:colOff>53341</xdr:colOff>
      <xdr:row>1</xdr:row>
      <xdr:rowOff>76200</xdr:rowOff>
    </xdr:from>
    <xdr:to>
      <xdr:col>1</xdr:col>
      <xdr:colOff>441961</xdr:colOff>
      <xdr:row>2</xdr:row>
      <xdr:rowOff>129013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EB3D3-BFF8-49F2-873B-02360926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259080"/>
          <a:ext cx="777240" cy="235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selection activeCell="K10" sqref="K10"/>
    </sheetView>
  </sheetViews>
  <sheetFormatPr defaultRowHeight="14.4" x14ac:dyDescent="0.3"/>
  <cols>
    <col min="1" max="1" width="5.6640625" customWidth="1"/>
    <col min="6" max="6" width="13" customWidth="1"/>
    <col min="9" max="9" width="7.109375" customWidth="1"/>
  </cols>
  <sheetData>
    <row r="1" spans="1:11" x14ac:dyDescent="0.3">
      <c r="A1" s="21" t="s">
        <v>0</v>
      </c>
      <c r="B1" s="19" t="s">
        <v>1</v>
      </c>
      <c r="C1" s="19"/>
      <c r="D1" s="19"/>
      <c r="E1" s="19"/>
      <c r="F1" s="19"/>
      <c r="G1" s="19"/>
      <c r="H1" s="19"/>
      <c r="I1" s="22"/>
      <c r="K1" s="18" t="s">
        <v>73</v>
      </c>
    </row>
    <row r="2" spans="1:11" x14ac:dyDescent="0.3">
      <c r="A2" s="21"/>
      <c r="B2" s="19"/>
      <c r="C2" s="19"/>
      <c r="D2" s="19"/>
      <c r="E2" s="19"/>
      <c r="F2" s="19"/>
      <c r="G2" s="19"/>
      <c r="H2" s="19"/>
      <c r="I2" s="22"/>
      <c r="K2" t="s">
        <v>74</v>
      </c>
    </row>
    <row r="3" spans="1:11" ht="31.2" customHeight="1" x14ac:dyDescent="0.3">
      <c r="A3" s="21"/>
      <c r="B3" s="20"/>
      <c r="C3" s="20"/>
      <c r="D3" s="20"/>
      <c r="E3" s="20"/>
      <c r="F3" s="20"/>
      <c r="G3" s="20"/>
      <c r="H3" s="20"/>
      <c r="I3" s="23"/>
    </row>
    <row r="4" spans="1:11" ht="23.4" x14ac:dyDescent="0.45">
      <c r="A4" s="1"/>
      <c r="B4" s="41" t="s">
        <v>2</v>
      </c>
      <c r="C4" s="41"/>
      <c r="D4" s="41"/>
      <c r="E4" s="41"/>
      <c r="F4" s="41"/>
      <c r="G4" s="41"/>
      <c r="H4" s="41"/>
      <c r="I4" s="2"/>
    </row>
    <row r="5" spans="1:11" x14ac:dyDescent="0.3">
      <c r="A5" s="1"/>
      <c r="B5" s="32" t="s">
        <v>3</v>
      </c>
      <c r="C5" s="32"/>
      <c r="D5" s="32"/>
      <c r="E5" s="4">
        <v>50</v>
      </c>
      <c r="F5" s="5" t="s">
        <v>4</v>
      </c>
      <c r="G5" s="1"/>
      <c r="H5" s="1"/>
      <c r="I5" s="17"/>
    </row>
    <row r="6" spans="1:11" x14ac:dyDescent="0.3">
      <c r="A6" s="1">
        <v>1</v>
      </c>
      <c r="B6" s="32" t="s">
        <v>5</v>
      </c>
      <c r="C6" s="32"/>
      <c r="D6" s="32"/>
      <c r="E6" s="32"/>
      <c r="F6" s="32"/>
      <c r="G6" s="32"/>
      <c r="H6" s="32"/>
      <c r="I6" s="1"/>
    </row>
    <row r="7" spans="1:11" x14ac:dyDescent="0.3">
      <c r="A7" s="1"/>
      <c r="B7" s="32" t="s">
        <v>6</v>
      </c>
      <c r="C7" s="32"/>
      <c r="D7" s="32"/>
      <c r="E7" s="32"/>
      <c r="F7" s="1">
        <v>9.02</v>
      </c>
      <c r="G7" s="6" t="s">
        <v>7</v>
      </c>
      <c r="H7" s="1"/>
      <c r="I7" s="1"/>
    </row>
    <row r="8" spans="1:11" x14ac:dyDescent="0.3">
      <c r="A8" s="1"/>
      <c r="B8" s="42" t="s">
        <v>8</v>
      </c>
      <c r="C8" s="43"/>
      <c r="D8" s="43"/>
      <c r="E8" s="43"/>
      <c r="F8" s="4">
        <v>4</v>
      </c>
      <c r="G8" s="6" t="s">
        <v>9</v>
      </c>
      <c r="H8" s="1"/>
      <c r="I8" s="1"/>
    </row>
    <row r="9" spans="1:11" x14ac:dyDescent="0.3">
      <c r="A9" s="1"/>
      <c r="B9" s="25" t="s">
        <v>10</v>
      </c>
      <c r="C9" s="25"/>
      <c r="D9" s="25"/>
      <c r="E9" s="25"/>
      <c r="F9" s="25"/>
      <c r="G9" s="25"/>
      <c r="H9" s="25"/>
      <c r="I9" s="1"/>
    </row>
    <row r="10" spans="1:11" x14ac:dyDescent="0.3">
      <c r="A10" s="1"/>
      <c r="B10" s="25" t="s">
        <v>11</v>
      </c>
      <c r="C10" s="25"/>
      <c r="D10" s="25"/>
      <c r="E10" s="25"/>
      <c r="F10" s="25"/>
      <c r="G10" s="25"/>
      <c r="H10" s="25"/>
      <c r="I10" s="1"/>
    </row>
    <row r="11" spans="1:11" x14ac:dyDescent="0.3">
      <c r="A11" s="1"/>
      <c r="B11" s="33" t="s">
        <v>12</v>
      </c>
      <c r="C11" s="33"/>
      <c r="D11" s="8">
        <f>F7*F8*1.25</f>
        <v>45.099999999999994</v>
      </c>
      <c r="E11" s="8" t="s">
        <v>7</v>
      </c>
      <c r="F11" s="1"/>
      <c r="G11" s="1"/>
      <c r="H11" s="1"/>
      <c r="I11" s="1"/>
    </row>
    <row r="12" spans="1:11" x14ac:dyDescent="0.3">
      <c r="A12" s="1"/>
      <c r="B12" s="32" t="s">
        <v>13</v>
      </c>
      <c r="C12" s="32"/>
      <c r="D12" s="32"/>
      <c r="E12" s="32"/>
      <c r="F12" s="32"/>
      <c r="G12" s="32"/>
      <c r="H12" s="32"/>
      <c r="I12" s="1"/>
    </row>
    <row r="13" spans="1:11" ht="23.4" x14ac:dyDescent="0.45">
      <c r="A13" s="1"/>
      <c r="B13" s="41" t="s">
        <v>14</v>
      </c>
      <c r="C13" s="26"/>
      <c r="D13" s="26"/>
      <c r="E13" s="26"/>
      <c r="F13" s="26"/>
      <c r="G13" s="26"/>
      <c r="H13" s="26"/>
      <c r="I13" s="1"/>
    </row>
    <row r="14" spans="1:11" x14ac:dyDescent="0.3">
      <c r="A14" s="1"/>
      <c r="B14" s="33" t="s">
        <v>15</v>
      </c>
      <c r="C14" s="33"/>
      <c r="D14" s="33"/>
      <c r="E14" s="33"/>
      <c r="F14" s="33"/>
      <c r="G14" s="33"/>
      <c r="H14" s="33"/>
      <c r="I14" s="1"/>
    </row>
    <row r="15" spans="1:11" x14ac:dyDescent="0.3">
      <c r="A15" s="1"/>
      <c r="B15" s="25" t="s">
        <v>16</v>
      </c>
      <c r="C15" s="25"/>
      <c r="D15" s="25"/>
      <c r="E15" s="25"/>
      <c r="F15" s="25"/>
      <c r="G15" s="25"/>
      <c r="H15" s="25"/>
      <c r="I15" s="10"/>
    </row>
    <row r="16" spans="1:11" x14ac:dyDescent="0.3">
      <c r="A16" s="1"/>
      <c r="B16" s="33" t="s">
        <v>17</v>
      </c>
      <c r="C16" s="33"/>
      <c r="D16" s="33"/>
      <c r="E16" s="1"/>
      <c r="F16" s="1"/>
      <c r="G16" s="1"/>
      <c r="H16" s="1"/>
      <c r="I16" s="1"/>
    </row>
    <row r="17" spans="1:9" x14ac:dyDescent="0.3">
      <c r="A17" s="1"/>
      <c r="B17" s="32" t="s">
        <v>18</v>
      </c>
      <c r="C17" s="32"/>
      <c r="D17" s="32"/>
      <c r="E17" s="32"/>
      <c r="F17" s="32"/>
      <c r="G17" s="32"/>
      <c r="H17" s="32"/>
      <c r="I17" s="1"/>
    </row>
    <row r="18" spans="1:9" x14ac:dyDescent="0.3">
      <c r="A18" s="1"/>
      <c r="B18" s="38" t="s">
        <v>19</v>
      </c>
      <c r="C18" s="38"/>
      <c r="D18" s="38"/>
      <c r="E18" s="6" t="s">
        <v>20</v>
      </c>
      <c r="F18" s="11" t="s">
        <v>21</v>
      </c>
      <c r="G18" s="3" t="s">
        <v>22</v>
      </c>
      <c r="H18" s="1"/>
      <c r="I18" s="1"/>
    </row>
    <row r="19" spans="1:9" x14ac:dyDescent="0.3">
      <c r="A19" s="1"/>
      <c r="B19" s="39" t="s">
        <v>23</v>
      </c>
      <c r="C19" s="39"/>
      <c r="D19" s="39"/>
      <c r="E19" s="9">
        <v>205</v>
      </c>
      <c r="F19" s="9">
        <v>126</v>
      </c>
      <c r="G19" s="9">
        <v>80</v>
      </c>
      <c r="H19" s="1"/>
      <c r="I19" s="1"/>
    </row>
    <row r="20" spans="1:9" x14ac:dyDescent="0.3">
      <c r="A20" s="1"/>
      <c r="B20" s="39" t="s">
        <v>24</v>
      </c>
      <c r="C20" s="39"/>
      <c r="D20" s="39"/>
      <c r="E20" s="9">
        <v>118</v>
      </c>
      <c r="F20" s="9">
        <v>73</v>
      </c>
      <c r="G20" s="9">
        <v>46</v>
      </c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32" t="s">
        <v>25</v>
      </c>
      <c r="C22" s="32"/>
      <c r="D22" s="32"/>
      <c r="E22" s="32"/>
      <c r="F22" s="4">
        <v>3</v>
      </c>
      <c r="G22" s="6" t="s">
        <v>26</v>
      </c>
      <c r="H22" s="1"/>
      <c r="I22" s="1"/>
    </row>
    <row r="23" spans="1:9" x14ac:dyDescent="0.3">
      <c r="A23" s="1"/>
      <c r="B23" s="32" t="s">
        <v>27</v>
      </c>
      <c r="C23" s="32"/>
      <c r="D23" s="32"/>
      <c r="E23" s="32"/>
      <c r="F23" s="4">
        <v>46</v>
      </c>
      <c r="G23" s="6" t="s">
        <v>7</v>
      </c>
      <c r="H23" s="1"/>
      <c r="I23" s="1"/>
    </row>
    <row r="24" spans="1:9" x14ac:dyDescent="0.3">
      <c r="A24" s="1"/>
      <c r="B24" s="40" t="s">
        <v>28</v>
      </c>
      <c r="C24" s="40"/>
      <c r="D24" s="40"/>
      <c r="E24" s="40"/>
      <c r="F24" s="40"/>
      <c r="G24" s="4">
        <f>(D11*SQRT(F22))/F23</f>
        <v>1.6981628569860077</v>
      </c>
      <c r="H24" s="1" t="s">
        <v>29</v>
      </c>
      <c r="I24" s="1"/>
    </row>
    <row r="25" spans="1:9" x14ac:dyDescent="0.3">
      <c r="A25" s="1"/>
      <c r="B25" s="32" t="s">
        <v>30</v>
      </c>
      <c r="C25" s="32"/>
      <c r="D25" s="32"/>
      <c r="E25" s="32"/>
      <c r="F25" s="32"/>
      <c r="G25" s="32"/>
      <c r="H25" s="1"/>
      <c r="I25" s="1"/>
    </row>
    <row r="26" spans="1:9" x14ac:dyDescent="0.3">
      <c r="A26" s="1"/>
      <c r="B26" s="28" t="s">
        <v>31</v>
      </c>
      <c r="C26" s="28"/>
      <c r="D26" s="28"/>
      <c r="E26" s="28"/>
      <c r="F26" s="28"/>
      <c r="G26" s="28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32" t="s">
        <v>32</v>
      </c>
      <c r="C28" s="32"/>
      <c r="D28" s="32"/>
      <c r="E28" s="32"/>
      <c r="F28" s="32"/>
      <c r="G28" s="32"/>
      <c r="H28" s="32"/>
      <c r="I28" s="1"/>
    </row>
    <row r="29" spans="1:9" x14ac:dyDescent="0.3">
      <c r="A29" s="1"/>
      <c r="B29" s="25" t="s">
        <v>33</v>
      </c>
      <c r="C29" s="25"/>
      <c r="D29" s="25"/>
      <c r="E29" s="37" t="s">
        <v>34</v>
      </c>
      <c r="F29" s="37"/>
      <c r="G29" s="37"/>
      <c r="H29" s="37"/>
      <c r="I29" s="1"/>
    </row>
    <row r="30" spans="1:9" x14ac:dyDescent="0.3">
      <c r="A30" s="1"/>
      <c r="B30" s="25" t="s">
        <v>35</v>
      </c>
      <c r="C30" s="25"/>
      <c r="D30" s="25"/>
      <c r="E30" s="37" t="s">
        <v>36</v>
      </c>
      <c r="F30" s="37"/>
      <c r="G30" s="37"/>
      <c r="H30" s="37"/>
      <c r="I30" s="1"/>
    </row>
    <row r="31" spans="1:9" x14ac:dyDescent="0.3">
      <c r="A31" s="1"/>
      <c r="B31" s="25" t="s">
        <v>37</v>
      </c>
      <c r="C31" s="25"/>
      <c r="D31" s="25"/>
      <c r="E31" s="37" t="s">
        <v>38</v>
      </c>
      <c r="F31" s="37"/>
      <c r="G31" s="37"/>
      <c r="H31" s="37"/>
      <c r="I31" s="1"/>
    </row>
    <row r="32" spans="1:9" x14ac:dyDescent="0.3">
      <c r="A32" s="1"/>
      <c r="B32" s="25" t="s">
        <v>39</v>
      </c>
      <c r="C32" s="25"/>
      <c r="D32" s="25"/>
      <c r="E32" s="34" t="s">
        <v>40</v>
      </c>
      <c r="F32" s="35"/>
      <c r="G32" s="35"/>
      <c r="H32" s="36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32" t="s">
        <v>41</v>
      </c>
      <c r="C34" s="32"/>
      <c r="D34" s="32"/>
      <c r="E34" s="32"/>
      <c r="F34" s="32"/>
      <c r="G34" s="4">
        <v>15</v>
      </c>
      <c r="H34" s="6" t="s">
        <v>42</v>
      </c>
      <c r="I34" s="1"/>
    </row>
    <row r="35" spans="1:9" x14ac:dyDescent="0.3">
      <c r="A35" s="1"/>
      <c r="B35" s="1"/>
      <c r="C35" s="1"/>
      <c r="D35" s="1"/>
      <c r="E35" s="1"/>
      <c r="F35" s="12" t="s">
        <v>43</v>
      </c>
      <c r="G35" s="8">
        <f>(G34/100)+1</f>
        <v>1.1499999999999999</v>
      </c>
      <c r="H35" s="12" t="s">
        <v>44</v>
      </c>
      <c r="I35" s="1"/>
    </row>
    <row r="36" spans="1:9" x14ac:dyDescent="0.3">
      <c r="A36" s="1"/>
      <c r="B36" s="32" t="s">
        <v>45</v>
      </c>
      <c r="C36" s="32"/>
      <c r="D36" s="32"/>
      <c r="E36" s="32"/>
      <c r="F36" s="32"/>
      <c r="G36" s="32"/>
      <c r="H36" s="32"/>
      <c r="I36" s="1"/>
    </row>
    <row r="37" spans="1:9" x14ac:dyDescent="0.3">
      <c r="A37" s="1"/>
      <c r="B37" s="1"/>
      <c r="C37" s="6" t="s">
        <v>46</v>
      </c>
      <c r="D37" s="4">
        <f>G24*G35</f>
        <v>1.9528872855339086</v>
      </c>
      <c r="E37" s="6" t="s">
        <v>47</v>
      </c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>
        <v>2</v>
      </c>
      <c r="B39" s="32" t="s">
        <v>48</v>
      </c>
      <c r="C39" s="32"/>
      <c r="D39" s="32"/>
      <c r="E39" s="32"/>
      <c r="F39" s="32"/>
      <c r="G39" s="1"/>
      <c r="H39" s="1"/>
      <c r="I39" s="1"/>
    </row>
    <row r="40" spans="1:9" ht="80.25" customHeight="1" x14ac:dyDescent="0.3">
      <c r="A40" s="1"/>
      <c r="B40" s="26"/>
      <c r="C40" s="26"/>
      <c r="D40" s="26"/>
      <c r="E40" s="26"/>
      <c r="F40" s="26"/>
      <c r="G40" s="1"/>
      <c r="H40" s="1"/>
      <c r="I40" s="1"/>
    </row>
    <row r="41" spans="1:9" x14ac:dyDescent="0.3">
      <c r="A41" s="1"/>
      <c r="B41" s="32" t="s">
        <v>49</v>
      </c>
      <c r="C41" s="32"/>
      <c r="D41" s="32"/>
      <c r="E41" s="32"/>
      <c r="F41" s="32"/>
      <c r="G41" s="1"/>
      <c r="H41" s="1"/>
      <c r="I41" s="1"/>
    </row>
    <row r="42" spans="1:9" x14ac:dyDescent="0.3">
      <c r="A42" s="1"/>
      <c r="B42" s="32" t="s">
        <v>50</v>
      </c>
      <c r="C42" s="32"/>
      <c r="D42" s="32"/>
      <c r="E42" s="32"/>
      <c r="F42" s="32"/>
      <c r="G42" s="1"/>
      <c r="H42" s="1"/>
      <c r="I42" s="1"/>
    </row>
    <row r="43" spans="1:9" x14ac:dyDescent="0.3">
      <c r="A43" s="1"/>
      <c r="B43" s="29" t="s">
        <v>51</v>
      </c>
      <c r="C43" s="30"/>
      <c r="D43" s="30"/>
      <c r="E43" s="30"/>
      <c r="F43" s="31"/>
      <c r="G43" s="1"/>
      <c r="H43" s="1"/>
      <c r="I43" s="1"/>
    </row>
    <row r="44" spans="1:9" x14ac:dyDescent="0.3">
      <c r="A44" s="1"/>
      <c r="B44" s="32" t="s">
        <v>52</v>
      </c>
      <c r="C44" s="32"/>
      <c r="D44" s="32"/>
      <c r="E44" s="4">
        <v>300</v>
      </c>
      <c r="F44" s="6" t="s">
        <v>53</v>
      </c>
      <c r="G44" s="1"/>
      <c r="H44" s="1"/>
      <c r="I44" s="1"/>
    </row>
    <row r="45" spans="1:9" x14ac:dyDescent="0.3">
      <c r="A45" s="1"/>
      <c r="B45" s="32" t="s">
        <v>54</v>
      </c>
      <c r="C45" s="32"/>
      <c r="D45" s="32"/>
      <c r="E45" s="4">
        <v>2.5</v>
      </c>
      <c r="F45" s="6" t="s">
        <v>53</v>
      </c>
      <c r="G45" s="1"/>
      <c r="H45" s="1"/>
      <c r="I45" s="1"/>
    </row>
    <row r="46" spans="1:9" x14ac:dyDescent="0.3">
      <c r="A46" s="1"/>
      <c r="B46" s="6" t="s">
        <v>55</v>
      </c>
      <c r="C46" s="4">
        <f>((100*E5)/(2*3.14*E44))*LN((4*E44)/E45)</f>
        <v>16.38478265366756</v>
      </c>
      <c r="D46" s="5" t="s">
        <v>56</v>
      </c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32" t="s">
        <v>57</v>
      </c>
      <c r="C48" s="32"/>
      <c r="D48" s="32"/>
      <c r="E48" s="32"/>
      <c r="F48" s="9">
        <v>2</v>
      </c>
      <c r="G48" s="1"/>
      <c r="H48" s="1"/>
      <c r="I48" s="1"/>
    </row>
    <row r="49" spans="1:9" x14ac:dyDescent="0.3">
      <c r="A49" s="1"/>
      <c r="B49" s="32" t="s">
        <v>58</v>
      </c>
      <c r="C49" s="32"/>
      <c r="D49" s="32"/>
      <c r="E49" s="32"/>
      <c r="F49" s="9">
        <v>2</v>
      </c>
      <c r="G49" s="1"/>
      <c r="H49" s="1"/>
      <c r="I49" s="1"/>
    </row>
    <row r="50" spans="1:9" x14ac:dyDescent="0.3">
      <c r="A50" s="1"/>
      <c r="B50" s="33" t="s">
        <v>59</v>
      </c>
      <c r="C50" s="33"/>
      <c r="D50" s="33"/>
      <c r="E50" s="7">
        <f>F48+F49</f>
        <v>4</v>
      </c>
      <c r="F50" s="13"/>
      <c r="G50" s="1"/>
      <c r="H50" s="1"/>
      <c r="I50" s="1"/>
    </row>
    <row r="51" spans="1:9" x14ac:dyDescent="0.3">
      <c r="A51" s="1"/>
      <c r="B51" s="32" t="s">
        <v>60</v>
      </c>
      <c r="C51" s="32"/>
      <c r="D51" s="32"/>
      <c r="E51" s="32"/>
      <c r="F51" s="32"/>
      <c r="G51" s="32"/>
      <c r="H51" s="32"/>
      <c r="I51" s="1"/>
    </row>
    <row r="52" spans="1:9" x14ac:dyDescent="0.3">
      <c r="A52" s="1"/>
      <c r="B52" s="32" t="s">
        <v>61</v>
      </c>
      <c r="C52" s="32"/>
      <c r="D52" s="32"/>
      <c r="E52" s="4">
        <f>C46/E50</f>
        <v>4.0961956634168901</v>
      </c>
      <c r="F52" s="5" t="s">
        <v>56</v>
      </c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>
        <v>3</v>
      </c>
      <c r="B54" s="21" t="s">
        <v>62</v>
      </c>
      <c r="C54" s="21"/>
      <c r="D54" s="21"/>
      <c r="E54" s="21"/>
      <c r="F54" s="21"/>
      <c r="G54" s="21"/>
      <c r="H54" s="21"/>
      <c r="I54" s="1"/>
    </row>
    <row r="55" spans="1:9" ht="80.25" customHeight="1" x14ac:dyDescent="0.3">
      <c r="A55" s="1"/>
      <c r="B55" s="26"/>
      <c r="C55" s="26"/>
      <c r="D55" s="26"/>
      <c r="E55" s="26"/>
      <c r="F55" s="26"/>
      <c r="G55" s="1"/>
      <c r="H55" s="1"/>
      <c r="I55" s="1"/>
    </row>
    <row r="56" spans="1:9" x14ac:dyDescent="0.3">
      <c r="A56" s="1"/>
      <c r="B56" s="32" t="s">
        <v>63</v>
      </c>
      <c r="C56" s="32"/>
      <c r="D56" s="32"/>
      <c r="E56" s="32"/>
      <c r="F56" s="32"/>
      <c r="G56" s="1"/>
      <c r="H56" s="1"/>
      <c r="I56" s="1"/>
    </row>
    <row r="57" spans="1:9" x14ac:dyDescent="0.3">
      <c r="A57" s="1"/>
      <c r="B57" s="29" t="s">
        <v>64</v>
      </c>
      <c r="C57" s="30"/>
      <c r="D57" s="30"/>
      <c r="E57" s="30"/>
      <c r="F57" s="31"/>
      <c r="G57" s="1"/>
      <c r="H57" s="1"/>
      <c r="I57" s="1"/>
    </row>
    <row r="58" spans="1:9" x14ac:dyDescent="0.3">
      <c r="A58" s="1"/>
      <c r="B58" s="29" t="s">
        <v>65</v>
      </c>
      <c r="C58" s="30"/>
      <c r="D58" s="30"/>
      <c r="E58" s="30"/>
      <c r="F58" s="31"/>
      <c r="G58" s="1"/>
      <c r="H58" s="1"/>
      <c r="I58" s="1"/>
    </row>
    <row r="59" spans="1:9" x14ac:dyDescent="0.3">
      <c r="A59" s="1"/>
      <c r="B59" s="32" t="s">
        <v>52</v>
      </c>
      <c r="C59" s="32"/>
      <c r="D59" s="32"/>
      <c r="E59" s="4">
        <v>20000</v>
      </c>
      <c r="F59" s="6" t="s">
        <v>53</v>
      </c>
      <c r="G59" s="1"/>
      <c r="H59" s="1"/>
      <c r="I59" s="1"/>
    </row>
    <row r="60" spans="1:9" x14ac:dyDescent="0.3">
      <c r="A60" s="1"/>
      <c r="B60" s="29" t="s">
        <v>66</v>
      </c>
      <c r="C60" s="30"/>
      <c r="D60" s="31"/>
      <c r="E60" s="4">
        <v>300</v>
      </c>
      <c r="F60" s="6" t="s">
        <v>53</v>
      </c>
      <c r="G60" s="1"/>
      <c r="H60" s="1"/>
      <c r="I60" s="1"/>
    </row>
    <row r="61" spans="1:9" x14ac:dyDescent="0.3">
      <c r="A61" s="1"/>
      <c r="B61" s="29" t="s">
        <v>67</v>
      </c>
      <c r="C61" s="30"/>
      <c r="D61" s="31"/>
      <c r="E61" s="14">
        <v>2.5</v>
      </c>
      <c r="F61" s="6" t="s">
        <v>53</v>
      </c>
      <c r="G61" s="1"/>
      <c r="H61" s="1"/>
      <c r="I61" s="1"/>
    </row>
    <row r="62" spans="1:9" x14ac:dyDescent="0.3">
      <c r="A62" s="1"/>
      <c r="B62" s="12" t="s">
        <v>68</v>
      </c>
      <c r="C62" s="8">
        <f>((100*E5)/(2*3.14*E59))*LN((2*E59*E59)/(E60*E61))</f>
        <v>0.55254972448653839</v>
      </c>
      <c r="D62" s="15" t="s">
        <v>56</v>
      </c>
      <c r="E62" s="1"/>
      <c r="F62" s="1"/>
      <c r="G62" s="1"/>
      <c r="H62" s="1"/>
      <c r="I62" s="1"/>
    </row>
    <row r="63" spans="1:9" x14ac:dyDescent="0.3">
      <c r="A63" s="1"/>
      <c r="B63" s="24" t="s">
        <v>69</v>
      </c>
      <c r="C63" s="24"/>
      <c r="D63" s="24"/>
      <c r="E63" s="24"/>
      <c r="F63" s="24"/>
      <c r="G63" s="1"/>
      <c r="H63" s="1"/>
      <c r="I63" s="1"/>
    </row>
    <row r="64" spans="1:9" x14ac:dyDescent="0.3">
      <c r="A64" s="1"/>
      <c r="B64" s="25" t="s">
        <v>70</v>
      </c>
      <c r="C64" s="25"/>
      <c r="D64" s="25"/>
      <c r="E64" s="25"/>
      <c r="F64" s="25"/>
      <c r="G64" s="25"/>
      <c r="H64" s="25"/>
      <c r="I64" s="1"/>
    </row>
    <row r="65" spans="1:9" ht="90" customHeight="1" x14ac:dyDescent="0.3">
      <c r="A65" s="1"/>
      <c r="B65" s="26"/>
      <c r="C65" s="26"/>
      <c r="D65" s="26"/>
      <c r="E65" s="26"/>
      <c r="F65" s="26"/>
      <c r="G65" s="1"/>
      <c r="H65" s="1"/>
      <c r="I65" s="1"/>
    </row>
    <row r="66" spans="1:9" x14ac:dyDescent="0.3">
      <c r="A66" s="1"/>
      <c r="B66" s="27" t="s">
        <v>71</v>
      </c>
      <c r="C66" s="27"/>
      <c r="D66" s="14">
        <f>(C62*E52)/(C62+E52)</f>
        <v>0.48687368233877859</v>
      </c>
      <c r="E66" s="16" t="s">
        <v>56</v>
      </c>
      <c r="F66" s="1"/>
      <c r="G66" s="1"/>
      <c r="H66" s="1"/>
      <c r="I66" s="1"/>
    </row>
    <row r="67" spans="1:9" ht="22.5" customHeight="1" x14ac:dyDescent="0.3">
      <c r="A67" s="1"/>
      <c r="B67" s="28" t="s">
        <v>72</v>
      </c>
      <c r="C67" s="28"/>
      <c r="D67" s="28"/>
      <c r="E67" s="28"/>
      <c r="F67" s="28"/>
      <c r="G67" s="28"/>
      <c r="H67" s="28"/>
      <c r="I67" s="1"/>
    </row>
  </sheetData>
  <mergeCells count="61">
    <mergeCell ref="B14:H14"/>
    <mergeCell ref="B4:H4"/>
    <mergeCell ref="B5:D5"/>
    <mergeCell ref="B6:H6"/>
    <mergeCell ref="B7:E7"/>
    <mergeCell ref="B8:E8"/>
    <mergeCell ref="B9:H9"/>
    <mergeCell ref="B10:H10"/>
    <mergeCell ref="B11:C11"/>
    <mergeCell ref="B12:H12"/>
    <mergeCell ref="B13:H13"/>
    <mergeCell ref="B28:H28"/>
    <mergeCell ref="B15:H15"/>
    <mergeCell ref="B16:D16"/>
    <mergeCell ref="B17:H17"/>
    <mergeCell ref="B18:D18"/>
    <mergeCell ref="B19:D19"/>
    <mergeCell ref="B20:D20"/>
    <mergeCell ref="B22:E22"/>
    <mergeCell ref="B23:E23"/>
    <mergeCell ref="B24:F24"/>
    <mergeCell ref="B25:G25"/>
    <mergeCell ref="B26:G26"/>
    <mergeCell ref="B45:D45"/>
    <mergeCell ref="B29:D29"/>
    <mergeCell ref="E29:H29"/>
    <mergeCell ref="B30:D30"/>
    <mergeCell ref="E30:H30"/>
    <mergeCell ref="B31:D31"/>
    <mergeCell ref="E31:H31"/>
    <mergeCell ref="B65:F65"/>
    <mergeCell ref="B66:C66"/>
    <mergeCell ref="B67:H67"/>
    <mergeCell ref="B61:D61"/>
    <mergeCell ref="B49:E49"/>
    <mergeCell ref="B50:D50"/>
    <mergeCell ref="B51:H51"/>
    <mergeCell ref="B52:D52"/>
    <mergeCell ref="B54:H54"/>
    <mergeCell ref="B55:F55"/>
    <mergeCell ref="B56:F56"/>
    <mergeCell ref="B57:F57"/>
    <mergeCell ref="B58:F58"/>
    <mergeCell ref="B59:D59"/>
    <mergeCell ref="B60:D60"/>
    <mergeCell ref="B1:H3"/>
    <mergeCell ref="A1:A3"/>
    <mergeCell ref="I1:I3"/>
    <mergeCell ref="B63:F63"/>
    <mergeCell ref="B64:H64"/>
    <mergeCell ref="B48:E48"/>
    <mergeCell ref="B32:D32"/>
    <mergeCell ref="E32:H32"/>
    <mergeCell ref="B34:F34"/>
    <mergeCell ref="B36:H36"/>
    <mergeCell ref="B39:F39"/>
    <mergeCell ref="B40:F40"/>
    <mergeCell ref="B41:F41"/>
    <mergeCell ref="B42:F42"/>
    <mergeCell ref="B43:F43"/>
    <mergeCell ref="B44:D44"/>
  </mergeCells>
  <hyperlinks>
    <hyperlink ref="K1" r:id="rId1" xr:uid="{1791A81F-71BB-4DF1-95C4-B05AEE85713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F784-A278-4082-B1E8-05CDED038A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earthing calculation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TEWARI HIMANSHU</dc:creator>
  <cp:lastModifiedBy>Ankesh Mishra</cp:lastModifiedBy>
  <dcterms:created xsi:type="dcterms:W3CDTF">2015-06-05T18:17:20Z</dcterms:created>
  <dcterms:modified xsi:type="dcterms:W3CDTF">2025-03-19T08:04:26Z</dcterms:modified>
</cp:coreProperties>
</file>