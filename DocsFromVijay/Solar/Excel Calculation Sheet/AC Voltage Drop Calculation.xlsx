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Excel Calculation Sheet\"/>
    </mc:Choice>
  </mc:AlternateContent>
  <xr:revisionPtr revIDLastSave="0" documentId="13_ncr:1_{19DBA5D8-C9EF-4032-AD62-3576C1B08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 Voltage Drop" sheetId="2" r:id="rId1"/>
    <sheet name="AC Voltage Drop" sheetId="4" r:id="rId2"/>
    <sheet name="AC Voltage Drop 25kW Inverter" sheetId="3" r:id="rId3"/>
    <sheet name="DC Voltage drop 25kW" sheetId="5" r:id="rId4"/>
    <sheet name="EARTH STRIP SIZE CALCULATION" sheetId="6" r:id="rId5"/>
    <sheet name="Earthing Calculation" sheetId="7" r:id="rId6"/>
    <sheet name="Termination" sheetId="8" r:id="rId7"/>
  </sheets>
  <definedNames>
    <definedName name="_xlnm.Print_Area" localSheetId="2">'AC Voltage Drop 25kW Inverter'!$A$1:$I$114</definedName>
    <definedName name="_xlnm.Print_Area" localSheetId="0">'DC Voltage Drop'!$A$1:$Q$41</definedName>
    <definedName name="_xlnm.Print_Area" localSheetId="3">'DC Voltage drop 25kW'!$A$1:$I$151</definedName>
    <definedName name="_xlnm.Print_Area" localSheetId="4">'EARTH STRIP SIZE CALCULATION'!$A$1:$I$55</definedName>
    <definedName name="_xlnm.Print_Area" localSheetId="5">'Earthing Calculation'!$A$1:$I$103</definedName>
    <definedName name="_xlnm.Print_Area" localSheetId="6">Termination!$A$1:$I$102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4" l="1"/>
  <c r="I35" i="4"/>
  <c r="I34" i="4"/>
  <c r="I33" i="4"/>
  <c r="I112" i="3"/>
  <c r="I114" i="3" s="1"/>
  <c r="G113" i="3"/>
  <c r="F105" i="3"/>
  <c r="F108" i="3" s="1"/>
  <c r="G108" i="3" s="1"/>
  <c r="I94" i="3"/>
  <c r="I33" i="8"/>
  <c r="F15" i="8"/>
  <c r="F18" i="8" s="1"/>
  <c r="G18" i="8" s="1"/>
  <c r="F29" i="6"/>
  <c r="E58" i="7"/>
  <c r="E39" i="7"/>
  <c r="E17" i="7" l="1"/>
  <c r="F44" i="6" l="1"/>
  <c r="F45" i="6" s="1"/>
  <c r="F46" i="6" s="1"/>
  <c r="E52" i="6" s="1"/>
  <c r="F30" i="6"/>
  <c r="F31" i="6" s="1"/>
  <c r="E37" i="6" s="1"/>
  <c r="E24" i="6"/>
  <c r="E54" i="6" s="1"/>
  <c r="I122" i="5"/>
  <c r="I118" i="5"/>
  <c r="I117" i="5"/>
  <c r="I116" i="5"/>
  <c r="I115" i="5"/>
  <c r="I107" i="5"/>
  <c r="I100" i="5"/>
  <c r="I94" i="5"/>
  <c r="I93" i="5"/>
  <c r="I92" i="5"/>
  <c r="I91" i="5"/>
  <c r="I81" i="5"/>
  <c r="I74" i="5"/>
  <c r="I72" i="5"/>
  <c r="I71" i="5"/>
  <c r="I70" i="5"/>
  <c r="I67" i="5"/>
  <c r="I59" i="5"/>
  <c r="I52" i="5"/>
  <c r="I50" i="5"/>
  <c r="I49" i="5"/>
  <c r="I44" i="5"/>
  <c r="I43" i="5"/>
  <c r="I35" i="5"/>
  <c r="I28" i="5"/>
  <c r="I26" i="5"/>
  <c r="I23" i="5"/>
  <c r="I22" i="5"/>
  <c r="I21" i="5"/>
  <c r="H123" i="5"/>
  <c r="H116" i="5"/>
  <c r="H111" i="5"/>
  <c r="H109" i="5"/>
  <c r="H101" i="5"/>
  <c r="H92" i="5"/>
  <c r="H87" i="5"/>
  <c r="H85" i="5"/>
  <c r="H77" i="5"/>
  <c r="H70" i="5"/>
  <c r="H63" i="5"/>
  <c r="H53" i="5"/>
  <c r="H44" i="5"/>
  <c r="H40" i="5"/>
  <c r="H37" i="5"/>
  <c r="H29" i="5"/>
  <c r="H22" i="5"/>
  <c r="H19" i="5"/>
  <c r="H15" i="5"/>
  <c r="G125" i="5"/>
  <c r="H125" i="5" s="1"/>
  <c r="G124" i="5"/>
  <c r="H124" i="5" s="1"/>
  <c r="G123" i="5"/>
  <c r="I123" i="5" s="1"/>
  <c r="G122" i="5"/>
  <c r="H122" i="5" s="1"/>
  <c r="G121" i="5"/>
  <c r="H121" i="5" s="1"/>
  <c r="G118" i="5"/>
  <c r="H118" i="5" s="1"/>
  <c r="G117" i="5"/>
  <c r="H117" i="5" s="1"/>
  <c r="G116" i="5"/>
  <c r="G115" i="5"/>
  <c r="H115" i="5" s="1"/>
  <c r="G114" i="5"/>
  <c r="I114" i="5" s="1"/>
  <c r="G111" i="5"/>
  <c r="I111" i="5" s="1"/>
  <c r="G110" i="5"/>
  <c r="I110" i="5" s="1"/>
  <c r="G109" i="5"/>
  <c r="I109" i="5" s="1"/>
  <c r="G108" i="5"/>
  <c r="H108" i="5" s="1"/>
  <c r="G107" i="5"/>
  <c r="H107" i="5" s="1"/>
  <c r="G104" i="5"/>
  <c r="H104" i="5" s="1"/>
  <c r="G103" i="5"/>
  <c r="H103" i="5" s="1"/>
  <c r="G102" i="5"/>
  <c r="H102" i="5" s="1"/>
  <c r="G101" i="5"/>
  <c r="I101" i="5" s="1"/>
  <c r="G100" i="5"/>
  <c r="H100" i="5" s="1"/>
  <c r="G95" i="5"/>
  <c r="H95" i="5" s="1"/>
  <c r="G94" i="5"/>
  <c r="H94" i="5" s="1"/>
  <c r="G93" i="5"/>
  <c r="H93" i="5" s="1"/>
  <c r="G92" i="5"/>
  <c r="G91" i="5"/>
  <c r="H91" i="5" s="1"/>
  <c r="G88" i="5"/>
  <c r="I88" i="5" s="1"/>
  <c r="G87" i="5"/>
  <c r="I87" i="5" s="1"/>
  <c r="G86" i="5"/>
  <c r="I86" i="5" s="1"/>
  <c r="G85" i="5"/>
  <c r="I85" i="5" s="1"/>
  <c r="G84" i="5"/>
  <c r="H84" i="5" s="1"/>
  <c r="G81" i="5"/>
  <c r="H81" i="5" s="1"/>
  <c r="G80" i="5"/>
  <c r="H80" i="5" s="1"/>
  <c r="G79" i="5"/>
  <c r="H79" i="5" s="1"/>
  <c r="G78" i="5"/>
  <c r="H78" i="5" s="1"/>
  <c r="G77" i="5"/>
  <c r="I77" i="5" s="1"/>
  <c r="G74" i="5"/>
  <c r="H74" i="5" s="1"/>
  <c r="G73" i="5"/>
  <c r="H73" i="5" s="1"/>
  <c r="G72" i="5"/>
  <c r="H72" i="5" s="1"/>
  <c r="G71" i="5"/>
  <c r="H71" i="5" s="1"/>
  <c r="G70" i="5"/>
  <c r="G67" i="5"/>
  <c r="H67" i="5" s="1"/>
  <c r="G66" i="5"/>
  <c r="I66" i="5" s="1"/>
  <c r="G65" i="5"/>
  <c r="I65" i="5" s="1"/>
  <c r="G64" i="5"/>
  <c r="I64" i="5" s="1"/>
  <c r="G63" i="5"/>
  <c r="I63" i="5" s="1"/>
  <c r="G60" i="5"/>
  <c r="H60" i="5" s="1"/>
  <c r="G59" i="5"/>
  <c r="H59" i="5" s="1"/>
  <c r="G58" i="5"/>
  <c r="H58" i="5" s="1"/>
  <c r="G57" i="5"/>
  <c r="H57" i="5" s="1"/>
  <c r="G56" i="5"/>
  <c r="H56" i="5" s="1"/>
  <c r="G53" i="5"/>
  <c r="I53" i="5" s="1"/>
  <c r="G52" i="5"/>
  <c r="H52" i="5" s="1"/>
  <c r="G51" i="5"/>
  <c r="H51" i="5" s="1"/>
  <c r="G50" i="5"/>
  <c r="H50" i="5" s="1"/>
  <c r="G49" i="5"/>
  <c r="H49" i="5" s="1"/>
  <c r="G44" i="5"/>
  <c r="G43" i="5"/>
  <c r="H43" i="5" s="1"/>
  <c r="G42" i="5"/>
  <c r="I42" i="5" s="1"/>
  <c r="G41" i="5"/>
  <c r="I41" i="5" s="1"/>
  <c r="G40" i="5"/>
  <c r="I40" i="5" s="1"/>
  <c r="G37" i="5"/>
  <c r="I37" i="5" s="1"/>
  <c r="G36" i="5"/>
  <c r="H36" i="5" s="1"/>
  <c r="G35" i="5"/>
  <c r="H35" i="5" s="1"/>
  <c r="G34" i="5"/>
  <c r="H34" i="5" s="1"/>
  <c r="G33" i="5"/>
  <c r="H33" i="5" s="1"/>
  <c r="G30" i="5"/>
  <c r="H30" i="5" s="1"/>
  <c r="G29" i="5"/>
  <c r="I29" i="5" s="1"/>
  <c r="G28" i="5"/>
  <c r="H28" i="5" s="1"/>
  <c r="G27" i="5"/>
  <c r="H27" i="5" s="1"/>
  <c r="G26" i="5"/>
  <c r="H26" i="5" s="1"/>
  <c r="G23" i="5"/>
  <c r="H23" i="5" s="1"/>
  <c r="G22" i="5"/>
  <c r="G21" i="5"/>
  <c r="H21" i="5" s="1"/>
  <c r="G20" i="5"/>
  <c r="I20" i="5" s="1"/>
  <c r="G19" i="5"/>
  <c r="I19" i="5" s="1"/>
  <c r="G16" i="5"/>
  <c r="H16" i="5" s="1"/>
  <c r="G15" i="5"/>
  <c r="I15" i="5" s="1"/>
  <c r="G14" i="5"/>
  <c r="H14" i="5" s="1"/>
  <c r="G13" i="5"/>
  <c r="I13" i="5" s="1"/>
  <c r="G12" i="5"/>
  <c r="H12" i="5" s="1"/>
  <c r="I96" i="3"/>
  <c r="G95" i="3"/>
  <c r="F87" i="3"/>
  <c r="G90" i="3" s="1"/>
  <c r="I75" i="3"/>
  <c r="I74" i="3"/>
  <c r="I73" i="3"/>
  <c r="I72" i="3"/>
  <c r="I44" i="3"/>
  <c r="F65" i="3"/>
  <c r="G68" i="3" s="1"/>
  <c r="G76" i="3"/>
  <c r="G54" i="3"/>
  <c r="G48" i="3"/>
  <c r="G42" i="3"/>
  <c r="I53" i="3"/>
  <c r="I52" i="3"/>
  <c r="I51" i="3"/>
  <c r="I50" i="3"/>
  <c r="I35" i="3"/>
  <c r="I32" i="3"/>
  <c r="I47" i="3"/>
  <c r="I46" i="3"/>
  <c r="I45" i="3"/>
  <c r="I41" i="3"/>
  <c r="I40" i="3"/>
  <c r="I39" i="3"/>
  <c r="I38" i="3"/>
  <c r="I34" i="3"/>
  <c r="G36" i="3"/>
  <c r="I33" i="3"/>
  <c r="F14" i="3"/>
  <c r="G17" i="3" s="1"/>
  <c r="I32" i="4"/>
  <c r="G37" i="4"/>
  <c r="F14" i="4"/>
  <c r="G17" i="4" s="1"/>
  <c r="G39" i="2"/>
  <c r="H39" i="2" s="1"/>
  <c r="G38" i="2"/>
  <c r="I38" i="2" s="1"/>
  <c r="G37" i="2"/>
  <c r="I37" i="2" s="1"/>
  <c r="G36" i="2"/>
  <c r="I36" i="2" s="1"/>
  <c r="G33" i="2"/>
  <c r="H33" i="2" s="1"/>
  <c r="G32" i="2"/>
  <c r="H32" i="2" s="1"/>
  <c r="G31" i="2"/>
  <c r="I31" i="2" s="1"/>
  <c r="G30" i="2"/>
  <c r="H30" i="2" s="1"/>
  <c r="G27" i="2"/>
  <c r="H27" i="2" s="1"/>
  <c r="G26" i="2"/>
  <c r="H26" i="2" s="1"/>
  <c r="G25" i="2"/>
  <c r="H25" i="2" s="1"/>
  <c r="G24" i="2"/>
  <c r="H24" i="2" s="1"/>
  <c r="G19" i="2"/>
  <c r="H19" i="2" s="1"/>
  <c r="G20" i="2"/>
  <c r="H20" i="2" s="1"/>
  <c r="G21" i="2"/>
  <c r="H21" i="2" s="1"/>
  <c r="G18" i="2"/>
  <c r="H18" i="2" s="1"/>
  <c r="G13" i="2"/>
  <c r="H13" i="2" s="1"/>
  <c r="G14" i="2"/>
  <c r="I14" i="2" s="1"/>
  <c r="G15" i="2"/>
  <c r="I15" i="2" s="1"/>
  <c r="G12" i="2"/>
  <c r="H12" i="2" s="1"/>
  <c r="I77" i="3" l="1"/>
  <c r="G56" i="3"/>
  <c r="I39" i="2"/>
  <c r="H14" i="2"/>
  <c r="H31" i="2"/>
  <c r="H38" i="2"/>
  <c r="I41" i="2"/>
  <c r="I13" i="2"/>
  <c r="H20" i="5"/>
  <c r="H42" i="5"/>
  <c r="H66" i="5"/>
  <c r="H88" i="5"/>
  <c r="H114" i="5"/>
  <c r="H110" i="5"/>
  <c r="I12" i="2"/>
  <c r="I17" i="2" s="1"/>
  <c r="H41" i="5"/>
  <c r="H37" i="2"/>
  <c r="I27" i="5"/>
  <c r="I51" i="5"/>
  <c r="I73" i="5"/>
  <c r="I95" i="5"/>
  <c r="I121" i="5"/>
  <c r="I32" i="2"/>
  <c r="I18" i="2"/>
  <c r="H15" i="2"/>
  <c r="G16" i="2"/>
  <c r="H36" i="2"/>
  <c r="I19" i="2"/>
  <c r="I30" i="5"/>
  <c r="I56" i="5"/>
  <c r="I78" i="5"/>
  <c r="I102" i="5"/>
  <c r="I124" i="5"/>
  <c r="I33" i="2"/>
  <c r="H86" i="5"/>
  <c r="I20" i="2"/>
  <c r="I33" i="5"/>
  <c r="I57" i="5"/>
  <c r="I79" i="5"/>
  <c r="I103" i="5"/>
  <c r="I125" i="5"/>
  <c r="H65" i="5"/>
  <c r="I21" i="2"/>
  <c r="I34" i="5"/>
  <c r="I58" i="5"/>
  <c r="I80" i="5"/>
  <c r="I104" i="5"/>
  <c r="I12" i="5"/>
  <c r="I24" i="2"/>
  <c r="I25" i="2"/>
  <c r="I36" i="5"/>
  <c r="I60" i="5"/>
  <c r="I84" i="5"/>
  <c r="I108" i="5"/>
  <c r="I26" i="2"/>
  <c r="H64" i="5"/>
  <c r="I27" i="2"/>
  <c r="H13" i="5"/>
  <c r="I16" i="5"/>
  <c r="E39" i="6"/>
  <c r="I30" i="2"/>
  <c r="E49" i="6"/>
  <c r="E34" i="6"/>
  <c r="G112" i="5"/>
  <c r="G17" i="5"/>
  <c r="G68" i="5"/>
  <c r="G105" i="5"/>
  <c r="G126" i="5"/>
  <c r="G119" i="5"/>
  <c r="I90" i="5"/>
  <c r="G96" i="5"/>
  <c r="G89" i="5"/>
  <c r="G61" i="5"/>
  <c r="G54" i="5"/>
  <c r="G82" i="5"/>
  <c r="G75" i="5"/>
  <c r="G45" i="5"/>
  <c r="G38" i="5"/>
  <c r="G31" i="5"/>
  <c r="G24" i="5"/>
  <c r="I14" i="5"/>
  <c r="I18" i="5" s="1"/>
  <c r="I43" i="3"/>
  <c r="I55" i="3"/>
  <c r="I49" i="3"/>
  <c r="I37" i="3"/>
  <c r="I52" i="4"/>
  <c r="I29" i="2" l="1"/>
  <c r="I35" i="2"/>
  <c r="I23" i="2"/>
  <c r="I76" i="5"/>
  <c r="I83" i="5"/>
  <c r="I69" i="5"/>
  <c r="I32" i="5"/>
  <c r="I39" i="5"/>
  <c r="I106" i="5"/>
  <c r="I120" i="5"/>
  <c r="I25" i="5"/>
  <c r="I127" i="5"/>
  <c r="I113" i="5"/>
  <c r="I97" i="5"/>
  <c r="I55" i="5"/>
  <c r="I62" i="5"/>
  <c r="I46" i="5"/>
  <c r="I45" i="4"/>
  <c r="I38" i="4"/>
</calcChain>
</file>

<file path=xl/sharedStrings.xml><?xml version="1.0" encoding="utf-8"?>
<sst xmlns="http://schemas.openxmlformats.org/spreadsheetml/2006/main" count="782" uniqueCount="249">
  <si>
    <t>Inverter 1</t>
  </si>
  <si>
    <t>String 1</t>
  </si>
  <si>
    <t>String 2</t>
  </si>
  <si>
    <t>String 3</t>
  </si>
  <si>
    <t>String 4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</si>
  <si>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</si>
  <si>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</si>
  <si>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</si>
  <si>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</si>
  <si>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</si>
  <si>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</si>
  <si>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</si>
  <si>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</si>
  <si>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</si>
  <si>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</si>
  <si>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</si>
  <si>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</si>
  <si>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</si>
  <si>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</si>
  <si>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</si>
  <si>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Inverter 17</t>
  </si>
  <si>
    <t>Inverter 18</t>
  </si>
  <si>
    <t>Inverter 19</t>
  </si>
  <si>
    <t>Inverter 20</t>
  </si>
  <si>
    <t>ACCB 1</t>
  </si>
  <si>
    <t>ACCB 2</t>
  </si>
  <si>
    <t>ACCB 3</t>
  </si>
  <si>
    <t>ACCB 4</t>
  </si>
  <si>
    <t>DC VOLTAGE DROP CALCULATION</t>
  </si>
  <si>
    <t>Project name:</t>
  </si>
  <si>
    <t>Client Name:</t>
  </si>
  <si>
    <t>=</t>
  </si>
  <si>
    <t>Voltage:</t>
  </si>
  <si>
    <t>Current:</t>
  </si>
  <si>
    <t>Resistance:</t>
  </si>
  <si>
    <t>Ambient Temperature:</t>
  </si>
  <si>
    <t>Grouping Factor:</t>
  </si>
  <si>
    <t>SR. NO.</t>
  </si>
  <si>
    <t>String</t>
  </si>
  <si>
    <t>Module to inverter NO:</t>
  </si>
  <si>
    <t>DC Cable Length (Meter)</t>
  </si>
  <si>
    <t>Positive</t>
  </si>
  <si>
    <t>Negative</t>
  </si>
  <si>
    <t>Total Length</t>
  </si>
  <si>
    <t>%Voltage Drop</t>
  </si>
  <si>
    <t>INVERTER 1</t>
  </si>
  <si>
    <t>INVERTER 2</t>
  </si>
  <si>
    <t>INVERTER 3</t>
  </si>
  <si>
    <t>INVERTER 4</t>
  </si>
  <si>
    <t>INVERTER 5</t>
  </si>
  <si>
    <t>INVERTER 6</t>
  </si>
  <si>
    <t>INVERTER 7</t>
  </si>
  <si>
    <t>INVERTER 8</t>
  </si>
  <si>
    <t>INVERTER 9</t>
  </si>
  <si>
    <t>INVERTER 10</t>
  </si>
  <si>
    <t>INVERTER 11</t>
  </si>
  <si>
    <t>INVERTER 12</t>
  </si>
  <si>
    <t>INVERTER 13</t>
  </si>
  <si>
    <t>INVERTER 14</t>
  </si>
  <si>
    <t>INVERTER 15</t>
  </si>
  <si>
    <t>INVERTER 16</t>
  </si>
  <si>
    <t>MAXIMUM VOLTAGE DROP:</t>
  </si>
  <si>
    <t>TOTAL LENGTH:</t>
  </si>
  <si>
    <t>(2 x L x I x R)/1000</t>
  </si>
  <si>
    <t>Voltage Drop (Vd):</t>
  </si>
  <si>
    <t>%Voltage Drop:</t>
  </si>
  <si>
    <t>(Vd/Source Voltage) x 100</t>
  </si>
  <si>
    <t>Ohm/km</t>
  </si>
  <si>
    <t>Ampere</t>
  </si>
  <si>
    <t>Power Loss W (IxIxRxL)</t>
  </si>
  <si>
    <t>AC VOLTAGE DROP CALCULATION</t>
  </si>
  <si>
    <t>TO ACCB No:</t>
  </si>
  <si>
    <t>FROM INVERTER No:</t>
  </si>
  <si>
    <t>AC Cable Length (Meter)</t>
  </si>
  <si>
    <t>Cable Type</t>
  </si>
  <si>
    <t>FROM ACCB No:</t>
  </si>
  <si>
    <t>TO MAIN ACCB</t>
  </si>
  <si>
    <t>MAIN ACCB</t>
  </si>
  <si>
    <t>Rated kVA</t>
  </si>
  <si>
    <t>Cable Parameter (As per Polycab):</t>
  </si>
  <si>
    <t>Derating factors:</t>
  </si>
  <si>
    <t>Cable Laid in Ground</t>
  </si>
  <si>
    <t>Temperature Correction</t>
  </si>
  <si>
    <t>:</t>
  </si>
  <si>
    <t>Grouping</t>
  </si>
  <si>
    <t>(50°C Ground Temperature)</t>
  </si>
  <si>
    <t xml:space="preserve">          Project name:</t>
  </si>
  <si>
    <t xml:space="preserve">          Client Name:</t>
  </si>
  <si>
    <t>Total Derating</t>
  </si>
  <si>
    <t>Continous current of Selected Cable</t>
  </si>
  <si>
    <t>Type</t>
  </si>
  <si>
    <t>Size</t>
  </si>
  <si>
    <t>Verification of cable sizing according to permissible voltage drop</t>
  </si>
  <si>
    <t>{√3*IL*L*(R Cosϕ+ X Sinϕ)}*100/(N*V)</t>
  </si>
  <si>
    <t>Voltage Drop %V (3ϕ):</t>
  </si>
  <si>
    <t>Inverter Specifications:</t>
  </si>
  <si>
    <t>4C, Cu, FRLS Cable</t>
  </si>
  <si>
    <t>16 Sqmm</t>
  </si>
  <si>
    <t>R</t>
  </si>
  <si>
    <t>Conductor Resistace</t>
  </si>
  <si>
    <t>X</t>
  </si>
  <si>
    <t>Conductor Reactance</t>
  </si>
  <si>
    <t>L</t>
  </si>
  <si>
    <t>Cable Length in KM (kilometer)</t>
  </si>
  <si>
    <t>N</t>
  </si>
  <si>
    <t>Number of Runs</t>
  </si>
  <si>
    <t>Cos(ϕ)</t>
  </si>
  <si>
    <t>Sin(ϕ)</t>
  </si>
  <si>
    <t>IL</t>
  </si>
  <si>
    <t>V</t>
  </si>
  <si>
    <t>Rated Voltage</t>
  </si>
  <si>
    <t>Rated Current</t>
  </si>
  <si>
    <t>Power Factor</t>
  </si>
  <si>
    <t>Component of Reactive Power</t>
  </si>
  <si>
    <t>Current Rating in Ground (Ampere)</t>
  </si>
  <si>
    <t>Derated Current (Ampere)</t>
  </si>
  <si>
    <t>Resistance (R) of Cable (Ohm/Km)</t>
  </si>
  <si>
    <t>Reactance (X) of Cable (Ohm/Km)</t>
  </si>
  <si>
    <t>Total Length in (Kilometer)</t>
  </si>
  <si>
    <t>Number of Run</t>
  </si>
  <si>
    <t>(Power factor is nearly equal to 1)</t>
  </si>
  <si>
    <t>(Assumed as Zero)</t>
  </si>
  <si>
    <t>Rated Voltage (V):</t>
  </si>
  <si>
    <t>Rated Current (IL):</t>
  </si>
  <si>
    <t>185 Sqmm</t>
  </si>
  <si>
    <t>3.5C, Al, FRLS Cable</t>
  </si>
  <si>
    <t>(from Inverter Specsheet)</t>
  </si>
  <si>
    <t>AC VOLTAGE DROP FROM ACCB1, ACCB2, ACCB3 AND ACCB4 TO ACCB5</t>
  </si>
  <si>
    <t>AC VOLTAGE DROP FROM ACCB5 TO MAIN ACCB</t>
  </si>
  <si>
    <t>ACCB 5</t>
  </si>
  <si>
    <t>240 Sqmm</t>
  </si>
  <si>
    <t>TO ACCB</t>
  </si>
  <si>
    <t>String 5</t>
  </si>
  <si>
    <t>725.6V</t>
  </si>
  <si>
    <t>41.7°C</t>
  </si>
  <si>
    <t xml:space="preserve">Average Voltage drop from Inverter to ACCB                   =   </t>
  </si>
  <si>
    <t>%</t>
  </si>
  <si>
    <t>EARTH STRIP SIZE CALCULATION</t>
  </si>
  <si>
    <t>EARTH STRIP CALCULATION</t>
  </si>
  <si>
    <t>AS PER IS: 3043</t>
  </si>
  <si>
    <t>K           =</t>
  </si>
  <si>
    <r>
      <t>√ (   (Qc (B+20))/δ</t>
    </r>
    <r>
      <rPr>
        <b/>
        <sz val="9"/>
        <color theme="1"/>
        <rFont val="Calibri"/>
        <family val="2"/>
        <scheme val="minor"/>
      </rPr>
      <t>20</t>
    </r>
    <r>
      <rPr>
        <b/>
        <sz val="11"/>
        <color theme="1"/>
        <rFont val="Calibri"/>
        <family val="2"/>
        <scheme val="minor"/>
      </rPr>
      <t>)   ) ln (  1+ ( θt-θ1)/(B+θ1)  )</t>
    </r>
  </si>
  <si>
    <t>Where,</t>
  </si>
  <si>
    <t xml:space="preserve">           Qc =</t>
  </si>
  <si>
    <t xml:space="preserve">            B   =</t>
  </si>
  <si>
    <r>
      <t xml:space="preserve">          δ</t>
    </r>
    <r>
      <rPr>
        <sz val="9"/>
        <color theme="1"/>
        <rFont val="Calibri"/>
        <family val="2"/>
        <scheme val="minor"/>
      </rPr>
      <t xml:space="preserve">20 </t>
    </r>
    <r>
      <rPr>
        <sz val="11"/>
        <color theme="1"/>
        <rFont val="Calibri"/>
        <family val="2"/>
        <scheme val="minor"/>
      </rPr>
      <t>=</t>
    </r>
  </si>
  <si>
    <t xml:space="preserve">            θt =</t>
  </si>
  <si>
    <t xml:space="preserve">            θ1 =</t>
  </si>
  <si>
    <t>Material constants as per IS-3043-1987 Table-5</t>
  </si>
  <si>
    <t>Steel</t>
  </si>
  <si>
    <t>Aluminium</t>
  </si>
  <si>
    <t>Copper</t>
  </si>
  <si>
    <t>B</t>
  </si>
  <si>
    <t>Qc</t>
  </si>
  <si>
    <t xml:space="preserve">δ20 </t>
  </si>
  <si>
    <t>For GI Strip</t>
  </si>
  <si>
    <t>√ (   ( 0.0038 (202 + 20) )/0.000138)   ) ln (  1+ (500-50)/(202 + 50)  )</t>
  </si>
  <si>
    <t xml:space="preserve">  Reciprocal of  temperature coefficient of resistivity at 0°C for the conductor (°C)</t>
  </si>
  <si>
    <t xml:space="preserve">  Initial temperature of conductor                    =</t>
  </si>
  <si>
    <t xml:space="preserve">  Final temperature of Steel conductor           =</t>
  </si>
  <si>
    <t xml:space="preserve">        K      =</t>
  </si>
  <si>
    <t>Nos</t>
  </si>
  <si>
    <t xml:space="preserve">               DC Side</t>
  </si>
  <si>
    <t xml:space="preserve">Current Per String </t>
  </si>
  <si>
    <t xml:space="preserve">Safety Factor (125 %) </t>
  </si>
  <si>
    <t>A</t>
  </si>
  <si>
    <t>Area of Cross Section (A) = Fault Current (If)  X Fault Current Time √(t)/ Material Constant (K)</t>
  </si>
  <si>
    <t>If =</t>
  </si>
  <si>
    <t>t =</t>
  </si>
  <si>
    <t>K =</t>
  </si>
  <si>
    <t>Fault Current</t>
  </si>
  <si>
    <t>Fault Current time</t>
  </si>
  <si>
    <t>Material Constant</t>
  </si>
  <si>
    <t xml:space="preserve">     Area of Cross Section (A)      =</t>
  </si>
  <si>
    <t>25 X 3</t>
  </si>
  <si>
    <t>Sqmm</t>
  </si>
  <si>
    <t>Second</t>
  </si>
  <si>
    <t>Corrosion Effect (1 % Every for 25 years)</t>
  </si>
  <si>
    <t>No. Of Parallel Strings at Inverter</t>
  </si>
  <si>
    <t xml:space="preserve">               AC Side</t>
  </si>
  <si>
    <t>No. Of Parallel Inverters (25kW) at ACCB</t>
  </si>
  <si>
    <t xml:space="preserve">Current Per Inverter </t>
  </si>
  <si>
    <t>Earth Strip Size Selected</t>
  </si>
  <si>
    <t xml:space="preserve">  Volumetric heat capacity of conductor material ( j/°C mm3)</t>
  </si>
  <si>
    <t xml:space="preserve">  Electrical resistivity of conductor material at 20°C (ohm-mm)</t>
  </si>
  <si>
    <t>EARTHING CALCULATION</t>
  </si>
  <si>
    <t>Resistance of Earth electrode as per BS 7430</t>
  </si>
  <si>
    <t>R           =</t>
  </si>
  <si>
    <r>
      <t>r</t>
    </r>
    <r>
      <rPr>
        <sz val="10"/>
        <rFont val="Arial"/>
        <family val="2"/>
      </rPr>
      <t xml:space="preserve"> =</t>
    </r>
  </si>
  <si>
    <r>
      <rPr>
        <sz val="12"/>
        <rFont val="Symbol"/>
        <family val="1"/>
        <charset val="2"/>
      </rPr>
      <t xml:space="preserve">        r</t>
    </r>
    <r>
      <rPr>
        <sz val="10"/>
        <rFont val="Arial"/>
        <family val="2"/>
      </rPr>
      <t>c =</t>
    </r>
  </si>
  <si>
    <t xml:space="preserve">         D  =</t>
  </si>
  <si>
    <t xml:space="preserve">             d =</t>
  </si>
  <si>
    <r>
      <t xml:space="preserve">             r</t>
    </r>
    <r>
      <rPr>
        <sz val="10"/>
        <rFont val="Arial"/>
        <family val="2"/>
      </rPr>
      <t xml:space="preserve"> =</t>
    </r>
  </si>
  <si>
    <t xml:space="preserve"> Resistivity of the infill material  in ohm-m  =</t>
  </si>
  <si>
    <t xml:space="preserve"> Diameter of the infill material  in m               =</t>
  </si>
  <si>
    <t xml:space="preserve"> Length of the rod or pipe in m                           =</t>
  </si>
  <si>
    <t xml:space="preserve"> Diameter of the rod in m                                     =</t>
  </si>
  <si>
    <t xml:space="preserve"> Resistivity of the soil in (ohm-m)                    =</t>
  </si>
  <si>
    <t>ohm-m</t>
  </si>
  <si>
    <t>m</t>
  </si>
  <si>
    <t xml:space="preserve">             l   =</t>
  </si>
  <si>
    <t>ohm</t>
  </si>
  <si>
    <t xml:space="preserve">          R    =</t>
  </si>
  <si>
    <t>SOLAR ARRAY AREA EARTH GRID</t>
  </si>
  <si>
    <t>Meter</t>
  </si>
  <si>
    <t>length of earth strip (25X3mm, GI) is buried in the plant at 100mm depth</t>
  </si>
  <si>
    <t>1/2πL [ (ρ - ρc) (loge[8L/D] - 1) + ρc (loge[8L/d] - 1) ]</t>
  </si>
  <si>
    <t xml:space="preserve">         R     =</t>
  </si>
  <si>
    <t>Resistance of Earth strip  as per IS: 3043 (9.2.3)</t>
  </si>
  <si>
    <t>l =</t>
  </si>
  <si>
    <t>w =</t>
  </si>
  <si>
    <t>Resistivity of the soil ( ohm-Meter)</t>
  </si>
  <si>
    <t>Length of the strip in cm</t>
  </si>
  <si>
    <t>Width of the strip</t>
  </si>
  <si>
    <t>Depth of the burial cm</t>
  </si>
  <si>
    <t>cm</t>
  </si>
  <si>
    <r>
      <t>(100ρ/2πl) log</t>
    </r>
    <r>
      <rPr>
        <b/>
        <sz val="10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(2l²/wt)</t>
    </r>
  </si>
  <si>
    <t>Considering Maintenance free Earth Pit with bore dia 17.2 mm and 3 mtr long</t>
  </si>
  <si>
    <t>Total Fault Current at Eight Inverters (If)</t>
  </si>
  <si>
    <t>Effective resistance of electrode (Re) expressed as :</t>
  </si>
  <si>
    <t>1/Re = 1/R1 + 1/R2</t>
  </si>
  <si>
    <t xml:space="preserve">                  =</t>
  </si>
  <si>
    <t xml:space="preserve">     Re        =</t>
  </si>
  <si>
    <t xml:space="preserve">        Re        =</t>
  </si>
  <si>
    <t>Total electrodes considered for individual AC or DC Earthing =     2 Nos</t>
  </si>
  <si>
    <t>( R1 x R2)/( R1 + R2 )</t>
  </si>
  <si>
    <t>(1.53x1.53)/(1.53+1.53)</t>
  </si>
  <si>
    <t>0.765  ohm</t>
  </si>
  <si>
    <t>Strip Resistance + Effective Resistance of Pit</t>
  </si>
  <si>
    <t>Total Effective Resistance of the System    =</t>
  </si>
  <si>
    <t>0.885 ohm</t>
  </si>
  <si>
    <r>
      <t xml:space="preserve">     R</t>
    </r>
    <r>
      <rPr>
        <b/>
        <sz val="9"/>
        <color theme="1"/>
        <rFont val="Calibri"/>
        <family val="2"/>
        <scheme val="minor"/>
      </rPr>
      <t>Total</t>
    </r>
    <r>
      <rPr>
        <b/>
        <sz val="14"/>
        <color theme="1"/>
        <rFont val="Calibri"/>
        <family val="2"/>
        <scheme val="minor"/>
      </rPr>
      <t xml:space="preserve">  =</t>
    </r>
  </si>
  <si>
    <t>DC Side</t>
  </si>
  <si>
    <t>0.895 ohm</t>
  </si>
  <si>
    <t>AC Side</t>
  </si>
  <si>
    <t>Therefore, According to the Tender Value the Resistance of the Should be smaller than 4 ohm.</t>
  </si>
  <si>
    <t>FROM MAIN ACCB TO TERMINATION POINT</t>
  </si>
  <si>
    <t xml:space="preserve">TO </t>
  </si>
  <si>
    <t>FROM</t>
  </si>
  <si>
    <t>Total Length in (KM)</t>
  </si>
  <si>
    <t>TERMINATION POINT</t>
  </si>
  <si>
    <t>Derated Current
(Ampere)</t>
  </si>
  <si>
    <t>Total Current Carrying Capacity of 2 Run Cable</t>
  </si>
  <si>
    <t>Solar Plant Specifications:</t>
  </si>
  <si>
    <t>AC VOLTAGE DROP FROM MAIN ACCB TO TERMINATION POINT</t>
  </si>
  <si>
    <t xml:space="preserve">                   400.4kWp</t>
  </si>
  <si>
    <t xml:space="preserve">                                  400.4kWp</t>
  </si>
  <si>
    <t xml:space="preserve">                 400.4kWp</t>
  </si>
  <si>
    <t xml:space="preserve">                  400.4kWp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</si>
</sst>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0"/>
      <name val="Symbol"/>
      <family val="1"/>
      <charset val="2"/>
    </font>
    <font>
      <sz val="12"/>
      <name val="Symbol"/>
      <family val="1"/>
      <charset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9" xfId="0" applyBorder="1"/>
    <xf numFmtId="0" fontId="0" fillId="5" borderId="8" xfId="0" applyFill="1" applyBorder="1" applyAlignment="1">
      <alignment horizontal="center" vertical="center"/>
    </xf>
    <xf numFmtId="0" fontId="0" fillId="5" borderId="0" xfId="0" applyFill="1"/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/>
    <xf numFmtId="0" fontId="0" fillId="5" borderId="7" xfId="0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0" xfId="0" applyFont="1" applyFill="1"/>
    <xf numFmtId="0" fontId="1" fillId="3" borderId="9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3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5" borderId="12" xfId="0" applyNumberForma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2" xfId="0" applyFont="1" applyFill="1" applyBorder="1"/>
    <xf numFmtId="2" fontId="0" fillId="5" borderId="9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2" fontId="0" fillId="0" borderId="11" xfId="0" applyNumberFormat="1" applyBorder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7" borderId="8" xfId="0" applyFont="1" applyFill="1" applyBorder="1" applyAlignment="1">
      <alignment horizontal="left"/>
    </xf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9" xfId="0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" fontId="0" fillId="0" borderId="0" xfId="0" applyNumberFormat="1"/>
    <xf numFmtId="0" fontId="0" fillId="0" borderId="8" xfId="0" applyBorder="1" applyAlignment="1">
      <alignment horizontal="center" vertical="center"/>
    </xf>
    <xf numFmtId="0" fontId="6" fillId="7" borderId="8" xfId="0" applyFont="1" applyFill="1" applyBorder="1"/>
    <xf numFmtId="0" fontId="6" fillId="7" borderId="0" xfId="0" applyFont="1" applyFill="1"/>
    <xf numFmtId="0" fontId="0" fillId="7" borderId="0" xfId="0" applyFill="1"/>
    <xf numFmtId="0" fontId="0" fillId="7" borderId="9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/>
    <xf numFmtId="2" fontId="0" fillId="0" borderId="0" xfId="0" applyNumberFormat="1" applyAlignment="1">
      <alignment horizontal="center" vertical="center"/>
    </xf>
    <xf numFmtId="16" fontId="1" fillId="3" borderId="0" xfId="0" applyNumberFormat="1" applyFont="1" applyFill="1" applyAlignment="1">
      <alignment vertical="center"/>
    </xf>
    <xf numFmtId="2" fontId="0" fillId="0" borderId="0" xfId="0" applyNumberFormat="1"/>
    <xf numFmtId="0" fontId="1" fillId="7" borderId="8" xfId="0" applyFont="1" applyFill="1" applyBorder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3" borderId="0" xfId="0" applyFont="1" applyFill="1" applyAlignment="1">
      <alignment vertical="center"/>
    </xf>
    <xf numFmtId="16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/>
    <xf numFmtId="0" fontId="12" fillId="0" borderId="0" xfId="0" applyFont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16" fillId="0" borderId="0" xfId="0" applyFont="1"/>
    <xf numFmtId="0" fontId="12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2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6" fillId="0" borderId="8" xfId="0" applyFont="1" applyBorder="1"/>
    <xf numFmtId="0" fontId="16" fillId="0" borderId="9" xfId="0" applyFont="1" applyBorder="1"/>
    <xf numFmtId="0" fontId="0" fillId="0" borderId="11" xfId="0" applyBorder="1" applyAlignment="1">
      <alignment horizontal="center"/>
    </xf>
    <xf numFmtId="1" fontId="0" fillId="0" borderId="11" xfId="0" applyNumberFormat="1" applyBorder="1"/>
    <xf numFmtId="2" fontId="0" fillId="0" borderId="1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" fillId="0" borderId="11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2" fontId="1" fillId="3" borderId="0" xfId="0" applyNumberFormat="1" applyFont="1" applyFill="1" applyAlignment="1">
      <alignment horizontal="left" vertical="center"/>
    </xf>
    <xf numFmtId="0" fontId="3" fillId="8" borderId="5" xfId="0" applyFont="1" applyFill="1" applyBorder="1" applyAlignment="1">
      <alignment horizontal="left"/>
    </xf>
    <xf numFmtId="0" fontId="3" fillId="8" borderId="6" xfId="0" applyFont="1" applyFill="1" applyBorder="1" applyAlignment="1">
      <alignment horizontal="left"/>
    </xf>
    <xf numFmtId="0" fontId="3" fillId="8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4" fillId="7" borderId="0" xfId="0" applyFont="1" applyFill="1" applyAlignment="1">
      <alignment vertical="center"/>
    </xf>
    <xf numFmtId="2" fontId="14" fillId="7" borderId="0" xfId="0" applyNumberFormat="1" applyFont="1" applyFill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9" borderId="5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left"/>
    </xf>
    <xf numFmtId="0" fontId="17" fillId="7" borderId="0" xfId="0" applyFont="1" applyFill="1" applyAlignment="1">
      <alignment horizontal="left"/>
    </xf>
    <xf numFmtId="0" fontId="17" fillId="7" borderId="9" xfId="0" applyFont="1" applyFill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1E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91440</xdr:rowOff>
    </xdr:from>
    <xdr:to>
      <xdr:col>1</xdr:col>
      <xdr:colOff>316425</xdr:colOff>
      <xdr:row>1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4BC38D-FF77-467A-8F21-573F494D6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91440"/>
          <a:ext cx="804105" cy="220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83820</xdr:rowOff>
    </xdr:from>
    <xdr:to>
      <xdr:col>1</xdr:col>
      <xdr:colOff>385005</xdr:colOff>
      <xdr:row>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9CE4E-5D08-45A4-B333-EF94365A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83820"/>
          <a:ext cx="804105" cy="2209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0</xdr:row>
      <xdr:rowOff>99060</xdr:rowOff>
    </xdr:from>
    <xdr:to>
      <xdr:col>1</xdr:col>
      <xdr:colOff>415485</xdr:colOff>
      <xdr:row>1</xdr:row>
      <xdr:rowOff>137160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3A0C3B-0F68-4658-8F5E-A07854D0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99060"/>
          <a:ext cx="804105" cy="2209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83820</xdr:rowOff>
    </xdr:from>
    <xdr:to>
      <xdr:col>1</xdr:col>
      <xdr:colOff>285945</xdr:colOff>
      <xdr:row>1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49951E-CF67-4AA7-9557-4FC09C2D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83820"/>
          <a:ext cx="804105" cy="2209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0</xdr:row>
      <xdr:rowOff>83820</xdr:rowOff>
    </xdr:from>
    <xdr:to>
      <xdr:col>1</xdr:col>
      <xdr:colOff>453585</xdr:colOff>
      <xdr:row>1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0309A3-B4DC-467C-8ABF-CD995722C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3820"/>
          <a:ext cx="804105" cy="2209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0</xdr:row>
      <xdr:rowOff>91440</xdr:rowOff>
    </xdr:from>
    <xdr:to>
      <xdr:col>1</xdr:col>
      <xdr:colOff>407865</xdr:colOff>
      <xdr:row>1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2EED24-EF99-4DEE-BA14-7DF16C45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" y="91440"/>
          <a:ext cx="804105" cy="2133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358140</xdr:colOff>
      <xdr:row>0</xdr:row>
      <xdr:rowOff>76200</xdr:rowOff>
    </xdr:from>
    <xdr:to>
      <xdr:col>1</xdr:col>
      <xdr:colOff>552645</xdr:colOff>
      <xdr:row>1</xdr:row>
      <xdr:rowOff>106680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6F231-0C24-4A9E-8580-328C7EB42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" y="76200"/>
          <a:ext cx="804105" cy="213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zoomScaleNormal="100" zoomScaleSheetLayoutView="80" workbookViewId="0">
      <selection activeCell="O13" sqref="O13"/>
    </sheetView>
  </sheetViews>
  <sheetFormatPr defaultRowHeight="14.4" x14ac:dyDescent="0.3"/>
  <cols>
    <col min="9" max="9" width="12" bestFit="1" customWidth="1"/>
  </cols>
  <sheetData>
    <row r="1" spans="1:10" ht="15" customHeight="1" x14ac:dyDescent="0.3">
      <c r="A1" s="110" t="s">
        <v>28</v>
      </c>
      <c r="B1" s="111"/>
      <c r="C1" s="111"/>
      <c r="D1" s="111"/>
      <c r="E1" s="111"/>
      <c r="F1" s="111"/>
      <c r="G1" s="111"/>
      <c r="H1" s="111"/>
      <c r="I1" s="112"/>
    </row>
    <row r="2" spans="1:10" ht="15" customHeight="1" x14ac:dyDescent="0.3">
      <c r="A2" s="113"/>
      <c r="B2" s="114"/>
      <c r="C2" s="114"/>
      <c r="D2" s="114"/>
      <c r="E2" s="114"/>
      <c r="F2" s="114"/>
      <c r="G2" s="114"/>
      <c r="H2" s="114"/>
      <c r="I2" s="115"/>
    </row>
    <row r="3" spans="1:10" x14ac:dyDescent="0.3">
      <c r="A3" s="120" t="s">
        <v>29</v>
      </c>
      <c r="B3" s="121"/>
      <c r="C3" s="116" t="s">
        <v>245</v>
      </c>
      <c r="D3" s="116"/>
      <c r="E3" s="116"/>
      <c r="F3" s="116"/>
      <c r="G3" s="116"/>
      <c r="H3" s="116"/>
      <c r="I3" s="117"/>
    </row>
    <row r="4" spans="1:10" x14ac:dyDescent="0.3">
      <c r="A4" s="120" t="s">
        <v>30</v>
      </c>
      <c r="B4" s="121"/>
      <c r="C4" s="118"/>
      <c r="D4" s="118"/>
      <c r="E4" s="118"/>
      <c r="F4" s="118"/>
      <c r="G4" s="118"/>
      <c r="H4" s="118"/>
      <c r="I4" s="119"/>
    </row>
    <row r="5" spans="1:10" x14ac:dyDescent="0.3">
      <c r="A5" s="27" t="s">
        <v>32</v>
      </c>
      <c r="B5" s="28"/>
      <c r="C5" s="107"/>
      <c r="D5" s="107"/>
      <c r="E5" s="108" t="s">
        <v>34</v>
      </c>
      <c r="F5" s="108"/>
      <c r="G5" s="26">
        <v>4.6100000000000004E-3</v>
      </c>
      <c r="H5" s="105" t="s">
        <v>67</v>
      </c>
      <c r="I5" s="106"/>
    </row>
    <row r="6" spans="1:10" x14ac:dyDescent="0.3">
      <c r="A6" s="27" t="s">
        <v>35</v>
      </c>
      <c r="B6" s="28"/>
      <c r="C6" s="107"/>
      <c r="D6" s="107"/>
      <c r="E6" s="108" t="s">
        <v>33</v>
      </c>
      <c r="F6" s="108"/>
      <c r="G6" s="26">
        <v>9.5500000000000007</v>
      </c>
      <c r="H6" s="105" t="s">
        <v>68</v>
      </c>
      <c r="I6" s="106"/>
    </row>
    <row r="7" spans="1:10" x14ac:dyDescent="0.3">
      <c r="A7" s="27" t="s">
        <v>36</v>
      </c>
      <c r="B7" s="28"/>
      <c r="C7" s="107"/>
      <c r="D7" s="107"/>
      <c r="E7" s="108"/>
      <c r="F7" s="108"/>
      <c r="G7" s="19"/>
      <c r="H7" s="19"/>
      <c r="I7" s="20"/>
    </row>
    <row r="8" spans="1:10" x14ac:dyDescent="0.3">
      <c r="A8" s="15"/>
      <c r="B8" s="124" t="s">
        <v>64</v>
      </c>
      <c r="C8" s="124"/>
      <c r="D8" s="22" t="s">
        <v>31</v>
      </c>
      <c r="E8" s="23" t="s">
        <v>63</v>
      </c>
      <c r="F8" s="23"/>
      <c r="G8" s="23"/>
      <c r="I8" s="7"/>
    </row>
    <row r="9" spans="1:10" x14ac:dyDescent="0.3">
      <c r="A9" s="16"/>
      <c r="B9" s="104" t="s">
        <v>65</v>
      </c>
      <c r="C9" s="104"/>
      <c r="D9" s="24" t="s">
        <v>31</v>
      </c>
      <c r="E9" s="25" t="s">
        <v>66</v>
      </c>
      <c r="F9" s="25"/>
      <c r="G9" s="25"/>
      <c r="H9" s="17"/>
      <c r="I9" s="18"/>
    </row>
    <row r="10" spans="1:10" ht="31.5" customHeight="1" x14ac:dyDescent="0.3">
      <c r="A10" s="125" t="s">
        <v>37</v>
      </c>
      <c r="B10" s="125" t="s">
        <v>38</v>
      </c>
      <c r="C10" s="127" t="s">
        <v>39</v>
      </c>
      <c r="D10" s="127"/>
      <c r="E10" s="127" t="s">
        <v>40</v>
      </c>
      <c r="F10" s="127"/>
      <c r="G10" s="127" t="s">
        <v>43</v>
      </c>
      <c r="H10" s="127" t="s">
        <v>69</v>
      </c>
      <c r="I10" s="127" t="s">
        <v>44</v>
      </c>
      <c r="J10" s="4"/>
    </row>
    <row r="11" spans="1:10" ht="16.5" customHeight="1" x14ac:dyDescent="0.3">
      <c r="A11" s="126"/>
      <c r="B11" s="126"/>
      <c r="C11" s="128"/>
      <c r="D11" s="128"/>
      <c r="E11" s="32" t="s">
        <v>41</v>
      </c>
      <c r="F11" s="32" t="s">
        <v>42</v>
      </c>
      <c r="G11" s="128"/>
      <c r="H11" s="128"/>
      <c r="I11" s="128"/>
    </row>
    <row r="12" spans="1:10" x14ac:dyDescent="0.3">
      <c r="A12" s="21">
        <v>1</v>
      </c>
      <c r="B12" s="2" t="s">
        <v>1</v>
      </c>
      <c r="C12" s="109" t="s">
        <v>45</v>
      </c>
      <c r="D12" s="109"/>
      <c r="E12" s="2">
        <v>11</v>
      </c>
      <c r="F12" s="2">
        <v>14</v>
      </c>
      <c r="G12" s="2">
        <f>SUM(E12:F12)</f>
        <v>25</v>
      </c>
      <c r="H12" s="29">
        <f>(G12*G6*G6*G5)</f>
        <v>10.511088125000002</v>
      </c>
      <c r="I12" s="29">
        <f>((2*G12*G6*G5)/(725.6))*100</f>
        <v>0.30337307056229329</v>
      </c>
    </row>
    <row r="13" spans="1:10" x14ac:dyDescent="0.3">
      <c r="A13" s="21">
        <v>2</v>
      </c>
      <c r="B13" s="2" t="s">
        <v>2</v>
      </c>
      <c r="C13" s="109"/>
      <c r="D13" s="109"/>
      <c r="E13" s="2">
        <v>4</v>
      </c>
      <c r="F13" s="2">
        <v>6</v>
      </c>
      <c r="G13" s="2">
        <f t="shared" ref="G13:G15" si="0">SUM(E13:F13)</f>
        <v>10</v>
      </c>
      <c r="H13" s="29">
        <f>(G13*G6*G6*G5)</f>
        <v>4.2044352500000004</v>
      </c>
      <c r="I13" s="29">
        <f>((2*G13*G6*G5)/(725.6))*100</f>
        <v>0.12134922822491732</v>
      </c>
    </row>
    <row r="14" spans="1:10" x14ac:dyDescent="0.3">
      <c r="A14" s="21">
        <v>3</v>
      </c>
      <c r="B14" s="2" t="s">
        <v>3</v>
      </c>
      <c r="C14" s="109"/>
      <c r="D14" s="109"/>
      <c r="E14" s="2">
        <v>4</v>
      </c>
      <c r="F14" s="2">
        <v>6</v>
      </c>
      <c r="G14" s="2">
        <f t="shared" si="0"/>
        <v>10</v>
      </c>
      <c r="H14" s="29">
        <f>(G14*G6*G6*G5)</f>
        <v>4.2044352500000004</v>
      </c>
      <c r="I14" s="29">
        <f>((2*G14*G6*G5)/(725.6))*100</f>
        <v>0.12134922822491732</v>
      </c>
    </row>
    <row r="15" spans="1:10" x14ac:dyDescent="0.3">
      <c r="A15" s="21">
        <v>4</v>
      </c>
      <c r="B15" s="2" t="s">
        <v>4</v>
      </c>
      <c r="C15" s="109"/>
      <c r="D15" s="109"/>
      <c r="E15" s="2">
        <v>12</v>
      </c>
      <c r="F15" s="2">
        <v>14</v>
      </c>
      <c r="G15" s="2">
        <f t="shared" si="0"/>
        <v>26</v>
      </c>
      <c r="H15" s="29">
        <f>(G15*G6*G6*G5)</f>
        <v>10.931531650000002</v>
      </c>
      <c r="I15" s="29">
        <f>((2*G15*G6*G5)/(725.6))*100</f>
        <v>0.31550799338478502</v>
      </c>
    </row>
    <row r="16" spans="1:10" x14ac:dyDescent="0.3">
      <c r="A16" s="12"/>
      <c r="B16" s="122" t="s">
        <v>62</v>
      </c>
      <c r="C16" s="122"/>
      <c r="D16" s="122"/>
      <c r="E16" s="13"/>
      <c r="F16" s="13"/>
      <c r="G16" s="31">
        <f>SUM(G12:G15)</f>
        <v>71</v>
      </c>
      <c r="H16" s="13"/>
      <c r="I16" s="14"/>
    </row>
    <row r="17" spans="1:9" x14ac:dyDescent="0.3">
      <c r="A17" s="10"/>
      <c r="B17" s="123" t="s">
        <v>61</v>
      </c>
      <c r="C17" s="123"/>
      <c r="D17" s="123"/>
      <c r="E17" s="11"/>
      <c r="F17" s="11"/>
      <c r="G17" s="11"/>
      <c r="H17" s="11"/>
      <c r="I17" s="30">
        <f>MAX(I12:I15)</f>
        <v>0.31550799338478502</v>
      </c>
    </row>
    <row r="18" spans="1:9" x14ac:dyDescent="0.3">
      <c r="A18" s="21">
        <v>1</v>
      </c>
      <c r="B18" s="2" t="s">
        <v>1</v>
      </c>
      <c r="C18" s="109" t="s">
        <v>46</v>
      </c>
      <c r="D18" s="109"/>
      <c r="E18" s="2">
        <v>12</v>
      </c>
      <c r="F18" s="2">
        <v>14</v>
      </c>
      <c r="G18" s="2">
        <f t="shared" ref="G18:G21" si="1">SUM(E18:F18)</f>
        <v>26</v>
      </c>
      <c r="H18" s="29">
        <f>(G18*G6*G6*G5)</f>
        <v>10.931531650000002</v>
      </c>
      <c r="I18" s="29">
        <f>((2*G18*G6*G5)/(725.6))*100</f>
        <v>0.31550799338478502</v>
      </c>
    </row>
    <row r="19" spans="1:9" x14ac:dyDescent="0.3">
      <c r="A19" s="21">
        <v>2</v>
      </c>
      <c r="B19" s="2" t="s">
        <v>2</v>
      </c>
      <c r="C19" s="109"/>
      <c r="D19" s="109"/>
      <c r="E19" s="2">
        <v>5</v>
      </c>
      <c r="F19" s="2">
        <v>6</v>
      </c>
      <c r="G19" s="2">
        <f t="shared" si="1"/>
        <v>11</v>
      </c>
      <c r="H19" s="29">
        <f>(G19*G6*G6*G5)</f>
        <v>4.6248787750000009</v>
      </c>
      <c r="I19" s="29">
        <f>((2*G19*G6*G5)/(725.6))*100</f>
        <v>0.13348415104740907</v>
      </c>
    </row>
    <row r="20" spans="1:9" x14ac:dyDescent="0.3">
      <c r="A20" s="21">
        <v>3</v>
      </c>
      <c r="B20" s="2" t="s">
        <v>3</v>
      </c>
      <c r="C20" s="109"/>
      <c r="D20" s="109"/>
      <c r="E20" s="2">
        <v>4</v>
      </c>
      <c r="F20" s="2">
        <v>7</v>
      </c>
      <c r="G20" s="2">
        <f t="shared" si="1"/>
        <v>11</v>
      </c>
      <c r="H20" s="29">
        <f>(G20*G6*G6*G5)</f>
        <v>4.6248787750000009</v>
      </c>
      <c r="I20" s="29">
        <f>((2*G20*G6*G5)/(725.6))*100</f>
        <v>0.13348415104740907</v>
      </c>
    </row>
    <row r="21" spans="1:9" x14ac:dyDescent="0.3">
      <c r="A21" s="21">
        <v>4</v>
      </c>
      <c r="B21" s="2" t="s">
        <v>4</v>
      </c>
      <c r="C21" s="109"/>
      <c r="D21" s="109"/>
      <c r="E21" s="2">
        <v>14</v>
      </c>
      <c r="F21" s="2">
        <v>15</v>
      </c>
      <c r="G21" s="2">
        <f t="shared" si="1"/>
        <v>29</v>
      </c>
      <c r="H21" s="29">
        <f>(G21*G6*G6*G5)</f>
        <v>12.192862225000004</v>
      </c>
      <c r="I21" s="29">
        <f>((2*G21*G6*G5)/(725.6))*100</f>
        <v>0.35191276185226028</v>
      </c>
    </row>
    <row r="22" spans="1:9" x14ac:dyDescent="0.3">
      <c r="A22" s="12"/>
      <c r="B22" s="122" t="s">
        <v>62</v>
      </c>
      <c r="C22" s="122"/>
      <c r="D22" s="122"/>
      <c r="E22" s="13"/>
      <c r="F22" s="13"/>
      <c r="G22" s="13"/>
      <c r="H22" s="13"/>
      <c r="I22" s="14"/>
    </row>
    <row r="23" spans="1:9" x14ac:dyDescent="0.3">
      <c r="A23" s="10"/>
      <c r="B23" s="123" t="s">
        <v>61</v>
      </c>
      <c r="C23" s="123"/>
      <c r="D23" s="123"/>
      <c r="E23" s="11"/>
      <c r="F23" s="11"/>
      <c r="G23" s="11"/>
      <c r="H23" s="11"/>
      <c r="I23" s="30">
        <f>MAX(I18:I21)</f>
        <v>0.35191276185226028</v>
      </c>
    </row>
    <row r="24" spans="1:9" x14ac:dyDescent="0.3">
      <c r="A24" s="21">
        <v>1</v>
      </c>
      <c r="B24" s="2" t="s">
        <v>1</v>
      </c>
      <c r="C24" s="109" t="s">
        <v>47</v>
      </c>
      <c r="D24" s="109"/>
      <c r="E24" s="2">
        <v>5</v>
      </c>
      <c r="F24" s="2">
        <v>7</v>
      </c>
      <c r="G24" s="2">
        <f t="shared" ref="G24:G27" si="2">SUM(E24:F24)</f>
        <v>12</v>
      </c>
      <c r="H24" s="29">
        <f>(G24*G6*G6*G5)</f>
        <v>5.0453223000000005</v>
      </c>
      <c r="I24" s="29">
        <f>((2*G24*G6*G5)/(725.6))*100</f>
        <v>0.14561907386990078</v>
      </c>
    </row>
    <row r="25" spans="1:9" x14ac:dyDescent="0.3">
      <c r="A25" s="21">
        <v>2</v>
      </c>
      <c r="B25" s="2" t="s">
        <v>2</v>
      </c>
      <c r="C25" s="109"/>
      <c r="D25" s="109"/>
      <c r="E25" s="2">
        <v>5</v>
      </c>
      <c r="F25" s="2">
        <v>6</v>
      </c>
      <c r="G25" s="2">
        <f t="shared" si="2"/>
        <v>11</v>
      </c>
      <c r="H25" s="29">
        <f>(G25*G6*G6*G5)</f>
        <v>4.6248787750000009</v>
      </c>
      <c r="I25" s="29">
        <f>((2*G25*G6*G5)/(725.6))*100</f>
        <v>0.13348415104740907</v>
      </c>
    </row>
    <row r="26" spans="1:9" x14ac:dyDescent="0.3">
      <c r="A26" s="21">
        <v>3</v>
      </c>
      <c r="B26" s="2" t="s">
        <v>3</v>
      </c>
      <c r="C26" s="109"/>
      <c r="D26" s="109"/>
      <c r="E26" s="2">
        <v>16</v>
      </c>
      <c r="F26" s="2">
        <v>15</v>
      </c>
      <c r="G26" s="2">
        <f t="shared" si="2"/>
        <v>31</v>
      </c>
      <c r="H26" s="29">
        <f>(G26*G6*G6*G5)</f>
        <v>13.033749275000002</v>
      </c>
      <c r="I26" s="29">
        <f>((2*G26*G6*G5)/(725.6))*100</f>
        <v>0.37618260749724375</v>
      </c>
    </row>
    <row r="27" spans="1:9" x14ac:dyDescent="0.3">
      <c r="A27" s="21">
        <v>4</v>
      </c>
      <c r="B27" s="2" t="s">
        <v>4</v>
      </c>
      <c r="C27" s="109"/>
      <c r="D27" s="109"/>
      <c r="E27" s="2">
        <v>14</v>
      </c>
      <c r="F27" s="2">
        <v>14</v>
      </c>
      <c r="G27" s="2">
        <f t="shared" si="2"/>
        <v>28</v>
      </c>
      <c r="H27" s="29">
        <f>(G27*G6*G6*G5)</f>
        <v>11.772418700000003</v>
      </c>
      <c r="I27" s="29">
        <f>((2*G27*G6*G5)/(725.6))*100</f>
        <v>0.33977783902976855</v>
      </c>
    </row>
    <row r="28" spans="1:9" x14ac:dyDescent="0.3">
      <c r="A28" s="12"/>
      <c r="B28" s="122" t="s">
        <v>62</v>
      </c>
      <c r="C28" s="122"/>
      <c r="D28" s="122"/>
      <c r="E28" s="13"/>
      <c r="F28" s="13"/>
      <c r="G28" s="13"/>
      <c r="H28" s="13"/>
      <c r="I28" s="14"/>
    </row>
    <row r="29" spans="1:9" x14ac:dyDescent="0.3">
      <c r="A29" s="10"/>
      <c r="B29" s="123" t="s">
        <v>61</v>
      </c>
      <c r="C29" s="123"/>
      <c r="D29" s="123"/>
      <c r="E29" s="11"/>
      <c r="F29" s="11"/>
      <c r="G29" s="11"/>
      <c r="H29" s="11"/>
      <c r="I29" s="30">
        <f>MAX(I24:I27)</f>
        <v>0.37618260749724375</v>
      </c>
    </row>
    <row r="30" spans="1:9" x14ac:dyDescent="0.3">
      <c r="A30" s="21">
        <v>1</v>
      </c>
      <c r="B30" s="2" t="s">
        <v>1</v>
      </c>
      <c r="C30" s="109" t="s">
        <v>48</v>
      </c>
      <c r="D30" s="109"/>
      <c r="E30" s="2">
        <v>11</v>
      </c>
      <c r="F30" s="2">
        <v>9</v>
      </c>
      <c r="G30" s="2">
        <f t="shared" ref="G30:G33" si="3">SUM(E30:F30)</f>
        <v>20</v>
      </c>
      <c r="H30" s="29">
        <f>(G30*G6*G6*G5)</f>
        <v>8.4088705000000008</v>
      </c>
      <c r="I30" s="29">
        <f>((2*G30*G6*G5)/(725.6))*100</f>
        <v>0.24269845644983465</v>
      </c>
    </row>
    <row r="31" spans="1:9" x14ac:dyDescent="0.3">
      <c r="A31" s="21">
        <v>2</v>
      </c>
      <c r="B31" s="2" t="s">
        <v>2</v>
      </c>
      <c r="C31" s="109"/>
      <c r="D31" s="109"/>
      <c r="E31" s="2">
        <v>11</v>
      </c>
      <c r="F31" s="2">
        <v>9</v>
      </c>
      <c r="G31" s="2">
        <f t="shared" si="3"/>
        <v>20</v>
      </c>
      <c r="H31" s="29">
        <f>(G31*G6*G6*G5)</f>
        <v>8.4088705000000008</v>
      </c>
      <c r="I31" s="29">
        <f>((2*G31*G6*G5)/(725.6))*100</f>
        <v>0.24269845644983465</v>
      </c>
    </row>
    <row r="32" spans="1:9" x14ac:dyDescent="0.3">
      <c r="A32" s="21">
        <v>3</v>
      </c>
      <c r="B32" s="2" t="s">
        <v>3</v>
      </c>
      <c r="C32" s="109"/>
      <c r="D32" s="109"/>
      <c r="E32" s="2">
        <v>6</v>
      </c>
      <c r="F32" s="2">
        <v>7</v>
      </c>
      <c r="G32" s="2">
        <f t="shared" si="3"/>
        <v>13</v>
      </c>
      <c r="H32" s="29">
        <f>(G32*G6*G6*G5)</f>
        <v>5.465765825000001</v>
      </c>
      <c r="I32" s="29">
        <f>((2*G32*G6*G5)/(725.6))*100</f>
        <v>0.15775399669239251</v>
      </c>
    </row>
    <row r="33" spans="1:9" x14ac:dyDescent="0.3">
      <c r="A33" s="21">
        <v>4</v>
      </c>
      <c r="B33" s="2" t="s">
        <v>4</v>
      </c>
      <c r="C33" s="109"/>
      <c r="D33" s="109"/>
      <c r="E33" s="2">
        <v>5</v>
      </c>
      <c r="F33" s="2">
        <v>6</v>
      </c>
      <c r="G33" s="2">
        <f t="shared" si="3"/>
        <v>11</v>
      </c>
      <c r="H33" s="29">
        <f>(G33*G6*G6*G5)</f>
        <v>4.6248787750000009</v>
      </c>
      <c r="I33" s="29">
        <f>((2*G33*G6*G5)/(725.6))*100</f>
        <v>0.13348415104740907</v>
      </c>
    </row>
    <row r="34" spans="1:9" x14ac:dyDescent="0.3">
      <c r="A34" s="12"/>
      <c r="B34" s="122" t="s">
        <v>62</v>
      </c>
      <c r="C34" s="122"/>
      <c r="D34" s="122"/>
      <c r="E34" s="13"/>
      <c r="F34" s="13"/>
      <c r="G34" s="13"/>
      <c r="H34" s="13"/>
      <c r="I34" s="14"/>
    </row>
    <row r="35" spans="1:9" x14ac:dyDescent="0.3">
      <c r="A35" s="8"/>
      <c r="B35" s="129" t="s">
        <v>61</v>
      </c>
      <c r="C35" s="129"/>
      <c r="D35" s="129"/>
      <c r="E35" s="9"/>
      <c r="F35" s="9"/>
      <c r="G35" s="9"/>
      <c r="H35" s="9"/>
      <c r="I35" s="33">
        <f>MAX(I30:I33)</f>
        <v>0.24269845644983465</v>
      </c>
    </row>
    <row r="36" spans="1:9" x14ac:dyDescent="0.3">
      <c r="A36" s="21">
        <v>1</v>
      </c>
      <c r="B36" s="2" t="s">
        <v>1</v>
      </c>
      <c r="C36" s="109" t="s">
        <v>49</v>
      </c>
      <c r="D36" s="109"/>
      <c r="E36" s="2">
        <v>10</v>
      </c>
      <c r="F36" s="2">
        <v>7</v>
      </c>
      <c r="G36" s="2">
        <f t="shared" ref="G36:G39" si="4">SUM(E36:F36)</f>
        <v>17</v>
      </c>
      <c r="H36" s="29">
        <f>(G36*G6*G6*G5)</f>
        <v>7.147539925000002</v>
      </c>
      <c r="I36" s="29">
        <f>((2*G36*G6*G5)/(725.6))*100</f>
        <v>0.20629368798235947</v>
      </c>
    </row>
    <row r="37" spans="1:9" x14ac:dyDescent="0.3">
      <c r="A37" s="21">
        <v>2</v>
      </c>
      <c r="B37" s="2" t="s">
        <v>2</v>
      </c>
      <c r="C37" s="109"/>
      <c r="D37" s="109"/>
      <c r="E37" s="2">
        <v>4</v>
      </c>
      <c r="F37" s="2">
        <v>6</v>
      </c>
      <c r="G37" s="2">
        <f t="shared" si="4"/>
        <v>10</v>
      </c>
      <c r="H37" s="29">
        <f>(G37*G6*G6*G5)</f>
        <v>4.2044352500000004</v>
      </c>
      <c r="I37" s="29">
        <f>((2*G37*G6*G5)/(725.6))*100</f>
        <v>0.12134922822491732</v>
      </c>
    </row>
    <row r="38" spans="1:9" x14ac:dyDescent="0.3">
      <c r="A38" s="21">
        <v>3</v>
      </c>
      <c r="B38" s="2" t="s">
        <v>3</v>
      </c>
      <c r="C38" s="109"/>
      <c r="D38" s="109"/>
      <c r="E38" s="2">
        <v>4</v>
      </c>
      <c r="F38" s="2">
        <v>6</v>
      </c>
      <c r="G38" s="2">
        <f t="shared" si="4"/>
        <v>10</v>
      </c>
      <c r="H38" s="29">
        <f>(G38*G6*G6*G5)</f>
        <v>4.2044352500000004</v>
      </c>
      <c r="I38" s="29">
        <f>((2*G38*G6*G5)/(725.6))*100</f>
        <v>0.12134922822491732</v>
      </c>
    </row>
    <row r="39" spans="1:9" x14ac:dyDescent="0.3">
      <c r="A39" s="21">
        <v>4</v>
      </c>
      <c r="B39" s="2" t="s">
        <v>4</v>
      </c>
      <c r="C39" s="109"/>
      <c r="D39" s="109"/>
      <c r="E39" s="2">
        <v>12</v>
      </c>
      <c r="F39" s="2">
        <v>14</v>
      </c>
      <c r="G39" s="2">
        <f t="shared" si="4"/>
        <v>26</v>
      </c>
      <c r="H39" s="29">
        <f>(G39*G6*G6*G5)</f>
        <v>10.931531650000002</v>
      </c>
      <c r="I39" s="29">
        <f>((2*G39*G6*G5)/(725.6))*100</f>
        <v>0.31550799338478502</v>
      </c>
    </row>
    <row r="40" spans="1:9" x14ac:dyDescent="0.3">
      <c r="A40" s="12"/>
      <c r="B40" s="122" t="s">
        <v>62</v>
      </c>
      <c r="C40" s="122"/>
      <c r="D40" s="122"/>
      <c r="E40" s="13"/>
      <c r="F40" s="13"/>
      <c r="G40" s="13"/>
      <c r="H40" s="13"/>
      <c r="I40" s="14"/>
    </row>
    <row r="41" spans="1:9" x14ac:dyDescent="0.3">
      <c r="A41" s="10"/>
      <c r="B41" s="123" t="s">
        <v>61</v>
      </c>
      <c r="C41" s="123"/>
      <c r="D41" s="123"/>
      <c r="E41" s="11"/>
      <c r="F41" s="11"/>
      <c r="G41" s="11"/>
      <c r="H41" s="11"/>
      <c r="I41" s="30">
        <f>MAX(I36:I39)</f>
        <v>0.31550799338478502</v>
      </c>
    </row>
    <row r="42" spans="1:9" x14ac:dyDescent="0.3">
      <c r="A42" s="6"/>
      <c r="B42" s="4"/>
      <c r="C42" s="5"/>
      <c r="D42" s="5"/>
    </row>
    <row r="43" spans="1:9" x14ac:dyDescent="0.3">
      <c r="A43" s="6"/>
      <c r="B43" s="4"/>
      <c r="C43" s="5"/>
      <c r="D43" s="5"/>
    </row>
    <row r="44" spans="1:9" x14ac:dyDescent="0.3">
      <c r="A44" s="6"/>
      <c r="B44" s="4"/>
      <c r="C44" s="5"/>
      <c r="D44" s="5"/>
    </row>
    <row r="45" spans="1:9" x14ac:dyDescent="0.3">
      <c r="A45" s="4"/>
    </row>
    <row r="46" spans="1:9" x14ac:dyDescent="0.3">
      <c r="A46" s="4"/>
    </row>
  </sheetData>
  <mergeCells count="37">
    <mergeCell ref="C36:D39"/>
    <mergeCell ref="B40:D40"/>
    <mergeCell ref="B41:D41"/>
    <mergeCell ref="B28:D28"/>
    <mergeCell ref="B29:D29"/>
    <mergeCell ref="C30:D33"/>
    <mergeCell ref="B34:D34"/>
    <mergeCell ref="B35:D35"/>
    <mergeCell ref="C24:D27"/>
    <mergeCell ref="B8:C8"/>
    <mergeCell ref="A10:A11"/>
    <mergeCell ref="B10:B11"/>
    <mergeCell ref="C10:D11"/>
    <mergeCell ref="B16:D16"/>
    <mergeCell ref="B17:D17"/>
    <mergeCell ref="C18:D21"/>
    <mergeCell ref="B22:D22"/>
    <mergeCell ref="B23:D23"/>
    <mergeCell ref="C12:D15"/>
    <mergeCell ref="A1:I2"/>
    <mergeCell ref="C3:I3"/>
    <mergeCell ref="C4:I4"/>
    <mergeCell ref="A3:B3"/>
    <mergeCell ref="A4:B4"/>
    <mergeCell ref="G10:G11"/>
    <mergeCell ref="H10:H11"/>
    <mergeCell ref="E10:F10"/>
    <mergeCell ref="I10:I11"/>
    <mergeCell ref="B9:C9"/>
    <mergeCell ref="H5:I5"/>
    <mergeCell ref="H6:I6"/>
    <mergeCell ref="C6:D6"/>
    <mergeCell ref="C5:D5"/>
    <mergeCell ref="C7:D7"/>
    <mergeCell ref="E5:F5"/>
    <mergeCell ref="E6:F6"/>
    <mergeCell ref="E7:F7"/>
  </mergeCells>
  <pageMargins left="0.7" right="0.7" top="0.75" bottom="0.75" header="0.3" footer="0.3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workbookViewId="0">
      <selection activeCell="D6" sqref="D6"/>
    </sheetView>
  </sheetViews>
  <sheetFormatPr defaultRowHeight="14.4" x14ac:dyDescent="0.3"/>
  <cols>
    <col min="1" max="1" width="8" customWidth="1"/>
    <col min="2" max="2" width="12.88671875" customWidth="1"/>
    <col min="3" max="4" width="6" customWidth="1"/>
    <col min="5" max="5" width="12.33203125" customWidth="1"/>
    <col min="6" max="6" width="11.5546875" customWidth="1"/>
    <col min="7" max="8" width="11.44140625" customWidth="1"/>
    <col min="9" max="9" width="12" bestFit="1" customWidth="1"/>
  </cols>
  <sheetData>
    <row r="1" spans="1:10" ht="15" customHeight="1" x14ac:dyDescent="0.3">
      <c r="A1" s="110" t="s">
        <v>70</v>
      </c>
      <c r="B1" s="111"/>
      <c r="C1" s="111"/>
      <c r="D1" s="111"/>
      <c r="E1" s="111"/>
      <c r="F1" s="111"/>
      <c r="G1" s="111"/>
      <c r="H1" s="111"/>
      <c r="I1" s="112"/>
    </row>
    <row r="2" spans="1:10" ht="15" customHeight="1" x14ac:dyDescent="0.3">
      <c r="A2" s="113"/>
      <c r="B2" s="114"/>
      <c r="C2" s="114"/>
      <c r="D2" s="114"/>
      <c r="E2" s="114"/>
      <c r="F2" s="114"/>
      <c r="G2" s="114"/>
      <c r="H2" s="114"/>
      <c r="I2" s="115"/>
    </row>
    <row r="3" spans="1:10" x14ac:dyDescent="0.3">
      <c r="A3" s="120" t="s">
        <v>86</v>
      </c>
      <c r="B3" s="121"/>
      <c r="C3" s="116" t="s">
        <v>246</v>
      </c>
      <c r="D3" s="116"/>
      <c r="E3" s="116"/>
      <c r="F3" s="116"/>
      <c r="G3" s="116"/>
      <c r="H3" s="116"/>
      <c r="I3" s="117"/>
    </row>
    <row r="4" spans="1:10" x14ac:dyDescent="0.3">
      <c r="A4" s="120" t="s">
        <v>87</v>
      </c>
      <c r="B4" s="121"/>
      <c r="C4" s="118"/>
      <c r="D4" s="118"/>
      <c r="E4" s="118"/>
      <c r="F4" s="118"/>
      <c r="G4" s="118"/>
      <c r="H4" s="118"/>
      <c r="I4" s="119"/>
    </row>
    <row r="5" spans="1:10" ht="15.6" x14ac:dyDescent="0.3">
      <c r="B5" s="36" t="s">
        <v>95</v>
      </c>
      <c r="J5" s="15"/>
    </row>
    <row r="6" spans="1:10" x14ac:dyDescent="0.3">
      <c r="B6" s="23" t="s">
        <v>78</v>
      </c>
      <c r="E6" s="6" t="s">
        <v>83</v>
      </c>
      <c r="F6" s="4">
        <v>20</v>
      </c>
      <c r="J6" s="15"/>
    </row>
    <row r="7" spans="1:10" x14ac:dyDescent="0.3">
      <c r="B7" s="23" t="s">
        <v>122</v>
      </c>
      <c r="E7" s="6" t="s">
        <v>83</v>
      </c>
      <c r="F7" s="4">
        <v>415</v>
      </c>
      <c r="J7" s="15"/>
    </row>
    <row r="8" spans="1:10" x14ac:dyDescent="0.3">
      <c r="B8" s="23" t="s">
        <v>123</v>
      </c>
      <c r="E8" s="6" t="s">
        <v>83</v>
      </c>
      <c r="F8" s="4">
        <v>15</v>
      </c>
      <c r="J8" s="15"/>
    </row>
    <row r="9" spans="1:10" ht="15.6" x14ac:dyDescent="0.3">
      <c r="B9" s="36" t="s">
        <v>79</v>
      </c>
      <c r="F9" s="4"/>
      <c r="J9" s="15"/>
    </row>
    <row r="10" spans="1:10" ht="15.6" x14ac:dyDescent="0.3">
      <c r="B10" s="37" t="s">
        <v>80</v>
      </c>
      <c r="J10" s="15"/>
    </row>
    <row r="11" spans="1:10" x14ac:dyDescent="0.3">
      <c r="B11" s="23" t="s">
        <v>81</v>
      </c>
      <c r="J11" s="15"/>
    </row>
    <row r="12" spans="1:10" x14ac:dyDescent="0.3">
      <c r="B12" s="23" t="s">
        <v>82</v>
      </c>
      <c r="E12" s="6" t="s">
        <v>83</v>
      </c>
      <c r="F12" s="4">
        <v>0.8</v>
      </c>
      <c r="G12" t="s">
        <v>85</v>
      </c>
      <c r="J12" s="15"/>
    </row>
    <row r="13" spans="1:10" x14ac:dyDescent="0.3">
      <c r="B13" s="23" t="s">
        <v>84</v>
      </c>
      <c r="E13" s="6" t="s">
        <v>83</v>
      </c>
      <c r="F13" s="4">
        <v>1</v>
      </c>
      <c r="J13" s="15"/>
    </row>
    <row r="14" spans="1:10" x14ac:dyDescent="0.3">
      <c r="B14" s="23" t="s">
        <v>88</v>
      </c>
      <c r="E14" s="6" t="s">
        <v>83</v>
      </c>
      <c r="F14" s="4">
        <f>F13*F12</f>
        <v>0.8</v>
      </c>
      <c r="J14" s="15"/>
    </row>
    <row r="15" spans="1:10" x14ac:dyDescent="0.3">
      <c r="B15" s="23" t="s">
        <v>89</v>
      </c>
      <c r="E15" s="6"/>
      <c r="J15" s="15"/>
    </row>
    <row r="16" spans="1:10" ht="29.25" customHeight="1" x14ac:dyDescent="0.3">
      <c r="B16" s="142" t="s">
        <v>90</v>
      </c>
      <c r="C16" s="142"/>
      <c r="D16" s="142" t="s">
        <v>91</v>
      </c>
      <c r="E16" s="142"/>
      <c r="F16" s="38" t="s">
        <v>114</v>
      </c>
      <c r="G16" s="143" t="s">
        <v>115</v>
      </c>
      <c r="H16" s="143"/>
      <c r="J16" s="15"/>
    </row>
    <row r="17" spans="1:12" x14ac:dyDescent="0.3">
      <c r="B17" s="140" t="s">
        <v>96</v>
      </c>
      <c r="C17" s="140"/>
      <c r="D17" s="140" t="s">
        <v>97</v>
      </c>
      <c r="E17" s="140"/>
      <c r="F17" s="2">
        <v>95</v>
      </c>
      <c r="G17" s="140">
        <f>F17*F14</f>
        <v>76</v>
      </c>
      <c r="H17" s="140"/>
      <c r="J17" s="15"/>
    </row>
    <row r="18" spans="1:12" ht="15.75" customHeight="1" x14ac:dyDescent="0.3">
      <c r="B18" s="23"/>
      <c r="C18" s="23" t="s">
        <v>92</v>
      </c>
      <c r="E18" s="6"/>
      <c r="J18" s="15"/>
    </row>
    <row r="19" spans="1:12" x14ac:dyDescent="0.3">
      <c r="B19" s="141" t="s">
        <v>94</v>
      </c>
      <c r="C19" s="141"/>
      <c r="D19" s="141"/>
      <c r="E19" s="22" t="s">
        <v>31</v>
      </c>
      <c r="F19" s="23" t="s">
        <v>93</v>
      </c>
      <c r="G19" s="23"/>
      <c r="H19" s="23"/>
      <c r="I19" s="7"/>
    </row>
    <row r="20" spans="1:12" x14ac:dyDescent="0.3">
      <c r="B20" s="39"/>
      <c r="C20" s="39"/>
      <c r="D20" s="39"/>
      <c r="E20" s="22"/>
      <c r="F20" s="23"/>
      <c r="G20" s="23"/>
      <c r="H20" s="23"/>
      <c r="I20" s="7"/>
      <c r="K20" s="42"/>
      <c r="L20" s="41"/>
    </row>
    <row r="21" spans="1:12" x14ac:dyDescent="0.3">
      <c r="B21" s="6" t="s">
        <v>98</v>
      </c>
      <c r="C21" s="6" t="s">
        <v>31</v>
      </c>
      <c r="D21" s="40" t="s">
        <v>99</v>
      </c>
      <c r="E21" s="22"/>
      <c r="F21" s="23"/>
      <c r="G21" s="23"/>
      <c r="H21" s="23"/>
      <c r="I21" s="7"/>
    </row>
    <row r="22" spans="1:12" x14ac:dyDescent="0.3">
      <c r="B22" s="6" t="s">
        <v>100</v>
      </c>
      <c r="C22" s="6" t="s">
        <v>31</v>
      </c>
      <c r="D22" s="40" t="s">
        <v>101</v>
      </c>
      <c r="E22" s="22"/>
      <c r="F22" s="23"/>
      <c r="G22" s="23"/>
      <c r="H22" s="23"/>
      <c r="I22" s="7"/>
    </row>
    <row r="23" spans="1:12" x14ac:dyDescent="0.3">
      <c r="B23" s="6" t="s">
        <v>102</v>
      </c>
      <c r="C23" s="6" t="s">
        <v>31</v>
      </c>
      <c r="D23" s="40" t="s">
        <v>103</v>
      </c>
      <c r="E23" s="22"/>
      <c r="F23" s="23"/>
      <c r="G23" s="23"/>
      <c r="H23" s="23"/>
      <c r="I23" s="7"/>
    </row>
    <row r="24" spans="1:12" x14ac:dyDescent="0.3">
      <c r="B24" s="6" t="s">
        <v>104</v>
      </c>
      <c r="C24" s="6" t="s">
        <v>31</v>
      </c>
      <c r="D24" s="40" t="s">
        <v>105</v>
      </c>
      <c r="E24" s="22"/>
      <c r="F24" s="23"/>
      <c r="G24" s="23"/>
      <c r="H24" s="23"/>
      <c r="I24" s="7"/>
    </row>
    <row r="25" spans="1:12" x14ac:dyDescent="0.3">
      <c r="B25" s="6" t="s">
        <v>106</v>
      </c>
      <c r="C25" s="6" t="s">
        <v>31</v>
      </c>
      <c r="D25" s="40" t="s">
        <v>112</v>
      </c>
      <c r="E25" s="22"/>
      <c r="G25" t="s">
        <v>120</v>
      </c>
      <c r="H25" s="23"/>
      <c r="I25" s="7"/>
    </row>
    <row r="26" spans="1:12" x14ac:dyDescent="0.3">
      <c r="B26" s="6" t="s">
        <v>107</v>
      </c>
      <c r="C26" s="6" t="s">
        <v>31</v>
      </c>
      <c r="D26" s="40" t="s">
        <v>113</v>
      </c>
      <c r="F26" s="23"/>
      <c r="G26" t="s">
        <v>121</v>
      </c>
      <c r="H26" s="23"/>
      <c r="I26" s="7"/>
    </row>
    <row r="27" spans="1:12" x14ac:dyDescent="0.3">
      <c r="B27" s="6" t="s">
        <v>108</v>
      </c>
      <c r="C27" s="6" t="s">
        <v>31</v>
      </c>
      <c r="D27" s="40" t="s">
        <v>111</v>
      </c>
      <c r="F27" s="23"/>
      <c r="G27" s="23"/>
      <c r="H27" s="23"/>
      <c r="I27" s="7"/>
    </row>
    <row r="28" spans="1:12" x14ac:dyDescent="0.3">
      <c r="B28" s="6" t="s">
        <v>109</v>
      </c>
      <c r="C28" s="6" t="s">
        <v>31</v>
      </c>
      <c r="D28" s="40" t="s">
        <v>110</v>
      </c>
      <c r="F28" s="23"/>
      <c r="G28" s="23"/>
      <c r="H28" s="23"/>
      <c r="I28" s="7"/>
    </row>
    <row r="29" spans="1:12" x14ac:dyDescent="0.3">
      <c r="A29" s="16"/>
      <c r="B29" s="104"/>
      <c r="C29" s="104"/>
      <c r="D29" s="24"/>
      <c r="E29" s="25"/>
      <c r="F29" s="25"/>
      <c r="G29" s="25"/>
      <c r="H29" s="25"/>
      <c r="I29" s="18"/>
    </row>
    <row r="30" spans="1:12" ht="31.5" customHeight="1" x14ac:dyDescent="0.3">
      <c r="A30" s="125" t="s">
        <v>37</v>
      </c>
      <c r="B30" s="128" t="s">
        <v>72</v>
      </c>
      <c r="C30" s="127" t="s">
        <v>71</v>
      </c>
      <c r="D30" s="127"/>
      <c r="E30" s="128" t="s">
        <v>116</v>
      </c>
      <c r="F30" s="128" t="s">
        <v>117</v>
      </c>
      <c r="G30" s="127" t="s">
        <v>118</v>
      </c>
      <c r="H30" s="128" t="s">
        <v>119</v>
      </c>
      <c r="I30" s="127" t="s">
        <v>44</v>
      </c>
      <c r="J30" s="4"/>
      <c r="K30" s="4"/>
    </row>
    <row r="31" spans="1:12" ht="16.5" customHeight="1" x14ac:dyDescent="0.3">
      <c r="A31" s="126"/>
      <c r="B31" s="130"/>
      <c r="C31" s="128"/>
      <c r="D31" s="128"/>
      <c r="E31" s="130"/>
      <c r="F31" s="130"/>
      <c r="G31" s="128"/>
      <c r="H31" s="130"/>
      <c r="I31" s="128"/>
    </row>
    <row r="32" spans="1:12" x14ac:dyDescent="0.3">
      <c r="A32" s="21">
        <v>1</v>
      </c>
      <c r="B32" s="2" t="s">
        <v>0</v>
      </c>
      <c r="C32" s="131" t="s">
        <v>24</v>
      </c>
      <c r="D32" s="132"/>
      <c r="E32" s="137">
        <v>1.4</v>
      </c>
      <c r="F32" s="137">
        <v>0.08</v>
      </c>
      <c r="G32" s="2">
        <v>3.3000000000000002E-2</v>
      </c>
      <c r="H32" s="2">
        <v>1</v>
      </c>
      <c r="I32" s="29">
        <f>(1.732*F8*G32*E32*100)/(H32*F7)</f>
        <v>0.2892231325301205</v>
      </c>
    </row>
    <row r="33" spans="1:9" x14ac:dyDescent="0.3">
      <c r="A33" s="21">
        <v>2</v>
      </c>
      <c r="B33" s="2" t="s">
        <v>5</v>
      </c>
      <c r="C33" s="133"/>
      <c r="D33" s="134"/>
      <c r="E33" s="138"/>
      <c r="F33" s="138"/>
      <c r="G33" s="2">
        <v>1.9E-2</v>
      </c>
      <c r="H33" s="2">
        <v>1</v>
      </c>
      <c r="I33" s="29">
        <f>(1.732*F8*G33*E32*100)/(H33*F7)</f>
        <v>0.16652240963855422</v>
      </c>
    </row>
    <row r="34" spans="1:9" x14ac:dyDescent="0.3">
      <c r="A34" s="21">
        <v>3</v>
      </c>
      <c r="B34" s="2" t="s">
        <v>6</v>
      </c>
      <c r="C34" s="133"/>
      <c r="D34" s="134"/>
      <c r="E34" s="138"/>
      <c r="F34" s="138"/>
      <c r="G34" s="2">
        <v>2.9000000000000001E-2</v>
      </c>
      <c r="H34" s="2">
        <v>1</v>
      </c>
      <c r="I34" s="29">
        <f>(1.732*F8*G34*E32*100)/(H34*F7)</f>
        <v>0.25416578313253013</v>
      </c>
    </row>
    <row r="35" spans="1:9" x14ac:dyDescent="0.3">
      <c r="A35" s="21">
        <v>4</v>
      </c>
      <c r="B35" s="2" t="s">
        <v>7</v>
      </c>
      <c r="C35" s="133"/>
      <c r="D35" s="134"/>
      <c r="E35" s="138"/>
      <c r="F35" s="138"/>
      <c r="G35" s="2">
        <v>0.05</v>
      </c>
      <c r="H35" s="2">
        <v>1</v>
      </c>
      <c r="I35" s="29">
        <f>(1.732*F8*G35*E35*100)/(H35*F7)</f>
        <v>0</v>
      </c>
    </row>
    <row r="36" spans="1:9" x14ac:dyDescent="0.3">
      <c r="A36" s="21">
        <v>4</v>
      </c>
      <c r="B36" s="2" t="s">
        <v>14</v>
      </c>
      <c r="C36" s="135"/>
      <c r="D36" s="136"/>
      <c r="E36" s="139"/>
      <c r="F36" s="139"/>
      <c r="G36" s="2">
        <v>3.6999999999999998E-2</v>
      </c>
      <c r="H36" s="2">
        <v>1</v>
      </c>
      <c r="I36" s="29">
        <f>(1.732*F8*G36*E36*100)/(H36*F7)</f>
        <v>0</v>
      </c>
    </row>
    <row r="37" spans="1:9" x14ac:dyDescent="0.3">
      <c r="A37" s="12"/>
      <c r="B37" s="122" t="s">
        <v>62</v>
      </c>
      <c r="C37" s="122"/>
      <c r="D37" s="122"/>
      <c r="E37" s="13"/>
      <c r="F37" s="13"/>
      <c r="G37" s="31">
        <f>SUM(G32:G36)</f>
        <v>0.16800000000000001</v>
      </c>
      <c r="H37" s="31"/>
      <c r="I37" s="14"/>
    </row>
    <row r="38" spans="1:9" x14ac:dyDescent="0.3">
      <c r="A38" s="10"/>
      <c r="B38" s="123" t="s">
        <v>61</v>
      </c>
      <c r="C38" s="123"/>
      <c r="D38" s="123"/>
      <c r="E38" s="11"/>
      <c r="F38" s="11"/>
      <c r="G38" s="11"/>
      <c r="H38" s="11"/>
      <c r="I38" s="30">
        <f>MAX(I32:I35)</f>
        <v>0.2892231325301205</v>
      </c>
    </row>
    <row r="39" spans="1:9" ht="15" customHeight="1" x14ac:dyDescent="0.3">
      <c r="A39" s="21">
        <v>1</v>
      </c>
      <c r="B39" s="2" t="s">
        <v>8</v>
      </c>
      <c r="C39" s="131" t="s">
        <v>25</v>
      </c>
      <c r="D39" s="132"/>
      <c r="E39" s="2"/>
      <c r="F39" s="2"/>
      <c r="G39" s="2"/>
      <c r="H39" s="2"/>
      <c r="I39" s="29"/>
    </row>
    <row r="40" spans="1:9" x14ac:dyDescent="0.3">
      <c r="A40" s="21">
        <v>2</v>
      </c>
      <c r="B40" s="2" t="s">
        <v>9</v>
      </c>
      <c r="C40" s="133"/>
      <c r="D40" s="134"/>
      <c r="E40" s="2"/>
      <c r="F40" s="2"/>
      <c r="G40" s="2"/>
      <c r="H40" s="2"/>
      <c r="I40" s="29"/>
    </row>
    <row r="41" spans="1:9" x14ac:dyDescent="0.3">
      <c r="A41" s="21">
        <v>3</v>
      </c>
      <c r="B41" s="2" t="s">
        <v>10</v>
      </c>
      <c r="C41" s="133"/>
      <c r="D41" s="134"/>
      <c r="E41" s="2"/>
      <c r="F41" s="2"/>
      <c r="G41" s="2"/>
      <c r="H41" s="2"/>
      <c r="I41" s="29"/>
    </row>
    <row r="42" spans="1:9" x14ac:dyDescent="0.3">
      <c r="A42" s="21">
        <v>4</v>
      </c>
      <c r="B42" s="2" t="s">
        <v>11</v>
      </c>
      <c r="C42" s="133"/>
      <c r="D42" s="134"/>
      <c r="E42" s="2"/>
      <c r="F42" s="2"/>
      <c r="G42" s="2"/>
      <c r="H42" s="2"/>
      <c r="I42" s="29"/>
    </row>
    <row r="43" spans="1:9" x14ac:dyDescent="0.3">
      <c r="A43" s="21">
        <v>4</v>
      </c>
      <c r="B43" s="2" t="s">
        <v>12</v>
      </c>
      <c r="C43" s="135"/>
      <c r="D43" s="136"/>
      <c r="E43" s="2"/>
      <c r="F43" s="2"/>
      <c r="G43" s="2"/>
      <c r="H43" s="2"/>
      <c r="I43" s="29"/>
    </row>
    <row r="44" spans="1:9" x14ac:dyDescent="0.3">
      <c r="A44" s="12"/>
      <c r="B44" s="122" t="s">
        <v>62</v>
      </c>
      <c r="C44" s="122"/>
      <c r="D44" s="122"/>
      <c r="E44" s="13"/>
      <c r="F44" s="13"/>
      <c r="G44" s="13"/>
      <c r="H44" s="13"/>
      <c r="I44" s="14"/>
    </row>
    <row r="45" spans="1:9" x14ac:dyDescent="0.3">
      <c r="A45" s="10"/>
      <c r="B45" s="123" t="s">
        <v>61</v>
      </c>
      <c r="C45" s="123"/>
      <c r="D45" s="123"/>
      <c r="E45" s="11"/>
      <c r="F45" s="11"/>
      <c r="G45" s="11"/>
      <c r="H45" s="11"/>
      <c r="I45" s="30">
        <f>MAX(I39:I42)</f>
        <v>0</v>
      </c>
    </row>
    <row r="46" spans="1:9" ht="15" customHeight="1" x14ac:dyDescent="0.3">
      <c r="A46" s="21">
        <v>1</v>
      </c>
      <c r="B46" s="2" t="s">
        <v>17</v>
      </c>
      <c r="C46" s="131" t="s">
        <v>26</v>
      </c>
      <c r="D46" s="132"/>
      <c r="E46" s="2"/>
      <c r="F46" s="2"/>
      <c r="G46" s="2"/>
      <c r="H46" s="2"/>
      <c r="I46" s="29"/>
    </row>
    <row r="47" spans="1:9" x14ac:dyDescent="0.3">
      <c r="A47" s="21">
        <v>2</v>
      </c>
      <c r="B47" s="2" t="s">
        <v>18</v>
      </c>
      <c r="C47" s="133"/>
      <c r="D47" s="134"/>
      <c r="E47" s="2"/>
      <c r="F47" s="2"/>
      <c r="G47" s="2"/>
      <c r="H47" s="2"/>
      <c r="I47" s="29"/>
    </row>
    <row r="48" spans="1:9" x14ac:dyDescent="0.3">
      <c r="A48" s="21">
        <v>3</v>
      </c>
      <c r="B48" s="2" t="s">
        <v>19</v>
      </c>
      <c r="C48" s="133"/>
      <c r="D48" s="134"/>
      <c r="E48" s="2"/>
      <c r="F48" s="2"/>
      <c r="G48" s="2"/>
      <c r="H48" s="2"/>
      <c r="I48" s="29"/>
    </row>
    <row r="49" spans="1:9" x14ac:dyDescent="0.3">
      <c r="A49" s="21">
        <v>4</v>
      </c>
      <c r="B49" s="2" t="s">
        <v>20</v>
      </c>
      <c r="C49" s="133"/>
      <c r="D49" s="134"/>
      <c r="E49" s="2"/>
      <c r="F49" s="2"/>
      <c r="G49" s="2"/>
      <c r="H49" s="2"/>
      <c r="I49" s="29"/>
    </row>
    <row r="50" spans="1:9" x14ac:dyDescent="0.3">
      <c r="A50" s="21">
        <v>4</v>
      </c>
      <c r="B50" s="2" t="s">
        <v>13</v>
      </c>
      <c r="C50" s="135"/>
      <c r="D50" s="136"/>
      <c r="E50" s="2"/>
      <c r="F50" s="2"/>
      <c r="G50" s="2"/>
      <c r="H50" s="2"/>
      <c r="I50" s="29"/>
    </row>
    <row r="51" spans="1:9" x14ac:dyDescent="0.3">
      <c r="A51" s="12"/>
      <c r="B51" s="122" t="s">
        <v>62</v>
      </c>
      <c r="C51" s="122"/>
      <c r="D51" s="122"/>
      <c r="E51" s="13"/>
      <c r="F51" s="13"/>
      <c r="G51" s="13"/>
      <c r="H51" s="13"/>
      <c r="I51" s="14"/>
    </row>
    <row r="52" spans="1:9" x14ac:dyDescent="0.3">
      <c r="A52" s="10"/>
      <c r="B52" s="123" t="s">
        <v>61</v>
      </c>
      <c r="C52" s="123"/>
      <c r="D52" s="123"/>
      <c r="E52" s="11"/>
      <c r="F52" s="11"/>
      <c r="G52" s="11"/>
      <c r="H52" s="11"/>
      <c r="I52" s="30">
        <f>MAX(I46:I49)</f>
        <v>0</v>
      </c>
    </row>
    <row r="53" spans="1:9" ht="15" customHeight="1" x14ac:dyDescent="0.3">
      <c r="A53" s="21">
        <v>1</v>
      </c>
      <c r="B53" s="2" t="s">
        <v>15</v>
      </c>
      <c r="C53" s="131" t="s">
        <v>27</v>
      </c>
      <c r="D53" s="132"/>
      <c r="E53" s="2"/>
      <c r="F53" s="2"/>
      <c r="G53" s="2"/>
      <c r="H53" s="2"/>
      <c r="I53" s="29"/>
    </row>
    <row r="54" spans="1:9" x14ac:dyDescent="0.3">
      <c r="A54" s="21">
        <v>2</v>
      </c>
      <c r="B54" s="2" t="s">
        <v>16</v>
      </c>
      <c r="C54" s="133"/>
      <c r="D54" s="134"/>
      <c r="E54" s="2"/>
      <c r="F54" s="2"/>
      <c r="G54" s="2"/>
      <c r="H54" s="2"/>
      <c r="I54" s="29"/>
    </row>
    <row r="55" spans="1:9" x14ac:dyDescent="0.3">
      <c r="A55" s="21">
        <v>3</v>
      </c>
      <c r="B55" s="2" t="s">
        <v>21</v>
      </c>
      <c r="C55" s="133"/>
      <c r="D55" s="134"/>
      <c r="E55" s="2"/>
      <c r="F55" s="2"/>
      <c r="G55" s="2"/>
      <c r="H55" s="2"/>
      <c r="I55" s="29"/>
    </row>
    <row r="56" spans="1:9" x14ac:dyDescent="0.3">
      <c r="A56" s="21">
        <v>4</v>
      </c>
      <c r="B56" s="2" t="s">
        <v>22</v>
      </c>
      <c r="C56" s="133"/>
      <c r="D56" s="134"/>
      <c r="E56" s="2"/>
      <c r="F56" s="2"/>
      <c r="G56" s="2"/>
      <c r="H56" s="2"/>
      <c r="I56" s="29"/>
    </row>
    <row r="57" spans="1:9" x14ac:dyDescent="0.3">
      <c r="A57" s="21">
        <v>4</v>
      </c>
      <c r="B57" s="2" t="s">
        <v>23</v>
      </c>
      <c r="C57" s="135"/>
      <c r="D57" s="136"/>
      <c r="E57" s="2"/>
      <c r="F57" s="2"/>
      <c r="G57" s="2"/>
      <c r="H57" s="2"/>
      <c r="I57" s="29"/>
    </row>
    <row r="58" spans="1:9" ht="15" customHeight="1" x14ac:dyDescent="0.3">
      <c r="A58" s="125" t="s">
        <v>37</v>
      </c>
      <c r="B58" s="128" t="s">
        <v>75</v>
      </c>
      <c r="C58" s="127" t="s">
        <v>76</v>
      </c>
      <c r="D58" s="127"/>
      <c r="E58" s="128" t="s">
        <v>74</v>
      </c>
      <c r="F58" s="128" t="s">
        <v>73</v>
      </c>
      <c r="G58" s="127" t="s">
        <v>43</v>
      </c>
      <c r="H58" s="34"/>
      <c r="I58" s="127" t="s">
        <v>44</v>
      </c>
    </row>
    <row r="59" spans="1:9" x14ac:dyDescent="0.3">
      <c r="A59" s="126"/>
      <c r="B59" s="130"/>
      <c r="C59" s="128"/>
      <c r="D59" s="128"/>
      <c r="E59" s="130"/>
      <c r="F59" s="130"/>
      <c r="G59" s="128"/>
      <c r="H59" s="35"/>
      <c r="I59" s="128"/>
    </row>
    <row r="60" spans="1:9" ht="15" customHeight="1" x14ac:dyDescent="0.3">
      <c r="A60" s="21">
        <v>1</v>
      </c>
      <c r="B60" s="21" t="s">
        <v>24</v>
      </c>
      <c r="C60" s="131" t="s">
        <v>77</v>
      </c>
      <c r="D60" s="132"/>
      <c r="E60" s="2"/>
      <c r="F60" s="2"/>
      <c r="G60" s="2"/>
      <c r="H60" s="2"/>
      <c r="I60" s="29"/>
    </row>
    <row r="61" spans="1:9" x14ac:dyDescent="0.3">
      <c r="A61" s="21">
        <v>2</v>
      </c>
      <c r="B61" s="21" t="s">
        <v>25</v>
      </c>
      <c r="C61" s="133"/>
      <c r="D61" s="134"/>
      <c r="E61" s="2"/>
      <c r="F61" s="2"/>
      <c r="G61" s="2"/>
      <c r="H61" s="2"/>
      <c r="I61" s="29"/>
    </row>
    <row r="62" spans="1:9" x14ac:dyDescent="0.3">
      <c r="A62" s="21">
        <v>3</v>
      </c>
      <c r="B62" s="21" t="s">
        <v>26</v>
      </c>
      <c r="C62" s="133"/>
      <c r="D62" s="134"/>
      <c r="E62" s="2"/>
      <c r="F62" s="2"/>
      <c r="G62" s="2"/>
      <c r="H62" s="2"/>
      <c r="I62" s="29"/>
    </row>
    <row r="63" spans="1:9" x14ac:dyDescent="0.3">
      <c r="A63" s="21">
        <v>4</v>
      </c>
      <c r="B63" s="21" t="s">
        <v>27</v>
      </c>
      <c r="C63" s="133"/>
      <c r="D63" s="134"/>
      <c r="E63" s="2"/>
      <c r="F63" s="2"/>
      <c r="G63" s="2"/>
      <c r="H63" s="2"/>
      <c r="I63" s="29"/>
    </row>
    <row r="64" spans="1:9" x14ac:dyDescent="0.3">
      <c r="A64" s="12"/>
      <c r="B64" s="122"/>
      <c r="C64" s="122"/>
      <c r="D64" s="122"/>
      <c r="E64" s="13"/>
      <c r="F64" s="13"/>
      <c r="G64" s="13"/>
      <c r="H64" s="13"/>
      <c r="I64" s="14"/>
    </row>
    <row r="65" spans="1:9" x14ac:dyDescent="0.3">
      <c r="A65" s="10"/>
      <c r="B65" s="123"/>
      <c r="C65" s="123"/>
      <c r="D65" s="123"/>
      <c r="E65" s="11"/>
      <c r="F65" s="11"/>
      <c r="G65" s="11"/>
      <c r="H65" s="11"/>
      <c r="I65" s="30"/>
    </row>
    <row r="66" spans="1:9" x14ac:dyDescent="0.3">
      <c r="A66" s="6"/>
      <c r="B66" s="4"/>
      <c r="C66" s="5"/>
      <c r="D66" s="5"/>
    </row>
    <row r="67" spans="1:9" x14ac:dyDescent="0.3">
      <c r="A67" s="4"/>
    </row>
    <row r="68" spans="1:9" x14ac:dyDescent="0.3">
      <c r="A68" s="4"/>
    </row>
  </sheetData>
  <mergeCells count="43">
    <mergeCell ref="B16:C16"/>
    <mergeCell ref="D16:E16"/>
    <mergeCell ref="G16:H16"/>
    <mergeCell ref="A1:I2"/>
    <mergeCell ref="A3:B3"/>
    <mergeCell ref="C3:I3"/>
    <mergeCell ref="A4:B4"/>
    <mergeCell ref="C4:I4"/>
    <mergeCell ref="H30:H31"/>
    <mergeCell ref="G17:H17"/>
    <mergeCell ref="B19:D19"/>
    <mergeCell ref="I30:I31"/>
    <mergeCell ref="B29:C29"/>
    <mergeCell ref="A30:A31"/>
    <mergeCell ref="B30:B31"/>
    <mergeCell ref="C30:D31"/>
    <mergeCell ref="G30:G31"/>
    <mergeCell ref="B17:C17"/>
    <mergeCell ref="D17:E17"/>
    <mergeCell ref="I58:I59"/>
    <mergeCell ref="B51:D51"/>
    <mergeCell ref="E58:E59"/>
    <mergeCell ref="F58:F59"/>
    <mergeCell ref="G58:G59"/>
    <mergeCell ref="B52:D52"/>
    <mergeCell ref="A58:A59"/>
    <mergeCell ref="B58:B59"/>
    <mergeCell ref="C58:D59"/>
    <mergeCell ref="B64:D64"/>
    <mergeCell ref="B65:D65"/>
    <mergeCell ref="E30:E31"/>
    <mergeCell ref="F30:F31"/>
    <mergeCell ref="C32:D36"/>
    <mergeCell ref="C60:D63"/>
    <mergeCell ref="C53:D57"/>
    <mergeCell ref="C46:D50"/>
    <mergeCell ref="C39:D43"/>
    <mergeCell ref="B37:D37"/>
    <mergeCell ref="B38:D38"/>
    <mergeCell ref="B44:D44"/>
    <mergeCell ref="B45:D45"/>
    <mergeCell ref="E32:E36"/>
    <mergeCell ref="F32:F36"/>
  </mergeCells>
  <pageMargins left="0.7" right="0.7" top="0.75" bottom="0.75" header="0.3" footer="0.3"/>
  <pageSetup scale="91" orientation="portrait" r:id="rId1"/>
  <rowBreaks count="2" manualBreakCount="2">
    <brk id="29" max="16383" man="1"/>
    <brk id="63" max="16383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7"/>
  <sheetViews>
    <sheetView zoomScaleSheetLayoutView="55" workbookViewId="0">
      <selection sqref="A1:I2"/>
    </sheetView>
  </sheetViews>
  <sheetFormatPr defaultRowHeight="14.4" x14ac:dyDescent="0.3"/>
  <cols>
    <col min="2" max="2" width="11.6640625" customWidth="1"/>
    <col min="4" max="4" width="12" customWidth="1"/>
    <col min="5" max="6" width="14.44140625" customWidth="1"/>
    <col min="8" max="8" width="11.5546875" customWidth="1"/>
    <col min="9" max="9" width="14.33203125" bestFit="1" customWidth="1"/>
  </cols>
  <sheetData>
    <row r="1" spans="1:9" x14ac:dyDescent="0.3">
      <c r="A1" s="110" t="s">
        <v>70</v>
      </c>
      <c r="B1" s="111"/>
      <c r="C1" s="111"/>
      <c r="D1" s="111"/>
      <c r="E1" s="111"/>
      <c r="F1" s="111"/>
      <c r="G1" s="111"/>
      <c r="H1" s="111"/>
      <c r="I1" s="112"/>
    </row>
    <row r="2" spans="1:9" x14ac:dyDescent="0.3">
      <c r="A2" s="113"/>
      <c r="B2" s="114"/>
      <c r="C2" s="114"/>
      <c r="D2" s="114"/>
      <c r="E2" s="114"/>
      <c r="F2" s="114"/>
      <c r="G2" s="114"/>
      <c r="H2" s="114"/>
      <c r="I2" s="115"/>
    </row>
    <row r="3" spans="1:9" x14ac:dyDescent="0.3">
      <c r="A3" s="120" t="s">
        <v>86</v>
      </c>
      <c r="B3" s="121"/>
      <c r="C3" s="116" t="s">
        <v>246</v>
      </c>
      <c r="D3" s="116"/>
      <c r="E3" s="116"/>
      <c r="F3" s="116"/>
      <c r="G3" s="116"/>
      <c r="H3" s="116"/>
      <c r="I3" s="117"/>
    </row>
    <row r="4" spans="1:9" x14ac:dyDescent="0.3">
      <c r="A4" s="120" t="s">
        <v>87</v>
      </c>
      <c r="B4" s="121"/>
      <c r="C4" s="118"/>
      <c r="D4" s="118"/>
      <c r="E4" s="118"/>
      <c r="F4" s="118"/>
      <c r="G4" s="118"/>
      <c r="H4" s="118"/>
      <c r="I4" s="119"/>
    </row>
    <row r="5" spans="1:9" ht="15.6" x14ac:dyDescent="0.3">
      <c r="A5" s="15"/>
      <c r="B5" s="36" t="s">
        <v>95</v>
      </c>
      <c r="I5" s="7"/>
    </row>
    <row r="6" spans="1:9" x14ac:dyDescent="0.3">
      <c r="A6" s="15"/>
      <c r="B6" s="23" t="s">
        <v>78</v>
      </c>
      <c r="E6" s="6" t="s">
        <v>83</v>
      </c>
      <c r="F6" s="4">
        <v>25</v>
      </c>
      <c r="I6" s="7"/>
    </row>
    <row r="7" spans="1:9" x14ac:dyDescent="0.3">
      <c r="A7" s="15"/>
      <c r="B7" s="23" t="s">
        <v>122</v>
      </c>
      <c r="E7" s="6" t="s">
        <v>83</v>
      </c>
      <c r="F7" s="4">
        <v>415</v>
      </c>
      <c r="I7" s="7"/>
    </row>
    <row r="8" spans="1:9" x14ac:dyDescent="0.3">
      <c r="A8" s="15"/>
      <c r="B8" s="23" t="s">
        <v>123</v>
      </c>
      <c r="E8" s="6" t="s">
        <v>83</v>
      </c>
      <c r="F8" s="4">
        <v>36.200000000000003</v>
      </c>
      <c r="G8" t="s">
        <v>126</v>
      </c>
      <c r="I8" s="7"/>
    </row>
    <row r="9" spans="1:9" ht="15.6" x14ac:dyDescent="0.3">
      <c r="A9" s="15"/>
      <c r="B9" s="36" t="s">
        <v>79</v>
      </c>
      <c r="F9" s="4"/>
      <c r="I9" s="7"/>
    </row>
    <row r="10" spans="1:9" ht="15.6" x14ac:dyDescent="0.3">
      <c r="A10" s="15"/>
      <c r="B10" s="37" t="s">
        <v>80</v>
      </c>
      <c r="I10" s="7"/>
    </row>
    <row r="11" spans="1:9" x14ac:dyDescent="0.3">
      <c r="A11" s="15"/>
      <c r="B11" s="23" t="s">
        <v>81</v>
      </c>
      <c r="I11" s="7"/>
    </row>
    <row r="12" spans="1:9" x14ac:dyDescent="0.3">
      <c r="A12" s="15"/>
      <c r="B12" s="23" t="s">
        <v>82</v>
      </c>
      <c r="E12" s="6" t="s">
        <v>83</v>
      </c>
      <c r="F12" s="4">
        <v>0.8</v>
      </c>
      <c r="G12" t="s">
        <v>85</v>
      </c>
      <c r="I12" s="7"/>
    </row>
    <row r="13" spans="1:9" x14ac:dyDescent="0.3">
      <c r="A13" s="15"/>
      <c r="B13" s="23" t="s">
        <v>84</v>
      </c>
      <c r="E13" s="6" t="s">
        <v>83</v>
      </c>
      <c r="F13" s="4">
        <v>1</v>
      </c>
      <c r="I13" s="7"/>
    </row>
    <row r="14" spans="1:9" x14ac:dyDescent="0.3">
      <c r="A14" s="15"/>
      <c r="B14" s="23" t="s">
        <v>88</v>
      </c>
      <c r="E14" s="6" t="s">
        <v>83</v>
      </c>
      <c r="F14" s="4">
        <f>F13*F12</f>
        <v>0.8</v>
      </c>
      <c r="I14" s="7"/>
    </row>
    <row r="15" spans="1:9" x14ac:dyDescent="0.3">
      <c r="A15" s="15"/>
      <c r="B15" s="23" t="s">
        <v>89</v>
      </c>
      <c r="E15" s="6"/>
      <c r="I15" s="7"/>
    </row>
    <row r="16" spans="1:9" ht="47.25" customHeight="1" x14ac:dyDescent="0.3">
      <c r="A16" s="15"/>
      <c r="B16" s="142" t="s">
        <v>90</v>
      </c>
      <c r="C16" s="142"/>
      <c r="D16" s="142" t="s">
        <v>91</v>
      </c>
      <c r="E16" s="142"/>
      <c r="F16" s="38" t="s">
        <v>114</v>
      </c>
      <c r="G16" s="143" t="s">
        <v>115</v>
      </c>
      <c r="H16" s="143"/>
      <c r="I16" s="7"/>
    </row>
    <row r="17" spans="1:9" x14ac:dyDescent="0.3">
      <c r="A17" s="15"/>
      <c r="B17" s="140" t="s">
        <v>96</v>
      </c>
      <c r="C17" s="140"/>
      <c r="D17" s="140" t="s">
        <v>97</v>
      </c>
      <c r="E17" s="140"/>
      <c r="F17" s="2">
        <v>95</v>
      </c>
      <c r="G17" s="140">
        <f>F17*F14</f>
        <v>76</v>
      </c>
      <c r="H17" s="140"/>
      <c r="I17" s="7"/>
    </row>
    <row r="18" spans="1:9" x14ac:dyDescent="0.3">
      <c r="A18" s="15"/>
      <c r="B18" s="23"/>
      <c r="C18" s="23" t="s">
        <v>92</v>
      </c>
      <c r="E18" s="6"/>
      <c r="I18" s="7"/>
    </row>
    <row r="19" spans="1:9" x14ac:dyDescent="0.3">
      <c r="A19" s="15"/>
      <c r="B19" s="141" t="s">
        <v>94</v>
      </c>
      <c r="C19" s="141"/>
      <c r="D19" s="141"/>
      <c r="E19" s="22" t="s">
        <v>31</v>
      </c>
      <c r="F19" s="23" t="s">
        <v>93</v>
      </c>
      <c r="G19" s="23"/>
      <c r="H19" s="23"/>
      <c r="I19" s="7"/>
    </row>
    <row r="20" spans="1:9" x14ac:dyDescent="0.3">
      <c r="A20" s="15"/>
      <c r="B20" s="39"/>
      <c r="C20" s="39"/>
      <c r="D20" s="39"/>
      <c r="E20" s="22"/>
      <c r="F20" s="23"/>
      <c r="G20" s="23"/>
      <c r="H20" s="23"/>
      <c r="I20" s="7"/>
    </row>
    <row r="21" spans="1:9" x14ac:dyDescent="0.3">
      <c r="A21" s="15"/>
      <c r="B21" s="6" t="s">
        <v>98</v>
      </c>
      <c r="C21" s="6" t="s">
        <v>31</v>
      </c>
      <c r="D21" s="40" t="s">
        <v>99</v>
      </c>
      <c r="E21" s="22"/>
      <c r="F21" s="23"/>
      <c r="G21" s="23"/>
      <c r="H21" s="23"/>
      <c r="I21" s="7"/>
    </row>
    <row r="22" spans="1:9" x14ac:dyDescent="0.3">
      <c r="A22" s="15"/>
      <c r="B22" s="6" t="s">
        <v>100</v>
      </c>
      <c r="C22" s="6" t="s">
        <v>31</v>
      </c>
      <c r="D22" s="40" t="s">
        <v>101</v>
      </c>
      <c r="E22" s="22"/>
      <c r="F22" s="23"/>
      <c r="G22" s="23"/>
      <c r="H22" s="23"/>
      <c r="I22" s="7"/>
    </row>
    <row r="23" spans="1:9" x14ac:dyDescent="0.3">
      <c r="A23" s="15"/>
      <c r="B23" s="6" t="s">
        <v>102</v>
      </c>
      <c r="C23" s="6" t="s">
        <v>31</v>
      </c>
      <c r="D23" s="40" t="s">
        <v>103</v>
      </c>
      <c r="E23" s="22"/>
      <c r="F23" s="23"/>
      <c r="G23" s="23"/>
      <c r="H23" s="23"/>
      <c r="I23" s="7"/>
    </row>
    <row r="24" spans="1:9" x14ac:dyDescent="0.3">
      <c r="A24" s="15"/>
      <c r="B24" s="6" t="s">
        <v>104</v>
      </c>
      <c r="C24" s="6" t="s">
        <v>31</v>
      </c>
      <c r="D24" s="40" t="s">
        <v>105</v>
      </c>
      <c r="E24" s="22"/>
      <c r="F24" s="23"/>
      <c r="G24" s="23"/>
      <c r="H24" s="23"/>
      <c r="I24" s="7"/>
    </row>
    <row r="25" spans="1:9" x14ac:dyDescent="0.3">
      <c r="A25" s="15"/>
      <c r="B25" s="6" t="s">
        <v>106</v>
      </c>
      <c r="C25" s="6" t="s">
        <v>31</v>
      </c>
      <c r="D25" s="40" t="s">
        <v>112</v>
      </c>
      <c r="E25" s="22"/>
      <c r="G25" t="s">
        <v>120</v>
      </c>
      <c r="H25" s="23"/>
      <c r="I25" s="7"/>
    </row>
    <row r="26" spans="1:9" x14ac:dyDescent="0.3">
      <c r="A26" s="15"/>
      <c r="B26" s="6" t="s">
        <v>107</v>
      </c>
      <c r="C26" s="6" t="s">
        <v>31</v>
      </c>
      <c r="D26" s="40" t="s">
        <v>113</v>
      </c>
      <c r="F26" s="23"/>
      <c r="G26" t="s">
        <v>121</v>
      </c>
      <c r="H26" s="23"/>
      <c r="I26" s="7"/>
    </row>
    <row r="27" spans="1:9" x14ac:dyDescent="0.3">
      <c r="A27" s="15"/>
      <c r="B27" s="6" t="s">
        <v>108</v>
      </c>
      <c r="C27" s="6" t="s">
        <v>31</v>
      </c>
      <c r="D27" s="40" t="s">
        <v>111</v>
      </c>
      <c r="F27" s="23"/>
      <c r="G27" s="23"/>
      <c r="H27" s="23"/>
      <c r="I27" s="7"/>
    </row>
    <row r="28" spans="1:9" x14ac:dyDescent="0.3">
      <c r="A28" s="15"/>
      <c r="B28" s="6" t="s">
        <v>109</v>
      </c>
      <c r="C28" s="6" t="s">
        <v>31</v>
      </c>
      <c r="D28" s="40" t="s">
        <v>110</v>
      </c>
      <c r="F28" s="23"/>
      <c r="G28" s="23"/>
      <c r="H28" s="23"/>
      <c r="I28" s="7"/>
    </row>
    <row r="29" spans="1:9" x14ac:dyDescent="0.3">
      <c r="A29" s="16"/>
      <c r="B29" s="104"/>
      <c r="C29" s="104"/>
      <c r="D29" s="24"/>
      <c r="E29" s="25"/>
      <c r="F29" s="25"/>
      <c r="G29" s="25"/>
      <c r="H29" s="25"/>
      <c r="I29" s="18"/>
    </row>
    <row r="30" spans="1:9" x14ac:dyDescent="0.3">
      <c r="A30" s="125" t="s">
        <v>37</v>
      </c>
      <c r="B30" s="128" t="s">
        <v>72</v>
      </c>
      <c r="C30" s="127" t="s">
        <v>71</v>
      </c>
      <c r="D30" s="127"/>
      <c r="E30" s="128" t="s">
        <v>116</v>
      </c>
      <c r="F30" s="128" t="s">
        <v>117</v>
      </c>
      <c r="G30" s="127" t="s">
        <v>118</v>
      </c>
      <c r="H30" s="128" t="s">
        <v>119</v>
      </c>
      <c r="I30" s="127" t="s">
        <v>44</v>
      </c>
    </row>
    <row r="31" spans="1:9" x14ac:dyDescent="0.3">
      <c r="A31" s="126"/>
      <c r="B31" s="130"/>
      <c r="C31" s="128"/>
      <c r="D31" s="128"/>
      <c r="E31" s="130"/>
      <c r="F31" s="130"/>
      <c r="G31" s="128"/>
      <c r="H31" s="130"/>
      <c r="I31" s="128"/>
    </row>
    <row r="32" spans="1:9" x14ac:dyDescent="0.3">
      <c r="A32" s="21">
        <v>1</v>
      </c>
      <c r="B32" s="2" t="s">
        <v>0</v>
      </c>
      <c r="C32" s="131" t="s">
        <v>24</v>
      </c>
      <c r="D32" s="132"/>
      <c r="E32" s="137">
        <v>1.4</v>
      </c>
      <c r="F32" s="137">
        <v>0.08</v>
      </c>
      <c r="G32" s="2">
        <v>2.8000000000000001E-2</v>
      </c>
      <c r="H32" s="2">
        <v>1</v>
      </c>
      <c r="I32" s="29">
        <f>(1.732*F8*G32*E32*100)/(H32*F7)</f>
        <v>0.5922354891566266</v>
      </c>
    </row>
    <row r="33" spans="1:9" x14ac:dyDescent="0.3">
      <c r="A33" s="21">
        <v>2</v>
      </c>
      <c r="B33" s="2" t="s">
        <v>5</v>
      </c>
      <c r="C33" s="133"/>
      <c r="D33" s="134"/>
      <c r="E33" s="138"/>
      <c r="F33" s="138"/>
      <c r="G33" s="2">
        <v>1.4E-2</v>
      </c>
      <c r="H33" s="2">
        <v>1</v>
      </c>
      <c r="I33" s="29">
        <f>(1.732*F8*G33*E32*100)/(H33*F7)</f>
        <v>0.2961177445783133</v>
      </c>
    </row>
    <row r="34" spans="1:9" x14ac:dyDescent="0.3">
      <c r="A34" s="21">
        <v>3</v>
      </c>
      <c r="B34" s="2" t="s">
        <v>6</v>
      </c>
      <c r="C34" s="133"/>
      <c r="D34" s="134"/>
      <c r="E34" s="138"/>
      <c r="F34" s="138"/>
      <c r="G34" s="2">
        <v>0.03</v>
      </c>
      <c r="H34" s="2">
        <v>1</v>
      </c>
      <c r="I34" s="29">
        <f>(1.732*F8*G34*E32*100)/(H34*F7)</f>
        <v>0.6345380240963856</v>
      </c>
    </row>
    <row r="35" spans="1:9" x14ac:dyDescent="0.3">
      <c r="A35" s="21">
        <v>4</v>
      </c>
      <c r="B35" s="2" t="s">
        <v>12</v>
      </c>
      <c r="C35" s="133"/>
      <c r="D35" s="134"/>
      <c r="E35" s="138"/>
      <c r="F35" s="138"/>
      <c r="G35" s="2">
        <v>2.4E-2</v>
      </c>
      <c r="H35" s="2">
        <v>1</v>
      </c>
      <c r="I35" s="29">
        <f>(1.732*F8*G35*E32*100)/(H35*F7)</f>
        <v>0.5076304192771085</v>
      </c>
    </row>
    <row r="36" spans="1:9" x14ac:dyDescent="0.3">
      <c r="A36" s="12"/>
      <c r="B36" s="122" t="s">
        <v>62</v>
      </c>
      <c r="C36" s="122"/>
      <c r="D36" s="122"/>
      <c r="E36" s="13"/>
      <c r="F36" s="13"/>
      <c r="G36" s="31">
        <f>SUM(G32:G35)</f>
        <v>9.6000000000000002E-2</v>
      </c>
      <c r="H36" s="31"/>
      <c r="I36" s="14"/>
    </row>
    <row r="37" spans="1:9" x14ac:dyDescent="0.3">
      <c r="A37" s="10"/>
      <c r="B37" s="123" t="s">
        <v>61</v>
      </c>
      <c r="C37" s="123"/>
      <c r="D37" s="123"/>
      <c r="E37" s="11"/>
      <c r="F37" s="11"/>
      <c r="G37" s="11"/>
      <c r="H37" s="11"/>
      <c r="I37" s="30">
        <f>MAX(I32:I35)</f>
        <v>0.6345380240963856</v>
      </c>
    </row>
    <row r="38" spans="1:9" x14ac:dyDescent="0.3">
      <c r="A38" s="21">
        <v>1</v>
      </c>
      <c r="B38" s="2" t="s">
        <v>7</v>
      </c>
      <c r="C38" s="131" t="s">
        <v>25</v>
      </c>
      <c r="D38" s="132"/>
      <c r="E38" s="137">
        <v>1.4</v>
      </c>
      <c r="F38" s="137">
        <v>0.08</v>
      </c>
      <c r="G38" s="2">
        <v>2.1999999999999999E-2</v>
      </c>
      <c r="H38" s="2">
        <v>1</v>
      </c>
      <c r="I38" s="29">
        <f>(1.732*F8*G38*E38*100)/(H38*F7)</f>
        <v>0.4653278843373494</v>
      </c>
    </row>
    <row r="39" spans="1:9" x14ac:dyDescent="0.3">
      <c r="A39" s="21">
        <v>2</v>
      </c>
      <c r="B39" s="2" t="s">
        <v>8</v>
      </c>
      <c r="C39" s="133"/>
      <c r="D39" s="134"/>
      <c r="E39" s="138"/>
      <c r="F39" s="138"/>
      <c r="G39" s="2">
        <v>8.0000000000000002E-3</v>
      </c>
      <c r="H39" s="2">
        <v>1</v>
      </c>
      <c r="I39" s="29">
        <f>(1.732*F8*G39*E38*100)/(H39*F7)</f>
        <v>0.16921013975903612</v>
      </c>
    </row>
    <row r="40" spans="1:9" x14ac:dyDescent="0.3">
      <c r="A40" s="21">
        <v>3</v>
      </c>
      <c r="B40" s="2" t="s">
        <v>9</v>
      </c>
      <c r="C40" s="133"/>
      <c r="D40" s="134"/>
      <c r="E40" s="138"/>
      <c r="F40" s="138"/>
      <c r="G40" s="2">
        <v>2.3E-2</v>
      </c>
      <c r="H40" s="2">
        <v>1</v>
      </c>
      <c r="I40" s="29">
        <f>(1.732*F8*G40*E38*100)/(H40*F7)</f>
        <v>0.48647915180722895</v>
      </c>
    </row>
    <row r="41" spans="1:9" x14ac:dyDescent="0.3">
      <c r="A41" s="21">
        <v>4</v>
      </c>
      <c r="B41" s="2" t="s">
        <v>10</v>
      </c>
      <c r="C41" s="133"/>
      <c r="D41" s="134"/>
      <c r="E41" s="139"/>
      <c r="F41" s="139"/>
      <c r="G41" s="2">
        <v>2.7E-2</v>
      </c>
      <c r="H41" s="2">
        <v>1</v>
      </c>
      <c r="I41" s="29">
        <f>(1.732*F8*G41*E38*100)/(H41*F7)</f>
        <v>0.57108422168674688</v>
      </c>
    </row>
    <row r="42" spans="1:9" x14ac:dyDescent="0.3">
      <c r="A42" s="12"/>
      <c r="B42" s="122" t="s">
        <v>62</v>
      </c>
      <c r="C42" s="122"/>
      <c r="D42" s="122"/>
      <c r="E42" s="13"/>
      <c r="F42" s="13"/>
      <c r="G42" s="31">
        <f>SUM(G38:G41)</f>
        <v>0.08</v>
      </c>
      <c r="H42" s="13"/>
      <c r="I42" s="14"/>
    </row>
    <row r="43" spans="1:9" x14ac:dyDescent="0.3">
      <c r="A43" s="10"/>
      <c r="B43" s="123" t="s">
        <v>61</v>
      </c>
      <c r="C43" s="123"/>
      <c r="D43" s="123"/>
      <c r="E43" s="11"/>
      <c r="F43" s="11"/>
      <c r="G43" s="11"/>
      <c r="H43" s="11"/>
      <c r="I43" s="30">
        <f>MAX(I38:I41)</f>
        <v>0.57108422168674688</v>
      </c>
    </row>
    <row r="44" spans="1:9" x14ac:dyDescent="0.3">
      <c r="A44" s="21">
        <v>1</v>
      </c>
      <c r="B44" s="2" t="s">
        <v>11</v>
      </c>
      <c r="C44" s="131" t="s">
        <v>26</v>
      </c>
      <c r="D44" s="132"/>
      <c r="E44" s="137">
        <v>1.4</v>
      </c>
      <c r="F44" s="137">
        <v>0.08</v>
      </c>
      <c r="G44" s="2">
        <v>2.9000000000000001E-2</v>
      </c>
      <c r="H44" s="2">
        <v>1</v>
      </c>
      <c r="I44" s="29">
        <f>(1.732*F8*G44*E44*100)/(H44*F7)</f>
        <v>0.61338675662650599</v>
      </c>
    </row>
    <row r="45" spans="1:9" x14ac:dyDescent="0.3">
      <c r="A45" s="21">
        <v>2</v>
      </c>
      <c r="B45" s="2" t="s">
        <v>15</v>
      </c>
      <c r="C45" s="133"/>
      <c r="D45" s="134"/>
      <c r="E45" s="138"/>
      <c r="F45" s="138"/>
      <c r="G45" s="2">
        <v>1.4999999999999999E-2</v>
      </c>
      <c r="H45" s="2">
        <v>1</v>
      </c>
      <c r="I45" s="29">
        <f>(1.732*F8*G45*E44*100)/(H45*F7)</f>
        <v>0.3172690120481928</v>
      </c>
    </row>
    <row r="46" spans="1:9" x14ac:dyDescent="0.3">
      <c r="A46" s="21">
        <v>3</v>
      </c>
      <c r="B46" s="2" t="s">
        <v>16</v>
      </c>
      <c r="C46" s="133"/>
      <c r="D46" s="134"/>
      <c r="E46" s="138"/>
      <c r="F46" s="138"/>
      <c r="G46" s="2">
        <v>1.7999999999999999E-2</v>
      </c>
      <c r="H46" s="2">
        <v>1</v>
      </c>
      <c r="I46" s="29">
        <f>(1.732*F8*G46*E44*100)/(H46*F7)</f>
        <v>0.38072281445783129</v>
      </c>
    </row>
    <row r="47" spans="1:9" x14ac:dyDescent="0.3">
      <c r="A47" s="21">
        <v>4</v>
      </c>
      <c r="B47" s="2" t="s">
        <v>17</v>
      </c>
      <c r="C47" s="133"/>
      <c r="D47" s="134"/>
      <c r="E47" s="139"/>
      <c r="F47" s="139"/>
      <c r="G47" s="2">
        <v>2.4E-2</v>
      </c>
      <c r="H47" s="2">
        <v>1</v>
      </c>
      <c r="I47" s="29">
        <f>(1.732*F8*G47*E44*100)/(H47*F7)</f>
        <v>0.5076304192771085</v>
      </c>
    </row>
    <row r="48" spans="1:9" x14ac:dyDescent="0.3">
      <c r="A48" s="12"/>
      <c r="B48" s="122" t="s">
        <v>62</v>
      </c>
      <c r="C48" s="122"/>
      <c r="D48" s="122"/>
      <c r="E48" s="13"/>
      <c r="F48" s="13"/>
      <c r="G48" s="31">
        <f>SUM(G44:G47)</f>
        <v>8.5999999999999993E-2</v>
      </c>
      <c r="H48" s="13"/>
      <c r="I48" s="14"/>
    </row>
    <row r="49" spans="1:9" x14ac:dyDescent="0.3">
      <c r="A49" s="10"/>
      <c r="B49" s="123" t="s">
        <v>61</v>
      </c>
      <c r="C49" s="123"/>
      <c r="D49" s="123"/>
      <c r="E49" s="11"/>
      <c r="F49" s="11"/>
      <c r="G49" s="11"/>
      <c r="H49" s="11"/>
      <c r="I49" s="30">
        <f>MAX(I44:I47)</f>
        <v>0.61338675662650599</v>
      </c>
    </row>
    <row r="50" spans="1:9" x14ac:dyDescent="0.3">
      <c r="A50" s="21">
        <v>1</v>
      </c>
      <c r="B50" s="2" t="s">
        <v>13</v>
      </c>
      <c r="C50" s="131" t="s">
        <v>27</v>
      </c>
      <c r="D50" s="132"/>
      <c r="E50" s="137">
        <v>1.4</v>
      </c>
      <c r="F50" s="137">
        <v>0.08</v>
      </c>
      <c r="G50" s="2">
        <v>2.3E-2</v>
      </c>
      <c r="H50" s="2">
        <v>1</v>
      </c>
      <c r="I50" s="29">
        <f>(1.732*F8*G50*E50*100)/(H50*F7)</f>
        <v>0.48647915180722895</v>
      </c>
    </row>
    <row r="51" spans="1:9" x14ac:dyDescent="0.3">
      <c r="A51" s="21">
        <v>2</v>
      </c>
      <c r="B51" s="2" t="s">
        <v>14</v>
      </c>
      <c r="C51" s="133"/>
      <c r="D51" s="134"/>
      <c r="E51" s="138"/>
      <c r="F51" s="138"/>
      <c r="G51" s="2">
        <v>1.0999999999999999E-2</v>
      </c>
      <c r="H51" s="2">
        <v>1</v>
      </c>
      <c r="I51" s="29">
        <f>(1.732*F8*G51*E50*100)/(H51*F7)</f>
        <v>0.2326639421686747</v>
      </c>
    </row>
    <row r="52" spans="1:9" x14ac:dyDescent="0.3">
      <c r="A52" s="21">
        <v>3</v>
      </c>
      <c r="B52" s="2" t="s">
        <v>18</v>
      </c>
      <c r="C52" s="133"/>
      <c r="D52" s="134"/>
      <c r="E52" s="138"/>
      <c r="F52" s="138"/>
      <c r="G52" s="2">
        <v>1.9E-2</v>
      </c>
      <c r="H52" s="2">
        <v>1</v>
      </c>
      <c r="I52" s="29">
        <f>(1.732*F8*G52*E50*100)/(H52*F7)</f>
        <v>0.40187408192771085</v>
      </c>
    </row>
    <row r="53" spans="1:9" x14ac:dyDescent="0.3">
      <c r="A53" s="21">
        <v>4</v>
      </c>
      <c r="B53" s="2" t="s">
        <v>19</v>
      </c>
      <c r="C53" s="133"/>
      <c r="D53" s="134"/>
      <c r="E53" s="139"/>
      <c r="F53" s="139"/>
      <c r="G53" s="2">
        <v>3.3000000000000002E-2</v>
      </c>
      <c r="H53" s="2">
        <v>1</v>
      </c>
      <c r="I53" s="29">
        <f>(1.732*F8*G53*E50*100)/(H53*F7)</f>
        <v>0.6979918265060242</v>
      </c>
    </row>
    <row r="54" spans="1:9" x14ac:dyDescent="0.3">
      <c r="A54" s="12"/>
      <c r="B54" s="122" t="s">
        <v>62</v>
      </c>
      <c r="C54" s="122"/>
      <c r="D54" s="122"/>
      <c r="E54" s="13"/>
      <c r="F54" s="13"/>
      <c r="G54" s="31">
        <f>SUM(G50:G53)</f>
        <v>8.6000000000000007E-2</v>
      </c>
      <c r="H54" s="13"/>
      <c r="I54" s="14"/>
    </row>
    <row r="55" spans="1:9" x14ac:dyDescent="0.3">
      <c r="A55" s="10"/>
      <c r="B55" s="123" t="s">
        <v>61</v>
      </c>
      <c r="C55" s="123"/>
      <c r="D55" s="123"/>
      <c r="E55" s="11"/>
      <c r="F55" s="11"/>
      <c r="G55" s="11"/>
      <c r="H55" s="11"/>
      <c r="I55" s="30">
        <f>MAX(I50:I53)</f>
        <v>0.6979918265060242</v>
      </c>
    </row>
    <row r="56" spans="1:9" x14ac:dyDescent="0.3">
      <c r="A56" s="148" t="s">
        <v>135</v>
      </c>
      <c r="B56" s="149"/>
      <c r="C56" s="149"/>
      <c r="D56" s="149"/>
      <c r="E56" s="149"/>
      <c r="F56" s="149"/>
      <c r="G56" s="46">
        <f>SUM(I32:I35,I38:I41,I44:I47,I50:I53)/16</f>
        <v>0.46004006746987963</v>
      </c>
      <c r="H56" s="17" t="s">
        <v>136</v>
      </c>
      <c r="I56" s="18"/>
    </row>
    <row r="57" spans="1:9" ht="15.6" x14ac:dyDescent="0.3">
      <c r="A57" s="145" t="s">
        <v>127</v>
      </c>
      <c r="B57" s="146"/>
      <c r="C57" s="146"/>
      <c r="D57" s="146"/>
      <c r="E57" s="146"/>
      <c r="F57" s="146"/>
      <c r="G57" s="146"/>
      <c r="H57" s="146"/>
      <c r="I57" s="147"/>
    </row>
    <row r="58" spans="1:9" x14ac:dyDescent="0.3">
      <c r="A58" s="15"/>
      <c r="B58" s="23" t="s">
        <v>122</v>
      </c>
      <c r="E58" s="6" t="s">
        <v>83</v>
      </c>
      <c r="F58" s="4">
        <v>415</v>
      </c>
      <c r="I58" s="7"/>
    </row>
    <row r="59" spans="1:9" x14ac:dyDescent="0.3">
      <c r="A59" s="15"/>
      <c r="B59" s="23" t="s">
        <v>123</v>
      </c>
      <c r="E59" s="6" t="s">
        <v>83</v>
      </c>
      <c r="F59" s="4">
        <v>144.80000000000001</v>
      </c>
      <c r="I59" s="7"/>
    </row>
    <row r="60" spans="1:9" ht="15" customHeight="1" x14ac:dyDescent="0.3">
      <c r="A60" s="15"/>
      <c r="B60" s="36" t="s">
        <v>79</v>
      </c>
      <c r="F60" s="4"/>
      <c r="I60" s="7"/>
    </row>
    <row r="61" spans="1:9" ht="15.6" x14ac:dyDescent="0.3">
      <c r="A61" s="15"/>
      <c r="B61" s="37" t="s">
        <v>80</v>
      </c>
      <c r="I61" s="7"/>
    </row>
    <row r="62" spans="1:9" x14ac:dyDescent="0.3">
      <c r="A62" s="15"/>
      <c r="B62" s="23" t="s">
        <v>81</v>
      </c>
      <c r="I62" s="7"/>
    </row>
    <row r="63" spans="1:9" x14ac:dyDescent="0.3">
      <c r="A63" s="15"/>
      <c r="B63" s="23" t="s">
        <v>82</v>
      </c>
      <c r="E63" s="6" t="s">
        <v>83</v>
      </c>
      <c r="F63" s="4">
        <v>0.8</v>
      </c>
      <c r="G63" t="s">
        <v>85</v>
      </c>
      <c r="I63" s="7"/>
    </row>
    <row r="64" spans="1:9" x14ac:dyDescent="0.3">
      <c r="A64" s="15"/>
      <c r="B64" s="23" t="s">
        <v>84</v>
      </c>
      <c r="E64" s="6" t="s">
        <v>83</v>
      </c>
      <c r="F64" s="4">
        <v>1</v>
      </c>
      <c r="I64" s="7"/>
    </row>
    <row r="65" spans="1:9" x14ac:dyDescent="0.3">
      <c r="A65" s="15"/>
      <c r="B65" s="23" t="s">
        <v>88</v>
      </c>
      <c r="E65" s="6" t="s">
        <v>83</v>
      </c>
      <c r="F65" s="4">
        <f>F64*F63</f>
        <v>0.8</v>
      </c>
      <c r="I65" s="7"/>
    </row>
    <row r="66" spans="1:9" x14ac:dyDescent="0.3">
      <c r="A66" s="15"/>
      <c r="B66" s="23" t="s">
        <v>89</v>
      </c>
      <c r="E66" s="6"/>
      <c r="I66" s="7"/>
    </row>
    <row r="67" spans="1:9" ht="43.2" x14ac:dyDescent="0.3">
      <c r="A67" s="15"/>
      <c r="B67" s="142" t="s">
        <v>90</v>
      </c>
      <c r="C67" s="142"/>
      <c r="D67" s="142" t="s">
        <v>91</v>
      </c>
      <c r="E67" s="142"/>
      <c r="F67" s="38" t="s">
        <v>114</v>
      </c>
      <c r="G67" s="143" t="s">
        <v>115</v>
      </c>
      <c r="H67" s="143"/>
      <c r="I67" s="7"/>
    </row>
    <row r="68" spans="1:9" x14ac:dyDescent="0.3">
      <c r="A68" s="15"/>
      <c r="B68" s="140" t="s">
        <v>125</v>
      </c>
      <c r="C68" s="140"/>
      <c r="D68" s="140" t="s">
        <v>124</v>
      </c>
      <c r="E68" s="140"/>
      <c r="F68" s="2">
        <v>282</v>
      </c>
      <c r="G68" s="140">
        <f>F68*F65</f>
        <v>225.60000000000002</v>
      </c>
      <c r="H68" s="140"/>
      <c r="I68" s="7"/>
    </row>
    <row r="69" spans="1:9" x14ac:dyDescent="0.3">
      <c r="A69" s="15"/>
      <c r="I69" s="7"/>
    </row>
    <row r="70" spans="1:9" x14ac:dyDescent="0.3">
      <c r="A70" s="125" t="s">
        <v>37</v>
      </c>
      <c r="B70" s="128" t="s">
        <v>75</v>
      </c>
      <c r="C70" s="127" t="s">
        <v>71</v>
      </c>
      <c r="D70" s="127"/>
      <c r="E70" s="128" t="s">
        <v>116</v>
      </c>
      <c r="F70" s="128" t="s">
        <v>117</v>
      </c>
      <c r="G70" s="127" t="s">
        <v>118</v>
      </c>
      <c r="H70" s="128" t="s">
        <v>119</v>
      </c>
      <c r="I70" s="127" t="s">
        <v>44</v>
      </c>
    </row>
    <row r="71" spans="1:9" x14ac:dyDescent="0.3">
      <c r="A71" s="126"/>
      <c r="B71" s="130"/>
      <c r="C71" s="128"/>
      <c r="D71" s="128"/>
      <c r="E71" s="130"/>
      <c r="F71" s="130"/>
      <c r="G71" s="128"/>
      <c r="H71" s="130"/>
      <c r="I71" s="128"/>
    </row>
    <row r="72" spans="1:9" x14ac:dyDescent="0.3">
      <c r="A72" s="21">
        <v>1</v>
      </c>
      <c r="B72" s="21" t="s">
        <v>24</v>
      </c>
      <c r="C72" s="131" t="s">
        <v>129</v>
      </c>
      <c r="D72" s="132"/>
      <c r="E72" s="137">
        <v>0.19800000000000001</v>
      </c>
      <c r="F72" s="137">
        <v>8.9499999999999996E-2</v>
      </c>
      <c r="G72" s="2">
        <v>1.2999999999999999E-2</v>
      </c>
      <c r="H72" s="2">
        <v>1</v>
      </c>
      <c r="I72" s="29">
        <f>(1.732*F59*G72*E72*100)/(H72*F58)</f>
        <v>0.15555246419277108</v>
      </c>
    </row>
    <row r="73" spans="1:9" x14ac:dyDescent="0.3">
      <c r="A73" s="21">
        <v>2</v>
      </c>
      <c r="B73" s="21" t="s">
        <v>25</v>
      </c>
      <c r="C73" s="133"/>
      <c r="D73" s="134"/>
      <c r="E73" s="138"/>
      <c r="F73" s="138"/>
      <c r="G73" s="2">
        <v>6.2E-2</v>
      </c>
      <c r="H73" s="2">
        <v>1</v>
      </c>
      <c r="I73" s="29">
        <f>(1.732*F59*G73*E72*100)/(H73*F58)</f>
        <v>0.7418655984578314</v>
      </c>
    </row>
    <row r="74" spans="1:9" x14ac:dyDescent="0.3">
      <c r="A74" s="21">
        <v>3</v>
      </c>
      <c r="B74" s="21" t="s">
        <v>26</v>
      </c>
      <c r="C74" s="133"/>
      <c r="D74" s="134"/>
      <c r="E74" s="138"/>
      <c r="F74" s="138"/>
      <c r="G74" s="2">
        <v>7.8E-2</v>
      </c>
      <c r="H74" s="2">
        <v>1</v>
      </c>
      <c r="I74" s="29">
        <f>(1.732*F59*G74*E72*100)/(H74*F58)</f>
        <v>0.93331478515662669</v>
      </c>
    </row>
    <row r="75" spans="1:9" x14ac:dyDescent="0.3">
      <c r="A75" s="21">
        <v>4</v>
      </c>
      <c r="B75" s="21" t="s">
        <v>27</v>
      </c>
      <c r="C75" s="133"/>
      <c r="D75" s="134"/>
      <c r="E75" s="139"/>
      <c r="F75" s="139"/>
      <c r="G75" s="2">
        <v>0.06</v>
      </c>
      <c r="H75" s="2">
        <v>1</v>
      </c>
      <c r="I75" s="29">
        <f>(1.732*F59*G75*E72*100)/(H75*F58)</f>
        <v>0.71793445012048207</v>
      </c>
    </row>
    <row r="76" spans="1:9" x14ac:dyDescent="0.3">
      <c r="A76" s="12"/>
      <c r="B76" s="122" t="s">
        <v>62</v>
      </c>
      <c r="C76" s="122"/>
      <c r="D76" s="122"/>
      <c r="E76" s="13"/>
      <c r="F76" s="13"/>
      <c r="G76" s="31">
        <f>SUM(G72:G75)</f>
        <v>0.21299999999999999</v>
      </c>
      <c r="H76" s="13"/>
      <c r="I76" s="14"/>
    </row>
    <row r="77" spans="1:9" x14ac:dyDescent="0.3">
      <c r="A77" s="10"/>
      <c r="B77" s="123" t="s">
        <v>61</v>
      </c>
      <c r="C77" s="123"/>
      <c r="D77" s="123"/>
      <c r="E77" s="11"/>
      <c r="F77" s="11"/>
      <c r="G77" s="11"/>
      <c r="H77" s="11"/>
      <c r="I77" s="30">
        <f>MAX(I72:I75)</f>
        <v>0.93331478515662669</v>
      </c>
    </row>
    <row r="78" spans="1:9" x14ac:dyDescent="0.3">
      <c r="A78" s="15"/>
      <c r="I78" s="7"/>
    </row>
    <row r="79" spans="1:9" ht="15.6" x14ac:dyDescent="0.3">
      <c r="A79" s="145" t="s">
        <v>128</v>
      </c>
      <c r="B79" s="146"/>
      <c r="C79" s="146"/>
      <c r="D79" s="146"/>
      <c r="E79" s="146"/>
      <c r="F79" s="146"/>
      <c r="G79" s="146"/>
      <c r="H79" s="146"/>
      <c r="I79" s="147"/>
    </row>
    <row r="80" spans="1:9" x14ac:dyDescent="0.3">
      <c r="A80" s="15"/>
      <c r="B80" s="23" t="s">
        <v>122</v>
      </c>
      <c r="E80" s="6" t="s">
        <v>83</v>
      </c>
      <c r="F80" s="4">
        <v>415</v>
      </c>
      <c r="I80" s="7"/>
    </row>
    <row r="81" spans="1:9" x14ac:dyDescent="0.3">
      <c r="A81" s="15"/>
      <c r="B81" s="23" t="s">
        <v>123</v>
      </c>
      <c r="E81" s="6" t="s">
        <v>83</v>
      </c>
      <c r="F81" s="4">
        <v>579.20000000000005</v>
      </c>
      <c r="I81" s="7"/>
    </row>
    <row r="82" spans="1:9" ht="15.6" x14ac:dyDescent="0.3">
      <c r="A82" s="15"/>
      <c r="B82" s="36" t="s">
        <v>79</v>
      </c>
      <c r="F82" s="4"/>
      <c r="I82" s="7"/>
    </row>
    <row r="83" spans="1:9" ht="15.6" x14ac:dyDescent="0.3">
      <c r="A83" s="15"/>
      <c r="B83" s="37" t="s">
        <v>80</v>
      </c>
      <c r="I83" s="7"/>
    </row>
    <row r="84" spans="1:9" x14ac:dyDescent="0.3">
      <c r="A84" s="15"/>
      <c r="B84" s="23" t="s">
        <v>81</v>
      </c>
      <c r="I84" s="7"/>
    </row>
    <row r="85" spans="1:9" x14ac:dyDescent="0.3">
      <c r="A85" s="15"/>
      <c r="B85" s="23" t="s">
        <v>82</v>
      </c>
      <c r="E85" s="6" t="s">
        <v>83</v>
      </c>
      <c r="F85" s="4">
        <v>0.9</v>
      </c>
      <c r="I85" s="7"/>
    </row>
    <row r="86" spans="1:9" x14ac:dyDescent="0.3">
      <c r="A86" s="15"/>
      <c r="B86" s="23" t="s">
        <v>84</v>
      </c>
      <c r="E86" s="6" t="s">
        <v>83</v>
      </c>
      <c r="F86" s="4">
        <v>1</v>
      </c>
      <c r="I86" s="7"/>
    </row>
    <row r="87" spans="1:9" x14ac:dyDescent="0.3">
      <c r="A87" s="15"/>
      <c r="B87" s="23" t="s">
        <v>88</v>
      </c>
      <c r="E87" s="6" t="s">
        <v>83</v>
      </c>
      <c r="F87" s="4">
        <f>F86*F85</f>
        <v>0.9</v>
      </c>
      <c r="I87" s="7"/>
    </row>
    <row r="88" spans="1:9" x14ac:dyDescent="0.3">
      <c r="A88" s="15"/>
      <c r="B88" s="23" t="s">
        <v>89</v>
      </c>
      <c r="E88" s="6"/>
      <c r="I88" s="7"/>
    </row>
    <row r="89" spans="1:9" ht="43.2" x14ac:dyDescent="0.3">
      <c r="A89" s="15"/>
      <c r="B89" s="142" t="s">
        <v>90</v>
      </c>
      <c r="C89" s="142"/>
      <c r="D89" s="142" t="s">
        <v>91</v>
      </c>
      <c r="E89" s="142"/>
      <c r="F89" s="38" t="s">
        <v>114</v>
      </c>
      <c r="G89" s="143" t="s">
        <v>115</v>
      </c>
      <c r="H89" s="143"/>
      <c r="I89" s="7"/>
    </row>
    <row r="90" spans="1:9" x14ac:dyDescent="0.3">
      <c r="A90" s="15"/>
      <c r="B90" s="140" t="s">
        <v>125</v>
      </c>
      <c r="C90" s="140"/>
      <c r="D90" s="140" t="s">
        <v>130</v>
      </c>
      <c r="E90" s="140"/>
      <c r="F90" s="2">
        <v>327</v>
      </c>
      <c r="G90" s="140">
        <f>F90*F87</f>
        <v>294.3</v>
      </c>
      <c r="H90" s="140"/>
      <c r="I90" s="7"/>
    </row>
    <row r="91" spans="1:9" x14ac:dyDescent="0.3">
      <c r="A91" s="15"/>
      <c r="I91" s="7"/>
    </row>
    <row r="92" spans="1:9" x14ac:dyDescent="0.3">
      <c r="A92" s="125" t="s">
        <v>37</v>
      </c>
      <c r="B92" s="128" t="s">
        <v>75</v>
      </c>
      <c r="C92" s="127" t="s">
        <v>131</v>
      </c>
      <c r="D92" s="127"/>
      <c r="E92" s="128" t="s">
        <v>116</v>
      </c>
      <c r="F92" s="128" t="s">
        <v>117</v>
      </c>
      <c r="G92" s="127" t="s">
        <v>118</v>
      </c>
      <c r="H92" s="128" t="s">
        <v>119</v>
      </c>
      <c r="I92" s="127" t="s">
        <v>44</v>
      </c>
    </row>
    <row r="93" spans="1:9" x14ac:dyDescent="0.3">
      <c r="A93" s="126"/>
      <c r="B93" s="130"/>
      <c r="C93" s="128"/>
      <c r="D93" s="128"/>
      <c r="E93" s="130"/>
      <c r="F93" s="130"/>
      <c r="G93" s="128"/>
      <c r="H93" s="130"/>
      <c r="I93" s="128"/>
    </row>
    <row r="94" spans="1:9" x14ac:dyDescent="0.3">
      <c r="A94" s="21">
        <v>1</v>
      </c>
      <c r="B94" s="21" t="s">
        <v>129</v>
      </c>
      <c r="C94" s="131" t="s">
        <v>77</v>
      </c>
      <c r="D94" s="132"/>
      <c r="E94" s="43">
        <v>0.15</v>
      </c>
      <c r="F94" s="43">
        <v>8.7599999999999997E-2</v>
      </c>
      <c r="G94" s="2">
        <v>0.13</v>
      </c>
      <c r="H94" s="2">
        <v>2</v>
      </c>
      <c r="I94" s="29">
        <f>(1.732*F81*G94*E94*100)/(H94*F80)</f>
        <v>2.3568555180722894</v>
      </c>
    </row>
    <row r="95" spans="1:9" x14ac:dyDescent="0.3">
      <c r="A95" s="12"/>
      <c r="B95" s="122" t="s">
        <v>62</v>
      </c>
      <c r="C95" s="122"/>
      <c r="D95" s="122"/>
      <c r="E95" s="13"/>
      <c r="F95" s="13"/>
      <c r="G95" s="31">
        <f>SUM(G94:G94)</f>
        <v>0.13</v>
      </c>
      <c r="H95" s="13"/>
      <c r="I95" s="14"/>
    </row>
    <row r="96" spans="1:9" x14ac:dyDescent="0.3">
      <c r="A96" s="10"/>
      <c r="B96" s="123" t="s">
        <v>61</v>
      </c>
      <c r="C96" s="123"/>
      <c r="D96" s="123"/>
      <c r="E96" s="11"/>
      <c r="F96" s="11"/>
      <c r="G96" s="11"/>
      <c r="H96" s="11"/>
      <c r="I96" s="30">
        <f>MAX(I94:I94)</f>
        <v>2.3568555180722894</v>
      </c>
    </row>
    <row r="97" spans="1:9" ht="15.6" x14ac:dyDescent="0.3">
      <c r="A97" s="145" t="s">
        <v>244</v>
      </c>
      <c r="B97" s="146"/>
      <c r="C97" s="146"/>
      <c r="D97" s="146"/>
      <c r="E97" s="146"/>
      <c r="F97" s="146"/>
      <c r="G97" s="146"/>
      <c r="H97" s="146"/>
      <c r="I97" s="147"/>
    </row>
    <row r="98" spans="1:9" x14ac:dyDescent="0.3">
      <c r="A98" s="15"/>
      <c r="B98" s="23" t="s">
        <v>122</v>
      </c>
      <c r="E98" s="6" t="s">
        <v>83</v>
      </c>
      <c r="F98" s="4">
        <v>415</v>
      </c>
      <c r="I98" s="7"/>
    </row>
    <row r="99" spans="1:9" x14ac:dyDescent="0.3">
      <c r="A99" s="15"/>
      <c r="B99" s="23" t="s">
        <v>123</v>
      </c>
      <c r="E99" s="6" t="s">
        <v>83</v>
      </c>
      <c r="F99" s="4">
        <v>579.20000000000005</v>
      </c>
      <c r="I99" s="7"/>
    </row>
    <row r="100" spans="1:9" ht="15.6" x14ac:dyDescent="0.3">
      <c r="A100" s="15"/>
      <c r="B100" s="36" t="s">
        <v>79</v>
      </c>
      <c r="F100" s="4"/>
      <c r="I100" s="7"/>
    </row>
    <row r="101" spans="1:9" ht="15.6" x14ac:dyDescent="0.3">
      <c r="A101" s="15"/>
      <c r="B101" s="37" t="s">
        <v>80</v>
      </c>
      <c r="I101" s="7"/>
    </row>
    <row r="102" spans="1:9" x14ac:dyDescent="0.3">
      <c r="A102" s="15"/>
      <c r="B102" s="23" t="s">
        <v>81</v>
      </c>
      <c r="I102" s="7"/>
    </row>
    <row r="103" spans="1:9" x14ac:dyDescent="0.3">
      <c r="A103" s="15"/>
      <c r="B103" s="23" t="s">
        <v>82</v>
      </c>
      <c r="E103" s="6" t="s">
        <v>83</v>
      </c>
      <c r="F103" s="4">
        <v>0.9</v>
      </c>
      <c r="I103" s="7"/>
    </row>
    <row r="104" spans="1:9" x14ac:dyDescent="0.3">
      <c r="A104" s="15"/>
      <c r="B104" s="23" t="s">
        <v>84</v>
      </c>
      <c r="E104" s="6" t="s">
        <v>83</v>
      </c>
      <c r="F104" s="4">
        <v>1</v>
      </c>
      <c r="I104" s="7"/>
    </row>
    <row r="105" spans="1:9" x14ac:dyDescent="0.3">
      <c r="A105" s="15"/>
      <c r="B105" s="23" t="s">
        <v>88</v>
      </c>
      <c r="E105" s="6" t="s">
        <v>83</v>
      </c>
      <c r="F105" s="4">
        <f>F104*F103</f>
        <v>0.9</v>
      </c>
      <c r="I105" s="7"/>
    </row>
    <row r="106" spans="1:9" x14ac:dyDescent="0.3">
      <c r="A106" s="15"/>
      <c r="B106" s="23" t="s">
        <v>89</v>
      </c>
      <c r="E106" s="6"/>
      <c r="I106" s="7"/>
    </row>
    <row r="107" spans="1:9" ht="43.2" x14ac:dyDescent="0.3">
      <c r="A107" s="15"/>
      <c r="B107" s="142" t="s">
        <v>90</v>
      </c>
      <c r="C107" s="142"/>
      <c r="D107" s="101" t="s">
        <v>91</v>
      </c>
      <c r="E107" s="38" t="s">
        <v>114</v>
      </c>
      <c r="F107" s="38" t="s">
        <v>241</v>
      </c>
      <c r="G107" s="143" t="s">
        <v>242</v>
      </c>
      <c r="H107" s="143"/>
      <c r="I107" s="7"/>
    </row>
    <row r="108" spans="1:9" x14ac:dyDescent="0.3">
      <c r="A108" s="15"/>
      <c r="B108" s="140" t="s">
        <v>125</v>
      </c>
      <c r="C108" s="140"/>
      <c r="D108" s="102" t="s">
        <v>130</v>
      </c>
      <c r="E108" s="2">
        <v>327</v>
      </c>
      <c r="F108" s="2">
        <f>E108*F105</f>
        <v>294.3</v>
      </c>
      <c r="G108" s="140">
        <f>F108*2</f>
        <v>588.6</v>
      </c>
      <c r="H108" s="140"/>
      <c r="I108" s="7"/>
    </row>
    <row r="109" spans="1:9" x14ac:dyDescent="0.3">
      <c r="A109" s="15"/>
      <c r="I109" s="7"/>
    </row>
    <row r="110" spans="1:9" x14ac:dyDescent="0.3">
      <c r="A110" s="125" t="s">
        <v>37</v>
      </c>
      <c r="B110" s="128" t="s">
        <v>75</v>
      </c>
      <c r="C110" s="127" t="s">
        <v>131</v>
      </c>
      <c r="D110" s="127"/>
      <c r="E110" s="128" t="s">
        <v>116</v>
      </c>
      <c r="F110" s="128" t="s">
        <v>117</v>
      </c>
      <c r="G110" s="127" t="s">
        <v>118</v>
      </c>
      <c r="H110" s="128" t="s">
        <v>119</v>
      </c>
      <c r="I110" s="127" t="s">
        <v>44</v>
      </c>
    </row>
    <row r="111" spans="1:9" x14ac:dyDescent="0.3">
      <c r="A111" s="126"/>
      <c r="B111" s="130"/>
      <c r="C111" s="128"/>
      <c r="D111" s="128"/>
      <c r="E111" s="130"/>
      <c r="F111" s="130"/>
      <c r="G111" s="128"/>
      <c r="H111" s="130"/>
      <c r="I111" s="128"/>
    </row>
    <row r="112" spans="1:9" x14ac:dyDescent="0.3">
      <c r="A112" s="21">
        <v>1</v>
      </c>
      <c r="B112" s="21" t="s">
        <v>77</v>
      </c>
      <c r="C112" s="131" t="s">
        <v>240</v>
      </c>
      <c r="D112" s="132"/>
      <c r="E112" s="43">
        <v>0.15</v>
      </c>
      <c r="F112" s="43">
        <v>8.7599999999999997E-2</v>
      </c>
      <c r="G112" s="2">
        <v>0.02</v>
      </c>
      <c r="H112" s="2">
        <v>2</v>
      </c>
      <c r="I112" s="29">
        <f>(1.732*F99*G112*E112*100)/(H112*F98)</f>
        <v>0.3625931566265061</v>
      </c>
    </row>
    <row r="113" spans="1:10" x14ac:dyDescent="0.3">
      <c r="A113" s="12"/>
      <c r="B113" s="122" t="s">
        <v>62</v>
      </c>
      <c r="C113" s="122"/>
      <c r="D113" s="122"/>
      <c r="E113" s="13"/>
      <c r="F113" s="13"/>
      <c r="G113" s="31">
        <f>SUM(G112:G112)</f>
        <v>0.02</v>
      </c>
      <c r="H113" s="13"/>
      <c r="I113" s="14"/>
    </row>
    <row r="114" spans="1:10" x14ac:dyDescent="0.3">
      <c r="A114" s="10"/>
      <c r="B114" s="123" t="s">
        <v>61</v>
      </c>
      <c r="C114" s="123"/>
      <c r="D114" s="123"/>
      <c r="E114" s="11"/>
      <c r="F114" s="11"/>
      <c r="G114" s="11"/>
      <c r="H114" s="11"/>
      <c r="I114" s="30">
        <f>MAX(I112:I112)</f>
        <v>0.3625931566265061</v>
      </c>
    </row>
    <row r="115" spans="1:10" x14ac:dyDescent="0.3">
      <c r="A115" s="144"/>
      <c r="B115" s="144"/>
      <c r="C115" s="144"/>
      <c r="D115" s="144"/>
      <c r="E115" s="144"/>
      <c r="F115" s="144"/>
      <c r="G115" s="144"/>
      <c r="H115" s="144"/>
      <c r="I115" s="144"/>
    </row>
    <row r="120" spans="1:10" x14ac:dyDescent="0.3">
      <c r="J120" s="70"/>
    </row>
    <row r="126" spans="1:10" x14ac:dyDescent="0.3">
      <c r="C126" s="48"/>
      <c r="D126" s="48"/>
      <c r="E126" s="48"/>
      <c r="F126" s="48"/>
      <c r="G126" s="47"/>
      <c r="H126" s="49"/>
      <c r="I126" s="49"/>
    </row>
    <row r="127" spans="1:10" x14ac:dyDescent="0.3">
      <c r="G127" s="4"/>
    </row>
  </sheetData>
  <mergeCells count="97">
    <mergeCell ref="B96:D96"/>
    <mergeCell ref="H92:H93"/>
    <mergeCell ref="I92:I93"/>
    <mergeCell ref="C94:D94"/>
    <mergeCell ref="B95:D95"/>
    <mergeCell ref="G92:G93"/>
    <mergeCell ref="I70:I71"/>
    <mergeCell ref="B76:D76"/>
    <mergeCell ref="E72:E75"/>
    <mergeCell ref="F72:F75"/>
    <mergeCell ref="E70:E71"/>
    <mergeCell ref="F70:F71"/>
    <mergeCell ref="C72:D75"/>
    <mergeCell ref="B68:C68"/>
    <mergeCell ref="D68:E68"/>
    <mergeCell ref="G68:H68"/>
    <mergeCell ref="A92:A93"/>
    <mergeCell ref="B92:B93"/>
    <mergeCell ref="C92:D93"/>
    <mergeCell ref="E92:E93"/>
    <mergeCell ref="F92:F93"/>
    <mergeCell ref="B77:D77"/>
    <mergeCell ref="A79:I79"/>
    <mergeCell ref="B89:C89"/>
    <mergeCell ref="D89:E89"/>
    <mergeCell ref="G89:H89"/>
    <mergeCell ref="B90:C90"/>
    <mergeCell ref="D90:E90"/>
    <mergeCell ref="G90:H90"/>
    <mergeCell ref="B48:D48"/>
    <mergeCell ref="B49:D49"/>
    <mergeCell ref="C50:D53"/>
    <mergeCell ref="A70:A71"/>
    <mergeCell ref="B70:B71"/>
    <mergeCell ref="C70:D71"/>
    <mergeCell ref="A57:I57"/>
    <mergeCell ref="E50:E53"/>
    <mergeCell ref="F50:F53"/>
    <mergeCell ref="B54:D54"/>
    <mergeCell ref="B55:D55"/>
    <mergeCell ref="H70:H71"/>
    <mergeCell ref="G70:G71"/>
    <mergeCell ref="B67:C67"/>
    <mergeCell ref="D67:E67"/>
    <mergeCell ref="G67:H67"/>
    <mergeCell ref="I30:I31"/>
    <mergeCell ref="C32:D35"/>
    <mergeCell ref="E32:E35"/>
    <mergeCell ref="F32:F35"/>
    <mergeCell ref="B36:D36"/>
    <mergeCell ref="G17:H17"/>
    <mergeCell ref="B19:D19"/>
    <mergeCell ref="B29:C29"/>
    <mergeCell ref="C44:D47"/>
    <mergeCell ref="G30:G31"/>
    <mergeCell ref="H30:H31"/>
    <mergeCell ref="B37:D37"/>
    <mergeCell ref="C38:D41"/>
    <mergeCell ref="B42:D42"/>
    <mergeCell ref="B43:D43"/>
    <mergeCell ref="E38:E41"/>
    <mergeCell ref="F38:F41"/>
    <mergeCell ref="E44:E47"/>
    <mergeCell ref="F44:F47"/>
    <mergeCell ref="B16:C16"/>
    <mergeCell ref="D16:E16"/>
    <mergeCell ref="G16:H16"/>
    <mergeCell ref="A56:F56"/>
    <mergeCell ref="A1:I2"/>
    <mergeCell ref="A3:B3"/>
    <mergeCell ref="C3:I3"/>
    <mergeCell ref="A4:B4"/>
    <mergeCell ref="C4:I4"/>
    <mergeCell ref="A30:A31"/>
    <mergeCell ref="B30:B31"/>
    <mergeCell ref="C30:D31"/>
    <mergeCell ref="E30:E31"/>
    <mergeCell ref="F30:F31"/>
    <mergeCell ref="B17:C17"/>
    <mergeCell ref="D17:E17"/>
    <mergeCell ref="A97:I97"/>
    <mergeCell ref="B107:C107"/>
    <mergeCell ref="G107:H107"/>
    <mergeCell ref="B108:C108"/>
    <mergeCell ref="G108:H108"/>
    <mergeCell ref="A115:I115"/>
    <mergeCell ref="B114:D114"/>
    <mergeCell ref="G110:G111"/>
    <mergeCell ref="H110:H111"/>
    <mergeCell ref="I110:I111"/>
    <mergeCell ref="C112:D112"/>
    <mergeCell ref="B113:D113"/>
    <mergeCell ref="A110:A111"/>
    <mergeCell ref="B110:B111"/>
    <mergeCell ref="C110:D111"/>
    <mergeCell ref="E110:E111"/>
    <mergeCell ref="F110:F111"/>
  </mergeCells>
  <pageMargins left="0.7" right="0.7" top="0.75" bottom="0.75" header="0.3" footer="0.3"/>
  <pageSetup scale="69" orientation="portrait" r:id="rId1"/>
  <rowBreaks count="1" manualBreakCount="1">
    <brk id="56" max="8" man="1"/>
  </rowBreaks>
  <colBreaks count="1" manualBreakCount="1">
    <brk id="9" max="12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7"/>
  <sheetViews>
    <sheetView zoomScaleSheetLayoutView="70" workbookViewId="0">
      <selection sqref="A1:I2"/>
    </sheetView>
  </sheetViews>
  <sheetFormatPr defaultRowHeight="14.4" x14ac:dyDescent="0.3"/>
  <cols>
    <col min="1" max="2" width="9.109375" customWidth="1"/>
    <col min="8" max="8" width="9.5546875" bestFit="1" customWidth="1"/>
  </cols>
  <sheetData>
    <row r="1" spans="1:9" x14ac:dyDescent="0.3">
      <c r="A1" s="153" t="s">
        <v>28</v>
      </c>
      <c r="B1" s="154"/>
      <c r="C1" s="154"/>
      <c r="D1" s="154"/>
      <c r="E1" s="154"/>
      <c r="F1" s="154"/>
      <c r="G1" s="154"/>
      <c r="H1" s="154"/>
      <c r="I1" s="155"/>
    </row>
    <row r="2" spans="1:9" x14ac:dyDescent="0.3">
      <c r="A2" s="156"/>
      <c r="B2" s="157"/>
      <c r="C2" s="157"/>
      <c r="D2" s="157"/>
      <c r="E2" s="157"/>
      <c r="F2" s="157"/>
      <c r="G2" s="157"/>
      <c r="H2" s="157"/>
      <c r="I2" s="158"/>
    </row>
    <row r="3" spans="1:9" x14ac:dyDescent="0.3">
      <c r="A3" s="120" t="s">
        <v>29</v>
      </c>
      <c r="B3" s="121"/>
      <c r="C3" s="116" t="s">
        <v>247</v>
      </c>
      <c r="D3" s="116"/>
      <c r="E3" s="116"/>
      <c r="F3" s="116"/>
      <c r="G3" s="116"/>
      <c r="H3" s="116"/>
      <c r="I3" s="117"/>
    </row>
    <row r="4" spans="1:9" x14ac:dyDescent="0.3">
      <c r="A4" s="120" t="s">
        <v>30</v>
      </c>
      <c r="B4" s="121"/>
      <c r="C4" s="118"/>
      <c r="D4" s="118"/>
      <c r="E4" s="118"/>
      <c r="F4" s="118"/>
      <c r="G4" s="118"/>
      <c r="H4" s="118"/>
      <c r="I4" s="119"/>
    </row>
    <row r="5" spans="1:9" x14ac:dyDescent="0.3">
      <c r="A5" s="27" t="s">
        <v>32</v>
      </c>
      <c r="B5" s="28"/>
      <c r="C5" s="28"/>
      <c r="D5" s="45" t="s">
        <v>133</v>
      </c>
      <c r="E5" s="108" t="s">
        <v>34</v>
      </c>
      <c r="F5" s="108"/>
      <c r="G5" s="26">
        <v>4.6100000000000004E-3</v>
      </c>
      <c r="H5" s="105" t="s">
        <v>67</v>
      </c>
      <c r="I5" s="106"/>
    </row>
    <row r="6" spans="1:9" x14ac:dyDescent="0.3">
      <c r="A6" s="27" t="s">
        <v>35</v>
      </c>
      <c r="B6" s="28"/>
      <c r="C6" s="28"/>
      <c r="D6" s="45" t="s">
        <v>134</v>
      </c>
      <c r="E6" s="108" t="s">
        <v>33</v>
      </c>
      <c r="F6" s="108"/>
      <c r="G6" s="26">
        <v>9.5500000000000007</v>
      </c>
      <c r="H6" s="105" t="s">
        <v>68</v>
      </c>
      <c r="I6" s="106"/>
    </row>
    <row r="7" spans="1:9" x14ac:dyDescent="0.3">
      <c r="A7" s="27" t="s">
        <v>36</v>
      </c>
      <c r="B7" s="28"/>
      <c r="C7" s="28"/>
      <c r="D7" s="45">
        <v>1</v>
      </c>
      <c r="E7" s="108"/>
      <c r="F7" s="108"/>
      <c r="G7" s="19"/>
      <c r="H7" s="19"/>
      <c r="I7" s="20"/>
    </row>
    <row r="8" spans="1:9" x14ac:dyDescent="0.3">
      <c r="A8" s="15"/>
      <c r="B8" s="124" t="s">
        <v>64</v>
      </c>
      <c r="C8" s="124"/>
      <c r="D8" s="22" t="s">
        <v>31</v>
      </c>
      <c r="E8" s="23" t="s">
        <v>63</v>
      </c>
      <c r="F8" s="23"/>
      <c r="G8" s="23"/>
      <c r="I8" s="7"/>
    </row>
    <row r="9" spans="1:9" x14ac:dyDescent="0.3">
      <c r="A9" s="16"/>
      <c r="B9" s="104" t="s">
        <v>65</v>
      </c>
      <c r="C9" s="104"/>
      <c r="D9" s="24" t="s">
        <v>31</v>
      </c>
      <c r="E9" s="25" t="s">
        <v>66</v>
      </c>
      <c r="F9" s="25"/>
      <c r="G9" s="25"/>
      <c r="H9" s="17"/>
      <c r="I9" s="18"/>
    </row>
    <row r="10" spans="1:9" x14ac:dyDescent="0.3">
      <c r="A10" s="125" t="s">
        <v>37</v>
      </c>
      <c r="B10" s="125" t="s">
        <v>38</v>
      </c>
      <c r="C10" s="127" t="s">
        <v>39</v>
      </c>
      <c r="D10" s="127"/>
      <c r="E10" s="127" t="s">
        <v>40</v>
      </c>
      <c r="F10" s="127"/>
      <c r="G10" s="127" t="s">
        <v>43</v>
      </c>
      <c r="H10" s="127" t="s">
        <v>69</v>
      </c>
      <c r="I10" s="127" t="s">
        <v>44</v>
      </c>
    </row>
    <row r="11" spans="1:9" x14ac:dyDescent="0.3">
      <c r="A11" s="126"/>
      <c r="B11" s="126"/>
      <c r="C11" s="128"/>
      <c r="D11" s="128"/>
      <c r="E11" s="32" t="s">
        <v>41</v>
      </c>
      <c r="F11" s="32" t="s">
        <v>42</v>
      </c>
      <c r="G11" s="128"/>
      <c r="H11" s="128"/>
      <c r="I11" s="128"/>
    </row>
    <row r="12" spans="1:9" ht="15" customHeight="1" x14ac:dyDescent="0.3">
      <c r="A12" s="21">
        <v>1</v>
      </c>
      <c r="B12" s="2" t="s">
        <v>1</v>
      </c>
      <c r="C12" s="150" t="s">
        <v>45</v>
      </c>
      <c r="D12" s="150"/>
      <c r="E12" s="2">
        <v>14</v>
      </c>
      <c r="F12" s="2">
        <v>16</v>
      </c>
      <c r="G12" s="2">
        <f>SUM(E12:F12)</f>
        <v>30</v>
      </c>
      <c r="H12" s="29">
        <f>(G12*G6*G6*G5)</f>
        <v>12.613305750000002</v>
      </c>
      <c r="I12" s="29">
        <f>((2*G12*G6*G5)/(725.6))*100</f>
        <v>0.36404768467475201</v>
      </c>
    </row>
    <row r="13" spans="1:9" x14ac:dyDescent="0.3">
      <c r="A13" s="21">
        <v>2</v>
      </c>
      <c r="B13" s="2" t="s">
        <v>2</v>
      </c>
      <c r="C13" s="151"/>
      <c r="D13" s="151"/>
      <c r="E13" s="2">
        <v>7</v>
      </c>
      <c r="F13" s="2">
        <v>8</v>
      </c>
      <c r="G13" s="2">
        <f t="shared" ref="G13:G15" si="0">SUM(E13:F13)</f>
        <v>15</v>
      </c>
      <c r="H13" s="29">
        <f>(G13*G6*G6*G5)</f>
        <v>6.306652875000001</v>
      </c>
      <c r="I13" s="29">
        <f>((2*G13*G6*G5)/(725.6))*100</f>
        <v>0.18202384233737601</v>
      </c>
    </row>
    <row r="14" spans="1:9" x14ac:dyDescent="0.3">
      <c r="A14" s="21">
        <v>3</v>
      </c>
      <c r="B14" s="2" t="s">
        <v>3</v>
      </c>
      <c r="C14" s="151"/>
      <c r="D14" s="151"/>
      <c r="E14" s="2">
        <v>7</v>
      </c>
      <c r="F14" s="2">
        <v>9</v>
      </c>
      <c r="G14" s="2">
        <f t="shared" si="0"/>
        <v>16</v>
      </c>
      <c r="H14" s="29">
        <f>(G14*G6*G6*G5)</f>
        <v>6.7270964000000015</v>
      </c>
      <c r="I14" s="29">
        <f>((2*G14*G6*G5)/(725.6))*100</f>
        <v>0.19415876515986774</v>
      </c>
    </row>
    <row r="15" spans="1:9" x14ac:dyDescent="0.3">
      <c r="A15" s="21">
        <v>4</v>
      </c>
      <c r="B15" s="2" t="s">
        <v>4</v>
      </c>
      <c r="C15" s="151"/>
      <c r="D15" s="151"/>
      <c r="E15" s="2">
        <v>19</v>
      </c>
      <c r="F15" s="2">
        <v>22</v>
      </c>
      <c r="G15" s="2">
        <f t="shared" si="0"/>
        <v>41</v>
      </c>
      <c r="H15" s="29">
        <f>(G15*G6*G6*G5)</f>
        <v>17.238184525000001</v>
      </c>
      <c r="I15" s="29">
        <f>((2*G15*G6*G5)/(725.6))*100</f>
        <v>0.49753183572216103</v>
      </c>
    </row>
    <row r="16" spans="1:9" x14ac:dyDescent="0.3">
      <c r="A16" s="44">
        <v>5</v>
      </c>
      <c r="B16" s="2" t="s">
        <v>132</v>
      </c>
      <c r="C16" s="152"/>
      <c r="D16" s="152"/>
      <c r="E16" s="2">
        <v>26</v>
      </c>
      <c r="F16" s="2">
        <v>29</v>
      </c>
      <c r="G16" s="2">
        <f t="shared" ref="G16" si="1">SUM(E16:F16)</f>
        <v>55</v>
      </c>
      <c r="H16" s="29">
        <f>(G16*G6*G6*G5)</f>
        <v>23.124393875000006</v>
      </c>
      <c r="I16" s="29">
        <f>((2*G16*G6*G5)/(725.6))*100</f>
        <v>0.66742075523704525</v>
      </c>
    </row>
    <row r="17" spans="1:9" x14ac:dyDescent="0.3">
      <c r="A17" s="12"/>
      <c r="B17" s="122" t="s">
        <v>62</v>
      </c>
      <c r="C17" s="122"/>
      <c r="D17" s="122"/>
      <c r="E17" s="13"/>
      <c r="F17" s="13"/>
      <c r="G17" s="31">
        <f>SUM(G12:G16)</f>
        <v>157</v>
      </c>
      <c r="H17" s="13"/>
      <c r="I17" s="14"/>
    </row>
    <row r="18" spans="1:9" x14ac:dyDescent="0.3">
      <c r="A18" s="10"/>
      <c r="B18" s="123" t="s">
        <v>61</v>
      </c>
      <c r="C18" s="123"/>
      <c r="D18" s="123"/>
      <c r="E18" s="11"/>
      <c r="F18" s="11"/>
      <c r="G18" s="11"/>
      <c r="H18" s="11"/>
      <c r="I18" s="30">
        <f>MAX(I12:I16)</f>
        <v>0.66742075523704525</v>
      </c>
    </row>
    <row r="19" spans="1:9" x14ac:dyDescent="0.3">
      <c r="A19" s="21">
        <v>1</v>
      </c>
      <c r="B19" s="2" t="s">
        <v>1</v>
      </c>
      <c r="C19" s="150" t="s">
        <v>46</v>
      </c>
      <c r="D19" s="150"/>
      <c r="E19" s="2">
        <v>22</v>
      </c>
      <c r="F19" s="2">
        <v>24</v>
      </c>
      <c r="G19" s="2">
        <f>SUM(E19:F19)</f>
        <v>46</v>
      </c>
      <c r="H19" s="29">
        <f>(G19*G6*G6*G5)</f>
        <v>19.340402150000003</v>
      </c>
      <c r="I19" s="29">
        <f>((2*G19*G6*G5)/(725.6))*100</f>
        <v>0.55820644983461964</v>
      </c>
    </row>
    <row r="20" spans="1:9" x14ac:dyDescent="0.3">
      <c r="A20" s="21">
        <v>2</v>
      </c>
      <c r="B20" s="2" t="s">
        <v>2</v>
      </c>
      <c r="C20" s="151"/>
      <c r="D20" s="151"/>
      <c r="E20" s="2">
        <v>15</v>
      </c>
      <c r="F20" s="2">
        <v>16</v>
      </c>
      <c r="G20" s="2">
        <f t="shared" ref="G20:G23" si="2">SUM(E20:F20)</f>
        <v>31</v>
      </c>
      <c r="H20" s="29">
        <f>(G20*G6*G6*G5)</f>
        <v>13.033749275000002</v>
      </c>
      <c r="I20" s="29">
        <f>((2*G20*G6*G5)/(725.6))*100</f>
        <v>0.37618260749724375</v>
      </c>
    </row>
    <row r="21" spans="1:9" x14ac:dyDescent="0.3">
      <c r="A21" s="21">
        <v>3</v>
      </c>
      <c r="B21" s="2" t="s">
        <v>3</v>
      </c>
      <c r="C21" s="151"/>
      <c r="D21" s="151"/>
      <c r="E21" s="2">
        <v>7</v>
      </c>
      <c r="F21" s="2">
        <v>8</v>
      </c>
      <c r="G21" s="2">
        <f t="shared" si="2"/>
        <v>15</v>
      </c>
      <c r="H21" s="29">
        <f>(G21*G6*G6*G5)</f>
        <v>6.306652875000001</v>
      </c>
      <c r="I21" s="29">
        <f>((2*G21*G6*G5)/(725.6))*100</f>
        <v>0.18202384233737601</v>
      </c>
    </row>
    <row r="22" spans="1:9" x14ac:dyDescent="0.3">
      <c r="A22" s="21">
        <v>4</v>
      </c>
      <c r="B22" s="2" t="s">
        <v>4</v>
      </c>
      <c r="C22" s="151"/>
      <c r="D22" s="151"/>
      <c r="E22" s="2">
        <v>7</v>
      </c>
      <c r="F22" s="2">
        <v>8</v>
      </c>
      <c r="G22" s="2">
        <f t="shared" si="2"/>
        <v>15</v>
      </c>
      <c r="H22" s="29">
        <f>(G22*G6*G6*G5)</f>
        <v>6.306652875000001</v>
      </c>
      <c r="I22" s="29">
        <f>((2*G22*G6*G5)/(725.6))*100</f>
        <v>0.18202384233737601</v>
      </c>
    </row>
    <row r="23" spans="1:9" x14ac:dyDescent="0.3">
      <c r="A23" s="44">
        <v>5</v>
      </c>
      <c r="B23" s="2" t="s">
        <v>132</v>
      </c>
      <c r="C23" s="152"/>
      <c r="D23" s="152"/>
      <c r="E23" s="2">
        <v>15</v>
      </c>
      <c r="F23" s="2">
        <v>16</v>
      </c>
      <c r="G23" s="2">
        <f t="shared" si="2"/>
        <v>31</v>
      </c>
      <c r="H23" s="29">
        <f>(G23*G6*G6*G5)</f>
        <v>13.033749275000002</v>
      </c>
      <c r="I23" s="29">
        <f>((2*G23*G6*G5)/(725.6))*100</f>
        <v>0.37618260749724375</v>
      </c>
    </row>
    <row r="24" spans="1:9" x14ac:dyDescent="0.3">
      <c r="A24" s="12"/>
      <c r="B24" s="122" t="s">
        <v>62</v>
      </c>
      <c r="C24" s="122"/>
      <c r="D24" s="122"/>
      <c r="E24" s="13"/>
      <c r="F24" s="13"/>
      <c r="G24" s="31">
        <f>SUM(G19:G23)</f>
        <v>138</v>
      </c>
      <c r="H24" s="13"/>
      <c r="I24" s="14"/>
    </row>
    <row r="25" spans="1:9" x14ac:dyDescent="0.3">
      <c r="A25" s="10"/>
      <c r="B25" s="123" t="s">
        <v>61</v>
      </c>
      <c r="C25" s="123"/>
      <c r="D25" s="123"/>
      <c r="E25" s="11"/>
      <c r="F25" s="11"/>
      <c r="G25" s="11"/>
      <c r="H25" s="11"/>
      <c r="I25" s="30">
        <f>MAX(I19:I23)</f>
        <v>0.55820644983461964</v>
      </c>
    </row>
    <row r="26" spans="1:9" x14ac:dyDescent="0.3">
      <c r="A26" s="21">
        <v>1</v>
      </c>
      <c r="B26" s="2" t="s">
        <v>1</v>
      </c>
      <c r="C26" s="150" t="s">
        <v>47</v>
      </c>
      <c r="D26" s="150"/>
      <c r="E26" s="2">
        <v>8</v>
      </c>
      <c r="F26" s="2">
        <v>10</v>
      </c>
      <c r="G26" s="2">
        <f>SUM(E26:F26)</f>
        <v>18</v>
      </c>
      <c r="H26" s="29">
        <f>(G26*G6*G6*G5)</f>
        <v>7.5679834500000016</v>
      </c>
      <c r="I26" s="29">
        <f>((2*G26*G6*G5)/(725.6))*100</f>
        <v>0.21842861080485115</v>
      </c>
    </row>
    <row r="27" spans="1:9" x14ac:dyDescent="0.3">
      <c r="A27" s="21">
        <v>2</v>
      </c>
      <c r="B27" s="2" t="s">
        <v>2</v>
      </c>
      <c r="C27" s="151"/>
      <c r="D27" s="151"/>
      <c r="E27" s="2">
        <v>7</v>
      </c>
      <c r="F27" s="2">
        <v>9</v>
      </c>
      <c r="G27" s="2">
        <f t="shared" ref="G27:G30" si="3">SUM(E27:F27)</f>
        <v>16</v>
      </c>
      <c r="H27" s="29">
        <f>(G27*G6*G6*G5)</f>
        <v>6.7270964000000015</v>
      </c>
      <c r="I27" s="29">
        <f>((2*G27*G6*G5)/(725.6))*100</f>
        <v>0.19415876515986774</v>
      </c>
    </row>
    <row r="28" spans="1:9" x14ac:dyDescent="0.3">
      <c r="A28" s="21">
        <v>3</v>
      </c>
      <c r="B28" s="2" t="s">
        <v>3</v>
      </c>
      <c r="C28" s="151"/>
      <c r="D28" s="151"/>
      <c r="E28" s="2">
        <v>12</v>
      </c>
      <c r="F28" s="2">
        <v>14</v>
      </c>
      <c r="G28" s="2">
        <f t="shared" si="3"/>
        <v>26</v>
      </c>
      <c r="H28" s="29">
        <f>(G28*G6*G6*G5)</f>
        <v>10.931531650000002</v>
      </c>
      <c r="I28" s="29">
        <f>((2*G28*G6*G5)/(725.6))*100</f>
        <v>0.31550799338478502</v>
      </c>
    </row>
    <row r="29" spans="1:9" x14ac:dyDescent="0.3">
      <c r="A29" s="21">
        <v>4</v>
      </c>
      <c r="B29" s="2" t="s">
        <v>4</v>
      </c>
      <c r="C29" s="151"/>
      <c r="D29" s="151"/>
      <c r="E29" s="2">
        <v>14</v>
      </c>
      <c r="F29" s="2">
        <v>17</v>
      </c>
      <c r="G29" s="2">
        <f t="shared" si="3"/>
        <v>31</v>
      </c>
      <c r="H29" s="29">
        <f>(G29*G6*G6*G5)</f>
        <v>13.033749275000002</v>
      </c>
      <c r="I29" s="29">
        <f>((2*G29*G6*G5)/(725.6))*100</f>
        <v>0.37618260749724375</v>
      </c>
    </row>
    <row r="30" spans="1:9" x14ac:dyDescent="0.3">
      <c r="A30" s="44">
        <v>5</v>
      </c>
      <c r="B30" s="2" t="s">
        <v>132</v>
      </c>
      <c r="C30" s="152"/>
      <c r="D30" s="152"/>
      <c r="E30" s="2">
        <v>14</v>
      </c>
      <c r="F30" s="2">
        <v>17</v>
      </c>
      <c r="G30" s="2">
        <f t="shared" si="3"/>
        <v>31</v>
      </c>
      <c r="H30" s="29">
        <f>(G30*G6*G6*G5)</f>
        <v>13.033749275000002</v>
      </c>
      <c r="I30" s="29">
        <f>((2*G30*G6*G5)/(725.6))*100</f>
        <v>0.37618260749724375</v>
      </c>
    </row>
    <row r="31" spans="1:9" x14ac:dyDescent="0.3">
      <c r="A31" s="12"/>
      <c r="B31" s="122" t="s">
        <v>62</v>
      </c>
      <c r="C31" s="122"/>
      <c r="D31" s="122"/>
      <c r="E31" s="13"/>
      <c r="F31" s="13"/>
      <c r="G31" s="31">
        <f>SUM(G26:G30)</f>
        <v>122</v>
      </c>
      <c r="H31" s="13"/>
      <c r="I31" s="14"/>
    </row>
    <row r="32" spans="1:9" x14ac:dyDescent="0.3">
      <c r="A32" s="10"/>
      <c r="B32" s="123" t="s">
        <v>61</v>
      </c>
      <c r="C32" s="123"/>
      <c r="D32" s="123"/>
      <c r="E32" s="11"/>
      <c r="F32" s="11"/>
      <c r="G32" s="11"/>
      <c r="H32" s="11"/>
      <c r="I32" s="30">
        <f>MAX(I26:I30)</f>
        <v>0.37618260749724375</v>
      </c>
    </row>
    <row r="33" spans="1:9" x14ac:dyDescent="0.3">
      <c r="A33" s="21">
        <v>1</v>
      </c>
      <c r="B33" s="2" t="s">
        <v>1</v>
      </c>
      <c r="C33" s="150" t="s">
        <v>48</v>
      </c>
      <c r="D33" s="150"/>
      <c r="E33" s="2">
        <v>12</v>
      </c>
      <c r="F33" s="2">
        <v>11</v>
      </c>
      <c r="G33" s="2">
        <f>SUM(E33:F33)</f>
        <v>23</v>
      </c>
      <c r="H33" s="29">
        <f>(G33*G6*G6*G5)</f>
        <v>9.6702010750000014</v>
      </c>
      <c r="I33" s="29">
        <f>((2*G33*G6*G5)/(725.6))*100</f>
        <v>0.27910322491730982</v>
      </c>
    </row>
    <row r="34" spans="1:9" x14ac:dyDescent="0.3">
      <c r="A34" s="21">
        <v>2</v>
      </c>
      <c r="B34" s="2" t="s">
        <v>2</v>
      </c>
      <c r="C34" s="151"/>
      <c r="D34" s="151"/>
      <c r="E34" s="2">
        <v>12</v>
      </c>
      <c r="F34" s="2">
        <v>14</v>
      </c>
      <c r="G34" s="2">
        <f t="shared" ref="G34:G37" si="4">SUM(E34:F34)</f>
        <v>26</v>
      </c>
      <c r="H34" s="29">
        <f>(G34*G6*G6*G5)</f>
        <v>10.931531650000002</v>
      </c>
      <c r="I34" s="29">
        <f>((2*G34*G6*G5)/(725.6))*100</f>
        <v>0.31550799338478502</v>
      </c>
    </row>
    <row r="35" spans="1:9" x14ac:dyDescent="0.3">
      <c r="A35" s="21">
        <v>3</v>
      </c>
      <c r="B35" s="2" t="s">
        <v>3</v>
      </c>
      <c r="C35" s="151"/>
      <c r="D35" s="151"/>
      <c r="E35" s="2">
        <v>7</v>
      </c>
      <c r="F35" s="2">
        <v>11</v>
      </c>
      <c r="G35" s="2">
        <f t="shared" si="4"/>
        <v>18</v>
      </c>
      <c r="H35" s="29">
        <f>(G35*G6*G6*G5)</f>
        <v>7.5679834500000016</v>
      </c>
      <c r="I35" s="29">
        <f>((2*G35*G6*G5)/(725.6))*100</f>
        <v>0.21842861080485115</v>
      </c>
    </row>
    <row r="36" spans="1:9" x14ac:dyDescent="0.3">
      <c r="A36" s="21">
        <v>4</v>
      </c>
      <c r="B36" s="2" t="s">
        <v>4</v>
      </c>
      <c r="C36" s="151"/>
      <c r="D36" s="151"/>
      <c r="E36" s="2">
        <v>8</v>
      </c>
      <c r="F36" s="2">
        <v>11</v>
      </c>
      <c r="G36" s="2">
        <f t="shared" si="4"/>
        <v>19</v>
      </c>
      <c r="H36" s="29">
        <f>(G36*G6*G6*G5)</f>
        <v>7.9884269750000021</v>
      </c>
      <c r="I36" s="29">
        <f>((2*G36*G6*G5)/(725.6))*100</f>
        <v>0.23056353362734291</v>
      </c>
    </row>
    <row r="37" spans="1:9" x14ac:dyDescent="0.3">
      <c r="A37" s="44">
        <v>5</v>
      </c>
      <c r="B37" s="2" t="s">
        <v>132</v>
      </c>
      <c r="C37" s="152"/>
      <c r="D37" s="152"/>
      <c r="E37" s="2">
        <v>18</v>
      </c>
      <c r="F37" s="2">
        <v>21</v>
      </c>
      <c r="G37" s="2">
        <f t="shared" si="4"/>
        <v>39</v>
      </c>
      <c r="H37" s="29">
        <f>(G37*G6*G6*G5)</f>
        <v>16.397297475000002</v>
      </c>
      <c r="I37" s="29">
        <f>((2*G37*G6*G5)/(725.6))*100</f>
        <v>0.47326199007717762</v>
      </c>
    </row>
    <row r="38" spans="1:9" x14ac:dyDescent="0.3">
      <c r="A38" s="12"/>
      <c r="B38" s="122" t="s">
        <v>62</v>
      </c>
      <c r="C38" s="122"/>
      <c r="D38" s="122"/>
      <c r="E38" s="13"/>
      <c r="F38" s="13"/>
      <c r="G38" s="31">
        <f>SUM(G33:G37)</f>
        <v>125</v>
      </c>
      <c r="H38" s="13"/>
      <c r="I38" s="14"/>
    </row>
    <row r="39" spans="1:9" x14ac:dyDescent="0.3">
      <c r="A39" s="10"/>
      <c r="B39" s="123" t="s">
        <v>61</v>
      </c>
      <c r="C39" s="123"/>
      <c r="D39" s="123"/>
      <c r="E39" s="11"/>
      <c r="F39" s="11"/>
      <c r="G39" s="11"/>
      <c r="H39" s="11"/>
      <c r="I39" s="30">
        <f>MAX(I33:I37)</f>
        <v>0.47326199007717762</v>
      </c>
    </row>
    <row r="40" spans="1:9" x14ac:dyDescent="0.3">
      <c r="A40" s="21">
        <v>1</v>
      </c>
      <c r="B40" s="2" t="s">
        <v>1</v>
      </c>
      <c r="C40" s="150" t="s">
        <v>49</v>
      </c>
      <c r="D40" s="150"/>
      <c r="E40" s="2">
        <v>13</v>
      </c>
      <c r="F40" s="2">
        <v>10</v>
      </c>
      <c r="G40" s="2">
        <f>SUM(E40:F40)</f>
        <v>23</v>
      </c>
      <c r="H40" s="29">
        <f>(G40*G6*G6*G5)</f>
        <v>9.6702010750000014</v>
      </c>
      <c r="I40" s="29">
        <f>((2*G40*G6*G5)/(725.6))*100</f>
        <v>0.27910322491730982</v>
      </c>
    </row>
    <row r="41" spans="1:9" x14ac:dyDescent="0.3">
      <c r="A41" s="21">
        <v>2</v>
      </c>
      <c r="B41" s="2" t="s">
        <v>2</v>
      </c>
      <c r="C41" s="151"/>
      <c r="D41" s="151"/>
      <c r="E41" s="2">
        <v>13</v>
      </c>
      <c r="F41" s="2">
        <v>11</v>
      </c>
      <c r="G41" s="2">
        <f t="shared" ref="G41:G44" si="5">SUM(E41:F41)</f>
        <v>24</v>
      </c>
      <c r="H41" s="29">
        <f>(G41*G6*G6*G5)</f>
        <v>10.090644600000001</v>
      </c>
      <c r="I41" s="29">
        <f>((2*G41*G6*G5)/(725.6))*100</f>
        <v>0.29123814773980156</v>
      </c>
    </row>
    <row r="42" spans="1:9" x14ac:dyDescent="0.3">
      <c r="A42" s="21">
        <v>3</v>
      </c>
      <c r="B42" s="2" t="s">
        <v>3</v>
      </c>
      <c r="C42" s="151"/>
      <c r="D42" s="151"/>
      <c r="E42" s="2">
        <v>12</v>
      </c>
      <c r="F42" s="2">
        <v>13</v>
      </c>
      <c r="G42" s="2">
        <f t="shared" si="5"/>
        <v>25</v>
      </c>
      <c r="H42" s="29">
        <f>(G42*G6*G6*G5)</f>
        <v>10.511088125000002</v>
      </c>
      <c r="I42" s="29">
        <f>((2*G42*G6*G5)/(725.6))*100</f>
        <v>0.30337307056229329</v>
      </c>
    </row>
    <row r="43" spans="1:9" x14ac:dyDescent="0.3">
      <c r="A43" s="21">
        <v>4</v>
      </c>
      <c r="B43" s="2" t="s">
        <v>4</v>
      </c>
      <c r="C43" s="151"/>
      <c r="D43" s="151"/>
      <c r="E43" s="2">
        <v>11</v>
      </c>
      <c r="F43" s="2">
        <v>14</v>
      </c>
      <c r="G43" s="2">
        <f t="shared" si="5"/>
        <v>25</v>
      </c>
      <c r="H43" s="29">
        <f>(G43*G6*G6*G5)</f>
        <v>10.511088125000002</v>
      </c>
      <c r="I43" s="29">
        <f>((2*G43*G6*G5)/(725.6))*100</f>
        <v>0.30337307056229329</v>
      </c>
    </row>
    <row r="44" spans="1:9" x14ac:dyDescent="0.3">
      <c r="A44" s="44">
        <v>5</v>
      </c>
      <c r="B44" s="2" t="s">
        <v>132</v>
      </c>
      <c r="C44" s="152"/>
      <c r="D44" s="152"/>
      <c r="E44" s="2">
        <v>19</v>
      </c>
      <c r="F44" s="2">
        <v>21</v>
      </c>
      <c r="G44" s="2">
        <f t="shared" si="5"/>
        <v>40</v>
      </c>
      <c r="H44" s="29">
        <f>(G44*G6*G6*G5)</f>
        <v>16.817741000000002</v>
      </c>
      <c r="I44" s="29">
        <f>((2*G44*G6*G5)/(725.6))*100</f>
        <v>0.4853969128996693</v>
      </c>
    </row>
    <row r="45" spans="1:9" x14ac:dyDescent="0.3">
      <c r="A45" s="12"/>
      <c r="B45" s="122" t="s">
        <v>62</v>
      </c>
      <c r="C45" s="122"/>
      <c r="D45" s="122"/>
      <c r="E45" s="13"/>
      <c r="F45" s="13"/>
      <c r="G45" s="31">
        <f>SUM(G40:G44)</f>
        <v>137</v>
      </c>
      <c r="H45" s="13"/>
      <c r="I45" s="14"/>
    </row>
    <row r="46" spans="1:9" x14ac:dyDescent="0.3">
      <c r="A46" s="10"/>
      <c r="B46" s="123" t="s">
        <v>61</v>
      </c>
      <c r="C46" s="123"/>
      <c r="D46" s="123"/>
      <c r="E46" s="11"/>
      <c r="F46" s="11"/>
      <c r="G46" s="11"/>
      <c r="H46" s="11"/>
      <c r="I46" s="30">
        <f>MAX(I40:I44)</f>
        <v>0.4853969128996693</v>
      </c>
    </row>
    <row r="47" spans="1:9" x14ac:dyDescent="0.3">
      <c r="A47" s="125" t="s">
        <v>37</v>
      </c>
      <c r="B47" s="125" t="s">
        <v>38</v>
      </c>
      <c r="C47" s="127" t="s">
        <v>39</v>
      </c>
      <c r="D47" s="127"/>
      <c r="E47" s="127" t="s">
        <v>40</v>
      </c>
      <c r="F47" s="127"/>
      <c r="G47" s="127" t="s">
        <v>43</v>
      </c>
      <c r="H47" s="127" t="s">
        <v>69</v>
      </c>
      <c r="I47" s="127" t="s">
        <v>44</v>
      </c>
    </row>
    <row r="48" spans="1:9" x14ac:dyDescent="0.3">
      <c r="A48" s="126"/>
      <c r="B48" s="126"/>
      <c r="C48" s="128"/>
      <c r="D48" s="128"/>
      <c r="E48" s="32" t="s">
        <v>41</v>
      </c>
      <c r="F48" s="32" t="s">
        <v>42</v>
      </c>
      <c r="G48" s="128"/>
      <c r="H48" s="128"/>
      <c r="I48" s="128"/>
    </row>
    <row r="49" spans="1:9" x14ac:dyDescent="0.3">
      <c r="A49" s="21">
        <v>1</v>
      </c>
      <c r="B49" s="2" t="s">
        <v>1</v>
      </c>
      <c r="C49" s="150" t="s">
        <v>50</v>
      </c>
      <c r="D49" s="150"/>
      <c r="E49" s="2">
        <v>17</v>
      </c>
      <c r="F49" s="2">
        <v>15</v>
      </c>
      <c r="G49" s="2">
        <f>SUM(E49:F49)</f>
        <v>32</v>
      </c>
      <c r="H49" s="29">
        <f>(G49*G6*G6*G5)</f>
        <v>13.454192800000003</v>
      </c>
      <c r="I49" s="29">
        <f>((2*G49*G6*G5)/(725.6))*100</f>
        <v>0.38831753031973548</v>
      </c>
    </row>
    <row r="50" spans="1:9" x14ac:dyDescent="0.3">
      <c r="A50" s="21">
        <v>2</v>
      </c>
      <c r="B50" s="2" t="s">
        <v>2</v>
      </c>
      <c r="C50" s="151"/>
      <c r="D50" s="151"/>
      <c r="E50" s="2">
        <v>11</v>
      </c>
      <c r="F50" s="2">
        <v>8</v>
      </c>
      <c r="G50" s="2">
        <f t="shared" ref="G50:G53" si="6">SUM(E50:F50)</f>
        <v>19</v>
      </c>
      <c r="H50" s="29">
        <f>(G50*G6*G6*G5)</f>
        <v>7.9884269750000021</v>
      </c>
      <c r="I50" s="29">
        <f>((2*G50*G6*G5)/(725.6))*100</f>
        <v>0.23056353362734291</v>
      </c>
    </row>
    <row r="51" spans="1:9" x14ac:dyDescent="0.3">
      <c r="A51" s="21">
        <v>3</v>
      </c>
      <c r="B51" s="2" t="s">
        <v>3</v>
      </c>
      <c r="C51" s="151"/>
      <c r="D51" s="151"/>
      <c r="E51" s="2">
        <v>10</v>
      </c>
      <c r="F51" s="2">
        <v>9</v>
      </c>
      <c r="G51" s="2">
        <f t="shared" si="6"/>
        <v>19</v>
      </c>
      <c r="H51" s="29">
        <f>(G51*G6*G6*G5)</f>
        <v>7.9884269750000021</v>
      </c>
      <c r="I51" s="29">
        <f>((2*G51*G6*G5)/(725.6))*100</f>
        <v>0.23056353362734291</v>
      </c>
    </row>
    <row r="52" spans="1:9" x14ac:dyDescent="0.3">
      <c r="A52" s="21">
        <v>4</v>
      </c>
      <c r="B52" s="2" t="s">
        <v>4</v>
      </c>
      <c r="C52" s="151"/>
      <c r="D52" s="151"/>
      <c r="E52" s="2">
        <v>7</v>
      </c>
      <c r="F52" s="2">
        <v>9</v>
      </c>
      <c r="G52" s="2">
        <f t="shared" si="6"/>
        <v>16</v>
      </c>
      <c r="H52" s="29">
        <f>(G52*G6*G6*G5)</f>
        <v>6.7270964000000015</v>
      </c>
      <c r="I52" s="29">
        <f>((2*G52*G6*G5)/(725.6))*100</f>
        <v>0.19415876515986774</v>
      </c>
    </row>
    <row r="53" spans="1:9" x14ac:dyDescent="0.3">
      <c r="A53" s="44">
        <v>5</v>
      </c>
      <c r="B53" s="2" t="s">
        <v>132</v>
      </c>
      <c r="C53" s="152"/>
      <c r="D53" s="152"/>
      <c r="E53" s="2">
        <v>7</v>
      </c>
      <c r="F53" s="2">
        <v>9</v>
      </c>
      <c r="G53" s="2">
        <f t="shared" si="6"/>
        <v>16</v>
      </c>
      <c r="H53" s="29">
        <f>(G53*G6*G6*G5)</f>
        <v>6.7270964000000015</v>
      </c>
      <c r="I53" s="29">
        <f>((2*G53*G6*G5)/(725.6))*100</f>
        <v>0.19415876515986774</v>
      </c>
    </row>
    <row r="54" spans="1:9" x14ac:dyDescent="0.3">
      <c r="A54" s="12"/>
      <c r="B54" s="122" t="s">
        <v>62</v>
      </c>
      <c r="C54" s="122"/>
      <c r="D54" s="122"/>
      <c r="E54" s="13"/>
      <c r="F54" s="13"/>
      <c r="G54" s="31">
        <f>SUM(G49:G53)</f>
        <v>102</v>
      </c>
      <c r="H54" s="13"/>
      <c r="I54" s="14"/>
    </row>
    <row r="55" spans="1:9" x14ac:dyDescent="0.3">
      <c r="A55" s="10"/>
      <c r="B55" s="123" t="s">
        <v>61</v>
      </c>
      <c r="C55" s="123"/>
      <c r="D55" s="123"/>
      <c r="E55" s="11"/>
      <c r="F55" s="11"/>
      <c r="G55" s="11"/>
      <c r="H55" s="11"/>
      <c r="I55" s="30">
        <f>MAX(I49:I53)</f>
        <v>0.38831753031973548</v>
      </c>
    </row>
    <row r="56" spans="1:9" x14ac:dyDescent="0.3">
      <c r="A56" s="21">
        <v>1</v>
      </c>
      <c r="B56" s="2" t="s">
        <v>1</v>
      </c>
      <c r="C56" s="150" t="s">
        <v>51</v>
      </c>
      <c r="D56" s="150"/>
      <c r="E56" s="2">
        <v>19</v>
      </c>
      <c r="F56" s="2">
        <v>20</v>
      </c>
      <c r="G56" s="2">
        <f>SUM(E56:F56)</f>
        <v>39</v>
      </c>
      <c r="H56" s="29">
        <f>(G56*G6*G6*G5)</f>
        <v>16.397297475000002</v>
      </c>
      <c r="I56" s="29">
        <f>((2*G56*G6*G5)/(725.6))*100</f>
        <v>0.47326199007717762</v>
      </c>
    </row>
    <row r="57" spans="1:9" x14ac:dyDescent="0.3">
      <c r="A57" s="21">
        <v>2</v>
      </c>
      <c r="B57" s="2" t="s">
        <v>2</v>
      </c>
      <c r="C57" s="151"/>
      <c r="D57" s="151"/>
      <c r="E57" s="2">
        <v>12</v>
      </c>
      <c r="F57" s="2">
        <v>13</v>
      </c>
      <c r="G57" s="2">
        <f t="shared" ref="G57:G60" si="7">SUM(E57:F57)</f>
        <v>25</v>
      </c>
      <c r="H57" s="29">
        <f>(G57*G6*G6*G5)</f>
        <v>10.511088125000002</v>
      </c>
      <c r="I57" s="29">
        <f>((2*G57*G6*G5)/(725.6))*100</f>
        <v>0.30337307056229329</v>
      </c>
    </row>
    <row r="58" spans="1:9" x14ac:dyDescent="0.3">
      <c r="A58" s="21">
        <v>3</v>
      </c>
      <c r="B58" s="2" t="s">
        <v>3</v>
      </c>
      <c r="C58" s="151"/>
      <c r="D58" s="151"/>
      <c r="E58" s="2">
        <v>7</v>
      </c>
      <c r="F58" s="2">
        <v>10</v>
      </c>
      <c r="G58" s="2">
        <f t="shared" si="7"/>
        <v>17</v>
      </c>
      <c r="H58" s="29">
        <f>(G58*G6*G6*G5)</f>
        <v>7.147539925000002</v>
      </c>
      <c r="I58" s="29">
        <f>((2*G58*G6*G5)/(725.6))*100</f>
        <v>0.20629368798235947</v>
      </c>
    </row>
    <row r="59" spans="1:9" x14ac:dyDescent="0.3">
      <c r="A59" s="21">
        <v>4</v>
      </c>
      <c r="B59" s="2" t="s">
        <v>4</v>
      </c>
      <c r="C59" s="151"/>
      <c r="D59" s="151"/>
      <c r="E59" s="2">
        <v>8</v>
      </c>
      <c r="F59" s="2">
        <v>10</v>
      </c>
      <c r="G59" s="2">
        <f t="shared" si="7"/>
        <v>18</v>
      </c>
      <c r="H59" s="29">
        <f>(G59*G6*G6*G5)</f>
        <v>7.5679834500000016</v>
      </c>
      <c r="I59" s="29">
        <f>((2*G59*G6*G5)/(725.6))*100</f>
        <v>0.21842861080485115</v>
      </c>
    </row>
    <row r="60" spans="1:9" x14ac:dyDescent="0.3">
      <c r="A60" s="44">
        <v>5</v>
      </c>
      <c r="B60" s="2" t="s">
        <v>132</v>
      </c>
      <c r="C60" s="152"/>
      <c r="D60" s="152"/>
      <c r="E60" s="2">
        <v>18</v>
      </c>
      <c r="F60" s="2">
        <v>20</v>
      </c>
      <c r="G60" s="2">
        <f t="shared" si="7"/>
        <v>38</v>
      </c>
      <c r="H60" s="29">
        <f>(G60*G6*G6*G5)</f>
        <v>15.976853950000004</v>
      </c>
      <c r="I60" s="29">
        <f>((2*G60*G6*G5)/(725.6))*100</f>
        <v>0.46112706725468583</v>
      </c>
    </row>
    <row r="61" spans="1:9" x14ac:dyDescent="0.3">
      <c r="A61" s="12"/>
      <c r="B61" s="122" t="s">
        <v>62</v>
      </c>
      <c r="C61" s="122"/>
      <c r="D61" s="122"/>
      <c r="E61" s="13"/>
      <c r="F61" s="13"/>
      <c r="G61" s="31">
        <f>SUM(G56:G60)</f>
        <v>137</v>
      </c>
      <c r="H61" s="13"/>
      <c r="I61" s="14"/>
    </row>
    <row r="62" spans="1:9" x14ac:dyDescent="0.3">
      <c r="A62" s="10"/>
      <c r="B62" s="123" t="s">
        <v>61</v>
      </c>
      <c r="C62" s="123"/>
      <c r="D62" s="123"/>
      <c r="E62" s="11"/>
      <c r="F62" s="11"/>
      <c r="G62" s="11"/>
      <c r="H62" s="11"/>
      <c r="I62" s="30">
        <f>MAX(I56:I60)</f>
        <v>0.47326199007717762</v>
      </c>
    </row>
    <row r="63" spans="1:9" x14ac:dyDescent="0.3">
      <c r="A63" s="21">
        <v>1</v>
      </c>
      <c r="B63" s="2" t="s">
        <v>1</v>
      </c>
      <c r="C63" s="150" t="s">
        <v>52</v>
      </c>
      <c r="D63" s="150"/>
      <c r="E63" s="2">
        <v>13</v>
      </c>
      <c r="F63" s="2">
        <v>11</v>
      </c>
      <c r="G63" s="2">
        <f>SUM(E63:F63)</f>
        <v>24</v>
      </c>
      <c r="H63" s="29">
        <f>(G63*G6*G6*G5)</f>
        <v>10.090644600000001</v>
      </c>
      <c r="I63" s="29">
        <f>((2*G63*G6*G5)/(725.6))*100</f>
        <v>0.29123814773980156</v>
      </c>
    </row>
    <row r="64" spans="1:9" x14ac:dyDescent="0.3">
      <c r="A64" s="21">
        <v>2</v>
      </c>
      <c r="B64" s="2" t="s">
        <v>2</v>
      </c>
      <c r="C64" s="151"/>
      <c r="D64" s="151"/>
      <c r="E64" s="2">
        <v>13</v>
      </c>
      <c r="F64" s="2">
        <v>11</v>
      </c>
      <c r="G64" s="2">
        <f t="shared" ref="G64:G67" si="8">SUM(E64:F64)</f>
        <v>24</v>
      </c>
      <c r="H64" s="29">
        <f>(G64*G6*G6*G5)</f>
        <v>10.090644600000001</v>
      </c>
      <c r="I64" s="29">
        <f>((2*G64*G6*G5)/(725.6))*100</f>
        <v>0.29123814773980156</v>
      </c>
    </row>
    <row r="65" spans="1:9" x14ac:dyDescent="0.3">
      <c r="A65" s="21">
        <v>3</v>
      </c>
      <c r="B65" s="2" t="s">
        <v>3</v>
      </c>
      <c r="C65" s="151"/>
      <c r="D65" s="151"/>
      <c r="E65" s="2">
        <v>14</v>
      </c>
      <c r="F65" s="2">
        <v>16</v>
      </c>
      <c r="G65" s="2">
        <f t="shared" si="8"/>
        <v>30</v>
      </c>
      <c r="H65" s="29">
        <f>(G65*G6*G6*G5)</f>
        <v>12.613305750000002</v>
      </c>
      <c r="I65" s="29">
        <f>((2*G65*G6*G5)/(725.6))*100</f>
        <v>0.36404768467475201</v>
      </c>
    </row>
    <row r="66" spans="1:9" x14ac:dyDescent="0.3">
      <c r="A66" s="21">
        <v>4</v>
      </c>
      <c r="B66" s="2" t="s">
        <v>4</v>
      </c>
      <c r="C66" s="151"/>
      <c r="D66" s="151"/>
      <c r="E66" s="2">
        <v>6</v>
      </c>
      <c r="F66" s="2">
        <v>9</v>
      </c>
      <c r="G66" s="2">
        <f t="shared" si="8"/>
        <v>15</v>
      </c>
      <c r="H66" s="29">
        <f>(G66*G6*G6*G5)</f>
        <v>6.306652875000001</v>
      </c>
      <c r="I66" s="29">
        <f>((2*G66*G6*G5)/(725.6))*100</f>
        <v>0.18202384233737601</v>
      </c>
    </row>
    <row r="67" spans="1:9" x14ac:dyDescent="0.3">
      <c r="A67" s="44">
        <v>5</v>
      </c>
      <c r="B67" s="2" t="s">
        <v>132</v>
      </c>
      <c r="C67" s="152"/>
      <c r="D67" s="152"/>
      <c r="E67" s="2">
        <v>7</v>
      </c>
      <c r="F67" s="2">
        <v>9</v>
      </c>
      <c r="G67" s="2">
        <f t="shared" si="8"/>
        <v>16</v>
      </c>
      <c r="H67" s="29">
        <f>(G67*G6*G6*G5)</f>
        <v>6.7270964000000015</v>
      </c>
      <c r="I67" s="29">
        <f>((2*G67*G6*G5)/(725.6))*100</f>
        <v>0.19415876515986774</v>
      </c>
    </row>
    <row r="68" spans="1:9" x14ac:dyDescent="0.3">
      <c r="A68" s="12"/>
      <c r="B68" s="122" t="s">
        <v>62</v>
      </c>
      <c r="C68" s="122"/>
      <c r="D68" s="122"/>
      <c r="E68" s="13"/>
      <c r="F68" s="13"/>
      <c r="G68" s="31">
        <f>SUM(G63:G67)</f>
        <v>109</v>
      </c>
      <c r="H68" s="13"/>
      <c r="I68" s="14"/>
    </row>
    <row r="69" spans="1:9" x14ac:dyDescent="0.3">
      <c r="A69" s="10"/>
      <c r="B69" s="123" t="s">
        <v>61</v>
      </c>
      <c r="C69" s="123"/>
      <c r="D69" s="123"/>
      <c r="E69" s="11"/>
      <c r="F69" s="11"/>
      <c r="G69" s="11"/>
      <c r="H69" s="11"/>
      <c r="I69" s="30">
        <f>MAX(I63:I67)</f>
        <v>0.36404768467475201</v>
      </c>
    </row>
    <row r="70" spans="1:9" x14ac:dyDescent="0.3">
      <c r="A70" s="21">
        <v>1</v>
      </c>
      <c r="B70" s="2" t="s">
        <v>1</v>
      </c>
      <c r="C70" s="150" t="s">
        <v>53</v>
      </c>
      <c r="D70" s="150"/>
      <c r="E70" s="2">
        <v>6</v>
      </c>
      <c r="F70" s="2">
        <v>9</v>
      </c>
      <c r="G70" s="2">
        <f>SUM(E70:F70)</f>
        <v>15</v>
      </c>
      <c r="H70" s="29">
        <f>(G70*G6*G6*G5)</f>
        <v>6.306652875000001</v>
      </c>
      <c r="I70" s="29">
        <f>((2*G70*G6*G5)/(725.6))*100</f>
        <v>0.18202384233737601</v>
      </c>
    </row>
    <row r="71" spans="1:9" x14ac:dyDescent="0.3">
      <c r="A71" s="21">
        <v>2</v>
      </c>
      <c r="B71" s="2" t="s">
        <v>2</v>
      </c>
      <c r="C71" s="151"/>
      <c r="D71" s="151"/>
      <c r="E71" s="2">
        <v>6</v>
      </c>
      <c r="F71" s="2">
        <v>9</v>
      </c>
      <c r="G71" s="2">
        <f t="shared" ref="G71:G74" si="9">SUM(E71:F71)</f>
        <v>15</v>
      </c>
      <c r="H71" s="29">
        <f>(G71*G6*G6*G5)</f>
        <v>6.306652875000001</v>
      </c>
      <c r="I71" s="29">
        <f>((2*G71*G6*G5)/(725.6))*100</f>
        <v>0.18202384233737601</v>
      </c>
    </row>
    <row r="72" spans="1:9" x14ac:dyDescent="0.3">
      <c r="A72" s="21">
        <v>3</v>
      </c>
      <c r="B72" s="2" t="s">
        <v>3</v>
      </c>
      <c r="C72" s="151"/>
      <c r="D72" s="151"/>
      <c r="E72" s="2">
        <v>14</v>
      </c>
      <c r="F72" s="2">
        <v>18</v>
      </c>
      <c r="G72" s="2">
        <f t="shared" si="9"/>
        <v>32</v>
      </c>
      <c r="H72" s="29">
        <f>(G72*G6*G6*G5)</f>
        <v>13.454192800000003</v>
      </c>
      <c r="I72" s="29">
        <f>((2*G72*G6*G5)/(725.6))*100</f>
        <v>0.38831753031973548</v>
      </c>
    </row>
    <row r="73" spans="1:9" x14ac:dyDescent="0.3">
      <c r="A73" s="21">
        <v>4</v>
      </c>
      <c r="B73" s="2" t="s">
        <v>4</v>
      </c>
      <c r="C73" s="151"/>
      <c r="D73" s="151"/>
      <c r="E73" s="2">
        <v>15</v>
      </c>
      <c r="F73" s="2">
        <v>17</v>
      </c>
      <c r="G73" s="2">
        <f t="shared" si="9"/>
        <v>32</v>
      </c>
      <c r="H73" s="29">
        <f>(G73*G6*G6*G5)</f>
        <v>13.454192800000003</v>
      </c>
      <c r="I73" s="29">
        <f>((2*G73*G6*G5)/(725.6))*100</f>
        <v>0.38831753031973548</v>
      </c>
    </row>
    <row r="74" spans="1:9" x14ac:dyDescent="0.3">
      <c r="A74" s="44">
        <v>5</v>
      </c>
      <c r="B74" s="2" t="s">
        <v>132</v>
      </c>
      <c r="C74" s="152"/>
      <c r="D74" s="152"/>
      <c r="E74" s="2">
        <v>22</v>
      </c>
      <c r="F74" s="2">
        <v>27</v>
      </c>
      <c r="G74" s="2">
        <f t="shared" si="9"/>
        <v>49</v>
      </c>
      <c r="H74" s="29">
        <f>(G74*G6*G6*G5)</f>
        <v>20.601732725000005</v>
      </c>
      <c r="I74" s="29">
        <f>((2*G74*G6*G5)/(725.6))*100</f>
        <v>0.59461121830209485</v>
      </c>
    </row>
    <row r="75" spans="1:9" x14ac:dyDescent="0.3">
      <c r="A75" s="12"/>
      <c r="B75" s="122" t="s">
        <v>62</v>
      </c>
      <c r="C75" s="122"/>
      <c r="D75" s="122"/>
      <c r="E75" s="13"/>
      <c r="F75" s="13"/>
      <c r="G75" s="31">
        <f>SUM(G70:G74)</f>
        <v>143</v>
      </c>
      <c r="H75" s="13"/>
      <c r="I75" s="14"/>
    </row>
    <row r="76" spans="1:9" x14ac:dyDescent="0.3">
      <c r="A76" s="10"/>
      <c r="B76" s="123" t="s">
        <v>61</v>
      </c>
      <c r="C76" s="123"/>
      <c r="D76" s="123"/>
      <c r="E76" s="11"/>
      <c r="F76" s="11"/>
      <c r="G76" s="11"/>
      <c r="H76" s="11"/>
      <c r="I76" s="30">
        <f>MAX(I70:I74)</f>
        <v>0.59461121830209485</v>
      </c>
    </row>
    <row r="77" spans="1:9" x14ac:dyDescent="0.3">
      <c r="A77" s="21">
        <v>1</v>
      </c>
      <c r="B77" s="2" t="s">
        <v>1</v>
      </c>
      <c r="C77" s="150" t="s">
        <v>54</v>
      </c>
      <c r="D77" s="150"/>
      <c r="E77" s="2">
        <v>25</v>
      </c>
      <c r="F77" s="2">
        <v>27</v>
      </c>
      <c r="G77" s="2">
        <f>SUM(E77:F77)</f>
        <v>52</v>
      </c>
      <c r="H77" s="29">
        <f>(G77*G6*G6*G5)</f>
        <v>21.863063300000004</v>
      </c>
      <c r="I77" s="29">
        <f>((2*G77*G6*G5)/(725.6))*100</f>
        <v>0.63101598676957005</v>
      </c>
    </row>
    <row r="78" spans="1:9" x14ac:dyDescent="0.3">
      <c r="A78" s="21">
        <v>2</v>
      </c>
      <c r="B78" s="2" t="s">
        <v>2</v>
      </c>
      <c r="C78" s="151"/>
      <c r="D78" s="151"/>
      <c r="E78" s="2">
        <v>24</v>
      </c>
      <c r="F78" s="2">
        <v>27</v>
      </c>
      <c r="G78" s="2">
        <f t="shared" ref="G78:G81" si="10">SUM(E78:F78)</f>
        <v>51</v>
      </c>
      <c r="H78" s="29">
        <f>(G78*G6*G6*G5)</f>
        <v>21.442619775000004</v>
      </c>
      <c r="I78" s="29">
        <f>((2*G78*G6*G5)/(725.6))*100</f>
        <v>0.61888106394707842</v>
      </c>
    </row>
    <row r="79" spans="1:9" x14ac:dyDescent="0.3">
      <c r="A79" s="21">
        <v>3</v>
      </c>
      <c r="B79" s="2" t="s">
        <v>3</v>
      </c>
      <c r="C79" s="151"/>
      <c r="D79" s="151"/>
      <c r="E79" s="2">
        <v>7</v>
      </c>
      <c r="F79" s="2">
        <v>9</v>
      </c>
      <c r="G79" s="2">
        <f t="shared" si="10"/>
        <v>16</v>
      </c>
      <c r="H79" s="29">
        <f>(G79*G6*G6*G5)</f>
        <v>6.7270964000000015</v>
      </c>
      <c r="I79" s="29">
        <f>((2*G79*G6*G5)/(725.6))*100</f>
        <v>0.19415876515986774</v>
      </c>
    </row>
    <row r="80" spans="1:9" x14ac:dyDescent="0.3">
      <c r="A80" s="21">
        <v>4</v>
      </c>
      <c r="B80" s="2" t="s">
        <v>4</v>
      </c>
      <c r="C80" s="151"/>
      <c r="D80" s="151"/>
      <c r="E80" s="2">
        <v>16</v>
      </c>
      <c r="F80" s="2">
        <v>19</v>
      </c>
      <c r="G80" s="2">
        <f t="shared" si="10"/>
        <v>35</v>
      </c>
      <c r="H80" s="29">
        <f>(G80*G6*G6*G5)</f>
        <v>14.715523375000002</v>
      </c>
      <c r="I80" s="29">
        <f>((2*G80*G6*G5)/(725.6))*100</f>
        <v>0.42472229878721063</v>
      </c>
    </row>
    <row r="81" spans="1:9" x14ac:dyDescent="0.3">
      <c r="A81" s="44">
        <v>5</v>
      </c>
      <c r="B81" s="2" t="s">
        <v>132</v>
      </c>
      <c r="C81" s="152"/>
      <c r="D81" s="152"/>
      <c r="E81" s="2">
        <v>15</v>
      </c>
      <c r="F81" s="2">
        <v>18</v>
      </c>
      <c r="G81" s="2">
        <f t="shared" si="10"/>
        <v>33</v>
      </c>
      <c r="H81" s="29">
        <f>(G81*G6*G6*G5)</f>
        <v>13.874636325000003</v>
      </c>
      <c r="I81" s="29">
        <f>((2*G81*G6*G5)/(725.6))*100</f>
        <v>0.40045245314222722</v>
      </c>
    </row>
    <row r="82" spans="1:9" x14ac:dyDescent="0.3">
      <c r="A82" s="12"/>
      <c r="B82" s="122" t="s">
        <v>62</v>
      </c>
      <c r="C82" s="122"/>
      <c r="D82" s="122"/>
      <c r="E82" s="13"/>
      <c r="F82" s="13"/>
      <c r="G82" s="31">
        <f>SUM(G77:G81)</f>
        <v>187</v>
      </c>
      <c r="H82" s="13"/>
      <c r="I82" s="14"/>
    </row>
    <row r="83" spans="1:9" x14ac:dyDescent="0.3">
      <c r="A83" s="10"/>
      <c r="B83" s="123" t="s">
        <v>61</v>
      </c>
      <c r="C83" s="123"/>
      <c r="D83" s="123"/>
      <c r="E83" s="11"/>
      <c r="F83" s="11"/>
      <c r="G83" s="11"/>
      <c r="H83" s="11"/>
      <c r="I83" s="30">
        <f>MAX(I77:I81)</f>
        <v>0.63101598676957005</v>
      </c>
    </row>
    <row r="84" spans="1:9" x14ac:dyDescent="0.3">
      <c r="A84" s="21">
        <v>1</v>
      </c>
      <c r="B84" s="2" t="s">
        <v>1</v>
      </c>
      <c r="C84" s="150" t="s">
        <v>55</v>
      </c>
      <c r="D84" s="150"/>
      <c r="E84" s="2">
        <v>8</v>
      </c>
      <c r="F84" s="2">
        <v>10</v>
      </c>
      <c r="G84" s="2">
        <f>SUM(E84:F84)</f>
        <v>18</v>
      </c>
      <c r="H84" s="29">
        <f>(G84*G6*G6*G5)</f>
        <v>7.5679834500000016</v>
      </c>
      <c r="I84" s="29">
        <f>((2*G84*G6*G5)/(725.6))*100</f>
        <v>0.21842861080485115</v>
      </c>
    </row>
    <row r="85" spans="1:9" x14ac:dyDescent="0.3">
      <c r="A85" s="21">
        <v>2</v>
      </c>
      <c r="B85" s="2" t="s">
        <v>2</v>
      </c>
      <c r="C85" s="151"/>
      <c r="D85" s="151"/>
      <c r="E85" s="2">
        <v>8</v>
      </c>
      <c r="F85" s="2">
        <v>10</v>
      </c>
      <c r="G85" s="2">
        <f t="shared" ref="G85:G88" si="11">SUM(E85:F85)</f>
        <v>18</v>
      </c>
      <c r="H85" s="29">
        <f>(G85*G6*G6*G5)</f>
        <v>7.5679834500000016</v>
      </c>
      <c r="I85" s="29">
        <f>((2*G85*G6*G5)/(725.6))*100</f>
        <v>0.21842861080485115</v>
      </c>
    </row>
    <row r="86" spans="1:9" x14ac:dyDescent="0.3">
      <c r="A86" s="21">
        <v>3</v>
      </c>
      <c r="B86" s="2" t="s">
        <v>3</v>
      </c>
      <c r="C86" s="151"/>
      <c r="D86" s="151"/>
      <c r="E86" s="2">
        <v>18</v>
      </c>
      <c r="F86" s="2">
        <v>20</v>
      </c>
      <c r="G86" s="2">
        <f t="shared" si="11"/>
        <v>38</v>
      </c>
      <c r="H86" s="29">
        <f>(G86*G6*G6*G5)</f>
        <v>15.976853950000004</v>
      </c>
      <c r="I86" s="29">
        <f>((2*G86*G6*G5)/(725.6))*100</f>
        <v>0.46112706725468583</v>
      </c>
    </row>
    <row r="87" spans="1:9" x14ac:dyDescent="0.3">
      <c r="A87" s="21">
        <v>4</v>
      </c>
      <c r="B87" s="2" t="s">
        <v>4</v>
      </c>
      <c r="C87" s="151"/>
      <c r="D87" s="151"/>
      <c r="E87" s="2">
        <v>15</v>
      </c>
      <c r="F87" s="2">
        <v>16</v>
      </c>
      <c r="G87" s="2">
        <f t="shared" si="11"/>
        <v>31</v>
      </c>
      <c r="H87" s="29">
        <f>(G87*G6*G6*G5)</f>
        <v>13.033749275000002</v>
      </c>
      <c r="I87" s="29">
        <f>((2*G87*G6*G5)/(725.6))*100</f>
        <v>0.37618260749724375</v>
      </c>
    </row>
    <row r="88" spans="1:9" x14ac:dyDescent="0.3">
      <c r="A88" s="44">
        <v>5</v>
      </c>
      <c r="B88" s="2" t="s">
        <v>132</v>
      </c>
      <c r="C88" s="152"/>
      <c r="D88" s="152"/>
      <c r="E88" s="2">
        <v>16</v>
      </c>
      <c r="F88" s="2">
        <v>17</v>
      </c>
      <c r="G88" s="2">
        <f t="shared" si="11"/>
        <v>33</v>
      </c>
      <c r="H88" s="29">
        <f>(G88*G6*G6*G5)</f>
        <v>13.874636325000003</v>
      </c>
      <c r="I88" s="29">
        <f>((2*G88*G6*G5)/(725.6))*100</f>
        <v>0.40045245314222722</v>
      </c>
    </row>
    <row r="89" spans="1:9" x14ac:dyDescent="0.3">
      <c r="A89" s="12"/>
      <c r="B89" s="122" t="s">
        <v>62</v>
      </c>
      <c r="C89" s="122"/>
      <c r="D89" s="122"/>
      <c r="E89" s="13"/>
      <c r="F89" s="13"/>
      <c r="G89" s="31">
        <f>SUM(G84:G88)</f>
        <v>138</v>
      </c>
      <c r="H89" s="13"/>
      <c r="I89" s="14"/>
    </row>
    <row r="90" spans="1:9" x14ac:dyDescent="0.3">
      <c r="A90" s="10"/>
      <c r="B90" s="123" t="s">
        <v>61</v>
      </c>
      <c r="C90" s="123"/>
      <c r="D90" s="123"/>
      <c r="E90" s="11"/>
      <c r="F90" s="11"/>
      <c r="G90" s="11"/>
      <c r="H90" s="11"/>
      <c r="I90" s="30">
        <f>MAX(I84:I88)</f>
        <v>0.46112706725468583</v>
      </c>
    </row>
    <row r="91" spans="1:9" x14ac:dyDescent="0.3">
      <c r="A91" s="21">
        <v>1</v>
      </c>
      <c r="B91" s="2" t="s">
        <v>1</v>
      </c>
      <c r="C91" s="150" t="s">
        <v>56</v>
      </c>
      <c r="D91" s="150"/>
      <c r="E91" s="2">
        <v>11</v>
      </c>
      <c r="F91" s="2">
        <v>9</v>
      </c>
      <c r="G91" s="2">
        <f>SUM(E91:F91)</f>
        <v>20</v>
      </c>
      <c r="H91" s="29">
        <f>(G91*G6*G6*G5)</f>
        <v>8.4088705000000008</v>
      </c>
      <c r="I91" s="29">
        <f>((2*G91*G6*G5)/(725.6))*100</f>
        <v>0.24269845644983465</v>
      </c>
    </row>
    <row r="92" spans="1:9" x14ac:dyDescent="0.3">
      <c r="A92" s="21">
        <v>2</v>
      </c>
      <c r="B92" s="2" t="s">
        <v>2</v>
      </c>
      <c r="C92" s="151"/>
      <c r="D92" s="151"/>
      <c r="E92" s="2">
        <v>8</v>
      </c>
      <c r="F92" s="2">
        <v>8</v>
      </c>
      <c r="G92" s="2">
        <f t="shared" ref="G92:G95" si="12">SUM(E92:F92)</f>
        <v>16</v>
      </c>
      <c r="H92" s="29">
        <f>(G92*G6*G6*G5)</f>
        <v>6.7270964000000015</v>
      </c>
      <c r="I92" s="29">
        <f>((2*G92*G6*G5)/(725.6))*100</f>
        <v>0.19415876515986774</v>
      </c>
    </row>
    <row r="93" spans="1:9" x14ac:dyDescent="0.3">
      <c r="A93" s="21">
        <v>3</v>
      </c>
      <c r="B93" s="2" t="s">
        <v>3</v>
      </c>
      <c r="C93" s="151"/>
      <c r="D93" s="151"/>
      <c r="E93" s="2">
        <v>8</v>
      </c>
      <c r="F93" s="2">
        <v>10</v>
      </c>
      <c r="G93" s="2">
        <f t="shared" si="12"/>
        <v>18</v>
      </c>
      <c r="H93" s="29">
        <f>(G93*G6*G6*G5)</f>
        <v>7.5679834500000016</v>
      </c>
      <c r="I93" s="29">
        <f>((2*G93*G6*G5)/(725.6))*100</f>
        <v>0.21842861080485115</v>
      </c>
    </row>
    <row r="94" spans="1:9" x14ac:dyDescent="0.3">
      <c r="A94" s="21">
        <v>4</v>
      </c>
      <c r="B94" s="2" t="s">
        <v>4</v>
      </c>
      <c r="C94" s="151"/>
      <c r="D94" s="151"/>
      <c r="E94" s="2">
        <v>13</v>
      </c>
      <c r="F94" s="2">
        <v>16</v>
      </c>
      <c r="G94" s="2">
        <f t="shared" si="12"/>
        <v>29</v>
      </c>
      <c r="H94" s="29">
        <f>(G94*G6*G6*G5)</f>
        <v>12.192862225000004</v>
      </c>
      <c r="I94" s="29">
        <f>((2*G94*G6*G5)/(725.6))*100</f>
        <v>0.35191276185226028</v>
      </c>
    </row>
    <row r="95" spans="1:9" x14ac:dyDescent="0.3">
      <c r="A95" s="44">
        <v>5</v>
      </c>
      <c r="B95" s="2" t="s">
        <v>132</v>
      </c>
      <c r="C95" s="152"/>
      <c r="D95" s="152"/>
      <c r="E95" s="2">
        <v>13</v>
      </c>
      <c r="F95" s="2">
        <v>15</v>
      </c>
      <c r="G95" s="2">
        <f t="shared" si="12"/>
        <v>28</v>
      </c>
      <c r="H95" s="29">
        <f>(G95*G6*G6*G5)</f>
        <v>11.772418700000003</v>
      </c>
      <c r="I95" s="29">
        <f>((2*G95*G6*G5)/(725.6))*100</f>
        <v>0.33977783902976855</v>
      </c>
    </row>
    <row r="96" spans="1:9" x14ac:dyDescent="0.3">
      <c r="A96" s="12"/>
      <c r="B96" s="122" t="s">
        <v>62</v>
      </c>
      <c r="C96" s="122"/>
      <c r="D96" s="122"/>
      <c r="E96" s="13"/>
      <c r="F96" s="13"/>
      <c r="G96" s="31">
        <f>SUM(G91:G95)</f>
        <v>111</v>
      </c>
      <c r="H96" s="13"/>
      <c r="I96" s="14"/>
    </row>
    <row r="97" spans="1:9" x14ac:dyDescent="0.3">
      <c r="A97" s="10"/>
      <c r="B97" s="123" t="s">
        <v>61</v>
      </c>
      <c r="C97" s="123"/>
      <c r="D97" s="123"/>
      <c r="E97" s="11"/>
      <c r="F97" s="11"/>
      <c r="G97" s="11"/>
      <c r="H97" s="11"/>
      <c r="I97" s="30">
        <f>MAX(I91:I95)</f>
        <v>0.35191276185226028</v>
      </c>
    </row>
    <row r="98" spans="1:9" x14ac:dyDescent="0.3">
      <c r="A98" s="125" t="s">
        <v>37</v>
      </c>
      <c r="B98" s="125" t="s">
        <v>38</v>
      </c>
      <c r="C98" s="127" t="s">
        <v>39</v>
      </c>
      <c r="D98" s="127"/>
      <c r="E98" s="127" t="s">
        <v>40</v>
      </c>
      <c r="F98" s="127"/>
      <c r="G98" s="127" t="s">
        <v>43</v>
      </c>
      <c r="H98" s="127" t="s">
        <v>69</v>
      </c>
      <c r="I98" s="127" t="s">
        <v>44</v>
      </c>
    </row>
    <row r="99" spans="1:9" x14ac:dyDescent="0.3">
      <c r="A99" s="126"/>
      <c r="B99" s="126"/>
      <c r="C99" s="128"/>
      <c r="D99" s="128"/>
      <c r="E99" s="32" t="s">
        <v>41</v>
      </c>
      <c r="F99" s="32" t="s">
        <v>42</v>
      </c>
      <c r="G99" s="128"/>
      <c r="H99" s="128"/>
      <c r="I99" s="128"/>
    </row>
    <row r="100" spans="1:9" x14ac:dyDescent="0.3">
      <c r="A100" s="21">
        <v>1</v>
      </c>
      <c r="B100" s="2" t="s">
        <v>1</v>
      </c>
      <c r="C100" s="150" t="s">
        <v>57</v>
      </c>
      <c r="D100" s="150"/>
      <c r="E100" s="2">
        <v>13</v>
      </c>
      <c r="F100" s="2">
        <v>20</v>
      </c>
      <c r="G100" s="2">
        <f>SUM(E100:F100)</f>
        <v>33</v>
      </c>
      <c r="H100" s="29">
        <f>(G100*G6*G6*G5)</f>
        <v>13.874636325000003</v>
      </c>
      <c r="I100" s="29">
        <f>((2*G100*G6*G5)/(725.6))*100</f>
        <v>0.40045245314222722</v>
      </c>
    </row>
    <row r="101" spans="1:9" x14ac:dyDescent="0.3">
      <c r="A101" s="21">
        <v>2</v>
      </c>
      <c r="B101" s="2" t="s">
        <v>2</v>
      </c>
      <c r="C101" s="151"/>
      <c r="D101" s="151"/>
      <c r="E101" s="2">
        <v>11</v>
      </c>
      <c r="F101" s="2">
        <v>12</v>
      </c>
      <c r="G101" s="2">
        <f t="shared" ref="G101:G104" si="13">SUM(E101:F101)</f>
        <v>23</v>
      </c>
      <c r="H101" s="29">
        <f>(G101*G6*G6*G5)</f>
        <v>9.6702010750000014</v>
      </c>
      <c r="I101" s="29">
        <f>((2*G101*G6*G5)/(725.6))*100</f>
        <v>0.27910322491730982</v>
      </c>
    </row>
    <row r="102" spans="1:9" x14ac:dyDescent="0.3">
      <c r="A102" s="21">
        <v>3</v>
      </c>
      <c r="B102" s="2" t="s">
        <v>3</v>
      </c>
      <c r="C102" s="151"/>
      <c r="D102" s="151"/>
      <c r="E102" s="2">
        <v>9</v>
      </c>
      <c r="F102" s="2">
        <v>12</v>
      </c>
      <c r="G102" s="2">
        <f t="shared" si="13"/>
        <v>21</v>
      </c>
      <c r="H102" s="29">
        <f>(G102*G6*G6*G5)</f>
        <v>8.8293140250000022</v>
      </c>
      <c r="I102" s="29">
        <f>((2*G102*G6*G5)/(725.6))*100</f>
        <v>0.25483337927232641</v>
      </c>
    </row>
    <row r="103" spans="1:9" x14ac:dyDescent="0.3">
      <c r="A103" s="21">
        <v>4</v>
      </c>
      <c r="B103" s="2" t="s">
        <v>4</v>
      </c>
      <c r="C103" s="151"/>
      <c r="D103" s="151"/>
      <c r="E103" s="2">
        <v>10</v>
      </c>
      <c r="F103" s="2">
        <v>12</v>
      </c>
      <c r="G103" s="2">
        <f t="shared" si="13"/>
        <v>22</v>
      </c>
      <c r="H103" s="29">
        <f>(G103*G6*G6*G5)</f>
        <v>9.2497575500000018</v>
      </c>
      <c r="I103" s="29">
        <f>((2*G103*G6*G5)/(725.6))*100</f>
        <v>0.26696830209481814</v>
      </c>
    </row>
    <row r="104" spans="1:9" x14ac:dyDescent="0.3">
      <c r="A104" s="44">
        <v>5</v>
      </c>
      <c r="B104" s="2" t="s">
        <v>132</v>
      </c>
      <c r="C104" s="152"/>
      <c r="D104" s="152"/>
      <c r="E104" s="2">
        <v>24</v>
      </c>
      <c r="F104" s="2">
        <v>25</v>
      </c>
      <c r="G104" s="2">
        <f t="shared" si="13"/>
        <v>49</v>
      </c>
      <c r="H104" s="29">
        <f>(G104*G6*G6*G5)</f>
        <v>20.601732725000005</v>
      </c>
      <c r="I104" s="29">
        <f>((2*G104*G6*G5)/(725.6))*100</f>
        <v>0.59461121830209485</v>
      </c>
    </row>
    <row r="105" spans="1:9" x14ac:dyDescent="0.3">
      <c r="A105" s="12"/>
      <c r="B105" s="122" t="s">
        <v>62</v>
      </c>
      <c r="C105" s="122"/>
      <c r="D105" s="122"/>
      <c r="E105" s="13"/>
      <c r="F105" s="13"/>
      <c r="G105" s="31">
        <f>SUM(G100:G104)</f>
        <v>148</v>
      </c>
      <c r="H105" s="13"/>
      <c r="I105" s="14"/>
    </row>
    <row r="106" spans="1:9" x14ac:dyDescent="0.3">
      <c r="A106" s="10"/>
      <c r="B106" s="123" t="s">
        <v>61</v>
      </c>
      <c r="C106" s="123"/>
      <c r="D106" s="123"/>
      <c r="E106" s="11"/>
      <c r="F106" s="11"/>
      <c r="G106" s="11"/>
      <c r="H106" s="11"/>
      <c r="I106" s="30">
        <f>MAX(I100:I104)</f>
        <v>0.59461121830209485</v>
      </c>
    </row>
    <row r="107" spans="1:9" x14ac:dyDescent="0.3">
      <c r="A107" s="21">
        <v>1</v>
      </c>
      <c r="B107" s="2" t="s">
        <v>1</v>
      </c>
      <c r="C107" s="150" t="s">
        <v>58</v>
      </c>
      <c r="D107" s="150"/>
      <c r="E107" s="2">
        <v>14</v>
      </c>
      <c r="F107" s="2">
        <v>17</v>
      </c>
      <c r="G107" s="2">
        <f>SUM(E107:F107)</f>
        <v>31</v>
      </c>
      <c r="H107" s="29">
        <f>(G107*G6*G6*G5)</f>
        <v>13.033749275000002</v>
      </c>
      <c r="I107" s="29">
        <f>((2*G107*G6*G5)/(725.6))*100</f>
        <v>0.37618260749724375</v>
      </c>
    </row>
    <row r="108" spans="1:9" x14ac:dyDescent="0.3">
      <c r="A108" s="21">
        <v>2</v>
      </c>
      <c r="B108" s="2" t="s">
        <v>2</v>
      </c>
      <c r="C108" s="151"/>
      <c r="D108" s="151"/>
      <c r="E108" s="2">
        <v>25</v>
      </c>
      <c r="F108" s="2">
        <v>9</v>
      </c>
      <c r="G108" s="2">
        <f t="shared" ref="G108:G111" si="14">SUM(E108:F108)</f>
        <v>34</v>
      </c>
      <c r="H108" s="29">
        <f>(G108*G6*G6*G5)</f>
        <v>14.295079850000004</v>
      </c>
      <c r="I108" s="29">
        <f>((2*G108*G6*G5)/(725.6))*100</f>
        <v>0.41258737596471895</v>
      </c>
    </row>
    <row r="109" spans="1:9" x14ac:dyDescent="0.3">
      <c r="A109" s="21">
        <v>3</v>
      </c>
      <c r="B109" s="2" t="s">
        <v>3</v>
      </c>
      <c r="C109" s="151"/>
      <c r="D109" s="151"/>
      <c r="E109" s="2">
        <v>8</v>
      </c>
      <c r="F109" s="2">
        <v>9</v>
      </c>
      <c r="G109" s="2">
        <f t="shared" si="14"/>
        <v>17</v>
      </c>
      <c r="H109" s="29">
        <f>(G109*G6*G6*G5)</f>
        <v>7.147539925000002</v>
      </c>
      <c r="I109" s="29">
        <f>((2*G109*G6*G5)/(725.6))*100</f>
        <v>0.20629368798235947</v>
      </c>
    </row>
    <row r="110" spans="1:9" x14ac:dyDescent="0.3">
      <c r="A110" s="21">
        <v>4</v>
      </c>
      <c r="B110" s="2" t="s">
        <v>4</v>
      </c>
      <c r="C110" s="151"/>
      <c r="D110" s="151"/>
      <c r="E110" s="2">
        <v>28</v>
      </c>
      <c r="F110" s="2">
        <v>31</v>
      </c>
      <c r="G110" s="2">
        <f t="shared" si="14"/>
        <v>59</v>
      </c>
      <c r="H110" s="29">
        <f>(G110*G6*G6*G5)</f>
        <v>24.806167975000008</v>
      </c>
      <c r="I110" s="29">
        <f>((2*G110*G6*G5)/(725.6))*100</f>
        <v>0.71596044652701218</v>
      </c>
    </row>
    <row r="111" spans="1:9" x14ac:dyDescent="0.3">
      <c r="A111" s="44">
        <v>5</v>
      </c>
      <c r="B111" s="2" t="s">
        <v>132</v>
      </c>
      <c r="C111" s="152"/>
      <c r="D111" s="152"/>
      <c r="E111" s="2">
        <v>29</v>
      </c>
      <c r="F111" s="2">
        <v>32</v>
      </c>
      <c r="G111" s="2">
        <f t="shared" si="14"/>
        <v>61</v>
      </c>
      <c r="H111" s="29">
        <f>(G111*G6*G6*G5)</f>
        <v>25.647055025000007</v>
      </c>
      <c r="I111" s="29">
        <f>((2*G111*G6*G5)/(725.6))*100</f>
        <v>0.74023029217199565</v>
      </c>
    </row>
    <row r="112" spans="1:9" x14ac:dyDescent="0.3">
      <c r="A112" s="12"/>
      <c r="B112" s="122" t="s">
        <v>62</v>
      </c>
      <c r="C112" s="122"/>
      <c r="D112" s="122"/>
      <c r="E112" s="13"/>
      <c r="F112" s="13"/>
      <c r="G112" s="31">
        <f>SUM(G107:G111)</f>
        <v>202</v>
      </c>
      <c r="H112" s="13"/>
      <c r="I112" s="14"/>
    </row>
    <row r="113" spans="1:9" x14ac:dyDescent="0.3">
      <c r="A113" s="10"/>
      <c r="B113" s="123" t="s">
        <v>61</v>
      </c>
      <c r="C113" s="123"/>
      <c r="D113" s="123"/>
      <c r="E113" s="11"/>
      <c r="F113" s="11"/>
      <c r="G113" s="11"/>
      <c r="H113" s="11"/>
      <c r="I113" s="30">
        <f>MAX(I107:I111)</f>
        <v>0.74023029217199565</v>
      </c>
    </row>
    <row r="114" spans="1:9" x14ac:dyDescent="0.3">
      <c r="A114" s="21">
        <v>1</v>
      </c>
      <c r="B114" s="2" t="s">
        <v>1</v>
      </c>
      <c r="C114" s="150" t="s">
        <v>59</v>
      </c>
      <c r="D114" s="150"/>
      <c r="E114" s="2">
        <v>13</v>
      </c>
      <c r="F114" s="2">
        <v>10</v>
      </c>
      <c r="G114" s="2">
        <f>SUM(E114:F114)</f>
        <v>23</v>
      </c>
      <c r="H114" s="29">
        <f>(G114*G6*G6*G5)</f>
        <v>9.6702010750000014</v>
      </c>
      <c r="I114" s="29">
        <f>((2*G114*G6*G5)/(725.6))*100</f>
        <v>0.27910322491730982</v>
      </c>
    </row>
    <row r="115" spans="1:9" x14ac:dyDescent="0.3">
      <c r="A115" s="21">
        <v>2</v>
      </c>
      <c r="B115" s="2" t="s">
        <v>2</v>
      </c>
      <c r="C115" s="151"/>
      <c r="D115" s="151"/>
      <c r="E115" s="2">
        <v>12</v>
      </c>
      <c r="F115" s="2">
        <v>10</v>
      </c>
      <c r="G115" s="2">
        <f t="shared" ref="G115:G118" si="15">SUM(E115:F115)</f>
        <v>22</v>
      </c>
      <c r="H115" s="29">
        <f>(G115*G6*G6*G5)</f>
        <v>9.2497575500000018</v>
      </c>
      <c r="I115" s="29">
        <f>((2*G115*G6*G5)/(725.6))*100</f>
        <v>0.26696830209481814</v>
      </c>
    </row>
    <row r="116" spans="1:9" x14ac:dyDescent="0.3">
      <c r="A116" s="21">
        <v>3</v>
      </c>
      <c r="B116" s="2" t="s">
        <v>3</v>
      </c>
      <c r="C116" s="151"/>
      <c r="D116" s="151"/>
      <c r="E116" s="2">
        <v>7</v>
      </c>
      <c r="F116" s="2">
        <v>10</v>
      </c>
      <c r="G116" s="2">
        <f t="shared" si="15"/>
        <v>17</v>
      </c>
      <c r="H116" s="29">
        <f>(G116*G6*G6*G5)</f>
        <v>7.147539925000002</v>
      </c>
      <c r="I116" s="29">
        <f>((2*G116*G6*G5)/(725.6))*100</f>
        <v>0.20629368798235947</v>
      </c>
    </row>
    <row r="117" spans="1:9" x14ac:dyDescent="0.3">
      <c r="A117" s="21">
        <v>4</v>
      </c>
      <c r="B117" s="2" t="s">
        <v>4</v>
      </c>
      <c r="C117" s="151"/>
      <c r="D117" s="151"/>
      <c r="E117" s="2">
        <v>8</v>
      </c>
      <c r="F117" s="2">
        <v>11</v>
      </c>
      <c r="G117" s="2">
        <f t="shared" si="15"/>
        <v>19</v>
      </c>
      <c r="H117" s="29">
        <f>(G117*G6*G6*G5)</f>
        <v>7.9884269750000021</v>
      </c>
      <c r="I117" s="29">
        <f>((2*G117*G6*G5)/(725.6))*100</f>
        <v>0.23056353362734291</v>
      </c>
    </row>
    <row r="118" spans="1:9" x14ac:dyDescent="0.3">
      <c r="A118" s="44">
        <v>5</v>
      </c>
      <c r="B118" s="2" t="s">
        <v>132</v>
      </c>
      <c r="C118" s="152"/>
      <c r="D118" s="152"/>
      <c r="E118" s="2">
        <v>14</v>
      </c>
      <c r="F118" s="2">
        <v>15</v>
      </c>
      <c r="G118" s="2">
        <f t="shared" si="15"/>
        <v>29</v>
      </c>
      <c r="H118" s="29">
        <f>(G118*G6*G6*G5)</f>
        <v>12.192862225000004</v>
      </c>
      <c r="I118" s="29">
        <f>((2*G118*G6*G5)/(725.6))*100</f>
        <v>0.35191276185226028</v>
      </c>
    </row>
    <row r="119" spans="1:9" x14ac:dyDescent="0.3">
      <c r="A119" s="12"/>
      <c r="B119" s="122" t="s">
        <v>62</v>
      </c>
      <c r="C119" s="122"/>
      <c r="D119" s="122"/>
      <c r="E119" s="13"/>
      <c r="F119" s="13"/>
      <c r="G119" s="31">
        <f>SUM(G114:G118)</f>
        <v>110</v>
      </c>
      <c r="H119" s="13"/>
      <c r="I119" s="14"/>
    </row>
    <row r="120" spans="1:9" x14ac:dyDescent="0.3">
      <c r="A120" s="10"/>
      <c r="B120" s="123" t="s">
        <v>61</v>
      </c>
      <c r="C120" s="123"/>
      <c r="D120" s="123"/>
      <c r="E120" s="11"/>
      <c r="F120" s="11"/>
      <c r="G120" s="11"/>
      <c r="H120" s="11"/>
      <c r="I120" s="30">
        <f>MAX(I114:I118)</f>
        <v>0.35191276185226028</v>
      </c>
    </row>
    <row r="121" spans="1:9" x14ac:dyDescent="0.3">
      <c r="A121" s="21">
        <v>1</v>
      </c>
      <c r="B121" s="2" t="s">
        <v>1</v>
      </c>
      <c r="C121" s="150" t="s">
        <v>60</v>
      </c>
      <c r="D121" s="150"/>
      <c r="E121" s="2">
        <v>13</v>
      </c>
      <c r="F121" s="2">
        <v>10</v>
      </c>
      <c r="G121" s="2">
        <f>SUM(E121:F121)</f>
        <v>23</v>
      </c>
      <c r="H121" s="29">
        <f>(G121*G6*G6*G5)</f>
        <v>9.6702010750000014</v>
      </c>
      <c r="I121" s="29">
        <f>((2*G121*G6*G5)/(725.6))*100</f>
        <v>0.27910322491730982</v>
      </c>
    </row>
    <row r="122" spans="1:9" x14ac:dyDescent="0.3">
      <c r="A122" s="21">
        <v>2</v>
      </c>
      <c r="B122" s="2" t="s">
        <v>2</v>
      </c>
      <c r="C122" s="151"/>
      <c r="D122" s="151"/>
      <c r="E122" s="2">
        <v>6</v>
      </c>
      <c r="F122" s="2">
        <v>8</v>
      </c>
      <c r="G122" s="2">
        <f t="shared" ref="G122:G125" si="16">SUM(E122:F122)</f>
        <v>14</v>
      </c>
      <c r="H122" s="29">
        <f>(G122*G6*G6*G5)</f>
        <v>5.8862093500000015</v>
      </c>
      <c r="I122" s="29">
        <f>((2*G122*G6*G5)/(725.6))*100</f>
        <v>0.16988891951488427</v>
      </c>
    </row>
    <row r="123" spans="1:9" x14ac:dyDescent="0.3">
      <c r="A123" s="21">
        <v>3</v>
      </c>
      <c r="B123" s="2" t="s">
        <v>3</v>
      </c>
      <c r="C123" s="151"/>
      <c r="D123" s="151"/>
      <c r="E123" s="2">
        <v>7</v>
      </c>
      <c r="F123" s="2">
        <v>8</v>
      </c>
      <c r="G123" s="2">
        <f t="shared" si="16"/>
        <v>15</v>
      </c>
      <c r="H123" s="29">
        <f>(G123*G6*G6*G5)</f>
        <v>6.306652875000001</v>
      </c>
      <c r="I123" s="29">
        <f>((2*G123*G6*G5)/(725.6))*100</f>
        <v>0.18202384233737601</v>
      </c>
    </row>
    <row r="124" spans="1:9" x14ac:dyDescent="0.3">
      <c r="A124" s="21">
        <v>4</v>
      </c>
      <c r="B124" s="2" t="s">
        <v>4</v>
      </c>
      <c r="C124" s="151"/>
      <c r="D124" s="151"/>
      <c r="E124" s="2">
        <v>13</v>
      </c>
      <c r="F124" s="2">
        <v>15</v>
      </c>
      <c r="G124" s="2">
        <f t="shared" si="16"/>
        <v>28</v>
      </c>
      <c r="H124" s="29">
        <f>(G124*G6*G6*G5)</f>
        <v>11.772418700000003</v>
      </c>
      <c r="I124" s="29">
        <f>((2*G124*G6*G5)/(725.6))*100</f>
        <v>0.33977783902976855</v>
      </c>
    </row>
    <row r="125" spans="1:9" x14ac:dyDescent="0.3">
      <c r="A125" s="44">
        <v>5</v>
      </c>
      <c r="B125" s="2" t="s">
        <v>132</v>
      </c>
      <c r="C125" s="152"/>
      <c r="D125" s="152"/>
      <c r="E125" s="2">
        <v>13</v>
      </c>
      <c r="F125" s="2">
        <v>15</v>
      </c>
      <c r="G125" s="2">
        <f t="shared" si="16"/>
        <v>28</v>
      </c>
      <c r="H125" s="29">
        <f>(G125*G6*G6*G5)</f>
        <v>11.772418700000003</v>
      </c>
      <c r="I125" s="29">
        <f>((2*G125*G6*G5)/(725.6))*100</f>
        <v>0.33977783902976855</v>
      </c>
    </row>
    <row r="126" spans="1:9" x14ac:dyDescent="0.3">
      <c r="A126" s="12"/>
      <c r="B126" s="122" t="s">
        <v>62</v>
      </c>
      <c r="C126" s="122"/>
      <c r="D126" s="122"/>
      <c r="E126" s="13"/>
      <c r="F126" s="13"/>
      <c r="G126" s="31">
        <f>SUM(G121:G125)</f>
        <v>108</v>
      </c>
      <c r="H126" s="13"/>
      <c r="I126" s="14"/>
    </row>
    <row r="127" spans="1:9" x14ac:dyDescent="0.3">
      <c r="A127" s="10"/>
      <c r="B127" s="123" t="s">
        <v>61</v>
      </c>
      <c r="C127" s="123"/>
      <c r="D127" s="123"/>
      <c r="E127" s="11"/>
      <c r="F127" s="11"/>
      <c r="G127" s="11"/>
      <c r="H127" s="11"/>
      <c r="I127" s="30">
        <f>MAX(I121:I125)</f>
        <v>0.33977783902976855</v>
      </c>
    </row>
  </sheetData>
  <mergeCells count="81">
    <mergeCell ref="E6:F6"/>
    <mergeCell ref="H6:I6"/>
    <mergeCell ref="E7:F7"/>
    <mergeCell ref="B8:C8"/>
    <mergeCell ref="A1:I2"/>
    <mergeCell ref="A3:B3"/>
    <mergeCell ref="C3:I3"/>
    <mergeCell ref="A4:B4"/>
    <mergeCell ref="C4:I4"/>
    <mergeCell ref="E5:F5"/>
    <mergeCell ref="H5:I5"/>
    <mergeCell ref="B9:C9"/>
    <mergeCell ref="A10:A11"/>
    <mergeCell ref="B10:B11"/>
    <mergeCell ref="C10:D11"/>
    <mergeCell ref="E10:F10"/>
    <mergeCell ref="H10:H11"/>
    <mergeCell ref="I10:I11"/>
    <mergeCell ref="B17:D17"/>
    <mergeCell ref="B18:D18"/>
    <mergeCell ref="C12:D16"/>
    <mergeCell ref="G10:G11"/>
    <mergeCell ref="B46:D46"/>
    <mergeCell ref="C19:D23"/>
    <mergeCell ref="B24:D24"/>
    <mergeCell ref="B25:D25"/>
    <mergeCell ref="C26:D30"/>
    <mergeCell ref="B31:D31"/>
    <mergeCell ref="B32:D32"/>
    <mergeCell ref="C33:D37"/>
    <mergeCell ref="B38:D38"/>
    <mergeCell ref="B39:D39"/>
    <mergeCell ref="C40:D44"/>
    <mergeCell ref="B45:D45"/>
    <mergeCell ref="A47:A48"/>
    <mergeCell ref="B47:B48"/>
    <mergeCell ref="C47:D48"/>
    <mergeCell ref="E47:F47"/>
    <mergeCell ref="G47:G48"/>
    <mergeCell ref="B75:D75"/>
    <mergeCell ref="I47:I48"/>
    <mergeCell ref="C49:D53"/>
    <mergeCell ref="B54:D54"/>
    <mergeCell ref="B55:D55"/>
    <mergeCell ref="C56:D60"/>
    <mergeCell ref="B61:D61"/>
    <mergeCell ref="H47:H48"/>
    <mergeCell ref="B62:D62"/>
    <mergeCell ref="C63:D67"/>
    <mergeCell ref="B68:D68"/>
    <mergeCell ref="B69:D69"/>
    <mergeCell ref="C70:D74"/>
    <mergeCell ref="A98:A99"/>
    <mergeCell ref="B98:B99"/>
    <mergeCell ref="C98:D99"/>
    <mergeCell ref="B76:D76"/>
    <mergeCell ref="C77:D81"/>
    <mergeCell ref="B82:D82"/>
    <mergeCell ref="B83:D83"/>
    <mergeCell ref="C84:D88"/>
    <mergeCell ref="B89:D89"/>
    <mergeCell ref="B105:D105"/>
    <mergeCell ref="B90:D90"/>
    <mergeCell ref="C91:D95"/>
    <mergeCell ref="B96:D96"/>
    <mergeCell ref="B97:D97"/>
    <mergeCell ref="E98:F98"/>
    <mergeCell ref="G98:G99"/>
    <mergeCell ref="H98:H99"/>
    <mergeCell ref="I98:I99"/>
    <mergeCell ref="C100:D104"/>
    <mergeCell ref="B120:D120"/>
    <mergeCell ref="C121:D125"/>
    <mergeCell ref="B126:D126"/>
    <mergeCell ref="B127:D127"/>
    <mergeCell ref="B106:D106"/>
    <mergeCell ref="C107:D111"/>
    <mergeCell ref="B112:D112"/>
    <mergeCell ref="B113:D113"/>
    <mergeCell ref="C114:D118"/>
    <mergeCell ref="B119:D119"/>
  </mergeCells>
  <pageMargins left="0.7" right="0.7" top="0.75" bottom="0.75" header="0.3" footer="0.3"/>
  <pageSetup paperSize="9" scale="98" orientation="portrait" r:id="rId1"/>
  <rowBreaks count="3" manualBreakCount="3">
    <brk id="46" max="8" man="1"/>
    <brk id="97" max="8" man="1"/>
    <brk id="128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>
      <selection sqref="A1:I2"/>
    </sheetView>
  </sheetViews>
  <sheetFormatPr defaultRowHeight="14.4" x14ac:dyDescent="0.3"/>
  <cols>
    <col min="4" max="4" width="12" bestFit="1" customWidth="1"/>
    <col min="5" max="6" width="13.6640625" bestFit="1" customWidth="1"/>
  </cols>
  <sheetData>
    <row r="1" spans="1:9" x14ac:dyDescent="0.3">
      <c r="A1" s="153" t="s">
        <v>137</v>
      </c>
      <c r="B1" s="154"/>
      <c r="C1" s="154"/>
      <c r="D1" s="154"/>
      <c r="E1" s="154"/>
      <c r="F1" s="154"/>
      <c r="G1" s="154"/>
      <c r="H1" s="154"/>
      <c r="I1" s="155"/>
    </row>
    <row r="2" spans="1:9" x14ac:dyDescent="0.3">
      <c r="A2" s="156"/>
      <c r="B2" s="157"/>
      <c r="C2" s="157"/>
      <c r="D2" s="157"/>
      <c r="E2" s="157"/>
      <c r="F2" s="157"/>
      <c r="G2" s="157"/>
      <c r="H2" s="157"/>
      <c r="I2" s="158"/>
    </row>
    <row r="3" spans="1:9" x14ac:dyDescent="0.3">
      <c r="A3" s="120" t="s">
        <v>29</v>
      </c>
      <c r="B3" s="121"/>
      <c r="C3" s="116" t="s">
        <v>245</v>
      </c>
      <c r="D3" s="116"/>
      <c r="E3" s="116"/>
      <c r="F3" s="116"/>
      <c r="G3" s="116"/>
      <c r="H3" s="116"/>
      <c r="I3" s="117"/>
    </row>
    <row r="4" spans="1:9" x14ac:dyDescent="0.3">
      <c r="A4" s="120" t="s">
        <v>30</v>
      </c>
      <c r="B4" s="121"/>
      <c r="C4" s="118"/>
      <c r="D4" s="118"/>
      <c r="E4" s="118"/>
      <c r="F4" s="118"/>
      <c r="G4" s="118"/>
      <c r="H4" s="118"/>
      <c r="I4" s="119"/>
    </row>
    <row r="5" spans="1:9" x14ac:dyDescent="0.3">
      <c r="A5" s="56" t="s">
        <v>138</v>
      </c>
      <c r="B5" s="53"/>
      <c r="C5" s="54"/>
      <c r="D5" s="54"/>
      <c r="E5" s="54"/>
      <c r="F5" s="54"/>
      <c r="G5" s="54"/>
      <c r="H5" s="54"/>
      <c r="I5" s="55"/>
    </row>
    <row r="6" spans="1:9" x14ac:dyDescent="0.3">
      <c r="A6" s="52" t="s">
        <v>139</v>
      </c>
      <c r="B6" s="53"/>
      <c r="C6" s="54"/>
      <c r="D6" s="54"/>
      <c r="E6" s="54"/>
      <c r="F6" s="54"/>
      <c r="G6" s="54"/>
      <c r="H6" s="54"/>
      <c r="I6" s="55"/>
    </row>
    <row r="7" spans="1:9" x14ac:dyDescent="0.3">
      <c r="A7" s="27"/>
      <c r="B7" s="28"/>
      <c r="C7" s="28"/>
      <c r="D7" s="45"/>
      <c r="E7" s="19"/>
      <c r="F7" s="19"/>
      <c r="G7" s="26"/>
      <c r="H7" s="19"/>
      <c r="I7" s="20"/>
    </row>
    <row r="8" spans="1:9" x14ac:dyDescent="0.3">
      <c r="A8" s="27"/>
      <c r="B8" s="28" t="s">
        <v>140</v>
      </c>
      <c r="C8" s="28" t="s">
        <v>141</v>
      </c>
      <c r="D8" s="45"/>
      <c r="E8" s="19"/>
      <c r="F8" s="19"/>
      <c r="G8" s="26"/>
      <c r="H8" s="19"/>
      <c r="I8" s="20"/>
    </row>
    <row r="9" spans="1:9" x14ac:dyDescent="0.3">
      <c r="A9" s="27"/>
      <c r="B9" s="28"/>
      <c r="C9" s="28"/>
      <c r="D9" s="45"/>
      <c r="E9" s="19"/>
      <c r="F9" s="19"/>
      <c r="G9" s="19"/>
      <c r="H9" s="19"/>
      <c r="I9" s="20"/>
    </row>
    <row r="10" spans="1:9" x14ac:dyDescent="0.3">
      <c r="A10" s="15" t="s">
        <v>142</v>
      </c>
      <c r="B10" s="23"/>
      <c r="C10" s="23"/>
      <c r="D10" s="22"/>
      <c r="E10" s="23"/>
      <c r="F10" s="23"/>
      <c r="G10" s="23"/>
      <c r="I10" s="7"/>
    </row>
    <row r="11" spans="1:9" x14ac:dyDescent="0.3">
      <c r="A11" s="59" t="s">
        <v>143</v>
      </c>
      <c r="B11" t="s">
        <v>183</v>
      </c>
      <c r="C11" s="23"/>
      <c r="D11" s="22"/>
      <c r="E11" s="23"/>
      <c r="F11" s="23"/>
      <c r="G11" s="23"/>
      <c r="I11" s="7"/>
    </row>
    <row r="12" spans="1:9" x14ac:dyDescent="0.3">
      <c r="A12" s="59" t="s">
        <v>144</v>
      </c>
      <c r="B12" t="s">
        <v>157</v>
      </c>
      <c r="I12" s="7"/>
    </row>
    <row r="13" spans="1:9" x14ac:dyDescent="0.3">
      <c r="A13" s="59" t="s">
        <v>145</v>
      </c>
      <c r="B13" t="s">
        <v>184</v>
      </c>
      <c r="I13" s="7"/>
    </row>
    <row r="14" spans="1:9" x14ac:dyDescent="0.3">
      <c r="A14" s="59" t="s">
        <v>147</v>
      </c>
      <c r="B14" t="s">
        <v>158</v>
      </c>
      <c r="G14" s="4">
        <v>50</v>
      </c>
      <c r="I14" s="7"/>
    </row>
    <row r="15" spans="1:9" x14ac:dyDescent="0.3">
      <c r="A15" s="59" t="s">
        <v>146</v>
      </c>
      <c r="B15" t="s">
        <v>159</v>
      </c>
      <c r="G15" s="4">
        <v>500</v>
      </c>
      <c r="I15" s="7"/>
    </row>
    <row r="16" spans="1:9" x14ac:dyDescent="0.3">
      <c r="A16" s="15"/>
      <c r="I16" s="7"/>
    </row>
    <row r="17" spans="1:9" x14ac:dyDescent="0.3">
      <c r="A17" s="60" t="s">
        <v>148</v>
      </c>
      <c r="B17" s="61"/>
      <c r="C17" s="61"/>
      <c r="D17" s="61"/>
      <c r="E17" s="61"/>
      <c r="F17" s="62"/>
      <c r="G17" s="62"/>
      <c r="H17" s="62"/>
      <c r="I17" s="63"/>
    </row>
    <row r="18" spans="1:9" ht="15.6" x14ac:dyDescent="0.3">
      <c r="A18" s="15"/>
      <c r="C18" s="50"/>
      <c r="D18" s="50" t="s">
        <v>149</v>
      </c>
      <c r="E18" s="50" t="s">
        <v>150</v>
      </c>
      <c r="F18" s="50" t="s">
        <v>151</v>
      </c>
      <c r="I18" s="7"/>
    </row>
    <row r="19" spans="1:9" ht="15.6" x14ac:dyDescent="0.3">
      <c r="A19" s="15"/>
      <c r="C19" s="51" t="s">
        <v>152</v>
      </c>
      <c r="D19" s="50">
        <v>202</v>
      </c>
      <c r="E19" s="50">
        <v>228</v>
      </c>
      <c r="F19" s="50">
        <v>234.5</v>
      </c>
      <c r="I19" s="7"/>
    </row>
    <row r="20" spans="1:9" ht="15.6" x14ac:dyDescent="0.3">
      <c r="A20" s="15"/>
      <c r="C20" s="50" t="s">
        <v>153</v>
      </c>
      <c r="D20" s="50">
        <v>3.8E-3</v>
      </c>
      <c r="E20" s="50">
        <v>2.5000000000000001E-3</v>
      </c>
      <c r="F20" s="50">
        <v>3.4499999999999999E-3</v>
      </c>
      <c r="I20" s="7"/>
    </row>
    <row r="21" spans="1:9" ht="15.6" x14ac:dyDescent="0.3">
      <c r="A21" s="15"/>
      <c r="C21" s="50" t="s">
        <v>154</v>
      </c>
      <c r="D21" s="50">
        <v>1.3799999999999999E-4</v>
      </c>
      <c r="E21" s="50">
        <v>2.8263999999999999E-5</v>
      </c>
      <c r="F21" s="50">
        <v>1.7241E-5</v>
      </c>
      <c r="I21" s="7"/>
    </row>
    <row r="22" spans="1:9" x14ac:dyDescent="0.3">
      <c r="A22" s="27" t="s">
        <v>155</v>
      </c>
      <c r="B22" s="28"/>
      <c r="C22" s="28"/>
      <c r="D22" s="45"/>
      <c r="E22" s="19"/>
      <c r="F22" s="19"/>
      <c r="G22" s="26"/>
      <c r="H22" s="19"/>
      <c r="I22" s="20"/>
    </row>
    <row r="23" spans="1:9" x14ac:dyDescent="0.3">
      <c r="A23" s="27"/>
      <c r="B23" s="28" t="s">
        <v>140</v>
      </c>
      <c r="C23" s="28" t="s">
        <v>156</v>
      </c>
      <c r="D23" s="45"/>
      <c r="E23" s="19"/>
      <c r="F23" s="19"/>
      <c r="G23" s="26"/>
      <c r="H23" s="19"/>
      <c r="I23" s="20"/>
    </row>
    <row r="24" spans="1:9" x14ac:dyDescent="0.3">
      <c r="A24" s="27"/>
      <c r="B24" s="28"/>
      <c r="C24" s="107"/>
      <c r="D24" s="107" t="s">
        <v>160</v>
      </c>
      <c r="E24" s="161">
        <f>SQRT((D20*(D19+20)/D21)*LN(1+(G15-G14)/(D19+G14)))</f>
        <v>79.138103531221844</v>
      </c>
      <c r="F24" s="19"/>
      <c r="G24" s="19"/>
      <c r="H24" s="19"/>
      <c r="I24" s="20"/>
    </row>
    <row r="25" spans="1:9" x14ac:dyDescent="0.3">
      <c r="A25" s="27"/>
      <c r="B25" s="28"/>
      <c r="C25" s="107"/>
      <c r="D25" s="107"/>
      <c r="E25" s="161"/>
      <c r="F25" s="19"/>
      <c r="G25" s="19"/>
      <c r="H25" s="19"/>
      <c r="I25" s="20"/>
    </row>
    <row r="26" spans="1:9" ht="15.6" x14ac:dyDescent="0.3">
      <c r="A26" s="162" t="s">
        <v>162</v>
      </c>
      <c r="B26" s="163"/>
      <c r="C26" s="163"/>
      <c r="D26" s="163"/>
      <c r="E26" s="163"/>
      <c r="F26" s="163"/>
      <c r="G26" s="163"/>
      <c r="H26" s="163"/>
      <c r="I26" s="164"/>
    </row>
    <row r="27" spans="1:9" x14ac:dyDescent="0.3">
      <c r="A27" s="15"/>
      <c r="B27" t="s">
        <v>178</v>
      </c>
      <c r="F27" s="4">
        <v>40</v>
      </c>
      <c r="G27" s="4" t="s">
        <v>161</v>
      </c>
      <c r="I27" s="7"/>
    </row>
    <row r="28" spans="1:9" x14ac:dyDescent="0.3">
      <c r="A28" s="15"/>
      <c r="B28" t="s">
        <v>163</v>
      </c>
      <c r="F28" s="4">
        <v>9.14</v>
      </c>
      <c r="G28" s="4" t="s">
        <v>165</v>
      </c>
      <c r="I28" s="7"/>
    </row>
    <row r="29" spans="1:9" x14ac:dyDescent="0.3">
      <c r="A29" s="15"/>
      <c r="B29" t="s">
        <v>218</v>
      </c>
      <c r="F29" s="4">
        <f>F28*F27</f>
        <v>365.6</v>
      </c>
      <c r="G29" s="4" t="s">
        <v>165</v>
      </c>
      <c r="I29" s="7"/>
    </row>
    <row r="30" spans="1:9" x14ac:dyDescent="0.3">
      <c r="A30" s="15"/>
      <c r="B30" t="s">
        <v>164</v>
      </c>
      <c r="F30" s="68">
        <f>F29*1.25</f>
        <v>457</v>
      </c>
      <c r="G30" s="4" t="s">
        <v>165</v>
      </c>
      <c r="I30" s="7"/>
    </row>
    <row r="31" spans="1:9" x14ac:dyDescent="0.3">
      <c r="A31" s="15"/>
      <c r="B31" t="s">
        <v>177</v>
      </c>
      <c r="F31" s="68">
        <f>F30*1.25</f>
        <v>571.25</v>
      </c>
      <c r="G31" s="4" t="s">
        <v>165</v>
      </c>
      <c r="I31" s="7"/>
    </row>
    <row r="32" spans="1:9" x14ac:dyDescent="0.3">
      <c r="A32" s="27"/>
      <c r="B32" s="28"/>
      <c r="C32" s="28"/>
      <c r="D32" s="45"/>
      <c r="E32" s="19"/>
      <c r="F32" s="19"/>
      <c r="G32" s="26"/>
      <c r="H32" s="19"/>
      <c r="I32" s="20"/>
    </row>
    <row r="33" spans="1:9" x14ac:dyDescent="0.3">
      <c r="A33" s="165" t="s">
        <v>166</v>
      </c>
      <c r="B33" s="107"/>
      <c r="C33" s="107"/>
      <c r="D33" s="107"/>
      <c r="E33" s="107"/>
      <c r="F33" s="107"/>
      <c r="G33" s="107"/>
      <c r="H33" s="107"/>
      <c r="I33" s="166"/>
    </row>
    <row r="34" spans="1:9" x14ac:dyDescent="0.3">
      <c r="A34" s="27"/>
      <c r="B34" s="107" t="s">
        <v>173</v>
      </c>
      <c r="C34" s="107"/>
      <c r="D34" s="107"/>
      <c r="E34" s="159">
        <f>(E37*SQRT(E38))/E39</f>
        <v>7.2183938521426461</v>
      </c>
      <c r="F34" s="160" t="s">
        <v>175</v>
      </c>
      <c r="G34" s="19"/>
      <c r="H34" s="19"/>
      <c r="I34" s="20"/>
    </row>
    <row r="35" spans="1:9" x14ac:dyDescent="0.3">
      <c r="A35" s="27"/>
      <c r="B35" s="107"/>
      <c r="C35" s="107"/>
      <c r="D35" s="107"/>
      <c r="E35" s="159"/>
      <c r="F35" s="160"/>
      <c r="G35" s="19"/>
      <c r="H35" s="19"/>
      <c r="I35" s="20"/>
    </row>
    <row r="36" spans="1:9" x14ac:dyDescent="0.3">
      <c r="A36" s="15" t="s">
        <v>142</v>
      </c>
      <c r="B36" s="3"/>
      <c r="C36" s="58"/>
      <c r="I36" s="7"/>
    </row>
    <row r="37" spans="1:9" x14ac:dyDescent="0.3">
      <c r="A37" s="15"/>
      <c r="B37" s="57" t="s">
        <v>167</v>
      </c>
      <c r="C37" s="58" t="s">
        <v>170</v>
      </c>
      <c r="E37" s="68">
        <f>F31</f>
        <v>571.25</v>
      </c>
      <c r="F37" s="4" t="s">
        <v>68</v>
      </c>
      <c r="I37" s="7"/>
    </row>
    <row r="38" spans="1:9" x14ac:dyDescent="0.3">
      <c r="A38" s="15"/>
      <c r="B38" s="3" t="s">
        <v>168</v>
      </c>
      <c r="C38" t="s">
        <v>171</v>
      </c>
      <c r="E38" s="4">
        <v>1</v>
      </c>
      <c r="F38" s="4" t="s">
        <v>176</v>
      </c>
      <c r="I38" s="7"/>
    </row>
    <row r="39" spans="1:9" x14ac:dyDescent="0.3">
      <c r="A39" s="15"/>
      <c r="B39" s="3" t="s">
        <v>169</v>
      </c>
      <c r="C39" t="s">
        <v>172</v>
      </c>
      <c r="E39" s="68">
        <f>E24</f>
        <v>79.138103531221844</v>
      </c>
      <c r="F39" s="4"/>
      <c r="I39" s="7"/>
    </row>
    <row r="40" spans="1:9" x14ac:dyDescent="0.3">
      <c r="A40" s="64" t="s">
        <v>182</v>
      </c>
      <c r="B40" s="65"/>
      <c r="C40" s="65"/>
      <c r="D40" s="65"/>
      <c r="E40" s="66" t="s">
        <v>174</v>
      </c>
      <c r="F40" s="66" t="s">
        <v>175</v>
      </c>
      <c r="G40" s="65"/>
      <c r="H40" s="65"/>
      <c r="I40" s="67"/>
    </row>
    <row r="41" spans="1:9" ht="15.6" x14ac:dyDescent="0.3">
      <c r="A41" s="162" t="s">
        <v>179</v>
      </c>
      <c r="B41" s="163"/>
      <c r="C41" s="163"/>
      <c r="D41" s="163"/>
      <c r="E41" s="163"/>
      <c r="F41" s="163"/>
      <c r="G41" s="163"/>
      <c r="H41" s="163"/>
      <c r="I41" s="164"/>
    </row>
    <row r="42" spans="1:9" x14ac:dyDescent="0.3">
      <c r="A42" s="15"/>
      <c r="B42" t="s">
        <v>180</v>
      </c>
      <c r="F42" s="4">
        <v>8</v>
      </c>
      <c r="G42" s="4" t="s">
        <v>161</v>
      </c>
      <c r="I42" s="7"/>
    </row>
    <row r="43" spans="1:9" x14ac:dyDescent="0.3">
      <c r="A43" s="15"/>
      <c r="B43" t="s">
        <v>181</v>
      </c>
      <c r="F43" s="4">
        <v>36.200000000000003</v>
      </c>
      <c r="G43" s="4" t="s">
        <v>165</v>
      </c>
      <c r="I43" s="7"/>
    </row>
    <row r="44" spans="1:9" x14ac:dyDescent="0.3">
      <c r="A44" s="15"/>
      <c r="B44" t="s">
        <v>218</v>
      </c>
      <c r="F44" s="4">
        <f>(F43*F42)*1.25</f>
        <v>362</v>
      </c>
      <c r="G44" s="4" t="s">
        <v>165</v>
      </c>
      <c r="I44" s="7"/>
    </row>
    <row r="45" spans="1:9" x14ac:dyDescent="0.3">
      <c r="A45" s="15"/>
      <c r="B45" t="s">
        <v>164</v>
      </c>
      <c r="F45" s="68">
        <f>F44*1.25</f>
        <v>452.5</v>
      </c>
      <c r="G45" s="4" t="s">
        <v>165</v>
      </c>
      <c r="I45" s="7"/>
    </row>
    <row r="46" spans="1:9" x14ac:dyDescent="0.3">
      <c r="A46" s="15"/>
      <c r="B46" t="s">
        <v>177</v>
      </c>
      <c r="F46" s="68">
        <f>F45*1.25</f>
        <v>565.625</v>
      </c>
      <c r="G46" s="4" t="s">
        <v>165</v>
      </c>
      <c r="I46" s="7"/>
    </row>
    <row r="47" spans="1:9" x14ac:dyDescent="0.3">
      <c r="A47" s="27"/>
      <c r="B47" s="28"/>
      <c r="C47" s="28"/>
      <c r="D47" s="45"/>
      <c r="E47" s="19"/>
      <c r="F47" s="19"/>
      <c r="G47" s="26"/>
      <c r="H47" s="19"/>
      <c r="I47" s="20"/>
    </row>
    <row r="48" spans="1:9" x14ac:dyDescent="0.3">
      <c r="A48" s="165" t="s">
        <v>166</v>
      </c>
      <c r="B48" s="107"/>
      <c r="C48" s="107"/>
      <c r="D48" s="107"/>
      <c r="E48" s="107"/>
      <c r="F48" s="107"/>
      <c r="G48" s="107"/>
      <c r="H48" s="107"/>
      <c r="I48" s="166"/>
    </row>
    <row r="49" spans="1:9" x14ac:dyDescent="0.3">
      <c r="A49" s="27"/>
      <c r="B49" s="107" t="s">
        <v>173</v>
      </c>
      <c r="C49" s="107"/>
      <c r="D49" s="107"/>
      <c r="E49" s="159">
        <f>(E52*SQRT(E53))/E54</f>
        <v>7.1473155756992286</v>
      </c>
      <c r="F49" s="160" t="s">
        <v>175</v>
      </c>
      <c r="G49" s="19"/>
      <c r="H49" s="19"/>
      <c r="I49" s="20"/>
    </row>
    <row r="50" spans="1:9" x14ac:dyDescent="0.3">
      <c r="A50" s="27"/>
      <c r="B50" s="107"/>
      <c r="C50" s="107"/>
      <c r="D50" s="107"/>
      <c r="E50" s="159"/>
      <c r="F50" s="160"/>
      <c r="G50" s="19"/>
      <c r="H50" s="19"/>
      <c r="I50" s="20"/>
    </row>
    <row r="51" spans="1:9" x14ac:dyDescent="0.3">
      <c r="A51" s="15" t="s">
        <v>142</v>
      </c>
      <c r="B51" s="3"/>
      <c r="C51" s="58"/>
      <c r="F51" s="4"/>
      <c r="I51" s="7"/>
    </row>
    <row r="52" spans="1:9" x14ac:dyDescent="0.3">
      <c r="A52" s="15"/>
      <c r="B52" s="57" t="s">
        <v>167</v>
      </c>
      <c r="C52" s="58" t="s">
        <v>170</v>
      </c>
      <c r="E52" s="68">
        <f>F46</f>
        <v>565.625</v>
      </c>
      <c r="F52" s="4" t="s">
        <v>68</v>
      </c>
      <c r="I52" s="7"/>
    </row>
    <row r="53" spans="1:9" x14ac:dyDescent="0.3">
      <c r="A53" s="15"/>
      <c r="B53" s="3" t="s">
        <v>168</v>
      </c>
      <c r="C53" t="s">
        <v>171</v>
      </c>
      <c r="E53" s="4">
        <v>1</v>
      </c>
      <c r="F53" s="4" t="s">
        <v>176</v>
      </c>
      <c r="I53" s="7"/>
    </row>
    <row r="54" spans="1:9" x14ac:dyDescent="0.3">
      <c r="A54" s="15"/>
      <c r="B54" s="3" t="s">
        <v>169</v>
      </c>
      <c r="C54" t="s">
        <v>172</v>
      </c>
      <c r="E54" s="68">
        <f>E24</f>
        <v>79.138103531221844</v>
      </c>
      <c r="F54" s="4"/>
      <c r="I54" s="7"/>
    </row>
    <row r="55" spans="1:9" x14ac:dyDescent="0.3">
      <c r="A55" s="64" t="s">
        <v>182</v>
      </c>
      <c r="B55" s="65"/>
      <c r="C55" s="65"/>
      <c r="D55" s="65"/>
      <c r="E55" s="66" t="s">
        <v>174</v>
      </c>
      <c r="F55" s="66" t="s">
        <v>175</v>
      </c>
      <c r="G55" s="65"/>
      <c r="H55" s="65"/>
      <c r="I55" s="67"/>
    </row>
  </sheetData>
  <mergeCells count="18">
    <mergeCell ref="A41:I41"/>
    <mergeCell ref="A48:I48"/>
    <mergeCell ref="B49:D50"/>
    <mergeCell ref="E49:E50"/>
    <mergeCell ref="F49:F50"/>
    <mergeCell ref="B34:D35"/>
    <mergeCell ref="E34:E35"/>
    <mergeCell ref="F34:F35"/>
    <mergeCell ref="C24:C25"/>
    <mergeCell ref="D24:D25"/>
    <mergeCell ref="E24:E25"/>
    <mergeCell ref="A26:I26"/>
    <mergeCell ref="A33:I33"/>
    <mergeCell ref="A1:I2"/>
    <mergeCell ref="A3:B3"/>
    <mergeCell ref="C3:I3"/>
    <mergeCell ref="A4:B4"/>
    <mergeCell ref="C4:I4"/>
  </mergeCells>
  <pageMargins left="0.7" right="0.7" top="0.75" bottom="0.75" header="0.3" footer="0.3"/>
  <pageSetup paperSize="9"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89"/>
  <sheetViews>
    <sheetView workbookViewId="0">
      <selection activeCell="F10" sqref="F10"/>
    </sheetView>
  </sheetViews>
  <sheetFormatPr defaultRowHeight="14.4" x14ac:dyDescent="0.3"/>
  <cols>
    <col min="4" max="4" width="12" bestFit="1" customWidth="1"/>
    <col min="5" max="6" width="13.6640625" bestFit="1" customWidth="1"/>
    <col min="12" max="12" width="10" bestFit="1" customWidth="1"/>
  </cols>
  <sheetData>
    <row r="1" spans="1:9" x14ac:dyDescent="0.3">
      <c r="A1" s="153" t="s">
        <v>185</v>
      </c>
      <c r="B1" s="154"/>
      <c r="C1" s="154"/>
      <c r="D1" s="154"/>
      <c r="E1" s="154"/>
      <c r="F1" s="154"/>
      <c r="G1" s="154"/>
      <c r="H1" s="154"/>
      <c r="I1" s="155"/>
    </row>
    <row r="2" spans="1:9" x14ac:dyDescent="0.3">
      <c r="A2" s="156"/>
      <c r="B2" s="157"/>
      <c r="C2" s="157"/>
      <c r="D2" s="157"/>
      <c r="E2" s="157"/>
      <c r="F2" s="157"/>
      <c r="G2" s="157"/>
      <c r="H2" s="157"/>
      <c r="I2" s="158"/>
    </row>
    <row r="3" spans="1:9" x14ac:dyDescent="0.3">
      <c r="A3" s="120" t="s">
        <v>29</v>
      </c>
      <c r="B3" s="121"/>
      <c r="C3" s="116" t="s">
        <v>248</v>
      </c>
      <c r="D3" s="116"/>
      <c r="E3" s="116"/>
      <c r="F3" s="116"/>
      <c r="G3" s="116"/>
      <c r="H3" s="116"/>
      <c r="I3" s="117"/>
    </row>
    <row r="4" spans="1:9" x14ac:dyDescent="0.3">
      <c r="A4" s="120" t="s">
        <v>30</v>
      </c>
      <c r="B4" s="121"/>
      <c r="C4" s="118"/>
      <c r="D4" s="118"/>
      <c r="E4" s="118"/>
      <c r="F4" s="118"/>
      <c r="G4" s="118"/>
      <c r="H4" s="118"/>
      <c r="I4" s="119"/>
    </row>
    <row r="5" spans="1:9" x14ac:dyDescent="0.3">
      <c r="A5" s="56" t="s">
        <v>186</v>
      </c>
      <c r="B5" s="53"/>
      <c r="C5" s="54"/>
      <c r="D5" s="54"/>
      <c r="E5" s="54"/>
      <c r="F5" s="54"/>
      <c r="G5" s="54"/>
      <c r="H5" s="54"/>
      <c r="I5" s="55"/>
    </row>
    <row r="6" spans="1:9" x14ac:dyDescent="0.3">
      <c r="A6" s="52" t="s">
        <v>217</v>
      </c>
      <c r="B6" s="53"/>
      <c r="C6" s="54"/>
      <c r="D6" s="54"/>
      <c r="E6" s="54"/>
      <c r="F6" s="54"/>
      <c r="G6" s="54"/>
      <c r="H6" s="54"/>
      <c r="I6" s="55"/>
    </row>
    <row r="7" spans="1:9" x14ac:dyDescent="0.3">
      <c r="A7" s="27"/>
      <c r="B7" s="28"/>
      <c r="C7" s="28"/>
      <c r="D7" s="45"/>
      <c r="E7" s="19"/>
      <c r="F7" s="19"/>
      <c r="G7" s="26"/>
      <c r="H7" s="19"/>
      <c r="I7" s="20"/>
    </row>
    <row r="8" spans="1:9" ht="15.6" x14ac:dyDescent="0.3">
      <c r="A8" s="27"/>
      <c r="B8" s="74" t="s">
        <v>187</v>
      </c>
      <c r="C8" s="75" t="s">
        <v>206</v>
      </c>
      <c r="D8" s="76"/>
      <c r="E8" s="77"/>
      <c r="F8" s="77"/>
      <c r="G8" s="26"/>
      <c r="H8" s="19"/>
      <c r="I8" s="20"/>
    </row>
    <row r="9" spans="1:9" x14ac:dyDescent="0.3">
      <c r="A9" s="27"/>
      <c r="B9" s="28"/>
      <c r="C9" s="28"/>
      <c r="D9" s="45"/>
      <c r="E9" s="19"/>
      <c r="F9" s="19"/>
      <c r="G9" s="19"/>
      <c r="H9" s="19"/>
      <c r="I9" s="20"/>
    </row>
    <row r="10" spans="1:9" x14ac:dyDescent="0.3">
      <c r="A10" s="15" t="s">
        <v>142</v>
      </c>
      <c r="B10" s="23"/>
      <c r="C10" s="23"/>
      <c r="D10" s="22"/>
      <c r="E10" s="23"/>
      <c r="F10" s="23"/>
      <c r="G10" s="23"/>
      <c r="I10" s="7"/>
    </row>
    <row r="11" spans="1:9" ht="15" x14ac:dyDescent="0.3">
      <c r="A11" s="85" t="s">
        <v>189</v>
      </c>
      <c r="B11" t="s">
        <v>193</v>
      </c>
      <c r="C11" s="23"/>
      <c r="D11" s="22"/>
      <c r="E11" s="23"/>
      <c r="F11" s="4">
        <v>0.2</v>
      </c>
      <c r="G11" s="4" t="s">
        <v>198</v>
      </c>
      <c r="I11" s="7"/>
    </row>
    <row r="12" spans="1:9" x14ac:dyDescent="0.3">
      <c r="A12" s="86" t="s">
        <v>190</v>
      </c>
      <c r="B12" t="s">
        <v>194</v>
      </c>
      <c r="F12" s="4">
        <v>0.1</v>
      </c>
      <c r="G12" s="4" t="s">
        <v>199</v>
      </c>
      <c r="I12" s="7"/>
    </row>
    <row r="13" spans="1:9" x14ac:dyDescent="0.3">
      <c r="A13" s="87" t="s">
        <v>200</v>
      </c>
      <c r="B13" t="s">
        <v>195</v>
      </c>
      <c r="F13" s="4">
        <v>3</v>
      </c>
      <c r="G13" s="4" t="s">
        <v>199</v>
      </c>
      <c r="I13" s="7"/>
    </row>
    <row r="14" spans="1:9" x14ac:dyDescent="0.3">
      <c r="A14" s="87" t="s">
        <v>191</v>
      </c>
      <c r="B14" t="s">
        <v>196</v>
      </c>
      <c r="F14" s="4">
        <v>1.7000000000000001E-2</v>
      </c>
      <c r="G14" s="4" t="s">
        <v>199</v>
      </c>
      <c r="I14" s="7"/>
    </row>
    <row r="15" spans="1:9" x14ac:dyDescent="0.3">
      <c r="A15" s="85" t="s">
        <v>192</v>
      </c>
      <c r="B15" t="s">
        <v>197</v>
      </c>
      <c r="F15" s="4">
        <v>6.34</v>
      </c>
      <c r="G15" s="4" t="s">
        <v>198</v>
      </c>
      <c r="I15" s="7"/>
    </row>
    <row r="16" spans="1:9" x14ac:dyDescent="0.3">
      <c r="A16" s="88"/>
      <c r="G16" s="4"/>
      <c r="I16" s="7"/>
    </row>
    <row r="17" spans="1:13" x14ac:dyDescent="0.3">
      <c r="A17" s="15"/>
      <c r="D17" s="168" t="s">
        <v>202</v>
      </c>
      <c r="E17" s="169">
        <f>(1/(2*3.14*F13))*((F15-F11)*(LN(8*F13/F12)-1)+F11*(LN(8*F13/F14)-1))</f>
        <v>1.5266264406780574</v>
      </c>
      <c r="F17" s="170" t="s">
        <v>201</v>
      </c>
      <c r="G17" s="1"/>
      <c r="H17" s="1"/>
      <c r="I17" s="91"/>
    </row>
    <row r="18" spans="1:13" x14ac:dyDescent="0.3">
      <c r="A18" s="59"/>
      <c r="D18" s="168"/>
      <c r="E18" s="169"/>
      <c r="F18" s="170"/>
      <c r="G18" s="1"/>
      <c r="H18" s="1"/>
      <c r="I18" s="91"/>
    </row>
    <row r="19" spans="1:13" x14ac:dyDescent="0.3">
      <c r="A19" s="15"/>
      <c r="I19" s="7"/>
    </row>
    <row r="20" spans="1:13" x14ac:dyDescent="0.3">
      <c r="A20" s="15" t="s">
        <v>224</v>
      </c>
      <c r="G20" s="4"/>
      <c r="I20" s="7"/>
      <c r="M20" s="70"/>
    </row>
    <row r="21" spans="1:13" x14ac:dyDescent="0.3">
      <c r="A21" s="15" t="s">
        <v>219</v>
      </c>
      <c r="F21" t="s">
        <v>220</v>
      </c>
      <c r="I21" s="7"/>
    </row>
    <row r="22" spans="1:13" x14ac:dyDescent="0.3">
      <c r="A22" s="15"/>
      <c r="E22" t="s">
        <v>222</v>
      </c>
      <c r="F22" t="s">
        <v>225</v>
      </c>
      <c r="I22" s="7"/>
    </row>
    <row r="23" spans="1:13" x14ac:dyDescent="0.3">
      <c r="A23" s="15"/>
      <c r="E23" t="s">
        <v>221</v>
      </c>
      <c r="F23" t="s">
        <v>226</v>
      </c>
      <c r="I23" s="7"/>
    </row>
    <row r="24" spans="1:13" x14ac:dyDescent="0.3">
      <c r="A24" s="15"/>
      <c r="E24" s="79" t="s">
        <v>223</v>
      </c>
      <c r="F24" s="80" t="s">
        <v>227</v>
      </c>
      <c r="I24" s="7"/>
    </row>
    <row r="25" spans="1:13" x14ac:dyDescent="0.3">
      <c r="A25" s="15"/>
      <c r="I25" s="7"/>
    </row>
    <row r="26" spans="1:13" x14ac:dyDescent="0.3">
      <c r="A26" s="71" t="s">
        <v>203</v>
      </c>
      <c r="B26" s="61"/>
      <c r="C26" s="61"/>
      <c r="D26" s="61"/>
      <c r="E26" s="61"/>
      <c r="F26" s="62"/>
      <c r="G26" s="62"/>
      <c r="H26" s="62"/>
      <c r="I26" s="63"/>
    </row>
    <row r="27" spans="1:13" x14ac:dyDescent="0.3">
      <c r="A27" s="60" t="s">
        <v>208</v>
      </c>
      <c r="B27" s="61"/>
      <c r="C27" s="61"/>
      <c r="D27" s="61"/>
      <c r="E27" s="61"/>
      <c r="F27" s="62"/>
      <c r="G27" s="62"/>
      <c r="H27" s="62"/>
      <c r="I27" s="63"/>
    </row>
    <row r="28" spans="1:13" ht="15.6" x14ac:dyDescent="0.3">
      <c r="A28" s="162" t="s">
        <v>232</v>
      </c>
      <c r="B28" s="163"/>
      <c r="C28" s="163"/>
      <c r="D28" s="163"/>
      <c r="E28" s="163"/>
      <c r="F28" s="163"/>
      <c r="G28" s="163"/>
      <c r="H28" s="163"/>
      <c r="I28" s="164"/>
    </row>
    <row r="29" spans="1:13" ht="15.6" x14ac:dyDescent="0.3">
      <c r="A29" s="15" t="s">
        <v>205</v>
      </c>
      <c r="C29" s="72"/>
      <c r="D29" s="72"/>
      <c r="E29" s="72"/>
      <c r="F29" s="72"/>
      <c r="G29" s="4">
        <v>175</v>
      </c>
      <c r="H29" t="s">
        <v>204</v>
      </c>
      <c r="I29" s="7"/>
    </row>
    <row r="30" spans="1:13" x14ac:dyDescent="0.3">
      <c r="A30" s="27"/>
      <c r="B30" s="28"/>
      <c r="C30" s="28"/>
      <c r="D30" s="45"/>
      <c r="E30" s="19"/>
      <c r="F30" s="19"/>
      <c r="G30" s="26"/>
      <c r="H30" s="19"/>
      <c r="I30" s="20"/>
    </row>
    <row r="31" spans="1:13" ht="15.6" x14ac:dyDescent="0.3">
      <c r="A31" s="27"/>
      <c r="B31" s="28"/>
      <c r="C31" s="69"/>
      <c r="D31" s="74" t="s">
        <v>207</v>
      </c>
      <c r="E31" s="75" t="s">
        <v>216</v>
      </c>
      <c r="F31" s="19"/>
      <c r="G31" s="26"/>
      <c r="H31" s="19"/>
      <c r="I31" s="20"/>
    </row>
    <row r="32" spans="1:13" x14ac:dyDescent="0.3">
      <c r="A32" s="27"/>
      <c r="B32" s="28"/>
      <c r="C32" s="28"/>
      <c r="D32" s="45"/>
      <c r="E32" s="19"/>
      <c r="F32" s="19"/>
      <c r="G32" s="19"/>
      <c r="H32" s="19"/>
      <c r="I32" s="20"/>
    </row>
    <row r="33" spans="1:9" x14ac:dyDescent="0.3">
      <c r="A33" s="87" t="s">
        <v>142</v>
      </c>
      <c r="B33" s="48"/>
      <c r="C33" s="48"/>
      <c r="D33" s="73"/>
      <c r="E33" s="23"/>
      <c r="F33" s="23"/>
      <c r="G33" s="23"/>
      <c r="H33" s="23"/>
      <c r="I33" s="89"/>
    </row>
    <row r="34" spans="1:9" x14ac:dyDescent="0.3">
      <c r="A34" s="90"/>
      <c r="B34" s="78" t="s">
        <v>188</v>
      </c>
      <c r="C34" s="1" t="s">
        <v>211</v>
      </c>
      <c r="D34" s="73"/>
      <c r="E34" s="23"/>
      <c r="F34" s="6">
        <v>6.34</v>
      </c>
      <c r="G34" s="4" t="s">
        <v>198</v>
      </c>
      <c r="H34" s="23"/>
      <c r="I34" s="89"/>
    </row>
    <row r="35" spans="1:9" x14ac:dyDescent="0.3">
      <c r="A35" s="90"/>
      <c r="B35" s="4" t="s">
        <v>209</v>
      </c>
      <c r="C35" s="1" t="s">
        <v>212</v>
      </c>
      <c r="D35" s="73"/>
      <c r="E35" s="23"/>
      <c r="F35" s="6">
        <v>16000</v>
      </c>
      <c r="G35" s="4" t="s">
        <v>215</v>
      </c>
      <c r="H35" s="23"/>
      <c r="I35" s="89"/>
    </row>
    <row r="36" spans="1:9" x14ac:dyDescent="0.3">
      <c r="A36" s="90"/>
      <c r="B36" s="4" t="s">
        <v>210</v>
      </c>
      <c r="C36" s="1" t="s">
        <v>214</v>
      </c>
      <c r="D36" s="73"/>
      <c r="E36" s="23"/>
      <c r="F36" s="6">
        <v>0.3</v>
      </c>
      <c r="G36" s="4" t="s">
        <v>215</v>
      </c>
      <c r="H36" s="23"/>
      <c r="I36" s="89"/>
    </row>
    <row r="37" spans="1:9" x14ac:dyDescent="0.3">
      <c r="A37" s="90"/>
      <c r="B37" s="4" t="s">
        <v>168</v>
      </c>
      <c r="C37" s="1" t="s">
        <v>213</v>
      </c>
      <c r="D37" s="73"/>
      <c r="E37" s="23"/>
      <c r="F37" s="6">
        <v>2.5</v>
      </c>
      <c r="G37" s="4" t="s">
        <v>215</v>
      </c>
      <c r="H37" s="23"/>
      <c r="I37" s="89"/>
    </row>
    <row r="38" spans="1:9" x14ac:dyDescent="0.3">
      <c r="A38" s="90"/>
      <c r="B38" s="48"/>
      <c r="C38" s="48"/>
      <c r="D38" s="73"/>
      <c r="E38" s="23"/>
      <c r="F38" s="23"/>
      <c r="G38" s="23"/>
      <c r="H38" s="23"/>
      <c r="I38" s="89"/>
    </row>
    <row r="39" spans="1:9" x14ac:dyDescent="0.3">
      <c r="A39" s="90"/>
      <c r="B39" s="48"/>
      <c r="C39" s="48"/>
      <c r="D39" s="168" t="s">
        <v>202</v>
      </c>
      <c r="E39" s="169">
        <f>((100*F34)/(2*3.14*F35))*(LN((2*F35*F35)/(F36*F37)))</f>
        <v>0.12834914351073676</v>
      </c>
      <c r="F39" s="170" t="s">
        <v>201</v>
      </c>
      <c r="G39" s="23"/>
      <c r="H39" s="23"/>
      <c r="I39" s="89"/>
    </row>
    <row r="40" spans="1:9" x14ac:dyDescent="0.3">
      <c r="A40" s="90"/>
      <c r="B40" s="48"/>
      <c r="C40" s="48"/>
      <c r="D40" s="168"/>
      <c r="E40" s="169"/>
      <c r="F40" s="170"/>
      <c r="G40" s="23"/>
      <c r="H40" s="23"/>
      <c r="I40" s="89"/>
    </row>
    <row r="41" spans="1:9" x14ac:dyDescent="0.3">
      <c r="A41" s="90"/>
      <c r="B41" s="48"/>
      <c r="C41" s="48"/>
      <c r="D41" s="73"/>
      <c r="E41" s="23"/>
      <c r="F41" s="23"/>
      <c r="G41" s="23"/>
      <c r="H41" s="23"/>
      <c r="I41" s="89"/>
    </row>
    <row r="42" spans="1:9" x14ac:dyDescent="0.3">
      <c r="A42" s="90" t="s">
        <v>229</v>
      </c>
      <c r="B42" s="48"/>
      <c r="C42" s="73"/>
      <c r="D42" s="23"/>
      <c r="E42" s="23" t="s">
        <v>228</v>
      </c>
      <c r="G42" s="23"/>
      <c r="I42" s="89"/>
    </row>
    <row r="43" spans="1:9" ht="18.75" customHeight="1" x14ac:dyDescent="0.3">
      <c r="A43" s="90"/>
      <c r="B43" s="48"/>
      <c r="C43" s="48"/>
      <c r="D43" s="171" t="s">
        <v>231</v>
      </c>
      <c r="E43" s="173" t="s">
        <v>233</v>
      </c>
      <c r="F43" s="23"/>
      <c r="G43" s="23"/>
      <c r="H43" s="23"/>
      <c r="I43" s="89"/>
    </row>
    <row r="44" spans="1:9" x14ac:dyDescent="0.3">
      <c r="A44" s="90"/>
      <c r="B44" s="48"/>
      <c r="C44" s="48"/>
      <c r="D44" s="172"/>
      <c r="E44" s="174"/>
      <c r="F44" s="23"/>
      <c r="G44" s="23"/>
      <c r="H44" s="23"/>
      <c r="I44" s="89"/>
    </row>
    <row r="45" spans="1:9" x14ac:dyDescent="0.3">
      <c r="A45" s="90" t="s">
        <v>235</v>
      </c>
      <c r="B45" s="48"/>
      <c r="C45" s="48"/>
      <c r="D45" s="73"/>
      <c r="E45" s="23"/>
      <c r="F45" s="23"/>
      <c r="G45" s="23"/>
      <c r="H45" s="23"/>
      <c r="I45" s="89"/>
    </row>
    <row r="46" spans="1:9" x14ac:dyDescent="0.3">
      <c r="A46" s="90"/>
      <c r="B46" s="48"/>
      <c r="C46" s="48"/>
      <c r="D46" s="73"/>
      <c r="E46" s="23"/>
      <c r="F46" s="23"/>
      <c r="G46" s="23"/>
      <c r="H46" s="23"/>
      <c r="I46" s="89"/>
    </row>
    <row r="47" spans="1:9" ht="15.6" x14ac:dyDescent="0.3">
      <c r="A47" s="162" t="s">
        <v>234</v>
      </c>
      <c r="B47" s="163"/>
      <c r="C47" s="163"/>
      <c r="D47" s="163"/>
      <c r="E47" s="163"/>
      <c r="F47" s="163"/>
      <c r="G47" s="163"/>
      <c r="H47" s="163"/>
      <c r="I47" s="164"/>
    </row>
    <row r="48" spans="1:9" ht="15.6" x14ac:dyDescent="0.3">
      <c r="A48" s="15" t="s">
        <v>205</v>
      </c>
      <c r="C48" s="72"/>
      <c r="D48" s="72"/>
      <c r="E48" s="72"/>
      <c r="F48" s="72"/>
      <c r="G48" s="4">
        <v>175</v>
      </c>
      <c r="H48" t="s">
        <v>204</v>
      </c>
      <c r="I48" s="7"/>
    </row>
    <row r="49" spans="1:9" x14ac:dyDescent="0.3">
      <c r="A49" s="27"/>
      <c r="B49" s="28"/>
      <c r="C49" s="28"/>
      <c r="D49" s="45"/>
      <c r="E49" s="19"/>
      <c r="F49" s="19"/>
      <c r="G49" s="26"/>
      <c r="H49" s="19"/>
      <c r="I49" s="20"/>
    </row>
    <row r="50" spans="1:9" ht="15.6" x14ac:dyDescent="0.3">
      <c r="A50" s="27"/>
      <c r="B50" s="28"/>
      <c r="C50" s="69"/>
      <c r="D50" s="74" t="s">
        <v>207</v>
      </c>
      <c r="E50" s="75" t="s">
        <v>216</v>
      </c>
      <c r="F50" s="19"/>
      <c r="G50" s="26"/>
      <c r="H50" s="19"/>
      <c r="I50" s="20"/>
    </row>
    <row r="51" spans="1:9" x14ac:dyDescent="0.3">
      <c r="A51" s="27"/>
      <c r="B51" s="28"/>
      <c r="C51" s="28"/>
      <c r="D51" s="45"/>
      <c r="E51" s="19"/>
      <c r="F51" s="19"/>
      <c r="G51" s="19"/>
      <c r="H51" s="19"/>
      <c r="I51" s="20"/>
    </row>
    <row r="52" spans="1:9" x14ac:dyDescent="0.3">
      <c r="A52" s="87" t="s">
        <v>142</v>
      </c>
      <c r="B52" s="48"/>
      <c r="C52" s="48"/>
      <c r="D52" s="73"/>
      <c r="E52" s="23"/>
      <c r="F52" s="23"/>
      <c r="G52" s="23"/>
      <c r="H52" s="23"/>
      <c r="I52" s="89"/>
    </row>
    <row r="53" spans="1:9" x14ac:dyDescent="0.3">
      <c r="A53" s="90"/>
      <c r="B53" s="78" t="s">
        <v>188</v>
      </c>
      <c r="C53" s="1" t="s">
        <v>211</v>
      </c>
      <c r="D53" s="73"/>
      <c r="E53" s="23"/>
      <c r="F53" s="6">
        <v>6.34</v>
      </c>
      <c r="G53" s="4" t="s">
        <v>198</v>
      </c>
      <c r="H53" s="23"/>
      <c r="I53" s="89"/>
    </row>
    <row r="54" spans="1:9" x14ac:dyDescent="0.3">
      <c r="A54" s="90"/>
      <c r="B54" s="4" t="s">
        <v>209</v>
      </c>
      <c r="C54" s="1" t="s">
        <v>212</v>
      </c>
      <c r="D54" s="73"/>
      <c r="E54" s="23"/>
      <c r="F54" s="6">
        <v>17500</v>
      </c>
      <c r="G54" s="4" t="s">
        <v>215</v>
      </c>
      <c r="H54" s="23"/>
      <c r="I54" s="89"/>
    </row>
    <row r="55" spans="1:9" x14ac:dyDescent="0.3">
      <c r="A55" s="90"/>
      <c r="B55" s="4" t="s">
        <v>210</v>
      </c>
      <c r="C55" s="1" t="s">
        <v>214</v>
      </c>
      <c r="D55" s="73"/>
      <c r="E55" s="23"/>
      <c r="F55" s="6">
        <v>0.3</v>
      </c>
      <c r="G55" s="4" t="s">
        <v>215</v>
      </c>
      <c r="H55" s="23"/>
      <c r="I55" s="89"/>
    </row>
    <row r="56" spans="1:9" x14ac:dyDescent="0.3">
      <c r="A56" s="90"/>
      <c r="B56" s="4" t="s">
        <v>168</v>
      </c>
      <c r="C56" s="1" t="s">
        <v>213</v>
      </c>
      <c r="D56" s="73"/>
      <c r="E56" s="23"/>
      <c r="F56" s="6">
        <v>2.5</v>
      </c>
      <c r="G56" s="4" t="s">
        <v>215</v>
      </c>
      <c r="H56" s="23"/>
      <c r="I56" s="89"/>
    </row>
    <row r="57" spans="1:9" x14ac:dyDescent="0.3">
      <c r="A57" s="90"/>
      <c r="B57" s="48"/>
      <c r="C57" s="48"/>
      <c r="D57" s="73"/>
      <c r="E57" s="23"/>
      <c r="F57" s="23"/>
      <c r="G57" s="23"/>
      <c r="H57" s="23"/>
      <c r="I57" s="89"/>
    </row>
    <row r="58" spans="1:9" x14ac:dyDescent="0.3">
      <c r="A58" s="90"/>
      <c r="B58" s="48"/>
      <c r="C58" s="48"/>
      <c r="D58" s="168" t="s">
        <v>202</v>
      </c>
      <c r="E58" s="169">
        <f>((100*F53)/(2*3.14*F54))*(LN((2*F54*F54)/(F55*F56)))</f>
        <v>0.11838171207622701</v>
      </c>
      <c r="F58" s="170" t="s">
        <v>201</v>
      </c>
      <c r="G58" s="23"/>
      <c r="H58" s="23"/>
      <c r="I58" s="89"/>
    </row>
    <row r="59" spans="1:9" x14ac:dyDescent="0.3">
      <c r="A59" s="90"/>
      <c r="B59" s="48"/>
      <c r="C59" s="48"/>
      <c r="D59" s="168"/>
      <c r="E59" s="169"/>
      <c r="F59" s="170"/>
      <c r="G59" s="23"/>
      <c r="H59" s="23"/>
      <c r="I59" s="89"/>
    </row>
    <row r="60" spans="1:9" x14ac:dyDescent="0.3">
      <c r="A60" s="90"/>
      <c r="B60" s="48"/>
      <c r="C60" s="48"/>
      <c r="D60" s="73"/>
      <c r="E60" s="23"/>
      <c r="F60" s="23"/>
      <c r="G60" s="23"/>
      <c r="H60" s="23"/>
      <c r="I60" s="89"/>
    </row>
    <row r="61" spans="1:9" x14ac:dyDescent="0.3">
      <c r="A61" s="90" t="s">
        <v>229</v>
      </c>
      <c r="B61" s="48"/>
      <c r="C61" s="73"/>
      <c r="D61" s="23"/>
      <c r="E61" s="23" t="s">
        <v>228</v>
      </c>
      <c r="G61" s="23"/>
      <c r="I61" s="89"/>
    </row>
    <row r="62" spans="1:9" x14ac:dyDescent="0.3">
      <c r="A62" s="90"/>
      <c r="B62" s="48"/>
      <c r="C62" s="48"/>
      <c r="D62" s="167" t="s">
        <v>231</v>
      </c>
      <c r="E62" s="167" t="s">
        <v>230</v>
      </c>
      <c r="F62" s="23"/>
      <c r="G62" s="23"/>
      <c r="H62" s="23"/>
      <c r="I62" s="89"/>
    </row>
    <row r="63" spans="1:9" x14ac:dyDescent="0.3">
      <c r="A63" s="90"/>
      <c r="B63" s="48"/>
      <c r="C63" s="48"/>
      <c r="D63" s="167"/>
      <c r="E63" s="167"/>
      <c r="F63" s="23"/>
      <c r="G63" s="23"/>
      <c r="H63" s="23"/>
      <c r="I63" s="89"/>
    </row>
    <row r="64" spans="1:9" ht="18" x14ac:dyDescent="0.3">
      <c r="A64" s="90" t="s">
        <v>235</v>
      </c>
      <c r="B64" s="48"/>
      <c r="C64" s="48"/>
      <c r="D64" s="98"/>
      <c r="E64" s="98"/>
      <c r="F64" s="23"/>
      <c r="G64" s="23"/>
      <c r="H64" s="23"/>
      <c r="I64" s="89"/>
    </row>
    <row r="65" spans="1:9" x14ac:dyDescent="0.3">
      <c r="A65" s="16"/>
      <c r="B65" s="17"/>
      <c r="C65" s="17"/>
      <c r="D65" s="17"/>
      <c r="E65" s="17"/>
      <c r="F65" s="96"/>
      <c r="G65" s="83"/>
      <c r="H65" s="17"/>
      <c r="I65" s="18"/>
    </row>
    <row r="66" spans="1:9" x14ac:dyDescent="0.3">
      <c r="A66" s="87"/>
      <c r="B66" s="1"/>
      <c r="C66" s="1"/>
      <c r="D66" s="81"/>
      <c r="G66" s="4"/>
      <c r="I66" s="7"/>
    </row>
    <row r="67" spans="1:9" x14ac:dyDescent="0.3">
      <c r="A67" s="87"/>
      <c r="B67" s="1"/>
      <c r="C67" s="1"/>
      <c r="D67" s="1"/>
      <c r="E67" s="1"/>
      <c r="F67" s="1"/>
      <c r="G67" s="1"/>
      <c r="H67" s="1"/>
      <c r="I67" s="91"/>
    </row>
    <row r="68" spans="1:9" x14ac:dyDescent="0.3">
      <c r="A68" s="87"/>
      <c r="B68" s="1"/>
      <c r="C68" s="1"/>
      <c r="D68" s="1"/>
      <c r="E68" s="82"/>
      <c r="F68" s="1"/>
      <c r="I68" s="7"/>
    </row>
    <row r="69" spans="1:9" x14ac:dyDescent="0.3">
      <c r="A69" s="87"/>
      <c r="B69" s="1"/>
      <c r="C69" s="1"/>
      <c r="D69" s="1"/>
      <c r="E69" s="82"/>
      <c r="F69" s="1"/>
      <c r="I69" s="7"/>
    </row>
    <row r="70" spans="1:9" x14ac:dyDescent="0.3">
      <c r="A70" s="15"/>
      <c r="B70" s="3"/>
      <c r="C70" s="58"/>
      <c r="I70" s="7"/>
    </row>
    <row r="71" spans="1:9" x14ac:dyDescent="0.3">
      <c r="A71" s="15"/>
      <c r="B71" s="57"/>
      <c r="C71" s="58"/>
      <c r="E71" s="68"/>
      <c r="F71" s="4"/>
      <c r="I71" s="7"/>
    </row>
    <row r="72" spans="1:9" x14ac:dyDescent="0.3">
      <c r="A72" s="15"/>
      <c r="B72" s="3"/>
      <c r="E72" s="4"/>
      <c r="F72" s="4"/>
      <c r="I72" s="7"/>
    </row>
    <row r="73" spans="1:9" x14ac:dyDescent="0.3">
      <c r="A73" s="15"/>
      <c r="B73" s="3"/>
      <c r="E73" s="68"/>
      <c r="F73" s="4"/>
      <c r="I73" s="7"/>
    </row>
    <row r="74" spans="1:9" x14ac:dyDescent="0.3">
      <c r="A74" s="15"/>
      <c r="E74" s="4"/>
      <c r="F74" s="4"/>
      <c r="I74" s="7"/>
    </row>
    <row r="75" spans="1:9" ht="15.6" x14ac:dyDescent="0.3">
      <c r="A75" s="92"/>
      <c r="B75" s="84"/>
      <c r="C75" s="84"/>
      <c r="D75" s="84"/>
      <c r="E75" s="84"/>
      <c r="F75" s="84"/>
      <c r="G75" s="84"/>
      <c r="H75" s="84"/>
      <c r="I75" s="93"/>
    </row>
    <row r="76" spans="1:9" x14ac:dyDescent="0.3">
      <c r="A76" s="15"/>
      <c r="F76" s="4"/>
      <c r="G76" s="4"/>
      <c r="I76" s="7"/>
    </row>
    <row r="77" spans="1:9" x14ac:dyDescent="0.3">
      <c r="A77" s="15"/>
      <c r="F77" s="4"/>
      <c r="G77" s="4"/>
      <c r="I77" s="7"/>
    </row>
    <row r="78" spans="1:9" x14ac:dyDescent="0.3">
      <c r="A78" s="15"/>
      <c r="F78" s="4"/>
      <c r="G78" s="4"/>
      <c r="I78" s="7"/>
    </row>
    <row r="79" spans="1:9" x14ac:dyDescent="0.3">
      <c r="A79" s="15"/>
      <c r="F79" s="68"/>
      <c r="G79" s="4"/>
      <c r="I79" s="7"/>
    </row>
    <row r="80" spans="1:9" x14ac:dyDescent="0.3">
      <c r="A80" s="15"/>
      <c r="F80" s="68"/>
      <c r="G80" s="4"/>
      <c r="I80" s="7"/>
    </row>
    <row r="81" spans="1:9" x14ac:dyDescent="0.3">
      <c r="A81" s="87"/>
      <c r="B81" s="1"/>
      <c r="C81" s="1"/>
      <c r="D81" s="81"/>
      <c r="G81" s="4"/>
      <c r="I81" s="7"/>
    </row>
    <row r="82" spans="1:9" x14ac:dyDescent="0.3">
      <c r="A82" s="87"/>
      <c r="B82" s="1"/>
      <c r="C82" s="1"/>
      <c r="D82" s="1"/>
      <c r="E82" s="1"/>
      <c r="F82" s="1"/>
      <c r="G82" s="1"/>
      <c r="H82" s="1"/>
      <c r="I82" s="91"/>
    </row>
    <row r="83" spans="1:9" x14ac:dyDescent="0.3">
      <c r="A83" s="87"/>
      <c r="B83" s="1"/>
      <c r="C83" s="1"/>
      <c r="D83" s="1"/>
      <c r="E83" s="82"/>
      <c r="F83" s="1"/>
      <c r="I83" s="7"/>
    </row>
    <row r="84" spans="1:9" x14ac:dyDescent="0.3">
      <c r="A84" s="87"/>
      <c r="B84" s="1"/>
      <c r="C84" s="1"/>
      <c r="D84" s="1"/>
      <c r="E84" s="82"/>
      <c r="F84" s="1"/>
      <c r="I84" s="7"/>
    </row>
    <row r="85" spans="1:9" x14ac:dyDescent="0.3">
      <c r="A85" s="16"/>
      <c r="B85" s="94"/>
      <c r="C85" s="95"/>
      <c r="D85" s="17"/>
      <c r="E85" s="17"/>
      <c r="F85" s="83"/>
      <c r="G85" s="17"/>
      <c r="H85" s="17"/>
      <c r="I85" s="18"/>
    </row>
    <row r="86" spans="1:9" x14ac:dyDescent="0.3">
      <c r="B86" s="57"/>
      <c r="C86" s="58"/>
      <c r="E86" s="68"/>
      <c r="F86" s="4"/>
    </row>
    <row r="87" spans="1:9" x14ac:dyDescent="0.3">
      <c r="B87" s="3"/>
      <c r="E87" s="4"/>
      <c r="F87" s="4"/>
    </row>
    <row r="88" spans="1:9" x14ac:dyDescent="0.3">
      <c r="B88" s="3"/>
      <c r="E88" s="68"/>
      <c r="F88" s="4"/>
    </row>
    <row r="89" spans="1:9" x14ac:dyDescent="0.3">
      <c r="E89" s="4"/>
      <c r="F89" s="4"/>
    </row>
  </sheetData>
  <mergeCells count="20">
    <mergeCell ref="E17:E18"/>
    <mergeCell ref="D17:D18"/>
    <mergeCell ref="F17:F18"/>
    <mergeCell ref="A1:I2"/>
    <mergeCell ref="A3:B3"/>
    <mergeCell ref="C3:I3"/>
    <mergeCell ref="A4:B4"/>
    <mergeCell ref="C4:I4"/>
    <mergeCell ref="D62:D63"/>
    <mergeCell ref="E62:E63"/>
    <mergeCell ref="A28:I28"/>
    <mergeCell ref="A47:I47"/>
    <mergeCell ref="D58:D59"/>
    <mergeCell ref="E58:E59"/>
    <mergeCell ref="F58:F59"/>
    <mergeCell ref="D39:D40"/>
    <mergeCell ref="E39:E40"/>
    <mergeCell ref="F39:F40"/>
    <mergeCell ref="D43:D44"/>
    <mergeCell ref="E43:E44"/>
  </mergeCells>
  <pageMargins left="0.7" right="0.7" top="0.75" bottom="0.75" header="0.3" footer="0.3"/>
  <pageSetup paperSize="9" scale="76" orientation="portrait" r:id="rId1"/>
  <rowBreaks count="2" manualBreakCount="2">
    <brk id="65" max="8" man="1"/>
    <brk id="85" max="8" man="1"/>
  </rowBreaks>
  <colBreaks count="1" manualBreakCount="1">
    <brk id="9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7"/>
  <sheetViews>
    <sheetView zoomScaleSheetLayoutView="55" workbookViewId="0">
      <selection activeCell="F11" sqref="F11"/>
    </sheetView>
  </sheetViews>
  <sheetFormatPr defaultRowHeight="14.4" x14ac:dyDescent="0.3"/>
  <cols>
    <col min="2" max="2" width="11.5546875" customWidth="1"/>
    <col min="3" max="3" width="10" customWidth="1"/>
    <col min="4" max="4" width="10.88671875" customWidth="1"/>
    <col min="5" max="5" width="19" customWidth="1"/>
    <col min="6" max="6" width="13.6640625" customWidth="1"/>
    <col min="7" max="7" width="11.88671875" customWidth="1"/>
    <col min="8" max="8" width="10.5546875" customWidth="1"/>
    <col min="9" max="9" width="14.33203125" bestFit="1" customWidth="1"/>
  </cols>
  <sheetData>
    <row r="1" spans="1:9" x14ac:dyDescent="0.3">
      <c r="A1" s="153" t="s">
        <v>70</v>
      </c>
      <c r="B1" s="154"/>
      <c r="C1" s="154"/>
      <c r="D1" s="154"/>
      <c r="E1" s="154"/>
      <c r="F1" s="154"/>
      <c r="G1" s="154"/>
      <c r="H1" s="154"/>
      <c r="I1" s="155"/>
    </row>
    <row r="2" spans="1:9" x14ac:dyDescent="0.3">
      <c r="A2" s="156"/>
      <c r="B2" s="157"/>
      <c r="C2" s="157"/>
      <c r="D2" s="157"/>
      <c r="E2" s="157"/>
      <c r="F2" s="157"/>
      <c r="G2" s="157"/>
      <c r="H2" s="157"/>
      <c r="I2" s="158"/>
    </row>
    <row r="3" spans="1:9" x14ac:dyDescent="0.3">
      <c r="A3" s="120" t="s">
        <v>86</v>
      </c>
      <c r="B3" s="121"/>
      <c r="C3" s="116" t="s">
        <v>246</v>
      </c>
      <c r="D3" s="116"/>
      <c r="E3" s="116"/>
      <c r="F3" s="116"/>
      <c r="G3" s="116"/>
      <c r="H3" s="116"/>
      <c r="I3" s="117"/>
    </row>
    <row r="4" spans="1:9" x14ac:dyDescent="0.3">
      <c r="A4" s="120" t="s">
        <v>87</v>
      </c>
      <c r="B4" s="121"/>
      <c r="C4" s="118"/>
      <c r="D4" s="118"/>
      <c r="E4" s="118"/>
      <c r="F4" s="118"/>
      <c r="G4" s="118"/>
      <c r="H4" s="118"/>
      <c r="I4" s="119"/>
    </row>
    <row r="5" spans="1:9" x14ac:dyDescent="0.3">
      <c r="A5" s="175" t="s">
        <v>236</v>
      </c>
      <c r="B5" s="176"/>
      <c r="C5" s="176"/>
      <c r="D5" s="176"/>
      <c r="E5" s="176"/>
      <c r="F5" s="176"/>
      <c r="G5" s="176"/>
      <c r="H5" s="176"/>
      <c r="I5" s="177"/>
    </row>
    <row r="6" spans="1:9" ht="15.6" x14ac:dyDescent="0.3">
      <c r="A6" s="15"/>
      <c r="B6" s="36" t="s">
        <v>243</v>
      </c>
      <c r="I6" s="7"/>
    </row>
    <row r="7" spans="1:9" x14ac:dyDescent="0.3">
      <c r="A7" s="15"/>
      <c r="B7" s="23" t="s">
        <v>78</v>
      </c>
      <c r="E7" s="6" t="s">
        <v>83</v>
      </c>
      <c r="F7" s="4">
        <v>400</v>
      </c>
      <c r="I7" s="7"/>
    </row>
    <row r="8" spans="1:9" x14ac:dyDescent="0.3">
      <c r="A8" s="15"/>
      <c r="B8" s="23" t="s">
        <v>122</v>
      </c>
      <c r="E8" s="6" t="s">
        <v>83</v>
      </c>
      <c r="F8" s="4">
        <v>415</v>
      </c>
      <c r="I8" s="7"/>
    </row>
    <row r="9" spans="1:9" x14ac:dyDescent="0.3">
      <c r="A9" s="15"/>
      <c r="B9" s="23" t="s">
        <v>123</v>
      </c>
      <c r="E9" s="6" t="s">
        <v>83</v>
      </c>
      <c r="F9" s="4">
        <v>556.49</v>
      </c>
      <c r="I9" s="7"/>
    </row>
    <row r="10" spans="1:9" ht="15.6" x14ac:dyDescent="0.3">
      <c r="A10" s="15"/>
      <c r="B10" s="36" t="s">
        <v>79</v>
      </c>
      <c r="F10" s="4"/>
      <c r="I10" s="7"/>
    </row>
    <row r="11" spans="1:9" ht="15.6" x14ac:dyDescent="0.3">
      <c r="A11" s="15"/>
      <c r="B11" s="37" t="s">
        <v>80</v>
      </c>
      <c r="I11" s="7"/>
    </row>
    <row r="12" spans="1:9" x14ac:dyDescent="0.3">
      <c r="A12" s="15"/>
      <c r="B12" s="23" t="s">
        <v>81</v>
      </c>
      <c r="I12" s="7"/>
    </row>
    <row r="13" spans="1:9" x14ac:dyDescent="0.3">
      <c r="A13" s="15"/>
      <c r="B13" s="23" t="s">
        <v>82</v>
      </c>
      <c r="E13" s="6" t="s">
        <v>83</v>
      </c>
      <c r="F13" s="4">
        <v>0.9</v>
      </c>
      <c r="I13" s="7"/>
    </row>
    <row r="14" spans="1:9" x14ac:dyDescent="0.3">
      <c r="A14" s="15"/>
      <c r="B14" s="23" t="s">
        <v>84</v>
      </c>
      <c r="E14" s="6" t="s">
        <v>83</v>
      </c>
      <c r="F14" s="4">
        <v>1</v>
      </c>
      <c r="I14" s="7"/>
    </row>
    <row r="15" spans="1:9" x14ac:dyDescent="0.3">
      <c r="A15" s="15"/>
      <c r="B15" s="23" t="s">
        <v>88</v>
      </c>
      <c r="E15" s="6" t="s">
        <v>83</v>
      </c>
      <c r="F15" s="4">
        <f>F14*F13</f>
        <v>0.9</v>
      </c>
      <c r="I15" s="7"/>
    </row>
    <row r="16" spans="1:9" x14ac:dyDescent="0.3">
      <c r="A16" s="15"/>
      <c r="B16" s="23" t="s">
        <v>89</v>
      </c>
      <c r="E16" s="6"/>
      <c r="I16" s="7"/>
    </row>
    <row r="17" spans="1:9" ht="47.25" customHeight="1" x14ac:dyDescent="0.3">
      <c r="A17" s="15"/>
      <c r="B17" s="142" t="s">
        <v>90</v>
      </c>
      <c r="C17" s="142"/>
      <c r="D17" s="101" t="s">
        <v>91</v>
      </c>
      <c r="E17" s="38" t="s">
        <v>114</v>
      </c>
      <c r="F17" s="38" t="s">
        <v>241</v>
      </c>
      <c r="G17" s="143" t="s">
        <v>242</v>
      </c>
      <c r="H17" s="143"/>
      <c r="I17" s="7"/>
    </row>
    <row r="18" spans="1:9" x14ac:dyDescent="0.3">
      <c r="A18" s="15"/>
      <c r="B18" s="140" t="s">
        <v>125</v>
      </c>
      <c r="C18" s="140"/>
      <c r="D18" s="102" t="s">
        <v>130</v>
      </c>
      <c r="E18" s="2">
        <v>327</v>
      </c>
      <c r="F18" s="2">
        <f>E18*F15</f>
        <v>294.3</v>
      </c>
      <c r="G18" s="140">
        <f>F18*2</f>
        <v>588.6</v>
      </c>
      <c r="H18" s="140"/>
      <c r="I18" s="7"/>
    </row>
    <row r="19" spans="1:9" x14ac:dyDescent="0.3">
      <c r="A19" s="15"/>
      <c r="B19" s="23"/>
      <c r="C19" s="23" t="s">
        <v>92</v>
      </c>
      <c r="E19" s="6"/>
      <c r="I19" s="7"/>
    </row>
    <row r="20" spans="1:9" x14ac:dyDescent="0.3">
      <c r="A20" s="15"/>
      <c r="B20" s="141" t="s">
        <v>94</v>
      </c>
      <c r="C20" s="141"/>
      <c r="D20" s="141"/>
      <c r="E20" s="22" t="s">
        <v>31</v>
      </c>
      <c r="F20" s="23" t="s">
        <v>93</v>
      </c>
      <c r="G20" s="23"/>
      <c r="H20" s="23"/>
      <c r="I20" s="7"/>
    </row>
    <row r="21" spans="1:9" x14ac:dyDescent="0.3">
      <c r="A21" s="15"/>
      <c r="B21" s="39"/>
      <c r="C21" s="39"/>
      <c r="D21" s="39"/>
      <c r="E21" s="22"/>
      <c r="F21" s="23"/>
      <c r="G21" s="23"/>
      <c r="H21" s="23"/>
      <c r="I21" s="7"/>
    </row>
    <row r="22" spans="1:9" x14ac:dyDescent="0.3">
      <c r="A22" s="15"/>
      <c r="B22" s="6" t="s">
        <v>98</v>
      </c>
      <c r="C22" s="6" t="s">
        <v>31</v>
      </c>
      <c r="D22" s="40" t="s">
        <v>99</v>
      </c>
      <c r="E22" s="22"/>
      <c r="F22" s="23"/>
      <c r="G22" s="23"/>
      <c r="H22" s="23"/>
      <c r="I22" s="7"/>
    </row>
    <row r="23" spans="1:9" x14ac:dyDescent="0.3">
      <c r="A23" s="15"/>
      <c r="B23" s="6" t="s">
        <v>100</v>
      </c>
      <c r="C23" s="6" t="s">
        <v>31</v>
      </c>
      <c r="D23" s="40" t="s">
        <v>101</v>
      </c>
      <c r="E23" s="22"/>
      <c r="F23" s="23"/>
      <c r="G23" s="23"/>
      <c r="H23" s="23"/>
      <c r="I23" s="7"/>
    </row>
    <row r="24" spans="1:9" x14ac:dyDescent="0.3">
      <c r="A24" s="15"/>
      <c r="B24" s="6" t="s">
        <v>102</v>
      </c>
      <c r="C24" s="6" t="s">
        <v>31</v>
      </c>
      <c r="D24" s="40" t="s">
        <v>103</v>
      </c>
      <c r="E24" s="22"/>
      <c r="F24" s="23"/>
      <c r="G24" s="23"/>
      <c r="H24" s="23"/>
      <c r="I24" s="7"/>
    </row>
    <row r="25" spans="1:9" x14ac:dyDescent="0.3">
      <c r="A25" s="15"/>
      <c r="B25" s="6" t="s">
        <v>104</v>
      </c>
      <c r="C25" s="6" t="s">
        <v>31</v>
      </c>
      <c r="D25" s="40" t="s">
        <v>105</v>
      </c>
      <c r="E25" s="22"/>
      <c r="F25" s="23"/>
      <c r="G25" s="23"/>
      <c r="H25" s="23"/>
      <c r="I25" s="7"/>
    </row>
    <row r="26" spans="1:9" x14ac:dyDescent="0.3">
      <c r="A26" s="15"/>
      <c r="B26" s="6" t="s">
        <v>106</v>
      </c>
      <c r="C26" s="6" t="s">
        <v>31</v>
      </c>
      <c r="D26" s="40" t="s">
        <v>112</v>
      </c>
      <c r="E26" s="22"/>
      <c r="G26" t="s">
        <v>120</v>
      </c>
      <c r="H26" s="23"/>
      <c r="I26" s="7"/>
    </row>
    <row r="27" spans="1:9" x14ac:dyDescent="0.3">
      <c r="A27" s="15"/>
      <c r="B27" s="6" t="s">
        <v>107</v>
      </c>
      <c r="C27" s="6" t="s">
        <v>31</v>
      </c>
      <c r="D27" s="40" t="s">
        <v>113</v>
      </c>
      <c r="F27" s="23"/>
      <c r="G27" t="s">
        <v>121</v>
      </c>
      <c r="H27" s="23"/>
      <c r="I27" s="7"/>
    </row>
    <row r="28" spans="1:9" x14ac:dyDescent="0.3">
      <c r="A28" s="15"/>
      <c r="B28" s="6" t="s">
        <v>108</v>
      </c>
      <c r="C28" s="6" t="s">
        <v>31</v>
      </c>
      <c r="D28" s="40" t="s">
        <v>111</v>
      </c>
      <c r="F28" s="23"/>
      <c r="G28" s="23"/>
      <c r="H28" s="23"/>
      <c r="I28" s="7"/>
    </row>
    <row r="29" spans="1:9" x14ac:dyDescent="0.3">
      <c r="A29" s="15"/>
      <c r="B29" s="6" t="s">
        <v>109</v>
      </c>
      <c r="C29" s="6" t="s">
        <v>31</v>
      </c>
      <c r="D29" s="40" t="s">
        <v>110</v>
      </c>
      <c r="F29" s="23"/>
      <c r="G29" s="23"/>
      <c r="H29" s="23"/>
      <c r="I29" s="7"/>
    </row>
    <row r="30" spans="1:9" x14ac:dyDescent="0.3">
      <c r="A30" s="16"/>
      <c r="B30" s="104"/>
      <c r="C30" s="104"/>
      <c r="D30" s="24"/>
      <c r="E30" s="25"/>
      <c r="F30" s="25"/>
      <c r="G30" s="25"/>
      <c r="H30" s="25"/>
      <c r="I30" s="18"/>
    </row>
    <row r="31" spans="1:9" x14ac:dyDescent="0.3">
      <c r="A31" s="125" t="s">
        <v>37</v>
      </c>
      <c r="B31" s="128" t="s">
        <v>238</v>
      </c>
      <c r="C31" s="127" t="s">
        <v>237</v>
      </c>
      <c r="D31" s="127"/>
      <c r="E31" s="128" t="s">
        <v>116</v>
      </c>
      <c r="F31" s="128" t="s">
        <v>117</v>
      </c>
      <c r="G31" s="127" t="s">
        <v>239</v>
      </c>
      <c r="H31" s="128" t="s">
        <v>119</v>
      </c>
      <c r="I31" s="127" t="s">
        <v>44</v>
      </c>
    </row>
    <row r="32" spans="1:9" x14ac:dyDescent="0.3">
      <c r="A32" s="126"/>
      <c r="B32" s="130"/>
      <c r="C32" s="128"/>
      <c r="D32" s="128"/>
      <c r="E32" s="130"/>
      <c r="F32" s="130"/>
      <c r="G32" s="128"/>
      <c r="H32" s="130"/>
      <c r="I32" s="128"/>
    </row>
    <row r="33" spans="1:9" ht="29.25" customHeight="1" x14ac:dyDescent="0.3">
      <c r="A33" s="21">
        <v>1</v>
      </c>
      <c r="B33" s="2" t="s">
        <v>77</v>
      </c>
      <c r="C33" s="178" t="s">
        <v>240</v>
      </c>
      <c r="D33" s="179"/>
      <c r="E33" s="2">
        <v>0.15</v>
      </c>
      <c r="F33" s="2">
        <v>8.7599999999999997E-2</v>
      </c>
      <c r="G33" s="2">
        <v>0.02</v>
      </c>
      <c r="H33" s="2">
        <v>2</v>
      </c>
      <c r="I33" s="29">
        <f>(1.732*F9*G33*E33*100)/(H33*F8)</f>
        <v>0.34837614939759032</v>
      </c>
    </row>
    <row r="34" spans="1:9" x14ac:dyDescent="0.3">
      <c r="A34" s="44"/>
      <c r="B34" s="99"/>
      <c r="C34" s="97"/>
      <c r="D34" s="97"/>
      <c r="E34" s="99"/>
      <c r="F34" s="99"/>
      <c r="G34" s="99"/>
      <c r="H34" s="99"/>
      <c r="I34" s="100"/>
    </row>
    <row r="35" spans="1:9" x14ac:dyDescent="0.3">
      <c r="A35" s="44"/>
      <c r="B35" s="99"/>
      <c r="C35" s="97"/>
      <c r="D35" s="97"/>
      <c r="E35" s="99"/>
      <c r="F35" s="99"/>
      <c r="G35" s="99"/>
      <c r="H35" s="99"/>
      <c r="I35" s="100"/>
    </row>
    <row r="36" spans="1:9" x14ac:dyDescent="0.3">
      <c r="A36" s="4"/>
      <c r="G36" s="6"/>
      <c r="H36" s="6"/>
    </row>
    <row r="37" spans="1:9" x14ac:dyDescent="0.3">
      <c r="A37" s="4"/>
      <c r="I37" s="68"/>
    </row>
    <row r="38" spans="1:9" x14ac:dyDescent="0.3">
      <c r="A38" s="6"/>
      <c r="B38" s="4"/>
      <c r="C38" s="5"/>
      <c r="D38" s="5"/>
      <c r="E38" s="1"/>
      <c r="F38" s="1"/>
      <c r="G38" s="4"/>
      <c r="H38" s="4"/>
      <c r="I38" s="68"/>
    </row>
    <row r="39" spans="1:9" x14ac:dyDescent="0.3">
      <c r="A39" s="6"/>
      <c r="B39" s="4"/>
      <c r="C39" s="5"/>
      <c r="D39" s="5"/>
      <c r="E39" s="1"/>
      <c r="F39" s="1"/>
      <c r="G39" s="4"/>
      <c r="H39" s="4"/>
      <c r="I39" s="68"/>
    </row>
    <row r="40" spans="1:9" x14ac:dyDescent="0.3">
      <c r="A40" s="6"/>
      <c r="B40" s="4"/>
      <c r="C40" s="5"/>
      <c r="D40" s="5"/>
      <c r="E40" s="1"/>
      <c r="F40" s="1"/>
      <c r="G40" s="4"/>
      <c r="H40" s="4"/>
      <c r="I40" s="68"/>
    </row>
    <row r="41" spans="1:9" x14ac:dyDescent="0.3">
      <c r="A41" s="6"/>
      <c r="B41" s="4"/>
      <c r="C41" s="5"/>
      <c r="D41" s="5"/>
      <c r="E41" s="1"/>
      <c r="F41" s="1"/>
      <c r="G41" s="4"/>
      <c r="H41" s="4"/>
      <c r="I41" s="68"/>
    </row>
    <row r="42" spans="1:9" x14ac:dyDescent="0.3">
      <c r="A42" s="4"/>
      <c r="G42" s="6"/>
    </row>
    <row r="43" spans="1:9" x14ac:dyDescent="0.3">
      <c r="A43" s="4"/>
      <c r="I43" s="68"/>
    </row>
    <row r="44" spans="1:9" x14ac:dyDescent="0.3">
      <c r="A44" s="6"/>
      <c r="B44" s="4"/>
      <c r="C44" s="5"/>
      <c r="D44" s="5"/>
      <c r="E44" s="1"/>
      <c r="F44" s="1"/>
      <c r="G44" s="4"/>
      <c r="H44" s="4"/>
      <c r="I44" s="68"/>
    </row>
    <row r="45" spans="1:9" x14ac:dyDescent="0.3">
      <c r="A45" s="6"/>
      <c r="B45" s="4"/>
      <c r="C45" s="5"/>
      <c r="D45" s="5"/>
      <c r="E45" s="1"/>
      <c r="F45" s="1"/>
      <c r="G45" s="4"/>
      <c r="H45" s="4"/>
      <c r="I45" s="68"/>
    </row>
    <row r="46" spans="1:9" x14ac:dyDescent="0.3">
      <c r="A46" s="6"/>
      <c r="B46" s="4"/>
      <c r="C46" s="5"/>
      <c r="D46" s="5"/>
      <c r="E46" s="1"/>
      <c r="F46" s="1"/>
      <c r="G46" s="4"/>
      <c r="H46" s="4"/>
      <c r="I46" s="68"/>
    </row>
    <row r="47" spans="1:9" x14ac:dyDescent="0.3">
      <c r="A47" s="6"/>
      <c r="B47" s="4"/>
      <c r="C47" s="5"/>
      <c r="D47" s="5"/>
      <c r="E47" s="1"/>
      <c r="F47" s="1"/>
      <c r="G47" s="4"/>
      <c r="H47" s="4"/>
      <c r="I47" s="68"/>
    </row>
    <row r="48" spans="1:9" x14ac:dyDescent="0.3">
      <c r="A48" s="4"/>
      <c r="G48" s="6"/>
    </row>
    <row r="49" spans="1:9" x14ac:dyDescent="0.3">
      <c r="A49" s="4"/>
      <c r="I49" s="68"/>
    </row>
    <row r="50" spans="1:9" x14ac:dyDescent="0.3">
      <c r="A50" s="6"/>
      <c r="B50" s="4"/>
      <c r="C50" s="5"/>
      <c r="D50" s="5"/>
      <c r="E50" s="1"/>
      <c r="F50" s="1"/>
      <c r="G50" s="4"/>
      <c r="H50" s="4"/>
      <c r="I50" s="68"/>
    </row>
    <row r="51" spans="1:9" x14ac:dyDescent="0.3">
      <c r="A51" s="6"/>
      <c r="B51" s="4"/>
      <c r="C51" s="5"/>
      <c r="D51" s="5"/>
      <c r="E51" s="1"/>
      <c r="F51" s="1"/>
      <c r="G51" s="4"/>
      <c r="H51" s="4"/>
      <c r="I51" s="68"/>
    </row>
    <row r="52" spans="1:9" x14ac:dyDescent="0.3">
      <c r="A52" s="6"/>
      <c r="B52" s="4"/>
      <c r="C52" s="5"/>
      <c r="D52" s="5"/>
      <c r="E52" s="1"/>
      <c r="F52" s="1"/>
      <c r="G52" s="4"/>
      <c r="H52" s="4"/>
      <c r="I52" s="68"/>
    </row>
    <row r="53" spans="1:9" x14ac:dyDescent="0.3">
      <c r="A53" s="6"/>
      <c r="B53" s="4"/>
      <c r="C53" s="5"/>
      <c r="D53" s="5"/>
      <c r="E53" s="1"/>
      <c r="F53" s="1"/>
      <c r="G53" s="4"/>
      <c r="H53" s="4"/>
      <c r="I53" s="68"/>
    </row>
    <row r="54" spans="1:9" x14ac:dyDescent="0.3">
      <c r="A54" s="4"/>
      <c r="G54" s="6"/>
    </row>
    <row r="55" spans="1:9" x14ac:dyDescent="0.3">
      <c r="A55" s="4"/>
      <c r="I55" s="68"/>
    </row>
    <row r="56" spans="1:9" x14ac:dyDescent="0.3">
      <c r="G56" s="103"/>
    </row>
    <row r="57" spans="1:9" ht="15.6" x14ac:dyDescent="0.3">
      <c r="A57" s="36"/>
      <c r="B57" s="36"/>
      <c r="C57" s="36"/>
      <c r="D57" s="36"/>
      <c r="E57" s="36"/>
      <c r="F57" s="36"/>
      <c r="G57" s="36"/>
      <c r="H57" s="36"/>
      <c r="I57" s="36"/>
    </row>
    <row r="58" spans="1:9" x14ac:dyDescent="0.3">
      <c r="B58" s="23"/>
      <c r="E58" s="6"/>
      <c r="F58" s="4"/>
    </row>
    <row r="59" spans="1:9" x14ac:dyDescent="0.3">
      <c r="B59" s="23"/>
      <c r="E59" s="6"/>
      <c r="F59" s="4"/>
    </row>
    <row r="60" spans="1:9" ht="15" customHeight="1" x14ac:dyDescent="0.3">
      <c r="B60" s="36"/>
      <c r="F60" s="4"/>
    </row>
    <row r="61" spans="1:9" ht="15.6" x14ac:dyDescent="0.3">
      <c r="B61" s="37"/>
    </row>
    <row r="62" spans="1:9" x14ac:dyDescent="0.3">
      <c r="B62" s="23"/>
    </row>
    <row r="63" spans="1:9" x14ac:dyDescent="0.3">
      <c r="B63" s="23"/>
      <c r="E63" s="6"/>
      <c r="F63" s="4"/>
    </row>
    <row r="64" spans="1:9" x14ac:dyDescent="0.3">
      <c r="B64" s="23"/>
      <c r="E64" s="6"/>
      <c r="F64" s="4"/>
    </row>
    <row r="65" spans="1:9" x14ac:dyDescent="0.3">
      <c r="B65" s="23"/>
      <c r="E65" s="6"/>
      <c r="F65" s="4"/>
    </row>
    <row r="66" spans="1:9" x14ac:dyDescent="0.3">
      <c r="B66" s="23"/>
      <c r="E66" s="6"/>
    </row>
    <row r="67" spans="1:9" x14ac:dyDescent="0.3">
      <c r="B67" s="48"/>
      <c r="C67" s="48"/>
      <c r="D67" s="48"/>
      <c r="E67" s="48"/>
      <c r="F67" s="47"/>
      <c r="G67" s="49"/>
      <c r="H67" s="49"/>
    </row>
    <row r="68" spans="1:9" x14ac:dyDescent="0.3">
      <c r="F68" s="4"/>
    </row>
    <row r="70" spans="1:9" x14ac:dyDescent="0.3">
      <c r="A70" s="48"/>
      <c r="B70" s="49"/>
      <c r="C70" s="49"/>
      <c r="D70" s="49"/>
      <c r="E70" s="49"/>
      <c r="F70" s="49"/>
      <c r="G70" s="49"/>
      <c r="H70" s="49"/>
      <c r="I70" s="49"/>
    </row>
    <row r="71" spans="1:9" x14ac:dyDescent="0.3">
      <c r="A71" s="48"/>
      <c r="B71" s="49"/>
      <c r="C71" s="49"/>
      <c r="D71" s="49"/>
      <c r="E71" s="49"/>
      <c r="F71" s="49"/>
      <c r="G71" s="49"/>
      <c r="H71" s="49"/>
      <c r="I71" s="49"/>
    </row>
    <row r="72" spans="1:9" x14ac:dyDescent="0.3">
      <c r="A72" s="6"/>
      <c r="B72" s="6"/>
      <c r="C72" s="5"/>
      <c r="D72" s="5"/>
      <c r="E72" s="1"/>
      <c r="F72" s="1"/>
      <c r="G72" s="4"/>
      <c r="H72" s="4"/>
      <c r="I72" s="68"/>
    </row>
    <row r="73" spans="1:9" x14ac:dyDescent="0.3">
      <c r="A73" s="6"/>
      <c r="B73" s="6"/>
      <c r="C73" s="5"/>
      <c r="D73" s="5"/>
      <c r="E73" s="1"/>
      <c r="F73" s="1"/>
      <c r="G73" s="4"/>
      <c r="H73" s="4"/>
      <c r="I73" s="68"/>
    </row>
    <row r="74" spans="1:9" x14ac:dyDescent="0.3">
      <c r="A74" s="6"/>
      <c r="B74" s="6"/>
      <c r="C74" s="5"/>
      <c r="D74" s="5"/>
      <c r="E74" s="1"/>
      <c r="F74" s="1"/>
      <c r="G74" s="4"/>
      <c r="H74" s="4"/>
      <c r="I74" s="68"/>
    </row>
    <row r="75" spans="1:9" x14ac:dyDescent="0.3">
      <c r="A75" s="6"/>
      <c r="B75" s="6"/>
      <c r="C75" s="5"/>
      <c r="D75" s="5"/>
      <c r="E75" s="1"/>
      <c r="F75" s="1"/>
      <c r="G75" s="4"/>
      <c r="H75" s="4"/>
      <c r="I75" s="68"/>
    </row>
    <row r="76" spans="1:9" x14ac:dyDescent="0.3">
      <c r="A76" s="4"/>
      <c r="G76" s="6"/>
    </row>
    <row r="77" spans="1:9" x14ac:dyDescent="0.3">
      <c r="A77" s="4"/>
      <c r="I77" s="68"/>
    </row>
    <row r="79" spans="1:9" ht="15.6" x14ac:dyDescent="0.3">
      <c r="A79" s="36"/>
      <c r="B79" s="36"/>
      <c r="C79" s="36"/>
      <c r="D79" s="36"/>
      <c r="E79" s="36"/>
      <c r="F79" s="36"/>
      <c r="G79" s="36"/>
      <c r="H79" s="36"/>
      <c r="I79" s="36"/>
    </row>
    <row r="80" spans="1:9" x14ac:dyDescent="0.3">
      <c r="B80" s="23"/>
      <c r="E80" s="6"/>
      <c r="F80" s="4"/>
    </row>
    <row r="81" spans="1:14" x14ac:dyDescent="0.3">
      <c r="B81" s="23"/>
      <c r="E81" s="6"/>
      <c r="F81" s="4"/>
    </row>
    <row r="82" spans="1:14" ht="15.6" x14ac:dyDescent="0.3">
      <c r="B82" s="36"/>
      <c r="F82" s="4"/>
    </row>
    <row r="83" spans="1:14" ht="15.6" x14ac:dyDescent="0.3">
      <c r="B83" s="37"/>
    </row>
    <row r="84" spans="1:14" x14ac:dyDescent="0.3">
      <c r="B84" s="23"/>
    </row>
    <row r="85" spans="1:14" x14ac:dyDescent="0.3">
      <c r="B85" s="23"/>
      <c r="E85" s="6"/>
      <c r="F85" s="4"/>
    </row>
    <row r="86" spans="1:14" x14ac:dyDescent="0.3">
      <c r="B86" s="23"/>
      <c r="E86" s="6"/>
      <c r="F86" s="4"/>
    </row>
    <row r="87" spans="1:14" x14ac:dyDescent="0.3">
      <c r="B87" s="23"/>
      <c r="E87" s="6"/>
      <c r="F87" s="4"/>
    </row>
    <row r="88" spans="1:14" x14ac:dyDescent="0.3">
      <c r="B88" s="23"/>
      <c r="E88" s="6"/>
    </row>
    <row r="89" spans="1:14" x14ac:dyDescent="0.3">
      <c r="B89" s="48"/>
      <c r="C89" s="48"/>
      <c r="D89" s="48"/>
      <c r="E89" s="48"/>
      <c r="F89" s="47"/>
      <c r="G89" s="49"/>
      <c r="H89" s="49"/>
    </row>
    <row r="90" spans="1:14" x14ac:dyDescent="0.3">
      <c r="F90" s="4"/>
    </row>
    <row r="92" spans="1:14" x14ac:dyDescent="0.3">
      <c r="A92" s="48"/>
      <c r="B92" s="49"/>
      <c r="C92" s="49"/>
      <c r="D92" s="49"/>
      <c r="E92" s="49"/>
      <c r="F92" s="49"/>
      <c r="G92" s="49"/>
      <c r="H92" s="49"/>
      <c r="I92" s="49"/>
    </row>
    <row r="93" spans="1:14" x14ac:dyDescent="0.3">
      <c r="A93" s="48"/>
      <c r="B93" s="49"/>
      <c r="C93" s="49"/>
      <c r="D93" s="49"/>
      <c r="E93" s="49"/>
      <c r="F93" s="49"/>
      <c r="G93" s="49"/>
      <c r="H93" s="49"/>
      <c r="I93" s="49"/>
      <c r="N93" s="4"/>
    </row>
    <row r="94" spans="1:14" x14ac:dyDescent="0.3">
      <c r="A94" s="6"/>
      <c r="B94" s="6"/>
      <c r="C94" s="5"/>
      <c r="D94" s="5"/>
      <c r="E94" s="4"/>
      <c r="F94" s="4"/>
      <c r="G94" s="4"/>
      <c r="H94" s="4"/>
      <c r="I94" s="68"/>
    </row>
    <row r="95" spans="1:14" x14ac:dyDescent="0.3">
      <c r="A95" s="4"/>
      <c r="G95" s="6"/>
    </row>
    <row r="96" spans="1:14" x14ac:dyDescent="0.3">
      <c r="A96" s="4"/>
      <c r="I96" s="68"/>
    </row>
    <row r="126" spans="3:9" x14ac:dyDescent="0.3">
      <c r="C126" s="48"/>
      <c r="D126" s="48"/>
      <c r="E126" s="48"/>
      <c r="F126" s="48"/>
      <c r="G126" s="47"/>
      <c r="H126" s="49"/>
      <c r="I126" s="49"/>
    </row>
    <row r="127" spans="3:9" x14ac:dyDescent="0.3">
      <c r="G127" s="4"/>
    </row>
  </sheetData>
  <mergeCells count="21">
    <mergeCell ref="A1:I2"/>
    <mergeCell ref="A3:B3"/>
    <mergeCell ref="C3:I3"/>
    <mergeCell ref="A4:B4"/>
    <mergeCell ref="C4:I4"/>
    <mergeCell ref="A5:I5"/>
    <mergeCell ref="G31:G32"/>
    <mergeCell ref="H31:H32"/>
    <mergeCell ref="I31:I32"/>
    <mergeCell ref="C33:D33"/>
    <mergeCell ref="B18:C18"/>
    <mergeCell ref="G18:H18"/>
    <mergeCell ref="B20:D20"/>
    <mergeCell ref="B30:C30"/>
    <mergeCell ref="A31:A32"/>
    <mergeCell ref="B31:B32"/>
    <mergeCell ref="C31:D32"/>
    <mergeCell ref="E31:E32"/>
    <mergeCell ref="F31:F32"/>
    <mergeCell ref="B17:C17"/>
    <mergeCell ref="G17:H17"/>
  </mergeCells>
  <pageMargins left="0.7" right="0.7" top="0.75" bottom="0.75" header="0.3" footer="0.3"/>
  <pageSetup scale="80" orientation="portrait" r:id="rId1"/>
  <rowBreaks count="3" manualBreakCount="3">
    <brk id="33" max="8" man="1"/>
    <brk id="56" max="8" man="1"/>
    <brk id="102" max="16383" man="1"/>
  </rowBreaks>
  <colBreaks count="1" manualBreakCount="1">
    <brk id="9" max="12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DC Voltage Drop</vt:lpstr>
      <vt:lpstr>AC Voltage Drop</vt:lpstr>
      <vt:lpstr>AC Voltage Drop 25kW Inverter</vt:lpstr>
      <vt:lpstr>DC Voltage drop 25kW</vt:lpstr>
      <vt:lpstr>EARTH STRIP SIZE CALCULATION</vt:lpstr>
      <vt:lpstr>Earthing Calculation</vt:lpstr>
      <vt:lpstr>Termination</vt:lpstr>
      <vt:lpstr>'AC Voltage Drop 25kW Inverter'!Print_Area</vt:lpstr>
      <vt:lpstr>'DC Voltage Drop'!Print_Area</vt:lpstr>
      <vt:lpstr>'DC Voltage drop 25kW'!Print_Area</vt:lpstr>
      <vt:lpstr>'EARTH STRIP SIZE CALCULATION'!Print_Area</vt:lpstr>
      <vt:lpstr>'Earthing Calculation'!Print_Area</vt:lpstr>
      <vt:lpstr>Termination!Print_Area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Ankesh Mishra</cp:lastModifiedBy>
  <cp:lastPrinted>2019-02-12T06:24:02Z</cp:lastPrinted>
  <dcterms:created xsi:type="dcterms:W3CDTF">2018-10-03T10:02:47Z</dcterms:created>
  <dcterms:modified xsi:type="dcterms:W3CDTF">2025-06-17T07:14:50Z</dcterms:modified>
</cp:coreProperties>
</file>