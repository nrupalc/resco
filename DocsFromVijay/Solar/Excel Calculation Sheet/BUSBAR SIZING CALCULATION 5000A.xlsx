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ANKESH MISHRA\@FLASYS\Sales\@Online Selling Service\Solar Documents Bundle\@Ready to Deliver\"/>
    </mc:Choice>
  </mc:AlternateContent>
  <xr:revisionPtr revIDLastSave="0" documentId="13_ncr:1_{D385FEFF-933A-4CB3-8934-407803EF5576}" xr6:coauthVersionLast="47" xr6:coauthVersionMax="47" xr10:uidLastSave="{00000000-0000-0000-0000-000000000000}"/>
  <bookViews>
    <workbookView xWindow="-108" yWindow="-108" windowWidth="23256" windowHeight="12456" xr2:uid="{C9D23016-47FE-4251-8B1C-1820639E095D}"/>
  </bookViews>
  <sheets>
    <sheet name="5000A"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6" i="1" l="1"/>
  <c r="D95" i="1"/>
  <c r="D75" i="1"/>
  <c r="D79" i="1" s="1"/>
  <c r="D80" i="1" s="1"/>
  <c r="D84" i="1" s="1"/>
  <c r="D89" i="1" s="1"/>
  <c r="D90" i="1" s="1"/>
  <c r="D70" i="1"/>
  <c r="D67" i="1"/>
  <c r="D54" i="1"/>
  <c r="D69" i="1" s="1"/>
  <c r="D94" i="1" s="1"/>
  <c r="D99" i="1" s="1"/>
  <c r="D100" i="1" s="1"/>
  <c r="D47" i="1"/>
  <c r="D44" i="1"/>
  <c r="D45" i="1" s="1"/>
  <c r="D42" i="1"/>
  <c r="D24" i="1"/>
</calcChain>
</file>

<file path=xl/sharedStrings.xml><?xml version="1.0" encoding="utf-8"?>
<sst xmlns="http://schemas.openxmlformats.org/spreadsheetml/2006/main" count="223" uniqueCount="139">
  <si>
    <t>5000 AMPS BUS BAR CALCULATION</t>
  </si>
  <si>
    <t>PROJECT</t>
  </si>
  <si>
    <t xml:space="preserve">Revision : </t>
  </si>
  <si>
    <t>CLIENT</t>
  </si>
  <si>
    <t xml:space="preserve">Date : </t>
  </si>
  <si>
    <t>CONSULTANT</t>
  </si>
  <si>
    <t>Document ID</t>
  </si>
  <si>
    <t>Input Data</t>
  </si>
  <si>
    <t xml:space="preserve">Type </t>
  </si>
  <si>
    <t>:</t>
  </si>
  <si>
    <t>Bus duct</t>
  </si>
  <si>
    <t>System</t>
  </si>
  <si>
    <t xml:space="preserve">3PH ,3 Wire </t>
  </si>
  <si>
    <t>Rated Voltage</t>
  </si>
  <si>
    <t>Power Frequency</t>
  </si>
  <si>
    <t>50 Hz.</t>
  </si>
  <si>
    <t>Panel Max. Current Rating in Amp (Design)</t>
  </si>
  <si>
    <t>Fault Current &amp; Duration (KA RMS Symmetrical for 1 Sec.)</t>
  </si>
  <si>
    <t>Ambient Temperature (Deg. C.)</t>
  </si>
  <si>
    <t>Maximum Bus bar Temperature  (Deg. C.)</t>
  </si>
  <si>
    <t>Maximum Enclosure Temperature  (Deg. C.)</t>
  </si>
  <si>
    <t>Degree of Protection</t>
  </si>
  <si>
    <t>IP: 55</t>
  </si>
  <si>
    <t>Bus bar Size for Phase</t>
  </si>
  <si>
    <t xml:space="preserve"> 1 x 150 x 12 MM</t>
  </si>
  <si>
    <t>Bus bar Size for Neutral</t>
  </si>
  <si>
    <t>Nil</t>
  </si>
  <si>
    <t>No. of Runs</t>
  </si>
  <si>
    <t xml:space="preserve">No. of times Interleaved </t>
  </si>
  <si>
    <t>Width of Bus Bar in mm</t>
  </si>
  <si>
    <t>Thickness of Bus Bar in mm</t>
  </si>
  <si>
    <t>Bus bar cross section for Neutral in Sq.mm</t>
  </si>
  <si>
    <t>Cross section of Bus bar Selected in Sq. mm</t>
  </si>
  <si>
    <t>Type of Insulator</t>
  </si>
  <si>
    <t xml:space="preserve">SMC support </t>
  </si>
  <si>
    <t>Basic Insulation Level:</t>
  </si>
  <si>
    <t>1.1 KV</t>
  </si>
  <si>
    <t>a</t>
  </si>
  <si>
    <t>One Minute Power Frequency voltage</t>
  </si>
  <si>
    <t>2.5KV RMS</t>
  </si>
  <si>
    <t>Painting:</t>
  </si>
  <si>
    <t>a. Enclosure Interior &amp; Exterior</t>
  </si>
  <si>
    <t>Epoxy paint RAL-7032</t>
  </si>
  <si>
    <t>b. Bus bar</t>
  </si>
  <si>
    <t>Heat Shrinkable Sleeved.</t>
  </si>
  <si>
    <t>Minimum Clearance:</t>
  </si>
  <si>
    <t>a. Phase to Phase</t>
  </si>
  <si>
    <t>25 mm</t>
  </si>
  <si>
    <t>b. Phase to Earth</t>
  </si>
  <si>
    <t>20 mm</t>
  </si>
  <si>
    <t>Applicable Standard</t>
  </si>
  <si>
    <t>IS: 8623 Construction</t>
  </si>
  <si>
    <t>IS : 5082 Bus bar</t>
  </si>
  <si>
    <t>Span Between 2 support</t>
  </si>
  <si>
    <t>0.50mtr. (500mm)</t>
  </si>
  <si>
    <t>Bus duct Sizing Calculation for MCC</t>
  </si>
  <si>
    <t xml:space="preserve">Short Time Thermal Withstand Capability of Bus bar </t>
  </si>
  <si>
    <t>Minimum Cross Sectional Area of Busbar (A) In Sq. Inches</t>
  </si>
  <si>
    <t>=</t>
  </si>
  <si>
    <r>
      <t xml:space="preserve"> ( Isc / √T ) / {14 x 10</t>
    </r>
    <r>
      <rPr>
        <sz val="12"/>
        <color theme="1"/>
        <rFont val="Calibri"/>
        <family val="2"/>
      </rPr>
      <t>⁴</t>
    </r>
    <r>
      <rPr>
        <sz val="10.199999999999999"/>
        <color theme="1"/>
        <rFont val="Times New Roman"/>
        <family val="1"/>
      </rPr>
      <t xml:space="preserve"> √log</t>
    </r>
    <r>
      <rPr>
        <sz val="10.199999999999999"/>
        <color theme="1"/>
        <rFont val="Calibri"/>
        <family val="2"/>
      </rPr>
      <t>₁</t>
    </r>
    <r>
      <rPr>
        <sz val="8.65"/>
        <color theme="1"/>
        <rFont val="Calibri"/>
        <family val="2"/>
      </rPr>
      <t>₀</t>
    </r>
    <r>
      <rPr>
        <sz val="7.35"/>
        <color theme="1"/>
        <rFont val="Times New Roman"/>
        <family val="1"/>
      </rPr>
      <t xml:space="preserve">  </t>
    </r>
    <r>
      <rPr>
        <sz val="12"/>
        <color theme="1"/>
        <rFont val="Times New Roman"/>
        <family val="1"/>
      </rPr>
      <t>[T1 +258)/(T2+258)]</t>
    </r>
    <r>
      <rPr>
        <sz val="7.35"/>
        <color theme="1"/>
        <rFont val="Times New Roman"/>
        <family val="1"/>
      </rPr>
      <t xml:space="preserve"> </t>
    </r>
    <r>
      <rPr>
        <sz val="12"/>
        <color theme="1"/>
        <rFont val="Times New Roman"/>
        <family val="1"/>
      </rPr>
      <t>}</t>
    </r>
  </si>
  <si>
    <t>Isc = Short Circuit Symmetrical Fault Current in KA</t>
  </si>
  <si>
    <t>T = Fault duration in Sec</t>
  </si>
  <si>
    <t>T1 = Initial Temperature of Busbar in Deg.C</t>
  </si>
  <si>
    <t>T2 = Final Temperature in Deg.C</t>
  </si>
  <si>
    <t>A = Cross sectional area of busbar in Sq.inches</t>
  </si>
  <si>
    <t>A in sq.mm = A x 645.16</t>
  </si>
  <si>
    <t xml:space="preserve">Required cross sectional Area </t>
  </si>
  <si>
    <t xml:space="preserve">1040.4 Sq.mm for EC grade  aluminium.     </t>
  </si>
  <si>
    <t>Actual Cross section of Bus bar Selected (As per Clause1.13) in Sq.mm</t>
  </si>
  <si>
    <r>
      <t xml:space="preserve"> </t>
    </r>
    <r>
      <rPr>
        <b/>
        <sz val="12"/>
        <color theme="1"/>
        <rFont val="Times New Roman"/>
        <family val="1"/>
      </rPr>
      <t>Conclusion:</t>
    </r>
  </si>
  <si>
    <t>The required cross section 1040.4 Sq.mm is less than actual cross section 7200 Sq.mm of the bus bar selected. Hence, the bus bar size chosen is safe for the envisaged system.</t>
  </si>
  <si>
    <t>Bus bar Selection for Continuous Current Rating :</t>
  </si>
  <si>
    <t>Bus bar Selected</t>
  </si>
  <si>
    <t>As per Clause1.11</t>
  </si>
  <si>
    <t>Open air rating of bus bar for 50 Deg. C rise over ambient in Amps.</t>
  </si>
  <si>
    <t>No. of times Interleaved (As per Clause1.11)</t>
  </si>
  <si>
    <t>1 x 2620</t>
  </si>
  <si>
    <t>Overall Rating of Bus Bar in Amps.</t>
  </si>
  <si>
    <t>Phase spacing in mm.</t>
  </si>
  <si>
    <t xml:space="preserve"> Enclosed Size in (W x L x H ) mm</t>
  </si>
  <si>
    <t>2500 x 650 x 300 mm</t>
  </si>
  <si>
    <t>Bus bar Enclosed in (W x H ) mm</t>
  </si>
  <si>
    <t>350 x 300 mm</t>
  </si>
  <si>
    <t>Design Ambient Temperature</t>
  </si>
  <si>
    <t>Maximum allowable temp. rise</t>
  </si>
  <si>
    <t>Enclosure Material</t>
  </si>
  <si>
    <t>MS Steel</t>
  </si>
  <si>
    <t>De-rating / Up rating:</t>
  </si>
  <si>
    <t xml:space="preserve">Ambient correction factor for 45 Deg. Rise </t>
  </si>
  <si>
    <t>b</t>
  </si>
  <si>
    <t>Enclosure correction factor corresponding to bus bar</t>
  </si>
  <si>
    <t>c</t>
  </si>
  <si>
    <t>Enclosure Correction factor Material (MS)</t>
  </si>
  <si>
    <t>d</t>
  </si>
  <si>
    <t>Proximity Effect Factor</t>
  </si>
  <si>
    <t>e</t>
  </si>
  <si>
    <t>Bus bar Configuration Factor</t>
  </si>
  <si>
    <t>g</t>
  </si>
  <si>
    <t>Combined Correction Factor</t>
  </si>
  <si>
    <t>De-rated Current rating of bus bar after applying Correction factor in Amps.</t>
  </si>
  <si>
    <t>2620 x 0.65</t>
  </si>
  <si>
    <t>Rating of Panel required (As per Clause 1.5)</t>
  </si>
  <si>
    <t>Conclusion :</t>
  </si>
  <si>
    <t>The de-rated Current  rating 6854.7 amp of Panel selected is more than the required current rating 5000 amp of Bus duct Bus bar. Hence, the bus bar size chosen is safe for the envisaged system.</t>
  </si>
  <si>
    <t>Support Insulator Span Calculation During Short Circuit</t>
  </si>
  <si>
    <t xml:space="preserve">Fm = Peak Electromagnetic force along the centre line of busbar without enclosure  </t>
  </si>
  <si>
    <r>
      <t>K x 16 x Isc</t>
    </r>
    <r>
      <rPr>
        <sz val="12"/>
        <color theme="1"/>
        <rFont val="Calibri"/>
        <family val="2"/>
      </rPr>
      <t>²</t>
    </r>
    <r>
      <rPr>
        <sz val="10.199999999999999"/>
        <color theme="1"/>
        <rFont val="Times New Roman"/>
        <family val="1"/>
      </rPr>
      <t xml:space="preserve"> x 10</t>
    </r>
    <r>
      <rPr>
        <sz val="10.199999999999999"/>
        <color theme="1"/>
        <rFont val="Calibri"/>
        <family val="2"/>
      </rPr>
      <t>⁻⁴</t>
    </r>
    <r>
      <rPr>
        <sz val="8.65"/>
        <color theme="1"/>
        <rFont val="Times New Roman"/>
        <family val="1"/>
      </rPr>
      <t xml:space="preserve"> </t>
    </r>
    <r>
      <rPr>
        <sz val="12"/>
        <color theme="1"/>
        <rFont val="Times New Roman"/>
        <family val="1"/>
      </rPr>
      <t>/ S</t>
    </r>
  </si>
  <si>
    <t>S = Phase spacing in Meter</t>
  </si>
  <si>
    <t>K = Multiplying factor (s-a)/(a+b)</t>
  </si>
  <si>
    <r>
      <t>corresponding to</t>
    </r>
    <r>
      <rPr>
        <u/>
        <sz val="12"/>
        <color theme="1"/>
        <rFont val="Times New Roman"/>
        <family val="1"/>
      </rPr>
      <t xml:space="preserve"> a </t>
    </r>
    <r>
      <rPr>
        <sz val="12"/>
        <color theme="1"/>
        <rFont val="Times New Roman"/>
        <family val="1"/>
      </rPr>
      <t xml:space="preserve"> that is </t>
    </r>
    <r>
      <rPr>
        <u/>
        <sz val="12"/>
        <color theme="1"/>
        <rFont val="Times New Roman"/>
        <family val="1"/>
      </rPr>
      <t>60</t>
    </r>
    <r>
      <rPr>
        <sz val="12"/>
        <color theme="1"/>
        <rFont val="Times New Roman"/>
        <family val="1"/>
      </rPr>
      <t xml:space="preserve"> </t>
    </r>
  </si>
  <si>
    <t>0.4 (Refering to curve K is 0.9)</t>
  </si>
  <si>
    <r>
      <t>Fm (Nm / cm</t>
    </r>
    <r>
      <rPr>
        <sz val="12"/>
        <color theme="1"/>
        <rFont val="Calibri"/>
        <family val="2"/>
      </rPr>
      <t>²</t>
    </r>
    <r>
      <rPr>
        <sz val="10.199999999999999"/>
        <color theme="1"/>
        <rFont val="Times New Roman"/>
        <family val="1"/>
      </rPr>
      <t xml:space="preserve"> )</t>
    </r>
  </si>
  <si>
    <r>
      <t>Fm ( Kg / cm</t>
    </r>
    <r>
      <rPr>
        <sz val="12"/>
        <color theme="1"/>
        <rFont val="Calibri"/>
        <family val="2"/>
      </rPr>
      <t>²</t>
    </r>
    <r>
      <rPr>
        <sz val="10.199999999999999"/>
        <color theme="1"/>
        <rFont val="Times New Roman"/>
        <family val="1"/>
      </rPr>
      <t xml:space="preserve"> ) = (Fm x 0.1019716)</t>
    </r>
  </si>
  <si>
    <t xml:space="preserve">F = Force acting on top of the insulator </t>
  </si>
  <si>
    <t>Fm (H+h)/4H</t>
  </si>
  <si>
    <t>Where,  H = Cantilever Height of insulator in mm</t>
  </si>
  <si>
    <t>h = Distance between surface of insulator to centre of Bus bar in mm</t>
  </si>
  <si>
    <t xml:space="preserve">F </t>
  </si>
  <si>
    <t>Average span to be addopted in mm</t>
  </si>
  <si>
    <t>Cantilever Strength of insulator / safety factor x F</t>
  </si>
  <si>
    <t>Sk / (SF x F )</t>
  </si>
  <si>
    <r>
      <t>S</t>
    </r>
    <r>
      <rPr>
        <vertAlign val="subscript"/>
        <sz val="12"/>
        <color theme="1"/>
        <rFont val="Times New Roman"/>
        <family val="1"/>
      </rPr>
      <t>K</t>
    </r>
    <r>
      <rPr>
        <sz val="12"/>
        <color theme="1"/>
        <rFont val="Times New Roman"/>
        <family val="1"/>
      </rPr>
      <t xml:space="preserve"> = Cantilever strength of insulator(Kg/cm²)</t>
    </r>
  </si>
  <si>
    <t xml:space="preserve">SF = Safety factor </t>
  </si>
  <si>
    <t>Length of Span of insulator in mm</t>
  </si>
  <si>
    <t xml:space="preserve">                                    Adopted Span is </t>
  </si>
  <si>
    <t>Conclusion:</t>
  </si>
  <si>
    <t>Average span of 469 mm is required but span adopted is 500 mm, hence it is safe for the system envisaged.</t>
  </si>
  <si>
    <t>Temperature Rise Calculation</t>
  </si>
  <si>
    <r>
      <t xml:space="preserve">         Where,  I</t>
    </r>
    <r>
      <rPr>
        <vertAlign val="subscript"/>
        <sz val="12"/>
        <color theme="1"/>
        <rFont val="Times New Roman"/>
        <family val="1"/>
      </rPr>
      <t>1</t>
    </r>
    <r>
      <rPr>
        <sz val="12"/>
        <color theme="1"/>
        <rFont val="Times New Roman"/>
        <family val="1"/>
      </rPr>
      <t>=Calculated Rating in Amps (After deration) As per Clause 3.19</t>
    </r>
  </si>
  <si>
    <r>
      <t xml:space="preserve">  I</t>
    </r>
    <r>
      <rPr>
        <vertAlign val="subscript"/>
        <sz val="12"/>
        <color theme="1"/>
        <rFont val="Times New Roman"/>
        <family val="1"/>
      </rPr>
      <t>2</t>
    </r>
    <r>
      <rPr>
        <sz val="12"/>
        <color theme="1"/>
        <rFont val="Times New Roman"/>
        <family val="1"/>
      </rPr>
      <t xml:space="preserve"> = Specified Rating in Amps as per clause 1.5</t>
    </r>
  </si>
  <si>
    <r>
      <t xml:space="preserve"> T</t>
    </r>
    <r>
      <rPr>
        <vertAlign val="subscript"/>
        <sz val="12"/>
        <color theme="1"/>
        <rFont val="Times New Roman"/>
        <family val="1"/>
      </rPr>
      <t>1</t>
    </r>
    <r>
      <rPr>
        <sz val="12"/>
        <color theme="1"/>
        <rFont val="Times New Roman"/>
        <family val="1"/>
      </rPr>
      <t xml:space="preserve"> = Max. Temp. Rise (in Deg.C) Specified </t>
    </r>
  </si>
  <si>
    <r>
      <t xml:space="preserve"> T</t>
    </r>
    <r>
      <rPr>
        <vertAlign val="subscript"/>
        <sz val="12"/>
        <color theme="1"/>
        <rFont val="Times New Roman"/>
        <family val="1"/>
      </rPr>
      <t>2</t>
    </r>
    <r>
      <rPr>
        <sz val="12"/>
        <color theme="1"/>
        <rFont val="Times New Roman"/>
        <family val="1"/>
      </rPr>
      <t xml:space="preserve"> = Temp. Rise in Deg. C to be calculated as</t>
    </r>
  </si>
  <si>
    <r>
      <t>( I</t>
    </r>
    <r>
      <rPr>
        <vertAlign val="subscript"/>
        <sz val="12"/>
        <color theme="1"/>
        <rFont val="Times New Roman"/>
        <family val="1"/>
      </rPr>
      <t>1</t>
    </r>
    <r>
      <rPr>
        <sz val="12"/>
        <color theme="1"/>
        <rFont val="Times New Roman"/>
        <family val="1"/>
      </rPr>
      <t xml:space="preserve"> / I</t>
    </r>
    <r>
      <rPr>
        <vertAlign val="subscript"/>
        <sz val="12"/>
        <color theme="1"/>
        <rFont val="Times New Roman"/>
        <family val="1"/>
      </rPr>
      <t>2</t>
    </r>
    <r>
      <rPr>
        <sz val="12"/>
        <color theme="1"/>
        <rFont val="Times New Roman"/>
        <family val="1"/>
      </rPr>
      <t xml:space="preserve"> ) = ( T</t>
    </r>
    <r>
      <rPr>
        <vertAlign val="subscript"/>
        <sz val="12"/>
        <color theme="1"/>
        <rFont val="Times New Roman"/>
        <family val="1"/>
      </rPr>
      <t>1</t>
    </r>
    <r>
      <rPr>
        <sz val="12"/>
        <color theme="1"/>
        <rFont val="Times New Roman"/>
        <family val="1"/>
      </rPr>
      <t xml:space="preserve"> / T</t>
    </r>
    <r>
      <rPr>
        <vertAlign val="subscript"/>
        <sz val="12"/>
        <color theme="1"/>
        <rFont val="Times New Roman"/>
        <family val="1"/>
      </rPr>
      <t>2</t>
    </r>
    <r>
      <rPr>
        <vertAlign val="superscript"/>
        <sz val="12"/>
        <color theme="1"/>
        <rFont val="Times New Roman"/>
        <family val="1"/>
      </rPr>
      <t xml:space="preserve">)0.61 </t>
    </r>
  </si>
  <si>
    <t>T2</t>
  </si>
  <si>
    <r>
      <t>T</t>
    </r>
    <r>
      <rPr>
        <vertAlign val="subscript"/>
        <sz val="12"/>
        <color theme="1"/>
        <rFont val="Times New Roman"/>
        <family val="1"/>
      </rPr>
      <t>1</t>
    </r>
    <r>
      <rPr>
        <sz val="12"/>
        <color theme="1"/>
        <rFont val="Times New Roman"/>
        <family val="1"/>
      </rPr>
      <t xml:space="preserve"> / (I</t>
    </r>
    <r>
      <rPr>
        <vertAlign val="subscript"/>
        <sz val="12"/>
        <color theme="1"/>
        <rFont val="Times New Roman"/>
        <family val="1"/>
      </rPr>
      <t xml:space="preserve">1 / </t>
    </r>
    <r>
      <rPr>
        <sz val="12"/>
        <color theme="1"/>
        <rFont val="Times New Roman"/>
        <family val="1"/>
      </rPr>
      <t>I</t>
    </r>
    <r>
      <rPr>
        <vertAlign val="subscript"/>
        <sz val="12"/>
        <color theme="1"/>
        <rFont val="Times New Roman"/>
        <family val="1"/>
      </rPr>
      <t xml:space="preserve">2 </t>
    </r>
    <r>
      <rPr>
        <sz val="12"/>
        <color theme="1"/>
        <rFont val="Times New Roman"/>
        <family val="1"/>
      </rPr>
      <t>)</t>
    </r>
    <r>
      <rPr>
        <vertAlign val="superscript"/>
        <sz val="12"/>
        <color theme="1"/>
        <rFont val="Times New Roman"/>
        <family val="1"/>
      </rPr>
      <t>1.64</t>
    </r>
  </si>
  <si>
    <t xml:space="preserve">                  Calculated Temperature is</t>
  </si>
  <si>
    <t>The Calculated Temperature rise of bus bar is 20.86  Deg. C, which is within the design Specified Temp. 35 Deg. C and it is safe for the System envisaged.</t>
  </si>
  <si>
    <t>https://www.flasysdesign.com/</t>
  </si>
  <si>
    <t>Email: contact@flasysdesign.com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</si>
</sst>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5" x14ac:knownFonts="1">
    <font>
      <sz val="11"/>
      <color theme="1"/>
      <name val="Calibri"/>
      <family val="2"/>
      <scheme val="minor"/>
    </font>
    <font>
      <b/>
      <sz val="22"/>
      <color theme="1"/>
      <name val="Calibri"/>
      <family val="2"/>
      <scheme val="minor"/>
    </font>
    <font>
      <sz val="12"/>
      <color theme="1"/>
      <name val="Calibri"/>
      <family val="2"/>
      <scheme val="minor"/>
    </font>
    <font>
      <sz val="12"/>
      <color theme="1"/>
      <name val="Times New Roman"/>
      <family val="1"/>
    </font>
    <font>
      <b/>
      <sz val="12"/>
      <color theme="1"/>
      <name val="Times New Roman"/>
      <family val="1"/>
    </font>
    <font>
      <sz val="12"/>
      <color theme="1"/>
      <name val="Calibri"/>
      <family val="2"/>
    </font>
    <font>
      <sz val="10.199999999999999"/>
      <color theme="1"/>
      <name val="Times New Roman"/>
      <family val="1"/>
    </font>
    <font>
      <sz val="10.199999999999999"/>
      <color theme="1"/>
      <name val="Calibri"/>
      <family val="2"/>
    </font>
    <font>
      <sz val="8.65"/>
      <color theme="1"/>
      <name val="Calibri"/>
      <family val="2"/>
    </font>
    <font>
      <sz val="7.35"/>
      <color theme="1"/>
      <name val="Times New Roman"/>
      <family val="1"/>
    </font>
    <font>
      <sz val="8.65"/>
      <color theme="1"/>
      <name val="Times New Roman"/>
      <family val="1"/>
    </font>
    <font>
      <u/>
      <sz val="12"/>
      <color theme="1"/>
      <name val="Times New Roman"/>
      <family val="1"/>
    </font>
    <font>
      <vertAlign val="subscript"/>
      <sz val="12"/>
      <color theme="1"/>
      <name val="Times New Roman"/>
      <family val="1"/>
    </font>
    <font>
      <vertAlign val="superscript"/>
      <sz val="12"/>
      <color theme="1"/>
      <name val="Times New Roman"/>
      <family val="1"/>
    </font>
    <font>
      <u/>
      <sz val="11"/>
      <color theme="1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rgb="FFFFFF99"/>
        <bgColor indexed="64"/>
      </patternFill>
    </fill>
    <fill>
      <patternFill patternType="solid">
        <fgColor theme="7"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medium">
        <color indexed="64"/>
      </left>
      <right style="dotted">
        <color indexed="64"/>
      </right>
      <top/>
      <bottom/>
      <diagonal/>
    </border>
    <border>
      <left/>
      <right style="dotted">
        <color indexed="64"/>
      </right>
      <top style="dotted">
        <color indexed="64"/>
      </top>
      <bottom style="dotted">
        <color indexed="64"/>
      </bottom>
      <diagonal/>
    </border>
    <border>
      <left style="medium">
        <color indexed="64"/>
      </left>
      <right/>
      <top/>
      <bottom/>
      <diagonal/>
    </border>
    <border>
      <left style="dotted">
        <color indexed="64"/>
      </left>
      <right style="medium">
        <color indexed="64"/>
      </right>
      <top style="dotted">
        <color indexed="64"/>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bottom/>
      <diagonal/>
    </border>
    <border>
      <left style="medium">
        <color indexed="64"/>
      </left>
      <right/>
      <top style="dotted">
        <color indexed="64"/>
      </top>
      <bottom style="dotted">
        <color indexed="64"/>
      </bottom>
      <diagonal/>
    </border>
    <border>
      <left style="medium">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dotted">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92">
    <xf numFmtId="0" fontId="0" fillId="0" borderId="0" xfId="0"/>
    <xf numFmtId="0" fontId="0" fillId="0" borderId="0" xfId="0" applyAlignment="1">
      <alignment horizontal="center"/>
    </xf>
    <xf numFmtId="0" fontId="0" fillId="0" borderId="0" xfId="0" applyAlignment="1">
      <alignment horizontal="center" vertical="center"/>
    </xf>
    <xf numFmtId="1" fontId="3" fillId="2" borderId="2" xfId="0" applyNumberFormat="1" applyFont="1" applyFill="1" applyBorder="1" applyAlignment="1">
      <alignment horizontal="center" vertical="center" wrapText="1"/>
    </xf>
    <xf numFmtId="0" fontId="0" fillId="0" borderId="0" xfId="0" applyAlignment="1">
      <alignment vertical="center"/>
    </xf>
    <xf numFmtId="0" fontId="3" fillId="3" borderId="8" xfId="0" applyFont="1" applyFill="1" applyBorder="1" applyAlignment="1" applyProtection="1">
      <alignment horizontal="center" vertical="center" wrapText="1"/>
      <protection locked="0"/>
    </xf>
    <xf numFmtId="0" fontId="3" fillId="3" borderId="11" xfId="0" applyFont="1" applyFill="1" applyBorder="1" applyAlignment="1" applyProtection="1">
      <alignment horizontal="center" vertical="center" wrapText="1"/>
      <protection locked="0"/>
    </xf>
    <xf numFmtId="1" fontId="3" fillId="3" borderId="11" xfId="0" applyNumberFormat="1" applyFont="1" applyFill="1" applyBorder="1" applyAlignment="1" applyProtection="1">
      <alignment horizontal="center" vertical="center" wrapText="1"/>
      <protection locked="0"/>
    </xf>
    <xf numFmtId="0" fontId="3" fillId="4" borderId="11"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4" borderId="11" xfId="0" applyFont="1" applyFill="1" applyBorder="1" applyAlignment="1" applyProtection="1">
      <alignment horizontal="center" vertical="center" wrapText="1"/>
      <protection locked="0"/>
    </xf>
    <xf numFmtId="0" fontId="3" fillId="4" borderId="17" xfId="0" applyFont="1" applyFill="1" applyBorder="1" applyAlignment="1">
      <alignment horizontal="center" vertical="center" wrapText="1"/>
    </xf>
    <xf numFmtId="0" fontId="3" fillId="2" borderId="6" xfId="0" applyFont="1" applyFill="1" applyBorder="1" applyAlignment="1">
      <alignment horizontal="center" vertical="center" wrapText="1"/>
    </xf>
    <xf numFmtId="165" fontId="3" fillId="4" borderId="11" xfId="0" applyNumberFormat="1" applyFont="1" applyFill="1" applyBorder="1" applyAlignment="1">
      <alignment horizontal="center" vertical="center" wrapText="1"/>
    </xf>
    <xf numFmtId="0" fontId="4" fillId="2" borderId="6" xfId="0" applyFont="1" applyFill="1" applyBorder="1" applyAlignment="1">
      <alignment horizontal="center" vertical="center" wrapText="1"/>
    </xf>
    <xf numFmtId="164" fontId="3" fillId="3" borderId="11" xfId="0" applyNumberFormat="1" applyFont="1" applyFill="1" applyBorder="1" applyAlignment="1" applyProtection="1">
      <alignment horizontal="center" vertical="center" wrapText="1"/>
      <protection locked="0"/>
    </xf>
    <xf numFmtId="164" fontId="3" fillId="4" borderId="11" xfId="0" applyNumberFormat="1" applyFont="1" applyFill="1" applyBorder="1" applyAlignment="1">
      <alignment horizontal="center" vertical="center" wrapText="1"/>
    </xf>
    <xf numFmtId="164" fontId="3" fillId="5" borderId="26" xfId="0" applyNumberFormat="1" applyFont="1" applyFill="1" applyBorder="1" applyAlignment="1">
      <alignment horizontal="center" vertical="center" wrapText="1"/>
    </xf>
    <xf numFmtId="164" fontId="3" fillId="5" borderId="7" xfId="0" applyNumberFormat="1" applyFont="1" applyFill="1" applyBorder="1" applyAlignment="1">
      <alignment horizontal="center" vertical="center" wrapText="1"/>
    </xf>
    <xf numFmtId="165" fontId="3" fillId="5" borderId="8" xfId="0" applyNumberFormat="1" applyFont="1" applyFill="1" applyBorder="1" applyAlignment="1">
      <alignment horizontal="center" vertical="center" wrapText="1"/>
    </xf>
    <xf numFmtId="2" fontId="3" fillId="4" borderId="11" xfId="0" applyNumberFormat="1" applyFont="1" applyFill="1" applyBorder="1" applyAlignment="1">
      <alignment horizontal="center" vertical="center" wrapText="1"/>
    </xf>
    <xf numFmtId="0" fontId="4" fillId="5" borderId="12" xfId="0" applyFont="1" applyFill="1" applyBorder="1" applyAlignment="1">
      <alignment horizontal="center" vertical="center" wrapText="1"/>
    </xf>
    <xf numFmtId="0" fontId="3" fillId="5" borderId="28" xfId="0" applyFont="1" applyFill="1" applyBorder="1" applyAlignment="1">
      <alignment horizontal="center" vertical="center" wrapText="1"/>
    </xf>
    <xf numFmtId="164" fontId="3" fillId="5" borderId="29" xfId="0" applyNumberFormat="1" applyFont="1" applyFill="1" applyBorder="1" applyAlignment="1">
      <alignment horizontal="center" vertical="center" wrapText="1"/>
    </xf>
    <xf numFmtId="2" fontId="3" fillId="5" borderId="30" xfId="0" applyNumberFormat="1" applyFont="1" applyFill="1" applyBorder="1" applyAlignment="1">
      <alignment horizontal="center" vertical="center" wrapText="1"/>
    </xf>
    <xf numFmtId="0" fontId="3" fillId="3" borderId="0" xfId="0" applyFont="1" applyFill="1" applyAlignment="1">
      <alignment horizontal="center" vertical="center" wrapText="1"/>
    </xf>
    <xf numFmtId="0" fontId="4" fillId="6" borderId="9" xfId="0" applyFont="1" applyFill="1" applyBorder="1" applyAlignment="1">
      <alignment horizontal="center" vertical="center" wrapText="1"/>
    </xf>
    <xf numFmtId="0" fontId="3" fillId="6" borderId="27" xfId="0" applyFont="1" applyFill="1" applyBorder="1" applyAlignment="1">
      <alignment horizontal="center" vertical="center" wrapText="1"/>
    </xf>
    <xf numFmtId="164" fontId="3" fillId="6" borderId="13" xfId="0" applyNumberFormat="1"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164" fontId="3" fillId="6" borderId="10" xfId="0" applyNumberFormat="1" applyFont="1" applyFill="1" applyBorder="1" applyAlignment="1">
      <alignment horizontal="center" vertical="center" wrapText="1"/>
    </xf>
    <xf numFmtId="165" fontId="3" fillId="6" borderId="11" xfId="0" applyNumberFormat="1" applyFont="1" applyFill="1" applyBorder="1" applyAlignment="1">
      <alignment horizontal="center" vertical="center" wrapText="1"/>
    </xf>
    <xf numFmtId="0" fontId="3" fillId="6" borderId="11" xfId="0" applyFont="1" applyFill="1" applyBorder="1" applyAlignment="1">
      <alignment horizontal="center" vertical="center" wrapText="1"/>
    </xf>
    <xf numFmtId="2" fontId="3" fillId="6" borderId="9" xfId="0" applyNumberFormat="1" applyFont="1" applyFill="1" applyBorder="1" applyAlignment="1">
      <alignment horizontal="center" vertical="center" wrapText="1"/>
    </xf>
    <xf numFmtId="0" fontId="4" fillId="6" borderId="10" xfId="0" quotePrefix="1" applyFont="1" applyFill="1" applyBorder="1" applyAlignment="1">
      <alignment horizontal="center" vertical="center" wrapText="1"/>
    </xf>
    <xf numFmtId="49" fontId="4" fillId="6" borderId="10" xfId="0" quotePrefix="1" applyNumberFormat="1" applyFont="1" applyFill="1" applyBorder="1" applyAlignment="1">
      <alignment horizontal="center" vertical="center" wrapText="1"/>
    </xf>
    <xf numFmtId="0" fontId="4" fillId="6" borderId="25" xfId="0" applyFont="1" applyFill="1" applyBorder="1" applyAlignment="1">
      <alignment horizontal="center" vertical="center" wrapText="1"/>
    </xf>
    <xf numFmtId="164" fontId="3" fillId="6" borderId="25" xfId="0" applyNumberFormat="1" applyFont="1" applyFill="1" applyBorder="1" applyAlignment="1">
      <alignment horizontal="center" vertical="center" wrapText="1"/>
    </xf>
    <xf numFmtId="164" fontId="3" fillId="6" borderId="11" xfId="0" applyNumberFormat="1" applyFont="1" applyFill="1" applyBorder="1" applyAlignment="1">
      <alignment horizontal="center" vertical="center" wrapText="1"/>
    </xf>
    <xf numFmtId="0" fontId="2" fillId="6" borderId="9" xfId="0" applyFont="1" applyFill="1" applyBorder="1" applyAlignment="1">
      <alignment horizontal="center" vertical="center"/>
    </xf>
    <xf numFmtId="0" fontId="3" fillId="6" borderId="12"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0" fillId="6" borderId="10" xfId="0" applyFill="1" applyBorder="1" applyAlignment="1">
      <alignment horizontal="center" vertical="center"/>
    </xf>
    <xf numFmtId="2" fontId="3" fillId="6" borderId="12" xfId="0" applyNumberFormat="1" applyFont="1" applyFill="1" applyBorder="1" applyAlignment="1">
      <alignment horizontal="center" vertical="center" wrapText="1"/>
    </xf>
    <xf numFmtId="0" fontId="4" fillId="6" borderId="13" xfId="0" quotePrefix="1" applyFont="1" applyFill="1" applyBorder="1" applyAlignment="1">
      <alignment horizontal="center" vertical="center" wrapText="1"/>
    </xf>
    <xf numFmtId="0" fontId="4" fillId="6" borderId="10" xfId="0" applyFont="1" applyFill="1" applyBorder="1" applyAlignment="1">
      <alignment horizontal="center" vertical="center" wrapText="1"/>
    </xf>
    <xf numFmtId="0" fontId="3" fillId="6" borderId="10" xfId="0" applyFont="1" applyFill="1" applyBorder="1" applyAlignment="1" applyProtection="1">
      <alignment horizontal="center" vertical="center" wrapText="1"/>
      <protection locked="0"/>
    </xf>
    <xf numFmtId="0" fontId="4" fillId="6" borderId="10" xfId="0" applyFont="1" applyFill="1" applyBorder="1" applyAlignment="1" applyProtection="1">
      <alignment horizontal="center" vertical="center" wrapText="1"/>
      <protection locked="0"/>
    </xf>
    <xf numFmtId="0" fontId="3" fillId="6" borderId="14" xfId="0" applyFont="1" applyFill="1" applyBorder="1" applyAlignment="1">
      <alignment horizontal="center" vertical="center" wrapText="1"/>
    </xf>
    <xf numFmtId="0" fontId="3" fillId="6" borderId="24" xfId="0" applyFont="1" applyFill="1" applyBorder="1" applyAlignment="1">
      <alignment horizontal="center" vertical="center" wrapText="1"/>
    </xf>
    <xf numFmtId="0" fontId="3" fillId="6" borderId="6" xfId="0" applyFont="1" applyFill="1" applyBorder="1" applyAlignment="1">
      <alignment horizontal="center" vertical="center" wrapText="1"/>
    </xf>
    <xf numFmtId="2" fontId="3" fillId="6" borderId="11" xfId="0" applyNumberFormat="1" applyFont="1" applyFill="1" applyBorder="1" applyAlignment="1">
      <alignment horizontal="center" vertical="center" wrapText="1"/>
    </xf>
    <xf numFmtId="2" fontId="2" fillId="6" borderId="16" xfId="0" applyNumberFormat="1" applyFont="1" applyFill="1" applyBorder="1" applyAlignment="1">
      <alignment horizontal="center" vertical="center"/>
    </xf>
    <xf numFmtId="0" fontId="3" fillId="6" borderId="7"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2" fillId="6" borderId="10" xfId="0" applyFont="1" applyFill="1" applyBorder="1" applyAlignment="1">
      <alignment horizontal="center" vertical="center"/>
    </xf>
    <xf numFmtId="0" fontId="0" fillId="0" borderId="37" xfId="0" applyBorder="1" applyAlignment="1" applyProtection="1">
      <alignment horizontal="center"/>
      <protection locked="0"/>
    </xf>
    <xf numFmtId="0" fontId="2" fillId="0" borderId="38" xfId="0" applyFont="1" applyBorder="1" applyAlignment="1" applyProtection="1">
      <alignment horizontal="left" vertical="center"/>
      <protection locked="0"/>
    </xf>
    <xf numFmtId="0" fontId="0" fillId="0" borderId="38" xfId="0" applyBorder="1" applyAlignment="1" applyProtection="1">
      <alignment horizontal="left"/>
      <protection locked="0"/>
    </xf>
    <xf numFmtId="0" fontId="0" fillId="0" borderId="37" xfId="0" applyBorder="1" applyAlignment="1" applyProtection="1">
      <alignment horizontal="center" vertical="center"/>
      <protection locked="0"/>
    </xf>
    <xf numFmtId="0" fontId="14" fillId="0" borderId="38" xfId="1" applyBorder="1" applyAlignment="1" applyProtection="1">
      <alignment horizontal="left" vertical="center"/>
      <protection locked="0"/>
    </xf>
    <xf numFmtId="0" fontId="3" fillId="6" borderId="10"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0" fillId="0" borderId="32" xfId="0" applyBorder="1" applyAlignment="1" applyProtection="1">
      <alignment horizontal="center" vertical="center"/>
      <protection locked="0"/>
    </xf>
    <xf numFmtId="0" fontId="0" fillId="0" borderId="33" xfId="0" applyBorder="1" applyAlignment="1" applyProtection="1">
      <alignment horizontal="center" vertical="center"/>
      <protection locked="0"/>
    </xf>
    <xf numFmtId="0" fontId="1" fillId="0" borderId="34" xfId="0" applyFont="1" applyBorder="1" applyAlignment="1">
      <alignment horizontal="center"/>
    </xf>
    <xf numFmtId="0" fontId="1" fillId="0" borderId="35" xfId="0" applyFont="1" applyBorder="1" applyAlignment="1">
      <alignment horizontal="center"/>
    </xf>
    <xf numFmtId="0" fontId="1" fillId="0" borderId="36" xfId="0" applyFont="1" applyBorder="1" applyAlignment="1">
      <alignment horizontal="center"/>
    </xf>
    <xf numFmtId="0" fontId="0" fillId="0" borderId="1" xfId="0" applyBorder="1" applyAlignment="1" applyProtection="1">
      <alignment horizontal="left" vertical="center"/>
      <protection locked="0"/>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3" fillId="6" borderId="12"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3" fillId="3" borderId="18" xfId="0" applyFont="1" applyFill="1" applyBorder="1" applyAlignment="1" applyProtection="1">
      <alignment horizontal="center" vertical="center" wrapText="1"/>
      <protection locked="0"/>
    </xf>
    <xf numFmtId="0" fontId="3" fillId="3" borderId="21" xfId="0" applyFont="1" applyFill="1" applyBorder="1" applyAlignment="1" applyProtection="1">
      <alignment horizontal="center" vertical="center" wrapText="1"/>
      <protection locked="0"/>
    </xf>
    <xf numFmtId="0" fontId="3" fillId="3" borderId="19" xfId="0" applyFont="1" applyFill="1" applyBorder="1" applyAlignment="1" applyProtection="1">
      <alignment horizontal="center" vertical="center" wrapText="1"/>
      <protection locked="0"/>
    </xf>
    <xf numFmtId="0" fontId="3" fillId="3" borderId="20" xfId="0" applyFont="1" applyFill="1" applyBorder="1" applyAlignment="1" applyProtection="1">
      <alignment horizontal="center" vertical="center" wrapText="1"/>
      <protection locked="0"/>
    </xf>
    <xf numFmtId="0" fontId="3" fillId="3" borderId="22" xfId="0" applyFont="1" applyFill="1" applyBorder="1" applyAlignment="1" applyProtection="1">
      <alignment horizontal="center" vertical="center" wrapText="1"/>
      <protection locked="0"/>
    </xf>
    <xf numFmtId="0" fontId="3" fillId="3" borderId="23" xfId="0" applyFont="1" applyFill="1" applyBorder="1" applyAlignment="1" applyProtection="1">
      <alignment horizontal="center" vertical="center" wrapText="1"/>
      <protection locked="0"/>
    </xf>
    <xf numFmtId="0" fontId="3" fillId="3" borderId="31" xfId="0" applyFont="1" applyFill="1" applyBorder="1" applyAlignment="1" applyProtection="1">
      <alignment horizontal="center" vertical="center" wrapText="1"/>
      <protection locked="0"/>
    </xf>
    <xf numFmtId="0" fontId="3" fillId="3" borderId="3" xfId="0" applyFont="1" applyFill="1" applyBorder="1" applyAlignment="1" applyProtection="1">
      <alignment horizontal="center" vertical="center" wrapText="1"/>
      <protection locked="0"/>
    </xf>
    <xf numFmtId="0" fontId="4" fillId="3" borderId="19" xfId="0" applyFont="1" applyFill="1" applyBorder="1" applyAlignment="1" applyProtection="1">
      <alignment horizontal="center" vertical="center" wrapText="1"/>
      <protection locked="0"/>
    </xf>
    <xf numFmtId="0" fontId="4" fillId="3" borderId="20" xfId="0" applyFont="1" applyFill="1" applyBorder="1" applyAlignment="1" applyProtection="1">
      <alignment horizontal="center" vertical="center" wrapText="1"/>
      <protection locked="0"/>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388621</xdr:colOff>
      <xdr:row>0</xdr:row>
      <xdr:rowOff>30481</xdr:rowOff>
    </xdr:from>
    <xdr:to>
      <xdr:col>1</xdr:col>
      <xdr:colOff>327767</xdr:colOff>
      <xdr:row>0</xdr:row>
      <xdr:rowOff>312421</xdr:rowOff>
    </xdr:to>
    <xdr:pic>
      <xdr:nvPicPr>
        <xdr:cNvPr id="3" name="Picture 2">
          <a:extLst>
            <a:ext uri="{FF2B5EF4-FFF2-40B4-BE49-F238E27FC236}">
              <a16:creationId xmlns:a16="http://schemas.microsoft.com/office/drawing/2014/main" id="{70CF184A-92DF-BFE6-2751-916E3F619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1" y="30481"/>
          <a:ext cx="929746" cy="2819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lasysdesig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368F-FF33-4BF0-B492-75A720E45A0E}">
  <dimension ref="A1:D104"/>
  <sheetViews>
    <sheetView tabSelected="1" workbookViewId="0">
      <selection activeCell="E3" sqref="E3"/>
    </sheetView>
  </sheetViews>
  <sheetFormatPr defaultRowHeight="14.4" x14ac:dyDescent="0.3"/>
  <cols>
    <col min="1" max="1" width="14.44140625" style="1" customWidth="1"/>
    <col min="2" max="2" width="46.44140625" customWidth="1"/>
    <col min="3" max="3" width="5.77734375" style="2" customWidth="1"/>
    <col min="4" max="4" width="43" customWidth="1"/>
    <col min="5" max="5" width="46.5546875" customWidth="1"/>
  </cols>
  <sheetData>
    <row r="1" spans="1:4" ht="28.8" x14ac:dyDescent="0.55000000000000004">
      <c r="A1" s="67" t="s">
        <v>0</v>
      </c>
      <c r="B1" s="68"/>
      <c r="C1" s="68"/>
      <c r="D1" s="69"/>
    </row>
    <row r="2" spans="1:4" ht="17.25" customHeight="1" x14ac:dyDescent="0.3">
      <c r="A2" s="58" t="s">
        <v>1</v>
      </c>
      <c r="B2" s="70"/>
      <c r="C2" s="70"/>
      <c r="D2" s="59" t="s">
        <v>2</v>
      </c>
    </row>
    <row r="3" spans="1:4" ht="17.25" customHeight="1" x14ac:dyDescent="0.3">
      <c r="A3" s="58" t="s">
        <v>3</v>
      </c>
      <c r="B3" s="70"/>
      <c r="C3" s="70"/>
      <c r="D3" s="60" t="s">
        <v>4</v>
      </c>
    </row>
    <row r="4" spans="1:4" ht="17.25" customHeight="1" x14ac:dyDescent="0.3">
      <c r="A4" s="58" t="s">
        <v>5</v>
      </c>
      <c r="B4" s="65"/>
      <c r="C4" s="66"/>
      <c r="D4" s="62" t="s">
        <v>137</v>
      </c>
    </row>
    <row r="5" spans="1:4" ht="18.75" customHeight="1" x14ac:dyDescent="0.3">
      <c r="A5" s="61" t="s">
        <v>6</v>
      </c>
      <c r="B5" s="70"/>
      <c r="C5" s="70"/>
      <c r="D5" s="60" t="s">
        <v>138</v>
      </c>
    </row>
    <row r="6" spans="1:4" s="4" customFormat="1" ht="20.25" customHeight="1" thickBot="1" x14ac:dyDescent="0.35">
      <c r="A6" s="3">
        <v>1</v>
      </c>
      <c r="B6" s="71" t="s">
        <v>7</v>
      </c>
      <c r="C6" s="72"/>
      <c r="D6" s="73"/>
    </row>
    <row r="7" spans="1:4" s="4" customFormat="1" ht="21" customHeight="1" x14ac:dyDescent="0.3">
      <c r="A7" s="51">
        <v>1.1000000000000001</v>
      </c>
      <c r="B7" s="54" t="s">
        <v>8</v>
      </c>
      <c r="C7" s="55" t="s">
        <v>9</v>
      </c>
      <c r="D7" s="5" t="s">
        <v>10</v>
      </c>
    </row>
    <row r="8" spans="1:4" s="4" customFormat="1" ht="24" customHeight="1" x14ac:dyDescent="0.3">
      <c r="A8" s="29">
        <v>1.2</v>
      </c>
      <c r="B8" s="30" t="s">
        <v>11</v>
      </c>
      <c r="C8" s="46" t="s">
        <v>9</v>
      </c>
      <c r="D8" s="6" t="s">
        <v>12</v>
      </c>
    </row>
    <row r="9" spans="1:4" s="4" customFormat="1" ht="21" customHeight="1" x14ac:dyDescent="0.3">
      <c r="A9" s="29">
        <v>1.3</v>
      </c>
      <c r="B9" s="30" t="s">
        <v>13</v>
      </c>
      <c r="C9" s="46" t="s">
        <v>9</v>
      </c>
      <c r="D9" s="6">
        <v>690</v>
      </c>
    </row>
    <row r="10" spans="1:4" s="4" customFormat="1" ht="18" customHeight="1" x14ac:dyDescent="0.3">
      <c r="A10" s="29">
        <v>1.4</v>
      </c>
      <c r="B10" s="30" t="s">
        <v>14</v>
      </c>
      <c r="C10" s="46" t="s">
        <v>9</v>
      </c>
      <c r="D10" s="6" t="s">
        <v>15</v>
      </c>
    </row>
    <row r="11" spans="1:4" s="4" customFormat="1" ht="39.75" customHeight="1" x14ac:dyDescent="0.3">
      <c r="A11" s="29">
        <v>1.5</v>
      </c>
      <c r="B11" s="30" t="s">
        <v>16</v>
      </c>
      <c r="C11" s="46" t="s">
        <v>9</v>
      </c>
      <c r="D11" s="6">
        <v>5000</v>
      </c>
    </row>
    <row r="12" spans="1:4" s="4" customFormat="1" ht="38.25" customHeight="1" x14ac:dyDescent="0.3">
      <c r="A12" s="29">
        <v>1.6</v>
      </c>
      <c r="B12" s="30" t="s">
        <v>17</v>
      </c>
      <c r="C12" s="46" t="s">
        <v>9</v>
      </c>
      <c r="D12" s="6">
        <v>80</v>
      </c>
    </row>
    <row r="13" spans="1:4" s="4" customFormat="1" ht="24" customHeight="1" x14ac:dyDescent="0.3">
      <c r="A13" s="29">
        <v>1.7</v>
      </c>
      <c r="B13" s="30" t="s">
        <v>18</v>
      </c>
      <c r="C13" s="46" t="s">
        <v>9</v>
      </c>
      <c r="D13" s="6">
        <v>50</v>
      </c>
    </row>
    <row r="14" spans="1:4" s="4" customFormat="1" ht="18.75" customHeight="1" x14ac:dyDescent="0.3">
      <c r="A14" s="29">
        <v>1.8</v>
      </c>
      <c r="B14" s="30" t="s">
        <v>19</v>
      </c>
      <c r="C14" s="46" t="s">
        <v>9</v>
      </c>
      <c r="D14" s="6">
        <v>85</v>
      </c>
    </row>
    <row r="15" spans="1:4" s="4" customFormat="1" ht="21.75" customHeight="1" x14ac:dyDescent="0.3">
      <c r="A15" s="29">
        <v>1.9</v>
      </c>
      <c r="B15" s="30" t="s">
        <v>20</v>
      </c>
      <c r="C15" s="46" t="s">
        <v>9</v>
      </c>
      <c r="D15" s="6">
        <v>70</v>
      </c>
    </row>
    <row r="16" spans="1:4" s="4" customFormat="1" ht="24" customHeight="1" x14ac:dyDescent="0.3">
      <c r="A16" s="34">
        <v>1.1000000000000001</v>
      </c>
      <c r="B16" s="30" t="s">
        <v>21</v>
      </c>
      <c r="C16" s="46" t="s">
        <v>9</v>
      </c>
      <c r="D16" s="6" t="s">
        <v>22</v>
      </c>
    </row>
    <row r="17" spans="1:4" s="4" customFormat="1" ht="15" customHeight="1" x14ac:dyDescent="0.3">
      <c r="A17" s="74">
        <v>1.1100000000000001</v>
      </c>
      <c r="B17" s="42" t="s">
        <v>23</v>
      </c>
      <c r="C17" s="46" t="s">
        <v>9</v>
      </c>
      <c r="D17" s="6" t="s">
        <v>24</v>
      </c>
    </row>
    <row r="18" spans="1:4" s="4" customFormat="1" ht="15" customHeight="1" x14ac:dyDescent="0.3">
      <c r="A18" s="75"/>
      <c r="B18" s="42" t="s">
        <v>25</v>
      </c>
      <c r="C18" s="46" t="s">
        <v>9</v>
      </c>
      <c r="D18" s="6" t="s">
        <v>26</v>
      </c>
    </row>
    <row r="19" spans="1:4" s="4" customFormat="1" ht="18" customHeight="1" x14ac:dyDescent="0.3">
      <c r="A19" s="75"/>
      <c r="B19" s="30" t="s">
        <v>27</v>
      </c>
      <c r="C19" s="56" t="s">
        <v>9</v>
      </c>
      <c r="D19" s="7">
        <v>4</v>
      </c>
    </row>
    <row r="20" spans="1:4" s="4" customFormat="1" ht="21" customHeight="1" x14ac:dyDescent="0.3">
      <c r="A20" s="75"/>
      <c r="B20" s="30" t="s">
        <v>28</v>
      </c>
      <c r="C20" s="56" t="s">
        <v>9</v>
      </c>
      <c r="D20" s="7">
        <v>1</v>
      </c>
    </row>
    <row r="21" spans="1:4" s="4" customFormat="1" ht="18" customHeight="1" x14ac:dyDescent="0.3">
      <c r="A21" s="75"/>
      <c r="B21" s="30" t="s">
        <v>29</v>
      </c>
      <c r="C21" s="56" t="s">
        <v>9</v>
      </c>
      <c r="D21" s="6">
        <v>150</v>
      </c>
    </row>
    <row r="22" spans="1:4" s="4" customFormat="1" ht="16.5" customHeight="1" x14ac:dyDescent="0.3">
      <c r="A22" s="76"/>
      <c r="B22" s="54" t="s">
        <v>30</v>
      </c>
      <c r="C22" s="56" t="s">
        <v>9</v>
      </c>
      <c r="D22" s="6">
        <v>12</v>
      </c>
    </row>
    <row r="23" spans="1:4" s="4" customFormat="1" ht="17.25" customHeight="1" x14ac:dyDescent="0.3">
      <c r="A23" s="51">
        <v>1.1200000000000001</v>
      </c>
      <c r="B23" s="54" t="s">
        <v>31</v>
      </c>
      <c r="C23" s="56"/>
      <c r="D23" s="6" t="s">
        <v>26</v>
      </c>
    </row>
    <row r="24" spans="1:4" s="4" customFormat="1" ht="24" customHeight="1" x14ac:dyDescent="0.3">
      <c r="A24" s="29">
        <v>1.1299999999999999</v>
      </c>
      <c r="B24" s="30" t="s">
        <v>32</v>
      </c>
      <c r="C24" s="56" t="s">
        <v>9</v>
      </c>
      <c r="D24" s="8">
        <f>D20*D19*D21*D22</f>
        <v>7200</v>
      </c>
    </row>
    <row r="25" spans="1:4" s="4" customFormat="1" ht="23.25" customHeight="1" x14ac:dyDescent="0.3">
      <c r="A25" s="51">
        <v>1.1399999999999999</v>
      </c>
      <c r="B25" s="30" t="s">
        <v>33</v>
      </c>
      <c r="C25" s="46" t="s">
        <v>9</v>
      </c>
      <c r="D25" s="6" t="s">
        <v>34</v>
      </c>
    </row>
    <row r="26" spans="1:4" s="4" customFormat="1" ht="21" customHeight="1" x14ac:dyDescent="0.3">
      <c r="A26" s="29">
        <v>1.1499999999999999</v>
      </c>
      <c r="B26" s="30" t="s">
        <v>35</v>
      </c>
      <c r="C26" s="57"/>
      <c r="D26" s="6" t="s">
        <v>36</v>
      </c>
    </row>
    <row r="27" spans="1:4" s="4" customFormat="1" ht="26.25" customHeight="1" x14ac:dyDescent="0.3">
      <c r="A27" s="29" t="s">
        <v>37</v>
      </c>
      <c r="B27" s="30" t="s">
        <v>38</v>
      </c>
      <c r="C27" s="46" t="s">
        <v>9</v>
      </c>
      <c r="D27" s="6" t="s">
        <v>39</v>
      </c>
    </row>
    <row r="28" spans="1:4" s="4" customFormat="1" ht="23.25" customHeight="1" x14ac:dyDescent="0.3">
      <c r="A28" s="29">
        <v>1.1599999999999999</v>
      </c>
      <c r="B28" s="63" t="s">
        <v>40</v>
      </c>
      <c r="C28" s="63"/>
      <c r="D28" s="64"/>
    </row>
    <row r="29" spans="1:4" s="4" customFormat="1" ht="23.25" customHeight="1" x14ac:dyDescent="0.3">
      <c r="A29" s="29"/>
      <c r="B29" s="30" t="s">
        <v>41</v>
      </c>
      <c r="C29" s="46" t="s">
        <v>9</v>
      </c>
      <c r="D29" s="6" t="s">
        <v>42</v>
      </c>
    </row>
    <row r="30" spans="1:4" s="4" customFormat="1" ht="21.75" customHeight="1" x14ac:dyDescent="0.3">
      <c r="A30" s="29"/>
      <c r="B30" s="30" t="s">
        <v>43</v>
      </c>
      <c r="C30" s="46" t="s">
        <v>9</v>
      </c>
      <c r="D30" s="6" t="s">
        <v>44</v>
      </c>
    </row>
    <row r="31" spans="1:4" s="4" customFormat="1" ht="18" customHeight="1" x14ac:dyDescent="0.3">
      <c r="A31" s="41">
        <v>1.17</v>
      </c>
      <c r="B31" s="63" t="s">
        <v>45</v>
      </c>
      <c r="C31" s="63"/>
      <c r="D31" s="64"/>
    </row>
    <row r="32" spans="1:4" s="4" customFormat="1" ht="18" customHeight="1" x14ac:dyDescent="0.3">
      <c r="A32" s="49"/>
      <c r="B32" s="30" t="s">
        <v>46</v>
      </c>
      <c r="C32" s="46" t="s">
        <v>9</v>
      </c>
      <c r="D32" s="6" t="s">
        <v>47</v>
      </c>
    </row>
    <row r="33" spans="1:4" s="4" customFormat="1" ht="20.25" customHeight="1" x14ac:dyDescent="0.3">
      <c r="A33" s="49"/>
      <c r="B33" s="30" t="s">
        <v>48</v>
      </c>
      <c r="C33" s="46" t="s">
        <v>9</v>
      </c>
      <c r="D33" s="6" t="s">
        <v>49</v>
      </c>
    </row>
    <row r="34" spans="1:4" s="4" customFormat="1" ht="21" customHeight="1" x14ac:dyDescent="0.3">
      <c r="A34" s="29">
        <v>1.18</v>
      </c>
      <c r="B34" s="77" t="s">
        <v>50</v>
      </c>
      <c r="C34" s="46" t="s">
        <v>9</v>
      </c>
      <c r="D34" s="6" t="s">
        <v>51</v>
      </c>
    </row>
    <row r="35" spans="1:4" s="4" customFormat="1" ht="21" customHeight="1" x14ac:dyDescent="0.3">
      <c r="A35" s="29"/>
      <c r="B35" s="77"/>
      <c r="C35" s="46" t="s">
        <v>9</v>
      </c>
      <c r="D35" s="6" t="s">
        <v>52</v>
      </c>
    </row>
    <row r="36" spans="1:4" s="4" customFormat="1" ht="24" customHeight="1" x14ac:dyDescent="0.3">
      <c r="A36" s="53">
        <v>1.19</v>
      </c>
      <c r="B36" s="30" t="s">
        <v>53</v>
      </c>
      <c r="C36" s="46" t="s">
        <v>9</v>
      </c>
      <c r="D36" s="33" t="s">
        <v>54</v>
      </c>
    </row>
    <row r="37" spans="1:4" s="4" customFormat="1" ht="21" customHeight="1" x14ac:dyDescent="0.3">
      <c r="A37" s="9">
        <v>2</v>
      </c>
      <c r="B37" s="78" t="s">
        <v>55</v>
      </c>
      <c r="C37" s="78"/>
      <c r="D37" s="79"/>
    </row>
    <row r="38" spans="1:4" s="4" customFormat="1" ht="24" customHeight="1" x14ac:dyDescent="0.3">
      <c r="A38" s="29">
        <v>2.1</v>
      </c>
      <c r="B38" s="63" t="s">
        <v>56</v>
      </c>
      <c r="C38" s="63"/>
      <c r="D38" s="64"/>
    </row>
    <row r="39" spans="1:4" s="4" customFormat="1" ht="36" customHeight="1" x14ac:dyDescent="0.3">
      <c r="A39" s="29"/>
      <c r="B39" s="30" t="s">
        <v>57</v>
      </c>
      <c r="C39" s="35" t="s">
        <v>58</v>
      </c>
      <c r="D39" s="33" t="s">
        <v>59</v>
      </c>
    </row>
    <row r="40" spans="1:4" s="4" customFormat="1" ht="37.5" customHeight="1" x14ac:dyDescent="0.3">
      <c r="A40" s="40"/>
      <c r="B40" s="30" t="s">
        <v>60</v>
      </c>
      <c r="C40" s="35" t="s">
        <v>58</v>
      </c>
      <c r="D40" s="33">
        <v>80</v>
      </c>
    </row>
    <row r="41" spans="1:4" s="4" customFormat="1" ht="15.75" customHeight="1" x14ac:dyDescent="0.3">
      <c r="A41" s="40"/>
      <c r="B41" s="30" t="s">
        <v>61</v>
      </c>
      <c r="C41" s="35" t="s">
        <v>58</v>
      </c>
      <c r="D41" s="6">
        <v>1</v>
      </c>
    </row>
    <row r="42" spans="1:4" s="4" customFormat="1" ht="21.75" customHeight="1" x14ac:dyDescent="0.3">
      <c r="A42" s="40"/>
      <c r="B42" s="30" t="s">
        <v>62</v>
      </c>
      <c r="C42" s="35" t="s">
        <v>58</v>
      </c>
      <c r="D42" s="33">
        <f>D14</f>
        <v>85</v>
      </c>
    </row>
    <row r="43" spans="1:4" s="4" customFormat="1" ht="21" customHeight="1" x14ac:dyDescent="0.3">
      <c r="A43" s="40"/>
      <c r="B43" s="30" t="s">
        <v>63</v>
      </c>
      <c r="C43" s="35" t="s">
        <v>58</v>
      </c>
      <c r="D43" s="6">
        <v>200</v>
      </c>
    </row>
    <row r="44" spans="1:4" s="4" customFormat="1" ht="23.25" customHeight="1" x14ac:dyDescent="0.3">
      <c r="A44" s="29"/>
      <c r="B44" s="30" t="s">
        <v>64</v>
      </c>
      <c r="C44" s="35" t="s">
        <v>58</v>
      </c>
      <c r="D44" s="39">
        <f>(D40*1000/SQRT(D41))/(14*IMPOWER(10,4)*SQRT(LOG10((D42+258)/(D43+258))*-1))</f>
        <v>1.612562870518935</v>
      </c>
    </row>
    <row r="45" spans="1:4" s="4" customFormat="1" ht="21" customHeight="1" x14ac:dyDescent="0.3">
      <c r="A45" s="29"/>
      <c r="B45" s="30" t="s">
        <v>65</v>
      </c>
      <c r="C45" s="46"/>
      <c r="D45" s="32">
        <f>D44*645.16</f>
        <v>1040.3610615439961</v>
      </c>
    </row>
    <row r="46" spans="1:4" s="4" customFormat="1" ht="29.25" customHeight="1" x14ac:dyDescent="0.3">
      <c r="A46" s="29">
        <v>2.2000000000000002</v>
      </c>
      <c r="B46" s="30" t="s">
        <v>66</v>
      </c>
      <c r="C46" s="46"/>
      <c r="D46" s="10" t="s">
        <v>67</v>
      </c>
    </row>
    <row r="47" spans="1:4" s="4" customFormat="1" ht="33" customHeight="1" thickBot="1" x14ac:dyDescent="0.35">
      <c r="A47" s="41">
        <v>2.2000000000000002</v>
      </c>
      <c r="B47" s="42" t="s">
        <v>68</v>
      </c>
      <c r="C47" s="45" t="s">
        <v>58</v>
      </c>
      <c r="D47" s="11">
        <f>D24</f>
        <v>7200</v>
      </c>
    </row>
    <row r="48" spans="1:4" s="4" customFormat="1" ht="22.5" customHeight="1" x14ac:dyDescent="0.3">
      <c r="A48" s="80">
        <v>2.2999999999999998</v>
      </c>
      <c r="B48" s="82" t="s">
        <v>69</v>
      </c>
      <c r="C48" s="82"/>
      <c r="D48" s="83"/>
    </row>
    <row r="49" spans="1:4" s="4" customFormat="1" ht="36" customHeight="1" thickBot="1" x14ac:dyDescent="0.35">
      <c r="A49" s="81"/>
      <c r="B49" s="84" t="s">
        <v>70</v>
      </c>
      <c r="C49" s="84"/>
      <c r="D49" s="85"/>
    </row>
    <row r="50" spans="1:4" s="4" customFormat="1" ht="21.75" customHeight="1" x14ac:dyDescent="0.3">
      <c r="A50" s="12">
        <v>3</v>
      </c>
      <c r="B50" s="90" t="s">
        <v>71</v>
      </c>
      <c r="C50" s="90"/>
      <c r="D50" s="91"/>
    </row>
    <row r="51" spans="1:4" s="4" customFormat="1" ht="21.75" customHeight="1" x14ac:dyDescent="0.3">
      <c r="A51" s="34">
        <v>3.1</v>
      </c>
      <c r="B51" s="30" t="s">
        <v>72</v>
      </c>
      <c r="C51" s="46" t="s">
        <v>9</v>
      </c>
      <c r="D51" s="33" t="s">
        <v>73</v>
      </c>
    </row>
    <row r="52" spans="1:4" s="4" customFormat="1" ht="32.1" customHeight="1" x14ac:dyDescent="0.3">
      <c r="A52" s="74">
        <v>3.11</v>
      </c>
      <c r="B52" s="47" t="s">
        <v>74</v>
      </c>
      <c r="C52" s="48" t="s">
        <v>9</v>
      </c>
      <c r="D52" s="6">
        <v>2620</v>
      </c>
    </row>
    <row r="53" spans="1:4" s="4" customFormat="1" ht="23.25" customHeight="1" x14ac:dyDescent="0.3">
      <c r="A53" s="75"/>
      <c r="B53" s="50" t="s">
        <v>75</v>
      </c>
      <c r="C53" s="46" t="s">
        <v>9</v>
      </c>
      <c r="D53" s="33" t="s">
        <v>76</v>
      </c>
    </row>
    <row r="54" spans="1:4" s="4" customFormat="1" ht="17.25" customHeight="1" x14ac:dyDescent="0.3">
      <c r="A54" s="76"/>
      <c r="B54" s="30" t="s">
        <v>77</v>
      </c>
      <c r="C54" s="46" t="s">
        <v>9</v>
      </c>
      <c r="D54" s="8">
        <f>D20*D52</f>
        <v>2620</v>
      </c>
    </row>
    <row r="55" spans="1:4" s="4" customFormat="1" ht="19.5" customHeight="1" x14ac:dyDescent="0.3">
      <c r="A55" s="29">
        <v>3.12</v>
      </c>
      <c r="B55" s="30" t="s">
        <v>78</v>
      </c>
      <c r="C55" s="46" t="s">
        <v>9</v>
      </c>
      <c r="D55" s="6">
        <v>150</v>
      </c>
    </row>
    <row r="56" spans="1:4" s="4" customFormat="1" ht="19.5" customHeight="1" x14ac:dyDescent="0.3">
      <c r="A56" s="29">
        <v>3.13</v>
      </c>
      <c r="B56" s="30" t="s">
        <v>79</v>
      </c>
      <c r="C56" s="46" t="s">
        <v>9</v>
      </c>
      <c r="D56" s="6" t="s">
        <v>80</v>
      </c>
    </row>
    <row r="57" spans="1:4" s="4" customFormat="1" ht="19.5" customHeight="1" x14ac:dyDescent="0.3">
      <c r="A57" s="29">
        <v>3.14</v>
      </c>
      <c r="B57" s="30" t="s">
        <v>81</v>
      </c>
      <c r="C57" s="46" t="s">
        <v>9</v>
      </c>
      <c r="D57" s="6" t="s">
        <v>82</v>
      </c>
    </row>
    <row r="58" spans="1:4" s="4" customFormat="1" ht="26.25" customHeight="1" x14ac:dyDescent="0.3">
      <c r="A58" s="29">
        <v>3.15</v>
      </c>
      <c r="B58" s="30" t="s">
        <v>83</v>
      </c>
      <c r="C58" s="46" t="s">
        <v>9</v>
      </c>
      <c r="D58" s="6">
        <v>50</v>
      </c>
    </row>
    <row r="59" spans="1:4" s="4" customFormat="1" ht="20.25" customHeight="1" x14ac:dyDescent="0.3">
      <c r="A59" s="29">
        <v>3.16</v>
      </c>
      <c r="B59" s="30" t="s">
        <v>84</v>
      </c>
      <c r="C59" s="46" t="s">
        <v>9</v>
      </c>
      <c r="D59" s="6">
        <v>35</v>
      </c>
    </row>
    <row r="60" spans="1:4" s="4" customFormat="1" ht="30.75" customHeight="1" x14ac:dyDescent="0.3">
      <c r="A60" s="29">
        <v>3.17</v>
      </c>
      <c r="B60" s="30" t="s">
        <v>85</v>
      </c>
      <c r="C60" s="46" t="s">
        <v>9</v>
      </c>
      <c r="D60" s="6" t="s">
        <v>86</v>
      </c>
    </row>
    <row r="61" spans="1:4" s="4" customFormat="1" ht="19.5" customHeight="1" x14ac:dyDescent="0.3">
      <c r="A61" s="29">
        <v>3.18</v>
      </c>
      <c r="B61" s="63" t="s">
        <v>87</v>
      </c>
      <c r="C61" s="63"/>
      <c r="D61" s="64"/>
    </row>
    <row r="62" spans="1:4" s="4" customFormat="1" ht="21" customHeight="1" x14ac:dyDescent="0.3">
      <c r="A62" s="29" t="s">
        <v>37</v>
      </c>
      <c r="B62" s="30" t="s">
        <v>88</v>
      </c>
      <c r="C62" s="35" t="s">
        <v>58</v>
      </c>
      <c r="D62" s="33">
        <v>0.95</v>
      </c>
    </row>
    <row r="63" spans="1:4" s="4" customFormat="1" ht="34.5" customHeight="1" x14ac:dyDescent="0.3">
      <c r="A63" s="29" t="s">
        <v>89</v>
      </c>
      <c r="B63" s="30" t="s">
        <v>90</v>
      </c>
      <c r="C63" s="35" t="s">
        <v>58</v>
      </c>
      <c r="D63" s="33">
        <v>0.9</v>
      </c>
    </row>
    <row r="64" spans="1:4" s="4" customFormat="1" ht="18.75" customHeight="1" x14ac:dyDescent="0.3">
      <c r="A64" s="40" t="s">
        <v>91</v>
      </c>
      <c r="B64" s="30" t="s">
        <v>92</v>
      </c>
      <c r="C64" s="35" t="s">
        <v>58</v>
      </c>
      <c r="D64" s="33">
        <v>1</v>
      </c>
    </row>
    <row r="65" spans="1:4" s="4" customFormat="1" ht="18" customHeight="1" x14ac:dyDescent="0.3">
      <c r="A65" s="40" t="s">
        <v>93</v>
      </c>
      <c r="B65" s="30" t="s">
        <v>94</v>
      </c>
      <c r="C65" s="35" t="s">
        <v>58</v>
      </c>
      <c r="D65" s="33">
        <v>0.85</v>
      </c>
    </row>
    <row r="66" spans="1:4" s="4" customFormat="1" ht="18" customHeight="1" x14ac:dyDescent="0.3">
      <c r="A66" s="40" t="s">
        <v>95</v>
      </c>
      <c r="B66" s="30" t="s">
        <v>96</v>
      </c>
      <c r="C66" s="35" t="s">
        <v>58</v>
      </c>
      <c r="D66" s="33">
        <v>0.9</v>
      </c>
    </row>
    <row r="67" spans="1:4" s="4" customFormat="1" ht="19.5" customHeight="1" x14ac:dyDescent="0.3">
      <c r="A67" s="40" t="s">
        <v>97</v>
      </c>
      <c r="B67" s="30" t="s">
        <v>98</v>
      </c>
      <c r="C67" s="35" t="s">
        <v>58</v>
      </c>
      <c r="D67" s="52">
        <f>D62*D63*D64*D65*D66</f>
        <v>0.65407500000000007</v>
      </c>
    </row>
    <row r="68" spans="1:4" s="4" customFormat="1" ht="33.75" customHeight="1" x14ac:dyDescent="0.3">
      <c r="A68" s="41">
        <v>3.19</v>
      </c>
      <c r="B68" s="42" t="s">
        <v>99</v>
      </c>
      <c r="C68" s="35" t="s">
        <v>58</v>
      </c>
      <c r="D68" s="6" t="s">
        <v>100</v>
      </c>
    </row>
    <row r="69" spans="1:4" s="4" customFormat="1" ht="18" customHeight="1" x14ac:dyDescent="0.3">
      <c r="A69" s="41"/>
      <c r="B69" s="43"/>
      <c r="C69" s="35" t="s">
        <v>58</v>
      </c>
      <c r="D69" s="13">
        <f>D54*D67*4</f>
        <v>6854.706000000001</v>
      </c>
    </row>
    <row r="70" spans="1:4" s="4" customFormat="1" ht="18.600000000000001" customHeight="1" thickBot="1" x14ac:dyDescent="0.35">
      <c r="A70" s="44">
        <v>3.2</v>
      </c>
      <c r="B70" s="42" t="s">
        <v>101</v>
      </c>
      <c r="C70" s="45" t="s">
        <v>58</v>
      </c>
      <c r="D70" s="11">
        <f>D11</f>
        <v>5000</v>
      </c>
    </row>
    <row r="71" spans="1:4" s="4" customFormat="1" ht="15" customHeight="1" x14ac:dyDescent="0.3">
      <c r="A71" s="80">
        <v>3.21</v>
      </c>
      <c r="B71" s="88" t="s">
        <v>102</v>
      </c>
      <c r="C71" s="88"/>
      <c r="D71" s="89"/>
    </row>
    <row r="72" spans="1:4" s="4" customFormat="1" ht="35.25" customHeight="1" thickBot="1" x14ac:dyDescent="0.35">
      <c r="A72" s="81"/>
      <c r="B72" s="84" t="s">
        <v>103</v>
      </c>
      <c r="C72" s="84"/>
      <c r="D72" s="85"/>
    </row>
    <row r="73" spans="1:4" s="4" customFormat="1" ht="15" customHeight="1" x14ac:dyDescent="0.3">
      <c r="A73" s="14">
        <v>4</v>
      </c>
      <c r="B73" s="90" t="s">
        <v>104</v>
      </c>
      <c r="C73" s="90"/>
      <c r="D73" s="91"/>
    </row>
    <row r="74" spans="1:4" s="4" customFormat="1" ht="31.5" customHeight="1" x14ac:dyDescent="0.3">
      <c r="A74" s="34">
        <v>4.0999999999999996</v>
      </c>
      <c r="B74" s="30" t="s">
        <v>105</v>
      </c>
      <c r="C74" s="35" t="s">
        <v>58</v>
      </c>
      <c r="D74" s="6" t="s">
        <v>106</v>
      </c>
    </row>
    <row r="75" spans="1:4" s="4" customFormat="1" ht="39" customHeight="1" x14ac:dyDescent="0.3">
      <c r="A75" s="29" t="s">
        <v>37</v>
      </c>
      <c r="B75" s="30" t="s">
        <v>60</v>
      </c>
      <c r="C75" s="36" t="s">
        <v>58</v>
      </c>
      <c r="D75" s="33">
        <f>D12</f>
        <v>80</v>
      </c>
    </row>
    <row r="76" spans="1:4" s="4" customFormat="1" ht="20.100000000000001" customHeight="1" x14ac:dyDescent="0.3">
      <c r="A76" s="29" t="s">
        <v>89</v>
      </c>
      <c r="B76" s="30" t="s">
        <v>107</v>
      </c>
      <c r="C76" s="36" t="s">
        <v>58</v>
      </c>
      <c r="D76" s="15">
        <v>0.12</v>
      </c>
    </row>
    <row r="77" spans="1:4" s="4" customFormat="1" ht="20.100000000000001" customHeight="1" x14ac:dyDescent="0.3">
      <c r="A77" s="29" t="s">
        <v>91</v>
      </c>
      <c r="B77" s="30" t="s">
        <v>108</v>
      </c>
      <c r="C77" s="36" t="s">
        <v>58</v>
      </c>
      <c r="D77" s="15">
        <v>0.90400000000000003</v>
      </c>
    </row>
    <row r="78" spans="1:4" s="4" customFormat="1" ht="20.100000000000001" customHeight="1" x14ac:dyDescent="0.3">
      <c r="A78" s="29"/>
      <c r="B78" s="30" t="s">
        <v>109</v>
      </c>
      <c r="C78" s="36" t="s">
        <v>58</v>
      </c>
      <c r="D78" s="15" t="s">
        <v>110</v>
      </c>
    </row>
    <row r="79" spans="1:4" s="4" customFormat="1" ht="20.100000000000001" customHeight="1" x14ac:dyDescent="0.3">
      <c r="A79" s="29"/>
      <c r="B79" s="30" t="s">
        <v>111</v>
      </c>
      <c r="C79" s="36" t="s">
        <v>58</v>
      </c>
      <c r="D79" s="32">
        <f>(0.9*16*D75*1000*D75*1000*IMPOWER(10,-4)/250)</f>
        <v>36864</v>
      </c>
    </row>
    <row r="80" spans="1:4" s="4" customFormat="1" ht="20.100000000000001" customHeight="1" x14ac:dyDescent="0.3">
      <c r="A80" s="29"/>
      <c r="B80" s="30" t="s">
        <v>112</v>
      </c>
      <c r="C80" s="36" t="s">
        <v>58</v>
      </c>
      <c r="D80" s="39">
        <f>D79*0.1019716</f>
        <v>3759.0810623999996</v>
      </c>
    </row>
    <row r="81" spans="1:4" s="4" customFormat="1" ht="15" customHeight="1" x14ac:dyDescent="0.3">
      <c r="A81" s="29">
        <v>4.12</v>
      </c>
      <c r="B81" s="30" t="s">
        <v>113</v>
      </c>
      <c r="C81" s="35" t="s">
        <v>58</v>
      </c>
      <c r="D81" s="33" t="s">
        <v>114</v>
      </c>
    </row>
    <row r="82" spans="1:4" s="4" customFormat="1" ht="30.75" customHeight="1" x14ac:dyDescent="0.3">
      <c r="A82" s="26" t="s">
        <v>37</v>
      </c>
      <c r="B82" s="30" t="s">
        <v>115</v>
      </c>
      <c r="C82" s="35" t="s">
        <v>58</v>
      </c>
      <c r="D82" s="6">
        <v>42</v>
      </c>
    </row>
    <row r="83" spans="1:4" s="4" customFormat="1" ht="31.5" customHeight="1" x14ac:dyDescent="0.3">
      <c r="A83" s="26" t="s">
        <v>89</v>
      </c>
      <c r="B83" s="30" t="s">
        <v>116</v>
      </c>
      <c r="C83" s="35" t="s">
        <v>58</v>
      </c>
      <c r="D83" s="6">
        <v>85</v>
      </c>
    </row>
    <row r="84" spans="1:4" s="4" customFormat="1" ht="17.100000000000001" customHeight="1" x14ac:dyDescent="0.3">
      <c r="A84" s="26"/>
      <c r="B84" s="30" t="s">
        <v>117</v>
      </c>
      <c r="C84" s="35" t="s">
        <v>58</v>
      </c>
      <c r="D84" s="32">
        <f>D80*(D82+D83)/(4*D82)</f>
        <v>2841.6862793142855</v>
      </c>
    </row>
    <row r="85" spans="1:4" s="4" customFormat="1" ht="33.75" customHeight="1" x14ac:dyDescent="0.3">
      <c r="A85" s="26">
        <v>4.13</v>
      </c>
      <c r="B85" s="30" t="s">
        <v>118</v>
      </c>
      <c r="C85" s="35" t="s">
        <v>58</v>
      </c>
      <c r="D85" s="33" t="s">
        <v>119</v>
      </c>
    </row>
    <row r="86" spans="1:4" s="4" customFormat="1" ht="19.5" customHeight="1" x14ac:dyDescent="0.3">
      <c r="A86" s="26"/>
      <c r="B86" s="30"/>
      <c r="C86" s="30" t="s">
        <v>58</v>
      </c>
      <c r="D86" s="33" t="s">
        <v>120</v>
      </c>
    </row>
    <row r="87" spans="1:4" s="4" customFormat="1" ht="19.350000000000001" customHeight="1" x14ac:dyDescent="0.3">
      <c r="A87" s="26" t="s">
        <v>37</v>
      </c>
      <c r="B87" s="30" t="s">
        <v>121</v>
      </c>
      <c r="C87" s="35" t="s">
        <v>58</v>
      </c>
      <c r="D87" s="6">
        <v>2000</v>
      </c>
    </row>
    <row r="88" spans="1:4" s="4" customFormat="1" ht="19.350000000000001" customHeight="1" x14ac:dyDescent="0.3">
      <c r="A88" s="37" t="s">
        <v>89</v>
      </c>
      <c r="B88" s="30" t="s">
        <v>122</v>
      </c>
      <c r="C88" s="35" t="s">
        <v>58</v>
      </c>
      <c r="D88" s="6">
        <v>1.5</v>
      </c>
    </row>
    <row r="89" spans="1:4" s="4" customFormat="1" ht="19.5" customHeight="1" x14ac:dyDescent="0.3">
      <c r="A89" s="38"/>
      <c r="B89" s="31" t="s">
        <v>123</v>
      </c>
      <c r="C89" s="31" t="s">
        <v>58</v>
      </c>
      <c r="D89" s="16">
        <f>(D87*1000)/(D88*D84)</f>
        <v>469.20497277942803</v>
      </c>
    </row>
    <row r="90" spans="1:4" s="4" customFormat="1" ht="21" customHeight="1" thickBot="1" x14ac:dyDescent="0.35">
      <c r="A90" s="17"/>
      <c r="B90" s="18" t="s">
        <v>124</v>
      </c>
      <c r="C90" s="18"/>
      <c r="D90" s="19" t="str">
        <f>IF(450&lt;D89,"OK","CHECK")</f>
        <v>OK</v>
      </c>
    </row>
    <row r="91" spans="1:4" s="4" customFormat="1" ht="17.25" customHeight="1" x14ac:dyDescent="0.3">
      <c r="A91" s="80">
        <v>4.4000000000000004</v>
      </c>
      <c r="B91" s="88" t="s">
        <v>125</v>
      </c>
      <c r="C91" s="88"/>
      <c r="D91" s="89"/>
    </row>
    <row r="92" spans="1:4" s="4" customFormat="1" ht="37.5" customHeight="1" thickBot="1" x14ac:dyDescent="0.35">
      <c r="A92" s="81"/>
      <c r="B92" s="84" t="s">
        <v>126</v>
      </c>
      <c r="C92" s="84"/>
      <c r="D92" s="85"/>
    </row>
    <row r="93" spans="1:4" s="4" customFormat="1" ht="21" customHeight="1" x14ac:dyDescent="0.3">
      <c r="A93" s="14">
        <v>5</v>
      </c>
      <c r="B93" s="90" t="s">
        <v>127</v>
      </c>
      <c r="C93" s="90"/>
      <c r="D93" s="91"/>
    </row>
    <row r="94" spans="1:4" s="4" customFormat="1" ht="39.75" customHeight="1" x14ac:dyDescent="0.3">
      <c r="A94" s="29">
        <v>5.0999999999999996</v>
      </c>
      <c r="B94" s="30" t="s">
        <v>128</v>
      </c>
      <c r="C94" s="31" t="s">
        <v>58</v>
      </c>
      <c r="D94" s="32">
        <f>D69</f>
        <v>6854.706000000001</v>
      </c>
    </row>
    <row r="95" spans="1:4" s="4" customFormat="1" ht="40.5" customHeight="1" x14ac:dyDescent="0.3">
      <c r="A95" s="29">
        <v>5.2</v>
      </c>
      <c r="B95" s="30" t="s">
        <v>129</v>
      </c>
      <c r="C95" s="31" t="s">
        <v>58</v>
      </c>
      <c r="D95" s="33">
        <f>D11</f>
        <v>5000</v>
      </c>
    </row>
    <row r="96" spans="1:4" s="4" customFormat="1" ht="22.35" customHeight="1" x14ac:dyDescent="0.3">
      <c r="A96" s="29">
        <v>5.3</v>
      </c>
      <c r="B96" s="30" t="s">
        <v>130</v>
      </c>
      <c r="C96" s="31" t="s">
        <v>58</v>
      </c>
      <c r="D96" s="33">
        <f>D14-D13</f>
        <v>35</v>
      </c>
    </row>
    <row r="97" spans="1:4" s="4" customFormat="1" ht="20.55" customHeight="1" x14ac:dyDescent="0.3">
      <c r="A97" s="29">
        <v>5.4</v>
      </c>
      <c r="B97" s="30" t="s">
        <v>131</v>
      </c>
      <c r="C97" s="31" t="s">
        <v>58</v>
      </c>
      <c r="D97" s="33" t="s">
        <v>132</v>
      </c>
    </row>
    <row r="98" spans="1:4" s="4" customFormat="1" ht="23.1" customHeight="1" x14ac:dyDescent="0.3">
      <c r="A98" s="26"/>
      <c r="B98" s="27" t="s">
        <v>133</v>
      </c>
      <c r="C98" s="31" t="s">
        <v>58</v>
      </c>
      <c r="D98" s="33" t="s">
        <v>134</v>
      </c>
    </row>
    <row r="99" spans="1:4" s="4" customFormat="1" ht="21.6" customHeight="1" x14ac:dyDescent="0.3">
      <c r="A99" s="26"/>
      <c r="B99" s="27"/>
      <c r="C99" s="28" t="s">
        <v>58</v>
      </c>
      <c r="D99" s="20">
        <f>D96/IMPOWER((D94/D95),1.64)</f>
        <v>20.86205884704539</v>
      </c>
    </row>
    <row r="100" spans="1:4" s="4" customFormat="1" ht="21.6" customHeight="1" thickBot="1" x14ac:dyDescent="0.35">
      <c r="A100" s="21"/>
      <c r="B100" s="22" t="s">
        <v>135</v>
      </c>
      <c r="C100" s="23" t="s">
        <v>58</v>
      </c>
      <c r="D100" s="24" t="str">
        <f>IF(D99&lt;D13,"OK","CHECK")</f>
        <v>OK</v>
      </c>
    </row>
    <row r="101" spans="1:4" ht="20.55" customHeight="1" x14ac:dyDescent="0.3">
      <c r="A101" s="86">
        <v>5.5</v>
      </c>
      <c r="B101" s="88" t="s">
        <v>102</v>
      </c>
      <c r="C101" s="88"/>
      <c r="D101" s="89"/>
    </row>
    <row r="102" spans="1:4" ht="33.6" customHeight="1" thickBot="1" x14ac:dyDescent="0.35">
      <c r="A102" s="87"/>
      <c r="B102" s="84" t="s">
        <v>136</v>
      </c>
      <c r="C102" s="84"/>
      <c r="D102" s="85"/>
    </row>
    <row r="103" spans="1:4" ht="33" customHeight="1" x14ac:dyDescent="0.3">
      <c r="A103" s="25"/>
      <c r="B103" s="25"/>
      <c r="C103" s="25"/>
      <c r="D103" s="25"/>
    </row>
    <row r="104" spans="1:4" x14ac:dyDescent="0.3">
      <c r="B104" s="1"/>
      <c r="D104" s="1"/>
    </row>
  </sheetData>
  <mergeCells count="29">
    <mergeCell ref="A101:A102"/>
    <mergeCell ref="B101:D101"/>
    <mergeCell ref="B102:D102"/>
    <mergeCell ref="B50:D50"/>
    <mergeCell ref="A52:A54"/>
    <mergeCell ref="B61:D61"/>
    <mergeCell ref="A71:A72"/>
    <mergeCell ref="B71:D71"/>
    <mergeCell ref="B72:D72"/>
    <mergeCell ref="B73:D73"/>
    <mergeCell ref="A91:A92"/>
    <mergeCell ref="B91:D91"/>
    <mergeCell ref="B92:D92"/>
    <mergeCell ref="B93:D93"/>
    <mergeCell ref="B31:D31"/>
    <mergeCell ref="B34:B35"/>
    <mergeCell ref="B37:D37"/>
    <mergeCell ref="B38:D38"/>
    <mergeCell ref="A48:A49"/>
    <mergeCell ref="B48:D48"/>
    <mergeCell ref="B49:D49"/>
    <mergeCell ref="B28:D28"/>
    <mergeCell ref="B4:C4"/>
    <mergeCell ref="A1:D1"/>
    <mergeCell ref="B2:C2"/>
    <mergeCell ref="B3:C3"/>
    <mergeCell ref="B5:C5"/>
    <mergeCell ref="B6:D6"/>
    <mergeCell ref="A17:A22"/>
  </mergeCells>
  <hyperlinks>
    <hyperlink ref="D4" r:id="rId1" xr:uid="{2DE3D5DE-5069-4616-A377-82E2502B337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Ankesh Mishra</dc:creator>
  <cp:lastModifiedBy>Ankesh Mishra</cp:lastModifiedBy>
  <dcterms:created xsi:type="dcterms:W3CDTF">2025-03-03T10:47:19Z</dcterms:created>
  <dcterms:modified xsi:type="dcterms:W3CDTF">2025-03-19T07:59:47Z</dcterms:modified>
</cp:coreProperties>
</file>