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690F05A0-D701-4596-8A19-BDD3AA7EF1B2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HT Cable" sheetId="7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0">#REF!</definedName>
    <definedName name="\a">#REF!</definedName>
    <definedName name="\b">#N/A</definedName>
    <definedName name="\C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x">#REF!</definedName>
    <definedName name="_____aaa5">#REF!</definedName>
    <definedName name="_____bol1">#REF!</definedName>
    <definedName name="____aaa5">#REF!</definedName>
    <definedName name="____bol1">#REF!</definedName>
    <definedName name="___aaa5">#REF!</definedName>
    <definedName name="___bol1">#REF!</definedName>
    <definedName name="__aaa5">#REF!</definedName>
    <definedName name="__bol1">#REF!</definedName>
    <definedName name="__xlnm.Print_Area_1">#REF!</definedName>
    <definedName name="_1">#REF!</definedName>
    <definedName name="_1Excel_BuiltIn_Print_Titles_3_1">[1]PMCC3!$A$1:$M$65501,[1]PMCC3!$A$6:$IV$8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3.5Cx300_sqmm_Al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aaa10">#REF!</definedName>
    <definedName name="_aaa5">#REF!</definedName>
    <definedName name="_AAA51">#REF!</definedName>
    <definedName name="_aaa55">#REF!</definedName>
    <definedName name="_AAA6">#REF!</definedName>
    <definedName name="_AAA7">#REF!</definedName>
    <definedName name="_AAD5">#REF!</definedName>
    <definedName name="_aad55">#REF!</definedName>
    <definedName name="_bbl34">'[2]load data'!$Q$8:$S$41</definedName>
    <definedName name="_bol1">#REF!</definedName>
    <definedName name="_c">NA()</definedName>
    <definedName name="_can430">40.73</definedName>
    <definedName name="_can435">43.3</definedName>
    <definedName name="_cgl34">'[2]load data'!$AA$8:$AC$41</definedName>
    <definedName name="_Ctr10">#REF!</definedName>
    <definedName name="_CY53__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ill" hidden="1">#REF!</definedName>
    <definedName name="_flx200">#REF!</definedName>
    <definedName name="_flx250">#REF!</definedName>
    <definedName name="_flx300">#REF!</definedName>
    <definedName name="_foo1">#REF!</definedName>
    <definedName name="_foo2">#REF!</definedName>
    <definedName name="_foo3">#REF!</definedName>
    <definedName name="_FOO4">#REF!</definedName>
    <definedName name="_GOTO_I10_">#REF!</definedName>
    <definedName name="_h">NA()</definedName>
    <definedName name="_Order1" hidden="1">255</definedName>
    <definedName name="_p">NA()</definedName>
    <definedName name="_pcc1">#REF!</definedName>
    <definedName name="_pcc2">#REF!</definedName>
    <definedName name="_pcc3">#REF!</definedName>
    <definedName name="_PCC4">#REF!</definedName>
    <definedName name="_plb1">#REF!</definedName>
    <definedName name="_plb2">#REF!</definedName>
    <definedName name="_plb3">#REF!</definedName>
    <definedName name="_plb4">#REF!</definedName>
    <definedName name="_PPRN3..AF242">#REF!</definedName>
    <definedName name="_r">NA()</definedName>
    <definedName name="_RUN1">#REF!</definedName>
    <definedName name="_RUN4">#REF!</definedName>
    <definedName name="_RUN5">#REF!</definedName>
    <definedName name="_RUN7">#REF!</definedName>
    <definedName name="_RUN8">#REF!</definedName>
    <definedName name="_RUN9">#REF!</definedName>
    <definedName name="_RVAE306___DOWN">#REF!</definedName>
    <definedName name="_RVAE358___DOWN">#REF!</definedName>
    <definedName name="_RVAE395___DOWN">#REF!</definedName>
    <definedName name="_RVY53..AE53__">#REF!</definedName>
    <definedName name="_s">NA()</definedName>
    <definedName name="_sec1">#REF!</definedName>
    <definedName name="_Sec2">#REF!</definedName>
    <definedName name="_sec3">#REF!</definedName>
    <definedName name="_Sec4">#REF!</definedName>
    <definedName name="_sec5">#REF!</definedName>
    <definedName name="_sec6">#REF!</definedName>
    <definedName name="_sec7">#REF!</definedName>
    <definedName name="_sec71">#REF!</definedName>
    <definedName name="_SEC77">#REF!</definedName>
    <definedName name="_sec8">#REF!</definedName>
    <definedName name="_sec81">#REF!</definedName>
    <definedName name="_SEC88">#REF!</definedName>
    <definedName name="_SEC9">#REF!</definedName>
    <definedName name="_SH1">#REF!</definedName>
    <definedName name="_SH2">#REF!</definedName>
    <definedName name="_SH3">#REF!</definedName>
    <definedName name="_SH4">#REF!</definedName>
    <definedName name="_SH5">#REF!</definedName>
    <definedName name="_Ter1">#REF!</definedName>
    <definedName name="_tk1">#REF!</definedName>
    <definedName name="_WGZY_">#REF!</definedName>
    <definedName name="A">#REF!</definedName>
    <definedName name="A_DF">#REF!</definedName>
    <definedName name="A1M170">#REF!</definedName>
    <definedName name="AAA">#REF!</definedName>
    <definedName name="aaaa">#REF!</definedName>
    <definedName name="aaaa5">#REF!</definedName>
    <definedName name="aaaaa">#REF!</definedName>
    <definedName name="ABSTRACT">#REF!</definedName>
    <definedName name="ACTEA" localSheetId="0">#REF!</definedName>
    <definedName name="ACTEA">#REF!</definedName>
    <definedName name="additional">#REF!</definedName>
    <definedName name="ADFSDF" hidden="1">#REF!</definedName>
    <definedName name="admn_off">#REF!</definedName>
    <definedName name="admn_site">#REF!</definedName>
    <definedName name="afb" localSheetId="0">#REF!</definedName>
    <definedName name="afb">#REF!</definedName>
    <definedName name="Ag" localSheetId="0">#REF!</definedName>
    <definedName name="ald" localSheetId="0">#REF!</definedName>
    <definedName name="ald">#REF!</definedName>
    <definedName name="alw" localSheetId="0">#REF!</definedName>
    <definedName name="alw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pet">#REF!</definedName>
    <definedName name="AREAS_CA_CANOPY__WAREHOUSE">#REF!</definedName>
    <definedName name="AREAS_CB_Canteen_Building">#REF!</definedName>
    <definedName name="AREAS_CIPT_Tanker_CIP_Shed">#REF!</definedName>
    <definedName name="AREAS_CLRR_Contract_Labour_Rest_Room">#REF!</definedName>
    <definedName name="AREAS_CS_Chemical_Store">#REF!</definedName>
    <definedName name="AREAS_ETPC_ETP_Civil_Works">#REF!</definedName>
    <definedName name="AREAS_EX_EXTERNAL_WORKS">#REF!</definedName>
    <definedName name="AREAS_FC_Farmer_s_Conference">#REF!</definedName>
    <definedName name="AREAS_FU_Fumigation">#REF!</definedName>
    <definedName name="AREAS_GA_General_Area___Overall">#REF!</definedName>
    <definedName name="AREAS_GP_Guard_Posts">#REF!</definedName>
    <definedName name="AREAS_LS_LubeOil_Stores">#REF!</definedName>
    <definedName name="AREAS_MR_TB_Milk_Reception_Tanker_s_Bay">#REF!</definedName>
    <definedName name="AREAS_MTF_Milk_Tank_Foundations">#REF!</definedName>
    <definedName name="AREAS_PB_PROCESS_BUILDING">#REF!</definedName>
    <definedName name="AREAS_PR_Pipe_Racks">#REF!</definedName>
    <definedName name="AREAS_SR_2_Security_Room___2">#REF!</definedName>
    <definedName name="AREAS_SR_3_Store_Room">#REF!</definedName>
    <definedName name="AREAS_ST_Stacks_near_Utility_Buildings">#REF!</definedName>
    <definedName name="AREAS_SY_Scrap_Yard">#REF!</definedName>
    <definedName name="AREAS_TWW_Truck_Wheel_Wash">#REF!</definedName>
    <definedName name="AREAS_TY_Transformer_Yard">#REF!</definedName>
    <definedName name="AREAS_UB_UTILITY_BLOCK">#REF!</definedName>
    <definedName name="AREAS_WH_Ware_House_Area">#REF!</definedName>
    <definedName name="ASDE">#REF!</definedName>
    <definedName name="ASDSD">#REF!</definedName>
    <definedName name="atm" localSheetId="0">#REF!</definedName>
    <definedName name="atm">#REF!</definedName>
    <definedName name="atm_2" localSheetId="0">#REF!</definedName>
    <definedName name="atm_2">#REF!</definedName>
    <definedName name="Auftragswert" localSheetId="0">#REF!</definedName>
    <definedName name="Auftragswert">#REF!</definedName>
    <definedName name="AWERTGFDGFDSG">#REF!</definedName>
    <definedName name="b" localSheetId="0">#REF!</definedName>
    <definedName name="B_DF">#REF!</definedName>
    <definedName name="bblfull">'[2]load data'!$V$8:$X$41</definedName>
    <definedName name="beam">#REF!</definedName>
    <definedName name="BEAMS">#REF!</definedName>
    <definedName name="bel">#REF!</definedName>
    <definedName name="bjlc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P">#REF!</definedName>
    <definedName name="bol" localSheetId="0">#REF!</definedName>
    <definedName name="bol">#REF!</definedName>
    <definedName name="boml" localSheetId="0">#REF!</definedName>
    <definedName name="boml">#REF!</definedName>
    <definedName name="boml1">#REF!</definedName>
    <definedName name="boq">#REF!</definedName>
    <definedName name="BOTA">#REF!</definedName>
    <definedName name="botl" localSheetId="0">#REF!</definedName>
    <definedName name="botl">#REF!</definedName>
    <definedName name="botl1">#REF!</definedName>
    <definedName name="botn" localSheetId="0">#REF!</definedName>
    <definedName name="botn">#REF!</definedName>
    <definedName name="Breaks" localSheetId="0">#REF!</definedName>
    <definedName name="Breaks">#REF!</definedName>
    <definedName name="bsec1">#REF!</definedName>
    <definedName name="bsec2">#REF!</definedName>
    <definedName name="bsec3">#REF!</definedName>
    <definedName name="bsec4">#REF!</definedName>
    <definedName name="bsec5">#REF!</definedName>
    <definedName name="bsec6">#REF!</definedName>
    <definedName name="bua" localSheetId="0">#REF!</definedName>
    <definedName name="bua">#REF!</definedName>
    <definedName name="BuiltIn_Print_Area">#REF!</definedName>
    <definedName name="BuiltIn_Print_Area___0">#REF!</definedName>
    <definedName name="BuiltIn_Print_Titles">#REF!</definedName>
    <definedName name="bwfb" localSheetId="0">#REF!</definedName>
    <definedName name="bwfb">#REF!</definedName>
    <definedName name="bwl" localSheetId="0">#REF!</definedName>
    <definedName name="bwl">#REF!</definedName>
    <definedName name="bwld" localSheetId="0">#REF!</definedName>
    <definedName name="bwld">#REF!</definedName>
    <definedName name="bww" localSheetId="0">#REF!</definedName>
    <definedName name="bww">#REF!</definedName>
    <definedName name="C.L.WALL">#REF!</definedName>
    <definedName name="C.S.WALL">#REF!</definedName>
    <definedName name="C_DF">#REF!</definedName>
    <definedName name="CA" localSheetId="0">#REF!</definedName>
    <definedName name="CA">#REF!</definedName>
    <definedName name="CA_2" localSheetId="0">#REF!</definedName>
    <definedName name="CA_2">#REF!</definedName>
    <definedName name="Cable1">#REF!</definedName>
    <definedName name="Calibration">#REF!</definedName>
    <definedName name="capital">#REF!</definedName>
    <definedName name="cash_bank">#REF!</definedName>
    <definedName name="CASH_OUT">#REF!</definedName>
    <definedName name="cbgl1">#REF!</definedName>
    <definedName name="cbgl2">#REF!</definedName>
    <definedName name="cbgl3">#REF!</definedName>
    <definedName name="cbgl4">#REF!</definedName>
    <definedName name="CC5a">#REF!</definedName>
    <definedName name="CC5a1">#REF!</definedName>
    <definedName name="ccolagl">#REF!</definedName>
    <definedName name="cfb">#REF!</definedName>
    <definedName name="cfbeams">#REF!</definedName>
    <definedName name="cfsalb">#REF!</definedName>
    <definedName name="cfslab">#REF!</definedName>
    <definedName name="cglfull">'[2]load data'!$AF$8:$AH$41</definedName>
    <definedName name="check">#REF!</definedName>
    <definedName name="checked" localSheetId="0">#REF!</definedName>
    <definedName name="checked">#REF!</definedName>
    <definedName name="ckeck1">#REF!</definedName>
    <definedName name="clintels">#REF!</definedName>
    <definedName name="coimbatore">#REF!</definedName>
    <definedName name="Colbgl">#REF!</definedName>
    <definedName name="colbgl2">#REF!</definedName>
    <definedName name="Columns" localSheetId="0">#REF!</definedName>
    <definedName name="Columns">#REF!</definedName>
    <definedName name="constrn">#REF!</definedName>
    <definedName name="COOLING">#REF!</definedName>
    <definedName name="Copyright" hidden="1">"© 1995 Worley Limited"</definedName>
    <definedName name="Cost10">#REF!</definedName>
    <definedName name="cover" localSheetId="0">#REF!</definedName>
    <definedName name="cover">#REF!</definedName>
    <definedName name="csshade">#REF!</definedName>
    <definedName name="cst">#REF!</definedName>
    <definedName name="curr_liab_prov">#REF!</definedName>
    <definedName name="CustomDuty">#REF!</definedName>
    <definedName name="Cv">#REF!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_a">#REF!</definedName>
    <definedName name="D" localSheetId="0">#REF!</definedName>
    <definedName name="D_2" localSheetId="0">#REF!</definedName>
    <definedName name="D_2">#REF!</definedName>
    <definedName name="D_DF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E">#REF!</definedName>
    <definedName name="Daywork">#REF!</definedName>
    <definedName name="dc" localSheetId="0">#REF!</definedName>
    <definedName name="dc">#REF!</definedName>
    <definedName name="dd">#REF!</definedName>
    <definedName name="Depn">#REF!</definedName>
    <definedName name="depr" localSheetId="0">#REF!</definedName>
    <definedName name="depr">#REF!</definedName>
    <definedName name="depr_2" localSheetId="0">#REF!</definedName>
    <definedName name="depr_2">#REF!</definedName>
    <definedName name="DES">#REF!</definedName>
    <definedName name="designed" localSheetId="0">#REF!</definedName>
    <definedName name="designed">#REF!</definedName>
    <definedName name="df" localSheetId="0">#REF!</definedName>
    <definedName name="dg" localSheetId="0">#REF!</definedName>
    <definedName name="dg">#REF!</definedName>
    <definedName name="dia" localSheetId="0">#REF!</definedName>
    <definedName name="dia">#REF!</definedName>
    <definedName name="DJGHJJJJGH">#REF!</definedName>
    <definedName name="docu" localSheetId="0">#REF!</definedName>
    <definedName name="docu">#REF!</definedName>
    <definedName name="DOW_CORNING_789_SILICONE_SEALANT">#REF!</definedName>
    <definedName name="dP">#REF!</definedName>
    <definedName name="dq" localSheetId="0">#REF!</definedName>
    <definedName name="dq">#REF!</definedName>
    <definedName name="DS_No">#REF!</definedName>
    <definedName name="dwpefb" localSheetId="0">#REF!</definedName>
    <definedName name="dwpefb">#REF!</definedName>
    <definedName name="dwpeld" localSheetId="0">#REF!</definedName>
    <definedName name="dwpeld">#REF!</definedName>
    <definedName name="dwpelw" localSheetId="0">#REF!</definedName>
    <definedName name="dwpelw">#REF!</definedName>
    <definedName name="E" localSheetId="0">#REF!</definedName>
    <definedName name="E_2" localSheetId="0">#REF!</definedName>
    <definedName name="E_2">#REF!</definedName>
    <definedName name="E_DF">#REF!</definedName>
    <definedName name="EEE">#REF!</definedName>
    <definedName name="Est">#REF!</definedName>
    <definedName name="Excavation">#REF!</definedName>
    <definedName name="Excel_BuiltIn__FilterDatabase_16" localSheetId="0">#REF!</definedName>
    <definedName name="Excel_BuiltIn__FilterDatabase_16">#REF!</definedName>
    <definedName name="Excel_BuiltIn__FilterDatabase_2">"$#REF!.$C$4:$C$177"</definedName>
    <definedName name="Excel_BuiltIn__FilterDatabase_2_1_1">#REF!</definedName>
    <definedName name="Excel_BuiltIn__FilterDatabase_5" localSheetId="0">#REF!</definedName>
    <definedName name="Excel_BuiltIn__FilterDatabase_5">#REF!</definedName>
    <definedName name="Excel_BuiltIn__FilterDatabase_5_1">'[2]MCC IC'!#REF!</definedName>
    <definedName name="Excel_BuiltIn_Extract" localSheetId="0">#REF!</definedName>
    <definedName name="Excel_BuiltIn_Extract">#REF!</definedName>
    <definedName name="Excel_BuiltIn_Print_Area_0">"$#REF!.$#REF!$#REF!:$#REF!$#REF!"</definedName>
    <definedName name="Excel_BuiltIn_Print_Area_0___0">"$#REF!.$#REF!$#REF!:$#REF!$#REF!"</definedName>
    <definedName name="Excel_BuiltIn_Print_Area_1_1" localSheetId="0">#REF!</definedName>
    <definedName name="Excel_BuiltIn_Print_Area_1_1">#REF!</definedName>
    <definedName name="Excel_BuiltIn_Print_Area_1_1_1">#REF!</definedName>
    <definedName name="Excel_BuiltIn_Print_Area_10">#REF!</definedName>
    <definedName name="Excel_BuiltIn_Print_Area_10_1" localSheetId="0">#REF!</definedName>
    <definedName name="Excel_BuiltIn_Print_Area_10_1">#REF!</definedName>
    <definedName name="Excel_BuiltIn_Print_Area_11">#REF!</definedName>
    <definedName name="Excel_BuiltIn_Print_Area_11_1" localSheetId="0">#REF!</definedName>
    <definedName name="Excel_BuiltIn_Print_Area_11_1">#REF!</definedName>
    <definedName name="Excel_BuiltIn_Print_Area_12">#REF!</definedName>
    <definedName name="Excel_BuiltIn_Print_Area_12_1">#REF!</definedName>
    <definedName name="Excel_BuiltIn_Print_Area_12_1_1" localSheetId="0">#REF!</definedName>
    <definedName name="Excel_BuiltIn_Print_Area_12_1_1">#REF!</definedName>
    <definedName name="Excel_BuiltIn_Print_Area_13" localSheetId="0">#REF!</definedName>
    <definedName name="Excel_BuiltIn_Print_Area_13">#REF!</definedName>
    <definedName name="Excel_BuiltIn_Print_Area_13_1" localSheetId="0">#REF!</definedName>
    <definedName name="Excel_BuiltIn_Print_Area_13_1">#REF!</definedName>
    <definedName name="Excel_BuiltIn_Print_Area_14" localSheetId="0">#REF!</definedName>
    <definedName name="Excel_BuiltIn_Print_Area_14">#REF!</definedName>
    <definedName name="Excel_BuiltIn_Print_Area_2_1">#REF!</definedName>
    <definedName name="Excel_BuiltIn_Print_Area_2_1_1" localSheetId="0">#REF!</definedName>
    <definedName name="Excel_BuiltIn_Print_Area_2_1_1">"#REF!"</definedName>
    <definedName name="Excel_BuiltIn_Print_Area_2_1_1_1">"$#REF!.$A$4:$H$158"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 localSheetId="0">#REF!</definedName>
    <definedName name="Excel_BuiltIn_Print_Area_4_1">"#REF!"</definedName>
    <definedName name="Excel_BuiltIn_Print_Area_4_1_5">#REF!</definedName>
    <definedName name="Excel_BuiltIn_Print_Area_5_1" localSheetId="0">#REF!</definedName>
    <definedName name="Excel_BuiltIn_Print_Area_5_1">"#REF!"</definedName>
    <definedName name="Excel_BuiltIn_Print_Area_6_1" localSheetId="0">#REF!</definedName>
    <definedName name="Excel_BuiltIn_Print_Area_6_1">"$#REF!.$A$4:$H$28"</definedName>
    <definedName name="Excel_BuiltIn_Print_Area_7_1" localSheetId="0">#REF!</definedName>
    <definedName name="Excel_BuiltIn_Print_Area_7_1">"$#REF!.$A$4:$I$147"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Area_9">#REF!</definedName>
    <definedName name="Excel_BuiltIn_Print_Area_9_1" localSheetId="0">#REF!</definedName>
    <definedName name="Excel_BuiltIn_Print_Area_9_1">#REF!</definedName>
    <definedName name="Excel_BuiltIn_Print_Titles_1" localSheetId="0">#REF!</definedName>
    <definedName name="Excel_BuiltIn_Print_Titles_1">#REF!</definedName>
    <definedName name="Excel_BuiltIn_Print_Titles_1_1">#REF!</definedName>
    <definedName name="Excel_BuiltIn_Print_Titles_2_1" localSheetId="0">#REF!</definedName>
    <definedName name="Excel_BuiltIn_Print_Titles_2_1">"$#REF!.$A$4:$IU$5"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6">"$#REF!.$A$4:$IU$4"</definedName>
    <definedName name="Excel_BuiltIn_Print_Titles_7">"$#REF!.$A$4:$IU$4"</definedName>
    <definedName name="excf">#REF!</definedName>
    <definedName name="ExciseDuty">#REF!</definedName>
    <definedName name="EXIT" localSheetId="0">#REF!</definedName>
    <definedName name="EXIT">#REF!</definedName>
    <definedName name="F">#REF!</definedName>
    <definedName name="F_DF">#REF!</definedName>
    <definedName name="fbeam">#REF!</definedName>
    <definedName name="FBEAM1">#REF!</definedName>
    <definedName name="fck" localSheetId="0">#REF!</definedName>
    <definedName name="fck">#REF!</definedName>
    <definedName name="Fd">#REF!</definedName>
    <definedName name="fdrop">#REF!</definedName>
    <definedName name="fdrop1">#REF!</definedName>
    <definedName name="FDROP11">#REF!</definedName>
    <definedName name="FDROP2">#REF!</definedName>
    <definedName name="FDSGDFGHHG">#REF!</definedName>
    <definedName name="ff">#REF!</definedName>
    <definedName name="FFGB5">#REF!</definedName>
    <definedName name="fgf">#REF!</definedName>
    <definedName name="fid" localSheetId="0">#REF!</definedName>
    <definedName name="fid">#REF!</definedName>
    <definedName name="fifb" localSheetId="0">#REF!</definedName>
    <definedName name="fifb">#REF!</definedName>
    <definedName name="fil" localSheetId="0">#REF!</definedName>
    <definedName name="fil">#REF!</definedName>
    <definedName name="file">#REF!</definedName>
    <definedName name="fiw" localSheetId="0">#REF!</definedName>
    <definedName name="fiw">#REF!</definedName>
    <definedName name="fixed_asset">#REF!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k.Xt">#REF!</definedName>
    <definedName name="fl" localSheetId="0">#REF!</definedName>
    <definedName name="fl">#REF!</definedName>
    <definedName name="flag1">#REF!</definedName>
    <definedName name="fld" localSheetId="0">#REF!</definedName>
    <definedName name="fld">#REF!</definedName>
    <definedName name="flg" localSheetId="0">#REF!</definedName>
    <definedName name="flg">#REF!</definedName>
    <definedName name="flg_2" localSheetId="0">#REF!</definedName>
    <definedName name="flg_2">#REF!</definedName>
    <definedName name="Flow">#REF!</definedName>
    <definedName name="fm" localSheetId="0">#REF!</definedName>
    <definedName name="fm">#REF!</definedName>
    <definedName name="fmld" localSheetId="0">#REF!</definedName>
    <definedName name="fmld">#REF!</definedName>
    <definedName name="Footings">#REF!</definedName>
    <definedName name="FOS">#REF!</definedName>
    <definedName name="Fp">#REF!</definedName>
    <definedName name="Fps">#REF!</definedName>
    <definedName name="Fr">#REF!</definedName>
    <definedName name="frncis">#REF!</definedName>
    <definedName name="front">#REF!</definedName>
    <definedName name="FSDDF">#REF!</definedName>
    <definedName name="FSDF" hidden="1">#REF!</definedName>
    <definedName name="fsg">#REF!</definedName>
    <definedName name="fslab">#REF!</definedName>
    <definedName name="FSLAB1">#REF!</definedName>
    <definedName name="furn">#REF!</definedName>
    <definedName name="furniture">#REF!</definedName>
    <definedName name="fw" localSheetId="0">#REF!</definedName>
    <definedName name="fw">#REF!</definedName>
    <definedName name="fwfb" localSheetId="0">#REF!</definedName>
    <definedName name="fwfb">#REF!</definedName>
    <definedName name="fwl" localSheetId="0">#REF!</definedName>
    <definedName name="fwl">#REF!</definedName>
    <definedName name="fwld" localSheetId="0">#REF!</definedName>
    <definedName name="fwld">#REF!</definedName>
    <definedName name="fwrfb" localSheetId="0">#REF!</definedName>
    <definedName name="fwrfb">#REF!</definedName>
    <definedName name="fwrl" localSheetId="0">#REF!</definedName>
    <definedName name="fwrl">#REF!</definedName>
    <definedName name="fwrld" localSheetId="0">#REF!</definedName>
    <definedName name="fwrld">#REF!</definedName>
    <definedName name="fwrw" localSheetId="0">#REF!</definedName>
    <definedName name="fwrw">#REF!</definedName>
    <definedName name="fwsfb" localSheetId="0">#REF!</definedName>
    <definedName name="fwsfb">#REF!</definedName>
    <definedName name="fwsl" localSheetId="0">#REF!</definedName>
    <definedName name="fwsl">#REF!</definedName>
    <definedName name="fwsld" localSheetId="0">#REF!</definedName>
    <definedName name="fwsld">#REF!</definedName>
    <definedName name="fwsw" localSheetId="0">#REF!</definedName>
    <definedName name="fwsw">#REF!</definedName>
    <definedName name="fww" localSheetId="0">#REF!</definedName>
    <definedName name="fww">#REF!</definedName>
    <definedName name="fy" localSheetId="0">#REF!</definedName>
    <definedName name="fy">#REF!</definedName>
    <definedName name="G" localSheetId="0">#REF!</definedName>
    <definedName name="G_2" localSheetId="0">#REF!</definedName>
    <definedName name="G_2">#REF!</definedName>
    <definedName name="G_DF">#REF!</definedName>
    <definedName name="GDFSGDFGSFG">#REF!</definedName>
    <definedName name="Geschäftsbereich" localSheetId="0">#REF!</definedName>
    <definedName name="Geschäftsbereich">#REF!</definedName>
    <definedName name="gf">#REF!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L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s">#REF!</definedName>
    <definedName name="Group1">#REF!</definedName>
    <definedName name="Group2">#REF!</definedName>
    <definedName name="Group3">#REF!</definedName>
    <definedName name="Group4">#REF!</definedName>
    <definedName name="gs" localSheetId="0">#REF!</definedName>
    <definedName name="gs">#REF!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H" localSheetId="0">#REF!</definedName>
    <definedName name="H">#REF!</definedName>
    <definedName name="H_2" localSheetId="0">#REF!</definedName>
    <definedName name="H_2">#REF!</definedName>
    <definedName name="hf" localSheetId="0">#REF!</definedName>
    <definedName name="hf">#REF!</definedName>
    <definedName name="HGJFDEHG">#REF!</definedName>
    <definedName name="HJDG">#REF!</definedName>
    <definedName name="hvacrates">#REF!</definedName>
    <definedName name="iflist1">#REF!</definedName>
    <definedName name="IFLIST3">#REF!</definedName>
    <definedName name="IFLIST4">#REF!</definedName>
    <definedName name="IFLIST5">#REF!</definedName>
    <definedName name="IFLIST7">#REF!</definedName>
    <definedName name="IFLIST8">#REF!</definedName>
    <definedName name="IFLIST9">#REF!</definedName>
    <definedName name="iflistnew">#REF!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">#REF!</definedName>
    <definedName name="ind">#REF!</definedName>
    <definedName name="Inlet">#REF!</definedName>
    <definedName name="Inlet_d">#REF!</definedName>
    <definedName name="InputData">[3]Testing!$E$8:$E$12,[3]Testing!$E$15:$E$18,[3]Testing!$E$21:$E$23,[3]Testing!$E$26:$E$27,[3]Testing!$E$30:$E$33,[3]Testing!$E$35:$E$37,[3]Testing!$D$43:$F$47</definedName>
    <definedName name="INV_SCH">#REF!</definedName>
    <definedName name="investment">#REF!</definedName>
    <definedName name="ISEC77">#REF!</definedName>
    <definedName name="IT">#REF!</definedName>
    <definedName name="iteration">[4]!iteration</definedName>
    <definedName name="JJJ">#REF!</definedName>
    <definedName name="JobID" localSheetId="0">#REF!</definedName>
    <definedName name="JobID">#REF!</definedName>
    <definedName name="K">#REF!</definedName>
    <definedName name="k1_table" localSheetId="0">#REF!</definedName>
    <definedName name="k1_table">#REF!</definedName>
    <definedName name="k1x" localSheetId="0">#REF!</definedName>
    <definedName name="k1y" localSheetId="0">#REF!</definedName>
    <definedName name="k2x" localSheetId="0">#REF!</definedName>
    <definedName name="k2y" localSheetId="0">#REF!</definedName>
    <definedName name="Konsortialanteil" localSheetId="0">#REF!</definedName>
    <definedName name="Konsortialanteil">#REF!</definedName>
    <definedName name="L">#REF!</definedName>
    <definedName name="labor">#REF!</definedName>
    <definedName name="lakshmi">#REF!</definedName>
    <definedName name="Land_adv">#REF!</definedName>
    <definedName name="LCS">(#REF!,#REF!,#REF!,#REF!,#REF!,#REF!,#REF!,#REF!,#REF!,#REF!,#REF!,#REF!,#REF!,#REF!,#REF!,#REF!,#REF!,#REF!,#REF!,#REF!,#REF!,#REF!)</definedName>
    <definedName name="lef" localSheetId="0">#REF!</definedName>
    <definedName name="lef">#REF!</definedName>
    <definedName name="lel" localSheetId="0">#REF!</definedName>
    <definedName name="lel">#REF!</definedName>
    <definedName name="Length1">#REF!</definedName>
    <definedName name="LENGTH4">#REF!</definedName>
    <definedName name="LENGTH5">#REF!</definedName>
    <definedName name="LENGTH7">#REF!</definedName>
    <definedName name="LENGTH8">#REF!</definedName>
    <definedName name="LENGTH9">#REF!</definedName>
    <definedName name="lengthnew">#REF!</definedName>
    <definedName name="lex" localSheetId="0">#REF!</definedName>
    <definedName name="lex">#REF!</definedName>
    <definedName name="ley" localSheetId="0">#REF!</definedName>
    <definedName name="ley">#REF!</definedName>
    <definedName name="LF">(#REF!,#REF!,#REF!,#REF!,#REF!,#REF!,#REF!,#REF!,#REF!)</definedName>
    <definedName name="LF_3">(#REF!,#REF!,#REF!,#REF!,#REF!,#REF!,#REF!,#REF!,#REF!)</definedName>
    <definedName name="lfb" localSheetId="0">#REF!</definedName>
    <definedName name="lfb">#REF!</definedName>
    <definedName name="library">#REF!</definedName>
    <definedName name="limcount" hidden="1">1</definedName>
    <definedName name="Linelist">#REF!</definedName>
    <definedName name="lld" localSheetId="0">#REF!</definedName>
    <definedName name="lld">#REF!</definedName>
    <definedName name="LLL">#REF!</definedName>
    <definedName name="llw" localSheetId="0">#REF!</definedName>
    <definedName name="llw">#REF!</definedName>
    <definedName name="loans_adv">#REF!</definedName>
    <definedName name="lsec">#REF!</definedName>
    <definedName name="Lsec1">#REF!</definedName>
    <definedName name="Lsec2">#REF!</definedName>
    <definedName name="Lsec3">#REF!</definedName>
    <definedName name="Lsec4">#REF!</definedName>
    <definedName name="Lsec5">#REF!</definedName>
    <definedName name="Lsec6">#REF!</definedName>
    <definedName name="lsec7">#REF!</definedName>
    <definedName name="lx" localSheetId="0">#REF!</definedName>
    <definedName name="lx">#REF!</definedName>
    <definedName name="ly" localSheetId="0">#REF!</definedName>
    <definedName name="ly">#REF!</definedName>
    <definedName name="M1x" localSheetId="0">#REF!</definedName>
    <definedName name="M1y" localSheetId="0">#REF!</definedName>
    <definedName name="M2x" localSheetId="0">#REF!</definedName>
    <definedName name="M2y" localSheetId="0">#REF!</definedName>
    <definedName name="make">#REF!</definedName>
    <definedName name="man">#REF!</definedName>
    <definedName name="manday1">#REF!</definedName>
    <definedName name="material">#REF!</definedName>
    <definedName name="mbpt" localSheetId="0">#REF!</definedName>
    <definedName name="mbpt">#REF!</definedName>
    <definedName name="mbpt_2" localSheetId="0">#REF!</definedName>
    <definedName name="mbpt_2">#REF!</definedName>
    <definedName name="model">#REF!</definedName>
    <definedName name="MOTOR_DATA">'[5]Motor EExe'!$A$37:$F$67</definedName>
    <definedName name="MUTHU">#REF!</definedName>
    <definedName name="MW">#REF!</definedName>
    <definedName name="N.1">#REF!</definedName>
    <definedName name="N.2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EWIFLIST">#REF!</definedName>
    <definedName name="newiflist1">#REF!</definedName>
    <definedName name="newiflist2">#REF!</definedName>
    <definedName name="newiflist4">#REF!</definedName>
    <definedName name="newiflist5">#REF!</definedName>
    <definedName name="newiflist6">#REF!</definedName>
    <definedName name="newiflist7">#REF!</definedName>
    <definedName name="newiflist8">#REF!</definedName>
    <definedName name="NEWLENGTH">#REF!</definedName>
    <definedName name="newlength1">#REF!</definedName>
    <definedName name="newlength2">#REF!</definedName>
    <definedName name="newlength3">#REF!</definedName>
    <definedName name="newlength4">#REF!</definedName>
    <definedName name="newlength5">#REF!</definedName>
    <definedName name="newlength6">#REF!</definedName>
    <definedName name="newlength8">#REF!</definedName>
    <definedName name="NEWRUN">#REF!</definedName>
    <definedName name="newrun1">#REF!</definedName>
    <definedName name="newrun2">#REF!</definedName>
    <definedName name="newrun4">#REF!</definedName>
    <definedName name="newrun5">#REF!</definedName>
    <definedName name="newrun6">#REF!</definedName>
    <definedName name="newrun8">#REF!</definedName>
    <definedName name="notok">#REF!</definedName>
    <definedName name="obpl">#REF!</definedName>
    <definedName name="ok">#REF!</definedName>
    <definedName name="Outlet">#REF!</definedName>
    <definedName name="P" localSheetId="0">#REF!</definedName>
    <definedName name="P_2" localSheetId="0">#REF!</definedName>
    <definedName name="P_2">#REF!</definedName>
    <definedName name="Page" localSheetId="0">#REF!</definedName>
    <definedName name="Page">#REF!</definedName>
    <definedName name="page1">#REF!</definedName>
    <definedName name="page11.12">#REF!</definedName>
    <definedName name="page13">#REF!</definedName>
    <definedName name="Page14">#REF!</definedName>
    <definedName name="page15">#REF!</definedName>
    <definedName name="page16.17">#REF!</definedName>
    <definedName name="page19">#REF!</definedName>
    <definedName name="PAGE2.8">#REF!</definedName>
    <definedName name="page20">#REF!</definedName>
    <definedName name="page21">#REF!</definedName>
    <definedName name="page22">#REF!</definedName>
    <definedName name="PAGE9.10">[6]STG!#REF!</definedName>
    <definedName name="parts">#REF!</definedName>
    <definedName name="pbpt" localSheetId="0">#REF!</definedName>
    <definedName name="pbpt">#REF!</definedName>
    <definedName name="pbpt_2" localSheetId="0">#REF!</definedName>
    <definedName name="pbpt_2">#REF!</definedName>
    <definedName name="Pbx" localSheetId="0">#REF!</definedName>
    <definedName name="Pby" localSheetId="0">#REF!</definedName>
    <definedName name="Pc">#REF!</definedName>
    <definedName name="PCC">#REF!</definedName>
    <definedName name="pccut">#REF!</definedName>
    <definedName name="PDU">#REF!</definedName>
    <definedName name="pefb" localSheetId="0">#REF!</definedName>
    <definedName name="pefb">#REF!</definedName>
    <definedName name="peld" localSheetId="0">#REF!</definedName>
    <definedName name="peld">#REF!</definedName>
    <definedName name="pelw" localSheetId="0">#REF!</definedName>
    <definedName name="pelw">#REF!</definedName>
    <definedName name="Perf_Garantee" localSheetId="0">#REF!</definedName>
    <definedName name="Perf_Garantee">#REF!</definedName>
    <definedName name="PFEff">[7]Sheet2!$B$7:$J$39</definedName>
    <definedName name="pftw" localSheetId="0">#REF!</definedName>
    <definedName name="pftw">#REF!</definedName>
    <definedName name="pg">#REF!</definedName>
    <definedName name="Pin">#REF!</definedName>
    <definedName name="plbeams">#REF!</definedName>
    <definedName name="PODetail">#REF!</definedName>
    <definedName name="Pout">#REF!</definedName>
    <definedName name="Prelm_Exp">#REF!</definedName>
    <definedName name="PREPD">#REF!</definedName>
    <definedName name="prince">#REF!</definedName>
    <definedName name="prince1">#REF!</definedName>
    <definedName name="PRINT">#REF!</definedName>
    <definedName name="_xlnm.Print_Area" localSheetId="0">'HT Cable'!$A$3:$L$164</definedName>
    <definedName name="Print_Area_MI">"$#REF!.$#REF!$#REF!:$#REF!$#REF!"</definedName>
    <definedName name="Print_Area_MI_10" localSheetId="0">#REF!</definedName>
    <definedName name="Print_Area_MI_10">#REF!</definedName>
    <definedName name="Print_Titles_MI_10" localSheetId="0">#REF!</definedName>
    <definedName name="Print_Titles_MI_10">#REF!</definedName>
    <definedName name="project" localSheetId="0">#REF!</definedName>
    <definedName name="project">#REF!</definedName>
    <definedName name="Pu" localSheetId="0">#REF!</definedName>
    <definedName name="Pu">#REF!</definedName>
    <definedName name="Puz" localSheetId="0">#REF!</definedName>
    <definedName name="Pv">#REF!</definedName>
    <definedName name="Pvc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q" localSheetId="0">#REF!</definedName>
    <definedName name="q">#REF!</definedName>
    <definedName name="qq" localSheetId="0">#REF!</definedName>
    <definedName name="qq">#REF!</definedName>
    <definedName name="raams">#REF!</definedName>
    <definedName name="ram">#REF!</definedName>
    <definedName name="RANGE2">NA()</definedName>
    <definedName name="RANGE6">NA()</definedName>
    <definedName name="RatAna">#REF!</definedName>
    <definedName name="rcwbgl">#REF!</definedName>
    <definedName name="rcwbgl2">#REF!</definedName>
    <definedName name="Re">#REF!</definedName>
    <definedName name="_xlnm.Recorder">#REF!</definedName>
    <definedName name="rect_4_415" localSheetId="0">#REF!</definedName>
    <definedName name="rect_4_415">#REF!</definedName>
    <definedName name="rel" localSheetId="0">#REF!</definedName>
    <definedName name="rel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ision1">#REF!</definedName>
    <definedName name="RH">#REF!</definedName>
    <definedName name="RHS">#REF!</definedName>
    <definedName name="rig" localSheetId="0">#REF!</definedName>
    <definedName name="rig">#REF!</definedName>
    <definedName name="RMC">#REF!</definedName>
    <definedName name="robot" localSheetId="0">#REF!</definedName>
    <definedName name="robot">#REF!</definedName>
    <definedName name="rose">#REF!</definedName>
    <definedName name="rosid" localSheetId="0">#REF!</definedName>
    <definedName name="rosid">#REF!</definedName>
    <definedName name="rr">#REF!</definedName>
    <definedName name="runnew">#REF!</definedName>
    <definedName name="ry">#REF!</definedName>
    <definedName name="s">#REF!</definedName>
    <definedName name="S.L.WALL">#REF!</definedName>
    <definedName name="S.S.WALL">#REF!</definedName>
    <definedName name="S0">#REF!</definedName>
    <definedName name="SAFDSDF">#REF!</definedName>
    <definedName name="SALARY">#REF!</definedName>
    <definedName name="SARAVANAN">#REF!</definedName>
    <definedName name="scfb" localSheetId="0">#REF!</definedName>
    <definedName name="scfb">#REF!</definedName>
    <definedName name="schools" localSheetId="0">#REF!</definedName>
    <definedName name="schools">#REF!</definedName>
    <definedName name="scl" localSheetId="0">#REF!</definedName>
    <definedName name="scl">#REF!</definedName>
    <definedName name="scld" localSheetId="0">#REF!</definedName>
    <definedName name="scld">#REF!</definedName>
    <definedName name="scw" localSheetId="0">#REF!</definedName>
    <definedName name="scw">#REF!</definedName>
    <definedName name="sd" localSheetId="0">#REF!</definedName>
    <definedName name="sd">#REF!</definedName>
    <definedName name="sd_2" localSheetId="0">#REF!</definedName>
    <definedName name="sd_2">#REF!</definedName>
    <definedName name="Sdate" localSheetId="0">#REF!</definedName>
    <definedName name="Sdate">#REF!</definedName>
    <definedName name="sdpl">#REF!</definedName>
    <definedName name="SDPLBS">#REF!</definedName>
    <definedName name="SDPLFA">#REF!</definedName>
    <definedName name="SDPLPL">#REF!</definedName>
    <definedName name="se" localSheetId="0">#REF!</definedName>
    <definedName name="se">#REF!</definedName>
    <definedName name="se_2" localSheetId="0">#REF!</definedName>
    <definedName name="se_2">#REF!</definedName>
    <definedName name="sec">#REF!</definedName>
    <definedName name="sec_deposit">#REF!</definedName>
    <definedName name="secured">#REF!</definedName>
    <definedName name="see">#REF!</definedName>
    <definedName name="SegCharge">#REF!</definedName>
    <definedName name="sencount" hidden="1">1</definedName>
    <definedName name="servlist">#REF!</definedName>
    <definedName name="Setflag">#REF!</definedName>
    <definedName name="sg" localSheetId="0">#REF!</definedName>
    <definedName name="sg">#REF!</definedName>
    <definedName name="sg_2" localSheetId="0">#REF!</definedName>
    <definedName name="sg_2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pe">#REF!</definedName>
    <definedName name="shi">#REF!</definedName>
    <definedName name="shiva">#REF!</definedName>
    <definedName name="slab">#REF!</definedName>
    <definedName name="SLAB1">#REF!</definedName>
    <definedName name="Ssec1">#REF!</definedName>
    <definedName name="Ssec2">#REF!</definedName>
    <definedName name="Ssec3">#REF!</definedName>
    <definedName name="Ssec4">#REF!</definedName>
    <definedName name="Ssec5">#REF!</definedName>
    <definedName name="Ssec6">#REF!</definedName>
    <definedName name="sstype3drop">#REF!</definedName>
    <definedName name="SSTYPE3DROP1">#REF!</definedName>
    <definedName name="sstype3slab">#REF!</definedName>
    <definedName name="SSTYPESLAB1">#REF!</definedName>
    <definedName name="st" localSheetId="0">#REF!</definedName>
    <definedName name="st">#REF!</definedName>
    <definedName name="st_100">#REF!</definedName>
    <definedName name="st_150">#REF!</definedName>
    <definedName name="st_2" localSheetId="0">#REF!</definedName>
    <definedName name="st_2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aircase">#REF!</definedName>
    <definedName name="Staircase2">#REF!</definedName>
    <definedName name="StanbykVA">#REF!</definedName>
    <definedName name="STANDARD_SPECIFICATION_FOR_HOSPITAL_STRUCTURES">#REF!</definedName>
    <definedName name="StandbykW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tudext" localSheetId="0">#REF!</definedName>
    <definedName name="studext">#REF!</definedName>
    <definedName name="studext_2" localSheetId="0">#REF!</definedName>
    <definedName name="studext_2">#REF!</definedName>
    <definedName name="STUDEXT1" localSheetId="0">#REF!</definedName>
    <definedName name="STUDEXT1">#REF!</definedName>
    <definedName name="stype2drop">#REF!</definedName>
    <definedName name="STYPE2DROP1">#REF!</definedName>
    <definedName name="stype2slab">#REF!</definedName>
    <definedName name="STYPE2SLAB1">#REF!</definedName>
    <definedName name="stype3drop">#REF!</definedName>
    <definedName name="STYPE3DROP2">#REF!</definedName>
    <definedName name="stype3slab">#REF!</definedName>
    <definedName name="STYPE3SLAB1">#REF!</definedName>
    <definedName name="Subject" localSheetId="0">#REF!</definedName>
    <definedName name="Subject">#REF!</definedName>
    <definedName name="sum">#REF!</definedName>
    <definedName name="SUMFINAL">#REF!</definedName>
    <definedName name="SURYA">#REF!</definedName>
    <definedName name="Sy" localSheetId="0">#REF!</definedName>
    <definedName name="Sy">#REF!</definedName>
    <definedName name="Sy_2" localSheetId="0">#REF!</definedName>
    <definedName name="Sy_2">#REF!</definedName>
    <definedName name="t" localSheetId="0">#REF!</definedName>
    <definedName name="T">#REF!</definedName>
    <definedName name="T_0_">#REF!</definedName>
    <definedName name="t_2" localSheetId="0">#REF!</definedName>
    <definedName name="t_2">#REF!</definedName>
    <definedName name="T0">#REF!</definedName>
    <definedName name="Table" localSheetId="0">#REF!</definedName>
    <definedName name="Table">#REF!</definedName>
    <definedName name="TABLE2" localSheetId="0">#REF!</definedName>
    <definedName name="TABLE2">#REF!</definedName>
    <definedName name="TABLEA">[8]reference!$B$5:$F$11</definedName>
    <definedName name="TableRange" localSheetId="0">#REF!</definedName>
    <definedName name="TableRange">#REF!</definedName>
    <definedName name="taglist">#REF!</definedName>
    <definedName name="TB_1C">'[5]Cable Data'!$A$13:$G$31</definedName>
    <definedName name="TBPVC_1c">'[5]Cable Data'!$J$13:$P$31</definedName>
    <definedName name="TEI">#REF!</definedName>
    <definedName name="temp" localSheetId="0">#REF!</definedName>
    <definedName name="temp_2" localSheetId="0">#REF!</definedName>
    <definedName name="temp_2">#REF!</definedName>
    <definedName name="temp1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h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ol" localSheetId="0">#REF!</definedName>
    <definedName name="tol">#REF!</definedName>
    <definedName name="top">#REF!</definedName>
    <definedName name="topl" localSheetId="0">#REF!</definedName>
    <definedName name="topl">#REF!</definedName>
    <definedName name="topn" localSheetId="0">#REF!</definedName>
    <definedName name="topn">#REF!</definedName>
    <definedName name="TPR" localSheetId="0">#REF!</definedName>
    <definedName name="TPR">#REF!</definedName>
    <definedName name="TPR_2" localSheetId="0">#REF!</definedName>
    <definedName name="TPR_2">#REF!</definedName>
    <definedName name="TransInsu">#REF!</definedName>
    <definedName name="ts" localSheetId="0">#REF!</definedName>
    <definedName name="ts">#REF!</definedName>
    <definedName name="ts_2" localSheetId="0">#REF!</definedName>
    <definedName name="ts_2">#REF!</definedName>
    <definedName name="tsfb" localSheetId="0">#REF!</definedName>
    <definedName name="tsfb">#REF!</definedName>
    <definedName name="tsl" localSheetId="0">#REF!</definedName>
    <definedName name="tsl">#REF!</definedName>
    <definedName name="tsswd" localSheetId="0">#REF!</definedName>
    <definedName name="tsswd">#REF!</definedName>
    <definedName name="tsw" localSheetId="0">#REF!</definedName>
    <definedName name="tsw">#REF!</definedName>
    <definedName name="TTTT">#REF!</definedName>
    <definedName name="type_of_cable">#REF!</definedName>
    <definedName name="type_of_laying">#REF!</definedName>
    <definedName name="Type1">#REF!</definedName>
    <definedName name="type11">#REF!</definedName>
    <definedName name="type1drop">#REF!</definedName>
    <definedName name="type1slab">#REF!</definedName>
    <definedName name="Type2">#REF!</definedName>
    <definedName name="type2drop">#REF!</definedName>
    <definedName name="type2slab">#REF!</definedName>
    <definedName name="Type3">#REF!</definedName>
    <definedName name="type3drop">#REF!</definedName>
    <definedName name="type3slab">#REF!</definedName>
    <definedName name="type4">#REF!</definedName>
    <definedName name="type44">#REF!</definedName>
    <definedName name="type4drop">#REF!</definedName>
    <definedName name="type4slab">#REF!</definedName>
    <definedName name="tyu">#REF!</definedName>
    <definedName name="UNICOD">#REF!</definedName>
    <definedName name="unsecured">#REF!</definedName>
    <definedName name="UP">#REF!</definedName>
    <definedName name="vara">#REF!</definedName>
    <definedName name="vv">#REF!</definedName>
    <definedName name="Vz" localSheetId="0">#REF!</definedName>
    <definedName name="Vz">#REF!</definedName>
    <definedName name="Vz_2" localSheetId="0">#REF!</definedName>
    <definedName name="Vz_2">#REF!</definedName>
    <definedName name="w">#REF!</definedName>
    <definedName name="wef">#REF!</definedName>
    <definedName name="wip">#REF!</definedName>
    <definedName name="work" localSheetId="0">#REF!</definedName>
    <definedName name="work">#REF!</definedName>
    <definedName name="ww">#REF!</definedName>
    <definedName name="www" hidden="1">#REF!</definedName>
    <definedName name="xcd">#REF!</definedName>
    <definedName name="XLPE_cabledata">#REF!</definedName>
    <definedName name="Xt">#REF!</definedName>
    <definedName name="xxx">#REF!</definedName>
    <definedName name="y">#REF!</definedName>
    <definedName name="ys" localSheetId="0">#REF!</definedName>
    <definedName name="ys">#REF!</definedName>
    <definedName name="ys_2" localSheetId="0">#REF!</definedName>
    <definedName name="ys_2">#REF!</definedName>
    <definedName name="yy">#REF!</definedName>
    <definedName name="Zins_Garantee" localSheetId="0">#REF!</definedName>
    <definedName name="Zins_Garantee">#REF!</definedName>
    <definedName name="Zins_Monat" localSheetId="0">#REF!</definedName>
    <definedName name="Zins_Monat">#REF!</definedName>
    <definedName name="Zinz_ÖKB" localSheetId="0">#REF!</definedName>
    <definedName name="Zinz_ÖKB">#REF!</definedName>
    <definedName name="전체">#REF!</definedName>
    <definedName name="掛率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2" i="72" l="1"/>
  <c r="J151" i="72"/>
  <c r="K139" i="72"/>
  <c r="G139" i="72"/>
  <c r="G138" i="72"/>
  <c r="I139" i="72" s="1"/>
  <c r="D135" i="72"/>
  <c r="H125" i="72"/>
  <c r="I124" i="72"/>
  <c r="G124" i="72"/>
  <c r="G115" i="72"/>
  <c r="J98" i="72"/>
  <c r="J97" i="72"/>
  <c r="J99" i="72" s="1"/>
  <c r="K85" i="72"/>
  <c r="G85" i="72"/>
  <c r="G84" i="72"/>
  <c r="I85" i="72" s="1"/>
  <c r="D81" i="72"/>
  <c r="H71" i="72"/>
  <c r="I70" i="72"/>
  <c r="G70" i="72"/>
  <c r="G61" i="72"/>
  <c r="J44" i="72"/>
  <c r="J43" i="72"/>
  <c r="K31" i="72"/>
  <c r="G31" i="72"/>
  <c r="G30" i="72"/>
  <c r="I31" i="72" s="1"/>
  <c r="D27" i="72"/>
  <c r="H17" i="72"/>
  <c r="I16" i="72"/>
  <c r="G16" i="72"/>
  <c r="G7" i="72"/>
  <c r="J45" i="72" l="1"/>
  <c r="J46" i="72" s="1"/>
  <c r="J47" i="72" s="1"/>
  <c r="G126" i="72"/>
  <c r="G18" i="72"/>
  <c r="G32" i="72"/>
  <c r="J52" i="72" s="1"/>
  <c r="J100" i="72"/>
  <c r="J101" i="72" s="1"/>
  <c r="G140" i="72"/>
  <c r="J160" i="72" s="1"/>
  <c r="G86" i="72"/>
  <c r="J106" i="72" s="1"/>
  <c r="G72" i="72"/>
  <c r="J153" i="72"/>
  <c r="J154" i="72" s="1"/>
  <c r="J155" i="72" s="1"/>
</calcChain>
</file>

<file path=xl/sharedStrings.xml><?xml version="1.0" encoding="utf-8"?>
<sst xmlns="http://schemas.openxmlformats.org/spreadsheetml/2006/main" count="309" uniqueCount="73">
  <si>
    <t>A</t>
  </si>
  <si>
    <t>Calculation</t>
  </si>
  <si>
    <t>=</t>
  </si>
  <si>
    <t>Input Data</t>
  </si>
  <si>
    <t xml:space="preserve">Voltage </t>
  </si>
  <si>
    <t>KV</t>
  </si>
  <si>
    <t>Load Rating</t>
  </si>
  <si>
    <t>KVA</t>
  </si>
  <si>
    <t>Full load Current</t>
  </si>
  <si>
    <t>Amps</t>
  </si>
  <si>
    <t>IK - Short Cicuit Current in KA</t>
  </si>
  <si>
    <t>KA</t>
  </si>
  <si>
    <t>Duration of Short Circuit Current</t>
  </si>
  <si>
    <t>Sec</t>
  </si>
  <si>
    <t>As per IS: 3043, Pg.No-31</t>
  </si>
  <si>
    <t xml:space="preserve">K - Conductor connstant </t>
  </si>
  <si>
    <t>K - Factor</t>
  </si>
  <si>
    <t>Copper</t>
  </si>
  <si>
    <t>Aluminium</t>
  </si>
  <si>
    <t>A -  Area of conductor Size</t>
  </si>
  <si>
    <t>?</t>
  </si>
  <si>
    <t>XLPE Cables</t>
  </si>
  <si>
    <t>PVC Cables</t>
  </si>
  <si>
    <t>Area of Aluminium cable</t>
  </si>
  <si>
    <r>
      <t xml:space="preserve">I x </t>
    </r>
    <r>
      <rPr>
        <sz val="16"/>
        <color indexed="8"/>
        <rFont val="Calibri"/>
        <family val="2"/>
      </rPr>
      <t>√t</t>
    </r>
  </si>
  <si>
    <t>K</t>
  </si>
  <si>
    <t>x</t>
  </si>
  <si>
    <t>Area of aluminium conductor is</t>
  </si>
  <si>
    <t xml:space="preserve">1    x </t>
  </si>
  <si>
    <t>Sq.mm</t>
  </si>
  <si>
    <t>(total 240 Sq.mm)</t>
  </si>
  <si>
    <t>Cable Data</t>
  </si>
  <si>
    <r>
      <t>1. Rating factor for variation in ground temperature at 45</t>
    </r>
    <r>
      <rPr>
        <sz val="13"/>
        <color indexed="8"/>
        <rFont val="Calibri"/>
        <family val="2"/>
      </rPr>
      <t>⁰</t>
    </r>
    <r>
      <rPr>
        <sz val="11.05"/>
        <color indexed="8"/>
        <rFont val="Calibri"/>
        <family val="2"/>
      </rPr>
      <t xml:space="preserve"> C</t>
    </r>
  </si>
  <si>
    <t xml:space="preserve">2. Rating factor of cable for laying arrangement  </t>
  </si>
  <si>
    <t>3. Rating factor for variation in thermal resistivity of soil at 150⁰ C</t>
  </si>
  <si>
    <t>4. Rating factor for cable laid in ground in horizondal formation in 2 cable @ 45mm distance</t>
  </si>
  <si>
    <t>3. No of Runs</t>
  </si>
  <si>
    <t>Cable Current Rating for</t>
  </si>
  <si>
    <t>Derating Factor Calculation</t>
  </si>
  <si>
    <t>Total Derating factor</t>
  </si>
  <si>
    <t>(1) x (2) x (3) x (4)</t>
  </si>
  <si>
    <t>Derated Current  for cable</t>
  </si>
  <si>
    <t>After Derating Cable current is</t>
  </si>
  <si>
    <t>Therefore The derated Current is more then the Full load Current, So The Selected Cable is Sufficient to carry the Load</t>
  </si>
  <si>
    <t>Resistance  (ohm/Km)</t>
  </si>
  <si>
    <t>R</t>
  </si>
  <si>
    <t>Reactance @50Hz</t>
  </si>
  <si>
    <t>X</t>
  </si>
  <si>
    <t xml:space="preserve">Operating P.F. </t>
  </si>
  <si>
    <t>cos Φ</t>
  </si>
  <si>
    <t>Actual.Length (Meters)</t>
  </si>
  <si>
    <t>Maximum AllowableLength (M)</t>
  </si>
  <si>
    <t>Voltage Drop Calculation</t>
  </si>
  <si>
    <t>Impedence (ohm/km)</t>
  </si>
  <si>
    <t>R cos f + X sin f</t>
  </si>
  <si>
    <t>Required Number of Runs</t>
  </si>
  <si>
    <t>Impedence when laid parallel</t>
  </si>
  <si>
    <t>Impedence/ No of Runs</t>
  </si>
  <si>
    <t xml:space="preserve">Calculated Voltage Drop </t>
  </si>
  <si>
    <t>1.732x I x Impedx Length/ 1000</t>
  </si>
  <si>
    <t>Calculated % Voltage Drop</t>
  </si>
  <si>
    <t>Cal Voltage drop/Sys Voltagex 100</t>
  </si>
  <si>
    <t>Allowable % Voltage Drop</t>
  </si>
  <si>
    <t>Note:</t>
  </si>
  <si>
    <t>Voltage drop at the cable between the HT SWGR to HT SWGR shall be limited to 2.5% as per standard practice.</t>
  </si>
  <si>
    <t xml:space="preserve">The Final Cable Size is 1R x 3C x 240 Sq.mm Al XLPE </t>
  </si>
  <si>
    <t>(total 185 Sq.mm)</t>
  </si>
  <si>
    <t xml:space="preserve">The Final Cable Size is 1R x 3C x 185 Sq.mm Al XLPE </t>
  </si>
  <si>
    <t>Transformer Rating</t>
  </si>
  <si>
    <t>(total 480 Sq.mm)</t>
  </si>
  <si>
    <t>HT Cable Sizing Calculation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</si>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</sst>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%"/>
    <numFmt numFmtId="169" formatCode="0.0%"/>
  </numFmts>
  <fonts count="51">
    <font>
      <sz val="10"/>
      <color theme="1"/>
      <name val="Cambri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Geneva"/>
      <family val="2"/>
    </font>
    <font>
      <sz val="11"/>
      <color theme="1"/>
      <name val="Calibri"/>
      <family val="2"/>
      <scheme val="minor"/>
    </font>
    <font>
      <sz val="12"/>
      <color theme="1"/>
      <name val="Cambria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u/>
      <sz val="24"/>
      <color theme="1"/>
      <name val="Georgia"/>
      <family val="1"/>
    </font>
    <font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indexed="8"/>
      <name val="Calibri"/>
      <family val="2"/>
    </font>
    <font>
      <sz val="13"/>
      <color indexed="8"/>
      <name val="Calibri"/>
      <family val="2"/>
    </font>
    <font>
      <sz val="11.05"/>
      <color indexed="8"/>
      <name val="Calibri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MS Sans Serif"/>
      <family val="2"/>
    </font>
    <font>
      <b/>
      <sz val="16"/>
      <color theme="1"/>
      <name val="Calibri"/>
      <family val="2"/>
      <scheme val="minor"/>
    </font>
    <font>
      <u/>
      <sz val="10"/>
      <color theme="10"/>
      <name val="Cambria"/>
      <family val="2"/>
    </font>
    <font>
      <sz val="10"/>
      <name val="Tahoma"/>
      <family val="2"/>
      <charset val="178"/>
    </font>
  </fonts>
  <fills count="31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77">
    <xf numFmtId="0" fontId="0" fillId="0" borderId="0"/>
    <xf numFmtId="0" fontId="11" fillId="2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8" fillId="0" borderId="0"/>
    <xf numFmtId="0" fontId="4" fillId="0" borderId="0"/>
    <xf numFmtId="0" fontId="13" fillId="0" borderId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24" fillId="26" borderId="6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0" fontId="17" fillId="27" borderId="7" applyNumberFormat="0" applyAlignment="0" applyProtection="0"/>
    <xf numFmtId="164" fontId="1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5" fillId="10" borderId="12" applyNumberFormat="0" applyFon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22" fillId="26" borderId="13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5" fillId="0" borderId="0"/>
    <xf numFmtId="0" fontId="2" fillId="0" borderId="0"/>
    <xf numFmtId="0" fontId="47" fillId="0" borderId="0"/>
    <xf numFmtId="0" fontId="1" fillId="0" borderId="0"/>
    <xf numFmtId="0" fontId="49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473"/>
    <xf numFmtId="0" fontId="2" fillId="0" borderId="0" xfId="473" applyAlignment="1">
      <alignment vertical="center"/>
    </xf>
    <xf numFmtId="0" fontId="5" fillId="5" borderId="0" xfId="4" applyFill="1" applyAlignment="1">
      <alignment horizontal="left" vertical="center"/>
    </xf>
    <xf numFmtId="0" fontId="33" fillId="4" borderId="0" xfId="473" applyFont="1" applyFill="1" applyAlignment="1">
      <alignment horizontal="center"/>
    </xf>
    <xf numFmtId="165" fontId="33" fillId="4" borderId="0" xfId="473" applyNumberFormat="1" applyFont="1" applyFill="1" applyAlignment="1">
      <alignment horizontal="center"/>
    </xf>
    <xf numFmtId="0" fontId="36" fillId="4" borderId="0" xfId="473" applyFont="1" applyFill="1" applyAlignment="1">
      <alignment horizontal="center"/>
    </xf>
    <xf numFmtId="0" fontId="33" fillId="3" borderId="0" xfId="473" applyFont="1" applyFill="1" applyAlignment="1">
      <alignment horizontal="center" vertical="center"/>
    </xf>
    <xf numFmtId="0" fontId="33" fillId="3" borderId="0" xfId="473" applyFont="1" applyFill="1" applyAlignment="1">
      <alignment horizontal="left" vertical="center"/>
    </xf>
    <xf numFmtId="0" fontId="33" fillId="29" borderId="15" xfId="473" applyFont="1" applyFill="1" applyBorder="1"/>
    <xf numFmtId="0" fontId="33" fillId="29" borderId="0" xfId="473" applyFont="1" applyFill="1"/>
    <xf numFmtId="0" fontId="46" fillId="29" borderId="0" xfId="473" applyFont="1" applyFill="1"/>
    <xf numFmtId="0" fontId="33" fillId="29" borderId="0" xfId="473" applyFont="1" applyFill="1" applyAlignment="1">
      <alignment horizontal="left"/>
    </xf>
    <xf numFmtId="0" fontId="44" fillId="29" borderId="16" xfId="73" applyFont="1" applyFill="1" applyBorder="1" applyAlignment="1">
      <alignment horizontal="center" vertical="center"/>
    </xf>
    <xf numFmtId="0" fontId="33" fillId="29" borderId="17" xfId="473" applyFont="1" applyFill="1" applyBorder="1"/>
    <xf numFmtId="0" fontId="33" fillId="29" borderId="18" xfId="473" applyFont="1" applyFill="1" applyBorder="1"/>
    <xf numFmtId="0" fontId="46" fillId="29" borderId="18" xfId="473" applyFont="1" applyFill="1" applyBorder="1"/>
    <xf numFmtId="0" fontId="33" fillId="29" borderId="18" xfId="473" applyFont="1" applyFill="1" applyBorder="1" applyAlignment="1">
      <alignment horizontal="left"/>
    </xf>
    <xf numFmtId="0" fontId="44" fillId="29" borderId="19" xfId="73" applyFont="1" applyFill="1" applyBorder="1" applyAlignment="1">
      <alignment horizontal="center" vertical="center"/>
    </xf>
    <xf numFmtId="0" fontId="33" fillId="29" borderId="16" xfId="473" applyFont="1" applyFill="1" applyBorder="1"/>
    <xf numFmtId="0" fontId="2" fillId="29" borderId="0" xfId="473" applyFill="1"/>
    <xf numFmtId="0" fontId="33" fillId="29" borderId="0" xfId="473" applyFont="1" applyFill="1" applyAlignment="1">
      <alignment horizontal="center"/>
    </xf>
    <xf numFmtId="0" fontId="2" fillId="29" borderId="15" xfId="473" applyFill="1" applyBorder="1"/>
    <xf numFmtId="166" fontId="33" fillId="29" borderId="0" xfId="473" applyNumberFormat="1" applyFont="1" applyFill="1" applyAlignment="1">
      <alignment horizontal="center"/>
    </xf>
    <xf numFmtId="167" fontId="33" fillId="29" borderId="0" xfId="473" applyNumberFormat="1" applyFont="1" applyFill="1" applyAlignment="1">
      <alignment horizontal="center"/>
    </xf>
    <xf numFmtId="0" fontId="33" fillId="29" borderId="0" xfId="473" applyFont="1" applyFill="1" applyAlignment="1">
      <alignment horizontal="right"/>
    </xf>
    <xf numFmtId="2" fontId="33" fillId="29" borderId="0" xfId="473" applyNumberFormat="1" applyFont="1" applyFill="1" applyAlignment="1">
      <alignment horizontal="center"/>
    </xf>
    <xf numFmtId="168" fontId="33" fillId="29" borderId="0" xfId="473" applyNumberFormat="1" applyFont="1" applyFill="1" applyAlignment="1">
      <alignment horizontal="center"/>
    </xf>
    <xf numFmtId="169" fontId="33" fillId="29" borderId="0" xfId="473" applyNumberFormat="1" applyFont="1" applyFill="1" applyAlignment="1">
      <alignment horizontal="center"/>
    </xf>
    <xf numFmtId="0" fontId="37" fillId="29" borderId="0" xfId="473" applyFont="1" applyFill="1"/>
    <xf numFmtId="9" fontId="33" fillId="29" borderId="0" xfId="473" applyNumberFormat="1" applyFont="1" applyFill="1" applyAlignment="1">
      <alignment horizontal="center"/>
    </xf>
    <xf numFmtId="0" fontId="33" fillId="29" borderId="15" xfId="473" applyFont="1" applyFill="1" applyBorder="1" applyAlignment="1">
      <alignment vertical="center"/>
    </xf>
    <xf numFmtId="0" fontId="33" fillId="29" borderId="0" xfId="473" applyFont="1" applyFill="1" applyAlignment="1">
      <alignment vertical="center"/>
    </xf>
    <xf numFmtId="0" fontId="33" fillId="29" borderId="0" xfId="473" applyFont="1" applyFill="1" applyAlignment="1">
      <alignment horizontal="center" vertical="center"/>
    </xf>
    <xf numFmtId="0" fontId="33" fillId="29" borderId="16" xfId="473" applyFont="1" applyFill="1" applyBorder="1" applyAlignment="1">
      <alignment vertical="center"/>
    </xf>
    <xf numFmtId="0" fontId="33" fillId="29" borderId="3" xfId="473" applyFont="1" applyFill="1" applyBorder="1" applyAlignment="1">
      <alignment vertical="center"/>
    </xf>
    <xf numFmtId="0" fontId="33" fillId="29" borderId="4" xfId="473" applyFont="1" applyFill="1" applyBorder="1" applyAlignment="1">
      <alignment vertical="center"/>
    </xf>
    <xf numFmtId="0" fontId="33" fillId="29" borderId="4" xfId="473" applyFont="1" applyFill="1" applyBorder="1" applyAlignment="1">
      <alignment horizontal="center" vertical="center"/>
    </xf>
    <xf numFmtId="0" fontId="33" fillId="29" borderId="5" xfId="473" applyFont="1" applyFill="1" applyBorder="1" applyAlignment="1">
      <alignment vertical="center"/>
    </xf>
    <xf numFmtId="0" fontId="2" fillId="29" borderId="0" xfId="473" applyFill="1" applyAlignment="1">
      <alignment vertical="center"/>
    </xf>
    <xf numFmtId="0" fontId="43" fillId="29" borderId="16" xfId="73" applyFont="1" applyFill="1" applyBorder="1" applyAlignment="1">
      <alignment horizontal="center" vertical="center"/>
    </xf>
    <xf numFmtId="0" fontId="33" fillId="29" borderId="15" xfId="473" applyFont="1" applyFill="1" applyBorder="1" applyAlignment="1">
      <alignment horizontal="center" vertical="center"/>
    </xf>
    <xf numFmtId="0" fontId="33" fillId="29" borderId="16" xfId="473" applyFont="1" applyFill="1" applyBorder="1" applyAlignment="1">
      <alignment horizontal="center" vertical="center"/>
    </xf>
    <xf numFmtId="0" fontId="33" fillId="29" borderId="0" xfId="473" applyFont="1" applyFill="1" applyAlignment="1">
      <alignment horizontal="left" vertical="center"/>
    </xf>
    <xf numFmtId="0" fontId="33" fillId="29" borderId="3" xfId="473" applyFont="1" applyFill="1" applyBorder="1"/>
    <xf numFmtId="0" fontId="33" fillId="29" borderId="1" xfId="473" applyFont="1" applyFill="1" applyBorder="1" applyAlignment="1">
      <alignment horizontal="center"/>
    </xf>
    <xf numFmtId="0" fontId="2" fillId="29" borderId="16" xfId="473" applyFill="1" applyBorder="1"/>
    <xf numFmtId="0" fontId="38" fillId="29" borderId="3" xfId="473" applyFont="1" applyFill="1" applyBorder="1" applyAlignment="1">
      <alignment horizontal="center"/>
    </xf>
    <xf numFmtId="0" fontId="39" fillId="29" borderId="2" xfId="473" applyFont="1" applyFill="1" applyBorder="1"/>
    <xf numFmtId="0" fontId="33" fillId="29" borderId="2" xfId="473" applyFont="1" applyFill="1" applyBorder="1"/>
    <xf numFmtId="0" fontId="33" fillId="29" borderId="2" xfId="473" applyFont="1" applyFill="1" applyBorder="1" applyAlignment="1">
      <alignment horizontal="center"/>
    </xf>
    <xf numFmtId="2" fontId="33" fillId="29" borderId="2" xfId="473" applyNumberFormat="1" applyFont="1" applyFill="1" applyBorder="1" applyAlignment="1">
      <alignment horizontal="left"/>
    </xf>
    <xf numFmtId="166" fontId="33" fillId="29" borderId="0" xfId="473" applyNumberFormat="1" applyFont="1" applyFill="1"/>
    <xf numFmtId="0" fontId="37" fillId="29" borderId="3" xfId="473" applyFont="1" applyFill="1" applyBorder="1" applyAlignment="1">
      <alignment horizontal="center"/>
    </xf>
    <xf numFmtId="0" fontId="37" fillId="29" borderId="1" xfId="473" applyFont="1" applyFill="1" applyBorder="1" applyAlignment="1">
      <alignment horizontal="center"/>
    </xf>
    <xf numFmtId="0" fontId="35" fillId="29" borderId="0" xfId="473" applyFont="1" applyFill="1"/>
    <xf numFmtId="0" fontId="34" fillId="30" borderId="0" xfId="473" applyFont="1" applyFill="1"/>
    <xf numFmtId="0" fontId="33" fillId="30" borderId="0" xfId="473" applyFont="1" applyFill="1"/>
    <xf numFmtId="0" fontId="2" fillId="30" borderId="0" xfId="473" applyFill="1"/>
    <xf numFmtId="0" fontId="33" fillId="30" borderId="0" xfId="473" applyFont="1" applyFill="1" applyAlignment="1">
      <alignment horizontal="center"/>
    </xf>
    <xf numFmtId="0" fontId="45" fillId="3" borderId="0" xfId="473" applyFont="1" applyFill="1" applyAlignment="1">
      <alignment horizontal="center" vertical="center"/>
    </xf>
    <xf numFmtId="0" fontId="33" fillId="29" borderId="3" xfId="473" applyFont="1" applyFill="1" applyBorder="1" applyAlignment="1">
      <alignment horizontal="center"/>
    </xf>
    <xf numFmtId="0" fontId="33" fillId="29" borderId="4" xfId="473" applyFont="1" applyFill="1" applyBorder="1" applyAlignment="1">
      <alignment horizontal="center"/>
    </xf>
    <xf numFmtId="0" fontId="33" fillId="29" borderId="5" xfId="473" applyFont="1" applyFill="1" applyBorder="1" applyAlignment="1">
      <alignment horizontal="center"/>
    </xf>
    <xf numFmtId="0" fontId="33" fillId="29" borderId="0" xfId="473" applyFont="1" applyFill="1" applyAlignment="1">
      <alignment horizontal="left" vertical="top" wrapText="1"/>
    </xf>
    <xf numFmtId="0" fontId="33" fillId="29" borderId="15" xfId="473" applyFont="1" applyFill="1" applyBorder="1" applyAlignment="1">
      <alignment horizontal="center" vertical="center"/>
    </xf>
    <xf numFmtId="0" fontId="33" fillId="29" borderId="0" xfId="473" applyFont="1" applyFill="1" applyAlignment="1">
      <alignment horizontal="center" vertical="center"/>
    </xf>
    <xf numFmtId="0" fontId="33" fillId="29" borderId="16" xfId="473" applyFont="1" applyFill="1" applyBorder="1" applyAlignment="1">
      <alignment horizontal="center" vertical="center"/>
    </xf>
    <xf numFmtId="0" fontId="5" fillId="5" borderId="0" xfId="4" applyFill="1" applyAlignment="1">
      <alignment horizontal="left" vertical="center"/>
    </xf>
    <xf numFmtId="0" fontId="37" fillId="3" borderId="0" xfId="473" applyFont="1" applyFill="1" applyAlignment="1">
      <alignment horizontal="center" vertical="center"/>
    </xf>
    <xf numFmtId="0" fontId="45" fillId="29" borderId="0" xfId="473" applyFont="1" applyFill="1" applyAlignment="1">
      <alignment horizontal="center" vertical="center"/>
    </xf>
    <xf numFmtId="0" fontId="48" fillId="28" borderId="20" xfId="473" applyFont="1" applyFill="1" applyBorder="1" applyAlignment="1">
      <alignment horizontal="center" vertical="center"/>
    </xf>
    <xf numFmtId="0" fontId="48" fillId="28" borderId="21" xfId="473" applyFont="1" applyFill="1" applyBorder="1" applyAlignment="1">
      <alignment horizontal="center" vertical="center"/>
    </xf>
    <xf numFmtId="0" fontId="48" fillId="28" borderId="22" xfId="473" applyFont="1" applyFill="1" applyBorder="1" applyAlignment="1">
      <alignment horizontal="center" vertical="center"/>
    </xf>
    <xf numFmtId="0" fontId="48" fillId="28" borderId="15" xfId="473" applyFont="1" applyFill="1" applyBorder="1" applyAlignment="1">
      <alignment horizontal="center" vertical="center"/>
    </xf>
    <xf numFmtId="0" fontId="48" fillId="28" borderId="0" xfId="473" applyFont="1" applyFill="1" applyBorder="1" applyAlignment="1">
      <alignment horizontal="center" vertical="center"/>
    </xf>
    <xf numFmtId="0" fontId="48" fillId="28" borderId="16" xfId="473" applyFont="1" applyFill="1" applyBorder="1" applyAlignment="1">
      <alignment horizontal="center" vertical="center"/>
    </xf>
    <xf numFmtId="0" fontId="49" fillId="0" borderId="0" xfId="476" applyAlignment="1">
      <alignment horizontal="center" vertical="center"/>
    </xf>
    <xf numFmtId="0" fontId="50" fillId="0" borderId="0" xfId="0" applyFont="1" applyAlignment="1">
      <alignment horizontal="center" vertical="center"/>
    </xf>
  </cellXfs>
  <cellStyles count="477">
    <cellStyle name="20% - Accent1 2" xfId="80" xr:uid="{00000000-0005-0000-0000-000000000000}"/>
    <cellStyle name="20% - Accent1 3" xfId="81" xr:uid="{00000000-0005-0000-0000-000001000000}"/>
    <cellStyle name="20% - Accent1 4" xfId="82" xr:uid="{00000000-0005-0000-0000-000002000000}"/>
    <cellStyle name="20% - Accent1 5" xfId="83" xr:uid="{00000000-0005-0000-0000-000003000000}"/>
    <cellStyle name="20% - Accent1 6" xfId="84" xr:uid="{00000000-0005-0000-0000-000004000000}"/>
    <cellStyle name="20% - Accent1 7" xfId="85" xr:uid="{00000000-0005-0000-0000-000005000000}"/>
    <cellStyle name="20% - Accent1 8" xfId="86" xr:uid="{00000000-0005-0000-0000-000006000000}"/>
    <cellStyle name="20% - Accent1 9" xfId="87" xr:uid="{00000000-0005-0000-0000-000007000000}"/>
    <cellStyle name="20% - Accent2 2" xfId="1" xr:uid="{00000000-0005-0000-0000-000008000000}"/>
    <cellStyle name="20% - Accent2 2 2" xfId="88" xr:uid="{00000000-0005-0000-0000-000009000000}"/>
    <cellStyle name="20% - Accent2 3" xfId="89" xr:uid="{00000000-0005-0000-0000-00000A000000}"/>
    <cellStyle name="20% - Accent2 4" xfId="90" xr:uid="{00000000-0005-0000-0000-00000B000000}"/>
    <cellStyle name="20% - Accent2 5" xfId="91" xr:uid="{00000000-0005-0000-0000-00000C000000}"/>
    <cellStyle name="20% - Accent2 6" xfId="92" xr:uid="{00000000-0005-0000-0000-00000D000000}"/>
    <cellStyle name="20% - Accent2 7" xfId="93" xr:uid="{00000000-0005-0000-0000-00000E000000}"/>
    <cellStyle name="20% - Accent2 8" xfId="94" xr:uid="{00000000-0005-0000-0000-00000F000000}"/>
    <cellStyle name="20% - Accent2 9" xfId="95" xr:uid="{00000000-0005-0000-0000-000010000000}"/>
    <cellStyle name="20% - Accent3 2" xfId="96" xr:uid="{00000000-0005-0000-0000-000011000000}"/>
    <cellStyle name="20% - Accent3 3" xfId="97" xr:uid="{00000000-0005-0000-0000-000012000000}"/>
    <cellStyle name="20% - Accent3 4" xfId="98" xr:uid="{00000000-0005-0000-0000-000013000000}"/>
    <cellStyle name="20% - Accent3 5" xfId="99" xr:uid="{00000000-0005-0000-0000-000014000000}"/>
    <cellStyle name="20% - Accent3 6" xfId="100" xr:uid="{00000000-0005-0000-0000-000015000000}"/>
    <cellStyle name="20% - Accent3 7" xfId="101" xr:uid="{00000000-0005-0000-0000-000016000000}"/>
    <cellStyle name="20% - Accent3 8" xfId="102" xr:uid="{00000000-0005-0000-0000-000017000000}"/>
    <cellStyle name="20% - Accent3 9" xfId="103" xr:uid="{00000000-0005-0000-0000-000018000000}"/>
    <cellStyle name="20% - Accent4 2" xfId="104" xr:uid="{00000000-0005-0000-0000-000019000000}"/>
    <cellStyle name="20% - Accent4 3" xfId="105" xr:uid="{00000000-0005-0000-0000-00001A000000}"/>
    <cellStyle name="20% - Accent4 4" xfId="106" xr:uid="{00000000-0005-0000-0000-00001B000000}"/>
    <cellStyle name="20% - Accent4 5" xfId="107" xr:uid="{00000000-0005-0000-0000-00001C000000}"/>
    <cellStyle name="20% - Accent4 6" xfId="108" xr:uid="{00000000-0005-0000-0000-00001D000000}"/>
    <cellStyle name="20% - Accent4 7" xfId="109" xr:uid="{00000000-0005-0000-0000-00001E000000}"/>
    <cellStyle name="20% - Accent4 8" xfId="110" xr:uid="{00000000-0005-0000-0000-00001F000000}"/>
    <cellStyle name="20% - Accent4 9" xfId="111" xr:uid="{00000000-0005-0000-0000-000020000000}"/>
    <cellStyle name="20% - Accent5 2" xfId="112" xr:uid="{00000000-0005-0000-0000-000021000000}"/>
    <cellStyle name="20% - Accent5 3" xfId="113" xr:uid="{00000000-0005-0000-0000-000022000000}"/>
    <cellStyle name="20% - Accent5 4" xfId="114" xr:uid="{00000000-0005-0000-0000-000023000000}"/>
    <cellStyle name="20% - Accent5 5" xfId="115" xr:uid="{00000000-0005-0000-0000-000024000000}"/>
    <cellStyle name="20% - Accent5 6" xfId="116" xr:uid="{00000000-0005-0000-0000-000025000000}"/>
    <cellStyle name="20% - Accent5 7" xfId="117" xr:uid="{00000000-0005-0000-0000-000026000000}"/>
    <cellStyle name="20% - Accent5 8" xfId="118" xr:uid="{00000000-0005-0000-0000-000027000000}"/>
    <cellStyle name="20% - Accent5 9" xfId="119" xr:uid="{00000000-0005-0000-0000-000028000000}"/>
    <cellStyle name="20% - Accent6 2" xfId="120" xr:uid="{00000000-0005-0000-0000-000029000000}"/>
    <cellStyle name="20% - Accent6 3" xfId="121" xr:uid="{00000000-0005-0000-0000-00002A000000}"/>
    <cellStyle name="20% - Accent6 4" xfId="122" xr:uid="{00000000-0005-0000-0000-00002B000000}"/>
    <cellStyle name="20% - Accent6 5" xfId="123" xr:uid="{00000000-0005-0000-0000-00002C000000}"/>
    <cellStyle name="20% - Accent6 6" xfId="124" xr:uid="{00000000-0005-0000-0000-00002D000000}"/>
    <cellStyle name="20% - Accent6 7" xfId="125" xr:uid="{00000000-0005-0000-0000-00002E000000}"/>
    <cellStyle name="20% - Accent6 8" xfId="126" xr:uid="{00000000-0005-0000-0000-00002F000000}"/>
    <cellStyle name="20% - Accent6 9" xfId="127" xr:uid="{00000000-0005-0000-0000-000030000000}"/>
    <cellStyle name="40% - Accent1 2" xfId="128" xr:uid="{00000000-0005-0000-0000-000031000000}"/>
    <cellStyle name="40% - Accent1 3" xfId="129" xr:uid="{00000000-0005-0000-0000-000032000000}"/>
    <cellStyle name="40% - Accent1 4" xfId="130" xr:uid="{00000000-0005-0000-0000-000033000000}"/>
    <cellStyle name="40% - Accent1 5" xfId="131" xr:uid="{00000000-0005-0000-0000-000034000000}"/>
    <cellStyle name="40% - Accent1 6" xfId="132" xr:uid="{00000000-0005-0000-0000-000035000000}"/>
    <cellStyle name="40% - Accent1 7" xfId="133" xr:uid="{00000000-0005-0000-0000-000036000000}"/>
    <cellStyle name="40% - Accent1 8" xfId="134" xr:uid="{00000000-0005-0000-0000-000037000000}"/>
    <cellStyle name="40% - Accent1 9" xfId="135" xr:uid="{00000000-0005-0000-0000-000038000000}"/>
    <cellStyle name="40% - Accent2 2" xfId="136" xr:uid="{00000000-0005-0000-0000-000039000000}"/>
    <cellStyle name="40% - Accent2 3" xfId="137" xr:uid="{00000000-0005-0000-0000-00003A000000}"/>
    <cellStyle name="40% - Accent2 4" xfId="138" xr:uid="{00000000-0005-0000-0000-00003B000000}"/>
    <cellStyle name="40% - Accent2 5" xfId="139" xr:uid="{00000000-0005-0000-0000-00003C000000}"/>
    <cellStyle name="40% - Accent2 6" xfId="140" xr:uid="{00000000-0005-0000-0000-00003D000000}"/>
    <cellStyle name="40% - Accent2 7" xfId="141" xr:uid="{00000000-0005-0000-0000-00003E000000}"/>
    <cellStyle name="40% - Accent2 8" xfId="142" xr:uid="{00000000-0005-0000-0000-00003F000000}"/>
    <cellStyle name="40% - Accent2 9" xfId="143" xr:uid="{00000000-0005-0000-0000-000040000000}"/>
    <cellStyle name="40% - Accent3 2" xfId="144" xr:uid="{00000000-0005-0000-0000-000041000000}"/>
    <cellStyle name="40% - Accent3 3" xfId="145" xr:uid="{00000000-0005-0000-0000-000042000000}"/>
    <cellStyle name="40% - Accent3 4" xfId="146" xr:uid="{00000000-0005-0000-0000-000043000000}"/>
    <cellStyle name="40% - Accent3 5" xfId="147" xr:uid="{00000000-0005-0000-0000-000044000000}"/>
    <cellStyle name="40% - Accent3 6" xfId="148" xr:uid="{00000000-0005-0000-0000-000045000000}"/>
    <cellStyle name="40% - Accent3 7" xfId="149" xr:uid="{00000000-0005-0000-0000-000046000000}"/>
    <cellStyle name="40% - Accent3 8" xfId="150" xr:uid="{00000000-0005-0000-0000-000047000000}"/>
    <cellStyle name="40% - Accent3 9" xfId="151" xr:uid="{00000000-0005-0000-0000-000048000000}"/>
    <cellStyle name="40% - Accent4 2" xfId="152" xr:uid="{00000000-0005-0000-0000-000049000000}"/>
    <cellStyle name="40% - Accent4 3" xfId="153" xr:uid="{00000000-0005-0000-0000-00004A000000}"/>
    <cellStyle name="40% - Accent4 4" xfId="154" xr:uid="{00000000-0005-0000-0000-00004B000000}"/>
    <cellStyle name="40% - Accent4 5" xfId="155" xr:uid="{00000000-0005-0000-0000-00004C000000}"/>
    <cellStyle name="40% - Accent4 6" xfId="156" xr:uid="{00000000-0005-0000-0000-00004D000000}"/>
    <cellStyle name="40% - Accent4 7" xfId="157" xr:uid="{00000000-0005-0000-0000-00004E000000}"/>
    <cellStyle name="40% - Accent4 8" xfId="158" xr:uid="{00000000-0005-0000-0000-00004F000000}"/>
    <cellStyle name="40% - Accent4 9" xfId="159" xr:uid="{00000000-0005-0000-0000-000050000000}"/>
    <cellStyle name="40% - Accent5 2" xfId="160" xr:uid="{00000000-0005-0000-0000-000051000000}"/>
    <cellStyle name="40% - Accent5 3" xfId="161" xr:uid="{00000000-0005-0000-0000-000052000000}"/>
    <cellStyle name="40% - Accent5 4" xfId="162" xr:uid="{00000000-0005-0000-0000-000053000000}"/>
    <cellStyle name="40% - Accent5 5" xfId="163" xr:uid="{00000000-0005-0000-0000-000054000000}"/>
    <cellStyle name="40% - Accent5 6" xfId="164" xr:uid="{00000000-0005-0000-0000-000055000000}"/>
    <cellStyle name="40% - Accent5 7" xfId="165" xr:uid="{00000000-0005-0000-0000-000056000000}"/>
    <cellStyle name="40% - Accent5 8" xfId="166" xr:uid="{00000000-0005-0000-0000-000057000000}"/>
    <cellStyle name="40% - Accent5 9" xfId="167" xr:uid="{00000000-0005-0000-0000-000058000000}"/>
    <cellStyle name="40% - Accent6 2" xfId="168" xr:uid="{00000000-0005-0000-0000-000059000000}"/>
    <cellStyle name="40% - Accent6 3" xfId="169" xr:uid="{00000000-0005-0000-0000-00005A000000}"/>
    <cellStyle name="40% - Accent6 4" xfId="170" xr:uid="{00000000-0005-0000-0000-00005B000000}"/>
    <cellStyle name="40% - Accent6 5" xfId="171" xr:uid="{00000000-0005-0000-0000-00005C000000}"/>
    <cellStyle name="40% - Accent6 6" xfId="172" xr:uid="{00000000-0005-0000-0000-00005D000000}"/>
    <cellStyle name="40% - Accent6 7" xfId="173" xr:uid="{00000000-0005-0000-0000-00005E000000}"/>
    <cellStyle name="40% - Accent6 8" xfId="174" xr:uid="{00000000-0005-0000-0000-00005F000000}"/>
    <cellStyle name="40% - Accent6 9" xfId="175" xr:uid="{00000000-0005-0000-0000-000060000000}"/>
    <cellStyle name="60% - Accent1 2" xfId="176" xr:uid="{00000000-0005-0000-0000-000061000000}"/>
    <cellStyle name="60% - Accent1 3" xfId="177" xr:uid="{00000000-0005-0000-0000-000062000000}"/>
    <cellStyle name="60% - Accent1 4" xfId="178" xr:uid="{00000000-0005-0000-0000-000063000000}"/>
    <cellStyle name="60% - Accent1 5" xfId="179" xr:uid="{00000000-0005-0000-0000-000064000000}"/>
    <cellStyle name="60% - Accent1 6" xfId="180" xr:uid="{00000000-0005-0000-0000-000065000000}"/>
    <cellStyle name="60% - Accent1 7" xfId="181" xr:uid="{00000000-0005-0000-0000-000066000000}"/>
    <cellStyle name="60% - Accent1 8" xfId="182" xr:uid="{00000000-0005-0000-0000-000067000000}"/>
    <cellStyle name="60% - Accent1 9" xfId="183" xr:uid="{00000000-0005-0000-0000-000068000000}"/>
    <cellStyle name="60% - Accent2 2" xfId="184" xr:uid="{00000000-0005-0000-0000-000069000000}"/>
    <cellStyle name="60% - Accent2 3" xfId="185" xr:uid="{00000000-0005-0000-0000-00006A000000}"/>
    <cellStyle name="60% - Accent2 4" xfId="186" xr:uid="{00000000-0005-0000-0000-00006B000000}"/>
    <cellStyle name="60% - Accent2 5" xfId="187" xr:uid="{00000000-0005-0000-0000-00006C000000}"/>
    <cellStyle name="60% - Accent2 6" xfId="188" xr:uid="{00000000-0005-0000-0000-00006D000000}"/>
    <cellStyle name="60% - Accent2 7" xfId="189" xr:uid="{00000000-0005-0000-0000-00006E000000}"/>
    <cellStyle name="60% - Accent2 8" xfId="190" xr:uid="{00000000-0005-0000-0000-00006F000000}"/>
    <cellStyle name="60% - Accent2 9" xfId="191" xr:uid="{00000000-0005-0000-0000-000070000000}"/>
    <cellStyle name="60% - Accent3 2" xfId="192" xr:uid="{00000000-0005-0000-0000-000071000000}"/>
    <cellStyle name="60% - Accent3 3" xfId="193" xr:uid="{00000000-0005-0000-0000-000072000000}"/>
    <cellStyle name="60% - Accent3 4" xfId="194" xr:uid="{00000000-0005-0000-0000-000073000000}"/>
    <cellStyle name="60% - Accent3 5" xfId="195" xr:uid="{00000000-0005-0000-0000-000074000000}"/>
    <cellStyle name="60% - Accent3 6" xfId="196" xr:uid="{00000000-0005-0000-0000-000075000000}"/>
    <cellStyle name="60% - Accent3 7" xfId="197" xr:uid="{00000000-0005-0000-0000-000076000000}"/>
    <cellStyle name="60% - Accent3 8" xfId="198" xr:uid="{00000000-0005-0000-0000-000077000000}"/>
    <cellStyle name="60% - Accent3 9" xfId="199" xr:uid="{00000000-0005-0000-0000-000078000000}"/>
    <cellStyle name="60% - Accent4 2" xfId="200" xr:uid="{00000000-0005-0000-0000-000079000000}"/>
    <cellStyle name="60% - Accent4 3" xfId="201" xr:uid="{00000000-0005-0000-0000-00007A000000}"/>
    <cellStyle name="60% - Accent4 4" xfId="202" xr:uid="{00000000-0005-0000-0000-00007B000000}"/>
    <cellStyle name="60% - Accent4 5" xfId="203" xr:uid="{00000000-0005-0000-0000-00007C000000}"/>
    <cellStyle name="60% - Accent4 6" xfId="204" xr:uid="{00000000-0005-0000-0000-00007D000000}"/>
    <cellStyle name="60% - Accent4 7" xfId="205" xr:uid="{00000000-0005-0000-0000-00007E000000}"/>
    <cellStyle name="60% - Accent4 8" xfId="206" xr:uid="{00000000-0005-0000-0000-00007F000000}"/>
    <cellStyle name="60% - Accent4 9" xfId="207" xr:uid="{00000000-0005-0000-0000-000080000000}"/>
    <cellStyle name="60% - Accent5 2" xfId="208" xr:uid="{00000000-0005-0000-0000-000081000000}"/>
    <cellStyle name="60% - Accent5 3" xfId="209" xr:uid="{00000000-0005-0000-0000-000082000000}"/>
    <cellStyle name="60% - Accent5 4" xfId="210" xr:uid="{00000000-0005-0000-0000-000083000000}"/>
    <cellStyle name="60% - Accent5 5" xfId="211" xr:uid="{00000000-0005-0000-0000-000084000000}"/>
    <cellStyle name="60% - Accent5 6" xfId="212" xr:uid="{00000000-0005-0000-0000-000085000000}"/>
    <cellStyle name="60% - Accent5 7" xfId="213" xr:uid="{00000000-0005-0000-0000-000086000000}"/>
    <cellStyle name="60% - Accent5 8" xfId="214" xr:uid="{00000000-0005-0000-0000-000087000000}"/>
    <cellStyle name="60% - Accent5 9" xfId="215" xr:uid="{00000000-0005-0000-0000-000088000000}"/>
    <cellStyle name="60% - Accent6 2" xfId="216" xr:uid="{00000000-0005-0000-0000-000089000000}"/>
    <cellStyle name="60% - Accent6 3" xfId="217" xr:uid="{00000000-0005-0000-0000-00008A000000}"/>
    <cellStyle name="60% - Accent6 4" xfId="218" xr:uid="{00000000-0005-0000-0000-00008B000000}"/>
    <cellStyle name="60% - Accent6 5" xfId="219" xr:uid="{00000000-0005-0000-0000-00008C000000}"/>
    <cellStyle name="60% - Accent6 6" xfId="220" xr:uid="{00000000-0005-0000-0000-00008D000000}"/>
    <cellStyle name="60% - Accent6 7" xfId="221" xr:uid="{00000000-0005-0000-0000-00008E000000}"/>
    <cellStyle name="60% - Accent6 8" xfId="222" xr:uid="{00000000-0005-0000-0000-00008F000000}"/>
    <cellStyle name="60% - Accent6 9" xfId="223" xr:uid="{00000000-0005-0000-0000-000090000000}"/>
    <cellStyle name="Accent1 2" xfId="224" xr:uid="{00000000-0005-0000-0000-000091000000}"/>
    <cellStyle name="Accent1 3" xfId="225" xr:uid="{00000000-0005-0000-0000-000092000000}"/>
    <cellStyle name="Accent1 4" xfId="226" xr:uid="{00000000-0005-0000-0000-000093000000}"/>
    <cellStyle name="Accent1 5" xfId="227" xr:uid="{00000000-0005-0000-0000-000094000000}"/>
    <cellStyle name="Accent1 6" xfId="228" xr:uid="{00000000-0005-0000-0000-000095000000}"/>
    <cellStyle name="Accent1 7" xfId="229" xr:uid="{00000000-0005-0000-0000-000096000000}"/>
    <cellStyle name="Accent1 8" xfId="230" xr:uid="{00000000-0005-0000-0000-000097000000}"/>
    <cellStyle name="Accent1 9" xfId="231" xr:uid="{00000000-0005-0000-0000-000098000000}"/>
    <cellStyle name="Accent2 2" xfId="232" xr:uid="{00000000-0005-0000-0000-000099000000}"/>
    <cellStyle name="Accent2 3" xfId="233" xr:uid="{00000000-0005-0000-0000-00009A000000}"/>
    <cellStyle name="Accent2 4" xfId="234" xr:uid="{00000000-0005-0000-0000-00009B000000}"/>
    <cellStyle name="Accent2 5" xfId="235" xr:uid="{00000000-0005-0000-0000-00009C000000}"/>
    <cellStyle name="Accent2 6" xfId="236" xr:uid="{00000000-0005-0000-0000-00009D000000}"/>
    <cellStyle name="Accent2 7" xfId="237" xr:uid="{00000000-0005-0000-0000-00009E000000}"/>
    <cellStyle name="Accent2 8" xfId="238" xr:uid="{00000000-0005-0000-0000-00009F000000}"/>
    <cellStyle name="Accent2 9" xfId="239" xr:uid="{00000000-0005-0000-0000-0000A0000000}"/>
    <cellStyle name="Accent3 2" xfId="240" xr:uid="{00000000-0005-0000-0000-0000A1000000}"/>
    <cellStyle name="Accent3 3" xfId="241" xr:uid="{00000000-0005-0000-0000-0000A2000000}"/>
    <cellStyle name="Accent3 4" xfId="242" xr:uid="{00000000-0005-0000-0000-0000A3000000}"/>
    <cellStyle name="Accent3 5" xfId="243" xr:uid="{00000000-0005-0000-0000-0000A4000000}"/>
    <cellStyle name="Accent3 6" xfId="244" xr:uid="{00000000-0005-0000-0000-0000A5000000}"/>
    <cellStyle name="Accent3 7" xfId="245" xr:uid="{00000000-0005-0000-0000-0000A6000000}"/>
    <cellStyle name="Accent3 8" xfId="246" xr:uid="{00000000-0005-0000-0000-0000A7000000}"/>
    <cellStyle name="Accent3 9" xfId="247" xr:uid="{00000000-0005-0000-0000-0000A8000000}"/>
    <cellStyle name="Accent4 2" xfId="248" xr:uid="{00000000-0005-0000-0000-0000A9000000}"/>
    <cellStyle name="Accent4 3" xfId="249" xr:uid="{00000000-0005-0000-0000-0000AA000000}"/>
    <cellStyle name="Accent4 4" xfId="250" xr:uid="{00000000-0005-0000-0000-0000AB000000}"/>
    <cellStyle name="Accent4 5" xfId="251" xr:uid="{00000000-0005-0000-0000-0000AC000000}"/>
    <cellStyle name="Accent4 6" xfId="252" xr:uid="{00000000-0005-0000-0000-0000AD000000}"/>
    <cellStyle name="Accent4 7" xfId="253" xr:uid="{00000000-0005-0000-0000-0000AE000000}"/>
    <cellStyle name="Accent4 8" xfId="254" xr:uid="{00000000-0005-0000-0000-0000AF000000}"/>
    <cellStyle name="Accent4 9" xfId="255" xr:uid="{00000000-0005-0000-0000-0000B0000000}"/>
    <cellStyle name="Accent5 2" xfId="256" xr:uid="{00000000-0005-0000-0000-0000B1000000}"/>
    <cellStyle name="Accent5 3" xfId="257" xr:uid="{00000000-0005-0000-0000-0000B2000000}"/>
    <cellStyle name="Accent5 4" xfId="258" xr:uid="{00000000-0005-0000-0000-0000B3000000}"/>
    <cellStyle name="Accent5 5" xfId="259" xr:uid="{00000000-0005-0000-0000-0000B4000000}"/>
    <cellStyle name="Accent5 6" xfId="260" xr:uid="{00000000-0005-0000-0000-0000B5000000}"/>
    <cellStyle name="Accent5 7" xfId="261" xr:uid="{00000000-0005-0000-0000-0000B6000000}"/>
    <cellStyle name="Accent5 8" xfId="262" xr:uid="{00000000-0005-0000-0000-0000B7000000}"/>
    <cellStyle name="Accent5 9" xfId="263" xr:uid="{00000000-0005-0000-0000-0000B8000000}"/>
    <cellStyle name="Accent6 2" xfId="264" xr:uid="{00000000-0005-0000-0000-0000B9000000}"/>
    <cellStyle name="Accent6 3" xfId="265" xr:uid="{00000000-0005-0000-0000-0000BA000000}"/>
    <cellStyle name="Accent6 4" xfId="266" xr:uid="{00000000-0005-0000-0000-0000BB000000}"/>
    <cellStyle name="Accent6 5" xfId="267" xr:uid="{00000000-0005-0000-0000-0000BC000000}"/>
    <cellStyle name="Accent6 6" xfId="268" xr:uid="{00000000-0005-0000-0000-0000BD000000}"/>
    <cellStyle name="Accent6 7" xfId="269" xr:uid="{00000000-0005-0000-0000-0000BE000000}"/>
    <cellStyle name="Accent6 8" xfId="270" xr:uid="{00000000-0005-0000-0000-0000BF000000}"/>
    <cellStyle name="Accent6 9" xfId="271" xr:uid="{00000000-0005-0000-0000-0000C0000000}"/>
    <cellStyle name="Bad 2" xfId="272" xr:uid="{00000000-0005-0000-0000-0000C1000000}"/>
    <cellStyle name="Bad 3" xfId="273" xr:uid="{00000000-0005-0000-0000-0000C2000000}"/>
    <cellStyle name="Bad 4" xfId="274" xr:uid="{00000000-0005-0000-0000-0000C3000000}"/>
    <cellStyle name="Bad 5" xfId="275" xr:uid="{00000000-0005-0000-0000-0000C4000000}"/>
    <cellStyle name="Bad 6" xfId="276" xr:uid="{00000000-0005-0000-0000-0000C5000000}"/>
    <cellStyle name="Bad 7" xfId="277" xr:uid="{00000000-0005-0000-0000-0000C6000000}"/>
    <cellStyle name="Bad 8" xfId="278" xr:uid="{00000000-0005-0000-0000-0000C7000000}"/>
    <cellStyle name="Bad 9" xfId="279" xr:uid="{00000000-0005-0000-0000-0000C8000000}"/>
    <cellStyle name="Calculation 2" xfId="280" xr:uid="{00000000-0005-0000-0000-0000C9000000}"/>
    <cellStyle name="Calculation 3" xfId="281" xr:uid="{00000000-0005-0000-0000-0000CA000000}"/>
    <cellStyle name="Calculation 4" xfId="282" xr:uid="{00000000-0005-0000-0000-0000CB000000}"/>
    <cellStyle name="Calculation 5" xfId="283" xr:uid="{00000000-0005-0000-0000-0000CC000000}"/>
    <cellStyle name="Calculation 6" xfId="284" xr:uid="{00000000-0005-0000-0000-0000CD000000}"/>
    <cellStyle name="Calculation 7" xfId="285" xr:uid="{00000000-0005-0000-0000-0000CE000000}"/>
    <cellStyle name="Calculation 8" xfId="286" xr:uid="{00000000-0005-0000-0000-0000CF000000}"/>
    <cellStyle name="Calculation 9" xfId="287" xr:uid="{00000000-0005-0000-0000-0000D0000000}"/>
    <cellStyle name="Check Cell 2" xfId="288" xr:uid="{00000000-0005-0000-0000-0000D1000000}"/>
    <cellStyle name="Check Cell 3" xfId="289" xr:uid="{00000000-0005-0000-0000-0000D2000000}"/>
    <cellStyle name="Check Cell 4" xfId="290" xr:uid="{00000000-0005-0000-0000-0000D3000000}"/>
    <cellStyle name="Check Cell 5" xfId="291" xr:uid="{00000000-0005-0000-0000-0000D4000000}"/>
    <cellStyle name="Check Cell 6" xfId="292" xr:uid="{00000000-0005-0000-0000-0000D5000000}"/>
    <cellStyle name="Check Cell 7" xfId="293" xr:uid="{00000000-0005-0000-0000-0000D6000000}"/>
    <cellStyle name="Check Cell 8" xfId="294" xr:uid="{00000000-0005-0000-0000-0000D7000000}"/>
    <cellStyle name="Check Cell 9" xfId="295" xr:uid="{00000000-0005-0000-0000-0000D8000000}"/>
    <cellStyle name="Comma 2" xfId="2" xr:uid="{00000000-0005-0000-0000-0000D9000000}"/>
    <cellStyle name="Comma 2 2" xfId="3" xr:uid="{00000000-0005-0000-0000-0000DA000000}"/>
    <cellStyle name="Comma 2 3" xfId="296" xr:uid="{00000000-0005-0000-0000-0000DB000000}"/>
    <cellStyle name="Excel Built-in Normal" xfId="472" xr:uid="{00000000-0005-0000-0000-0000DC000000}"/>
    <cellStyle name="Explanatory Text 2" xfId="297" xr:uid="{00000000-0005-0000-0000-0000DD000000}"/>
    <cellStyle name="Explanatory Text 3" xfId="298" xr:uid="{00000000-0005-0000-0000-0000DE000000}"/>
    <cellStyle name="Explanatory Text 4" xfId="299" xr:uid="{00000000-0005-0000-0000-0000DF000000}"/>
    <cellStyle name="Explanatory Text 5" xfId="300" xr:uid="{00000000-0005-0000-0000-0000E0000000}"/>
    <cellStyle name="Explanatory Text 6" xfId="301" xr:uid="{00000000-0005-0000-0000-0000E1000000}"/>
    <cellStyle name="Explanatory Text 7" xfId="302" xr:uid="{00000000-0005-0000-0000-0000E2000000}"/>
    <cellStyle name="Explanatory Text 8" xfId="303" xr:uid="{00000000-0005-0000-0000-0000E3000000}"/>
    <cellStyle name="Explanatory Text 9" xfId="304" xr:uid="{00000000-0005-0000-0000-0000E4000000}"/>
    <cellStyle name="Good 2" xfId="305" xr:uid="{00000000-0005-0000-0000-0000E5000000}"/>
    <cellStyle name="Good 3" xfId="306" xr:uid="{00000000-0005-0000-0000-0000E6000000}"/>
    <cellStyle name="Good 4" xfId="307" xr:uid="{00000000-0005-0000-0000-0000E7000000}"/>
    <cellStyle name="Good 5" xfId="308" xr:uid="{00000000-0005-0000-0000-0000E8000000}"/>
    <cellStyle name="Good 6" xfId="309" xr:uid="{00000000-0005-0000-0000-0000E9000000}"/>
    <cellStyle name="Good 7" xfId="310" xr:uid="{00000000-0005-0000-0000-0000EA000000}"/>
    <cellStyle name="Good 8" xfId="311" xr:uid="{00000000-0005-0000-0000-0000EB000000}"/>
    <cellStyle name="Good 9" xfId="312" xr:uid="{00000000-0005-0000-0000-0000EC000000}"/>
    <cellStyle name="Heading 1 2" xfId="313" xr:uid="{00000000-0005-0000-0000-0000ED000000}"/>
    <cellStyle name="Heading 1 3" xfId="314" xr:uid="{00000000-0005-0000-0000-0000EE000000}"/>
    <cellStyle name="Heading 1 4" xfId="315" xr:uid="{00000000-0005-0000-0000-0000EF000000}"/>
    <cellStyle name="Heading 1 5" xfId="316" xr:uid="{00000000-0005-0000-0000-0000F0000000}"/>
    <cellStyle name="Heading 1 6" xfId="317" xr:uid="{00000000-0005-0000-0000-0000F1000000}"/>
    <cellStyle name="Heading 1 7" xfId="318" xr:uid="{00000000-0005-0000-0000-0000F2000000}"/>
    <cellStyle name="Heading 1 8" xfId="319" xr:uid="{00000000-0005-0000-0000-0000F3000000}"/>
    <cellStyle name="Heading 1 9" xfId="320" xr:uid="{00000000-0005-0000-0000-0000F4000000}"/>
    <cellStyle name="Heading 2 2" xfId="321" xr:uid="{00000000-0005-0000-0000-0000F5000000}"/>
    <cellStyle name="Heading 2 3" xfId="322" xr:uid="{00000000-0005-0000-0000-0000F6000000}"/>
    <cellStyle name="Heading 2 4" xfId="323" xr:uid="{00000000-0005-0000-0000-0000F7000000}"/>
    <cellStyle name="Heading 2 5" xfId="324" xr:uid="{00000000-0005-0000-0000-0000F8000000}"/>
    <cellStyle name="Heading 2 6" xfId="325" xr:uid="{00000000-0005-0000-0000-0000F9000000}"/>
    <cellStyle name="Heading 2 7" xfId="326" xr:uid="{00000000-0005-0000-0000-0000FA000000}"/>
    <cellStyle name="Heading 2 8" xfId="327" xr:uid="{00000000-0005-0000-0000-0000FB000000}"/>
    <cellStyle name="Heading 2 9" xfId="328" xr:uid="{00000000-0005-0000-0000-0000FC000000}"/>
    <cellStyle name="Heading 3 2" xfId="329" xr:uid="{00000000-0005-0000-0000-0000FD000000}"/>
    <cellStyle name="Heading 3 3" xfId="330" xr:uid="{00000000-0005-0000-0000-0000FE000000}"/>
    <cellStyle name="Heading 3 4" xfId="331" xr:uid="{00000000-0005-0000-0000-0000FF000000}"/>
    <cellStyle name="Heading 3 5" xfId="332" xr:uid="{00000000-0005-0000-0000-000000010000}"/>
    <cellStyle name="Heading 3 6" xfId="333" xr:uid="{00000000-0005-0000-0000-000001010000}"/>
    <cellStyle name="Heading 3 7" xfId="334" xr:uid="{00000000-0005-0000-0000-000002010000}"/>
    <cellStyle name="Heading 3 8" xfId="335" xr:uid="{00000000-0005-0000-0000-000003010000}"/>
    <cellStyle name="Heading 3 9" xfId="336" xr:uid="{00000000-0005-0000-0000-000004010000}"/>
    <cellStyle name="Heading 4 2" xfId="337" xr:uid="{00000000-0005-0000-0000-000005010000}"/>
    <cellStyle name="Heading 4 3" xfId="338" xr:uid="{00000000-0005-0000-0000-000006010000}"/>
    <cellStyle name="Heading 4 4" xfId="339" xr:uid="{00000000-0005-0000-0000-000007010000}"/>
    <cellStyle name="Heading 4 5" xfId="340" xr:uid="{00000000-0005-0000-0000-000008010000}"/>
    <cellStyle name="Heading 4 6" xfId="341" xr:uid="{00000000-0005-0000-0000-000009010000}"/>
    <cellStyle name="Heading 4 7" xfId="342" xr:uid="{00000000-0005-0000-0000-00000A010000}"/>
    <cellStyle name="Heading 4 8" xfId="343" xr:uid="{00000000-0005-0000-0000-00000B010000}"/>
    <cellStyle name="Heading 4 9" xfId="344" xr:uid="{00000000-0005-0000-0000-00000C010000}"/>
    <cellStyle name="Hyperlink" xfId="476" builtinId="8"/>
    <cellStyle name="Input 2" xfId="345" xr:uid="{00000000-0005-0000-0000-00000D010000}"/>
    <cellStyle name="Input 3" xfId="346" xr:uid="{00000000-0005-0000-0000-00000E010000}"/>
    <cellStyle name="Input 4" xfId="347" xr:uid="{00000000-0005-0000-0000-00000F010000}"/>
    <cellStyle name="Input 5" xfId="348" xr:uid="{00000000-0005-0000-0000-000010010000}"/>
    <cellStyle name="Input 6" xfId="349" xr:uid="{00000000-0005-0000-0000-000011010000}"/>
    <cellStyle name="Input 7" xfId="350" xr:uid="{00000000-0005-0000-0000-000012010000}"/>
    <cellStyle name="Input 8" xfId="351" xr:uid="{00000000-0005-0000-0000-000013010000}"/>
    <cellStyle name="Input 9" xfId="352" xr:uid="{00000000-0005-0000-0000-000014010000}"/>
    <cellStyle name="Linked Cell 2" xfId="353" xr:uid="{00000000-0005-0000-0000-000015010000}"/>
    <cellStyle name="Linked Cell 3" xfId="354" xr:uid="{00000000-0005-0000-0000-000016010000}"/>
    <cellStyle name="Linked Cell 4" xfId="355" xr:uid="{00000000-0005-0000-0000-000017010000}"/>
    <cellStyle name="Linked Cell 5" xfId="356" xr:uid="{00000000-0005-0000-0000-000018010000}"/>
    <cellStyle name="Linked Cell 6" xfId="357" xr:uid="{00000000-0005-0000-0000-000019010000}"/>
    <cellStyle name="Linked Cell 7" xfId="358" xr:uid="{00000000-0005-0000-0000-00001A010000}"/>
    <cellStyle name="Linked Cell 8" xfId="359" xr:uid="{00000000-0005-0000-0000-00001B010000}"/>
    <cellStyle name="Linked Cell 9" xfId="360" xr:uid="{00000000-0005-0000-0000-00001C010000}"/>
    <cellStyle name="Neutral 2" xfId="361" xr:uid="{00000000-0005-0000-0000-00001D010000}"/>
    <cellStyle name="Neutral 3" xfId="362" xr:uid="{00000000-0005-0000-0000-00001E010000}"/>
    <cellStyle name="Neutral 4" xfId="363" xr:uid="{00000000-0005-0000-0000-00001F010000}"/>
    <cellStyle name="Neutral 5" xfId="364" xr:uid="{00000000-0005-0000-0000-000020010000}"/>
    <cellStyle name="Neutral 6" xfId="365" xr:uid="{00000000-0005-0000-0000-000021010000}"/>
    <cellStyle name="Neutral 7" xfId="366" xr:uid="{00000000-0005-0000-0000-000022010000}"/>
    <cellStyle name="Neutral 8" xfId="367" xr:uid="{00000000-0005-0000-0000-000023010000}"/>
    <cellStyle name="Neutral 9" xfId="368" xr:uid="{00000000-0005-0000-0000-000024010000}"/>
    <cellStyle name="Normal" xfId="0" builtinId="0"/>
    <cellStyle name="Normal 10" xfId="4" xr:uid="{00000000-0005-0000-0000-000026010000}"/>
    <cellStyle name="Normal 10 2" xfId="475" xr:uid="{00000000-0005-0000-0000-000027010000}"/>
    <cellStyle name="Normal 11" xfId="5" xr:uid="{00000000-0005-0000-0000-000028010000}"/>
    <cellStyle name="Normal 12" xfId="78" xr:uid="{00000000-0005-0000-0000-000029010000}"/>
    <cellStyle name="Normal 12 10" xfId="6" xr:uid="{00000000-0005-0000-0000-00002A010000}"/>
    <cellStyle name="Normal 12 11" xfId="7" xr:uid="{00000000-0005-0000-0000-00002B010000}"/>
    <cellStyle name="Normal 12 12" xfId="8" xr:uid="{00000000-0005-0000-0000-00002C010000}"/>
    <cellStyle name="Normal 12 13" xfId="9" xr:uid="{00000000-0005-0000-0000-00002D010000}"/>
    <cellStyle name="Normal 12 14" xfId="10" xr:uid="{00000000-0005-0000-0000-00002E010000}"/>
    <cellStyle name="Normal 12 15" xfId="11" xr:uid="{00000000-0005-0000-0000-00002F010000}"/>
    <cellStyle name="Normal 12 16" xfId="12" xr:uid="{00000000-0005-0000-0000-000030010000}"/>
    <cellStyle name="Normal 12 17" xfId="13" xr:uid="{00000000-0005-0000-0000-000031010000}"/>
    <cellStyle name="Normal 12 18" xfId="14" xr:uid="{00000000-0005-0000-0000-000032010000}"/>
    <cellStyle name="Normal 12 19" xfId="15" xr:uid="{00000000-0005-0000-0000-000033010000}"/>
    <cellStyle name="Normal 12 2" xfId="16" xr:uid="{00000000-0005-0000-0000-000034010000}"/>
    <cellStyle name="Normal 12 20" xfId="17" xr:uid="{00000000-0005-0000-0000-000035010000}"/>
    <cellStyle name="Normal 12 21" xfId="18" xr:uid="{00000000-0005-0000-0000-000036010000}"/>
    <cellStyle name="Normal 12 22" xfId="19" xr:uid="{00000000-0005-0000-0000-000037010000}"/>
    <cellStyle name="Normal 12 23" xfId="20" xr:uid="{00000000-0005-0000-0000-000038010000}"/>
    <cellStyle name="Normal 12 24" xfId="21" xr:uid="{00000000-0005-0000-0000-000039010000}"/>
    <cellStyle name="Normal 12 25" xfId="22" xr:uid="{00000000-0005-0000-0000-00003A010000}"/>
    <cellStyle name="Normal 12 26" xfId="23" xr:uid="{00000000-0005-0000-0000-00003B010000}"/>
    <cellStyle name="Normal 12 27" xfId="24" xr:uid="{00000000-0005-0000-0000-00003C010000}"/>
    <cellStyle name="Normal 12 28" xfId="25" xr:uid="{00000000-0005-0000-0000-00003D010000}"/>
    <cellStyle name="Normal 12 3" xfId="26" xr:uid="{00000000-0005-0000-0000-00003E010000}"/>
    <cellStyle name="Normal 12 4" xfId="27" xr:uid="{00000000-0005-0000-0000-00003F010000}"/>
    <cellStyle name="Normal 12 5" xfId="28" xr:uid="{00000000-0005-0000-0000-000040010000}"/>
    <cellStyle name="Normal 12 6" xfId="29" xr:uid="{00000000-0005-0000-0000-000041010000}"/>
    <cellStyle name="Normal 12 7" xfId="30" xr:uid="{00000000-0005-0000-0000-000042010000}"/>
    <cellStyle name="Normal 12 8" xfId="31" xr:uid="{00000000-0005-0000-0000-000043010000}"/>
    <cellStyle name="Normal 12 9" xfId="32" xr:uid="{00000000-0005-0000-0000-000044010000}"/>
    <cellStyle name="Normal 13" xfId="466" xr:uid="{00000000-0005-0000-0000-000045010000}"/>
    <cellStyle name="Normal 14" xfId="471" xr:uid="{00000000-0005-0000-0000-000046010000}"/>
    <cellStyle name="Normal 2" xfId="33" xr:uid="{00000000-0005-0000-0000-000047010000}"/>
    <cellStyle name="Normal 2 10" xfId="34" xr:uid="{00000000-0005-0000-0000-000048010000}"/>
    <cellStyle name="Normal 2 10 2" xfId="369" xr:uid="{00000000-0005-0000-0000-000049010000}"/>
    <cellStyle name="Normal 2 11" xfId="35" xr:uid="{00000000-0005-0000-0000-00004A010000}"/>
    <cellStyle name="Normal 2 11 2" xfId="370" xr:uid="{00000000-0005-0000-0000-00004B010000}"/>
    <cellStyle name="Normal 2 12" xfId="36" xr:uid="{00000000-0005-0000-0000-00004C010000}"/>
    <cellStyle name="Normal 2 12 2" xfId="371" xr:uid="{00000000-0005-0000-0000-00004D010000}"/>
    <cellStyle name="Normal 2 13" xfId="37" xr:uid="{00000000-0005-0000-0000-00004E010000}"/>
    <cellStyle name="Normal 2 13 2" xfId="372" xr:uid="{00000000-0005-0000-0000-00004F010000}"/>
    <cellStyle name="Normal 2 14" xfId="38" xr:uid="{00000000-0005-0000-0000-000050010000}"/>
    <cellStyle name="Normal 2 14 2" xfId="373" xr:uid="{00000000-0005-0000-0000-000051010000}"/>
    <cellStyle name="Normal 2 15" xfId="39" xr:uid="{00000000-0005-0000-0000-000052010000}"/>
    <cellStyle name="Normal 2 15 2" xfId="374" xr:uid="{00000000-0005-0000-0000-000053010000}"/>
    <cellStyle name="Normal 2 16" xfId="40" xr:uid="{00000000-0005-0000-0000-000054010000}"/>
    <cellStyle name="Normal 2 16 2" xfId="375" xr:uid="{00000000-0005-0000-0000-000055010000}"/>
    <cellStyle name="Normal 2 17" xfId="41" xr:uid="{00000000-0005-0000-0000-000056010000}"/>
    <cellStyle name="Normal 2 17 2" xfId="376" xr:uid="{00000000-0005-0000-0000-000057010000}"/>
    <cellStyle name="Normal 2 18" xfId="42" xr:uid="{00000000-0005-0000-0000-000058010000}"/>
    <cellStyle name="Normal 2 18 2" xfId="377" xr:uid="{00000000-0005-0000-0000-000059010000}"/>
    <cellStyle name="Normal 2 19" xfId="43" xr:uid="{00000000-0005-0000-0000-00005A010000}"/>
    <cellStyle name="Normal 2 19 2" xfId="378" xr:uid="{00000000-0005-0000-0000-00005B010000}"/>
    <cellStyle name="Normal 2 2" xfId="44" xr:uid="{00000000-0005-0000-0000-00005C010000}"/>
    <cellStyle name="Normal 2 2 2" xfId="45" xr:uid="{00000000-0005-0000-0000-00005D010000}"/>
    <cellStyle name="Normal 2 2 2 2" xfId="46" xr:uid="{00000000-0005-0000-0000-00005E010000}"/>
    <cellStyle name="Normal 2 2 2 3" xfId="468" xr:uid="{00000000-0005-0000-0000-00005F010000}"/>
    <cellStyle name="Normal 2 2 3" xfId="379" xr:uid="{00000000-0005-0000-0000-000060010000}"/>
    <cellStyle name="Normal 2 20" xfId="47" xr:uid="{00000000-0005-0000-0000-000061010000}"/>
    <cellStyle name="Normal 2 20 2" xfId="380" xr:uid="{00000000-0005-0000-0000-000062010000}"/>
    <cellStyle name="Normal 2 21" xfId="48" xr:uid="{00000000-0005-0000-0000-000063010000}"/>
    <cellStyle name="Normal 2 21 2" xfId="381" xr:uid="{00000000-0005-0000-0000-000064010000}"/>
    <cellStyle name="Normal 2 22" xfId="49" xr:uid="{00000000-0005-0000-0000-000065010000}"/>
    <cellStyle name="Normal 2 22 2" xfId="382" xr:uid="{00000000-0005-0000-0000-000066010000}"/>
    <cellStyle name="Normal 2 23" xfId="50" xr:uid="{00000000-0005-0000-0000-000067010000}"/>
    <cellStyle name="Normal 2 23 2" xfId="383" xr:uid="{00000000-0005-0000-0000-000068010000}"/>
    <cellStyle name="Normal 2 24" xfId="51" xr:uid="{00000000-0005-0000-0000-000069010000}"/>
    <cellStyle name="Normal 2 24 2" xfId="384" xr:uid="{00000000-0005-0000-0000-00006A010000}"/>
    <cellStyle name="Normal 2 25" xfId="52" xr:uid="{00000000-0005-0000-0000-00006B010000}"/>
    <cellStyle name="Normal 2 25 2" xfId="385" xr:uid="{00000000-0005-0000-0000-00006C010000}"/>
    <cellStyle name="Normal 2 26" xfId="53" xr:uid="{00000000-0005-0000-0000-00006D010000}"/>
    <cellStyle name="Normal 2 26 2" xfId="386" xr:uid="{00000000-0005-0000-0000-00006E010000}"/>
    <cellStyle name="Normal 2 27" xfId="54" xr:uid="{00000000-0005-0000-0000-00006F010000}"/>
    <cellStyle name="Normal 2 28" xfId="55" xr:uid="{00000000-0005-0000-0000-000070010000}"/>
    <cellStyle name="Normal 2 29" xfId="56" xr:uid="{00000000-0005-0000-0000-000071010000}"/>
    <cellStyle name="Normal 2 3" xfId="57" xr:uid="{00000000-0005-0000-0000-000072010000}"/>
    <cellStyle name="Normal 2 3 2" xfId="58" xr:uid="{00000000-0005-0000-0000-000073010000}"/>
    <cellStyle name="Normal 2 3 2 2" xfId="469" xr:uid="{00000000-0005-0000-0000-000074010000}"/>
    <cellStyle name="Normal 2 3 3" xfId="387" xr:uid="{00000000-0005-0000-0000-000075010000}"/>
    <cellStyle name="Normal 2 30" xfId="79" xr:uid="{00000000-0005-0000-0000-000076010000}"/>
    <cellStyle name="Normal 2 4" xfId="59" xr:uid="{00000000-0005-0000-0000-000077010000}"/>
    <cellStyle name="Normal 2 4 2" xfId="388" xr:uid="{00000000-0005-0000-0000-000078010000}"/>
    <cellStyle name="Normal 2 5" xfId="60" xr:uid="{00000000-0005-0000-0000-000079010000}"/>
    <cellStyle name="Normal 2 5 2" xfId="389" xr:uid="{00000000-0005-0000-0000-00007A010000}"/>
    <cellStyle name="Normal 2 6" xfId="61" xr:uid="{00000000-0005-0000-0000-00007B010000}"/>
    <cellStyle name="Normal 2 6 2" xfId="390" xr:uid="{00000000-0005-0000-0000-00007C010000}"/>
    <cellStyle name="Normal 2 7" xfId="62" xr:uid="{00000000-0005-0000-0000-00007D010000}"/>
    <cellStyle name="Normal 2 7 2" xfId="391" xr:uid="{00000000-0005-0000-0000-00007E010000}"/>
    <cellStyle name="Normal 2 8" xfId="63" xr:uid="{00000000-0005-0000-0000-00007F010000}"/>
    <cellStyle name="Normal 2 8 2" xfId="392" xr:uid="{00000000-0005-0000-0000-000080010000}"/>
    <cellStyle name="Normal 2 8 3" xfId="473" xr:uid="{00000000-0005-0000-0000-000081010000}"/>
    <cellStyle name="Normal 2 9" xfId="64" xr:uid="{00000000-0005-0000-0000-000082010000}"/>
    <cellStyle name="Normal 2 9 2" xfId="393" xr:uid="{00000000-0005-0000-0000-000083010000}"/>
    <cellStyle name="Normal 3" xfId="65" xr:uid="{00000000-0005-0000-0000-000084010000}"/>
    <cellStyle name="Normal 3 10" xfId="395" xr:uid="{00000000-0005-0000-0000-000085010000}"/>
    <cellStyle name="Normal 3 11" xfId="396" xr:uid="{00000000-0005-0000-0000-000086010000}"/>
    <cellStyle name="Normal 3 12" xfId="397" xr:uid="{00000000-0005-0000-0000-000087010000}"/>
    <cellStyle name="Normal 3 13" xfId="398" xr:uid="{00000000-0005-0000-0000-000088010000}"/>
    <cellStyle name="Normal 3 14" xfId="399" xr:uid="{00000000-0005-0000-0000-000089010000}"/>
    <cellStyle name="Normal 3 15" xfId="400" xr:uid="{00000000-0005-0000-0000-00008A010000}"/>
    <cellStyle name="Normal 3 16" xfId="401" xr:uid="{00000000-0005-0000-0000-00008B010000}"/>
    <cellStyle name="Normal 3 17" xfId="402" xr:uid="{00000000-0005-0000-0000-00008C010000}"/>
    <cellStyle name="Normal 3 18" xfId="403" xr:uid="{00000000-0005-0000-0000-00008D010000}"/>
    <cellStyle name="Normal 3 19" xfId="404" xr:uid="{00000000-0005-0000-0000-00008E010000}"/>
    <cellStyle name="Normal 3 2" xfId="66" xr:uid="{00000000-0005-0000-0000-00008F010000}"/>
    <cellStyle name="Normal 3 2 2" xfId="405" xr:uid="{00000000-0005-0000-0000-000090010000}"/>
    <cellStyle name="Normal 3 20" xfId="406" xr:uid="{00000000-0005-0000-0000-000091010000}"/>
    <cellStyle name="Normal 3 21" xfId="407" xr:uid="{00000000-0005-0000-0000-000092010000}"/>
    <cellStyle name="Normal 3 22" xfId="408" xr:uid="{00000000-0005-0000-0000-000093010000}"/>
    <cellStyle name="Normal 3 23" xfId="409" xr:uid="{00000000-0005-0000-0000-000094010000}"/>
    <cellStyle name="Normal 3 24" xfId="410" xr:uid="{00000000-0005-0000-0000-000095010000}"/>
    <cellStyle name="Normal 3 25" xfId="394" xr:uid="{00000000-0005-0000-0000-000096010000}"/>
    <cellStyle name="Normal 3 3" xfId="411" xr:uid="{00000000-0005-0000-0000-000097010000}"/>
    <cellStyle name="Normal 3 4" xfId="412" xr:uid="{00000000-0005-0000-0000-000098010000}"/>
    <cellStyle name="Normal 3 5" xfId="413" xr:uid="{00000000-0005-0000-0000-000099010000}"/>
    <cellStyle name="Normal 3 6" xfId="414" xr:uid="{00000000-0005-0000-0000-00009A010000}"/>
    <cellStyle name="Normal 3 7" xfId="415" xr:uid="{00000000-0005-0000-0000-00009B010000}"/>
    <cellStyle name="Normal 3 8" xfId="416" xr:uid="{00000000-0005-0000-0000-00009C010000}"/>
    <cellStyle name="Normal 3 9" xfId="417" xr:uid="{00000000-0005-0000-0000-00009D010000}"/>
    <cellStyle name="Normal 32" xfId="418" xr:uid="{00000000-0005-0000-0000-00009E010000}"/>
    <cellStyle name="Normal 32 2" xfId="470" xr:uid="{00000000-0005-0000-0000-00009F010000}"/>
    <cellStyle name="Normal 33" xfId="467" xr:uid="{00000000-0005-0000-0000-0000A0010000}"/>
    <cellStyle name="Normal 4" xfId="67" xr:uid="{00000000-0005-0000-0000-0000A1010000}"/>
    <cellStyle name="Normal 4 2" xfId="68" xr:uid="{00000000-0005-0000-0000-0000A2010000}"/>
    <cellStyle name="Normal 4 3" xfId="69" xr:uid="{00000000-0005-0000-0000-0000A3010000}"/>
    <cellStyle name="Normal 4_BOQ for UPS Systems" xfId="70" xr:uid="{00000000-0005-0000-0000-0000A4010000}"/>
    <cellStyle name="Normal 5" xfId="71" xr:uid="{00000000-0005-0000-0000-0000A5010000}"/>
    <cellStyle name="Normal 5 2" xfId="419" xr:uid="{00000000-0005-0000-0000-0000A6010000}"/>
    <cellStyle name="Normal 6" xfId="72" xr:uid="{00000000-0005-0000-0000-0000A7010000}"/>
    <cellStyle name="Normal 6 2" xfId="420" xr:uid="{00000000-0005-0000-0000-0000A8010000}"/>
    <cellStyle name="Normal 7" xfId="73" xr:uid="{00000000-0005-0000-0000-0000A9010000}"/>
    <cellStyle name="Normal 7 2" xfId="421" xr:uid="{00000000-0005-0000-0000-0000AA010000}"/>
    <cellStyle name="Normal 8" xfId="74" xr:uid="{00000000-0005-0000-0000-0000AB010000}"/>
    <cellStyle name="Normal 8 2" xfId="422" xr:uid="{00000000-0005-0000-0000-0000AC010000}"/>
    <cellStyle name="Normal 9" xfId="75" xr:uid="{00000000-0005-0000-0000-0000AD010000}"/>
    <cellStyle name="Note 2" xfId="423" xr:uid="{00000000-0005-0000-0000-0000AE010000}"/>
    <cellStyle name="Note 3" xfId="424" xr:uid="{00000000-0005-0000-0000-0000AF010000}"/>
    <cellStyle name="Note 4" xfId="425" xr:uid="{00000000-0005-0000-0000-0000B0010000}"/>
    <cellStyle name="Note 5" xfId="426" xr:uid="{00000000-0005-0000-0000-0000B1010000}"/>
    <cellStyle name="Note 6" xfId="427" xr:uid="{00000000-0005-0000-0000-0000B2010000}"/>
    <cellStyle name="Note 7" xfId="428" xr:uid="{00000000-0005-0000-0000-0000B3010000}"/>
    <cellStyle name="Note 8" xfId="429" xr:uid="{00000000-0005-0000-0000-0000B4010000}"/>
    <cellStyle name="Note 9" xfId="430" xr:uid="{00000000-0005-0000-0000-0000B5010000}"/>
    <cellStyle name="Output 2" xfId="431" xr:uid="{00000000-0005-0000-0000-0000B6010000}"/>
    <cellStyle name="Output 3" xfId="432" xr:uid="{00000000-0005-0000-0000-0000B7010000}"/>
    <cellStyle name="Output 4" xfId="433" xr:uid="{00000000-0005-0000-0000-0000B8010000}"/>
    <cellStyle name="Output 5" xfId="434" xr:uid="{00000000-0005-0000-0000-0000B9010000}"/>
    <cellStyle name="Output 6" xfId="435" xr:uid="{00000000-0005-0000-0000-0000BA010000}"/>
    <cellStyle name="Output 7" xfId="436" xr:uid="{00000000-0005-0000-0000-0000BB010000}"/>
    <cellStyle name="Output 8" xfId="437" xr:uid="{00000000-0005-0000-0000-0000BC010000}"/>
    <cellStyle name="Output 9" xfId="438" xr:uid="{00000000-0005-0000-0000-0000BD010000}"/>
    <cellStyle name="Standaard_prod eu distr" xfId="76" xr:uid="{00000000-0005-0000-0000-0000BE010000}"/>
    <cellStyle name="Standard_HAVC-E_mold_paint_shop_090113_I02" xfId="474" xr:uid="{00000000-0005-0000-0000-0000BF010000}"/>
    <cellStyle name="Style 1" xfId="77" xr:uid="{00000000-0005-0000-0000-0000C0010000}"/>
    <cellStyle name="Title 2" xfId="439" xr:uid="{00000000-0005-0000-0000-0000C1010000}"/>
    <cellStyle name="Title 3" xfId="440" xr:uid="{00000000-0005-0000-0000-0000C2010000}"/>
    <cellStyle name="Title 4" xfId="441" xr:uid="{00000000-0005-0000-0000-0000C3010000}"/>
    <cellStyle name="Title 5" xfId="442" xr:uid="{00000000-0005-0000-0000-0000C4010000}"/>
    <cellStyle name="Title 6" xfId="443" xr:uid="{00000000-0005-0000-0000-0000C5010000}"/>
    <cellStyle name="Title 7" xfId="444" xr:uid="{00000000-0005-0000-0000-0000C6010000}"/>
    <cellStyle name="Title 8" xfId="445" xr:uid="{00000000-0005-0000-0000-0000C7010000}"/>
    <cellStyle name="Title 9" xfId="446" xr:uid="{00000000-0005-0000-0000-0000C8010000}"/>
    <cellStyle name="Total 2" xfId="447" xr:uid="{00000000-0005-0000-0000-0000C9010000}"/>
    <cellStyle name="Total 3" xfId="448" xr:uid="{00000000-0005-0000-0000-0000CA010000}"/>
    <cellStyle name="Total 4" xfId="449" xr:uid="{00000000-0005-0000-0000-0000CB010000}"/>
    <cellStyle name="Total 5" xfId="450" xr:uid="{00000000-0005-0000-0000-0000CC010000}"/>
    <cellStyle name="Total 6" xfId="451" xr:uid="{00000000-0005-0000-0000-0000CD010000}"/>
    <cellStyle name="Total 7" xfId="452" xr:uid="{00000000-0005-0000-0000-0000CE010000}"/>
    <cellStyle name="Total 8" xfId="453" xr:uid="{00000000-0005-0000-0000-0000CF010000}"/>
    <cellStyle name="Total 9" xfId="454" xr:uid="{00000000-0005-0000-0000-0000D0010000}"/>
    <cellStyle name="Warning Text 2" xfId="455" xr:uid="{00000000-0005-0000-0000-0000D1010000}"/>
    <cellStyle name="Warning Text 3" xfId="456" xr:uid="{00000000-0005-0000-0000-0000D2010000}"/>
    <cellStyle name="Warning Text 4" xfId="457" xr:uid="{00000000-0005-0000-0000-0000D3010000}"/>
    <cellStyle name="Warning Text 5" xfId="458" xr:uid="{00000000-0005-0000-0000-0000D4010000}"/>
    <cellStyle name="Warning Text 6" xfId="459" xr:uid="{00000000-0005-0000-0000-0000D5010000}"/>
    <cellStyle name="Warning Text 7" xfId="460" xr:uid="{00000000-0005-0000-0000-0000D6010000}"/>
    <cellStyle name="Warning Text 8" xfId="461" xr:uid="{00000000-0005-0000-0000-0000D7010000}"/>
    <cellStyle name="Warning Text 9" xfId="462" xr:uid="{00000000-0005-0000-0000-0000D8010000}"/>
    <cellStyle name="パーセント 2" xfId="463" xr:uid="{00000000-0005-0000-0000-0000D9010000}"/>
    <cellStyle name="標準 2" xfId="464" xr:uid="{00000000-0005-0000-0000-0000DA010000}"/>
    <cellStyle name="標準 2 2" xfId="465" xr:uid="{00000000-0005-0000-0000-0000DB010000}"/>
  </cellStyles>
  <dxfs count="0"/>
  <tableStyles count="0" defaultTableStyle="TableStyleMedium9" defaultPivotStyle="PivotStyleLight16"/>
  <colors>
    <mruColors>
      <color rgb="FFFF9999"/>
      <color rgb="FFFFCCCC"/>
      <color rgb="FFCCCC00"/>
      <color rgb="FF6666FF"/>
      <color rgb="FF6A4A82"/>
      <color rgb="FF2E825A"/>
      <color rgb="FFCCCCFF"/>
      <color rgb="FFFF0066"/>
      <color rgb="FF99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0</xdr:row>
      <xdr:rowOff>137160</xdr:rowOff>
    </xdr:from>
    <xdr:to>
      <xdr:col>2</xdr:col>
      <xdr:colOff>350626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EA22E-18CB-4204-BD32-1A4EAB61F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37160"/>
          <a:ext cx="929746" cy="2819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RICAL%20GROUP%20(%20DOC%20)/Electrical%20Group%20-%20I/ANARK/20.01.2010/LOAD%20SCH_10.11.08(R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5.05.10/Under%20preparation/Load%20Analysis%20&amp;%20Trafo.%20sizing%20-%20Anrak%20%20Settler%20&amp;%20Washer%20(BYC-209014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tner_wp\depts\MECH\USER\KUM\HANJUNG\SPLHT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tner_wp\depts\MECH\USER\RKM\MISC\TESTRKM\HE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2019006\AppData\Local\Microsoft\Windows\Temporary%20Internet%20Files\Content.Outlook\VM4416UF\DRS-CAL-BD-ME-GE-EP-0004-A-Cable%20Sizing%20calcul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_MUMB\DEPTS\WP\COMMON\2846-BER\MECH\2846M17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-on%20MTV/ACTIVE-FOLDERS/ORDER/BYC-2090858-BHATINDA/ELECTRICAL/DOCUMENTS/Design%20doc/Under%20Preparation/Bhatinda%20cal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urphy\A1254%20(FEED%20SERVICES)\EL\Calculations\Load%20List\REV%206\Rev%206-option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C1"/>
      <sheetName val="PMCC2"/>
      <sheetName val="PMCC3"/>
      <sheetName val="PMCC4"/>
      <sheetName val="PMCC5"/>
    </sheetNames>
    <sheetDataSet>
      <sheetData sheetId="0" refreshError="1"/>
      <sheetData sheetId="1" refreshError="1"/>
      <sheetData sheetId="2">
        <row r="1">
          <cell r="A1" t="str">
            <v>CLIENT      : VEDANTA ALLUMINIUM LTD.,LANJIGARGH</v>
          </cell>
        </row>
        <row r="2">
          <cell r="A2" t="str">
            <v>PROJECT  :  SETTLER &amp; WASHER PLANT (EXPANSION PROJECT)</v>
          </cell>
          <cell r="L2" t="str">
            <v>PROJ. NO. : BYC – 2080118</v>
          </cell>
        </row>
        <row r="3">
          <cell r="A3" t="str">
            <v>TITLE         : LOAD DATA FOR PMCC- 3</v>
          </cell>
          <cell r="K3" t="str">
            <v>SHT. NO. : 6 OF 19</v>
          </cell>
          <cell r="L3" t="str">
            <v>DATE : 26/08/2008</v>
          </cell>
        </row>
        <row r="4">
          <cell r="A4" t="str">
            <v xml:space="preserve">  R1 : Revised on 10th Nov. 08 as per final rating of motor for centrifugal pumps (M/s METSO).</v>
          </cell>
          <cell r="K4" t="str">
            <v>REV : R1</v>
          </cell>
          <cell r="L4" t="str">
            <v>CAL. NO. : A4-2080118-CAL-E-0002</v>
          </cell>
        </row>
        <row r="5">
          <cell r="A5" t="str">
            <v>CONSIDERING DOL MOTOR FEEDERS OF HOT WATER STATION &amp; SETTLER WASHER FOR TRAIN1 &amp; 2</v>
          </cell>
        </row>
        <row r="6">
          <cell r="A6" t="str">
            <v>SR</v>
          </cell>
          <cell r="B6" t="str">
            <v>TAG NO</v>
          </cell>
          <cell r="C6" t="str">
            <v>DESCRIPTION</v>
          </cell>
          <cell r="E6" t="str">
            <v xml:space="preserve">MOTOR </v>
          </cell>
          <cell r="F6" t="str">
            <v>EFIICIENCY</v>
          </cell>
          <cell r="G6" t="str">
            <v xml:space="preserve">LOAD </v>
          </cell>
          <cell r="H6" t="str">
            <v>QTY.</v>
          </cell>
          <cell r="J6" t="str">
            <v>OPERATING LOAD IN KW</v>
          </cell>
          <cell r="K6" t="str">
            <v>STAND BY LOAD IN KW</v>
          </cell>
          <cell r="L6" t="str">
            <v>INTERMDIATE LOAD IN KW</v>
          </cell>
          <cell r="M6" t="str">
            <v>REMARKS</v>
          </cell>
        </row>
        <row r="7">
          <cell r="A7" t="str">
            <v>NO</v>
          </cell>
          <cell r="E7" t="str">
            <v xml:space="preserve">RATING </v>
          </cell>
          <cell r="G7" t="str">
            <v>FACTOR</v>
          </cell>
          <cell r="H7" t="str">
            <v>WORKING+</v>
          </cell>
          <cell r="I7" t="str">
            <v>STAND BY</v>
          </cell>
          <cell r="J7" t="str">
            <v>RATED KW X LOAD FACTOR/</v>
          </cell>
          <cell r="K7" t="str">
            <v xml:space="preserve"> KWX LOAD FACTOR / </v>
          </cell>
          <cell r="L7" t="str">
            <v xml:space="preserve">RATED KW X LOAD </v>
          </cell>
        </row>
        <row r="8">
          <cell r="E8" t="str">
            <v>IN  KW</v>
          </cell>
          <cell r="J8" t="str">
            <v>EFFICIENCY</v>
          </cell>
          <cell r="K8" t="str">
            <v xml:space="preserve"> EFFICIENCY</v>
          </cell>
          <cell r="L8" t="str">
            <v>FACTOR/ EFFICIENCY</v>
          </cell>
        </row>
        <row r="9">
          <cell r="B9" t="str">
            <v>LOAD  FOR HOT WATER STATION &amp; SETTLER WASHER PACKAGE  (FOR TRAIN-1 &amp; 2)</v>
          </cell>
        </row>
        <row r="10">
          <cell r="A10">
            <v>1</v>
          </cell>
          <cell r="B10" t="str">
            <v>21-MPU-1002A/2002A/0002</v>
          </cell>
          <cell r="C10" t="str">
            <v>4TH WASHER FEED PUMP</v>
          </cell>
          <cell r="E10">
            <v>132</v>
          </cell>
          <cell r="F10">
            <v>0.94500000000000006</v>
          </cell>
          <cell r="G10">
            <v>0.8</v>
          </cell>
          <cell r="H10">
            <v>2</v>
          </cell>
          <cell r="I10">
            <v>1</v>
          </cell>
          <cell r="J10">
            <v>223.49206349206349</v>
          </cell>
          <cell r="K10">
            <v>111.74603174603175</v>
          </cell>
          <cell r="L10">
            <v>0</v>
          </cell>
          <cell r="M10" t="str">
            <v>R1</v>
          </cell>
        </row>
        <row r="11">
          <cell r="A11">
            <v>2</v>
          </cell>
          <cell r="B11" t="str">
            <v>21-MPU-1002/1003</v>
          </cell>
          <cell r="C11" t="str">
            <v>Flushing water pump</v>
          </cell>
          <cell r="E11">
            <v>90</v>
          </cell>
          <cell r="F11">
            <v>0.94500000000000006</v>
          </cell>
          <cell r="G11">
            <v>0.8</v>
          </cell>
          <cell r="H11">
            <v>1</v>
          </cell>
          <cell r="I11">
            <v>1</v>
          </cell>
          <cell r="J11">
            <v>76.19047619047619</v>
          </cell>
          <cell r="K11">
            <v>76.19047619047619</v>
          </cell>
          <cell r="L11">
            <v>0</v>
          </cell>
        </row>
        <row r="12">
          <cell r="A12">
            <v>3</v>
          </cell>
          <cell r="B12" t="str">
            <v>21-MPU-102A/B</v>
          </cell>
          <cell r="C12" t="str">
            <v>Hot Water  Transfer Pump to MOL Hot Water Tank</v>
          </cell>
          <cell r="E12">
            <v>90</v>
          </cell>
          <cell r="F12">
            <v>0.93500000000000005</v>
          </cell>
          <cell r="G12">
            <v>0.8</v>
          </cell>
          <cell r="H12">
            <v>1</v>
          </cell>
          <cell r="I12">
            <v>1</v>
          </cell>
          <cell r="J12">
            <v>77.005347593582883</v>
          </cell>
          <cell r="K12">
            <v>77.005347593582883</v>
          </cell>
          <cell r="L12">
            <v>0</v>
          </cell>
          <cell r="M12" t="str">
            <v>R1</v>
          </cell>
        </row>
        <row r="13">
          <cell r="A13">
            <v>4</v>
          </cell>
          <cell r="B13" t="str">
            <v>21-MPU-1001</v>
          </cell>
          <cell r="C13" t="str">
            <v>Area sump pump</v>
          </cell>
          <cell r="E13">
            <v>75</v>
          </cell>
          <cell r="F13">
            <v>0.93500000000000005</v>
          </cell>
          <cell r="G13">
            <v>0.8</v>
          </cell>
          <cell r="H13">
            <v>1</v>
          </cell>
          <cell r="I13">
            <v>0</v>
          </cell>
          <cell r="J13">
            <v>64.171122994652407</v>
          </cell>
          <cell r="K13">
            <v>0</v>
          </cell>
          <cell r="L13">
            <v>0</v>
          </cell>
          <cell r="M13" t="str">
            <v>R1</v>
          </cell>
        </row>
        <row r="14">
          <cell r="A14">
            <v>5</v>
          </cell>
          <cell r="B14" t="str">
            <v>21-MAG-1001</v>
          </cell>
          <cell r="C14" t="str">
            <v>Area sump agitator</v>
          </cell>
          <cell r="E14">
            <v>2.2000000000000002</v>
          </cell>
          <cell r="F14">
            <v>0.82</v>
          </cell>
          <cell r="G14">
            <v>0.8</v>
          </cell>
          <cell r="H14">
            <v>1</v>
          </cell>
          <cell r="I14">
            <v>0</v>
          </cell>
          <cell r="J14">
            <v>2.1463414634146347</v>
          </cell>
          <cell r="K14">
            <v>0</v>
          </cell>
          <cell r="L14">
            <v>0</v>
          </cell>
          <cell r="M14" t="str">
            <v>R1</v>
          </cell>
        </row>
        <row r="15">
          <cell r="A15">
            <v>6</v>
          </cell>
          <cell r="B15" t="str">
            <v>19-MPU-1011</v>
          </cell>
          <cell r="C15" t="str">
            <v>Area sump pump for settler area</v>
          </cell>
          <cell r="E15">
            <v>75</v>
          </cell>
          <cell r="F15">
            <v>0.93500000000000005</v>
          </cell>
          <cell r="G15">
            <v>0.8</v>
          </cell>
          <cell r="H15">
            <v>1</v>
          </cell>
          <cell r="I15">
            <v>0</v>
          </cell>
          <cell r="J15">
            <v>64.171122994652407</v>
          </cell>
          <cell r="K15">
            <v>0</v>
          </cell>
          <cell r="L15">
            <v>0</v>
          </cell>
          <cell r="M15" t="str">
            <v>R1</v>
          </cell>
        </row>
        <row r="16">
          <cell r="A16">
            <v>7</v>
          </cell>
          <cell r="B16" t="str">
            <v>19-MPU-1012</v>
          </cell>
          <cell r="C16" t="str">
            <v>Area sump pump for settler area</v>
          </cell>
          <cell r="E16">
            <v>75</v>
          </cell>
          <cell r="F16">
            <v>0.93500000000000005</v>
          </cell>
          <cell r="G16">
            <v>0.8</v>
          </cell>
          <cell r="H16">
            <v>1</v>
          </cell>
          <cell r="I16">
            <v>0</v>
          </cell>
          <cell r="J16">
            <v>64.171122994652407</v>
          </cell>
          <cell r="K16">
            <v>0</v>
          </cell>
          <cell r="L16">
            <v>0</v>
          </cell>
          <cell r="M16" t="str">
            <v>R1</v>
          </cell>
        </row>
        <row r="17">
          <cell r="A17">
            <v>8</v>
          </cell>
          <cell r="B17" t="str">
            <v>19-MPU-1013</v>
          </cell>
          <cell r="C17" t="str">
            <v>Area sump pump for settler area</v>
          </cell>
          <cell r="E17">
            <v>75</v>
          </cell>
          <cell r="F17">
            <v>0.93500000000000005</v>
          </cell>
          <cell r="G17">
            <v>0.8</v>
          </cell>
          <cell r="H17">
            <v>1</v>
          </cell>
          <cell r="I17">
            <v>0</v>
          </cell>
          <cell r="J17">
            <v>64.171122994652407</v>
          </cell>
          <cell r="K17">
            <v>0</v>
          </cell>
          <cell r="L17">
            <v>0</v>
          </cell>
          <cell r="M17" t="str">
            <v>R1</v>
          </cell>
        </row>
        <row r="18">
          <cell r="A18">
            <v>9</v>
          </cell>
          <cell r="B18" t="str">
            <v>19-MPU-1014</v>
          </cell>
          <cell r="C18" t="str">
            <v>Area sump pump for settler area</v>
          </cell>
          <cell r="E18">
            <v>75</v>
          </cell>
          <cell r="F18">
            <v>0.93500000000000005</v>
          </cell>
          <cell r="G18">
            <v>0.8</v>
          </cell>
          <cell r="H18">
            <v>1</v>
          </cell>
          <cell r="I18">
            <v>0</v>
          </cell>
          <cell r="J18">
            <v>64.171122994652407</v>
          </cell>
          <cell r="K18">
            <v>0</v>
          </cell>
          <cell r="L18">
            <v>0</v>
          </cell>
          <cell r="M18" t="str">
            <v>R1</v>
          </cell>
        </row>
        <row r="19">
          <cell r="A19">
            <v>10</v>
          </cell>
          <cell r="B19" t="str">
            <v>19-MPU-1015</v>
          </cell>
          <cell r="C19" t="str">
            <v>Area sump pump for settler area</v>
          </cell>
          <cell r="E19">
            <v>75</v>
          </cell>
          <cell r="F19">
            <v>0.93500000000000005</v>
          </cell>
          <cell r="G19">
            <v>0.8</v>
          </cell>
          <cell r="H19">
            <v>1</v>
          </cell>
          <cell r="I19">
            <v>0</v>
          </cell>
          <cell r="J19">
            <v>64.171122994652407</v>
          </cell>
          <cell r="K19">
            <v>0</v>
          </cell>
          <cell r="L19">
            <v>0</v>
          </cell>
          <cell r="M19" t="str">
            <v>R1</v>
          </cell>
        </row>
        <row r="20">
          <cell r="A20">
            <v>11</v>
          </cell>
          <cell r="B20" t="str">
            <v>19-MPU-1016</v>
          </cell>
          <cell r="C20" t="str">
            <v>Area sump pump for settler area</v>
          </cell>
          <cell r="E20">
            <v>75</v>
          </cell>
          <cell r="F20">
            <v>0.93500000000000005</v>
          </cell>
          <cell r="G20">
            <v>0.8</v>
          </cell>
          <cell r="H20">
            <v>1</v>
          </cell>
          <cell r="I20">
            <v>0</v>
          </cell>
          <cell r="J20">
            <v>64.171122994652407</v>
          </cell>
          <cell r="K20">
            <v>0</v>
          </cell>
          <cell r="L20">
            <v>0</v>
          </cell>
          <cell r="M20" t="str">
            <v>R1</v>
          </cell>
        </row>
        <row r="21">
          <cell r="A21">
            <v>12</v>
          </cell>
          <cell r="B21" t="str">
            <v>19-MPU-2011</v>
          </cell>
          <cell r="C21" t="str">
            <v>Area sump pump for settler area</v>
          </cell>
          <cell r="E21">
            <v>75</v>
          </cell>
          <cell r="F21">
            <v>0.93500000000000005</v>
          </cell>
          <cell r="G21">
            <v>0.8</v>
          </cell>
          <cell r="H21">
            <v>1</v>
          </cell>
          <cell r="I21">
            <v>0</v>
          </cell>
          <cell r="J21">
            <v>64.171122994652407</v>
          </cell>
          <cell r="K21">
            <v>0</v>
          </cell>
          <cell r="L21">
            <v>0</v>
          </cell>
          <cell r="M21" t="str">
            <v>R1</v>
          </cell>
        </row>
        <row r="22">
          <cell r="A22">
            <v>13</v>
          </cell>
          <cell r="B22" t="str">
            <v>19-MPU-2012</v>
          </cell>
          <cell r="C22" t="str">
            <v>Area sump pump for settler area</v>
          </cell>
          <cell r="E22">
            <v>75</v>
          </cell>
          <cell r="F22">
            <v>0.93500000000000005</v>
          </cell>
          <cell r="G22">
            <v>0.8</v>
          </cell>
          <cell r="H22">
            <v>1</v>
          </cell>
          <cell r="I22">
            <v>0</v>
          </cell>
          <cell r="J22">
            <v>64.171122994652407</v>
          </cell>
          <cell r="K22">
            <v>0</v>
          </cell>
          <cell r="L22">
            <v>0</v>
          </cell>
          <cell r="M22" t="str">
            <v>R1</v>
          </cell>
        </row>
        <row r="23">
          <cell r="A23">
            <v>14</v>
          </cell>
          <cell r="B23" t="str">
            <v>19-MPU-2013</v>
          </cell>
          <cell r="C23" t="str">
            <v>Area sump pump for settler area</v>
          </cell>
          <cell r="E23">
            <v>75</v>
          </cell>
          <cell r="F23">
            <v>0.93500000000000005</v>
          </cell>
          <cell r="G23">
            <v>0.8</v>
          </cell>
          <cell r="H23">
            <v>1</v>
          </cell>
          <cell r="I23">
            <v>0</v>
          </cell>
          <cell r="J23">
            <v>64.171122994652407</v>
          </cell>
          <cell r="K23">
            <v>0</v>
          </cell>
          <cell r="L23">
            <v>0</v>
          </cell>
          <cell r="M23" t="str">
            <v>R1</v>
          </cell>
        </row>
        <row r="24">
          <cell r="A24">
            <v>15</v>
          </cell>
          <cell r="B24" t="str">
            <v>19-MPU-2014</v>
          </cell>
          <cell r="C24" t="str">
            <v>Area sump pump for settler area</v>
          </cell>
          <cell r="E24">
            <v>75</v>
          </cell>
          <cell r="F24">
            <v>0.93500000000000005</v>
          </cell>
          <cell r="G24">
            <v>0.8</v>
          </cell>
          <cell r="H24">
            <v>1</v>
          </cell>
          <cell r="I24">
            <v>0</v>
          </cell>
          <cell r="J24">
            <v>64.171122994652407</v>
          </cell>
          <cell r="K24">
            <v>0</v>
          </cell>
          <cell r="L24">
            <v>0</v>
          </cell>
          <cell r="M24" t="str">
            <v>R1</v>
          </cell>
        </row>
        <row r="25">
          <cell r="A25">
            <v>16</v>
          </cell>
          <cell r="B25" t="str">
            <v>19-MPU-2015</v>
          </cell>
          <cell r="C25" t="str">
            <v>Area sump pump for settler area</v>
          </cell>
          <cell r="E25">
            <v>75</v>
          </cell>
          <cell r="F25">
            <v>0.93500000000000005</v>
          </cell>
          <cell r="G25">
            <v>0.8</v>
          </cell>
          <cell r="H25">
            <v>1</v>
          </cell>
          <cell r="I25">
            <v>0</v>
          </cell>
          <cell r="J25">
            <v>64.171122994652407</v>
          </cell>
          <cell r="K25">
            <v>0</v>
          </cell>
          <cell r="L25">
            <v>0</v>
          </cell>
          <cell r="M25" t="str">
            <v>R1</v>
          </cell>
        </row>
        <row r="26">
          <cell r="A26">
            <v>17</v>
          </cell>
          <cell r="B26" t="str">
            <v>19-MPU-2016</v>
          </cell>
          <cell r="C26" t="str">
            <v>Area sump pump for settler area</v>
          </cell>
          <cell r="E26">
            <v>75</v>
          </cell>
          <cell r="F26">
            <v>0.93500000000000005</v>
          </cell>
          <cell r="G26">
            <v>0.8</v>
          </cell>
          <cell r="H26">
            <v>1</v>
          </cell>
          <cell r="I26">
            <v>0</v>
          </cell>
          <cell r="J26">
            <v>64.171122994652407</v>
          </cell>
          <cell r="K26">
            <v>0</v>
          </cell>
          <cell r="L26">
            <v>0</v>
          </cell>
          <cell r="M26" t="str">
            <v>R1</v>
          </cell>
        </row>
        <row r="28">
          <cell r="B28" t="str">
            <v xml:space="preserve">TOTAL LOAD </v>
          </cell>
          <cell r="J28">
            <v>1213.0588276700184</v>
          </cell>
          <cell r="K28">
            <v>264.94185553009083</v>
          </cell>
          <cell r="L28">
            <v>0</v>
          </cell>
        </row>
        <row r="31">
          <cell r="B31" t="str">
            <v>LOAD DESCRIPTION FOR PMCC-3</v>
          </cell>
          <cell r="G31" t="str">
            <v>OPERATING LOAD</v>
          </cell>
          <cell r="J31" t="str">
            <v xml:space="preserve">STAND BY LOAD </v>
          </cell>
          <cell r="K31" t="str">
            <v xml:space="preserve">INTERMDIATE LOAD </v>
          </cell>
        </row>
        <row r="32">
          <cell r="B32" t="str">
            <v>TOTAL LOAD OF DOL MOTORS FOR  TRAIN-1 &amp; 2</v>
          </cell>
          <cell r="G32">
            <v>1213.0588276700184</v>
          </cell>
          <cell r="J32">
            <v>264.94185553009083</v>
          </cell>
          <cell r="K32">
            <v>0</v>
          </cell>
        </row>
        <row r="33">
          <cell r="B33" t="str">
            <v>LOAD FOR EMERGENCY FEEDERS FOR TRAIN-1</v>
          </cell>
          <cell r="G33">
            <v>237.46496219754007</v>
          </cell>
          <cell r="J33">
            <v>0</v>
          </cell>
          <cell r="K33">
            <v>0</v>
          </cell>
        </row>
        <row r="34">
          <cell r="B34" t="str">
            <v>LOAD FOR EMERGENCY FEEDERS FOR TRAIN-2</v>
          </cell>
          <cell r="G34">
            <v>237.46496219754007</v>
          </cell>
          <cell r="J34">
            <v>0</v>
          </cell>
          <cell r="K34">
            <v>0</v>
          </cell>
        </row>
        <row r="35">
          <cell r="B35" t="str">
            <v xml:space="preserve">EMERGENCY LIGHTING LOAD </v>
          </cell>
          <cell r="G35">
            <v>10</v>
          </cell>
          <cell r="J35">
            <v>0</v>
          </cell>
          <cell r="K35">
            <v>0</v>
          </cell>
        </row>
        <row r="36">
          <cell r="B36" t="str">
            <v>TOTAL LOAD FOR PMCC-3</v>
          </cell>
          <cell r="G36">
            <v>1697.9887520650984</v>
          </cell>
          <cell r="J36">
            <v>264.94185553009083</v>
          </cell>
          <cell r="K36">
            <v>0</v>
          </cell>
        </row>
        <row r="38">
          <cell r="A38" t="str">
            <v>TOTAL  LOAD IN BKW     =  OPERATING LOAD IN BKW + (0.3 X INTERMIDIATE  LOAD IN BKW) / PF                   PF= 0.8</v>
          </cell>
        </row>
        <row r="39">
          <cell r="C39" t="str">
            <v xml:space="preserve"> = 1697+(0.3*0)/0.8</v>
          </cell>
        </row>
        <row r="40">
          <cell r="C40" t="str">
            <v xml:space="preserve"> = 2384.2</v>
          </cell>
          <cell r="D40" t="str">
            <v xml:space="preserve"> KVA</v>
          </cell>
        </row>
        <row r="41">
          <cell r="C41" t="str">
            <v xml:space="preserve"> =1697</v>
          </cell>
          <cell r="D41" t="str">
            <v>BKW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load data (PMCC-1)"/>
      <sheetName val="load data (PMCC-2)"/>
      <sheetName val="load data (FMCC)"/>
      <sheetName val="load data (COMPOSITE VFD FDS)"/>
      <sheetName val="Xmar sizing (SNC format)"/>
      <sheetName val="sizing (PMCC -1) (2)"/>
      <sheetName val="sizing (PMCC -1)"/>
      <sheetName val="load data (PMCC -1) (3)"/>
      <sheetName val="load data"/>
      <sheetName val="sizing"/>
      <sheetName val="LDB LOAD"/>
      <sheetName val="MCC"/>
      <sheetName val="MCC I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Q8">
            <v>0.12</v>
          </cell>
          <cell r="V8">
            <v>0.12</v>
          </cell>
          <cell r="AA8">
            <v>0.12</v>
          </cell>
          <cell r="AF8">
            <v>0.12</v>
          </cell>
        </row>
        <row r="9">
          <cell r="Q9">
            <v>0.18</v>
          </cell>
          <cell r="V9">
            <v>0.18</v>
          </cell>
          <cell r="AA9">
            <v>0.18</v>
          </cell>
          <cell r="AF9">
            <v>0.18</v>
          </cell>
        </row>
        <row r="10">
          <cell r="Q10">
            <v>0.25</v>
          </cell>
          <cell r="V10">
            <v>0.25</v>
          </cell>
          <cell r="AA10">
            <v>0.25</v>
          </cell>
          <cell r="AF10">
            <v>0.25</v>
          </cell>
        </row>
        <row r="11">
          <cell r="Q11">
            <v>0.37</v>
          </cell>
          <cell r="R11">
            <v>0.62</v>
          </cell>
          <cell r="S11">
            <v>0.73</v>
          </cell>
          <cell r="V11">
            <v>0.37</v>
          </cell>
          <cell r="W11">
            <v>0.71</v>
          </cell>
          <cell r="X11">
            <v>0.73</v>
          </cell>
          <cell r="AA11">
            <v>0.37</v>
          </cell>
          <cell r="AB11">
            <v>0.57999999999999996</v>
          </cell>
          <cell r="AC11">
            <v>0.73</v>
          </cell>
          <cell r="AF11">
            <v>0.37</v>
          </cell>
          <cell r="AG11">
            <v>0.71</v>
          </cell>
          <cell r="AH11">
            <v>0.73</v>
          </cell>
        </row>
        <row r="12">
          <cell r="Q12">
            <v>0.55000000000000004</v>
          </cell>
          <cell r="R12">
            <v>0.64</v>
          </cell>
          <cell r="S12">
            <v>0.78</v>
          </cell>
          <cell r="V12">
            <v>0.55000000000000004</v>
          </cell>
          <cell r="W12">
            <v>0.74</v>
          </cell>
          <cell r="X12">
            <v>0.78</v>
          </cell>
          <cell r="AA12">
            <v>0.55000000000000004</v>
          </cell>
          <cell r="AB12">
            <v>0.64</v>
          </cell>
          <cell r="AC12">
            <v>0.78</v>
          </cell>
          <cell r="AF12">
            <v>0.55000000000000004</v>
          </cell>
          <cell r="AG12">
            <v>0.74</v>
          </cell>
          <cell r="AH12">
            <v>0.78</v>
          </cell>
        </row>
        <row r="13">
          <cell r="Q13">
            <v>0.75</v>
          </cell>
          <cell r="R13">
            <v>0.67</v>
          </cell>
          <cell r="S13">
            <v>0.82499999999999996</v>
          </cell>
          <cell r="V13">
            <v>0.75</v>
          </cell>
          <cell r="W13">
            <v>0.76</v>
          </cell>
          <cell r="X13">
            <v>0.82499999999999996</v>
          </cell>
          <cell r="AA13">
            <v>0.75</v>
          </cell>
          <cell r="AB13">
            <v>0.65</v>
          </cell>
          <cell r="AC13">
            <v>0.82499999999999996</v>
          </cell>
          <cell r="AF13">
            <v>0.75</v>
          </cell>
          <cell r="AG13">
            <v>0.76</v>
          </cell>
          <cell r="AH13">
            <v>0.82499999999999996</v>
          </cell>
        </row>
        <row r="14">
          <cell r="Q14">
            <v>1.1000000000000001</v>
          </cell>
          <cell r="R14">
            <v>0.7</v>
          </cell>
          <cell r="S14">
            <v>0.83799999999999997</v>
          </cell>
          <cell r="V14">
            <v>1.1000000000000001</v>
          </cell>
          <cell r="W14">
            <v>0.77</v>
          </cell>
          <cell r="X14">
            <v>0.83799999999999997</v>
          </cell>
          <cell r="AA14">
            <v>1.1000000000000001</v>
          </cell>
          <cell r="AB14">
            <v>0.7</v>
          </cell>
          <cell r="AC14">
            <v>0.83799999999999997</v>
          </cell>
          <cell r="AF14">
            <v>1.1000000000000001</v>
          </cell>
          <cell r="AG14">
            <v>0.77</v>
          </cell>
          <cell r="AH14">
            <v>0.83799999999999997</v>
          </cell>
        </row>
        <row r="15">
          <cell r="Q15">
            <v>1.5</v>
          </cell>
          <cell r="R15">
            <v>0.7</v>
          </cell>
          <cell r="S15">
            <v>0.85</v>
          </cell>
          <cell r="V15">
            <v>1.5</v>
          </cell>
          <cell r="W15">
            <v>0.77</v>
          </cell>
          <cell r="X15">
            <v>0.85</v>
          </cell>
          <cell r="AA15">
            <v>1.5</v>
          </cell>
          <cell r="AB15">
            <v>0.72</v>
          </cell>
          <cell r="AC15">
            <v>0.85</v>
          </cell>
          <cell r="AF15">
            <v>1.5</v>
          </cell>
          <cell r="AG15">
            <v>0.77</v>
          </cell>
          <cell r="AH15">
            <v>0.85</v>
          </cell>
        </row>
        <row r="16">
          <cell r="Q16">
            <v>2.2000000000000002</v>
          </cell>
          <cell r="R16">
            <v>0.74</v>
          </cell>
          <cell r="S16">
            <v>0.86399999999999999</v>
          </cell>
          <cell r="V16">
            <v>2.2000000000000002</v>
          </cell>
          <cell r="W16">
            <v>0.82</v>
          </cell>
          <cell r="X16">
            <v>0.86399999999999999</v>
          </cell>
          <cell r="AA16">
            <v>2.2000000000000002</v>
          </cell>
          <cell r="AB16">
            <v>0.76</v>
          </cell>
          <cell r="AC16">
            <v>0.86399999999999999</v>
          </cell>
          <cell r="AF16">
            <v>2.2000000000000002</v>
          </cell>
          <cell r="AG16">
            <v>0.82</v>
          </cell>
          <cell r="AH16">
            <v>0.86399999999999999</v>
          </cell>
        </row>
        <row r="17">
          <cell r="Q17">
            <v>3.7</v>
          </cell>
          <cell r="R17">
            <v>0.78</v>
          </cell>
          <cell r="S17">
            <v>0.88300000000000001</v>
          </cell>
          <cell r="V17">
            <v>3.7</v>
          </cell>
          <cell r="W17">
            <v>0.82</v>
          </cell>
          <cell r="X17">
            <v>0.88300000000000001</v>
          </cell>
          <cell r="AA17">
            <v>3.7</v>
          </cell>
          <cell r="AB17">
            <v>0.76</v>
          </cell>
          <cell r="AC17">
            <v>0.88300000000000001</v>
          </cell>
          <cell r="AF17">
            <v>3.7</v>
          </cell>
          <cell r="AG17">
            <v>0.82</v>
          </cell>
          <cell r="AH17">
            <v>0.88300000000000001</v>
          </cell>
        </row>
        <row r="18">
          <cell r="Q18">
            <v>5.5</v>
          </cell>
          <cell r="R18">
            <v>0.8</v>
          </cell>
          <cell r="S18">
            <v>0.89500000000000002</v>
          </cell>
          <cell r="V18">
            <v>5.5</v>
          </cell>
          <cell r="W18">
            <v>0.85</v>
          </cell>
          <cell r="X18">
            <v>0.89500000000000002</v>
          </cell>
          <cell r="AA18">
            <v>5.5</v>
          </cell>
          <cell r="AB18">
            <v>0.79</v>
          </cell>
          <cell r="AC18">
            <v>0.89500000000000002</v>
          </cell>
          <cell r="AF18">
            <v>5.5</v>
          </cell>
          <cell r="AG18">
            <v>0.85</v>
          </cell>
          <cell r="AH18">
            <v>0.89500000000000002</v>
          </cell>
        </row>
        <row r="19">
          <cell r="Q19">
            <v>7.5</v>
          </cell>
          <cell r="R19">
            <v>0.83</v>
          </cell>
          <cell r="S19">
            <v>0.90300000000000002</v>
          </cell>
          <cell r="V19">
            <v>7.5</v>
          </cell>
          <cell r="W19">
            <v>0.86</v>
          </cell>
          <cell r="X19">
            <v>0.90300000000000002</v>
          </cell>
          <cell r="AA19">
            <v>7.5</v>
          </cell>
          <cell r="AB19">
            <v>0.81</v>
          </cell>
          <cell r="AC19">
            <v>0.90300000000000002</v>
          </cell>
          <cell r="AF19">
            <v>7.5</v>
          </cell>
          <cell r="AG19">
            <v>0.86</v>
          </cell>
          <cell r="AH19">
            <v>0.90300000000000002</v>
          </cell>
        </row>
        <row r="20">
          <cell r="Q20">
            <v>9.3000000000000007</v>
          </cell>
          <cell r="R20">
            <v>0.82</v>
          </cell>
          <cell r="S20">
            <v>0.90500000000000003</v>
          </cell>
          <cell r="V20">
            <v>9.3000000000000007</v>
          </cell>
          <cell r="W20">
            <v>0.84</v>
          </cell>
          <cell r="X20">
            <v>0.90500000000000003</v>
          </cell>
          <cell r="AA20">
            <v>9.3000000000000007</v>
          </cell>
          <cell r="AB20">
            <v>0.81</v>
          </cell>
          <cell r="AC20">
            <v>0.90500000000000003</v>
          </cell>
          <cell r="AF20">
            <v>9.3000000000000007</v>
          </cell>
          <cell r="AG20">
            <v>0.84</v>
          </cell>
          <cell r="AH20">
            <v>0.90500000000000003</v>
          </cell>
        </row>
        <row r="21">
          <cell r="Q21">
            <v>11</v>
          </cell>
          <cell r="R21">
            <v>0.83</v>
          </cell>
          <cell r="S21">
            <v>0.91500000000000004</v>
          </cell>
          <cell r="V21">
            <v>11</v>
          </cell>
          <cell r="W21">
            <v>0.85</v>
          </cell>
          <cell r="X21">
            <v>0.91500000000000004</v>
          </cell>
          <cell r="AA21">
            <v>11</v>
          </cell>
          <cell r="AB21">
            <v>0.82</v>
          </cell>
          <cell r="AC21">
            <v>0.91500000000000004</v>
          </cell>
          <cell r="AF21">
            <v>11</v>
          </cell>
          <cell r="AG21">
            <v>0.85</v>
          </cell>
          <cell r="AH21">
            <v>0.91500000000000004</v>
          </cell>
        </row>
        <row r="22">
          <cell r="Q22">
            <v>15</v>
          </cell>
          <cell r="R22">
            <v>0.83</v>
          </cell>
          <cell r="S22">
            <v>0.92200000000000004</v>
          </cell>
          <cell r="V22">
            <v>15</v>
          </cell>
          <cell r="W22">
            <v>0.85</v>
          </cell>
          <cell r="X22">
            <v>0.92200000000000004</v>
          </cell>
          <cell r="AA22">
            <v>15</v>
          </cell>
          <cell r="AB22">
            <v>0.83</v>
          </cell>
          <cell r="AC22">
            <v>0.92200000000000004</v>
          </cell>
          <cell r="AF22">
            <v>15</v>
          </cell>
          <cell r="AG22">
            <v>0.85</v>
          </cell>
          <cell r="AH22">
            <v>0.92200000000000004</v>
          </cell>
        </row>
        <row r="24">
          <cell r="Q24">
            <v>18.5</v>
          </cell>
          <cell r="R24">
            <v>0.82</v>
          </cell>
          <cell r="S24">
            <v>0.92400000000000004</v>
          </cell>
          <cell r="V24">
            <v>18.5</v>
          </cell>
          <cell r="W24">
            <v>0.85</v>
          </cell>
          <cell r="X24">
            <v>0.92400000000000004</v>
          </cell>
          <cell r="AA24">
            <v>18.5</v>
          </cell>
          <cell r="AB24">
            <v>0.84</v>
          </cell>
          <cell r="AC24">
            <v>0.92400000000000004</v>
          </cell>
          <cell r="AF24">
            <v>18.5</v>
          </cell>
          <cell r="AG24">
            <v>0.85</v>
          </cell>
          <cell r="AH24">
            <v>0.92400000000000004</v>
          </cell>
        </row>
        <row r="25">
          <cell r="Q25">
            <v>22</v>
          </cell>
          <cell r="R25">
            <v>0.8</v>
          </cell>
          <cell r="S25">
            <v>0.92800000000000005</v>
          </cell>
          <cell r="V25">
            <v>22</v>
          </cell>
          <cell r="W25">
            <v>0.85</v>
          </cell>
          <cell r="X25">
            <v>0.92800000000000005</v>
          </cell>
          <cell r="AA25">
            <v>22</v>
          </cell>
          <cell r="AB25">
            <v>0.84</v>
          </cell>
          <cell r="AC25">
            <v>0.92800000000000005</v>
          </cell>
          <cell r="AF25">
            <v>22</v>
          </cell>
          <cell r="AG25">
            <v>0.85</v>
          </cell>
          <cell r="AH25">
            <v>0.92800000000000005</v>
          </cell>
        </row>
        <row r="26">
          <cell r="Q26">
            <v>30</v>
          </cell>
          <cell r="R26">
            <v>0.85</v>
          </cell>
          <cell r="S26">
            <v>0.93200000000000005</v>
          </cell>
          <cell r="V26">
            <v>30</v>
          </cell>
          <cell r="W26">
            <v>0.86</v>
          </cell>
          <cell r="X26">
            <v>0.93200000000000005</v>
          </cell>
          <cell r="AA26">
            <v>30</v>
          </cell>
          <cell r="AB26">
            <v>0.86</v>
          </cell>
          <cell r="AC26">
            <v>0.93200000000000005</v>
          </cell>
          <cell r="AF26">
            <v>30</v>
          </cell>
          <cell r="AG26">
            <v>0.86</v>
          </cell>
          <cell r="AH26">
            <v>0.93200000000000005</v>
          </cell>
        </row>
        <row r="27">
          <cell r="Q27">
            <v>37</v>
          </cell>
          <cell r="R27">
            <v>0.85</v>
          </cell>
          <cell r="S27">
            <v>0.93600000000000005</v>
          </cell>
          <cell r="V27">
            <v>37</v>
          </cell>
          <cell r="W27">
            <v>0.87</v>
          </cell>
          <cell r="X27">
            <v>0.93600000000000005</v>
          </cell>
          <cell r="AA27">
            <v>37</v>
          </cell>
          <cell r="AB27">
            <v>0.89</v>
          </cell>
          <cell r="AC27">
            <v>0.93600000000000005</v>
          </cell>
          <cell r="AF27">
            <v>37</v>
          </cell>
          <cell r="AG27">
            <v>0.87</v>
          </cell>
          <cell r="AH27">
            <v>0.93600000000000005</v>
          </cell>
        </row>
        <row r="28">
          <cell r="Q28">
            <v>45</v>
          </cell>
          <cell r="R28">
            <v>0.86</v>
          </cell>
          <cell r="S28">
            <v>0.93899999999999995</v>
          </cell>
          <cell r="V28">
            <v>45</v>
          </cell>
          <cell r="W28">
            <v>0.88</v>
          </cell>
          <cell r="X28">
            <v>0.93899999999999995</v>
          </cell>
          <cell r="AA28">
            <v>45</v>
          </cell>
          <cell r="AB28">
            <v>0.89</v>
          </cell>
          <cell r="AC28">
            <v>0.93899999999999995</v>
          </cell>
          <cell r="AF28">
            <v>45</v>
          </cell>
          <cell r="AG28">
            <v>0.88</v>
          </cell>
          <cell r="AH28">
            <v>0.93899999999999995</v>
          </cell>
        </row>
        <row r="29">
          <cell r="Q29">
            <v>55</v>
          </cell>
          <cell r="R29">
            <v>0.85</v>
          </cell>
          <cell r="S29">
            <v>0.94199999999999995</v>
          </cell>
          <cell r="V29">
            <v>55</v>
          </cell>
          <cell r="W29">
            <v>0.87</v>
          </cell>
          <cell r="X29">
            <v>0.94199999999999995</v>
          </cell>
          <cell r="AA29">
            <v>55</v>
          </cell>
          <cell r="AB29">
            <v>0.82</v>
          </cell>
          <cell r="AC29">
            <v>0.94199999999999995</v>
          </cell>
          <cell r="AF29">
            <v>55</v>
          </cell>
          <cell r="AG29">
            <v>0.87</v>
          </cell>
          <cell r="AH29">
            <v>0.94199999999999995</v>
          </cell>
        </row>
        <row r="30">
          <cell r="Q30">
            <v>75</v>
          </cell>
          <cell r="R30">
            <v>0.86</v>
          </cell>
          <cell r="S30">
            <v>0.94699999999999995</v>
          </cell>
          <cell r="V30">
            <v>75</v>
          </cell>
          <cell r="W30">
            <v>0.88</v>
          </cell>
          <cell r="X30">
            <v>0.94699999999999995</v>
          </cell>
          <cell r="AA30">
            <v>75</v>
          </cell>
          <cell r="AB30">
            <v>0.87</v>
          </cell>
          <cell r="AC30">
            <v>0.94699999999999995</v>
          </cell>
          <cell r="AF30">
            <v>75</v>
          </cell>
          <cell r="AG30">
            <v>0.88</v>
          </cell>
          <cell r="AH30">
            <v>0.94699999999999995</v>
          </cell>
        </row>
        <row r="31">
          <cell r="Q31">
            <v>90</v>
          </cell>
          <cell r="R31">
            <v>0.87</v>
          </cell>
          <cell r="S31">
            <v>0.95</v>
          </cell>
          <cell r="V31">
            <v>90</v>
          </cell>
          <cell r="W31">
            <v>0.9</v>
          </cell>
          <cell r="X31">
            <v>0.95</v>
          </cell>
          <cell r="AA31">
            <v>90</v>
          </cell>
          <cell r="AB31">
            <v>0.88</v>
          </cell>
          <cell r="AC31">
            <v>0.95</v>
          </cell>
          <cell r="AF31">
            <v>90</v>
          </cell>
          <cell r="AG31">
            <v>0.9</v>
          </cell>
          <cell r="AH31">
            <v>0.95</v>
          </cell>
        </row>
        <row r="32">
          <cell r="Q32">
            <v>110</v>
          </cell>
          <cell r="R32">
            <v>0.85</v>
          </cell>
          <cell r="S32">
            <v>0.95199999999999996</v>
          </cell>
          <cell r="V32">
            <v>110</v>
          </cell>
          <cell r="W32">
            <v>0.88</v>
          </cell>
          <cell r="X32">
            <v>0.95199999999999996</v>
          </cell>
          <cell r="AA32">
            <v>110</v>
          </cell>
          <cell r="AB32">
            <v>0.88</v>
          </cell>
          <cell r="AC32">
            <v>0.95199999999999996</v>
          </cell>
          <cell r="AF32">
            <v>110</v>
          </cell>
          <cell r="AG32">
            <v>0.88</v>
          </cell>
          <cell r="AH32">
            <v>0.95199999999999996</v>
          </cell>
        </row>
        <row r="33">
          <cell r="Q33">
            <v>125</v>
          </cell>
          <cell r="R33">
            <v>0.85</v>
          </cell>
          <cell r="S33">
            <v>0.95199999999999996</v>
          </cell>
          <cell r="V33">
            <v>125</v>
          </cell>
          <cell r="W33">
            <v>0.88</v>
          </cell>
          <cell r="X33">
            <v>0.95499999999999996</v>
          </cell>
          <cell r="AA33">
            <v>125</v>
          </cell>
          <cell r="AB33">
            <v>0.9</v>
          </cell>
          <cell r="AC33">
            <v>0.95199999999999996</v>
          </cell>
          <cell r="AF33">
            <v>125</v>
          </cell>
          <cell r="AG33">
            <v>0.88</v>
          </cell>
          <cell r="AH33">
            <v>0.95499999999999996</v>
          </cell>
        </row>
        <row r="34">
          <cell r="Q34">
            <v>132</v>
          </cell>
          <cell r="R34">
            <v>0.86</v>
          </cell>
          <cell r="S34">
            <v>0.95499999999999996</v>
          </cell>
          <cell r="V34">
            <v>132</v>
          </cell>
          <cell r="W34">
            <v>0.89</v>
          </cell>
          <cell r="X34">
            <v>0.95499999999999996</v>
          </cell>
          <cell r="AA34">
            <v>132</v>
          </cell>
          <cell r="AB34">
            <v>0.9</v>
          </cell>
          <cell r="AC34">
            <v>0.95499999999999996</v>
          </cell>
          <cell r="AF34">
            <v>132</v>
          </cell>
          <cell r="AG34">
            <v>0.89</v>
          </cell>
          <cell r="AH34">
            <v>0.95499999999999996</v>
          </cell>
        </row>
        <row r="35">
          <cell r="Q35">
            <v>150</v>
          </cell>
          <cell r="R35">
            <v>0.86</v>
          </cell>
          <cell r="S35">
            <v>0.95499999999999996</v>
          </cell>
          <cell r="V35">
            <v>150</v>
          </cell>
          <cell r="W35">
            <v>0.89</v>
          </cell>
          <cell r="X35">
            <v>0.95699999999999996</v>
          </cell>
          <cell r="AA35">
            <v>150</v>
          </cell>
          <cell r="AB35">
            <v>0.92</v>
          </cell>
          <cell r="AC35">
            <v>0.95499999999999996</v>
          </cell>
          <cell r="AF35">
            <v>150</v>
          </cell>
          <cell r="AG35">
            <v>0.89</v>
          </cell>
          <cell r="AH35">
            <v>0.95699999999999996</v>
          </cell>
        </row>
        <row r="36">
          <cell r="Q36">
            <v>160</v>
          </cell>
          <cell r="R36">
            <v>0.87</v>
          </cell>
          <cell r="S36">
            <v>0.95499999999999996</v>
          </cell>
          <cell r="V36">
            <v>160</v>
          </cell>
          <cell r="W36">
            <v>0.89</v>
          </cell>
          <cell r="X36">
            <v>0.95799999999999996</v>
          </cell>
          <cell r="AA36">
            <v>160</v>
          </cell>
          <cell r="AB36">
            <v>0.92</v>
          </cell>
          <cell r="AC36">
            <v>0.95499999999999996</v>
          </cell>
          <cell r="AF36">
            <v>160</v>
          </cell>
          <cell r="AG36">
            <v>0.89</v>
          </cell>
          <cell r="AH36">
            <v>0.95799999999999996</v>
          </cell>
        </row>
        <row r="37">
          <cell r="Q37">
            <v>180</v>
          </cell>
          <cell r="R37">
            <v>0.87</v>
          </cell>
          <cell r="S37">
            <v>0.95499999999999996</v>
          </cell>
          <cell r="V37">
            <v>180</v>
          </cell>
          <cell r="W37">
            <v>0.89</v>
          </cell>
          <cell r="X37">
            <v>0.95799999999999996</v>
          </cell>
          <cell r="AA37">
            <v>180</v>
          </cell>
          <cell r="AB37">
            <v>0.86</v>
          </cell>
          <cell r="AC37">
            <v>0.95499999999999996</v>
          </cell>
          <cell r="AF37">
            <v>180</v>
          </cell>
          <cell r="AG37">
            <v>0.89</v>
          </cell>
          <cell r="AH37">
            <v>0.95799999999999996</v>
          </cell>
        </row>
        <row r="38">
          <cell r="Q38">
            <v>200</v>
          </cell>
          <cell r="R38">
            <v>0.87</v>
          </cell>
          <cell r="S38">
            <v>0.95499999999999996</v>
          </cell>
          <cell r="V38">
            <v>200</v>
          </cell>
          <cell r="W38">
            <v>0.89</v>
          </cell>
          <cell r="X38">
            <v>0.95799999999999996</v>
          </cell>
          <cell r="AA38">
            <v>200</v>
          </cell>
          <cell r="AB38">
            <v>0.86</v>
          </cell>
          <cell r="AC38">
            <v>0.95499999999999996</v>
          </cell>
          <cell r="AF38">
            <v>200</v>
          </cell>
          <cell r="AG38">
            <v>0.89</v>
          </cell>
          <cell r="AH38">
            <v>0.95799999999999996</v>
          </cell>
        </row>
        <row r="39">
          <cell r="Q39">
            <v>225</v>
          </cell>
          <cell r="R39">
            <v>0.85</v>
          </cell>
          <cell r="S39">
            <v>0.96199999999999997</v>
          </cell>
          <cell r="V39">
            <v>225</v>
          </cell>
          <cell r="W39">
            <v>0.88</v>
          </cell>
          <cell r="X39">
            <v>0.96299999999999997</v>
          </cell>
          <cell r="AA39">
            <v>225</v>
          </cell>
          <cell r="AB39">
            <v>0.82</v>
          </cell>
          <cell r="AC39">
            <v>0.96199999999999997</v>
          </cell>
          <cell r="AF39">
            <v>225</v>
          </cell>
          <cell r="AG39">
            <v>0.88</v>
          </cell>
          <cell r="AH39">
            <v>0.96299999999999997</v>
          </cell>
        </row>
        <row r="40">
          <cell r="Q40">
            <v>250</v>
          </cell>
          <cell r="R40">
            <v>0.85</v>
          </cell>
          <cell r="S40">
            <v>0.96199999999999997</v>
          </cell>
          <cell r="V40">
            <v>250</v>
          </cell>
          <cell r="W40">
            <v>0.88</v>
          </cell>
          <cell r="X40">
            <v>0.96299999999999997</v>
          </cell>
          <cell r="AA40">
            <v>250</v>
          </cell>
          <cell r="AB40">
            <v>0.82</v>
          </cell>
          <cell r="AC40">
            <v>0.96199999999999997</v>
          </cell>
          <cell r="AF40">
            <v>250</v>
          </cell>
          <cell r="AG40">
            <v>0.88</v>
          </cell>
          <cell r="AH40">
            <v>0.96299999999999997</v>
          </cell>
        </row>
        <row r="41">
          <cell r="Q41">
            <v>315</v>
          </cell>
          <cell r="R41">
            <v>0.85</v>
          </cell>
          <cell r="S41">
            <v>0.96299999999999997</v>
          </cell>
          <cell r="V41">
            <v>315</v>
          </cell>
          <cell r="W41">
            <v>0.88</v>
          </cell>
          <cell r="X41">
            <v>0.96399999999999997</v>
          </cell>
          <cell r="AA41">
            <v>315</v>
          </cell>
          <cell r="AB41">
            <v>0.85</v>
          </cell>
          <cell r="AC41">
            <v>0.96299999999999997</v>
          </cell>
          <cell r="AF41">
            <v>315</v>
          </cell>
          <cell r="AG41">
            <v>0.88</v>
          </cell>
          <cell r="AH41">
            <v>0.96399999999999997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"/>
    </sheetNames>
    <sheetDataSet>
      <sheetData sheetId="0">
        <row r="8">
          <cell r="E8">
            <v>65.62</v>
          </cell>
        </row>
        <row r="9">
          <cell r="E9">
            <v>59.04</v>
          </cell>
        </row>
        <row r="10">
          <cell r="E10">
            <v>56</v>
          </cell>
        </row>
        <row r="11">
          <cell r="E11">
            <v>3.2809999999999999E-2</v>
          </cell>
        </row>
        <row r="12">
          <cell r="E12">
            <v>0.16400000000000001</v>
          </cell>
        </row>
        <row r="15">
          <cell r="E15">
            <v>122</v>
          </cell>
        </row>
        <row r="16">
          <cell r="E16">
            <v>117</v>
          </cell>
        </row>
        <row r="17">
          <cell r="E17">
            <v>64</v>
          </cell>
        </row>
        <row r="18">
          <cell r="E18">
            <v>59</v>
          </cell>
        </row>
        <row r="21">
          <cell r="E21">
            <v>24.84</v>
          </cell>
        </row>
        <row r="22">
          <cell r="E22">
            <v>2.1899999999999999E-2</v>
          </cell>
        </row>
        <row r="23">
          <cell r="E23">
            <v>0.8</v>
          </cell>
        </row>
        <row r="26">
          <cell r="E26">
            <v>0.5</v>
          </cell>
        </row>
        <row r="27">
          <cell r="E27">
            <v>0.5</v>
          </cell>
        </row>
        <row r="30">
          <cell r="E30">
            <v>1000</v>
          </cell>
        </row>
        <row r="31">
          <cell r="E31">
            <v>800</v>
          </cell>
        </row>
        <row r="32">
          <cell r="E32">
            <v>1000</v>
          </cell>
        </row>
        <row r="33">
          <cell r="E33">
            <v>500</v>
          </cell>
        </row>
        <row r="35">
          <cell r="E35">
            <v>417000000</v>
          </cell>
        </row>
        <row r="36">
          <cell r="E36">
            <v>1.95</v>
          </cell>
        </row>
        <row r="37">
          <cell r="E37">
            <v>493.2</v>
          </cell>
        </row>
        <row r="43">
          <cell r="D43">
            <v>55.56</v>
          </cell>
          <cell r="E43">
            <v>0.08</v>
          </cell>
          <cell r="F43">
            <v>0.08</v>
          </cell>
        </row>
        <row r="44">
          <cell r="D44">
            <v>0.47899999999999998</v>
          </cell>
          <cell r="E44">
            <v>0.25</v>
          </cell>
          <cell r="F44">
            <v>0.25</v>
          </cell>
        </row>
        <row r="45">
          <cell r="D45">
            <v>1076.54</v>
          </cell>
          <cell r="E45">
            <v>1.6930000000000001E-2</v>
          </cell>
          <cell r="F45">
            <v>1.6930000000000001E-2</v>
          </cell>
        </row>
        <row r="46">
          <cell r="D46">
            <v>8.2299999999999998E-2</v>
          </cell>
          <cell r="E46">
            <v>1.5100000000000001E-2</v>
          </cell>
          <cell r="F46">
            <v>1.5100000000000001E-2</v>
          </cell>
        </row>
        <row r="47">
          <cell r="D47">
            <v>9.9999999999999995E-7</v>
          </cell>
          <cell r="E47">
            <v>2E-3</v>
          </cell>
          <cell r="F47">
            <v>2E-3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T"/>
    </sheetNames>
    <definedNames>
      <definedName name="iteration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Cable sizing Cal"/>
      <sheetName val="Annexture-1"/>
      <sheetName val="HV Cable sizing"/>
      <sheetName val="Annexture-2"/>
      <sheetName val="LV Cable sizing"/>
      <sheetName val="NEW LVMDP (R2)"/>
      <sheetName val="Tabel IEC 364-5-523"/>
      <sheetName val="Tabel IEC 60228"/>
      <sheetName val="Cable Data"/>
      <sheetName val="Motor EEx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3">
          <cell r="A13">
            <v>1</v>
          </cell>
          <cell r="B13" t="str">
            <v>1C x 2.5</v>
          </cell>
          <cell r="C13">
            <v>7.41</v>
          </cell>
          <cell r="D13">
            <v>8.8659999999999997</v>
          </cell>
          <cell r="E13">
            <v>9.1999999999999998E-2</v>
          </cell>
          <cell r="F13">
            <v>43</v>
          </cell>
          <cell r="G13">
            <v>35</v>
          </cell>
          <cell r="J13">
            <v>1</v>
          </cell>
          <cell r="K13" t="str">
            <v>1C x 2.5</v>
          </cell>
          <cell r="L13">
            <v>7.41</v>
          </cell>
          <cell r="M13">
            <v>8.8659999999999997</v>
          </cell>
          <cell r="N13">
            <v>9.1999999999999998E-2</v>
          </cell>
          <cell r="O13">
            <v>35</v>
          </cell>
          <cell r="P13">
            <v>28</v>
          </cell>
        </row>
        <row r="14">
          <cell r="A14">
            <v>2</v>
          </cell>
          <cell r="B14" t="str">
            <v>1C x 4</v>
          </cell>
          <cell r="C14">
            <v>4.6100000000000003</v>
          </cell>
          <cell r="D14">
            <v>5.516</v>
          </cell>
          <cell r="E14">
            <v>8.5999999999999993E-2</v>
          </cell>
          <cell r="F14">
            <v>55</v>
          </cell>
          <cell r="G14">
            <v>46</v>
          </cell>
          <cell r="J14">
            <v>2</v>
          </cell>
          <cell r="K14" t="str">
            <v>1C x 4</v>
          </cell>
          <cell r="L14">
            <v>4.6100000000000003</v>
          </cell>
          <cell r="M14">
            <v>5.516</v>
          </cell>
          <cell r="N14">
            <v>8.5999999999999993E-2</v>
          </cell>
          <cell r="O14">
            <v>45</v>
          </cell>
          <cell r="P14">
            <v>38</v>
          </cell>
        </row>
        <row r="15">
          <cell r="A15">
            <v>3</v>
          </cell>
          <cell r="B15" t="str">
            <v>1C x 6</v>
          </cell>
          <cell r="C15">
            <v>3.08</v>
          </cell>
          <cell r="D15">
            <v>3.6850000000000001</v>
          </cell>
          <cell r="E15">
            <v>8.3000000000000004E-2</v>
          </cell>
          <cell r="F15">
            <v>68</v>
          </cell>
          <cell r="G15">
            <v>58</v>
          </cell>
          <cell r="J15">
            <v>3</v>
          </cell>
          <cell r="K15" t="str">
            <v>1C x 6</v>
          </cell>
          <cell r="L15">
            <v>3.08</v>
          </cell>
          <cell r="M15">
            <v>3.6850000000000001</v>
          </cell>
          <cell r="N15">
            <v>8.3000000000000004E-2</v>
          </cell>
          <cell r="O15">
            <v>57</v>
          </cell>
          <cell r="P15">
            <v>48</v>
          </cell>
        </row>
        <row r="16">
          <cell r="A16">
            <v>4</v>
          </cell>
          <cell r="B16" t="str">
            <v>1C x 10</v>
          </cell>
          <cell r="C16">
            <v>1.83</v>
          </cell>
          <cell r="D16">
            <v>2.19</v>
          </cell>
          <cell r="E16">
            <v>7.8E-2</v>
          </cell>
          <cell r="F16">
            <v>91</v>
          </cell>
          <cell r="G16">
            <v>80</v>
          </cell>
          <cell r="J16">
            <v>4</v>
          </cell>
          <cell r="K16" t="str">
            <v>1C x 10</v>
          </cell>
          <cell r="L16">
            <v>1.83</v>
          </cell>
          <cell r="M16">
            <v>2.19</v>
          </cell>
          <cell r="N16">
            <v>7.8E-2</v>
          </cell>
          <cell r="O16">
            <v>76</v>
          </cell>
          <cell r="P16">
            <v>65</v>
          </cell>
        </row>
        <row r="17">
          <cell r="A17">
            <v>5</v>
          </cell>
          <cell r="B17" t="str">
            <v>1C x 16</v>
          </cell>
          <cell r="C17">
            <v>1.1499999999999999</v>
          </cell>
          <cell r="D17">
            <v>1.3759999999999999</v>
          </cell>
          <cell r="E17">
            <v>7.3999999999999996E-2</v>
          </cell>
          <cell r="F17">
            <v>117</v>
          </cell>
          <cell r="G17">
            <v>107</v>
          </cell>
          <cell r="J17">
            <v>5</v>
          </cell>
          <cell r="K17" t="str">
            <v>1C x 16</v>
          </cell>
          <cell r="L17">
            <v>1.1499999999999999</v>
          </cell>
          <cell r="M17">
            <v>1.3759999999999999</v>
          </cell>
          <cell r="N17">
            <v>7.3999999999999996E-2</v>
          </cell>
          <cell r="O17">
            <v>97</v>
          </cell>
          <cell r="P17">
            <v>87</v>
          </cell>
        </row>
        <row r="18">
          <cell r="A18">
            <v>6</v>
          </cell>
          <cell r="B18" t="str">
            <v>1C x 25</v>
          </cell>
          <cell r="C18">
            <v>0.72699999999999998</v>
          </cell>
          <cell r="D18">
            <v>0.87</v>
          </cell>
          <cell r="E18">
            <v>7.4999999999999997E-2</v>
          </cell>
          <cell r="F18">
            <v>151</v>
          </cell>
          <cell r="G18">
            <v>145</v>
          </cell>
          <cell r="J18">
            <v>6</v>
          </cell>
          <cell r="K18" t="str">
            <v>1C x 25</v>
          </cell>
          <cell r="L18">
            <v>0.72699999999999998</v>
          </cell>
          <cell r="M18">
            <v>0.87</v>
          </cell>
          <cell r="N18">
            <v>7.4999999999999997E-2</v>
          </cell>
          <cell r="O18">
            <v>125</v>
          </cell>
          <cell r="P18">
            <v>117</v>
          </cell>
        </row>
        <row r="19">
          <cell r="A19">
            <v>7</v>
          </cell>
          <cell r="B19" t="str">
            <v>1C x 35</v>
          </cell>
          <cell r="C19">
            <v>0.52400000000000002</v>
          </cell>
          <cell r="D19">
            <v>0.627</v>
          </cell>
          <cell r="E19">
            <v>7.2999999999999995E-2</v>
          </cell>
          <cell r="F19">
            <v>180</v>
          </cell>
          <cell r="G19">
            <v>178</v>
          </cell>
          <cell r="J19">
            <v>7</v>
          </cell>
          <cell r="K19" t="str">
            <v>1C x 35</v>
          </cell>
          <cell r="L19">
            <v>0.52400000000000002</v>
          </cell>
          <cell r="M19">
            <v>0.627</v>
          </cell>
          <cell r="N19">
            <v>7.2999999999999995E-2</v>
          </cell>
          <cell r="O19">
            <v>150</v>
          </cell>
          <cell r="P19">
            <v>144</v>
          </cell>
        </row>
        <row r="20">
          <cell r="A20">
            <v>8</v>
          </cell>
          <cell r="B20" t="str">
            <v>1C x 50</v>
          </cell>
          <cell r="C20">
            <v>0.38700000000000001</v>
          </cell>
          <cell r="D20">
            <v>0.46400000000000002</v>
          </cell>
          <cell r="E20">
            <v>7.2999999999999995E-2</v>
          </cell>
          <cell r="F20">
            <v>214</v>
          </cell>
          <cell r="G20">
            <v>220</v>
          </cell>
          <cell r="J20">
            <v>8</v>
          </cell>
          <cell r="K20" t="str">
            <v>1C x 50</v>
          </cell>
          <cell r="L20">
            <v>0.38700000000000001</v>
          </cell>
          <cell r="M20">
            <v>0.46400000000000002</v>
          </cell>
          <cell r="N20">
            <v>7.2999999999999995E-2</v>
          </cell>
          <cell r="O20">
            <v>178</v>
          </cell>
          <cell r="P20">
            <v>177</v>
          </cell>
        </row>
        <row r="21">
          <cell r="A21">
            <v>9</v>
          </cell>
          <cell r="B21" t="str">
            <v>1C x 70</v>
          </cell>
          <cell r="C21">
            <v>0.26800000000000002</v>
          </cell>
          <cell r="D21">
            <v>0.32100000000000001</v>
          </cell>
          <cell r="E21">
            <v>7.1999999999999995E-2</v>
          </cell>
          <cell r="F21">
            <v>261</v>
          </cell>
          <cell r="G21">
            <v>279</v>
          </cell>
          <cell r="J21">
            <v>9</v>
          </cell>
          <cell r="K21" t="str">
            <v>1C x 70</v>
          </cell>
          <cell r="L21">
            <v>0.26800000000000002</v>
          </cell>
          <cell r="M21">
            <v>0.32100000000000001</v>
          </cell>
          <cell r="N21">
            <v>7.1999999999999995E-2</v>
          </cell>
          <cell r="O21">
            <v>218</v>
          </cell>
          <cell r="P21">
            <v>225</v>
          </cell>
        </row>
        <row r="22">
          <cell r="A22">
            <v>10</v>
          </cell>
          <cell r="B22" t="str">
            <v>1C x 95</v>
          </cell>
          <cell r="C22">
            <v>0.193</v>
          </cell>
          <cell r="D22">
            <v>0.23200000000000001</v>
          </cell>
          <cell r="E22">
            <v>7.0000000000000007E-2</v>
          </cell>
          <cell r="F22">
            <v>312</v>
          </cell>
          <cell r="G22">
            <v>346</v>
          </cell>
          <cell r="J22">
            <v>10</v>
          </cell>
          <cell r="K22" t="str">
            <v>1C x 95</v>
          </cell>
          <cell r="L22">
            <v>0.193</v>
          </cell>
          <cell r="M22">
            <v>0.23200000000000001</v>
          </cell>
          <cell r="N22">
            <v>7.0000000000000007E-2</v>
          </cell>
          <cell r="O22">
            <v>260</v>
          </cell>
          <cell r="P22">
            <v>278</v>
          </cell>
        </row>
        <row r="23">
          <cell r="A23">
            <v>11</v>
          </cell>
          <cell r="B23" t="str">
            <v>1C x 120</v>
          </cell>
          <cell r="C23">
            <v>0.153</v>
          </cell>
          <cell r="D23">
            <v>0.184</v>
          </cell>
          <cell r="E23">
            <v>7.0000000000000007E-2</v>
          </cell>
          <cell r="F23">
            <v>355</v>
          </cell>
          <cell r="G23">
            <v>404</v>
          </cell>
          <cell r="J23">
            <v>11</v>
          </cell>
          <cell r="K23" t="str">
            <v>1C x 120</v>
          </cell>
          <cell r="L23">
            <v>0.153</v>
          </cell>
          <cell r="M23">
            <v>0.184</v>
          </cell>
          <cell r="N23">
            <v>7.0000000000000007E-2</v>
          </cell>
          <cell r="O23">
            <v>296</v>
          </cell>
          <cell r="P23">
            <v>325</v>
          </cell>
        </row>
        <row r="24">
          <cell r="A24">
            <v>12</v>
          </cell>
          <cell r="B24" t="str">
            <v>1C x 150</v>
          </cell>
          <cell r="C24">
            <v>0.124</v>
          </cell>
          <cell r="D24">
            <v>0.15</v>
          </cell>
          <cell r="E24">
            <v>7.0000000000000007E-2</v>
          </cell>
          <cell r="F24">
            <v>397</v>
          </cell>
          <cell r="G24">
            <v>466</v>
          </cell>
          <cell r="J24">
            <v>12</v>
          </cell>
          <cell r="K24" t="str">
            <v>1C x 150</v>
          </cell>
          <cell r="L24">
            <v>0.124</v>
          </cell>
          <cell r="M24">
            <v>0.15</v>
          </cell>
          <cell r="N24">
            <v>7.0000000000000007E-2</v>
          </cell>
          <cell r="O24">
            <v>331</v>
          </cell>
          <cell r="P24">
            <v>373</v>
          </cell>
        </row>
        <row r="25">
          <cell r="A25">
            <v>13</v>
          </cell>
          <cell r="B25" t="str">
            <v>1C x 185</v>
          </cell>
          <cell r="C25">
            <v>9.9099999999999994E-2</v>
          </cell>
          <cell r="D25">
            <v>0.121</v>
          </cell>
          <cell r="E25">
            <v>7.0000000000000007E-2</v>
          </cell>
          <cell r="F25">
            <v>449</v>
          </cell>
          <cell r="G25">
            <v>543</v>
          </cell>
          <cell r="J25">
            <v>13</v>
          </cell>
          <cell r="K25" t="str">
            <v>1C x 185</v>
          </cell>
          <cell r="L25">
            <v>9.9099999999999994E-2</v>
          </cell>
          <cell r="M25">
            <v>0.121</v>
          </cell>
          <cell r="N25">
            <v>7.0000000000000007E-2</v>
          </cell>
          <cell r="O25">
            <v>374</v>
          </cell>
          <cell r="P25">
            <v>433</v>
          </cell>
        </row>
        <row r="26">
          <cell r="A26">
            <v>14</v>
          </cell>
          <cell r="B26" t="str">
            <v>1C x 240</v>
          </cell>
          <cell r="C26">
            <v>7.5399999999999995E-2</v>
          </cell>
          <cell r="D26">
            <v>9.2999999999999999E-2</v>
          </cell>
          <cell r="E26">
            <v>7.0000000000000007E-2</v>
          </cell>
          <cell r="F26">
            <v>519</v>
          </cell>
          <cell r="G26">
            <v>650</v>
          </cell>
          <cell r="J26">
            <v>14</v>
          </cell>
          <cell r="K26" t="str">
            <v>1C x 240</v>
          </cell>
          <cell r="L26">
            <v>7.5399999999999995E-2</v>
          </cell>
          <cell r="M26">
            <v>9.2999999999999999E-2</v>
          </cell>
          <cell r="N26">
            <v>7.0000000000000007E-2</v>
          </cell>
          <cell r="O26">
            <v>432</v>
          </cell>
          <cell r="P26">
            <v>518</v>
          </cell>
        </row>
        <row r="27">
          <cell r="A27">
            <v>15</v>
          </cell>
          <cell r="B27" t="str">
            <v>1C x 300</v>
          </cell>
          <cell r="C27">
            <v>6.0100000000000001E-2</v>
          </cell>
          <cell r="D27">
            <v>7.4999999999999997E-2</v>
          </cell>
          <cell r="E27">
            <v>6.9000000000000006E-2</v>
          </cell>
          <cell r="F27">
            <v>584</v>
          </cell>
          <cell r="G27">
            <v>751</v>
          </cell>
          <cell r="J27">
            <v>15</v>
          </cell>
          <cell r="K27" t="str">
            <v>1C x 300</v>
          </cell>
          <cell r="L27">
            <v>6.0100000000000001E-2</v>
          </cell>
          <cell r="M27">
            <v>7.4999999999999997E-2</v>
          </cell>
          <cell r="N27">
            <v>6.9000000000000006E-2</v>
          </cell>
          <cell r="O27">
            <v>486</v>
          </cell>
          <cell r="P27">
            <v>598</v>
          </cell>
        </row>
        <row r="28">
          <cell r="A28">
            <v>16</v>
          </cell>
          <cell r="B28" t="str">
            <v>1C x 400</v>
          </cell>
          <cell r="C28">
            <v>4.7E-2</v>
          </cell>
          <cell r="D28">
            <v>6.0999999999999999E-2</v>
          </cell>
          <cell r="E28">
            <v>6.9000000000000006E-2</v>
          </cell>
          <cell r="F28">
            <v>660</v>
          </cell>
          <cell r="G28">
            <v>875</v>
          </cell>
          <cell r="J28">
            <v>16</v>
          </cell>
          <cell r="K28" t="str">
            <v>1C x 400</v>
          </cell>
          <cell r="L28">
            <v>4.7E-2</v>
          </cell>
          <cell r="M28">
            <v>6.0999999999999999E-2</v>
          </cell>
          <cell r="N28">
            <v>6.9000000000000006E-2</v>
          </cell>
          <cell r="O28">
            <v>549</v>
          </cell>
          <cell r="P28">
            <v>695</v>
          </cell>
        </row>
        <row r="29">
          <cell r="A29">
            <v>17</v>
          </cell>
          <cell r="B29" t="str">
            <v>1C x 500</v>
          </cell>
          <cell r="C29">
            <v>3.6600000000000001E-2</v>
          </cell>
          <cell r="D29">
            <v>5.1999999999999998E-2</v>
          </cell>
          <cell r="E29">
            <v>0</v>
          </cell>
          <cell r="F29">
            <v>744</v>
          </cell>
          <cell r="G29">
            <v>1018</v>
          </cell>
          <cell r="J29">
            <v>17</v>
          </cell>
          <cell r="K29" t="str">
            <v>1C x 500</v>
          </cell>
          <cell r="L29">
            <v>3.6600000000000001E-2</v>
          </cell>
          <cell r="M29">
            <v>4.9000000000000002E-2</v>
          </cell>
          <cell r="N29">
            <v>0</v>
          </cell>
          <cell r="O29">
            <v>618</v>
          </cell>
          <cell r="P29">
            <v>806</v>
          </cell>
        </row>
        <row r="30">
          <cell r="A30">
            <v>18</v>
          </cell>
          <cell r="B30" t="str">
            <v>1C x 630</v>
          </cell>
          <cell r="C30">
            <v>2.8299999999999999E-2</v>
          </cell>
          <cell r="D30">
            <v>4.2999999999999997E-2</v>
          </cell>
          <cell r="E30">
            <v>6.9000000000000006E-2</v>
          </cell>
          <cell r="F30">
            <v>834</v>
          </cell>
          <cell r="G30">
            <v>1179</v>
          </cell>
          <cell r="J30">
            <v>18</v>
          </cell>
          <cell r="K30" t="str">
            <v>1C x 630</v>
          </cell>
          <cell r="L30">
            <v>2.8299999999999999E-2</v>
          </cell>
          <cell r="M30">
            <v>4.1000000000000002E-2</v>
          </cell>
          <cell r="N30">
            <v>6.9000000000000006E-2</v>
          </cell>
          <cell r="O30">
            <v>692</v>
          </cell>
          <cell r="P30">
            <v>930</v>
          </cell>
        </row>
        <row r="31">
          <cell r="A31">
            <v>19</v>
          </cell>
          <cell r="B31" t="str">
            <v>1C x 800</v>
          </cell>
          <cell r="C31">
            <v>2.2100000000000002E-2</v>
          </cell>
          <cell r="D31">
            <v>3.5999999999999997E-2</v>
          </cell>
          <cell r="E31">
            <v>6.9000000000000006E-2</v>
          </cell>
          <cell r="F31">
            <v>921</v>
          </cell>
          <cell r="G31">
            <v>1339</v>
          </cell>
          <cell r="J31">
            <v>19</v>
          </cell>
          <cell r="K31" t="str">
            <v>1C x 800</v>
          </cell>
          <cell r="L31">
            <v>2.2100000000000002E-2</v>
          </cell>
          <cell r="M31">
            <v>3.5000000000000003E-2</v>
          </cell>
          <cell r="N31">
            <v>6.9000000000000006E-2</v>
          </cell>
          <cell r="O31">
            <v>762</v>
          </cell>
          <cell r="P31">
            <v>1052</v>
          </cell>
        </row>
      </sheetData>
      <sheetData sheetId="10">
        <row r="37">
          <cell r="A37">
            <v>0.05</v>
          </cell>
          <cell r="B37">
            <v>0.75</v>
          </cell>
          <cell r="C37">
            <v>0.67</v>
          </cell>
          <cell r="D37">
            <v>0.14362368297082714</v>
          </cell>
          <cell r="E37">
            <v>5.3</v>
          </cell>
          <cell r="F37">
            <v>0.76120551974538386</v>
          </cell>
        </row>
        <row r="38">
          <cell r="A38">
            <v>0.08</v>
          </cell>
          <cell r="B38">
            <v>0.75</v>
          </cell>
          <cell r="C38">
            <v>0.67</v>
          </cell>
          <cell r="D38">
            <v>0.22979789275332344</v>
          </cell>
          <cell r="E38">
            <v>5.3</v>
          </cell>
          <cell r="F38">
            <v>1.2179288315926142</v>
          </cell>
        </row>
        <row r="39">
          <cell r="A39">
            <v>0.09</v>
          </cell>
          <cell r="B39">
            <v>0.75</v>
          </cell>
          <cell r="C39">
            <v>0.67</v>
          </cell>
          <cell r="D39">
            <v>0.25852262934748887</v>
          </cell>
          <cell r="E39">
            <v>5.3</v>
          </cell>
          <cell r="F39">
            <v>1.370169935541691</v>
          </cell>
        </row>
        <row r="40">
          <cell r="A40">
            <v>0.12</v>
          </cell>
          <cell r="B40">
            <v>0.75</v>
          </cell>
          <cell r="C40">
            <v>0.67</v>
          </cell>
          <cell r="D40">
            <v>0.34469683912998517</v>
          </cell>
          <cell r="E40">
            <v>5.3</v>
          </cell>
          <cell r="F40">
            <v>1.8268932473889212</v>
          </cell>
        </row>
        <row r="41">
          <cell r="A41">
            <v>0.18</v>
          </cell>
          <cell r="B41">
            <v>0.75</v>
          </cell>
          <cell r="C41">
            <v>0.67</v>
          </cell>
          <cell r="D41">
            <v>0.51704525869497775</v>
          </cell>
          <cell r="E41">
            <v>5.3</v>
          </cell>
          <cell r="F41">
            <v>2.740339871083382</v>
          </cell>
        </row>
        <row r="42">
          <cell r="A42">
            <v>0.25</v>
          </cell>
          <cell r="B42">
            <v>0.75</v>
          </cell>
          <cell r="C42">
            <v>0.67</v>
          </cell>
          <cell r="D42">
            <v>0.71811841485413574</v>
          </cell>
          <cell r="E42">
            <v>5.3</v>
          </cell>
          <cell r="F42">
            <v>3.8060275987269194</v>
          </cell>
        </row>
        <row r="43">
          <cell r="A43">
            <v>0.37</v>
          </cell>
          <cell r="B43">
            <v>0.75</v>
          </cell>
          <cell r="C43">
            <v>0.67</v>
          </cell>
          <cell r="D43">
            <v>1.0628152539841209</v>
          </cell>
          <cell r="E43">
            <v>5.3</v>
          </cell>
          <cell r="F43">
            <v>5.6329208461158409</v>
          </cell>
        </row>
        <row r="44">
          <cell r="A44">
            <v>0.55000000000000004</v>
          </cell>
          <cell r="B44">
            <v>0.75</v>
          </cell>
          <cell r="C44">
            <v>0.67</v>
          </cell>
          <cell r="D44">
            <v>1.5798605126790988</v>
          </cell>
          <cell r="E44">
            <v>5.3</v>
          </cell>
          <cell r="F44">
            <v>8.3732607171992228</v>
          </cell>
        </row>
        <row r="45">
          <cell r="A45">
            <v>0.75</v>
          </cell>
          <cell r="B45">
            <v>0.75</v>
          </cell>
          <cell r="C45">
            <v>0.75</v>
          </cell>
          <cell r="D45">
            <v>1.9245573518090839</v>
          </cell>
          <cell r="E45">
            <v>5.3</v>
          </cell>
          <cell r="F45">
            <v>10.200153964588145</v>
          </cell>
        </row>
        <row r="46">
          <cell r="A46">
            <v>1.1000000000000001</v>
          </cell>
          <cell r="B46">
            <v>0.77</v>
          </cell>
          <cell r="C46">
            <v>0.73</v>
          </cell>
          <cell r="D46">
            <v>2.8246927864125499</v>
          </cell>
          <cell r="E46">
            <v>5</v>
          </cell>
          <cell r="F46">
            <v>14.12346393206275</v>
          </cell>
        </row>
        <row r="47">
          <cell r="A47">
            <v>1.5</v>
          </cell>
          <cell r="B47">
            <v>0.79</v>
          </cell>
          <cell r="C47">
            <v>0.76</v>
          </cell>
          <cell r="D47">
            <v>3.6061409406815779</v>
          </cell>
          <cell r="E47">
            <v>5.5</v>
          </cell>
          <cell r="F47">
            <v>19.833775173748677</v>
          </cell>
        </row>
        <row r="48">
          <cell r="A48">
            <v>2.2000000000000002</v>
          </cell>
          <cell r="B48">
            <v>0.81</v>
          </cell>
          <cell r="C48">
            <v>0.78</v>
          </cell>
          <cell r="D48">
            <v>5.0261469301756696</v>
          </cell>
          <cell r="E48">
            <v>5.8</v>
          </cell>
          <cell r="F48">
            <v>29.151652195018883</v>
          </cell>
        </row>
        <row r="49">
          <cell r="A49">
            <v>3</v>
          </cell>
          <cell r="B49">
            <v>0.83</v>
          </cell>
          <cell r="C49">
            <v>0.75</v>
          </cell>
          <cell r="D49">
            <v>6.9562313920810261</v>
          </cell>
          <cell r="E49">
            <v>6.5</v>
          </cell>
          <cell r="F49">
            <v>45.215504048526668</v>
          </cell>
        </row>
        <row r="50">
          <cell r="A50">
            <v>4</v>
          </cell>
          <cell r="B50">
            <v>0.84499999999999997</v>
          </cell>
          <cell r="C50">
            <v>0.81</v>
          </cell>
          <cell r="D50">
            <v>8.4354913513437815</v>
          </cell>
          <cell r="E50">
            <v>6</v>
          </cell>
          <cell r="F50">
            <v>50.612948108062689</v>
          </cell>
        </row>
        <row r="51">
          <cell r="A51">
            <v>5.5</v>
          </cell>
          <cell r="B51">
            <v>0.86</v>
          </cell>
          <cell r="C51">
            <v>0.83</v>
          </cell>
          <cell r="D51">
            <v>11.121881586176059</v>
          </cell>
          <cell r="E51">
            <v>6.8</v>
          </cell>
          <cell r="F51">
            <v>75.628794785997201</v>
          </cell>
        </row>
        <row r="52">
          <cell r="A52">
            <v>7.5</v>
          </cell>
          <cell r="B52">
            <v>0.87</v>
          </cell>
          <cell r="C52">
            <v>0.84</v>
          </cell>
          <cell r="D52">
            <v>14.813403262077308</v>
          </cell>
          <cell r="E52">
            <v>7</v>
          </cell>
          <cell r="F52">
            <v>103.69382283454115</v>
          </cell>
        </row>
        <row r="53">
          <cell r="A53">
            <v>11</v>
          </cell>
          <cell r="B53">
            <v>0.9</v>
          </cell>
          <cell r="C53">
            <v>0.86</v>
          </cell>
          <cell r="D53">
            <v>20.513692703391396</v>
          </cell>
          <cell r="E53">
            <v>7.5</v>
          </cell>
          <cell r="F53">
            <v>153.85269527543548</v>
          </cell>
        </row>
        <row r="54">
          <cell r="A54">
            <v>15</v>
          </cell>
          <cell r="B54">
            <v>0.9</v>
          </cell>
          <cell r="C54">
            <v>0.9</v>
          </cell>
          <cell r="D54">
            <v>26.72996321957061</v>
          </cell>
          <cell r="E54">
            <v>7.5</v>
          </cell>
          <cell r="F54">
            <v>200.47472414677958</v>
          </cell>
        </row>
        <row r="55">
          <cell r="A55">
            <v>18.5</v>
          </cell>
          <cell r="B55">
            <v>0.91</v>
          </cell>
          <cell r="C55">
            <v>0.88</v>
          </cell>
          <cell r="D55">
            <v>33.345695874564228</v>
          </cell>
          <cell r="E55">
            <v>7</v>
          </cell>
          <cell r="F55">
            <v>233.4198711219496</v>
          </cell>
        </row>
        <row r="56">
          <cell r="A56">
            <v>22</v>
          </cell>
          <cell r="B56">
            <v>0.91</v>
          </cell>
          <cell r="C56">
            <v>0.85</v>
          </cell>
          <cell r="D56">
            <v>41.053906017905476</v>
          </cell>
          <cell r="E56">
            <v>7</v>
          </cell>
          <cell r="F56">
            <v>287.37734212533832</v>
          </cell>
        </row>
        <row r="57">
          <cell r="A57">
            <v>30</v>
          </cell>
          <cell r="B57">
            <v>0.93200000000000005</v>
          </cell>
          <cell r="C57">
            <v>0.87</v>
          </cell>
          <cell r="D57">
            <v>53.404543949119912</v>
          </cell>
          <cell r="E57">
            <v>7.3</v>
          </cell>
          <cell r="F57">
            <v>389.85317082857534</v>
          </cell>
        </row>
        <row r="58">
          <cell r="A58">
            <v>37</v>
          </cell>
          <cell r="B58">
            <v>0.93600000000000005</v>
          </cell>
          <cell r="C58">
            <v>0.87</v>
          </cell>
          <cell r="D58">
            <v>65.584127262872187</v>
          </cell>
          <cell r="E58">
            <v>7.3</v>
          </cell>
          <cell r="F58">
            <v>478.76412901896697</v>
          </cell>
        </row>
        <row r="59">
          <cell r="A59">
            <v>45</v>
          </cell>
          <cell r="B59">
            <v>0.94199999999999995</v>
          </cell>
          <cell r="C59">
            <v>0.86</v>
          </cell>
          <cell r="D59">
            <v>80.178011434795579</v>
          </cell>
          <cell r="E59">
            <v>7.7</v>
          </cell>
          <cell r="F59">
            <v>617.37068804792602</v>
          </cell>
        </row>
        <row r="60">
          <cell r="A60">
            <v>55</v>
          </cell>
          <cell r="B60">
            <v>0.94599999999999995</v>
          </cell>
          <cell r="C60">
            <v>0.86</v>
          </cell>
          <cell r="D60">
            <v>97.580990660952736</v>
          </cell>
          <cell r="E60">
            <v>7.7</v>
          </cell>
          <cell r="F60">
            <v>751.37362808933608</v>
          </cell>
        </row>
        <row r="61">
          <cell r="A61">
            <v>75</v>
          </cell>
          <cell r="B61">
            <v>0.94899999999999995</v>
          </cell>
          <cell r="C61">
            <v>0.87</v>
          </cell>
          <cell r="D61">
            <v>131.11969167697512</v>
          </cell>
          <cell r="E61">
            <v>7.4</v>
          </cell>
          <cell r="F61">
            <v>970.28571840961592</v>
          </cell>
        </row>
        <row r="62">
          <cell r="A62">
            <v>90</v>
          </cell>
          <cell r="B62">
            <v>0.95199999999999996</v>
          </cell>
          <cell r="C62">
            <v>0.87</v>
          </cell>
          <cell r="D62">
            <v>156.84779924552444</v>
          </cell>
          <cell r="E62">
            <v>7.4</v>
          </cell>
          <cell r="F62">
            <v>1160.673714416881</v>
          </cell>
        </row>
        <row r="63">
          <cell r="A63">
            <v>110</v>
          </cell>
          <cell r="B63">
            <v>0.95599999999999996</v>
          </cell>
          <cell r="C63">
            <v>0.87</v>
          </cell>
          <cell r="D63">
            <v>190.90076170375781</v>
          </cell>
          <cell r="E63">
            <v>7.7</v>
          </cell>
          <cell r="F63">
            <v>1469.9358651189352</v>
          </cell>
        </row>
        <row r="64">
          <cell r="A64">
            <v>132</v>
          </cell>
          <cell r="B64">
            <v>0.95799999999999996</v>
          </cell>
          <cell r="C64">
            <v>0.87</v>
          </cell>
          <cell r="D64">
            <v>228.60266578971917</v>
          </cell>
          <cell r="E64">
            <v>7.7</v>
          </cell>
          <cell r="F64">
            <v>1760.2405265808377</v>
          </cell>
        </row>
        <row r="65">
          <cell r="A65">
            <v>150</v>
          </cell>
          <cell r="B65">
            <v>0.95899999999999996</v>
          </cell>
          <cell r="C65">
            <v>0.88</v>
          </cell>
          <cell r="D65">
            <v>256.55595563385384</v>
          </cell>
          <cell r="E65">
            <v>7.8</v>
          </cell>
          <cell r="F65">
            <v>2001.1364539440599</v>
          </cell>
        </row>
        <row r="66">
          <cell r="A66">
            <v>185</v>
          </cell>
          <cell r="B66">
            <v>0.96</v>
          </cell>
          <cell r="C66">
            <v>0.88</v>
          </cell>
          <cell r="D66">
            <v>316.08940881097345</v>
          </cell>
          <cell r="E66">
            <v>7.8</v>
          </cell>
          <cell r="F66">
            <v>2465.4973887255928</v>
          </cell>
        </row>
        <row r="67">
          <cell r="A67">
            <v>200</v>
          </cell>
          <cell r="B67">
            <v>0.96</v>
          </cell>
          <cell r="C67">
            <v>0.88</v>
          </cell>
          <cell r="D67">
            <v>341.71827979564694</v>
          </cell>
          <cell r="E67">
            <v>7.6</v>
          </cell>
          <cell r="F67">
            <v>2597.0589264469168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GTG-1"/>
      <sheetName val="GTG-2"/>
      <sheetName val="GTG-3"/>
      <sheetName val="HRSG-1"/>
      <sheetName val="STG"/>
      <sheetName val="RAW &amp; River"/>
      <sheetName val="BOP (2)"/>
      <sheetName val="Emer. MCC"/>
      <sheetName val="DM"/>
      <sheetName val="Frire"/>
      <sheetName val="Load 6.6"/>
      <sheetName val="Fuel"/>
      <sheetName val="AC Vent"/>
      <sheetName val="Misc. AC"/>
      <sheetName val="Misc. Vent"/>
      <sheetName val="Sheet"/>
      <sheetName val="stg load"/>
      <sheetName val="HRSG-1 (2)"/>
      <sheetName val="HRSG-C"/>
      <sheetName val="COV"/>
      <sheetName val="COV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izing"/>
      <sheetName val="HT"/>
      <sheetName val="MCC 1"/>
      <sheetName val="MCC 2"/>
      <sheetName val="MCC 3"/>
      <sheetName val="PCC VFD"/>
      <sheetName val="EMCC"/>
      <sheetName val="BOM"/>
    </sheetNames>
    <sheetDataSet>
      <sheetData sheetId="0" refreshError="1"/>
      <sheetData sheetId="1" refreshError="1">
        <row r="7">
          <cell r="B7">
            <v>0.12</v>
          </cell>
          <cell r="C7">
            <v>0.65</v>
          </cell>
          <cell r="D7">
            <v>0.75</v>
          </cell>
          <cell r="E7">
            <v>0.48</v>
          </cell>
          <cell r="F7">
            <v>0.54</v>
          </cell>
          <cell r="G7">
            <v>0.65</v>
          </cell>
          <cell r="H7">
            <v>0.75</v>
          </cell>
          <cell r="I7">
            <v>0.48</v>
          </cell>
          <cell r="J7">
            <v>0.54</v>
          </cell>
        </row>
        <row r="8">
          <cell r="B8">
            <v>0.18</v>
          </cell>
          <cell r="C8">
            <v>0.65</v>
          </cell>
          <cell r="D8">
            <v>0.75</v>
          </cell>
          <cell r="E8">
            <v>0.56000000000000005</v>
          </cell>
          <cell r="F8">
            <v>0.60000000000000009</v>
          </cell>
          <cell r="G8">
            <v>0.57999999999999996</v>
          </cell>
          <cell r="H8">
            <v>0.65</v>
          </cell>
          <cell r="I8">
            <v>0.46</v>
          </cell>
          <cell r="J8">
            <v>0.5</v>
          </cell>
        </row>
        <row r="9">
          <cell r="B9">
            <v>0.25</v>
          </cell>
          <cell r="C9">
            <v>0.63</v>
          </cell>
          <cell r="D9">
            <v>0.76</v>
          </cell>
          <cell r="E9">
            <v>0.62</v>
          </cell>
          <cell r="F9">
            <v>0.67</v>
          </cell>
          <cell r="G9">
            <v>0.55000000000000004</v>
          </cell>
          <cell r="H9">
            <v>0.60000000000000009</v>
          </cell>
          <cell r="I9">
            <v>0.53</v>
          </cell>
          <cell r="J9">
            <v>0.57999999999999996</v>
          </cell>
        </row>
        <row r="10">
          <cell r="B10">
            <v>0.37</v>
          </cell>
          <cell r="C10">
            <v>0.62</v>
          </cell>
          <cell r="D10">
            <v>0.71</v>
          </cell>
          <cell r="E10">
            <v>0.7</v>
          </cell>
          <cell r="F10">
            <v>0.73</v>
          </cell>
          <cell r="G10">
            <v>0.57999999999999996</v>
          </cell>
          <cell r="H10">
            <v>0.64</v>
          </cell>
          <cell r="I10">
            <v>0.57999999999999996</v>
          </cell>
          <cell r="J10">
            <v>0.65</v>
          </cell>
        </row>
        <row r="11">
          <cell r="B11">
            <v>0.55000000000000004</v>
          </cell>
          <cell r="C11">
            <v>0.7</v>
          </cell>
          <cell r="D11">
            <v>0.74</v>
          </cell>
          <cell r="E11">
            <v>0.71</v>
          </cell>
          <cell r="F11">
            <v>0.78</v>
          </cell>
          <cell r="G11">
            <v>0.64</v>
          </cell>
          <cell r="H11">
            <v>0.7</v>
          </cell>
          <cell r="I11">
            <v>0.67</v>
          </cell>
          <cell r="J11">
            <v>0.72</v>
          </cell>
        </row>
        <row r="12">
          <cell r="B12">
            <v>0.75</v>
          </cell>
          <cell r="C12">
            <v>0.7</v>
          </cell>
          <cell r="D12">
            <v>0.76</v>
          </cell>
          <cell r="E12">
            <v>0.76</v>
          </cell>
          <cell r="F12">
            <v>0.82</v>
          </cell>
          <cell r="G12">
            <v>0.65</v>
          </cell>
          <cell r="H12">
            <v>0.7</v>
          </cell>
          <cell r="I12">
            <v>0.69</v>
          </cell>
          <cell r="J12">
            <v>0.74</v>
          </cell>
        </row>
        <row r="13">
          <cell r="B13">
            <v>1.1000000000000001</v>
          </cell>
          <cell r="C13">
            <v>0.73</v>
          </cell>
          <cell r="D13">
            <v>0.77</v>
          </cell>
          <cell r="E13">
            <v>0.77</v>
          </cell>
          <cell r="F13">
            <v>0.83</v>
          </cell>
          <cell r="G13">
            <v>0.7</v>
          </cell>
          <cell r="H13">
            <v>0.77</v>
          </cell>
          <cell r="I13">
            <v>0.72</v>
          </cell>
          <cell r="J13">
            <v>0.77</v>
          </cell>
        </row>
        <row r="14">
          <cell r="B14">
            <v>1.5</v>
          </cell>
          <cell r="C14">
            <v>0.72</v>
          </cell>
          <cell r="D14">
            <v>0.77</v>
          </cell>
          <cell r="E14">
            <v>0.79</v>
          </cell>
          <cell r="F14">
            <v>0.85</v>
          </cell>
          <cell r="G14">
            <v>0.72</v>
          </cell>
          <cell r="H14">
            <v>0.79</v>
          </cell>
          <cell r="I14">
            <v>0.72</v>
          </cell>
          <cell r="J14">
            <v>0.77</v>
          </cell>
        </row>
        <row r="15">
          <cell r="B15">
            <v>2.2000000000000002</v>
          </cell>
          <cell r="C15">
            <v>0.69</v>
          </cell>
          <cell r="D15">
            <v>0.82</v>
          </cell>
          <cell r="E15">
            <v>0.8</v>
          </cell>
          <cell r="F15">
            <v>0.86</v>
          </cell>
          <cell r="G15">
            <v>0.76</v>
          </cell>
          <cell r="H15">
            <v>0.82</v>
          </cell>
          <cell r="I15">
            <v>0.75</v>
          </cell>
          <cell r="J15">
            <v>0.8</v>
          </cell>
        </row>
        <row r="16">
          <cell r="B16">
            <v>3.7</v>
          </cell>
          <cell r="C16">
            <v>0.76</v>
          </cell>
          <cell r="D16">
            <v>0.82</v>
          </cell>
          <cell r="E16">
            <v>0.85</v>
          </cell>
          <cell r="F16">
            <v>0.88300000000000001</v>
          </cell>
          <cell r="G16">
            <v>0.76</v>
          </cell>
          <cell r="H16">
            <v>0.82</v>
          </cell>
          <cell r="I16">
            <v>0.81</v>
          </cell>
          <cell r="J16">
            <v>0.82</v>
          </cell>
        </row>
        <row r="17">
          <cell r="B17">
            <v>5.5</v>
          </cell>
          <cell r="C17">
            <v>0.8</v>
          </cell>
          <cell r="D17">
            <v>0.85</v>
          </cell>
          <cell r="E17">
            <v>0.85</v>
          </cell>
          <cell r="F17">
            <v>0.89500000000000002</v>
          </cell>
          <cell r="G17">
            <v>0.79</v>
          </cell>
          <cell r="H17">
            <v>0.84</v>
          </cell>
          <cell r="I17">
            <v>0.83</v>
          </cell>
          <cell r="J17">
            <v>0.85</v>
          </cell>
        </row>
        <row r="18">
          <cell r="B18">
            <v>7.5</v>
          </cell>
          <cell r="C18">
            <v>0.78</v>
          </cell>
          <cell r="D18">
            <v>0.86</v>
          </cell>
          <cell r="E18">
            <v>0.87</v>
          </cell>
          <cell r="F18">
            <v>0.90300000000000002</v>
          </cell>
          <cell r="G18">
            <v>0.81</v>
          </cell>
          <cell r="H18">
            <v>0.85</v>
          </cell>
          <cell r="I18">
            <v>0.85</v>
          </cell>
          <cell r="J18">
            <v>0.86</v>
          </cell>
        </row>
        <row r="19">
          <cell r="B19">
            <v>9.3000000000000007</v>
          </cell>
          <cell r="C19">
            <v>0.82</v>
          </cell>
          <cell r="D19">
            <v>0.84</v>
          </cell>
          <cell r="E19">
            <v>0.88</v>
          </cell>
          <cell r="F19">
            <v>0.90500000000000003</v>
          </cell>
          <cell r="G19">
            <v>0.81</v>
          </cell>
          <cell r="H19">
            <v>0.85</v>
          </cell>
          <cell r="I19">
            <v>0.88</v>
          </cell>
          <cell r="J19">
            <v>0.88</v>
          </cell>
        </row>
        <row r="20">
          <cell r="B20">
            <v>11</v>
          </cell>
          <cell r="C20">
            <v>0.81</v>
          </cell>
          <cell r="D20">
            <v>0.85</v>
          </cell>
          <cell r="E20">
            <v>0.89</v>
          </cell>
          <cell r="F20">
            <v>0.91500000000000004</v>
          </cell>
          <cell r="G20">
            <v>0.82</v>
          </cell>
          <cell r="H20">
            <v>0.85</v>
          </cell>
          <cell r="I20">
            <v>0.89</v>
          </cell>
          <cell r="J20">
            <v>0.89</v>
          </cell>
        </row>
        <row r="21">
          <cell r="B21">
            <v>15</v>
          </cell>
          <cell r="C21">
            <v>0.83</v>
          </cell>
          <cell r="D21">
            <v>0.85</v>
          </cell>
          <cell r="E21">
            <v>0.90500000000000003</v>
          </cell>
          <cell r="F21">
            <v>0.92200000000000004</v>
          </cell>
          <cell r="G21">
            <v>0.83</v>
          </cell>
          <cell r="H21">
            <v>0.86</v>
          </cell>
          <cell r="I21">
            <v>0.9</v>
          </cell>
          <cell r="J21">
            <v>0.9</v>
          </cell>
        </row>
        <row r="22">
          <cell r="B22">
            <v>18.5</v>
          </cell>
          <cell r="C22">
            <v>0.82</v>
          </cell>
          <cell r="D22">
            <v>0.85</v>
          </cell>
          <cell r="E22">
            <v>0.91200000000000003</v>
          </cell>
          <cell r="F22">
            <v>0.92400000000000004</v>
          </cell>
          <cell r="G22">
            <v>0.84</v>
          </cell>
          <cell r="H22">
            <v>0.86</v>
          </cell>
          <cell r="I22">
            <v>0.91</v>
          </cell>
          <cell r="J22">
            <v>0.91</v>
          </cell>
        </row>
        <row r="23">
          <cell r="B23">
            <v>22</v>
          </cell>
          <cell r="C23">
            <v>0.82</v>
          </cell>
          <cell r="D23">
            <v>0.85</v>
          </cell>
          <cell r="E23">
            <v>0.91500000000000004</v>
          </cell>
          <cell r="F23">
            <v>0.92800000000000005</v>
          </cell>
          <cell r="G23">
            <v>0.84</v>
          </cell>
          <cell r="H23">
            <v>0.87</v>
          </cell>
          <cell r="I23">
            <v>0.91</v>
          </cell>
          <cell r="J23">
            <v>0.91</v>
          </cell>
        </row>
        <row r="24">
          <cell r="B24">
            <v>30</v>
          </cell>
          <cell r="C24">
            <v>0.84</v>
          </cell>
          <cell r="D24">
            <v>0.86</v>
          </cell>
          <cell r="E24">
            <v>0.92</v>
          </cell>
          <cell r="F24">
            <v>0.93200000000000005</v>
          </cell>
          <cell r="G24">
            <v>0.86</v>
          </cell>
          <cell r="H24">
            <v>0.89</v>
          </cell>
          <cell r="I24">
            <v>0.92</v>
          </cell>
          <cell r="J24">
            <v>0.92</v>
          </cell>
        </row>
        <row r="25">
          <cell r="B25">
            <v>37</v>
          </cell>
          <cell r="C25">
            <v>0.83</v>
          </cell>
          <cell r="D25">
            <v>0.87</v>
          </cell>
          <cell r="E25">
            <v>0.93</v>
          </cell>
          <cell r="F25">
            <v>0.93600000000000005</v>
          </cell>
          <cell r="G25">
            <v>0.89</v>
          </cell>
          <cell r="H25">
            <v>0.9</v>
          </cell>
          <cell r="I25">
            <v>0.92500000000000004</v>
          </cell>
          <cell r="J25">
            <v>0.92500000000000004</v>
          </cell>
        </row>
        <row r="26">
          <cell r="B26">
            <v>45</v>
          </cell>
          <cell r="C26">
            <v>0.84</v>
          </cell>
          <cell r="D26">
            <v>0.88</v>
          </cell>
          <cell r="E26">
            <v>0.93200000000000005</v>
          </cell>
          <cell r="F26">
            <v>0.93900000000000006</v>
          </cell>
          <cell r="G26">
            <v>0.89</v>
          </cell>
          <cell r="H26">
            <v>0.9</v>
          </cell>
          <cell r="I26">
            <v>0.92500000000000004</v>
          </cell>
          <cell r="J26">
            <v>0.93</v>
          </cell>
        </row>
        <row r="27">
          <cell r="B27">
            <v>55</v>
          </cell>
          <cell r="C27">
            <v>0.85</v>
          </cell>
          <cell r="D27">
            <v>0.87</v>
          </cell>
          <cell r="E27">
            <v>0.93300000000000005</v>
          </cell>
          <cell r="F27">
            <v>0.94200000000000006</v>
          </cell>
          <cell r="G27">
            <v>0.82</v>
          </cell>
          <cell r="H27">
            <v>0.86</v>
          </cell>
          <cell r="I27">
            <v>0.93500000000000005</v>
          </cell>
          <cell r="J27">
            <v>0.93500000000000005</v>
          </cell>
        </row>
        <row r="28">
          <cell r="B28">
            <v>75</v>
          </cell>
          <cell r="C28">
            <v>0.89</v>
          </cell>
          <cell r="D28">
            <v>0.88</v>
          </cell>
          <cell r="E28">
            <v>0.94</v>
          </cell>
          <cell r="F28">
            <v>0.94699999999999995</v>
          </cell>
          <cell r="G28">
            <v>0.87</v>
          </cell>
          <cell r="H28">
            <v>0.89</v>
          </cell>
          <cell r="I28">
            <v>0.94</v>
          </cell>
          <cell r="J28">
            <v>0.94</v>
          </cell>
        </row>
        <row r="29">
          <cell r="B29">
            <v>90</v>
          </cell>
          <cell r="C29">
            <v>0.87</v>
          </cell>
          <cell r="D29">
            <v>0.9</v>
          </cell>
          <cell r="E29">
            <v>0.94300000000000006</v>
          </cell>
          <cell r="F29">
            <v>0.95</v>
          </cell>
          <cell r="G29">
            <v>0.88</v>
          </cell>
          <cell r="H29">
            <v>0.9</v>
          </cell>
          <cell r="I29">
            <v>0.94500000000000006</v>
          </cell>
          <cell r="J29">
            <v>0.94500000000000006</v>
          </cell>
        </row>
        <row r="30">
          <cell r="B30">
            <v>110</v>
          </cell>
          <cell r="C30">
            <v>0.85</v>
          </cell>
          <cell r="D30">
            <v>0.88</v>
          </cell>
          <cell r="E30">
            <v>0.95200000000000007</v>
          </cell>
          <cell r="F30">
            <v>0.95200000000000007</v>
          </cell>
          <cell r="G30">
            <v>0.88</v>
          </cell>
          <cell r="H30">
            <v>0.9</v>
          </cell>
          <cell r="I30">
            <v>0.94500000000000006</v>
          </cell>
          <cell r="J30">
            <v>0.94500000000000006</v>
          </cell>
        </row>
        <row r="31">
          <cell r="B31">
            <v>125</v>
          </cell>
          <cell r="C31">
            <v>0.86</v>
          </cell>
          <cell r="D31">
            <v>0.88</v>
          </cell>
          <cell r="E31">
            <v>0.95500000000000007</v>
          </cell>
          <cell r="F31">
            <v>0.95500000000000007</v>
          </cell>
          <cell r="G31">
            <v>0.86</v>
          </cell>
          <cell r="H31">
            <v>0.88</v>
          </cell>
          <cell r="I31">
            <v>0.95500000000000007</v>
          </cell>
          <cell r="J31">
            <v>0.95500000000000007</v>
          </cell>
        </row>
        <row r="32">
          <cell r="B32">
            <v>132</v>
          </cell>
          <cell r="C32">
            <v>0.87</v>
          </cell>
          <cell r="D32">
            <v>0.89</v>
          </cell>
          <cell r="E32">
            <v>0.95500000000000007</v>
          </cell>
          <cell r="F32">
            <v>0.95500000000000007</v>
          </cell>
          <cell r="G32">
            <v>0.9</v>
          </cell>
          <cell r="H32">
            <v>0.92</v>
          </cell>
          <cell r="I32">
            <v>0.95</v>
          </cell>
          <cell r="J32">
            <v>0.95</v>
          </cell>
        </row>
        <row r="33">
          <cell r="B33">
            <v>150</v>
          </cell>
          <cell r="C33">
            <v>0.87</v>
          </cell>
          <cell r="D33">
            <v>0.89</v>
          </cell>
          <cell r="E33">
            <v>0.95500000000000007</v>
          </cell>
          <cell r="F33">
            <v>0.95700000000000007</v>
          </cell>
          <cell r="G33">
            <v>0.87</v>
          </cell>
          <cell r="H33">
            <v>0.89</v>
          </cell>
          <cell r="I33">
            <v>0.95500000000000007</v>
          </cell>
          <cell r="J33">
            <v>0.95700000000000007</v>
          </cell>
        </row>
        <row r="34">
          <cell r="B34">
            <v>160</v>
          </cell>
          <cell r="C34">
            <v>0.87</v>
          </cell>
          <cell r="D34">
            <v>0.89</v>
          </cell>
          <cell r="E34">
            <v>0.95500000000000007</v>
          </cell>
          <cell r="F34">
            <v>0.95800000000000007</v>
          </cell>
          <cell r="G34">
            <v>0.9</v>
          </cell>
          <cell r="H34">
            <v>0.9</v>
          </cell>
          <cell r="I34">
            <v>0.94500000000000006</v>
          </cell>
          <cell r="J34">
            <v>0.95300000000000007</v>
          </cell>
        </row>
        <row r="35">
          <cell r="B35">
            <v>180</v>
          </cell>
          <cell r="C35">
            <v>0.87</v>
          </cell>
          <cell r="D35">
            <v>0.89</v>
          </cell>
          <cell r="E35">
            <v>0.95500000000000007</v>
          </cell>
          <cell r="F35">
            <v>0.95800000000000007</v>
          </cell>
          <cell r="G35">
            <v>0.87</v>
          </cell>
          <cell r="H35">
            <v>0.89</v>
          </cell>
          <cell r="I35">
            <v>0.95500000000000007</v>
          </cell>
          <cell r="J35">
            <v>0.95800000000000007</v>
          </cell>
        </row>
        <row r="36">
          <cell r="B36">
            <v>200</v>
          </cell>
          <cell r="C36">
            <v>0.87</v>
          </cell>
          <cell r="D36">
            <v>0.89</v>
          </cell>
          <cell r="E36">
            <v>0.95500000000000007</v>
          </cell>
          <cell r="F36">
            <v>0.95800000000000007</v>
          </cell>
          <cell r="G36">
            <v>0.86</v>
          </cell>
          <cell r="H36">
            <v>0.9</v>
          </cell>
          <cell r="I36">
            <v>0.95500000000000007</v>
          </cell>
          <cell r="J36">
            <v>0.95500000000000007</v>
          </cell>
        </row>
        <row r="37">
          <cell r="B37">
            <v>225</v>
          </cell>
          <cell r="C37">
            <v>0.82</v>
          </cell>
          <cell r="D37">
            <v>0.87</v>
          </cell>
          <cell r="E37">
            <v>0.93500000000000005</v>
          </cell>
          <cell r="F37">
            <v>0.95500000000000007</v>
          </cell>
          <cell r="G37">
            <v>0.82</v>
          </cell>
          <cell r="H37">
            <v>0.87</v>
          </cell>
          <cell r="I37">
            <v>0.94</v>
          </cell>
          <cell r="J37">
            <v>0.94800000000000006</v>
          </cell>
        </row>
        <row r="38">
          <cell r="B38">
            <v>250</v>
          </cell>
          <cell r="C38">
            <v>0.85</v>
          </cell>
          <cell r="D38">
            <v>0.88</v>
          </cell>
          <cell r="E38">
            <v>0.96199999999999997</v>
          </cell>
          <cell r="F38">
            <v>0.96299999999999997</v>
          </cell>
          <cell r="G38">
            <v>0.82</v>
          </cell>
          <cell r="H38">
            <v>0.87</v>
          </cell>
          <cell r="I38">
            <v>0.93500000000000005</v>
          </cell>
          <cell r="J38">
            <v>0.94500000000000006</v>
          </cell>
        </row>
        <row r="39">
          <cell r="B39">
            <v>315</v>
          </cell>
          <cell r="C39">
            <v>0.85</v>
          </cell>
          <cell r="D39">
            <v>0.88</v>
          </cell>
          <cell r="E39">
            <v>0.96299999999999997</v>
          </cell>
          <cell r="F39">
            <v>0.96399999999999997</v>
          </cell>
          <cell r="G39">
            <v>0.85</v>
          </cell>
          <cell r="H39">
            <v>0.88</v>
          </cell>
          <cell r="I39">
            <v>0.96299999999999997</v>
          </cell>
          <cell r="J39">
            <v>0.96399999999999997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XXXXXXX"/>
      <sheetName val="OVERALL"/>
      <sheetName val="SUM-OVERALL"/>
      <sheetName val="reference"/>
      <sheetName val="Sizing"/>
    </sheetNames>
    <sheetDataSet>
      <sheetData sheetId="0"/>
      <sheetData sheetId="1"/>
      <sheetData sheetId="2"/>
      <sheetData sheetId="3"/>
      <sheetData sheetId="4">
        <row r="5">
          <cell r="B5">
            <v>0</v>
          </cell>
          <cell r="C5">
            <v>0.7</v>
          </cell>
          <cell r="D5">
            <v>0.85</v>
          </cell>
          <cell r="E5">
            <v>0.73</v>
          </cell>
          <cell r="F5">
            <v>15</v>
          </cell>
        </row>
        <row r="6">
          <cell r="B6">
            <v>15</v>
          </cell>
          <cell r="C6">
            <v>0.7</v>
          </cell>
          <cell r="D6">
            <v>0.85</v>
          </cell>
          <cell r="E6">
            <v>0.73</v>
          </cell>
          <cell r="F6">
            <v>3.65</v>
          </cell>
        </row>
        <row r="7">
          <cell r="B7">
            <v>18.649999999999999</v>
          </cell>
          <cell r="C7">
            <v>0.75</v>
          </cell>
          <cell r="D7">
            <v>0.91</v>
          </cell>
          <cell r="E7">
            <v>0.78</v>
          </cell>
          <cell r="F7">
            <v>26.35</v>
          </cell>
        </row>
        <row r="8">
          <cell r="B8">
            <v>45</v>
          </cell>
          <cell r="C8">
            <v>0.75</v>
          </cell>
          <cell r="D8">
            <v>0.91</v>
          </cell>
          <cell r="E8">
            <v>0.78</v>
          </cell>
          <cell r="F8">
            <v>7.75</v>
          </cell>
        </row>
        <row r="9">
          <cell r="B9">
            <v>52.75</v>
          </cell>
          <cell r="C9">
            <v>0.83</v>
          </cell>
          <cell r="D9">
            <v>0.93</v>
          </cell>
          <cell r="E9">
            <v>0.9</v>
          </cell>
          <cell r="F9">
            <v>97.25</v>
          </cell>
        </row>
        <row r="10">
          <cell r="B10">
            <v>150</v>
          </cell>
          <cell r="C10">
            <v>0.83</v>
          </cell>
          <cell r="D10">
            <v>0.93</v>
          </cell>
          <cell r="E10">
            <v>0.9</v>
          </cell>
          <cell r="F10">
            <v>36.5</v>
          </cell>
        </row>
        <row r="11">
          <cell r="B11">
            <v>186.5</v>
          </cell>
          <cell r="C11">
            <v>0.85</v>
          </cell>
          <cell r="D11">
            <v>0.94</v>
          </cell>
          <cell r="E11">
            <v>0.91</v>
          </cell>
          <cell r="F11">
            <v>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4"/>
  <sheetViews>
    <sheetView showGridLines="0" tabSelected="1" zoomScaleNormal="100" zoomScaleSheetLayoutView="100" workbookViewId="0">
      <selection activeCell="N10" sqref="N10"/>
    </sheetView>
  </sheetViews>
  <sheetFormatPr defaultRowHeight="14.4"/>
  <cols>
    <col min="1" max="1" width="14" style="1" customWidth="1"/>
    <col min="2" max="2" width="10" style="1" customWidth="1"/>
    <col min="3" max="3" width="16.21875" style="1" customWidth="1"/>
    <col min="4" max="4" width="4.77734375" style="1" customWidth="1"/>
    <col min="5" max="5" width="13.44140625" style="1" customWidth="1"/>
    <col min="6" max="6" width="20.21875" style="1" customWidth="1"/>
    <col min="7" max="7" width="10.5546875" style="1" customWidth="1"/>
    <col min="8" max="8" width="9.77734375" style="1" customWidth="1"/>
    <col min="9" max="9" width="16.21875" style="1" bestFit="1" customWidth="1"/>
    <col min="10" max="10" width="13.77734375" style="1" customWidth="1"/>
    <col min="11" max="11" width="12" style="1" customWidth="1"/>
    <col min="12" max="12" width="4.44140625" style="1" customWidth="1"/>
    <col min="13" max="256" width="9.21875" style="1"/>
    <col min="257" max="257" width="14" style="1" customWidth="1"/>
    <col min="258" max="258" width="10" style="1" customWidth="1"/>
    <col min="259" max="259" width="16.21875" style="1" customWidth="1"/>
    <col min="260" max="260" width="4.77734375" style="1" customWidth="1"/>
    <col min="261" max="261" width="13.44140625" style="1" customWidth="1"/>
    <col min="262" max="262" width="20.21875" style="1" customWidth="1"/>
    <col min="263" max="263" width="10.5546875" style="1" customWidth="1"/>
    <col min="264" max="264" width="9.77734375" style="1" customWidth="1"/>
    <col min="265" max="265" width="16.21875" style="1" bestFit="1" customWidth="1"/>
    <col min="266" max="266" width="13.77734375" style="1" customWidth="1"/>
    <col min="267" max="267" width="12" style="1" customWidth="1"/>
    <col min="268" max="268" width="4.44140625" style="1" customWidth="1"/>
    <col min="269" max="512" width="9.21875" style="1"/>
    <col min="513" max="513" width="14" style="1" customWidth="1"/>
    <col min="514" max="514" width="10" style="1" customWidth="1"/>
    <col min="515" max="515" width="16.21875" style="1" customWidth="1"/>
    <col min="516" max="516" width="4.77734375" style="1" customWidth="1"/>
    <col min="517" max="517" width="13.44140625" style="1" customWidth="1"/>
    <col min="518" max="518" width="20.21875" style="1" customWidth="1"/>
    <col min="519" max="519" width="10.5546875" style="1" customWidth="1"/>
    <col min="520" max="520" width="9.77734375" style="1" customWidth="1"/>
    <col min="521" max="521" width="16.21875" style="1" bestFit="1" customWidth="1"/>
    <col min="522" max="522" width="13.77734375" style="1" customWidth="1"/>
    <col min="523" max="523" width="12" style="1" customWidth="1"/>
    <col min="524" max="524" width="4.44140625" style="1" customWidth="1"/>
    <col min="525" max="768" width="9.21875" style="1"/>
    <col min="769" max="769" width="14" style="1" customWidth="1"/>
    <col min="770" max="770" width="10" style="1" customWidth="1"/>
    <col min="771" max="771" width="16.21875" style="1" customWidth="1"/>
    <col min="772" max="772" width="4.77734375" style="1" customWidth="1"/>
    <col min="773" max="773" width="13.44140625" style="1" customWidth="1"/>
    <col min="774" max="774" width="20.21875" style="1" customWidth="1"/>
    <col min="775" max="775" width="10.5546875" style="1" customWidth="1"/>
    <col min="776" max="776" width="9.77734375" style="1" customWidth="1"/>
    <col min="777" max="777" width="16.21875" style="1" bestFit="1" customWidth="1"/>
    <col min="778" max="778" width="13.77734375" style="1" customWidth="1"/>
    <col min="779" max="779" width="12" style="1" customWidth="1"/>
    <col min="780" max="780" width="4.44140625" style="1" customWidth="1"/>
    <col min="781" max="1024" width="9.21875" style="1"/>
    <col min="1025" max="1025" width="14" style="1" customWidth="1"/>
    <col min="1026" max="1026" width="10" style="1" customWidth="1"/>
    <col min="1027" max="1027" width="16.21875" style="1" customWidth="1"/>
    <col min="1028" max="1028" width="4.77734375" style="1" customWidth="1"/>
    <col min="1029" max="1029" width="13.44140625" style="1" customWidth="1"/>
    <col min="1030" max="1030" width="20.21875" style="1" customWidth="1"/>
    <col min="1031" max="1031" width="10.5546875" style="1" customWidth="1"/>
    <col min="1032" max="1032" width="9.77734375" style="1" customWidth="1"/>
    <col min="1033" max="1033" width="16.21875" style="1" bestFit="1" customWidth="1"/>
    <col min="1034" max="1034" width="13.77734375" style="1" customWidth="1"/>
    <col min="1035" max="1035" width="12" style="1" customWidth="1"/>
    <col min="1036" max="1036" width="4.44140625" style="1" customWidth="1"/>
    <col min="1037" max="1280" width="9.21875" style="1"/>
    <col min="1281" max="1281" width="14" style="1" customWidth="1"/>
    <col min="1282" max="1282" width="10" style="1" customWidth="1"/>
    <col min="1283" max="1283" width="16.21875" style="1" customWidth="1"/>
    <col min="1284" max="1284" width="4.77734375" style="1" customWidth="1"/>
    <col min="1285" max="1285" width="13.44140625" style="1" customWidth="1"/>
    <col min="1286" max="1286" width="20.21875" style="1" customWidth="1"/>
    <col min="1287" max="1287" width="10.5546875" style="1" customWidth="1"/>
    <col min="1288" max="1288" width="9.77734375" style="1" customWidth="1"/>
    <col min="1289" max="1289" width="16.21875" style="1" bestFit="1" customWidth="1"/>
    <col min="1290" max="1290" width="13.77734375" style="1" customWidth="1"/>
    <col min="1291" max="1291" width="12" style="1" customWidth="1"/>
    <col min="1292" max="1292" width="4.44140625" style="1" customWidth="1"/>
    <col min="1293" max="1536" width="9.21875" style="1"/>
    <col min="1537" max="1537" width="14" style="1" customWidth="1"/>
    <col min="1538" max="1538" width="10" style="1" customWidth="1"/>
    <col min="1539" max="1539" width="16.21875" style="1" customWidth="1"/>
    <col min="1540" max="1540" width="4.77734375" style="1" customWidth="1"/>
    <col min="1541" max="1541" width="13.44140625" style="1" customWidth="1"/>
    <col min="1542" max="1542" width="20.21875" style="1" customWidth="1"/>
    <col min="1543" max="1543" width="10.5546875" style="1" customWidth="1"/>
    <col min="1544" max="1544" width="9.77734375" style="1" customWidth="1"/>
    <col min="1545" max="1545" width="16.21875" style="1" bestFit="1" customWidth="1"/>
    <col min="1546" max="1546" width="13.77734375" style="1" customWidth="1"/>
    <col min="1547" max="1547" width="12" style="1" customWidth="1"/>
    <col min="1548" max="1548" width="4.44140625" style="1" customWidth="1"/>
    <col min="1549" max="1792" width="9.21875" style="1"/>
    <col min="1793" max="1793" width="14" style="1" customWidth="1"/>
    <col min="1794" max="1794" width="10" style="1" customWidth="1"/>
    <col min="1795" max="1795" width="16.21875" style="1" customWidth="1"/>
    <col min="1796" max="1796" width="4.77734375" style="1" customWidth="1"/>
    <col min="1797" max="1797" width="13.44140625" style="1" customWidth="1"/>
    <col min="1798" max="1798" width="20.21875" style="1" customWidth="1"/>
    <col min="1799" max="1799" width="10.5546875" style="1" customWidth="1"/>
    <col min="1800" max="1800" width="9.77734375" style="1" customWidth="1"/>
    <col min="1801" max="1801" width="16.21875" style="1" bestFit="1" customWidth="1"/>
    <col min="1802" max="1802" width="13.77734375" style="1" customWidth="1"/>
    <col min="1803" max="1803" width="12" style="1" customWidth="1"/>
    <col min="1804" max="1804" width="4.44140625" style="1" customWidth="1"/>
    <col min="1805" max="2048" width="9.21875" style="1"/>
    <col min="2049" max="2049" width="14" style="1" customWidth="1"/>
    <col min="2050" max="2050" width="10" style="1" customWidth="1"/>
    <col min="2051" max="2051" width="16.21875" style="1" customWidth="1"/>
    <col min="2052" max="2052" width="4.77734375" style="1" customWidth="1"/>
    <col min="2053" max="2053" width="13.44140625" style="1" customWidth="1"/>
    <col min="2054" max="2054" width="20.21875" style="1" customWidth="1"/>
    <col min="2055" max="2055" width="10.5546875" style="1" customWidth="1"/>
    <col min="2056" max="2056" width="9.77734375" style="1" customWidth="1"/>
    <col min="2057" max="2057" width="16.21875" style="1" bestFit="1" customWidth="1"/>
    <col min="2058" max="2058" width="13.77734375" style="1" customWidth="1"/>
    <col min="2059" max="2059" width="12" style="1" customWidth="1"/>
    <col min="2060" max="2060" width="4.44140625" style="1" customWidth="1"/>
    <col min="2061" max="2304" width="9.21875" style="1"/>
    <col min="2305" max="2305" width="14" style="1" customWidth="1"/>
    <col min="2306" max="2306" width="10" style="1" customWidth="1"/>
    <col min="2307" max="2307" width="16.21875" style="1" customWidth="1"/>
    <col min="2308" max="2308" width="4.77734375" style="1" customWidth="1"/>
    <col min="2309" max="2309" width="13.44140625" style="1" customWidth="1"/>
    <col min="2310" max="2310" width="20.21875" style="1" customWidth="1"/>
    <col min="2311" max="2311" width="10.5546875" style="1" customWidth="1"/>
    <col min="2312" max="2312" width="9.77734375" style="1" customWidth="1"/>
    <col min="2313" max="2313" width="16.21875" style="1" bestFit="1" customWidth="1"/>
    <col min="2314" max="2314" width="13.77734375" style="1" customWidth="1"/>
    <col min="2315" max="2315" width="12" style="1" customWidth="1"/>
    <col min="2316" max="2316" width="4.44140625" style="1" customWidth="1"/>
    <col min="2317" max="2560" width="9.21875" style="1"/>
    <col min="2561" max="2561" width="14" style="1" customWidth="1"/>
    <col min="2562" max="2562" width="10" style="1" customWidth="1"/>
    <col min="2563" max="2563" width="16.21875" style="1" customWidth="1"/>
    <col min="2564" max="2564" width="4.77734375" style="1" customWidth="1"/>
    <col min="2565" max="2565" width="13.44140625" style="1" customWidth="1"/>
    <col min="2566" max="2566" width="20.21875" style="1" customWidth="1"/>
    <col min="2567" max="2567" width="10.5546875" style="1" customWidth="1"/>
    <col min="2568" max="2568" width="9.77734375" style="1" customWidth="1"/>
    <col min="2569" max="2569" width="16.21875" style="1" bestFit="1" customWidth="1"/>
    <col min="2570" max="2570" width="13.77734375" style="1" customWidth="1"/>
    <col min="2571" max="2571" width="12" style="1" customWidth="1"/>
    <col min="2572" max="2572" width="4.44140625" style="1" customWidth="1"/>
    <col min="2573" max="2816" width="9.21875" style="1"/>
    <col min="2817" max="2817" width="14" style="1" customWidth="1"/>
    <col min="2818" max="2818" width="10" style="1" customWidth="1"/>
    <col min="2819" max="2819" width="16.21875" style="1" customWidth="1"/>
    <col min="2820" max="2820" width="4.77734375" style="1" customWidth="1"/>
    <col min="2821" max="2821" width="13.44140625" style="1" customWidth="1"/>
    <col min="2822" max="2822" width="20.21875" style="1" customWidth="1"/>
    <col min="2823" max="2823" width="10.5546875" style="1" customWidth="1"/>
    <col min="2824" max="2824" width="9.77734375" style="1" customWidth="1"/>
    <col min="2825" max="2825" width="16.21875" style="1" bestFit="1" customWidth="1"/>
    <col min="2826" max="2826" width="13.77734375" style="1" customWidth="1"/>
    <col min="2827" max="2827" width="12" style="1" customWidth="1"/>
    <col min="2828" max="2828" width="4.44140625" style="1" customWidth="1"/>
    <col min="2829" max="3072" width="9.21875" style="1"/>
    <col min="3073" max="3073" width="14" style="1" customWidth="1"/>
    <col min="3074" max="3074" width="10" style="1" customWidth="1"/>
    <col min="3075" max="3075" width="16.21875" style="1" customWidth="1"/>
    <col min="3076" max="3076" width="4.77734375" style="1" customWidth="1"/>
    <col min="3077" max="3077" width="13.44140625" style="1" customWidth="1"/>
    <col min="3078" max="3078" width="20.21875" style="1" customWidth="1"/>
    <col min="3079" max="3079" width="10.5546875" style="1" customWidth="1"/>
    <col min="3080" max="3080" width="9.77734375" style="1" customWidth="1"/>
    <col min="3081" max="3081" width="16.21875" style="1" bestFit="1" customWidth="1"/>
    <col min="3082" max="3082" width="13.77734375" style="1" customWidth="1"/>
    <col min="3083" max="3083" width="12" style="1" customWidth="1"/>
    <col min="3084" max="3084" width="4.44140625" style="1" customWidth="1"/>
    <col min="3085" max="3328" width="9.21875" style="1"/>
    <col min="3329" max="3329" width="14" style="1" customWidth="1"/>
    <col min="3330" max="3330" width="10" style="1" customWidth="1"/>
    <col min="3331" max="3331" width="16.21875" style="1" customWidth="1"/>
    <col min="3332" max="3332" width="4.77734375" style="1" customWidth="1"/>
    <col min="3333" max="3333" width="13.44140625" style="1" customWidth="1"/>
    <col min="3334" max="3334" width="20.21875" style="1" customWidth="1"/>
    <col min="3335" max="3335" width="10.5546875" style="1" customWidth="1"/>
    <col min="3336" max="3336" width="9.77734375" style="1" customWidth="1"/>
    <col min="3337" max="3337" width="16.21875" style="1" bestFit="1" customWidth="1"/>
    <col min="3338" max="3338" width="13.77734375" style="1" customWidth="1"/>
    <col min="3339" max="3339" width="12" style="1" customWidth="1"/>
    <col min="3340" max="3340" width="4.44140625" style="1" customWidth="1"/>
    <col min="3341" max="3584" width="9.21875" style="1"/>
    <col min="3585" max="3585" width="14" style="1" customWidth="1"/>
    <col min="3586" max="3586" width="10" style="1" customWidth="1"/>
    <col min="3587" max="3587" width="16.21875" style="1" customWidth="1"/>
    <col min="3588" max="3588" width="4.77734375" style="1" customWidth="1"/>
    <col min="3589" max="3589" width="13.44140625" style="1" customWidth="1"/>
    <col min="3590" max="3590" width="20.21875" style="1" customWidth="1"/>
    <col min="3591" max="3591" width="10.5546875" style="1" customWidth="1"/>
    <col min="3592" max="3592" width="9.77734375" style="1" customWidth="1"/>
    <col min="3593" max="3593" width="16.21875" style="1" bestFit="1" customWidth="1"/>
    <col min="3594" max="3594" width="13.77734375" style="1" customWidth="1"/>
    <col min="3595" max="3595" width="12" style="1" customWidth="1"/>
    <col min="3596" max="3596" width="4.44140625" style="1" customWidth="1"/>
    <col min="3597" max="3840" width="9.21875" style="1"/>
    <col min="3841" max="3841" width="14" style="1" customWidth="1"/>
    <col min="3842" max="3842" width="10" style="1" customWidth="1"/>
    <col min="3843" max="3843" width="16.21875" style="1" customWidth="1"/>
    <col min="3844" max="3844" width="4.77734375" style="1" customWidth="1"/>
    <col min="3845" max="3845" width="13.44140625" style="1" customWidth="1"/>
    <col min="3846" max="3846" width="20.21875" style="1" customWidth="1"/>
    <col min="3847" max="3847" width="10.5546875" style="1" customWidth="1"/>
    <col min="3848" max="3848" width="9.77734375" style="1" customWidth="1"/>
    <col min="3849" max="3849" width="16.21875" style="1" bestFit="1" customWidth="1"/>
    <col min="3850" max="3850" width="13.77734375" style="1" customWidth="1"/>
    <col min="3851" max="3851" width="12" style="1" customWidth="1"/>
    <col min="3852" max="3852" width="4.44140625" style="1" customWidth="1"/>
    <col min="3853" max="4096" width="9.21875" style="1"/>
    <col min="4097" max="4097" width="14" style="1" customWidth="1"/>
    <col min="4098" max="4098" width="10" style="1" customWidth="1"/>
    <col min="4099" max="4099" width="16.21875" style="1" customWidth="1"/>
    <col min="4100" max="4100" width="4.77734375" style="1" customWidth="1"/>
    <col min="4101" max="4101" width="13.44140625" style="1" customWidth="1"/>
    <col min="4102" max="4102" width="20.21875" style="1" customWidth="1"/>
    <col min="4103" max="4103" width="10.5546875" style="1" customWidth="1"/>
    <col min="4104" max="4104" width="9.77734375" style="1" customWidth="1"/>
    <col min="4105" max="4105" width="16.21875" style="1" bestFit="1" customWidth="1"/>
    <col min="4106" max="4106" width="13.77734375" style="1" customWidth="1"/>
    <col min="4107" max="4107" width="12" style="1" customWidth="1"/>
    <col min="4108" max="4108" width="4.44140625" style="1" customWidth="1"/>
    <col min="4109" max="4352" width="9.21875" style="1"/>
    <col min="4353" max="4353" width="14" style="1" customWidth="1"/>
    <col min="4354" max="4354" width="10" style="1" customWidth="1"/>
    <col min="4355" max="4355" width="16.21875" style="1" customWidth="1"/>
    <col min="4356" max="4356" width="4.77734375" style="1" customWidth="1"/>
    <col min="4357" max="4357" width="13.44140625" style="1" customWidth="1"/>
    <col min="4358" max="4358" width="20.21875" style="1" customWidth="1"/>
    <col min="4359" max="4359" width="10.5546875" style="1" customWidth="1"/>
    <col min="4360" max="4360" width="9.77734375" style="1" customWidth="1"/>
    <col min="4361" max="4361" width="16.21875" style="1" bestFit="1" customWidth="1"/>
    <col min="4362" max="4362" width="13.77734375" style="1" customWidth="1"/>
    <col min="4363" max="4363" width="12" style="1" customWidth="1"/>
    <col min="4364" max="4364" width="4.44140625" style="1" customWidth="1"/>
    <col min="4365" max="4608" width="9.21875" style="1"/>
    <col min="4609" max="4609" width="14" style="1" customWidth="1"/>
    <col min="4610" max="4610" width="10" style="1" customWidth="1"/>
    <col min="4611" max="4611" width="16.21875" style="1" customWidth="1"/>
    <col min="4612" max="4612" width="4.77734375" style="1" customWidth="1"/>
    <col min="4613" max="4613" width="13.44140625" style="1" customWidth="1"/>
    <col min="4614" max="4614" width="20.21875" style="1" customWidth="1"/>
    <col min="4615" max="4615" width="10.5546875" style="1" customWidth="1"/>
    <col min="4616" max="4616" width="9.77734375" style="1" customWidth="1"/>
    <col min="4617" max="4617" width="16.21875" style="1" bestFit="1" customWidth="1"/>
    <col min="4618" max="4618" width="13.77734375" style="1" customWidth="1"/>
    <col min="4619" max="4619" width="12" style="1" customWidth="1"/>
    <col min="4620" max="4620" width="4.44140625" style="1" customWidth="1"/>
    <col min="4621" max="4864" width="9.21875" style="1"/>
    <col min="4865" max="4865" width="14" style="1" customWidth="1"/>
    <col min="4866" max="4866" width="10" style="1" customWidth="1"/>
    <col min="4867" max="4867" width="16.21875" style="1" customWidth="1"/>
    <col min="4868" max="4868" width="4.77734375" style="1" customWidth="1"/>
    <col min="4869" max="4869" width="13.44140625" style="1" customWidth="1"/>
    <col min="4870" max="4870" width="20.21875" style="1" customWidth="1"/>
    <col min="4871" max="4871" width="10.5546875" style="1" customWidth="1"/>
    <col min="4872" max="4872" width="9.77734375" style="1" customWidth="1"/>
    <col min="4873" max="4873" width="16.21875" style="1" bestFit="1" customWidth="1"/>
    <col min="4874" max="4874" width="13.77734375" style="1" customWidth="1"/>
    <col min="4875" max="4875" width="12" style="1" customWidth="1"/>
    <col min="4876" max="4876" width="4.44140625" style="1" customWidth="1"/>
    <col min="4877" max="5120" width="9.21875" style="1"/>
    <col min="5121" max="5121" width="14" style="1" customWidth="1"/>
    <col min="5122" max="5122" width="10" style="1" customWidth="1"/>
    <col min="5123" max="5123" width="16.21875" style="1" customWidth="1"/>
    <col min="5124" max="5124" width="4.77734375" style="1" customWidth="1"/>
    <col min="5125" max="5125" width="13.44140625" style="1" customWidth="1"/>
    <col min="5126" max="5126" width="20.21875" style="1" customWidth="1"/>
    <col min="5127" max="5127" width="10.5546875" style="1" customWidth="1"/>
    <col min="5128" max="5128" width="9.77734375" style="1" customWidth="1"/>
    <col min="5129" max="5129" width="16.21875" style="1" bestFit="1" customWidth="1"/>
    <col min="5130" max="5130" width="13.77734375" style="1" customWidth="1"/>
    <col min="5131" max="5131" width="12" style="1" customWidth="1"/>
    <col min="5132" max="5132" width="4.44140625" style="1" customWidth="1"/>
    <col min="5133" max="5376" width="9.21875" style="1"/>
    <col min="5377" max="5377" width="14" style="1" customWidth="1"/>
    <col min="5378" max="5378" width="10" style="1" customWidth="1"/>
    <col min="5379" max="5379" width="16.21875" style="1" customWidth="1"/>
    <col min="5380" max="5380" width="4.77734375" style="1" customWidth="1"/>
    <col min="5381" max="5381" width="13.44140625" style="1" customWidth="1"/>
    <col min="5382" max="5382" width="20.21875" style="1" customWidth="1"/>
    <col min="5383" max="5383" width="10.5546875" style="1" customWidth="1"/>
    <col min="5384" max="5384" width="9.77734375" style="1" customWidth="1"/>
    <col min="5385" max="5385" width="16.21875" style="1" bestFit="1" customWidth="1"/>
    <col min="5386" max="5386" width="13.77734375" style="1" customWidth="1"/>
    <col min="5387" max="5387" width="12" style="1" customWidth="1"/>
    <col min="5388" max="5388" width="4.44140625" style="1" customWidth="1"/>
    <col min="5389" max="5632" width="9.21875" style="1"/>
    <col min="5633" max="5633" width="14" style="1" customWidth="1"/>
    <col min="5634" max="5634" width="10" style="1" customWidth="1"/>
    <col min="5635" max="5635" width="16.21875" style="1" customWidth="1"/>
    <col min="5636" max="5636" width="4.77734375" style="1" customWidth="1"/>
    <col min="5637" max="5637" width="13.44140625" style="1" customWidth="1"/>
    <col min="5638" max="5638" width="20.21875" style="1" customWidth="1"/>
    <col min="5639" max="5639" width="10.5546875" style="1" customWidth="1"/>
    <col min="5640" max="5640" width="9.77734375" style="1" customWidth="1"/>
    <col min="5641" max="5641" width="16.21875" style="1" bestFit="1" customWidth="1"/>
    <col min="5642" max="5642" width="13.77734375" style="1" customWidth="1"/>
    <col min="5643" max="5643" width="12" style="1" customWidth="1"/>
    <col min="5644" max="5644" width="4.44140625" style="1" customWidth="1"/>
    <col min="5645" max="5888" width="9.21875" style="1"/>
    <col min="5889" max="5889" width="14" style="1" customWidth="1"/>
    <col min="5890" max="5890" width="10" style="1" customWidth="1"/>
    <col min="5891" max="5891" width="16.21875" style="1" customWidth="1"/>
    <col min="5892" max="5892" width="4.77734375" style="1" customWidth="1"/>
    <col min="5893" max="5893" width="13.44140625" style="1" customWidth="1"/>
    <col min="5894" max="5894" width="20.21875" style="1" customWidth="1"/>
    <col min="5895" max="5895" width="10.5546875" style="1" customWidth="1"/>
    <col min="5896" max="5896" width="9.77734375" style="1" customWidth="1"/>
    <col min="5897" max="5897" width="16.21875" style="1" bestFit="1" customWidth="1"/>
    <col min="5898" max="5898" width="13.77734375" style="1" customWidth="1"/>
    <col min="5899" max="5899" width="12" style="1" customWidth="1"/>
    <col min="5900" max="5900" width="4.44140625" style="1" customWidth="1"/>
    <col min="5901" max="6144" width="9.21875" style="1"/>
    <col min="6145" max="6145" width="14" style="1" customWidth="1"/>
    <col min="6146" max="6146" width="10" style="1" customWidth="1"/>
    <col min="6147" max="6147" width="16.21875" style="1" customWidth="1"/>
    <col min="6148" max="6148" width="4.77734375" style="1" customWidth="1"/>
    <col min="6149" max="6149" width="13.44140625" style="1" customWidth="1"/>
    <col min="6150" max="6150" width="20.21875" style="1" customWidth="1"/>
    <col min="6151" max="6151" width="10.5546875" style="1" customWidth="1"/>
    <col min="6152" max="6152" width="9.77734375" style="1" customWidth="1"/>
    <col min="6153" max="6153" width="16.21875" style="1" bestFit="1" customWidth="1"/>
    <col min="6154" max="6154" width="13.77734375" style="1" customWidth="1"/>
    <col min="6155" max="6155" width="12" style="1" customWidth="1"/>
    <col min="6156" max="6156" width="4.44140625" style="1" customWidth="1"/>
    <col min="6157" max="6400" width="9.21875" style="1"/>
    <col min="6401" max="6401" width="14" style="1" customWidth="1"/>
    <col min="6402" max="6402" width="10" style="1" customWidth="1"/>
    <col min="6403" max="6403" width="16.21875" style="1" customWidth="1"/>
    <col min="6404" max="6404" width="4.77734375" style="1" customWidth="1"/>
    <col min="6405" max="6405" width="13.44140625" style="1" customWidth="1"/>
    <col min="6406" max="6406" width="20.21875" style="1" customWidth="1"/>
    <col min="6407" max="6407" width="10.5546875" style="1" customWidth="1"/>
    <col min="6408" max="6408" width="9.77734375" style="1" customWidth="1"/>
    <col min="6409" max="6409" width="16.21875" style="1" bestFit="1" customWidth="1"/>
    <col min="6410" max="6410" width="13.77734375" style="1" customWidth="1"/>
    <col min="6411" max="6411" width="12" style="1" customWidth="1"/>
    <col min="6412" max="6412" width="4.44140625" style="1" customWidth="1"/>
    <col min="6413" max="6656" width="9.21875" style="1"/>
    <col min="6657" max="6657" width="14" style="1" customWidth="1"/>
    <col min="6658" max="6658" width="10" style="1" customWidth="1"/>
    <col min="6659" max="6659" width="16.21875" style="1" customWidth="1"/>
    <col min="6660" max="6660" width="4.77734375" style="1" customWidth="1"/>
    <col min="6661" max="6661" width="13.44140625" style="1" customWidth="1"/>
    <col min="6662" max="6662" width="20.21875" style="1" customWidth="1"/>
    <col min="6663" max="6663" width="10.5546875" style="1" customWidth="1"/>
    <col min="6664" max="6664" width="9.77734375" style="1" customWidth="1"/>
    <col min="6665" max="6665" width="16.21875" style="1" bestFit="1" customWidth="1"/>
    <col min="6666" max="6666" width="13.77734375" style="1" customWidth="1"/>
    <col min="6667" max="6667" width="12" style="1" customWidth="1"/>
    <col min="6668" max="6668" width="4.44140625" style="1" customWidth="1"/>
    <col min="6669" max="6912" width="9.21875" style="1"/>
    <col min="6913" max="6913" width="14" style="1" customWidth="1"/>
    <col min="6914" max="6914" width="10" style="1" customWidth="1"/>
    <col min="6915" max="6915" width="16.21875" style="1" customWidth="1"/>
    <col min="6916" max="6916" width="4.77734375" style="1" customWidth="1"/>
    <col min="6917" max="6917" width="13.44140625" style="1" customWidth="1"/>
    <col min="6918" max="6918" width="20.21875" style="1" customWidth="1"/>
    <col min="6919" max="6919" width="10.5546875" style="1" customWidth="1"/>
    <col min="6920" max="6920" width="9.77734375" style="1" customWidth="1"/>
    <col min="6921" max="6921" width="16.21875" style="1" bestFit="1" customWidth="1"/>
    <col min="6922" max="6922" width="13.77734375" style="1" customWidth="1"/>
    <col min="6923" max="6923" width="12" style="1" customWidth="1"/>
    <col min="6924" max="6924" width="4.44140625" style="1" customWidth="1"/>
    <col min="6925" max="7168" width="9.21875" style="1"/>
    <col min="7169" max="7169" width="14" style="1" customWidth="1"/>
    <col min="7170" max="7170" width="10" style="1" customWidth="1"/>
    <col min="7171" max="7171" width="16.21875" style="1" customWidth="1"/>
    <col min="7172" max="7172" width="4.77734375" style="1" customWidth="1"/>
    <col min="7173" max="7173" width="13.44140625" style="1" customWidth="1"/>
    <col min="7174" max="7174" width="20.21875" style="1" customWidth="1"/>
    <col min="7175" max="7175" width="10.5546875" style="1" customWidth="1"/>
    <col min="7176" max="7176" width="9.77734375" style="1" customWidth="1"/>
    <col min="7177" max="7177" width="16.21875" style="1" bestFit="1" customWidth="1"/>
    <col min="7178" max="7178" width="13.77734375" style="1" customWidth="1"/>
    <col min="7179" max="7179" width="12" style="1" customWidth="1"/>
    <col min="7180" max="7180" width="4.44140625" style="1" customWidth="1"/>
    <col min="7181" max="7424" width="9.21875" style="1"/>
    <col min="7425" max="7425" width="14" style="1" customWidth="1"/>
    <col min="7426" max="7426" width="10" style="1" customWidth="1"/>
    <col min="7427" max="7427" width="16.21875" style="1" customWidth="1"/>
    <col min="7428" max="7428" width="4.77734375" style="1" customWidth="1"/>
    <col min="7429" max="7429" width="13.44140625" style="1" customWidth="1"/>
    <col min="7430" max="7430" width="20.21875" style="1" customWidth="1"/>
    <col min="7431" max="7431" width="10.5546875" style="1" customWidth="1"/>
    <col min="7432" max="7432" width="9.77734375" style="1" customWidth="1"/>
    <col min="7433" max="7433" width="16.21875" style="1" bestFit="1" customWidth="1"/>
    <col min="7434" max="7434" width="13.77734375" style="1" customWidth="1"/>
    <col min="7435" max="7435" width="12" style="1" customWidth="1"/>
    <col min="7436" max="7436" width="4.44140625" style="1" customWidth="1"/>
    <col min="7437" max="7680" width="9.21875" style="1"/>
    <col min="7681" max="7681" width="14" style="1" customWidth="1"/>
    <col min="7682" max="7682" width="10" style="1" customWidth="1"/>
    <col min="7683" max="7683" width="16.21875" style="1" customWidth="1"/>
    <col min="7684" max="7684" width="4.77734375" style="1" customWidth="1"/>
    <col min="7685" max="7685" width="13.44140625" style="1" customWidth="1"/>
    <col min="7686" max="7686" width="20.21875" style="1" customWidth="1"/>
    <col min="7687" max="7687" width="10.5546875" style="1" customWidth="1"/>
    <col min="7688" max="7688" width="9.77734375" style="1" customWidth="1"/>
    <col min="7689" max="7689" width="16.21875" style="1" bestFit="1" customWidth="1"/>
    <col min="7690" max="7690" width="13.77734375" style="1" customWidth="1"/>
    <col min="7691" max="7691" width="12" style="1" customWidth="1"/>
    <col min="7692" max="7692" width="4.44140625" style="1" customWidth="1"/>
    <col min="7693" max="7936" width="9.21875" style="1"/>
    <col min="7937" max="7937" width="14" style="1" customWidth="1"/>
    <col min="7938" max="7938" width="10" style="1" customWidth="1"/>
    <col min="7939" max="7939" width="16.21875" style="1" customWidth="1"/>
    <col min="7940" max="7940" width="4.77734375" style="1" customWidth="1"/>
    <col min="7941" max="7941" width="13.44140625" style="1" customWidth="1"/>
    <col min="7942" max="7942" width="20.21875" style="1" customWidth="1"/>
    <col min="7943" max="7943" width="10.5546875" style="1" customWidth="1"/>
    <col min="7944" max="7944" width="9.77734375" style="1" customWidth="1"/>
    <col min="7945" max="7945" width="16.21875" style="1" bestFit="1" customWidth="1"/>
    <col min="7946" max="7946" width="13.77734375" style="1" customWidth="1"/>
    <col min="7947" max="7947" width="12" style="1" customWidth="1"/>
    <col min="7948" max="7948" width="4.44140625" style="1" customWidth="1"/>
    <col min="7949" max="8192" width="9.21875" style="1"/>
    <col min="8193" max="8193" width="14" style="1" customWidth="1"/>
    <col min="8194" max="8194" width="10" style="1" customWidth="1"/>
    <col min="8195" max="8195" width="16.21875" style="1" customWidth="1"/>
    <col min="8196" max="8196" width="4.77734375" style="1" customWidth="1"/>
    <col min="8197" max="8197" width="13.44140625" style="1" customWidth="1"/>
    <col min="8198" max="8198" width="20.21875" style="1" customWidth="1"/>
    <col min="8199" max="8199" width="10.5546875" style="1" customWidth="1"/>
    <col min="8200" max="8200" width="9.77734375" style="1" customWidth="1"/>
    <col min="8201" max="8201" width="16.21875" style="1" bestFit="1" customWidth="1"/>
    <col min="8202" max="8202" width="13.77734375" style="1" customWidth="1"/>
    <col min="8203" max="8203" width="12" style="1" customWidth="1"/>
    <col min="8204" max="8204" width="4.44140625" style="1" customWidth="1"/>
    <col min="8205" max="8448" width="9.21875" style="1"/>
    <col min="8449" max="8449" width="14" style="1" customWidth="1"/>
    <col min="8450" max="8450" width="10" style="1" customWidth="1"/>
    <col min="8451" max="8451" width="16.21875" style="1" customWidth="1"/>
    <col min="8452" max="8452" width="4.77734375" style="1" customWidth="1"/>
    <col min="8453" max="8453" width="13.44140625" style="1" customWidth="1"/>
    <col min="8454" max="8454" width="20.21875" style="1" customWidth="1"/>
    <col min="8455" max="8455" width="10.5546875" style="1" customWidth="1"/>
    <col min="8456" max="8456" width="9.77734375" style="1" customWidth="1"/>
    <col min="8457" max="8457" width="16.21875" style="1" bestFit="1" customWidth="1"/>
    <col min="8458" max="8458" width="13.77734375" style="1" customWidth="1"/>
    <col min="8459" max="8459" width="12" style="1" customWidth="1"/>
    <col min="8460" max="8460" width="4.44140625" style="1" customWidth="1"/>
    <col min="8461" max="8704" width="9.21875" style="1"/>
    <col min="8705" max="8705" width="14" style="1" customWidth="1"/>
    <col min="8706" max="8706" width="10" style="1" customWidth="1"/>
    <col min="8707" max="8707" width="16.21875" style="1" customWidth="1"/>
    <col min="8708" max="8708" width="4.77734375" style="1" customWidth="1"/>
    <col min="8709" max="8709" width="13.44140625" style="1" customWidth="1"/>
    <col min="8710" max="8710" width="20.21875" style="1" customWidth="1"/>
    <col min="8711" max="8711" width="10.5546875" style="1" customWidth="1"/>
    <col min="8712" max="8712" width="9.77734375" style="1" customWidth="1"/>
    <col min="8713" max="8713" width="16.21875" style="1" bestFit="1" customWidth="1"/>
    <col min="8714" max="8714" width="13.77734375" style="1" customWidth="1"/>
    <col min="8715" max="8715" width="12" style="1" customWidth="1"/>
    <col min="8716" max="8716" width="4.44140625" style="1" customWidth="1"/>
    <col min="8717" max="8960" width="9.21875" style="1"/>
    <col min="8961" max="8961" width="14" style="1" customWidth="1"/>
    <col min="8962" max="8962" width="10" style="1" customWidth="1"/>
    <col min="8963" max="8963" width="16.21875" style="1" customWidth="1"/>
    <col min="8964" max="8964" width="4.77734375" style="1" customWidth="1"/>
    <col min="8965" max="8965" width="13.44140625" style="1" customWidth="1"/>
    <col min="8966" max="8966" width="20.21875" style="1" customWidth="1"/>
    <col min="8967" max="8967" width="10.5546875" style="1" customWidth="1"/>
    <col min="8968" max="8968" width="9.77734375" style="1" customWidth="1"/>
    <col min="8969" max="8969" width="16.21875" style="1" bestFit="1" customWidth="1"/>
    <col min="8970" max="8970" width="13.77734375" style="1" customWidth="1"/>
    <col min="8971" max="8971" width="12" style="1" customWidth="1"/>
    <col min="8972" max="8972" width="4.44140625" style="1" customWidth="1"/>
    <col min="8973" max="9216" width="9.21875" style="1"/>
    <col min="9217" max="9217" width="14" style="1" customWidth="1"/>
    <col min="9218" max="9218" width="10" style="1" customWidth="1"/>
    <col min="9219" max="9219" width="16.21875" style="1" customWidth="1"/>
    <col min="9220" max="9220" width="4.77734375" style="1" customWidth="1"/>
    <col min="9221" max="9221" width="13.44140625" style="1" customWidth="1"/>
    <col min="9222" max="9222" width="20.21875" style="1" customWidth="1"/>
    <col min="9223" max="9223" width="10.5546875" style="1" customWidth="1"/>
    <col min="9224" max="9224" width="9.77734375" style="1" customWidth="1"/>
    <col min="9225" max="9225" width="16.21875" style="1" bestFit="1" customWidth="1"/>
    <col min="9226" max="9226" width="13.77734375" style="1" customWidth="1"/>
    <col min="9227" max="9227" width="12" style="1" customWidth="1"/>
    <col min="9228" max="9228" width="4.44140625" style="1" customWidth="1"/>
    <col min="9229" max="9472" width="9.21875" style="1"/>
    <col min="9473" max="9473" width="14" style="1" customWidth="1"/>
    <col min="9474" max="9474" width="10" style="1" customWidth="1"/>
    <col min="9475" max="9475" width="16.21875" style="1" customWidth="1"/>
    <col min="9476" max="9476" width="4.77734375" style="1" customWidth="1"/>
    <col min="9477" max="9477" width="13.44140625" style="1" customWidth="1"/>
    <col min="9478" max="9478" width="20.21875" style="1" customWidth="1"/>
    <col min="9479" max="9479" width="10.5546875" style="1" customWidth="1"/>
    <col min="9480" max="9480" width="9.77734375" style="1" customWidth="1"/>
    <col min="9481" max="9481" width="16.21875" style="1" bestFit="1" customWidth="1"/>
    <col min="9482" max="9482" width="13.77734375" style="1" customWidth="1"/>
    <col min="9483" max="9483" width="12" style="1" customWidth="1"/>
    <col min="9484" max="9484" width="4.44140625" style="1" customWidth="1"/>
    <col min="9485" max="9728" width="9.21875" style="1"/>
    <col min="9729" max="9729" width="14" style="1" customWidth="1"/>
    <col min="9730" max="9730" width="10" style="1" customWidth="1"/>
    <col min="9731" max="9731" width="16.21875" style="1" customWidth="1"/>
    <col min="9732" max="9732" width="4.77734375" style="1" customWidth="1"/>
    <col min="9733" max="9733" width="13.44140625" style="1" customWidth="1"/>
    <col min="9734" max="9734" width="20.21875" style="1" customWidth="1"/>
    <col min="9735" max="9735" width="10.5546875" style="1" customWidth="1"/>
    <col min="9736" max="9736" width="9.77734375" style="1" customWidth="1"/>
    <col min="9737" max="9737" width="16.21875" style="1" bestFit="1" customWidth="1"/>
    <col min="9738" max="9738" width="13.77734375" style="1" customWidth="1"/>
    <col min="9739" max="9739" width="12" style="1" customWidth="1"/>
    <col min="9740" max="9740" width="4.44140625" style="1" customWidth="1"/>
    <col min="9741" max="9984" width="9.21875" style="1"/>
    <col min="9985" max="9985" width="14" style="1" customWidth="1"/>
    <col min="9986" max="9986" width="10" style="1" customWidth="1"/>
    <col min="9987" max="9987" width="16.21875" style="1" customWidth="1"/>
    <col min="9988" max="9988" width="4.77734375" style="1" customWidth="1"/>
    <col min="9989" max="9989" width="13.44140625" style="1" customWidth="1"/>
    <col min="9990" max="9990" width="20.21875" style="1" customWidth="1"/>
    <col min="9991" max="9991" width="10.5546875" style="1" customWidth="1"/>
    <col min="9992" max="9992" width="9.77734375" style="1" customWidth="1"/>
    <col min="9993" max="9993" width="16.21875" style="1" bestFit="1" customWidth="1"/>
    <col min="9994" max="9994" width="13.77734375" style="1" customWidth="1"/>
    <col min="9995" max="9995" width="12" style="1" customWidth="1"/>
    <col min="9996" max="9996" width="4.44140625" style="1" customWidth="1"/>
    <col min="9997" max="10240" width="9.21875" style="1"/>
    <col min="10241" max="10241" width="14" style="1" customWidth="1"/>
    <col min="10242" max="10242" width="10" style="1" customWidth="1"/>
    <col min="10243" max="10243" width="16.21875" style="1" customWidth="1"/>
    <col min="10244" max="10244" width="4.77734375" style="1" customWidth="1"/>
    <col min="10245" max="10245" width="13.44140625" style="1" customWidth="1"/>
    <col min="10246" max="10246" width="20.21875" style="1" customWidth="1"/>
    <col min="10247" max="10247" width="10.5546875" style="1" customWidth="1"/>
    <col min="10248" max="10248" width="9.77734375" style="1" customWidth="1"/>
    <col min="10249" max="10249" width="16.21875" style="1" bestFit="1" customWidth="1"/>
    <col min="10250" max="10250" width="13.77734375" style="1" customWidth="1"/>
    <col min="10251" max="10251" width="12" style="1" customWidth="1"/>
    <col min="10252" max="10252" width="4.44140625" style="1" customWidth="1"/>
    <col min="10253" max="10496" width="9.21875" style="1"/>
    <col min="10497" max="10497" width="14" style="1" customWidth="1"/>
    <col min="10498" max="10498" width="10" style="1" customWidth="1"/>
    <col min="10499" max="10499" width="16.21875" style="1" customWidth="1"/>
    <col min="10500" max="10500" width="4.77734375" style="1" customWidth="1"/>
    <col min="10501" max="10501" width="13.44140625" style="1" customWidth="1"/>
    <col min="10502" max="10502" width="20.21875" style="1" customWidth="1"/>
    <col min="10503" max="10503" width="10.5546875" style="1" customWidth="1"/>
    <col min="10504" max="10504" width="9.77734375" style="1" customWidth="1"/>
    <col min="10505" max="10505" width="16.21875" style="1" bestFit="1" customWidth="1"/>
    <col min="10506" max="10506" width="13.77734375" style="1" customWidth="1"/>
    <col min="10507" max="10507" width="12" style="1" customWidth="1"/>
    <col min="10508" max="10508" width="4.44140625" style="1" customWidth="1"/>
    <col min="10509" max="10752" width="9.21875" style="1"/>
    <col min="10753" max="10753" width="14" style="1" customWidth="1"/>
    <col min="10754" max="10754" width="10" style="1" customWidth="1"/>
    <col min="10755" max="10755" width="16.21875" style="1" customWidth="1"/>
    <col min="10756" max="10756" width="4.77734375" style="1" customWidth="1"/>
    <col min="10757" max="10757" width="13.44140625" style="1" customWidth="1"/>
    <col min="10758" max="10758" width="20.21875" style="1" customWidth="1"/>
    <col min="10759" max="10759" width="10.5546875" style="1" customWidth="1"/>
    <col min="10760" max="10760" width="9.77734375" style="1" customWidth="1"/>
    <col min="10761" max="10761" width="16.21875" style="1" bestFit="1" customWidth="1"/>
    <col min="10762" max="10762" width="13.77734375" style="1" customWidth="1"/>
    <col min="10763" max="10763" width="12" style="1" customWidth="1"/>
    <col min="10764" max="10764" width="4.44140625" style="1" customWidth="1"/>
    <col min="10765" max="11008" width="9.21875" style="1"/>
    <col min="11009" max="11009" width="14" style="1" customWidth="1"/>
    <col min="11010" max="11010" width="10" style="1" customWidth="1"/>
    <col min="11011" max="11011" width="16.21875" style="1" customWidth="1"/>
    <col min="11012" max="11012" width="4.77734375" style="1" customWidth="1"/>
    <col min="11013" max="11013" width="13.44140625" style="1" customWidth="1"/>
    <col min="11014" max="11014" width="20.21875" style="1" customWidth="1"/>
    <col min="11015" max="11015" width="10.5546875" style="1" customWidth="1"/>
    <col min="11016" max="11016" width="9.77734375" style="1" customWidth="1"/>
    <col min="11017" max="11017" width="16.21875" style="1" bestFit="1" customWidth="1"/>
    <col min="11018" max="11018" width="13.77734375" style="1" customWidth="1"/>
    <col min="11019" max="11019" width="12" style="1" customWidth="1"/>
    <col min="11020" max="11020" width="4.44140625" style="1" customWidth="1"/>
    <col min="11021" max="11264" width="9.21875" style="1"/>
    <col min="11265" max="11265" width="14" style="1" customWidth="1"/>
    <col min="11266" max="11266" width="10" style="1" customWidth="1"/>
    <col min="11267" max="11267" width="16.21875" style="1" customWidth="1"/>
    <col min="11268" max="11268" width="4.77734375" style="1" customWidth="1"/>
    <col min="11269" max="11269" width="13.44140625" style="1" customWidth="1"/>
    <col min="11270" max="11270" width="20.21875" style="1" customWidth="1"/>
    <col min="11271" max="11271" width="10.5546875" style="1" customWidth="1"/>
    <col min="11272" max="11272" width="9.77734375" style="1" customWidth="1"/>
    <col min="11273" max="11273" width="16.21875" style="1" bestFit="1" customWidth="1"/>
    <col min="11274" max="11274" width="13.77734375" style="1" customWidth="1"/>
    <col min="11275" max="11275" width="12" style="1" customWidth="1"/>
    <col min="11276" max="11276" width="4.44140625" style="1" customWidth="1"/>
    <col min="11277" max="11520" width="9.21875" style="1"/>
    <col min="11521" max="11521" width="14" style="1" customWidth="1"/>
    <col min="11522" max="11522" width="10" style="1" customWidth="1"/>
    <col min="11523" max="11523" width="16.21875" style="1" customWidth="1"/>
    <col min="11524" max="11524" width="4.77734375" style="1" customWidth="1"/>
    <col min="11525" max="11525" width="13.44140625" style="1" customWidth="1"/>
    <col min="11526" max="11526" width="20.21875" style="1" customWidth="1"/>
    <col min="11527" max="11527" width="10.5546875" style="1" customWidth="1"/>
    <col min="11528" max="11528" width="9.77734375" style="1" customWidth="1"/>
    <col min="11529" max="11529" width="16.21875" style="1" bestFit="1" customWidth="1"/>
    <col min="11530" max="11530" width="13.77734375" style="1" customWidth="1"/>
    <col min="11531" max="11531" width="12" style="1" customWidth="1"/>
    <col min="11532" max="11532" width="4.44140625" style="1" customWidth="1"/>
    <col min="11533" max="11776" width="9.21875" style="1"/>
    <col min="11777" max="11777" width="14" style="1" customWidth="1"/>
    <col min="11778" max="11778" width="10" style="1" customWidth="1"/>
    <col min="11779" max="11779" width="16.21875" style="1" customWidth="1"/>
    <col min="11780" max="11780" width="4.77734375" style="1" customWidth="1"/>
    <col min="11781" max="11781" width="13.44140625" style="1" customWidth="1"/>
    <col min="11782" max="11782" width="20.21875" style="1" customWidth="1"/>
    <col min="11783" max="11783" width="10.5546875" style="1" customWidth="1"/>
    <col min="11784" max="11784" width="9.77734375" style="1" customWidth="1"/>
    <col min="11785" max="11785" width="16.21875" style="1" bestFit="1" customWidth="1"/>
    <col min="11786" max="11786" width="13.77734375" style="1" customWidth="1"/>
    <col min="11787" max="11787" width="12" style="1" customWidth="1"/>
    <col min="11788" max="11788" width="4.44140625" style="1" customWidth="1"/>
    <col min="11789" max="12032" width="9.21875" style="1"/>
    <col min="12033" max="12033" width="14" style="1" customWidth="1"/>
    <col min="12034" max="12034" width="10" style="1" customWidth="1"/>
    <col min="12035" max="12035" width="16.21875" style="1" customWidth="1"/>
    <col min="12036" max="12036" width="4.77734375" style="1" customWidth="1"/>
    <col min="12037" max="12037" width="13.44140625" style="1" customWidth="1"/>
    <col min="12038" max="12038" width="20.21875" style="1" customWidth="1"/>
    <col min="12039" max="12039" width="10.5546875" style="1" customWidth="1"/>
    <col min="12040" max="12040" width="9.77734375" style="1" customWidth="1"/>
    <col min="12041" max="12041" width="16.21875" style="1" bestFit="1" customWidth="1"/>
    <col min="12042" max="12042" width="13.77734375" style="1" customWidth="1"/>
    <col min="12043" max="12043" width="12" style="1" customWidth="1"/>
    <col min="12044" max="12044" width="4.44140625" style="1" customWidth="1"/>
    <col min="12045" max="12288" width="9.21875" style="1"/>
    <col min="12289" max="12289" width="14" style="1" customWidth="1"/>
    <col min="12290" max="12290" width="10" style="1" customWidth="1"/>
    <col min="12291" max="12291" width="16.21875" style="1" customWidth="1"/>
    <col min="12292" max="12292" width="4.77734375" style="1" customWidth="1"/>
    <col min="12293" max="12293" width="13.44140625" style="1" customWidth="1"/>
    <col min="12294" max="12294" width="20.21875" style="1" customWidth="1"/>
    <col min="12295" max="12295" width="10.5546875" style="1" customWidth="1"/>
    <col min="12296" max="12296" width="9.77734375" style="1" customWidth="1"/>
    <col min="12297" max="12297" width="16.21875" style="1" bestFit="1" customWidth="1"/>
    <col min="12298" max="12298" width="13.77734375" style="1" customWidth="1"/>
    <col min="12299" max="12299" width="12" style="1" customWidth="1"/>
    <col min="12300" max="12300" width="4.44140625" style="1" customWidth="1"/>
    <col min="12301" max="12544" width="9.21875" style="1"/>
    <col min="12545" max="12545" width="14" style="1" customWidth="1"/>
    <col min="12546" max="12546" width="10" style="1" customWidth="1"/>
    <col min="12547" max="12547" width="16.21875" style="1" customWidth="1"/>
    <col min="12548" max="12548" width="4.77734375" style="1" customWidth="1"/>
    <col min="12549" max="12549" width="13.44140625" style="1" customWidth="1"/>
    <col min="12550" max="12550" width="20.21875" style="1" customWidth="1"/>
    <col min="12551" max="12551" width="10.5546875" style="1" customWidth="1"/>
    <col min="12552" max="12552" width="9.77734375" style="1" customWidth="1"/>
    <col min="12553" max="12553" width="16.21875" style="1" bestFit="1" customWidth="1"/>
    <col min="12554" max="12554" width="13.77734375" style="1" customWidth="1"/>
    <col min="12555" max="12555" width="12" style="1" customWidth="1"/>
    <col min="12556" max="12556" width="4.44140625" style="1" customWidth="1"/>
    <col min="12557" max="12800" width="9.21875" style="1"/>
    <col min="12801" max="12801" width="14" style="1" customWidth="1"/>
    <col min="12802" max="12802" width="10" style="1" customWidth="1"/>
    <col min="12803" max="12803" width="16.21875" style="1" customWidth="1"/>
    <col min="12804" max="12804" width="4.77734375" style="1" customWidth="1"/>
    <col min="12805" max="12805" width="13.44140625" style="1" customWidth="1"/>
    <col min="12806" max="12806" width="20.21875" style="1" customWidth="1"/>
    <col min="12807" max="12807" width="10.5546875" style="1" customWidth="1"/>
    <col min="12808" max="12808" width="9.77734375" style="1" customWidth="1"/>
    <col min="12809" max="12809" width="16.21875" style="1" bestFit="1" customWidth="1"/>
    <col min="12810" max="12810" width="13.77734375" style="1" customWidth="1"/>
    <col min="12811" max="12811" width="12" style="1" customWidth="1"/>
    <col min="12812" max="12812" width="4.44140625" style="1" customWidth="1"/>
    <col min="12813" max="13056" width="9.21875" style="1"/>
    <col min="13057" max="13057" width="14" style="1" customWidth="1"/>
    <col min="13058" max="13058" width="10" style="1" customWidth="1"/>
    <col min="13059" max="13059" width="16.21875" style="1" customWidth="1"/>
    <col min="13060" max="13060" width="4.77734375" style="1" customWidth="1"/>
    <col min="13061" max="13061" width="13.44140625" style="1" customWidth="1"/>
    <col min="13062" max="13062" width="20.21875" style="1" customWidth="1"/>
    <col min="13063" max="13063" width="10.5546875" style="1" customWidth="1"/>
    <col min="13064" max="13064" width="9.77734375" style="1" customWidth="1"/>
    <col min="13065" max="13065" width="16.21875" style="1" bestFit="1" customWidth="1"/>
    <col min="13066" max="13066" width="13.77734375" style="1" customWidth="1"/>
    <col min="13067" max="13067" width="12" style="1" customWidth="1"/>
    <col min="13068" max="13068" width="4.44140625" style="1" customWidth="1"/>
    <col min="13069" max="13312" width="9.21875" style="1"/>
    <col min="13313" max="13313" width="14" style="1" customWidth="1"/>
    <col min="13314" max="13314" width="10" style="1" customWidth="1"/>
    <col min="13315" max="13315" width="16.21875" style="1" customWidth="1"/>
    <col min="13316" max="13316" width="4.77734375" style="1" customWidth="1"/>
    <col min="13317" max="13317" width="13.44140625" style="1" customWidth="1"/>
    <col min="13318" max="13318" width="20.21875" style="1" customWidth="1"/>
    <col min="13319" max="13319" width="10.5546875" style="1" customWidth="1"/>
    <col min="13320" max="13320" width="9.77734375" style="1" customWidth="1"/>
    <col min="13321" max="13321" width="16.21875" style="1" bestFit="1" customWidth="1"/>
    <col min="13322" max="13322" width="13.77734375" style="1" customWidth="1"/>
    <col min="13323" max="13323" width="12" style="1" customWidth="1"/>
    <col min="13324" max="13324" width="4.44140625" style="1" customWidth="1"/>
    <col min="13325" max="13568" width="9.21875" style="1"/>
    <col min="13569" max="13569" width="14" style="1" customWidth="1"/>
    <col min="13570" max="13570" width="10" style="1" customWidth="1"/>
    <col min="13571" max="13571" width="16.21875" style="1" customWidth="1"/>
    <col min="13572" max="13572" width="4.77734375" style="1" customWidth="1"/>
    <col min="13573" max="13573" width="13.44140625" style="1" customWidth="1"/>
    <col min="13574" max="13574" width="20.21875" style="1" customWidth="1"/>
    <col min="13575" max="13575" width="10.5546875" style="1" customWidth="1"/>
    <col min="13576" max="13576" width="9.77734375" style="1" customWidth="1"/>
    <col min="13577" max="13577" width="16.21875" style="1" bestFit="1" customWidth="1"/>
    <col min="13578" max="13578" width="13.77734375" style="1" customWidth="1"/>
    <col min="13579" max="13579" width="12" style="1" customWidth="1"/>
    <col min="13580" max="13580" width="4.44140625" style="1" customWidth="1"/>
    <col min="13581" max="13824" width="9.21875" style="1"/>
    <col min="13825" max="13825" width="14" style="1" customWidth="1"/>
    <col min="13826" max="13826" width="10" style="1" customWidth="1"/>
    <col min="13827" max="13827" width="16.21875" style="1" customWidth="1"/>
    <col min="13828" max="13828" width="4.77734375" style="1" customWidth="1"/>
    <col min="13829" max="13829" width="13.44140625" style="1" customWidth="1"/>
    <col min="13830" max="13830" width="20.21875" style="1" customWidth="1"/>
    <col min="13831" max="13831" width="10.5546875" style="1" customWidth="1"/>
    <col min="13832" max="13832" width="9.77734375" style="1" customWidth="1"/>
    <col min="13833" max="13833" width="16.21875" style="1" bestFit="1" customWidth="1"/>
    <col min="13834" max="13834" width="13.77734375" style="1" customWidth="1"/>
    <col min="13835" max="13835" width="12" style="1" customWidth="1"/>
    <col min="13836" max="13836" width="4.44140625" style="1" customWidth="1"/>
    <col min="13837" max="14080" width="9.21875" style="1"/>
    <col min="14081" max="14081" width="14" style="1" customWidth="1"/>
    <col min="14082" max="14082" width="10" style="1" customWidth="1"/>
    <col min="14083" max="14083" width="16.21875" style="1" customWidth="1"/>
    <col min="14084" max="14084" width="4.77734375" style="1" customWidth="1"/>
    <col min="14085" max="14085" width="13.44140625" style="1" customWidth="1"/>
    <col min="14086" max="14086" width="20.21875" style="1" customWidth="1"/>
    <col min="14087" max="14087" width="10.5546875" style="1" customWidth="1"/>
    <col min="14088" max="14088" width="9.77734375" style="1" customWidth="1"/>
    <col min="14089" max="14089" width="16.21875" style="1" bestFit="1" customWidth="1"/>
    <col min="14090" max="14090" width="13.77734375" style="1" customWidth="1"/>
    <col min="14091" max="14091" width="12" style="1" customWidth="1"/>
    <col min="14092" max="14092" width="4.44140625" style="1" customWidth="1"/>
    <col min="14093" max="14336" width="9.21875" style="1"/>
    <col min="14337" max="14337" width="14" style="1" customWidth="1"/>
    <col min="14338" max="14338" width="10" style="1" customWidth="1"/>
    <col min="14339" max="14339" width="16.21875" style="1" customWidth="1"/>
    <col min="14340" max="14340" width="4.77734375" style="1" customWidth="1"/>
    <col min="14341" max="14341" width="13.44140625" style="1" customWidth="1"/>
    <col min="14342" max="14342" width="20.21875" style="1" customWidth="1"/>
    <col min="14343" max="14343" width="10.5546875" style="1" customWidth="1"/>
    <col min="14344" max="14344" width="9.77734375" style="1" customWidth="1"/>
    <col min="14345" max="14345" width="16.21875" style="1" bestFit="1" customWidth="1"/>
    <col min="14346" max="14346" width="13.77734375" style="1" customWidth="1"/>
    <col min="14347" max="14347" width="12" style="1" customWidth="1"/>
    <col min="14348" max="14348" width="4.44140625" style="1" customWidth="1"/>
    <col min="14349" max="14592" width="9.21875" style="1"/>
    <col min="14593" max="14593" width="14" style="1" customWidth="1"/>
    <col min="14594" max="14594" width="10" style="1" customWidth="1"/>
    <col min="14595" max="14595" width="16.21875" style="1" customWidth="1"/>
    <col min="14596" max="14596" width="4.77734375" style="1" customWidth="1"/>
    <col min="14597" max="14597" width="13.44140625" style="1" customWidth="1"/>
    <col min="14598" max="14598" width="20.21875" style="1" customWidth="1"/>
    <col min="14599" max="14599" width="10.5546875" style="1" customWidth="1"/>
    <col min="14600" max="14600" width="9.77734375" style="1" customWidth="1"/>
    <col min="14601" max="14601" width="16.21875" style="1" bestFit="1" customWidth="1"/>
    <col min="14602" max="14602" width="13.77734375" style="1" customWidth="1"/>
    <col min="14603" max="14603" width="12" style="1" customWidth="1"/>
    <col min="14604" max="14604" width="4.44140625" style="1" customWidth="1"/>
    <col min="14605" max="14848" width="9.21875" style="1"/>
    <col min="14849" max="14849" width="14" style="1" customWidth="1"/>
    <col min="14850" max="14850" width="10" style="1" customWidth="1"/>
    <col min="14851" max="14851" width="16.21875" style="1" customWidth="1"/>
    <col min="14852" max="14852" width="4.77734375" style="1" customWidth="1"/>
    <col min="14853" max="14853" width="13.44140625" style="1" customWidth="1"/>
    <col min="14854" max="14854" width="20.21875" style="1" customWidth="1"/>
    <col min="14855" max="14855" width="10.5546875" style="1" customWidth="1"/>
    <col min="14856" max="14856" width="9.77734375" style="1" customWidth="1"/>
    <col min="14857" max="14857" width="16.21875" style="1" bestFit="1" customWidth="1"/>
    <col min="14858" max="14858" width="13.77734375" style="1" customWidth="1"/>
    <col min="14859" max="14859" width="12" style="1" customWidth="1"/>
    <col min="14860" max="14860" width="4.44140625" style="1" customWidth="1"/>
    <col min="14861" max="15104" width="9.21875" style="1"/>
    <col min="15105" max="15105" width="14" style="1" customWidth="1"/>
    <col min="15106" max="15106" width="10" style="1" customWidth="1"/>
    <col min="15107" max="15107" width="16.21875" style="1" customWidth="1"/>
    <col min="15108" max="15108" width="4.77734375" style="1" customWidth="1"/>
    <col min="15109" max="15109" width="13.44140625" style="1" customWidth="1"/>
    <col min="15110" max="15110" width="20.21875" style="1" customWidth="1"/>
    <col min="15111" max="15111" width="10.5546875" style="1" customWidth="1"/>
    <col min="15112" max="15112" width="9.77734375" style="1" customWidth="1"/>
    <col min="15113" max="15113" width="16.21875" style="1" bestFit="1" customWidth="1"/>
    <col min="15114" max="15114" width="13.77734375" style="1" customWidth="1"/>
    <col min="15115" max="15115" width="12" style="1" customWidth="1"/>
    <col min="15116" max="15116" width="4.44140625" style="1" customWidth="1"/>
    <col min="15117" max="15360" width="9.21875" style="1"/>
    <col min="15361" max="15361" width="14" style="1" customWidth="1"/>
    <col min="15362" max="15362" width="10" style="1" customWidth="1"/>
    <col min="15363" max="15363" width="16.21875" style="1" customWidth="1"/>
    <col min="15364" max="15364" width="4.77734375" style="1" customWidth="1"/>
    <col min="15365" max="15365" width="13.44140625" style="1" customWidth="1"/>
    <col min="15366" max="15366" width="20.21875" style="1" customWidth="1"/>
    <col min="15367" max="15367" width="10.5546875" style="1" customWidth="1"/>
    <col min="15368" max="15368" width="9.77734375" style="1" customWidth="1"/>
    <col min="15369" max="15369" width="16.21875" style="1" bestFit="1" customWidth="1"/>
    <col min="15370" max="15370" width="13.77734375" style="1" customWidth="1"/>
    <col min="15371" max="15371" width="12" style="1" customWidth="1"/>
    <col min="15372" max="15372" width="4.44140625" style="1" customWidth="1"/>
    <col min="15373" max="15616" width="9.21875" style="1"/>
    <col min="15617" max="15617" width="14" style="1" customWidth="1"/>
    <col min="15618" max="15618" width="10" style="1" customWidth="1"/>
    <col min="15619" max="15619" width="16.21875" style="1" customWidth="1"/>
    <col min="15620" max="15620" width="4.77734375" style="1" customWidth="1"/>
    <col min="15621" max="15621" width="13.44140625" style="1" customWidth="1"/>
    <col min="15622" max="15622" width="20.21875" style="1" customWidth="1"/>
    <col min="15623" max="15623" width="10.5546875" style="1" customWidth="1"/>
    <col min="15624" max="15624" width="9.77734375" style="1" customWidth="1"/>
    <col min="15625" max="15625" width="16.21875" style="1" bestFit="1" customWidth="1"/>
    <col min="15626" max="15626" width="13.77734375" style="1" customWidth="1"/>
    <col min="15627" max="15627" width="12" style="1" customWidth="1"/>
    <col min="15628" max="15628" width="4.44140625" style="1" customWidth="1"/>
    <col min="15629" max="15872" width="9.21875" style="1"/>
    <col min="15873" max="15873" width="14" style="1" customWidth="1"/>
    <col min="15874" max="15874" width="10" style="1" customWidth="1"/>
    <col min="15875" max="15875" width="16.21875" style="1" customWidth="1"/>
    <col min="15876" max="15876" width="4.77734375" style="1" customWidth="1"/>
    <col min="15877" max="15877" width="13.44140625" style="1" customWidth="1"/>
    <col min="15878" max="15878" width="20.21875" style="1" customWidth="1"/>
    <col min="15879" max="15879" width="10.5546875" style="1" customWidth="1"/>
    <col min="15880" max="15880" width="9.77734375" style="1" customWidth="1"/>
    <col min="15881" max="15881" width="16.21875" style="1" bestFit="1" customWidth="1"/>
    <col min="15882" max="15882" width="13.77734375" style="1" customWidth="1"/>
    <col min="15883" max="15883" width="12" style="1" customWidth="1"/>
    <col min="15884" max="15884" width="4.44140625" style="1" customWidth="1"/>
    <col min="15885" max="16128" width="9.21875" style="1"/>
    <col min="16129" max="16129" width="14" style="1" customWidth="1"/>
    <col min="16130" max="16130" width="10" style="1" customWidth="1"/>
    <col min="16131" max="16131" width="16.21875" style="1" customWidth="1"/>
    <col min="16132" max="16132" width="4.77734375" style="1" customWidth="1"/>
    <col min="16133" max="16133" width="13.44140625" style="1" customWidth="1"/>
    <col min="16134" max="16134" width="20.21875" style="1" customWidth="1"/>
    <col min="16135" max="16135" width="10.5546875" style="1" customWidth="1"/>
    <col min="16136" max="16136" width="9.77734375" style="1" customWidth="1"/>
    <col min="16137" max="16137" width="16.21875" style="1" bestFit="1" customWidth="1"/>
    <col min="16138" max="16138" width="13.77734375" style="1" customWidth="1"/>
    <col min="16139" max="16139" width="12" style="1" customWidth="1"/>
    <col min="16140" max="16140" width="4.44140625" style="1" customWidth="1"/>
    <col min="16141" max="16384" width="9.21875" style="1"/>
  </cols>
  <sheetData>
    <row r="1" spans="1:14" ht="21" customHeight="1">
      <c r="A1" s="71" t="s">
        <v>70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3"/>
      <c r="N1" s="77" t="s">
        <v>71</v>
      </c>
    </row>
    <row r="2" spans="1:14" ht="21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  <c r="N2" s="78" t="s">
        <v>72</v>
      </c>
    </row>
    <row r="3" spans="1:14" ht="20.100000000000001" customHeight="1">
      <c r="A3" s="9"/>
      <c r="B3" s="10"/>
      <c r="C3" s="10"/>
      <c r="D3" s="10"/>
      <c r="E3" s="10"/>
      <c r="F3" s="10"/>
      <c r="G3" s="33"/>
      <c r="H3" s="43"/>
      <c r="I3" s="10"/>
      <c r="J3" s="10"/>
      <c r="K3" s="10"/>
      <c r="L3" s="19"/>
    </row>
    <row r="4" spans="1:14" ht="20.100000000000001" customHeight="1">
      <c r="A4" s="9"/>
      <c r="B4" s="56" t="s">
        <v>3</v>
      </c>
      <c r="C4" s="56"/>
      <c r="D4" s="57"/>
      <c r="E4" s="57"/>
      <c r="F4" s="57"/>
      <c r="G4" s="57"/>
      <c r="H4" s="57"/>
      <c r="I4" s="57"/>
      <c r="J4" s="57"/>
      <c r="K4" s="10"/>
      <c r="L4" s="19"/>
    </row>
    <row r="5" spans="1:14" ht="20.100000000000001" customHeight="1">
      <c r="A5" s="22"/>
      <c r="B5" s="10" t="s">
        <v>4</v>
      </c>
      <c r="C5" s="10"/>
      <c r="D5" s="20"/>
      <c r="E5" s="55"/>
      <c r="F5" s="20" t="s">
        <v>2</v>
      </c>
      <c r="G5" s="4">
        <v>11</v>
      </c>
      <c r="H5" s="10" t="s">
        <v>5</v>
      </c>
      <c r="I5" s="20"/>
      <c r="J5" s="20"/>
      <c r="K5" s="20"/>
      <c r="L5" s="46"/>
    </row>
    <row r="6" spans="1:14" ht="20.100000000000001" customHeight="1">
      <c r="A6" s="22"/>
      <c r="B6" s="10" t="s">
        <v>6</v>
      </c>
      <c r="C6" s="10"/>
      <c r="D6" s="20"/>
      <c r="E6" s="55"/>
      <c r="F6" s="20" t="s">
        <v>2</v>
      </c>
      <c r="G6" s="4">
        <v>1500</v>
      </c>
      <c r="H6" s="10" t="s">
        <v>7</v>
      </c>
      <c r="I6" s="20"/>
      <c r="J6" s="20"/>
      <c r="K6" s="20"/>
      <c r="L6" s="46"/>
    </row>
    <row r="7" spans="1:14" ht="20.100000000000001" customHeight="1">
      <c r="A7" s="22"/>
      <c r="B7" s="10" t="s">
        <v>8</v>
      </c>
      <c r="C7" s="10"/>
      <c r="D7" s="20"/>
      <c r="E7" s="55"/>
      <c r="F7" s="20" t="s">
        <v>2</v>
      </c>
      <c r="G7" s="5">
        <f>G6/(1.732*G5)</f>
        <v>78.731891664917072</v>
      </c>
      <c r="H7" s="10" t="s">
        <v>9</v>
      </c>
      <c r="I7" s="20"/>
      <c r="J7" s="20"/>
      <c r="K7" s="20"/>
      <c r="L7" s="46"/>
    </row>
    <row r="8" spans="1:14" ht="20.100000000000001" customHeight="1">
      <c r="A8" s="9"/>
      <c r="B8" s="10" t="s">
        <v>10</v>
      </c>
      <c r="C8" s="10"/>
      <c r="D8" s="10"/>
      <c r="E8" s="10"/>
      <c r="F8" s="10" t="s">
        <v>2</v>
      </c>
      <c r="G8" s="6">
        <v>20</v>
      </c>
      <c r="H8" s="10" t="s">
        <v>11</v>
      </c>
      <c r="I8" s="12"/>
      <c r="J8" s="10"/>
      <c r="K8" s="10"/>
      <c r="L8" s="19"/>
    </row>
    <row r="9" spans="1:14" ht="20.100000000000001" customHeight="1">
      <c r="A9" s="9"/>
      <c r="B9" s="10" t="s">
        <v>12</v>
      </c>
      <c r="C9" s="10"/>
      <c r="D9" s="10"/>
      <c r="E9" s="10"/>
      <c r="F9" s="10" t="s">
        <v>2</v>
      </c>
      <c r="G9" s="6">
        <v>1</v>
      </c>
      <c r="H9" s="10" t="s">
        <v>13</v>
      </c>
      <c r="I9" s="61" t="s">
        <v>14</v>
      </c>
      <c r="J9" s="62"/>
      <c r="K9" s="63"/>
      <c r="L9" s="19"/>
    </row>
    <row r="10" spans="1:14" ht="20.100000000000001" customHeight="1">
      <c r="A10" s="9"/>
      <c r="B10" s="10" t="s">
        <v>15</v>
      </c>
      <c r="C10" s="10"/>
      <c r="D10" s="10"/>
      <c r="E10" s="10"/>
      <c r="F10" s="10" t="s">
        <v>2</v>
      </c>
      <c r="G10" s="4">
        <v>94</v>
      </c>
      <c r="H10" s="10"/>
      <c r="I10" s="53" t="s">
        <v>16</v>
      </c>
      <c r="J10" s="54" t="s">
        <v>17</v>
      </c>
      <c r="K10" s="54" t="s">
        <v>18</v>
      </c>
      <c r="L10" s="46"/>
    </row>
    <row r="11" spans="1:14" ht="20.100000000000001" customHeight="1">
      <c r="A11" s="9"/>
      <c r="B11" s="10" t="s">
        <v>19</v>
      </c>
      <c r="C11" s="10"/>
      <c r="D11" s="10"/>
      <c r="E11" s="10"/>
      <c r="F11" s="10" t="s">
        <v>2</v>
      </c>
      <c r="G11" s="21" t="s">
        <v>20</v>
      </c>
      <c r="H11" s="10"/>
      <c r="I11" s="44" t="s">
        <v>21</v>
      </c>
      <c r="J11" s="45">
        <v>143</v>
      </c>
      <c r="K11" s="45">
        <v>94</v>
      </c>
      <c r="L11" s="46"/>
    </row>
    <row r="12" spans="1:14" ht="20.100000000000001" customHeight="1">
      <c r="A12" s="9"/>
      <c r="B12" s="10"/>
      <c r="C12" s="10"/>
      <c r="D12" s="10"/>
      <c r="E12" s="10"/>
      <c r="F12" s="10"/>
      <c r="G12" s="10"/>
      <c r="H12" s="10"/>
      <c r="I12" s="47" t="s">
        <v>22</v>
      </c>
      <c r="J12" s="45">
        <v>115</v>
      </c>
      <c r="K12" s="45">
        <v>76</v>
      </c>
      <c r="L12" s="46"/>
    </row>
    <row r="13" spans="1:14" ht="20.100000000000001" customHeight="1">
      <c r="A13" s="9"/>
      <c r="B13" s="56" t="s">
        <v>1</v>
      </c>
      <c r="C13" s="56"/>
      <c r="D13" s="57"/>
      <c r="E13" s="57"/>
      <c r="F13" s="57"/>
      <c r="G13" s="57"/>
      <c r="H13" s="57"/>
      <c r="I13" s="57"/>
      <c r="J13" s="57"/>
      <c r="K13" s="10"/>
      <c r="L13" s="19"/>
    </row>
    <row r="14" spans="1:14" ht="20.100000000000001" customHeight="1">
      <c r="A14" s="9"/>
      <c r="B14" s="10" t="s">
        <v>23</v>
      </c>
      <c r="C14" s="10"/>
      <c r="D14" s="10"/>
      <c r="E14" s="10"/>
      <c r="F14" s="10" t="s">
        <v>2</v>
      </c>
      <c r="G14" s="48" t="s">
        <v>24</v>
      </c>
      <c r="H14" s="10"/>
      <c r="I14" s="10"/>
      <c r="J14" s="10"/>
      <c r="K14" s="10"/>
      <c r="L14" s="19"/>
    </row>
    <row r="15" spans="1:14" ht="20.100000000000001" customHeight="1">
      <c r="A15" s="9"/>
      <c r="B15" s="10"/>
      <c r="C15" s="10"/>
      <c r="D15" s="10"/>
      <c r="E15" s="10"/>
      <c r="F15" s="10"/>
      <c r="G15" s="21" t="s">
        <v>25</v>
      </c>
      <c r="H15" s="10"/>
      <c r="I15" s="10"/>
      <c r="J15" s="10"/>
      <c r="K15" s="10"/>
      <c r="L15" s="19"/>
    </row>
    <row r="16" spans="1:14" ht="20.100000000000001" customHeight="1">
      <c r="A16" s="9"/>
      <c r="B16" s="10"/>
      <c r="C16" s="10"/>
      <c r="D16" s="10"/>
      <c r="E16" s="10"/>
      <c r="F16" s="10" t="s">
        <v>2</v>
      </c>
      <c r="G16" s="49">
        <f>G8</f>
        <v>20</v>
      </c>
      <c r="H16" s="50" t="s">
        <v>26</v>
      </c>
      <c r="I16" s="51">
        <f>SQRT(G9)</f>
        <v>1</v>
      </c>
      <c r="J16" s="10"/>
      <c r="K16" s="10"/>
      <c r="L16" s="19"/>
    </row>
    <row r="17" spans="1:12" ht="20.100000000000001" customHeight="1">
      <c r="A17" s="9"/>
      <c r="B17" s="10"/>
      <c r="C17" s="10"/>
      <c r="D17" s="10"/>
      <c r="E17" s="10"/>
      <c r="F17" s="10"/>
      <c r="G17" s="10"/>
      <c r="H17" s="21">
        <f>G10</f>
        <v>94</v>
      </c>
      <c r="I17" s="10"/>
      <c r="J17" s="10"/>
      <c r="K17" s="10"/>
      <c r="L17" s="19"/>
    </row>
    <row r="18" spans="1:12" ht="20.100000000000001" customHeight="1">
      <c r="A18" s="9"/>
      <c r="B18" s="10"/>
      <c r="C18" s="10"/>
      <c r="D18" s="10"/>
      <c r="E18" s="10"/>
      <c r="F18" s="10" t="s">
        <v>2</v>
      </c>
      <c r="G18" s="52">
        <f>((G16*I16)/H17)*1000</f>
        <v>212.7659574468085</v>
      </c>
      <c r="H18" s="10"/>
      <c r="I18" s="10"/>
      <c r="J18" s="10"/>
      <c r="K18" s="10"/>
      <c r="L18" s="19"/>
    </row>
    <row r="19" spans="1:12" ht="20.100000000000001" customHeight="1">
      <c r="A19" s="9"/>
      <c r="B19" s="10" t="s">
        <v>27</v>
      </c>
      <c r="C19" s="10"/>
      <c r="D19" s="10"/>
      <c r="E19" s="10"/>
      <c r="F19" s="10" t="s">
        <v>2</v>
      </c>
      <c r="G19" s="7" t="s">
        <v>28</v>
      </c>
      <c r="H19" s="8">
        <v>240</v>
      </c>
      <c r="I19" s="10" t="s">
        <v>29</v>
      </c>
      <c r="J19" s="10" t="s">
        <v>30</v>
      </c>
      <c r="K19" s="10"/>
      <c r="L19" s="19"/>
    </row>
    <row r="20" spans="1:12" ht="20.100000000000001" customHeight="1">
      <c r="A20" s="9"/>
      <c r="B20" s="10"/>
      <c r="C20" s="10"/>
      <c r="D20" s="10"/>
      <c r="E20" s="10"/>
      <c r="F20" s="10"/>
      <c r="G20" s="33"/>
      <c r="H20" s="43"/>
      <c r="I20" s="10"/>
      <c r="J20" s="10"/>
      <c r="K20" s="10"/>
      <c r="L20" s="19"/>
    </row>
    <row r="21" spans="1:12" ht="20.100000000000001" customHeight="1">
      <c r="A21" s="9"/>
      <c r="B21" s="56" t="s">
        <v>31</v>
      </c>
      <c r="C21" s="56"/>
      <c r="D21" s="57"/>
      <c r="E21" s="57"/>
      <c r="F21" s="57"/>
      <c r="G21" s="57"/>
      <c r="H21" s="57"/>
      <c r="I21" s="57"/>
      <c r="J21" s="57"/>
      <c r="K21" s="10"/>
      <c r="L21" s="19"/>
    </row>
    <row r="22" spans="1:12" ht="20.100000000000001" customHeight="1">
      <c r="A22" s="9"/>
      <c r="B22" s="10" t="s">
        <v>32</v>
      </c>
      <c r="C22" s="10"/>
      <c r="D22" s="10"/>
      <c r="E22" s="10"/>
      <c r="F22" s="10"/>
      <c r="G22" s="10"/>
      <c r="H22" s="21" t="s">
        <v>2</v>
      </c>
      <c r="I22" s="4">
        <v>0.87</v>
      </c>
      <c r="J22" s="10"/>
      <c r="K22" s="10"/>
      <c r="L22" s="19"/>
    </row>
    <row r="23" spans="1:12" ht="20.100000000000001" customHeight="1">
      <c r="A23" s="9"/>
      <c r="B23" s="10" t="s">
        <v>33</v>
      </c>
      <c r="C23" s="10"/>
      <c r="D23" s="10"/>
      <c r="E23" s="10"/>
      <c r="F23" s="10"/>
      <c r="G23" s="20"/>
      <c r="H23" s="21" t="s">
        <v>2</v>
      </c>
      <c r="I23" s="4">
        <v>0.99</v>
      </c>
      <c r="J23" s="10"/>
      <c r="K23" s="10"/>
      <c r="L23" s="19"/>
    </row>
    <row r="24" spans="1:12" ht="20.100000000000001" customHeight="1">
      <c r="A24" s="9"/>
      <c r="B24" s="10" t="s">
        <v>34</v>
      </c>
      <c r="C24" s="10"/>
      <c r="D24" s="10"/>
      <c r="E24" s="10"/>
      <c r="F24" s="10"/>
      <c r="G24" s="20"/>
      <c r="H24" s="21" t="s">
        <v>2</v>
      </c>
      <c r="I24" s="4">
        <v>1</v>
      </c>
      <c r="J24" s="10"/>
      <c r="K24" s="10"/>
      <c r="L24" s="19"/>
    </row>
    <row r="25" spans="1:12" ht="34.5" customHeight="1">
      <c r="A25" s="9"/>
      <c r="B25" s="64" t="s">
        <v>35</v>
      </c>
      <c r="C25" s="64"/>
      <c r="D25" s="64"/>
      <c r="E25" s="64"/>
      <c r="F25" s="64"/>
      <c r="G25" s="64"/>
      <c r="H25" s="21" t="s">
        <v>2</v>
      </c>
      <c r="I25" s="4">
        <v>0.9</v>
      </c>
      <c r="J25" s="10"/>
      <c r="K25" s="10"/>
      <c r="L25" s="19"/>
    </row>
    <row r="26" spans="1:12" ht="20.100000000000001" customHeight="1">
      <c r="A26" s="9"/>
      <c r="B26" s="10" t="s">
        <v>36</v>
      </c>
      <c r="C26" s="10"/>
      <c r="D26" s="10"/>
      <c r="E26" s="10"/>
      <c r="F26" s="10"/>
      <c r="G26" s="10"/>
      <c r="H26" s="21" t="s">
        <v>2</v>
      </c>
      <c r="I26" s="4">
        <v>1</v>
      </c>
      <c r="J26" s="10"/>
      <c r="K26" s="10"/>
      <c r="L26" s="19"/>
    </row>
    <row r="27" spans="1:12" ht="20.100000000000001" customHeight="1">
      <c r="A27" s="9"/>
      <c r="B27" s="10" t="s">
        <v>37</v>
      </c>
      <c r="C27" s="10"/>
      <c r="D27" s="12">
        <f>H19</f>
        <v>240</v>
      </c>
      <c r="E27" s="12" t="s">
        <v>29</v>
      </c>
      <c r="F27" s="20"/>
      <c r="G27" s="20"/>
      <c r="H27" s="21" t="s">
        <v>2</v>
      </c>
      <c r="I27" s="4">
        <v>355</v>
      </c>
      <c r="J27" s="10" t="s">
        <v>0</v>
      </c>
      <c r="K27" s="10"/>
      <c r="L27" s="19"/>
    </row>
    <row r="28" spans="1:12" ht="20.100000000000001" customHeight="1">
      <c r="A28" s="9"/>
      <c r="B28" s="56" t="s">
        <v>38</v>
      </c>
      <c r="C28" s="56"/>
      <c r="D28" s="57"/>
      <c r="E28" s="57"/>
      <c r="F28" s="57"/>
      <c r="G28" s="57"/>
      <c r="H28" s="57"/>
      <c r="I28" s="57"/>
      <c r="J28" s="57"/>
      <c r="K28" s="10"/>
      <c r="L28" s="19"/>
    </row>
    <row r="29" spans="1:12" ht="20.100000000000001" customHeight="1">
      <c r="A29" s="9"/>
      <c r="B29" s="10" t="s">
        <v>39</v>
      </c>
      <c r="C29" s="10"/>
      <c r="D29" s="20"/>
      <c r="E29" s="10"/>
      <c r="F29" s="21" t="s">
        <v>2</v>
      </c>
      <c r="G29" s="10" t="s">
        <v>40</v>
      </c>
      <c r="H29" s="10"/>
      <c r="I29" s="10"/>
      <c r="J29" s="10"/>
      <c r="K29" s="10"/>
      <c r="L29" s="19"/>
    </row>
    <row r="30" spans="1:12" ht="20.100000000000001" customHeight="1">
      <c r="A30" s="9"/>
      <c r="B30" s="10"/>
      <c r="C30" s="10"/>
      <c r="D30" s="10"/>
      <c r="E30" s="10"/>
      <c r="F30" s="21" t="s">
        <v>2</v>
      </c>
      <c r="G30" s="10">
        <f>I22*I23*I24*I25</f>
        <v>0.77517000000000003</v>
      </c>
      <c r="H30" s="10"/>
      <c r="I30" s="10"/>
      <c r="J30" s="10"/>
      <c r="K30" s="10"/>
      <c r="L30" s="19"/>
    </row>
    <row r="31" spans="1:12" s="2" customFormat="1" ht="23.25" customHeight="1">
      <c r="A31" s="31"/>
      <c r="B31" s="32" t="s">
        <v>41</v>
      </c>
      <c r="C31" s="32"/>
      <c r="D31" s="32"/>
      <c r="E31" s="32"/>
      <c r="F31" s="33" t="s">
        <v>2</v>
      </c>
      <c r="G31" s="32">
        <f>I27</f>
        <v>355</v>
      </c>
      <c r="H31" s="33" t="s">
        <v>26</v>
      </c>
      <c r="I31" s="33">
        <f>G30</f>
        <v>0.77517000000000003</v>
      </c>
      <c r="J31" s="21" t="s">
        <v>26</v>
      </c>
      <c r="K31" s="12">
        <f>I26</f>
        <v>1</v>
      </c>
      <c r="L31" s="34"/>
    </row>
    <row r="32" spans="1:12" s="2" customFormat="1" ht="20.100000000000001" customHeight="1">
      <c r="A32" s="31"/>
      <c r="B32" s="35" t="s">
        <v>42</v>
      </c>
      <c r="C32" s="36"/>
      <c r="D32" s="36"/>
      <c r="E32" s="36"/>
      <c r="F32" s="37" t="s">
        <v>2</v>
      </c>
      <c r="G32" s="37">
        <f>G31*I31*K31</f>
        <v>275.18535000000003</v>
      </c>
      <c r="H32" s="38" t="s">
        <v>9</v>
      </c>
      <c r="I32" s="32"/>
      <c r="J32" s="39"/>
      <c r="K32" s="39"/>
      <c r="L32" s="40"/>
    </row>
    <row r="33" spans="1:17" s="2" customFormat="1" ht="20.100000000000001" customHeight="1">
      <c r="A33" s="31"/>
      <c r="B33" s="32"/>
      <c r="C33" s="32"/>
      <c r="D33" s="32"/>
      <c r="E33" s="32"/>
      <c r="F33" s="33"/>
      <c r="G33" s="33"/>
      <c r="H33" s="32"/>
      <c r="I33" s="32"/>
      <c r="J33" s="39"/>
      <c r="K33" s="39"/>
      <c r="L33" s="40"/>
    </row>
    <row r="34" spans="1:17" s="2" customFormat="1" ht="20.100000000000001" customHeight="1">
      <c r="A34" s="65" t="s">
        <v>43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P34" s="68"/>
      <c r="Q34" s="68"/>
    </row>
    <row r="35" spans="1:17" s="2" customFormat="1" ht="20.100000000000001" customHeight="1">
      <c r="A35" s="41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42"/>
      <c r="P35" s="3"/>
      <c r="Q35" s="3"/>
    </row>
    <row r="36" spans="1:17" ht="20.100000000000001" customHeight="1">
      <c r="A36" s="9"/>
      <c r="B36" s="56" t="s">
        <v>31</v>
      </c>
      <c r="C36" s="56"/>
      <c r="D36" s="57"/>
      <c r="E36" s="57"/>
      <c r="F36" s="57"/>
      <c r="G36" s="57"/>
      <c r="H36" s="57"/>
      <c r="I36" s="57"/>
      <c r="J36" s="57"/>
      <c r="K36" s="10"/>
      <c r="L36" s="19"/>
    </row>
    <row r="37" spans="1:17" ht="20.100000000000001" customHeight="1">
      <c r="A37" s="9"/>
      <c r="B37" s="10" t="s">
        <v>44</v>
      </c>
      <c r="C37" s="10"/>
      <c r="D37" s="20"/>
      <c r="E37" s="20"/>
      <c r="F37" s="12" t="s">
        <v>45</v>
      </c>
      <c r="G37" s="21"/>
      <c r="H37" s="20"/>
      <c r="I37" s="21" t="s">
        <v>2</v>
      </c>
      <c r="J37" s="4">
        <v>0.13</v>
      </c>
      <c r="K37" s="10"/>
      <c r="L37" s="19"/>
    </row>
    <row r="38" spans="1:17" ht="20.100000000000001" customHeight="1">
      <c r="A38" s="9"/>
      <c r="B38" s="10" t="s">
        <v>46</v>
      </c>
      <c r="C38" s="10"/>
      <c r="D38" s="20"/>
      <c r="E38" s="20"/>
      <c r="F38" s="12" t="s">
        <v>47</v>
      </c>
      <c r="G38" s="21"/>
      <c r="H38" s="20"/>
      <c r="I38" s="21" t="s">
        <v>2</v>
      </c>
      <c r="J38" s="4">
        <v>0.10299999999999999</v>
      </c>
      <c r="K38" s="10"/>
      <c r="L38" s="19"/>
    </row>
    <row r="39" spans="1:17" ht="20.100000000000001" customHeight="1">
      <c r="A39" s="9"/>
      <c r="B39" s="10" t="s">
        <v>48</v>
      </c>
      <c r="C39" s="10"/>
      <c r="D39" s="20"/>
      <c r="E39" s="20"/>
      <c r="F39" s="12" t="s">
        <v>49</v>
      </c>
      <c r="G39" s="21"/>
      <c r="H39" s="20"/>
      <c r="I39" s="21" t="s">
        <v>2</v>
      </c>
      <c r="J39" s="4">
        <v>0.8</v>
      </c>
      <c r="K39" s="10"/>
      <c r="L39" s="19"/>
    </row>
    <row r="40" spans="1:17" ht="20.100000000000001" customHeight="1">
      <c r="A40" s="9"/>
      <c r="B40" s="10" t="s">
        <v>50</v>
      </c>
      <c r="C40" s="10"/>
      <c r="D40" s="10"/>
      <c r="E40" s="20"/>
      <c r="F40" s="10"/>
      <c r="G40" s="21"/>
      <c r="H40" s="20"/>
      <c r="I40" s="21" t="s">
        <v>2</v>
      </c>
      <c r="J40" s="4">
        <v>250</v>
      </c>
      <c r="K40" s="10"/>
      <c r="L40" s="19"/>
    </row>
    <row r="41" spans="1:17" ht="20.100000000000001" customHeight="1">
      <c r="A41" s="9"/>
      <c r="B41" s="10" t="s">
        <v>51</v>
      </c>
      <c r="C41" s="10"/>
      <c r="D41" s="10"/>
      <c r="E41" s="20"/>
      <c r="F41" s="10"/>
      <c r="G41" s="21"/>
      <c r="H41" s="20"/>
      <c r="I41" s="21" t="s">
        <v>2</v>
      </c>
      <c r="J41" s="4">
        <v>500</v>
      </c>
      <c r="K41" s="10"/>
      <c r="L41" s="19"/>
    </row>
    <row r="42" spans="1:17" ht="20.100000000000001" customHeight="1">
      <c r="A42" s="22"/>
      <c r="B42" s="56" t="s">
        <v>52</v>
      </c>
      <c r="C42" s="57"/>
      <c r="D42" s="57"/>
      <c r="E42" s="58"/>
      <c r="F42" s="57"/>
      <c r="G42" s="59"/>
      <c r="H42" s="57"/>
      <c r="I42" s="59"/>
      <c r="J42" s="57"/>
      <c r="K42" s="10"/>
      <c r="L42" s="19"/>
    </row>
    <row r="43" spans="1:17" ht="20.100000000000001" customHeight="1">
      <c r="A43" s="9"/>
      <c r="B43" s="10" t="s">
        <v>53</v>
      </c>
      <c r="C43" s="10"/>
      <c r="D43" s="10"/>
      <c r="E43" s="20"/>
      <c r="F43" s="12" t="s">
        <v>54</v>
      </c>
      <c r="G43" s="21"/>
      <c r="H43" s="20"/>
      <c r="I43" s="21" t="s">
        <v>2</v>
      </c>
      <c r="J43" s="23">
        <f>(J37*J39)+(J38*SIN(ACOS(J39)))</f>
        <v>0.1658</v>
      </c>
      <c r="K43" s="10"/>
      <c r="L43" s="19"/>
    </row>
    <row r="44" spans="1:17" ht="20.100000000000001" customHeight="1">
      <c r="A44" s="9"/>
      <c r="B44" s="10" t="s">
        <v>55</v>
      </c>
      <c r="C44" s="10"/>
      <c r="D44" s="10"/>
      <c r="E44" s="20"/>
      <c r="F44" s="10"/>
      <c r="G44" s="21"/>
      <c r="H44" s="20"/>
      <c r="I44" s="21" t="s">
        <v>2</v>
      </c>
      <c r="J44" s="21">
        <f>I26</f>
        <v>1</v>
      </c>
      <c r="K44" s="10"/>
      <c r="L44" s="19"/>
    </row>
    <row r="45" spans="1:17" ht="20.100000000000001" customHeight="1">
      <c r="A45" s="9"/>
      <c r="B45" s="10" t="s">
        <v>56</v>
      </c>
      <c r="C45" s="10"/>
      <c r="D45" s="10" t="s">
        <v>57</v>
      </c>
      <c r="E45" s="20"/>
      <c r="F45" s="10"/>
      <c r="G45" s="21"/>
      <c r="H45" s="20"/>
      <c r="I45" s="21" t="s">
        <v>2</v>
      </c>
      <c r="J45" s="24">
        <f>J43/J44</f>
        <v>0.1658</v>
      </c>
      <c r="K45" s="10"/>
      <c r="L45" s="19"/>
    </row>
    <row r="46" spans="1:17" ht="20.100000000000001" customHeight="1">
      <c r="A46" s="9"/>
      <c r="B46" s="10" t="s">
        <v>58</v>
      </c>
      <c r="C46" s="10"/>
      <c r="D46" s="20"/>
      <c r="E46" s="20"/>
      <c r="F46" s="20"/>
      <c r="G46" s="20"/>
      <c r="H46" s="25" t="s">
        <v>59</v>
      </c>
      <c r="I46" s="21" t="s">
        <v>2</v>
      </c>
      <c r="J46" s="26">
        <f>(1.732*G7*J45*(J40/1000))</f>
        <v>5.6522727272727282</v>
      </c>
      <c r="K46" s="10"/>
      <c r="L46" s="19"/>
    </row>
    <row r="47" spans="1:17" ht="20.100000000000001" customHeight="1">
      <c r="A47" s="9"/>
      <c r="B47" s="10" t="s">
        <v>60</v>
      </c>
      <c r="C47" s="10"/>
      <c r="D47" s="20"/>
      <c r="E47" s="20"/>
      <c r="F47" s="20"/>
      <c r="G47" s="21"/>
      <c r="H47" s="25" t="s">
        <v>61</v>
      </c>
      <c r="I47" s="21" t="s">
        <v>2</v>
      </c>
      <c r="J47" s="27">
        <f>J46/(G5*1000)</f>
        <v>5.1384297520661168E-4</v>
      </c>
      <c r="K47" s="10"/>
      <c r="L47" s="19"/>
    </row>
    <row r="48" spans="1:17" ht="20.100000000000001" customHeight="1">
      <c r="A48" s="9"/>
      <c r="B48" s="10" t="s">
        <v>62</v>
      </c>
      <c r="C48" s="10"/>
      <c r="D48" s="20"/>
      <c r="E48" s="20"/>
      <c r="F48" s="10"/>
      <c r="G48" s="21"/>
      <c r="H48" s="10"/>
      <c r="I48" s="21" t="s">
        <v>2</v>
      </c>
      <c r="J48" s="28">
        <v>2.5000000000000001E-2</v>
      </c>
      <c r="K48" s="10"/>
      <c r="L48" s="19"/>
    </row>
    <row r="49" spans="1:12" ht="20.100000000000001" customHeight="1">
      <c r="A49" s="9"/>
      <c r="B49" s="29" t="s">
        <v>63</v>
      </c>
      <c r="C49" s="10"/>
      <c r="D49" s="20"/>
      <c r="E49" s="20"/>
      <c r="F49" s="10"/>
      <c r="G49" s="21"/>
      <c r="H49" s="10"/>
      <c r="I49" s="21"/>
      <c r="J49" s="30"/>
      <c r="K49" s="10"/>
      <c r="L49" s="19"/>
    </row>
    <row r="50" spans="1:12" ht="20.100000000000001" customHeight="1">
      <c r="A50" s="9"/>
      <c r="B50" s="10" t="s">
        <v>64</v>
      </c>
      <c r="C50" s="10"/>
      <c r="D50" s="20"/>
      <c r="E50" s="20"/>
      <c r="F50" s="20"/>
      <c r="G50" s="20"/>
      <c r="H50" s="25"/>
      <c r="I50" s="21"/>
      <c r="J50" s="26"/>
      <c r="K50" s="10"/>
      <c r="L50" s="19"/>
    </row>
    <row r="51" spans="1:12" ht="27.75" customHeight="1">
      <c r="A51" s="9"/>
      <c r="B51" s="10"/>
      <c r="C51" s="10"/>
      <c r="D51" s="20"/>
      <c r="E51" s="20"/>
      <c r="F51" s="20"/>
      <c r="G51" s="20"/>
      <c r="H51" s="25"/>
      <c r="I51" s="21"/>
      <c r="J51" s="26"/>
      <c r="K51" s="10"/>
      <c r="L51" s="19"/>
    </row>
    <row r="52" spans="1:12" ht="19.5" customHeight="1">
      <c r="A52" s="9"/>
      <c r="B52" s="10"/>
      <c r="C52" s="10"/>
      <c r="D52" s="20"/>
      <c r="E52" s="10"/>
      <c r="F52" s="21"/>
      <c r="G52" s="10"/>
      <c r="H52" s="10"/>
      <c r="I52" s="10"/>
      <c r="J52" s="69" t="str">
        <f>IF((G32&gt;=G7),"CABLE SIZE IS OK"," CABLE SIZE IS NOT OK")</f>
        <v>CABLE SIZE IS OK</v>
      </c>
      <c r="K52" s="69"/>
      <c r="L52" s="19"/>
    </row>
    <row r="53" spans="1:12" ht="17.399999999999999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3"/>
    </row>
    <row r="54" spans="1:12" ht="17.399999999999999">
      <c r="A54" s="9"/>
      <c r="B54" s="10"/>
      <c r="C54" s="10"/>
      <c r="D54" s="60" t="s">
        <v>65</v>
      </c>
      <c r="E54" s="60"/>
      <c r="F54" s="60"/>
      <c r="G54" s="60"/>
      <c r="H54" s="60"/>
      <c r="I54" s="60"/>
      <c r="J54" s="10"/>
      <c r="K54" s="10"/>
      <c r="L54" s="13"/>
    </row>
    <row r="55" spans="1:12" ht="19.8">
      <c r="A55" s="9"/>
      <c r="B55" s="10"/>
      <c r="C55" s="10"/>
      <c r="D55" s="11"/>
      <c r="E55" s="12"/>
      <c r="F55" s="10"/>
      <c r="G55" s="10"/>
      <c r="H55" s="10"/>
      <c r="I55" s="10"/>
      <c r="J55" s="10"/>
      <c r="K55" s="10"/>
      <c r="L55" s="13"/>
    </row>
    <row r="56" spans="1:12" ht="20.399999999999999" thickBot="1">
      <c r="A56" s="14"/>
      <c r="B56" s="15"/>
      <c r="C56" s="15"/>
      <c r="D56" s="16"/>
      <c r="E56" s="17"/>
      <c r="F56" s="15"/>
      <c r="G56" s="15"/>
      <c r="H56" s="15"/>
      <c r="I56" s="15"/>
      <c r="J56" s="15"/>
      <c r="K56" s="15"/>
      <c r="L56" s="18"/>
    </row>
    <row r="57" spans="1:12" ht="20.100000000000001" customHeight="1">
      <c r="A57" s="9"/>
      <c r="B57" s="10"/>
      <c r="C57" s="10"/>
      <c r="D57" s="10"/>
      <c r="E57" s="10"/>
      <c r="F57" s="10"/>
      <c r="G57" s="33"/>
      <c r="H57" s="43"/>
      <c r="I57" s="10"/>
      <c r="J57" s="10"/>
      <c r="K57" s="10"/>
      <c r="L57" s="19"/>
    </row>
    <row r="58" spans="1:12" ht="20.100000000000001" customHeight="1">
      <c r="A58" s="9"/>
      <c r="B58" s="56" t="s">
        <v>3</v>
      </c>
      <c r="C58" s="56"/>
      <c r="D58" s="57"/>
      <c r="E58" s="57"/>
      <c r="F58" s="57"/>
      <c r="G58" s="57"/>
      <c r="H58" s="57"/>
      <c r="I58" s="57"/>
      <c r="J58" s="57"/>
      <c r="K58" s="10"/>
      <c r="L58" s="19"/>
    </row>
    <row r="59" spans="1:12" ht="20.100000000000001" customHeight="1">
      <c r="A59" s="22"/>
      <c r="B59" s="10" t="s">
        <v>4</v>
      </c>
      <c r="C59" s="10"/>
      <c r="D59" s="20"/>
      <c r="E59" s="55"/>
      <c r="F59" s="20" t="s">
        <v>2</v>
      </c>
      <c r="G59" s="4">
        <v>11</v>
      </c>
      <c r="H59" s="10" t="s">
        <v>5</v>
      </c>
      <c r="I59" s="20"/>
      <c r="J59" s="20"/>
      <c r="K59" s="20"/>
      <c r="L59" s="46"/>
    </row>
    <row r="60" spans="1:12" ht="20.100000000000001" customHeight="1">
      <c r="A60" s="22"/>
      <c r="B60" s="10" t="s">
        <v>6</v>
      </c>
      <c r="C60" s="10"/>
      <c r="D60" s="20"/>
      <c r="E60" s="55"/>
      <c r="F60" s="20" t="s">
        <v>2</v>
      </c>
      <c r="G60" s="4">
        <v>750</v>
      </c>
      <c r="H60" s="10" t="s">
        <v>7</v>
      </c>
      <c r="I60" s="20"/>
      <c r="J60" s="20"/>
      <c r="K60" s="20"/>
      <c r="L60" s="46"/>
    </row>
    <row r="61" spans="1:12" ht="20.100000000000001" customHeight="1">
      <c r="A61" s="22"/>
      <c r="B61" s="10" t="s">
        <v>8</v>
      </c>
      <c r="C61" s="10"/>
      <c r="D61" s="20"/>
      <c r="E61" s="55"/>
      <c r="F61" s="20" t="s">
        <v>2</v>
      </c>
      <c r="G61" s="5">
        <f>G60/(1.732*G59)</f>
        <v>39.365945832458536</v>
      </c>
      <c r="H61" s="10" t="s">
        <v>9</v>
      </c>
      <c r="I61" s="20"/>
      <c r="J61" s="20"/>
      <c r="K61" s="20"/>
      <c r="L61" s="46"/>
    </row>
    <row r="62" spans="1:12" ht="20.100000000000001" customHeight="1">
      <c r="A62" s="9"/>
      <c r="B62" s="10" t="s">
        <v>10</v>
      </c>
      <c r="C62" s="10"/>
      <c r="D62" s="10"/>
      <c r="E62" s="10"/>
      <c r="F62" s="10" t="s">
        <v>2</v>
      </c>
      <c r="G62" s="6">
        <v>18.5</v>
      </c>
      <c r="H62" s="10" t="s">
        <v>11</v>
      </c>
      <c r="I62" s="12"/>
      <c r="J62" s="10"/>
      <c r="K62" s="10"/>
      <c r="L62" s="19"/>
    </row>
    <row r="63" spans="1:12" ht="20.100000000000001" customHeight="1">
      <c r="A63" s="9"/>
      <c r="B63" s="10" t="s">
        <v>12</v>
      </c>
      <c r="C63" s="10"/>
      <c r="D63" s="10"/>
      <c r="E63" s="10"/>
      <c r="F63" s="10" t="s">
        <v>2</v>
      </c>
      <c r="G63" s="6">
        <v>1</v>
      </c>
      <c r="H63" s="10" t="s">
        <v>13</v>
      </c>
      <c r="I63" s="61" t="s">
        <v>14</v>
      </c>
      <c r="J63" s="62"/>
      <c r="K63" s="63"/>
      <c r="L63" s="19"/>
    </row>
    <row r="64" spans="1:12" ht="20.100000000000001" customHeight="1">
      <c r="A64" s="9"/>
      <c r="B64" s="10" t="s">
        <v>15</v>
      </c>
      <c r="C64" s="10"/>
      <c r="D64" s="10"/>
      <c r="E64" s="10"/>
      <c r="F64" s="10" t="s">
        <v>2</v>
      </c>
      <c r="G64" s="4">
        <v>94</v>
      </c>
      <c r="H64" s="10"/>
      <c r="I64" s="53" t="s">
        <v>16</v>
      </c>
      <c r="J64" s="54" t="s">
        <v>17</v>
      </c>
      <c r="K64" s="54" t="s">
        <v>18</v>
      </c>
      <c r="L64" s="46"/>
    </row>
    <row r="65" spans="1:12" ht="20.100000000000001" customHeight="1">
      <c r="A65" s="9"/>
      <c r="B65" s="10" t="s">
        <v>19</v>
      </c>
      <c r="C65" s="10"/>
      <c r="D65" s="10"/>
      <c r="E65" s="10"/>
      <c r="F65" s="10" t="s">
        <v>2</v>
      </c>
      <c r="G65" s="21" t="s">
        <v>20</v>
      </c>
      <c r="H65" s="10"/>
      <c r="I65" s="44" t="s">
        <v>21</v>
      </c>
      <c r="J65" s="45">
        <v>143</v>
      </c>
      <c r="K65" s="45">
        <v>94</v>
      </c>
      <c r="L65" s="46"/>
    </row>
    <row r="66" spans="1:12" ht="20.100000000000001" customHeight="1">
      <c r="A66" s="9"/>
      <c r="B66" s="10"/>
      <c r="C66" s="10"/>
      <c r="D66" s="10"/>
      <c r="E66" s="10"/>
      <c r="F66" s="10"/>
      <c r="G66" s="10"/>
      <c r="H66" s="10"/>
      <c r="I66" s="47" t="s">
        <v>22</v>
      </c>
      <c r="J66" s="45">
        <v>115</v>
      </c>
      <c r="K66" s="45">
        <v>76</v>
      </c>
      <c r="L66" s="46"/>
    </row>
    <row r="67" spans="1:12" ht="20.100000000000001" customHeight="1">
      <c r="A67" s="9"/>
      <c r="B67" s="56" t="s">
        <v>1</v>
      </c>
      <c r="C67" s="56"/>
      <c r="D67" s="57"/>
      <c r="E67" s="57"/>
      <c r="F67" s="57"/>
      <c r="G67" s="57"/>
      <c r="H67" s="57"/>
      <c r="I67" s="57"/>
      <c r="J67" s="57"/>
      <c r="K67" s="10"/>
      <c r="L67" s="19"/>
    </row>
    <row r="68" spans="1:12" ht="20.100000000000001" customHeight="1">
      <c r="A68" s="9"/>
      <c r="B68" s="10" t="s">
        <v>23</v>
      </c>
      <c r="C68" s="10"/>
      <c r="D68" s="10"/>
      <c r="E68" s="10"/>
      <c r="F68" s="10" t="s">
        <v>2</v>
      </c>
      <c r="G68" s="48" t="s">
        <v>24</v>
      </c>
      <c r="H68" s="10"/>
      <c r="I68" s="10"/>
      <c r="J68" s="10"/>
      <c r="K68" s="10"/>
      <c r="L68" s="19"/>
    </row>
    <row r="69" spans="1:12" ht="20.100000000000001" customHeight="1">
      <c r="A69" s="9"/>
      <c r="B69" s="10"/>
      <c r="C69" s="10"/>
      <c r="D69" s="10"/>
      <c r="E69" s="10"/>
      <c r="F69" s="10"/>
      <c r="G69" s="21" t="s">
        <v>25</v>
      </c>
      <c r="H69" s="10"/>
      <c r="I69" s="10"/>
      <c r="J69" s="10"/>
      <c r="K69" s="10"/>
      <c r="L69" s="19"/>
    </row>
    <row r="70" spans="1:12" ht="20.100000000000001" customHeight="1">
      <c r="A70" s="9"/>
      <c r="B70" s="10"/>
      <c r="C70" s="10"/>
      <c r="D70" s="10"/>
      <c r="E70" s="10"/>
      <c r="F70" s="10" t="s">
        <v>2</v>
      </c>
      <c r="G70" s="49">
        <f>G62</f>
        <v>18.5</v>
      </c>
      <c r="H70" s="50" t="s">
        <v>26</v>
      </c>
      <c r="I70" s="51">
        <f>SQRT(G63)</f>
        <v>1</v>
      </c>
      <c r="J70" s="10"/>
      <c r="K70" s="10"/>
      <c r="L70" s="19"/>
    </row>
    <row r="71" spans="1:12" ht="20.100000000000001" customHeight="1">
      <c r="A71" s="9"/>
      <c r="B71" s="10"/>
      <c r="C71" s="10"/>
      <c r="D71" s="10"/>
      <c r="E71" s="10"/>
      <c r="F71" s="10"/>
      <c r="G71" s="10"/>
      <c r="H71" s="21">
        <f>G64</f>
        <v>94</v>
      </c>
      <c r="I71" s="10"/>
      <c r="J71" s="10"/>
      <c r="K71" s="10"/>
      <c r="L71" s="19"/>
    </row>
    <row r="72" spans="1:12" ht="20.100000000000001" customHeight="1">
      <c r="A72" s="9"/>
      <c r="B72" s="10"/>
      <c r="C72" s="10"/>
      <c r="D72" s="10"/>
      <c r="E72" s="10"/>
      <c r="F72" s="10" t="s">
        <v>2</v>
      </c>
      <c r="G72" s="52">
        <f>((G70*I70)/H71)*1000</f>
        <v>196.80851063829789</v>
      </c>
      <c r="H72" s="10"/>
      <c r="I72" s="10"/>
      <c r="J72" s="10"/>
      <c r="K72" s="10"/>
      <c r="L72" s="19"/>
    </row>
    <row r="73" spans="1:12" ht="20.100000000000001" customHeight="1">
      <c r="A73" s="9"/>
      <c r="B73" s="10" t="s">
        <v>27</v>
      </c>
      <c r="C73" s="10"/>
      <c r="D73" s="10"/>
      <c r="E73" s="10"/>
      <c r="F73" s="10" t="s">
        <v>2</v>
      </c>
      <c r="G73" s="7" t="s">
        <v>28</v>
      </c>
      <c r="H73" s="8">
        <v>185</v>
      </c>
      <c r="I73" s="10" t="s">
        <v>29</v>
      </c>
      <c r="J73" s="10" t="s">
        <v>66</v>
      </c>
      <c r="K73" s="10"/>
      <c r="L73" s="19"/>
    </row>
    <row r="74" spans="1:12" ht="20.100000000000001" customHeight="1">
      <c r="A74" s="9"/>
      <c r="B74" s="10"/>
      <c r="C74" s="10"/>
      <c r="D74" s="10"/>
      <c r="E74" s="10"/>
      <c r="F74" s="10"/>
      <c r="G74" s="33"/>
      <c r="H74" s="43"/>
      <c r="I74" s="10"/>
      <c r="J74" s="10"/>
      <c r="K74" s="10"/>
      <c r="L74" s="19"/>
    </row>
    <row r="75" spans="1:12" ht="20.100000000000001" customHeight="1">
      <c r="A75" s="9"/>
      <c r="B75" s="56" t="s">
        <v>31</v>
      </c>
      <c r="C75" s="56"/>
      <c r="D75" s="57"/>
      <c r="E75" s="57"/>
      <c r="F75" s="57"/>
      <c r="G75" s="57"/>
      <c r="H75" s="57"/>
      <c r="I75" s="57"/>
      <c r="J75" s="57"/>
      <c r="K75" s="10"/>
      <c r="L75" s="19"/>
    </row>
    <row r="76" spans="1:12" ht="20.100000000000001" customHeight="1">
      <c r="A76" s="9"/>
      <c r="B76" s="10" t="s">
        <v>32</v>
      </c>
      <c r="C76" s="10"/>
      <c r="D76" s="10"/>
      <c r="E76" s="10"/>
      <c r="F76" s="10"/>
      <c r="G76" s="10"/>
      <c r="H76" s="21" t="s">
        <v>2</v>
      </c>
      <c r="I76" s="4">
        <v>0.87</v>
      </c>
      <c r="J76" s="10"/>
      <c r="K76" s="10"/>
      <c r="L76" s="19"/>
    </row>
    <row r="77" spans="1:12" ht="20.100000000000001" customHeight="1">
      <c r="A77" s="9"/>
      <c r="B77" s="10" t="s">
        <v>33</v>
      </c>
      <c r="C77" s="10"/>
      <c r="D77" s="10"/>
      <c r="E77" s="10"/>
      <c r="F77" s="10"/>
      <c r="G77" s="20"/>
      <c r="H77" s="21" t="s">
        <v>2</v>
      </c>
      <c r="I77" s="4">
        <v>0.99</v>
      </c>
      <c r="J77" s="10"/>
      <c r="K77" s="10"/>
      <c r="L77" s="19"/>
    </row>
    <row r="78" spans="1:12" ht="20.100000000000001" customHeight="1">
      <c r="A78" s="9"/>
      <c r="B78" s="10" t="s">
        <v>34</v>
      </c>
      <c r="C78" s="10"/>
      <c r="D78" s="10"/>
      <c r="E78" s="10"/>
      <c r="F78" s="10"/>
      <c r="G78" s="20"/>
      <c r="H78" s="21" t="s">
        <v>2</v>
      </c>
      <c r="I78" s="4">
        <v>1</v>
      </c>
      <c r="J78" s="10"/>
      <c r="K78" s="10"/>
      <c r="L78" s="19"/>
    </row>
    <row r="79" spans="1:12" ht="34.5" customHeight="1">
      <c r="A79" s="9"/>
      <c r="B79" s="64" t="s">
        <v>35</v>
      </c>
      <c r="C79" s="64"/>
      <c r="D79" s="64"/>
      <c r="E79" s="64"/>
      <c r="F79" s="64"/>
      <c r="G79" s="64"/>
      <c r="H79" s="21" t="s">
        <v>2</v>
      </c>
      <c r="I79" s="4">
        <v>0.9</v>
      </c>
      <c r="J79" s="10"/>
      <c r="K79" s="10"/>
      <c r="L79" s="19"/>
    </row>
    <row r="80" spans="1:12" ht="20.100000000000001" customHeight="1">
      <c r="A80" s="9"/>
      <c r="B80" s="10" t="s">
        <v>36</v>
      </c>
      <c r="C80" s="10"/>
      <c r="D80" s="10"/>
      <c r="E80" s="10"/>
      <c r="F80" s="10"/>
      <c r="G80" s="10"/>
      <c r="H80" s="21" t="s">
        <v>2</v>
      </c>
      <c r="I80" s="4">
        <v>1</v>
      </c>
      <c r="J80" s="10"/>
      <c r="K80" s="10"/>
      <c r="L80" s="19"/>
    </row>
    <row r="81" spans="1:17" ht="20.100000000000001" customHeight="1">
      <c r="A81" s="9"/>
      <c r="B81" s="10" t="s">
        <v>37</v>
      </c>
      <c r="C81" s="10"/>
      <c r="D81" s="12">
        <f>H73</f>
        <v>185</v>
      </c>
      <c r="E81" s="12" t="s">
        <v>29</v>
      </c>
      <c r="F81" s="20"/>
      <c r="G81" s="20"/>
      <c r="H81" s="21" t="s">
        <v>2</v>
      </c>
      <c r="I81" s="4">
        <v>275</v>
      </c>
      <c r="J81" s="10" t="s">
        <v>0</v>
      </c>
      <c r="K81" s="10"/>
      <c r="L81" s="19"/>
    </row>
    <row r="82" spans="1:17" ht="20.100000000000001" customHeight="1">
      <c r="A82" s="9"/>
      <c r="B82" s="56" t="s">
        <v>38</v>
      </c>
      <c r="C82" s="56"/>
      <c r="D82" s="57"/>
      <c r="E82" s="57"/>
      <c r="F82" s="57"/>
      <c r="G82" s="57"/>
      <c r="H82" s="57"/>
      <c r="I82" s="57"/>
      <c r="J82" s="57"/>
      <c r="K82" s="10"/>
      <c r="L82" s="19"/>
    </row>
    <row r="83" spans="1:17" ht="20.100000000000001" customHeight="1">
      <c r="A83" s="9"/>
      <c r="B83" s="10" t="s">
        <v>39</v>
      </c>
      <c r="C83" s="10"/>
      <c r="D83" s="20"/>
      <c r="E83" s="10"/>
      <c r="F83" s="21" t="s">
        <v>2</v>
      </c>
      <c r="G83" s="10" t="s">
        <v>40</v>
      </c>
      <c r="H83" s="10"/>
      <c r="I83" s="10"/>
      <c r="J83" s="10"/>
      <c r="K83" s="10"/>
      <c r="L83" s="19"/>
    </row>
    <row r="84" spans="1:17" ht="20.100000000000001" customHeight="1">
      <c r="A84" s="9"/>
      <c r="B84" s="10"/>
      <c r="C84" s="10"/>
      <c r="D84" s="10"/>
      <c r="E84" s="10"/>
      <c r="F84" s="21" t="s">
        <v>2</v>
      </c>
      <c r="G84" s="10">
        <f>I76*I77*I78*I79</f>
        <v>0.77517000000000003</v>
      </c>
      <c r="H84" s="10"/>
      <c r="I84" s="10"/>
      <c r="J84" s="10"/>
      <c r="K84" s="10"/>
      <c r="L84" s="19"/>
    </row>
    <row r="85" spans="1:17" s="2" customFormat="1" ht="23.25" customHeight="1">
      <c r="A85" s="31"/>
      <c r="B85" s="32" t="s">
        <v>41</v>
      </c>
      <c r="C85" s="32"/>
      <c r="D85" s="32"/>
      <c r="E85" s="32"/>
      <c r="F85" s="33" t="s">
        <v>2</v>
      </c>
      <c r="G85" s="32">
        <f>I81</f>
        <v>275</v>
      </c>
      <c r="H85" s="33" t="s">
        <v>26</v>
      </c>
      <c r="I85" s="33">
        <f>G84</f>
        <v>0.77517000000000003</v>
      </c>
      <c r="J85" s="21" t="s">
        <v>26</v>
      </c>
      <c r="K85" s="12">
        <f>I80</f>
        <v>1</v>
      </c>
      <c r="L85" s="34"/>
    </row>
    <row r="86" spans="1:17" s="2" customFormat="1" ht="20.100000000000001" customHeight="1">
      <c r="A86" s="31"/>
      <c r="B86" s="35" t="s">
        <v>42</v>
      </c>
      <c r="C86" s="36"/>
      <c r="D86" s="36"/>
      <c r="E86" s="36"/>
      <c r="F86" s="37" t="s">
        <v>2</v>
      </c>
      <c r="G86" s="37">
        <f>G85*I85*K85</f>
        <v>213.17175</v>
      </c>
      <c r="H86" s="38" t="s">
        <v>9</v>
      </c>
      <c r="I86" s="32"/>
      <c r="J86" s="39"/>
      <c r="K86" s="39"/>
      <c r="L86" s="40"/>
    </row>
    <row r="87" spans="1:17" s="2" customFormat="1" ht="20.100000000000001" customHeight="1">
      <c r="A87" s="31"/>
      <c r="B87" s="32"/>
      <c r="C87" s="32"/>
      <c r="D87" s="32"/>
      <c r="E87" s="32"/>
      <c r="F87" s="33"/>
      <c r="G87" s="33"/>
      <c r="H87" s="32"/>
      <c r="I87" s="32"/>
      <c r="J87" s="39"/>
      <c r="K87" s="39"/>
      <c r="L87" s="40"/>
    </row>
    <row r="88" spans="1:17" s="2" customFormat="1" ht="20.100000000000001" customHeight="1">
      <c r="A88" s="65" t="s">
        <v>43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7"/>
      <c r="P88" s="68"/>
      <c r="Q88" s="68"/>
    </row>
    <row r="89" spans="1:17" s="2" customFormat="1" ht="20.100000000000001" customHeight="1">
      <c r="A89" s="41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42"/>
      <c r="P89" s="3"/>
      <c r="Q89" s="3"/>
    </row>
    <row r="90" spans="1:17" ht="20.100000000000001" customHeight="1">
      <c r="A90" s="9"/>
      <c r="B90" s="56" t="s">
        <v>31</v>
      </c>
      <c r="C90" s="56"/>
      <c r="D90" s="57"/>
      <c r="E90" s="57"/>
      <c r="F90" s="57"/>
      <c r="G90" s="57"/>
      <c r="H90" s="57"/>
      <c r="I90" s="57"/>
      <c r="J90" s="57"/>
      <c r="K90" s="10"/>
      <c r="L90" s="19"/>
    </row>
    <row r="91" spans="1:17" ht="20.100000000000001" customHeight="1">
      <c r="A91" s="9"/>
      <c r="B91" s="10" t="s">
        <v>44</v>
      </c>
      <c r="C91" s="10"/>
      <c r="D91" s="20"/>
      <c r="E91" s="20"/>
      <c r="F91" s="12" t="s">
        <v>45</v>
      </c>
      <c r="G91" s="21"/>
      <c r="H91" s="20"/>
      <c r="I91" s="21" t="s">
        <v>2</v>
      </c>
      <c r="J91" s="4">
        <v>0.21</v>
      </c>
      <c r="K91" s="10"/>
      <c r="L91" s="19"/>
    </row>
    <row r="92" spans="1:17" ht="20.100000000000001" customHeight="1">
      <c r="A92" s="9"/>
      <c r="B92" s="10" t="s">
        <v>46</v>
      </c>
      <c r="C92" s="10"/>
      <c r="D92" s="20"/>
      <c r="E92" s="20"/>
      <c r="F92" s="12" t="s">
        <v>47</v>
      </c>
      <c r="G92" s="21"/>
      <c r="H92" s="20"/>
      <c r="I92" s="21" t="s">
        <v>2</v>
      </c>
      <c r="J92" s="4">
        <v>0.11</v>
      </c>
      <c r="K92" s="10"/>
      <c r="L92" s="19"/>
    </row>
    <row r="93" spans="1:17" ht="20.100000000000001" customHeight="1">
      <c r="A93" s="9"/>
      <c r="B93" s="10" t="s">
        <v>48</v>
      </c>
      <c r="C93" s="10"/>
      <c r="D93" s="20"/>
      <c r="E93" s="20"/>
      <c r="F93" s="12" t="s">
        <v>49</v>
      </c>
      <c r="G93" s="21"/>
      <c r="H93" s="20"/>
      <c r="I93" s="21" t="s">
        <v>2</v>
      </c>
      <c r="J93" s="4">
        <v>0.8</v>
      </c>
      <c r="K93" s="10"/>
      <c r="L93" s="19"/>
    </row>
    <row r="94" spans="1:17" ht="20.100000000000001" customHeight="1">
      <c r="A94" s="9"/>
      <c r="B94" s="10" t="s">
        <v>50</v>
      </c>
      <c r="C94" s="10"/>
      <c r="D94" s="10"/>
      <c r="E94" s="20"/>
      <c r="F94" s="10"/>
      <c r="G94" s="21"/>
      <c r="H94" s="20"/>
      <c r="I94" s="21" t="s">
        <v>2</v>
      </c>
      <c r="J94" s="4">
        <v>350</v>
      </c>
      <c r="K94" s="10"/>
      <c r="L94" s="19"/>
    </row>
    <row r="95" spans="1:17" ht="20.100000000000001" customHeight="1">
      <c r="A95" s="9"/>
      <c r="B95" s="10" t="s">
        <v>51</v>
      </c>
      <c r="C95" s="10"/>
      <c r="D95" s="10"/>
      <c r="E95" s="20"/>
      <c r="F95" s="10"/>
      <c r="G95" s="21"/>
      <c r="H95" s="20"/>
      <c r="I95" s="21" t="s">
        <v>2</v>
      </c>
      <c r="J95" s="4">
        <v>500</v>
      </c>
      <c r="K95" s="10"/>
      <c r="L95" s="19"/>
    </row>
    <row r="96" spans="1:17" ht="20.100000000000001" customHeight="1">
      <c r="A96" s="22"/>
      <c r="B96" s="56" t="s">
        <v>52</v>
      </c>
      <c r="C96" s="57"/>
      <c r="D96" s="57"/>
      <c r="E96" s="58"/>
      <c r="F96" s="57"/>
      <c r="G96" s="59"/>
      <c r="H96" s="57"/>
      <c r="I96" s="59"/>
      <c r="J96" s="57"/>
      <c r="K96" s="10"/>
      <c r="L96" s="19"/>
    </row>
    <row r="97" spans="1:12" ht="20.100000000000001" customHeight="1">
      <c r="A97" s="9"/>
      <c r="B97" s="10" t="s">
        <v>53</v>
      </c>
      <c r="C97" s="10"/>
      <c r="D97" s="10"/>
      <c r="E97" s="20"/>
      <c r="F97" s="12" t="s">
        <v>54</v>
      </c>
      <c r="G97" s="21"/>
      <c r="H97" s="20"/>
      <c r="I97" s="21" t="s">
        <v>2</v>
      </c>
      <c r="J97" s="23">
        <f>(J91*J93)+(J92*SIN(ACOS(J93)))</f>
        <v>0.23399999999999999</v>
      </c>
      <c r="K97" s="10"/>
      <c r="L97" s="19"/>
    </row>
    <row r="98" spans="1:12" ht="20.100000000000001" customHeight="1">
      <c r="A98" s="9"/>
      <c r="B98" s="10" t="s">
        <v>55</v>
      </c>
      <c r="C98" s="10"/>
      <c r="D98" s="10"/>
      <c r="E98" s="20"/>
      <c r="F98" s="10"/>
      <c r="G98" s="21"/>
      <c r="H98" s="20"/>
      <c r="I98" s="21" t="s">
        <v>2</v>
      </c>
      <c r="J98" s="21">
        <f>I80</f>
        <v>1</v>
      </c>
      <c r="K98" s="10"/>
      <c r="L98" s="19"/>
    </row>
    <row r="99" spans="1:12" ht="20.100000000000001" customHeight="1">
      <c r="A99" s="9"/>
      <c r="B99" s="10" t="s">
        <v>56</v>
      </c>
      <c r="C99" s="10"/>
      <c r="D99" s="10" t="s">
        <v>57</v>
      </c>
      <c r="E99" s="20"/>
      <c r="F99" s="10"/>
      <c r="G99" s="21"/>
      <c r="H99" s="20"/>
      <c r="I99" s="21" t="s">
        <v>2</v>
      </c>
      <c r="J99" s="24">
        <f>J97/J98</f>
        <v>0.23399999999999999</v>
      </c>
      <c r="K99" s="10"/>
      <c r="L99" s="19"/>
    </row>
    <row r="100" spans="1:12" ht="20.100000000000001" customHeight="1">
      <c r="A100" s="9"/>
      <c r="B100" s="10" t="s">
        <v>58</v>
      </c>
      <c r="C100" s="10"/>
      <c r="D100" s="20"/>
      <c r="E100" s="20"/>
      <c r="F100" s="20"/>
      <c r="G100" s="20"/>
      <c r="H100" s="25" t="s">
        <v>59</v>
      </c>
      <c r="I100" s="21" t="s">
        <v>2</v>
      </c>
      <c r="J100" s="26">
        <f>(1.732*G61*J99*(J94/1000))</f>
        <v>5.584090909090909</v>
      </c>
      <c r="K100" s="10"/>
      <c r="L100" s="19"/>
    </row>
    <row r="101" spans="1:12" ht="20.100000000000001" customHeight="1">
      <c r="A101" s="9"/>
      <c r="B101" s="10" t="s">
        <v>60</v>
      </c>
      <c r="C101" s="10"/>
      <c r="D101" s="20"/>
      <c r="E101" s="20"/>
      <c r="F101" s="20"/>
      <c r="G101" s="21"/>
      <c r="H101" s="25" t="s">
        <v>61</v>
      </c>
      <c r="I101" s="21" t="s">
        <v>2</v>
      </c>
      <c r="J101" s="27">
        <f>J100/(G59*1000)</f>
        <v>5.076446280991735E-4</v>
      </c>
      <c r="K101" s="10"/>
      <c r="L101" s="19"/>
    </row>
    <row r="102" spans="1:12" ht="20.100000000000001" customHeight="1">
      <c r="A102" s="9"/>
      <c r="B102" s="10" t="s">
        <v>62</v>
      </c>
      <c r="C102" s="10"/>
      <c r="D102" s="20"/>
      <c r="E102" s="20"/>
      <c r="F102" s="10"/>
      <c r="G102" s="21"/>
      <c r="H102" s="10"/>
      <c r="I102" s="21" t="s">
        <v>2</v>
      </c>
      <c r="J102" s="28">
        <v>2.5000000000000001E-2</v>
      </c>
      <c r="K102" s="10"/>
      <c r="L102" s="19"/>
    </row>
    <row r="103" spans="1:12" ht="20.100000000000001" customHeight="1">
      <c r="A103" s="9"/>
      <c r="B103" s="29" t="s">
        <v>63</v>
      </c>
      <c r="C103" s="10"/>
      <c r="D103" s="20"/>
      <c r="E103" s="20"/>
      <c r="F103" s="10"/>
      <c r="G103" s="21"/>
      <c r="H103" s="10"/>
      <c r="I103" s="21"/>
      <c r="J103" s="30"/>
      <c r="K103" s="10"/>
      <c r="L103" s="19"/>
    </row>
    <row r="104" spans="1:12" ht="20.100000000000001" customHeight="1">
      <c r="A104" s="9"/>
      <c r="B104" s="10" t="s">
        <v>64</v>
      </c>
      <c r="C104" s="10"/>
      <c r="D104" s="20"/>
      <c r="E104" s="20"/>
      <c r="F104" s="20"/>
      <c r="G104" s="20"/>
      <c r="H104" s="25"/>
      <c r="I104" s="21"/>
      <c r="J104" s="26"/>
      <c r="K104" s="10"/>
      <c r="L104" s="19"/>
    </row>
    <row r="105" spans="1:12" ht="27.75" customHeight="1">
      <c r="A105" s="9"/>
      <c r="B105" s="10"/>
      <c r="C105" s="10"/>
      <c r="D105" s="20"/>
      <c r="E105" s="20"/>
      <c r="F105" s="20"/>
      <c r="G105" s="20"/>
      <c r="H105" s="25"/>
      <c r="I105" s="21"/>
      <c r="J105" s="26"/>
      <c r="K105" s="10"/>
      <c r="L105" s="19"/>
    </row>
    <row r="106" spans="1:12" ht="19.5" customHeight="1">
      <c r="A106" s="9"/>
      <c r="B106" s="10"/>
      <c r="C106" s="10"/>
      <c r="D106" s="20"/>
      <c r="E106" s="10"/>
      <c r="F106" s="21"/>
      <c r="G106" s="10"/>
      <c r="H106" s="10"/>
      <c r="I106" s="10"/>
      <c r="J106" s="69" t="str">
        <f>IF((G86&gt;=G61),"CABLE SIZE IS OK"," CABLE SIZE IS NOT OK")</f>
        <v>CABLE SIZE IS OK</v>
      </c>
      <c r="K106" s="69"/>
      <c r="L106" s="19"/>
    </row>
    <row r="107" spans="1:12" ht="17.399999999999999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3"/>
    </row>
    <row r="108" spans="1:12" ht="17.399999999999999">
      <c r="A108" s="9"/>
      <c r="B108" s="10"/>
      <c r="C108" s="10"/>
      <c r="D108" s="60" t="s">
        <v>67</v>
      </c>
      <c r="E108" s="60"/>
      <c r="F108" s="60"/>
      <c r="G108" s="60"/>
      <c r="H108" s="60"/>
      <c r="I108" s="60"/>
      <c r="J108" s="10"/>
      <c r="K108" s="10"/>
      <c r="L108" s="13"/>
    </row>
    <row r="109" spans="1:12" ht="19.8">
      <c r="A109" s="9"/>
      <c r="B109" s="10"/>
      <c r="C109" s="10"/>
      <c r="D109" s="11"/>
      <c r="E109" s="12"/>
      <c r="F109" s="10"/>
      <c r="G109" s="10"/>
      <c r="H109" s="10"/>
      <c r="I109" s="10"/>
      <c r="J109" s="10"/>
      <c r="K109" s="10"/>
      <c r="L109" s="13"/>
    </row>
    <row r="110" spans="1:12" ht="20.399999999999999" thickBot="1">
      <c r="A110" s="14"/>
      <c r="B110" s="15"/>
      <c r="C110" s="15"/>
      <c r="D110" s="16"/>
      <c r="E110" s="17"/>
      <c r="F110" s="15"/>
      <c r="G110" s="15"/>
      <c r="H110" s="15"/>
      <c r="I110" s="15"/>
      <c r="J110" s="15"/>
      <c r="K110" s="15"/>
      <c r="L110" s="18"/>
    </row>
    <row r="111" spans="1:12" ht="20.100000000000001" customHeight="1">
      <c r="A111" s="9"/>
      <c r="B111" s="10"/>
      <c r="C111" s="10"/>
      <c r="D111" s="10"/>
      <c r="E111" s="10"/>
      <c r="F111" s="10"/>
      <c r="G111" s="33"/>
      <c r="H111" s="43"/>
      <c r="I111" s="10"/>
      <c r="J111" s="10"/>
      <c r="K111" s="10"/>
      <c r="L111" s="19"/>
    </row>
    <row r="112" spans="1:12" ht="20.100000000000001" customHeight="1">
      <c r="A112" s="9"/>
      <c r="B112" s="56" t="s">
        <v>3</v>
      </c>
      <c r="C112" s="56"/>
      <c r="D112" s="57"/>
      <c r="E112" s="57"/>
      <c r="F112" s="57"/>
      <c r="G112" s="57"/>
      <c r="H112" s="57"/>
      <c r="I112" s="57"/>
      <c r="J112" s="57"/>
      <c r="K112" s="10"/>
      <c r="L112" s="19"/>
    </row>
    <row r="113" spans="1:12" ht="20.100000000000001" customHeight="1">
      <c r="A113" s="22"/>
      <c r="B113" s="10" t="s">
        <v>4</v>
      </c>
      <c r="C113" s="10"/>
      <c r="D113" s="20"/>
      <c r="E113" s="55"/>
      <c r="F113" s="20" t="s">
        <v>2</v>
      </c>
      <c r="G113" s="4">
        <v>11</v>
      </c>
      <c r="H113" s="10" t="s">
        <v>5</v>
      </c>
      <c r="I113" s="20"/>
      <c r="J113" s="20"/>
      <c r="K113" s="20"/>
      <c r="L113" s="46"/>
    </row>
    <row r="114" spans="1:12" ht="20.100000000000001" customHeight="1">
      <c r="A114" s="22"/>
      <c r="B114" s="10" t="s">
        <v>68</v>
      </c>
      <c r="C114" s="10"/>
      <c r="D114" s="20"/>
      <c r="E114" s="55"/>
      <c r="F114" s="20" t="s">
        <v>2</v>
      </c>
      <c r="G114" s="4">
        <v>500</v>
      </c>
      <c r="H114" s="10" t="s">
        <v>7</v>
      </c>
      <c r="I114" s="20"/>
      <c r="J114" s="20"/>
      <c r="K114" s="20"/>
      <c r="L114" s="46"/>
    </row>
    <row r="115" spans="1:12" ht="20.100000000000001" customHeight="1">
      <c r="A115" s="22"/>
      <c r="B115" s="10" t="s">
        <v>8</v>
      </c>
      <c r="C115" s="10"/>
      <c r="D115" s="20"/>
      <c r="E115" s="55"/>
      <c r="F115" s="20" t="s">
        <v>2</v>
      </c>
      <c r="G115" s="5">
        <f>G114/(1.732*G113)</f>
        <v>26.243963888305689</v>
      </c>
      <c r="H115" s="10" t="s">
        <v>9</v>
      </c>
      <c r="I115" s="20"/>
      <c r="J115" s="20"/>
      <c r="K115" s="20"/>
      <c r="L115" s="46"/>
    </row>
    <row r="116" spans="1:12" ht="20.100000000000001" customHeight="1">
      <c r="A116" s="9"/>
      <c r="B116" s="10" t="s">
        <v>10</v>
      </c>
      <c r="C116" s="10"/>
      <c r="D116" s="10"/>
      <c r="E116" s="10"/>
      <c r="F116" s="10" t="s">
        <v>2</v>
      </c>
      <c r="G116" s="6">
        <v>18.5</v>
      </c>
      <c r="H116" s="10" t="s">
        <v>11</v>
      </c>
      <c r="I116" s="12"/>
      <c r="J116" s="10"/>
      <c r="K116" s="10"/>
      <c r="L116" s="19"/>
    </row>
    <row r="117" spans="1:12" ht="20.100000000000001" customHeight="1">
      <c r="A117" s="9"/>
      <c r="B117" s="10" t="s">
        <v>12</v>
      </c>
      <c r="C117" s="10"/>
      <c r="D117" s="10"/>
      <c r="E117" s="10"/>
      <c r="F117" s="10" t="s">
        <v>2</v>
      </c>
      <c r="G117" s="6">
        <v>0.5</v>
      </c>
      <c r="H117" s="10" t="s">
        <v>13</v>
      </c>
      <c r="I117" s="61" t="s">
        <v>14</v>
      </c>
      <c r="J117" s="62"/>
      <c r="K117" s="63"/>
      <c r="L117" s="19"/>
    </row>
    <row r="118" spans="1:12" ht="20.100000000000001" customHeight="1">
      <c r="A118" s="9"/>
      <c r="B118" s="10" t="s">
        <v>15</v>
      </c>
      <c r="C118" s="10"/>
      <c r="D118" s="10"/>
      <c r="E118" s="10"/>
      <c r="F118" s="10" t="s">
        <v>2</v>
      </c>
      <c r="G118" s="4">
        <v>94</v>
      </c>
      <c r="H118" s="10"/>
      <c r="I118" s="53" t="s">
        <v>16</v>
      </c>
      <c r="J118" s="54" t="s">
        <v>17</v>
      </c>
      <c r="K118" s="54" t="s">
        <v>18</v>
      </c>
      <c r="L118" s="46"/>
    </row>
    <row r="119" spans="1:12" ht="20.100000000000001" customHeight="1">
      <c r="A119" s="9"/>
      <c r="B119" s="10" t="s">
        <v>19</v>
      </c>
      <c r="C119" s="10"/>
      <c r="D119" s="10"/>
      <c r="E119" s="10"/>
      <c r="F119" s="10" t="s">
        <v>2</v>
      </c>
      <c r="G119" s="21" t="s">
        <v>20</v>
      </c>
      <c r="H119" s="10"/>
      <c r="I119" s="44" t="s">
        <v>21</v>
      </c>
      <c r="J119" s="45">
        <v>143</v>
      </c>
      <c r="K119" s="45">
        <v>94</v>
      </c>
      <c r="L119" s="46"/>
    </row>
    <row r="120" spans="1:12" ht="20.100000000000001" customHeight="1">
      <c r="A120" s="9"/>
      <c r="B120" s="10"/>
      <c r="C120" s="10"/>
      <c r="D120" s="10"/>
      <c r="E120" s="10"/>
      <c r="F120" s="10"/>
      <c r="G120" s="10"/>
      <c r="H120" s="10"/>
      <c r="I120" s="47" t="s">
        <v>22</v>
      </c>
      <c r="J120" s="45">
        <v>115</v>
      </c>
      <c r="K120" s="45">
        <v>76</v>
      </c>
      <c r="L120" s="46"/>
    </row>
    <row r="121" spans="1:12" ht="20.100000000000001" customHeight="1">
      <c r="A121" s="9"/>
      <c r="B121" s="56" t="s">
        <v>1</v>
      </c>
      <c r="C121" s="56"/>
      <c r="D121" s="57"/>
      <c r="E121" s="57"/>
      <c r="F121" s="57"/>
      <c r="G121" s="57"/>
      <c r="H121" s="57"/>
      <c r="I121" s="57"/>
      <c r="J121" s="57"/>
      <c r="K121" s="10"/>
      <c r="L121" s="19"/>
    </row>
    <row r="122" spans="1:12" ht="20.100000000000001" customHeight="1">
      <c r="A122" s="9"/>
      <c r="B122" s="10" t="s">
        <v>23</v>
      </c>
      <c r="C122" s="10"/>
      <c r="D122" s="10"/>
      <c r="E122" s="10"/>
      <c r="F122" s="10" t="s">
        <v>2</v>
      </c>
      <c r="G122" s="48" t="s">
        <v>24</v>
      </c>
      <c r="H122" s="10"/>
      <c r="I122" s="10"/>
      <c r="J122" s="10"/>
      <c r="K122" s="10"/>
      <c r="L122" s="19"/>
    </row>
    <row r="123" spans="1:12" ht="20.100000000000001" customHeight="1">
      <c r="A123" s="9"/>
      <c r="B123" s="10"/>
      <c r="C123" s="10"/>
      <c r="D123" s="10"/>
      <c r="E123" s="10"/>
      <c r="F123" s="10"/>
      <c r="G123" s="21" t="s">
        <v>25</v>
      </c>
      <c r="H123" s="10"/>
      <c r="I123" s="10"/>
      <c r="J123" s="10"/>
      <c r="K123" s="10"/>
      <c r="L123" s="19"/>
    </row>
    <row r="124" spans="1:12" ht="20.100000000000001" customHeight="1">
      <c r="A124" s="9"/>
      <c r="B124" s="10"/>
      <c r="C124" s="10"/>
      <c r="D124" s="10"/>
      <c r="E124" s="10"/>
      <c r="F124" s="10" t="s">
        <v>2</v>
      </c>
      <c r="G124" s="49">
        <f>G116</f>
        <v>18.5</v>
      </c>
      <c r="H124" s="50" t="s">
        <v>26</v>
      </c>
      <c r="I124" s="51">
        <f>SQRT(G117)</f>
        <v>0.70710678118654757</v>
      </c>
      <c r="J124" s="10"/>
      <c r="K124" s="10"/>
      <c r="L124" s="19"/>
    </row>
    <row r="125" spans="1:12" ht="20.100000000000001" customHeight="1">
      <c r="A125" s="9"/>
      <c r="B125" s="10"/>
      <c r="C125" s="10"/>
      <c r="D125" s="10"/>
      <c r="E125" s="10"/>
      <c r="F125" s="10"/>
      <c r="G125" s="10"/>
      <c r="H125" s="21">
        <f>G118</f>
        <v>94</v>
      </c>
      <c r="I125" s="10"/>
      <c r="J125" s="10"/>
      <c r="K125" s="10"/>
      <c r="L125" s="19"/>
    </row>
    <row r="126" spans="1:12" ht="20.100000000000001" customHeight="1">
      <c r="A126" s="9"/>
      <c r="B126" s="10"/>
      <c r="C126" s="10"/>
      <c r="D126" s="10"/>
      <c r="E126" s="10"/>
      <c r="F126" s="10" t="s">
        <v>2</v>
      </c>
      <c r="G126" s="52">
        <f>((G124*I124)/H125)*1000</f>
        <v>139.16463246756521</v>
      </c>
      <c r="H126" s="10"/>
      <c r="I126" s="10"/>
      <c r="J126" s="10"/>
      <c r="K126" s="10"/>
      <c r="L126" s="19"/>
    </row>
    <row r="127" spans="1:12" ht="20.100000000000001" customHeight="1">
      <c r="A127" s="9"/>
      <c r="B127" s="10" t="s">
        <v>27</v>
      </c>
      <c r="C127" s="10"/>
      <c r="D127" s="10"/>
      <c r="E127" s="10"/>
      <c r="F127" s="10" t="s">
        <v>2</v>
      </c>
      <c r="G127" s="7" t="s">
        <v>28</v>
      </c>
      <c r="H127" s="8">
        <v>185</v>
      </c>
      <c r="I127" s="10" t="s">
        <v>29</v>
      </c>
      <c r="J127" s="10" t="s">
        <v>69</v>
      </c>
      <c r="K127" s="10"/>
      <c r="L127" s="19"/>
    </row>
    <row r="128" spans="1:12" ht="20.100000000000001" customHeight="1">
      <c r="A128" s="9"/>
      <c r="B128" s="10"/>
      <c r="C128" s="10"/>
      <c r="D128" s="10"/>
      <c r="E128" s="10"/>
      <c r="F128" s="10"/>
      <c r="G128" s="33"/>
      <c r="H128" s="43"/>
      <c r="I128" s="10"/>
      <c r="J128" s="10"/>
      <c r="K128" s="10"/>
      <c r="L128" s="19"/>
    </row>
    <row r="129" spans="1:17" ht="20.100000000000001" customHeight="1">
      <c r="A129" s="9"/>
      <c r="B129" s="56" t="s">
        <v>31</v>
      </c>
      <c r="C129" s="56"/>
      <c r="D129" s="57"/>
      <c r="E129" s="57"/>
      <c r="F129" s="57"/>
      <c r="G129" s="57"/>
      <c r="H129" s="57"/>
      <c r="I129" s="57"/>
      <c r="J129" s="57"/>
      <c r="K129" s="10"/>
      <c r="L129" s="19"/>
    </row>
    <row r="130" spans="1:17" ht="20.100000000000001" customHeight="1">
      <c r="A130" s="9"/>
      <c r="B130" s="10" t="s">
        <v>32</v>
      </c>
      <c r="C130" s="10"/>
      <c r="D130" s="10"/>
      <c r="E130" s="10"/>
      <c r="F130" s="10"/>
      <c r="G130" s="10"/>
      <c r="H130" s="21" t="s">
        <v>2</v>
      </c>
      <c r="I130" s="4">
        <v>0.87</v>
      </c>
      <c r="J130" s="10"/>
      <c r="K130" s="10"/>
      <c r="L130" s="19"/>
    </row>
    <row r="131" spans="1:17" ht="20.100000000000001" customHeight="1">
      <c r="A131" s="9"/>
      <c r="B131" s="10" t="s">
        <v>33</v>
      </c>
      <c r="C131" s="10"/>
      <c r="D131" s="10"/>
      <c r="E131" s="10"/>
      <c r="F131" s="10"/>
      <c r="G131" s="20"/>
      <c r="H131" s="21" t="s">
        <v>2</v>
      </c>
      <c r="I131" s="4">
        <v>0.99</v>
      </c>
      <c r="J131" s="10"/>
      <c r="K131" s="10"/>
      <c r="L131" s="19"/>
    </row>
    <row r="132" spans="1:17" ht="20.100000000000001" customHeight="1">
      <c r="A132" s="9"/>
      <c r="B132" s="10" t="s">
        <v>34</v>
      </c>
      <c r="C132" s="10"/>
      <c r="D132" s="10"/>
      <c r="E132" s="10"/>
      <c r="F132" s="10"/>
      <c r="G132" s="20"/>
      <c r="H132" s="21" t="s">
        <v>2</v>
      </c>
      <c r="I132" s="4">
        <v>1</v>
      </c>
      <c r="J132" s="10"/>
      <c r="K132" s="10"/>
      <c r="L132" s="19"/>
    </row>
    <row r="133" spans="1:17" ht="34.5" customHeight="1">
      <c r="A133" s="9"/>
      <c r="B133" s="64" t="s">
        <v>35</v>
      </c>
      <c r="C133" s="64"/>
      <c r="D133" s="64"/>
      <c r="E133" s="64"/>
      <c r="F133" s="64"/>
      <c r="G133" s="64"/>
      <c r="H133" s="21" t="s">
        <v>2</v>
      </c>
      <c r="I133" s="4">
        <v>0.9</v>
      </c>
      <c r="J133" s="10"/>
      <c r="K133" s="10"/>
      <c r="L133" s="19"/>
    </row>
    <row r="134" spans="1:17" ht="20.100000000000001" customHeight="1">
      <c r="A134" s="9"/>
      <c r="B134" s="10" t="s">
        <v>36</v>
      </c>
      <c r="C134" s="10"/>
      <c r="D134" s="10"/>
      <c r="E134" s="10"/>
      <c r="F134" s="10"/>
      <c r="G134" s="10"/>
      <c r="H134" s="21" t="s">
        <v>2</v>
      </c>
      <c r="I134" s="4">
        <v>1</v>
      </c>
      <c r="J134" s="10"/>
      <c r="K134" s="10"/>
      <c r="L134" s="19"/>
    </row>
    <row r="135" spans="1:17" ht="20.100000000000001" customHeight="1">
      <c r="A135" s="9"/>
      <c r="B135" s="10" t="s">
        <v>37</v>
      </c>
      <c r="C135" s="10"/>
      <c r="D135" s="12">
        <f>H127</f>
        <v>185</v>
      </c>
      <c r="E135" s="12" t="s">
        <v>29</v>
      </c>
      <c r="F135" s="20"/>
      <c r="G135" s="20"/>
      <c r="H135" s="21" t="s">
        <v>2</v>
      </c>
      <c r="I135" s="4">
        <v>275</v>
      </c>
      <c r="J135" s="10" t="s">
        <v>0</v>
      </c>
      <c r="K135" s="10"/>
      <c r="L135" s="19"/>
    </row>
    <row r="136" spans="1:17" ht="20.100000000000001" customHeight="1">
      <c r="A136" s="9"/>
      <c r="B136" s="56" t="s">
        <v>38</v>
      </c>
      <c r="C136" s="56"/>
      <c r="D136" s="57"/>
      <c r="E136" s="57"/>
      <c r="F136" s="57"/>
      <c r="G136" s="57"/>
      <c r="H136" s="57"/>
      <c r="I136" s="57"/>
      <c r="J136" s="57"/>
      <c r="K136" s="10"/>
      <c r="L136" s="19"/>
    </row>
    <row r="137" spans="1:17" ht="20.100000000000001" customHeight="1">
      <c r="A137" s="9"/>
      <c r="B137" s="10" t="s">
        <v>39</v>
      </c>
      <c r="C137" s="10"/>
      <c r="D137" s="20"/>
      <c r="E137" s="10"/>
      <c r="F137" s="21" t="s">
        <v>2</v>
      </c>
      <c r="G137" s="10" t="s">
        <v>40</v>
      </c>
      <c r="H137" s="10"/>
      <c r="I137" s="10"/>
      <c r="J137" s="10"/>
      <c r="K137" s="10"/>
      <c r="L137" s="19"/>
    </row>
    <row r="138" spans="1:17" ht="20.100000000000001" customHeight="1">
      <c r="A138" s="9"/>
      <c r="B138" s="10"/>
      <c r="C138" s="10"/>
      <c r="D138" s="10"/>
      <c r="E138" s="10"/>
      <c r="F138" s="21" t="s">
        <v>2</v>
      </c>
      <c r="G138" s="10">
        <f>I130*I131*I132*I133</f>
        <v>0.77517000000000003</v>
      </c>
      <c r="H138" s="10"/>
      <c r="I138" s="10"/>
      <c r="J138" s="10"/>
      <c r="K138" s="10"/>
      <c r="L138" s="19"/>
    </row>
    <row r="139" spans="1:17" s="2" customFormat="1" ht="23.25" customHeight="1">
      <c r="A139" s="31"/>
      <c r="B139" s="32" t="s">
        <v>41</v>
      </c>
      <c r="C139" s="32"/>
      <c r="D139" s="32"/>
      <c r="E139" s="32"/>
      <c r="F139" s="33" t="s">
        <v>2</v>
      </c>
      <c r="G139" s="32">
        <f>I135</f>
        <v>275</v>
      </c>
      <c r="H139" s="33" t="s">
        <v>26</v>
      </c>
      <c r="I139" s="33">
        <f>G138</f>
        <v>0.77517000000000003</v>
      </c>
      <c r="J139" s="21" t="s">
        <v>26</v>
      </c>
      <c r="K139" s="12">
        <f>I134</f>
        <v>1</v>
      </c>
      <c r="L139" s="34"/>
    </row>
    <row r="140" spans="1:17" s="2" customFormat="1" ht="20.100000000000001" customHeight="1">
      <c r="A140" s="31"/>
      <c r="B140" s="35" t="s">
        <v>42</v>
      </c>
      <c r="C140" s="36"/>
      <c r="D140" s="36"/>
      <c r="E140" s="36"/>
      <c r="F140" s="37" t="s">
        <v>2</v>
      </c>
      <c r="G140" s="37">
        <f>G139*I139*K139</f>
        <v>213.17175</v>
      </c>
      <c r="H140" s="38" t="s">
        <v>9</v>
      </c>
      <c r="I140" s="32"/>
      <c r="J140" s="39"/>
      <c r="K140" s="39"/>
      <c r="L140" s="40"/>
    </row>
    <row r="141" spans="1:17" s="2" customFormat="1" ht="20.100000000000001" customHeight="1">
      <c r="A141" s="31"/>
      <c r="B141" s="32"/>
      <c r="C141" s="32"/>
      <c r="D141" s="32"/>
      <c r="E141" s="32"/>
      <c r="F141" s="33"/>
      <c r="G141" s="33"/>
      <c r="H141" s="32"/>
      <c r="I141" s="32"/>
      <c r="J141" s="39"/>
      <c r="K141" s="39"/>
      <c r="L141" s="40"/>
    </row>
    <row r="142" spans="1:17" s="2" customFormat="1" ht="20.100000000000001" customHeight="1">
      <c r="A142" s="65" t="s">
        <v>43</v>
      </c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7"/>
      <c r="P142" s="68"/>
      <c r="Q142" s="68"/>
    </row>
    <row r="143" spans="1:17" s="2" customFormat="1" ht="20.100000000000001" customHeight="1">
      <c r="A143" s="41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42"/>
      <c r="P143" s="3"/>
      <c r="Q143" s="3"/>
    </row>
    <row r="144" spans="1:17" ht="20.100000000000001" customHeight="1">
      <c r="A144" s="9"/>
      <c r="B144" s="56" t="s">
        <v>31</v>
      </c>
      <c r="C144" s="56"/>
      <c r="D144" s="57"/>
      <c r="E144" s="57"/>
      <c r="F144" s="57"/>
      <c r="G144" s="57"/>
      <c r="H144" s="57"/>
      <c r="I144" s="57"/>
      <c r="J144" s="57"/>
      <c r="K144" s="10"/>
      <c r="L144" s="19"/>
    </row>
    <row r="145" spans="1:12" ht="20.100000000000001" customHeight="1">
      <c r="A145" s="9"/>
      <c r="B145" s="10" t="s">
        <v>44</v>
      </c>
      <c r="C145" s="10"/>
      <c r="D145" s="20"/>
      <c r="E145" s="20"/>
      <c r="F145" s="12" t="s">
        <v>45</v>
      </c>
      <c r="G145" s="21"/>
      <c r="H145" s="20"/>
      <c r="I145" s="21" t="s">
        <v>2</v>
      </c>
      <c r="J145" s="4">
        <v>0.21</v>
      </c>
      <c r="K145" s="10"/>
      <c r="L145" s="19"/>
    </row>
    <row r="146" spans="1:12" ht="20.100000000000001" customHeight="1">
      <c r="A146" s="9"/>
      <c r="B146" s="10" t="s">
        <v>46</v>
      </c>
      <c r="C146" s="10"/>
      <c r="D146" s="20"/>
      <c r="E146" s="20"/>
      <c r="F146" s="12" t="s">
        <v>47</v>
      </c>
      <c r="G146" s="21"/>
      <c r="H146" s="20"/>
      <c r="I146" s="21" t="s">
        <v>2</v>
      </c>
      <c r="J146" s="4">
        <v>0.11</v>
      </c>
      <c r="K146" s="10"/>
      <c r="L146" s="19"/>
    </row>
    <row r="147" spans="1:12" ht="20.100000000000001" customHeight="1">
      <c r="A147" s="9"/>
      <c r="B147" s="10" t="s">
        <v>48</v>
      </c>
      <c r="C147" s="10"/>
      <c r="D147" s="20"/>
      <c r="E147" s="20"/>
      <c r="F147" s="12" t="s">
        <v>49</v>
      </c>
      <c r="G147" s="21"/>
      <c r="H147" s="20"/>
      <c r="I147" s="21" t="s">
        <v>2</v>
      </c>
      <c r="J147" s="4">
        <v>0.8</v>
      </c>
      <c r="K147" s="10"/>
      <c r="L147" s="19"/>
    </row>
    <row r="148" spans="1:12" ht="20.100000000000001" customHeight="1">
      <c r="A148" s="9"/>
      <c r="B148" s="10" t="s">
        <v>50</v>
      </c>
      <c r="C148" s="10"/>
      <c r="D148" s="10"/>
      <c r="E148" s="20"/>
      <c r="F148" s="10"/>
      <c r="G148" s="21"/>
      <c r="H148" s="20"/>
      <c r="I148" s="21" t="s">
        <v>2</v>
      </c>
      <c r="J148" s="4">
        <v>15</v>
      </c>
      <c r="K148" s="10"/>
      <c r="L148" s="19"/>
    </row>
    <row r="149" spans="1:12" ht="20.100000000000001" customHeight="1">
      <c r="A149" s="9"/>
      <c r="B149" s="10" t="s">
        <v>51</v>
      </c>
      <c r="C149" s="10"/>
      <c r="D149" s="10"/>
      <c r="E149" s="20"/>
      <c r="F149" s="10"/>
      <c r="G149" s="21"/>
      <c r="H149" s="20"/>
      <c r="I149" s="21" t="s">
        <v>2</v>
      </c>
      <c r="J149" s="4">
        <v>20</v>
      </c>
      <c r="K149" s="10"/>
      <c r="L149" s="19"/>
    </row>
    <row r="150" spans="1:12" ht="20.100000000000001" customHeight="1">
      <c r="A150" s="22"/>
      <c r="B150" s="56" t="s">
        <v>52</v>
      </c>
      <c r="C150" s="57"/>
      <c r="D150" s="57"/>
      <c r="E150" s="58"/>
      <c r="F150" s="57"/>
      <c r="G150" s="59"/>
      <c r="H150" s="57"/>
      <c r="I150" s="59"/>
      <c r="J150" s="57"/>
      <c r="K150" s="10"/>
      <c r="L150" s="19"/>
    </row>
    <row r="151" spans="1:12" ht="20.100000000000001" customHeight="1">
      <c r="A151" s="9"/>
      <c r="B151" s="10" t="s">
        <v>53</v>
      </c>
      <c r="C151" s="10"/>
      <c r="D151" s="10"/>
      <c r="E151" s="20"/>
      <c r="F151" s="12" t="s">
        <v>54</v>
      </c>
      <c r="G151" s="21"/>
      <c r="H151" s="20"/>
      <c r="I151" s="21" t="s">
        <v>2</v>
      </c>
      <c r="J151" s="23">
        <f>(J145*J147)+(J146*SIN(ACOS(J147)))</f>
        <v>0.23399999999999999</v>
      </c>
      <c r="K151" s="10"/>
      <c r="L151" s="19"/>
    </row>
    <row r="152" spans="1:12" ht="20.100000000000001" customHeight="1">
      <c r="A152" s="9"/>
      <c r="B152" s="10" t="s">
        <v>55</v>
      </c>
      <c r="C152" s="10"/>
      <c r="D152" s="10"/>
      <c r="E152" s="20"/>
      <c r="F152" s="10"/>
      <c r="G152" s="21"/>
      <c r="H152" s="20"/>
      <c r="I152" s="21" t="s">
        <v>2</v>
      </c>
      <c r="J152" s="21">
        <f>I134</f>
        <v>1</v>
      </c>
      <c r="K152" s="10"/>
      <c r="L152" s="19"/>
    </row>
    <row r="153" spans="1:12" ht="20.100000000000001" customHeight="1">
      <c r="A153" s="9"/>
      <c r="B153" s="10" t="s">
        <v>56</v>
      </c>
      <c r="C153" s="10"/>
      <c r="D153" s="10" t="s">
        <v>57</v>
      </c>
      <c r="E153" s="20"/>
      <c r="F153" s="10"/>
      <c r="G153" s="21"/>
      <c r="H153" s="20"/>
      <c r="I153" s="21" t="s">
        <v>2</v>
      </c>
      <c r="J153" s="24">
        <f>J151/J152</f>
        <v>0.23399999999999999</v>
      </c>
      <c r="K153" s="10"/>
      <c r="L153" s="19"/>
    </row>
    <row r="154" spans="1:12" ht="20.100000000000001" customHeight="1">
      <c r="A154" s="9"/>
      <c r="B154" s="10" t="s">
        <v>58</v>
      </c>
      <c r="C154" s="10"/>
      <c r="D154" s="20"/>
      <c r="E154" s="20"/>
      <c r="F154" s="20"/>
      <c r="G154" s="20"/>
      <c r="H154" s="25" t="s">
        <v>59</v>
      </c>
      <c r="I154" s="21" t="s">
        <v>2</v>
      </c>
      <c r="J154" s="26">
        <f>(1.732*G115*J153*(J148/1000))</f>
        <v>0.15954545454545452</v>
      </c>
      <c r="K154" s="10"/>
      <c r="L154" s="19"/>
    </row>
    <row r="155" spans="1:12" ht="20.100000000000001" customHeight="1">
      <c r="A155" s="9"/>
      <c r="B155" s="10" t="s">
        <v>60</v>
      </c>
      <c r="C155" s="10"/>
      <c r="D155" s="20"/>
      <c r="E155" s="20"/>
      <c r="F155" s="20"/>
      <c r="G155" s="21"/>
      <c r="H155" s="25" t="s">
        <v>61</v>
      </c>
      <c r="I155" s="21" t="s">
        <v>2</v>
      </c>
      <c r="J155" s="27">
        <f>J154/(G113*1000)</f>
        <v>1.4504132231404956E-5</v>
      </c>
      <c r="K155" s="10"/>
      <c r="L155" s="19"/>
    </row>
    <row r="156" spans="1:12" ht="20.100000000000001" customHeight="1">
      <c r="A156" s="9"/>
      <c r="B156" s="10" t="s">
        <v>62</v>
      </c>
      <c r="C156" s="10"/>
      <c r="D156" s="20"/>
      <c r="E156" s="20"/>
      <c r="F156" s="10"/>
      <c r="G156" s="21"/>
      <c r="H156" s="10"/>
      <c r="I156" s="21" t="s">
        <v>2</v>
      </c>
      <c r="J156" s="28">
        <v>2.5000000000000001E-2</v>
      </c>
      <c r="K156" s="10"/>
      <c r="L156" s="19"/>
    </row>
    <row r="157" spans="1:12" ht="20.100000000000001" customHeight="1">
      <c r="A157" s="9"/>
      <c r="B157" s="29" t="s">
        <v>63</v>
      </c>
      <c r="C157" s="10"/>
      <c r="D157" s="20"/>
      <c r="E157" s="20"/>
      <c r="F157" s="10"/>
      <c r="G157" s="21"/>
      <c r="H157" s="10"/>
      <c r="I157" s="21"/>
      <c r="J157" s="30"/>
      <c r="K157" s="10"/>
      <c r="L157" s="19"/>
    </row>
    <row r="158" spans="1:12" ht="20.100000000000001" customHeight="1">
      <c r="A158" s="9"/>
      <c r="B158" s="10" t="s">
        <v>64</v>
      </c>
      <c r="C158" s="10"/>
      <c r="D158" s="20"/>
      <c r="E158" s="20"/>
      <c r="F158" s="20"/>
      <c r="G158" s="20"/>
      <c r="H158" s="25"/>
      <c r="I158" s="21"/>
      <c r="J158" s="26"/>
      <c r="K158" s="10"/>
      <c r="L158" s="19"/>
    </row>
    <row r="159" spans="1:12" ht="27.75" customHeight="1">
      <c r="A159" s="9"/>
      <c r="B159" s="10"/>
      <c r="C159" s="10"/>
      <c r="D159" s="20"/>
      <c r="E159" s="20"/>
      <c r="F159" s="20"/>
      <c r="G159" s="20"/>
      <c r="H159" s="25"/>
      <c r="I159" s="21"/>
      <c r="J159" s="26"/>
      <c r="K159" s="10"/>
      <c r="L159" s="19"/>
    </row>
    <row r="160" spans="1:12" ht="19.5" customHeight="1">
      <c r="A160" s="9"/>
      <c r="B160" s="10"/>
      <c r="C160" s="10"/>
      <c r="D160" s="20"/>
      <c r="E160" s="10"/>
      <c r="F160" s="21"/>
      <c r="G160" s="10"/>
      <c r="H160" s="10"/>
      <c r="I160" s="10"/>
      <c r="J160" s="69" t="str">
        <f>IF((G140&gt;=G115),"CABLE SIZE IS OK"," CABLE SIZE IS NOT OK")</f>
        <v>CABLE SIZE IS OK</v>
      </c>
      <c r="K160" s="69"/>
      <c r="L160" s="19"/>
    </row>
    <row r="161" spans="1:12" ht="17.399999999999999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3"/>
    </row>
    <row r="162" spans="1:12" ht="17.399999999999999">
      <c r="A162" s="9"/>
      <c r="B162" s="10"/>
      <c r="C162" s="10"/>
      <c r="D162" s="70" t="s">
        <v>67</v>
      </c>
      <c r="E162" s="70"/>
      <c r="F162" s="70"/>
      <c r="G162" s="70"/>
      <c r="H162" s="70"/>
      <c r="I162" s="70"/>
      <c r="J162" s="10"/>
      <c r="K162" s="10"/>
      <c r="L162" s="13"/>
    </row>
    <row r="163" spans="1:12" ht="19.8">
      <c r="A163" s="9"/>
      <c r="B163" s="10"/>
      <c r="C163" s="10"/>
      <c r="D163" s="11"/>
      <c r="E163" s="12"/>
      <c r="F163" s="10"/>
      <c r="G163" s="10"/>
      <c r="H163" s="10"/>
      <c r="I163" s="10"/>
      <c r="J163" s="10"/>
      <c r="K163" s="10"/>
      <c r="L163" s="13"/>
    </row>
    <row r="164" spans="1:12" ht="20.399999999999999" thickBot="1">
      <c r="A164" s="14"/>
      <c r="B164" s="15"/>
      <c r="C164" s="15"/>
      <c r="D164" s="16"/>
      <c r="E164" s="17"/>
      <c r="F164" s="15"/>
      <c r="G164" s="15"/>
      <c r="H164" s="15"/>
      <c r="I164" s="15"/>
      <c r="J164" s="15"/>
      <c r="K164" s="15"/>
      <c r="L164" s="18"/>
    </row>
  </sheetData>
  <mergeCells count="19">
    <mergeCell ref="P34:Q34"/>
    <mergeCell ref="J52:K52"/>
    <mergeCell ref="D162:I162"/>
    <mergeCell ref="I63:K63"/>
    <mergeCell ref="B79:G79"/>
    <mergeCell ref="A88:L88"/>
    <mergeCell ref="P88:Q88"/>
    <mergeCell ref="J106:K106"/>
    <mergeCell ref="D108:I108"/>
    <mergeCell ref="I117:K117"/>
    <mergeCell ref="B133:G133"/>
    <mergeCell ref="A142:L142"/>
    <mergeCell ref="P142:Q142"/>
    <mergeCell ref="J160:K160"/>
    <mergeCell ref="D54:I54"/>
    <mergeCell ref="I9:K9"/>
    <mergeCell ref="B25:G25"/>
    <mergeCell ref="A34:L34"/>
    <mergeCell ref="A1:L2"/>
  </mergeCells>
  <hyperlinks>
    <hyperlink ref="N1" r:id="rId1" xr:uid="{090E40B2-5A02-4EEB-A87E-552F516D2563}"/>
  </hyperlinks>
  <printOptions horizontalCentered="1"/>
  <pageMargins left="0.5" right="0.5" top="0.5" bottom="0.5" header="0.3" footer="0.3"/>
  <pageSetup paperSize="9" scale="63" orientation="portrait" r:id="rId2"/>
  <rowBreaks count="2" manualBreakCount="2">
    <brk id="56" max="11" man="1"/>
    <brk id="110" max="11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HT Cable</vt:lpstr>
      <vt:lpstr>'HT Cable'!Print_Area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brsvinodh</dc:creator>
  <cp:lastModifiedBy>Ankesh Mishra</cp:lastModifiedBy>
  <cp:lastPrinted>2018-11-26T12:31:43Z</cp:lastPrinted>
  <dcterms:created xsi:type="dcterms:W3CDTF">2009-05-21T05:03:25Z</dcterms:created>
  <dcterms:modified xsi:type="dcterms:W3CDTF">2025-03-17T16:18:59Z</dcterms:modified>
</cp:coreProperties>
</file>