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12345\Unlocked\"/>
    </mc:Choice>
  </mc:AlternateContent>
  <xr:revisionPtr revIDLastSave="0" documentId="13_ncr:1_{76F7CD11-2F34-45ED-B0B8-79C64A9BB4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tangular Structure" sheetId="1" r:id="rId1"/>
  </sheets>
  <definedNames>
    <definedName name="_xlnm.Print_Area" localSheetId="0">'Rectangular Structure'!$A$2:$K$195</definedName>
    <definedName name="_xlnm.Print_Titles" localSheetId="0">'Rectangular Structure'!$1:$1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1" l="1"/>
  <c r="C76" i="1" s="1"/>
  <c r="E76" i="1" s="1"/>
  <c r="C137" i="1" l="1"/>
  <c r="D158" i="1" l="1"/>
</calcChain>
</file>

<file path=xl/sharedStrings.xml><?xml version="1.0" encoding="utf-8"?>
<sst xmlns="http://schemas.openxmlformats.org/spreadsheetml/2006/main" count="107" uniqueCount="101">
  <si>
    <t>Abbreviations:</t>
  </si>
  <si>
    <r>
      <t>N</t>
    </r>
    <r>
      <rPr>
        <vertAlign val="subscript"/>
        <sz val="11"/>
        <color theme="1"/>
        <rFont val="Calibri"/>
        <family val="2"/>
        <scheme val="minor"/>
      </rPr>
      <t>d</t>
    </r>
  </si>
  <si>
    <r>
      <t>N</t>
    </r>
    <r>
      <rPr>
        <vertAlign val="subscript"/>
        <sz val="11"/>
        <color theme="1"/>
        <rFont val="Calibri"/>
        <family val="2"/>
        <scheme val="minor"/>
      </rPr>
      <t>g</t>
    </r>
  </si>
  <si>
    <t>LIGHTNING PROTECTION SYSTEM</t>
  </si>
  <si>
    <t>RISK ASSESSMENT SHEET AS PER (NFPA 780)</t>
  </si>
  <si>
    <r>
      <t>Yearly average flash density in the region (fl/km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/year)</t>
    </r>
  </si>
  <si>
    <r>
      <t>A</t>
    </r>
    <r>
      <rPr>
        <vertAlign val="subscript"/>
        <sz val="11"/>
        <color theme="1"/>
        <rFont val="Calibri"/>
        <family val="2"/>
        <scheme val="minor"/>
      </rPr>
      <t>e</t>
    </r>
  </si>
  <si>
    <r>
      <t>Equivalent collective area of the structure (km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)</t>
    </r>
  </si>
  <si>
    <t>Environmental coefficient</t>
  </si>
  <si>
    <r>
      <t>C</t>
    </r>
    <r>
      <rPr>
        <vertAlign val="subscript"/>
        <sz val="11"/>
        <color theme="1"/>
        <rFont val="Calibri"/>
        <family val="2"/>
        <scheme val="minor"/>
      </rPr>
      <t>1</t>
    </r>
  </si>
  <si>
    <r>
      <t>N</t>
    </r>
    <r>
      <rPr>
        <vertAlign val="subscript"/>
        <sz val="11"/>
        <color theme="1"/>
        <rFont val="Calibri"/>
        <family val="2"/>
        <scheme val="minor"/>
      </rPr>
      <t>c</t>
    </r>
  </si>
  <si>
    <t>Project Details:</t>
  </si>
  <si>
    <t>Project Name:</t>
  </si>
  <si>
    <t>Project No.:</t>
  </si>
  <si>
    <t>Building Name:</t>
  </si>
  <si>
    <t>Tolerable lightning strike frequency to the structure</t>
  </si>
  <si>
    <r>
      <t>C</t>
    </r>
    <r>
      <rPr>
        <vertAlign val="subscript"/>
        <sz val="11"/>
        <color theme="1"/>
        <rFont val="Calibri"/>
        <family val="2"/>
        <scheme val="minor"/>
      </rPr>
      <t>2</t>
    </r>
  </si>
  <si>
    <r>
      <t>C</t>
    </r>
    <r>
      <rPr>
        <vertAlign val="subscript"/>
        <sz val="11"/>
        <color theme="1"/>
        <rFont val="Calibri"/>
        <family val="2"/>
        <scheme val="minor"/>
      </rPr>
      <t>3</t>
    </r>
  </si>
  <si>
    <r>
      <t>C</t>
    </r>
    <r>
      <rPr>
        <vertAlign val="subscript"/>
        <sz val="11"/>
        <color theme="1"/>
        <rFont val="Calibri"/>
        <family val="2"/>
        <scheme val="minor"/>
      </rPr>
      <t>4</t>
    </r>
  </si>
  <si>
    <r>
      <t>C</t>
    </r>
    <r>
      <rPr>
        <vertAlign val="subscript"/>
        <sz val="11"/>
        <color theme="1"/>
        <rFont val="Calibri"/>
        <family val="2"/>
        <scheme val="minor"/>
      </rPr>
      <t>5</t>
    </r>
  </si>
  <si>
    <t xml:space="preserve">Structure Contents Coefficient </t>
  </si>
  <si>
    <t>Structure Coefficient</t>
  </si>
  <si>
    <t xml:space="preserve">Structure Occupancy Coefficient </t>
  </si>
  <si>
    <t xml:space="preserve">Lightning Consequence Coefficient </t>
  </si>
  <si>
    <t>Building Dimensions:</t>
  </si>
  <si>
    <t>Length(L) (m):</t>
  </si>
  <si>
    <t>Width(W) (m):</t>
  </si>
  <si>
    <t>Height(H) (m):</t>
  </si>
  <si>
    <r>
      <t>Collective Area Calculation (A</t>
    </r>
    <r>
      <rPr>
        <b/>
        <u/>
        <vertAlign val="subscript"/>
        <sz val="11"/>
        <color theme="1"/>
        <rFont val="Calibri"/>
        <family val="2"/>
        <scheme val="minor"/>
      </rPr>
      <t>e</t>
    </r>
    <r>
      <rPr>
        <b/>
        <u/>
        <sz val="11"/>
        <color theme="1"/>
        <rFont val="Calibri"/>
        <family val="2"/>
        <scheme val="minor"/>
      </rPr>
      <t>):</t>
    </r>
  </si>
  <si>
    <r>
      <t>A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=</t>
    </r>
  </si>
  <si>
    <t>Rectangular structure</t>
  </si>
  <si>
    <t>Relative Structure Location</t>
  </si>
  <si>
    <r>
      <t>C</t>
    </r>
    <r>
      <rPr>
        <b/>
        <vertAlign val="subscript"/>
        <sz val="11"/>
        <color theme="1"/>
        <rFont val="Calibri"/>
        <family val="2"/>
        <scheme val="minor"/>
      </rPr>
      <t>1</t>
    </r>
  </si>
  <si>
    <r>
      <t>C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</t>
    </r>
  </si>
  <si>
    <r>
      <t>Determination of Average Flash Density (N</t>
    </r>
    <r>
      <rPr>
        <b/>
        <u/>
        <vertAlign val="subscript"/>
        <sz val="11"/>
        <color theme="1"/>
        <rFont val="Calibri"/>
        <family val="2"/>
        <scheme val="minor"/>
      </rPr>
      <t>g</t>
    </r>
    <r>
      <rPr>
        <b/>
        <u/>
        <sz val="11"/>
        <color theme="1"/>
        <rFont val="Calibri"/>
        <family val="2"/>
        <scheme val="minor"/>
      </rPr>
      <t>):</t>
    </r>
  </si>
  <si>
    <t>Location:</t>
  </si>
  <si>
    <r>
      <t>N</t>
    </r>
    <r>
      <rPr>
        <vertAlign val="sub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 =</t>
    </r>
  </si>
  <si>
    <t>Reference : http://www.nasa.gov/centers/goddard/news/topstory/2004/0621lightning_prt.htm</t>
  </si>
  <si>
    <r>
      <t>Calculation of Expected Lightning Strike Frequency (N</t>
    </r>
    <r>
      <rPr>
        <b/>
        <u/>
        <vertAlign val="subscript"/>
        <sz val="11"/>
        <color theme="1"/>
        <rFont val="Calibri"/>
        <family val="2"/>
        <scheme val="minor"/>
      </rPr>
      <t>d</t>
    </r>
    <r>
      <rPr>
        <b/>
        <u/>
        <sz val="11"/>
        <color theme="1"/>
        <rFont val="Calibri"/>
        <family val="2"/>
        <scheme val="minor"/>
      </rPr>
      <t>):</t>
    </r>
  </si>
  <si>
    <r>
      <t>fl/km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/year</t>
    </r>
  </si>
  <si>
    <r>
      <t>N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=</t>
    </r>
  </si>
  <si>
    <t>Roof Material</t>
  </si>
  <si>
    <t>Structure Material</t>
  </si>
  <si>
    <t>Metal</t>
  </si>
  <si>
    <t>Nonmetallic</t>
  </si>
  <si>
    <r>
      <t>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</t>
    </r>
  </si>
  <si>
    <r>
      <t>C</t>
    </r>
    <r>
      <rPr>
        <b/>
        <vertAlign val="subscript"/>
        <sz val="11"/>
        <color theme="1"/>
        <rFont val="Calibri"/>
        <family val="2"/>
        <scheme val="minor"/>
      </rPr>
      <t>3</t>
    </r>
  </si>
  <si>
    <r>
      <t>C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=</t>
    </r>
  </si>
  <si>
    <r>
      <t>Determination of Structure Contents Coefficient (C</t>
    </r>
    <r>
      <rPr>
        <b/>
        <u/>
        <vertAlign val="subscript"/>
        <sz val="11"/>
        <color theme="1"/>
        <rFont val="Calibri"/>
        <family val="2"/>
        <scheme val="minor"/>
      </rPr>
      <t>3</t>
    </r>
    <r>
      <rPr>
        <b/>
        <u/>
        <sz val="11"/>
        <color theme="1"/>
        <rFont val="Calibri"/>
        <family val="2"/>
        <scheme val="minor"/>
      </rPr>
      <t>):</t>
    </r>
  </si>
  <si>
    <t>Structure Contents</t>
  </si>
  <si>
    <t>Exceptional value, irreplaceable cultural items.</t>
  </si>
  <si>
    <t>Structure Occupancy</t>
  </si>
  <si>
    <r>
      <t>C</t>
    </r>
    <r>
      <rPr>
        <b/>
        <vertAlign val="subscript"/>
        <sz val="11"/>
        <color theme="1"/>
        <rFont val="Calibri"/>
        <family val="2"/>
        <scheme val="minor"/>
      </rPr>
      <t>4</t>
    </r>
  </si>
  <si>
    <r>
      <t>Determination of Structure Occupancy Coefficient (C</t>
    </r>
    <r>
      <rPr>
        <b/>
        <u/>
        <vertAlign val="subscript"/>
        <sz val="11"/>
        <color theme="1"/>
        <rFont val="Calibri"/>
        <family val="2"/>
        <scheme val="minor"/>
      </rPr>
      <t>4</t>
    </r>
    <r>
      <rPr>
        <b/>
        <u/>
        <sz val="11"/>
        <color theme="1"/>
        <rFont val="Calibri"/>
        <family val="2"/>
        <scheme val="minor"/>
      </rPr>
      <t>):</t>
    </r>
  </si>
  <si>
    <r>
      <t>C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=</t>
    </r>
  </si>
  <si>
    <t>Unoccupied.</t>
  </si>
  <si>
    <t>Normally Occupied.</t>
  </si>
  <si>
    <t>Difficult to evacuate or risk of panic.</t>
  </si>
  <si>
    <r>
      <t>Determination of Lightning Consequence Coefficient (C</t>
    </r>
    <r>
      <rPr>
        <b/>
        <u/>
        <vertAlign val="subscript"/>
        <sz val="11"/>
        <color theme="1"/>
        <rFont val="Calibri"/>
        <family val="2"/>
        <scheme val="minor"/>
      </rPr>
      <t>5</t>
    </r>
    <r>
      <rPr>
        <b/>
        <u/>
        <sz val="11"/>
        <color theme="1"/>
        <rFont val="Calibri"/>
        <family val="2"/>
        <scheme val="minor"/>
      </rPr>
      <t>):</t>
    </r>
  </si>
  <si>
    <r>
      <t>C</t>
    </r>
    <r>
      <rPr>
        <b/>
        <vertAlign val="subscript"/>
        <sz val="11"/>
        <color theme="1"/>
        <rFont val="Calibri"/>
        <family val="2"/>
        <scheme val="minor"/>
      </rPr>
      <t>5</t>
    </r>
  </si>
  <si>
    <r>
      <t>C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=</t>
    </r>
  </si>
  <si>
    <t>Lightning Consequence</t>
  </si>
  <si>
    <t>Continuity of facility services not required, no environmental impact.</t>
  </si>
  <si>
    <t>Continuity of facility services required, no environmental impact.</t>
  </si>
  <si>
    <t>Consequences to the environment.</t>
  </si>
  <si>
    <r>
      <t>Calculation of Tolerable Lightning Strike Frequency (N</t>
    </r>
    <r>
      <rPr>
        <b/>
        <u/>
        <vertAlign val="subscript"/>
        <sz val="11"/>
        <color theme="1"/>
        <rFont val="Calibri"/>
        <family val="2"/>
        <scheme val="minor"/>
      </rPr>
      <t>c</t>
    </r>
    <r>
      <rPr>
        <b/>
        <u/>
        <sz val="11"/>
        <color theme="1"/>
        <rFont val="Calibri"/>
        <family val="2"/>
        <scheme val="minor"/>
      </rPr>
      <t>):</t>
    </r>
  </si>
  <si>
    <r>
      <t>N</t>
    </r>
    <r>
      <rPr>
        <vertAlign val="sub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=</t>
    </r>
  </si>
  <si>
    <t>Yearly expected lightning strike frequency to the structure</t>
  </si>
  <si>
    <t xml:space="preserve">if </t>
  </si>
  <si>
    <t>≤</t>
  </si>
  <si>
    <t>&gt;</t>
  </si>
  <si>
    <t xml:space="preserve">LW + 6H(L+W) + π 9 H2 </t>
  </si>
  <si>
    <r>
      <t>A</t>
    </r>
    <r>
      <rPr>
        <i/>
        <vertAlign val="subscript"/>
        <sz val="12"/>
        <color rgb="FF7F7F7F"/>
        <rFont val="Calibri"/>
        <family val="2"/>
        <scheme val="minor"/>
      </rPr>
      <t xml:space="preserve">e </t>
    </r>
    <r>
      <rPr>
        <i/>
        <sz val="12"/>
        <color rgb="FF7F7F7F"/>
        <rFont val="Calibri"/>
        <family val="2"/>
        <scheme val="minor"/>
      </rPr>
      <t>=</t>
    </r>
  </si>
  <si>
    <r>
      <t>N</t>
    </r>
    <r>
      <rPr>
        <i/>
        <vertAlign val="subscript"/>
        <sz val="12"/>
        <color rgb="FF7F7F7F"/>
        <rFont val="Calibri"/>
        <family val="2"/>
        <scheme val="minor"/>
      </rPr>
      <t xml:space="preserve">d </t>
    </r>
    <r>
      <rPr>
        <i/>
        <sz val="12"/>
        <color rgb="FF7F7F7F"/>
        <rFont val="Calibri"/>
        <family val="2"/>
        <scheme val="minor"/>
      </rPr>
      <t>=</t>
    </r>
  </si>
  <si>
    <r>
      <t>(C</t>
    </r>
    <r>
      <rPr>
        <i/>
        <vertAlign val="subscript"/>
        <sz val="12"/>
        <color rgb="FF7F7F7F"/>
        <rFont val="Calibri"/>
        <family val="2"/>
        <scheme val="minor"/>
      </rPr>
      <t>2</t>
    </r>
    <r>
      <rPr>
        <i/>
        <sz val="12"/>
        <color rgb="FF7F7F7F"/>
        <rFont val="Calibri"/>
        <family val="2"/>
        <scheme val="minor"/>
      </rPr>
      <t>)(C</t>
    </r>
    <r>
      <rPr>
        <i/>
        <vertAlign val="subscript"/>
        <sz val="12"/>
        <color rgb="FF7F7F7F"/>
        <rFont val="Calibri"/>
        <family val="2"/>
        <scheme val="minor"/>
      </rPr>
      <t>3</t>
    </r>
    <r>
      <rPr>
        <i/>
        <sz val="12"/>
        <color rgb="FF7F7F7F"/>
        <rFont val="Calibri"/>
        <family val="2"/>
        <scheme val="minor"/>
      </rPr>
      <t>)(C</t>
    </r>
    <r>
      <rPr>
        <i/>
        <vertAlign val="subscript"/>
        <sz val="12"/>
        <color rgb="FF7F7F7F"/>
        <rFont val="Calibri"/>
        <family val="2"/>
        <scheme val="minor"/>
      </rPr>
      <t>4</t>
    </r>
    <r>
      <rPr>
        <i/>
        <sz val="12"/>
        <color rgb="FF7F7F7F"/>
        <rFont val="Calibri"/>
        <family val="2"/>
        <scheme val="minor"/>
      </rPr>
      <t>)(C</t>
    </r>
    <r>
      <rPr>
        <i/>
        <vertAlign val="subscript"/>
        <sz val="12"/>
        <color rgb="FF7F7F7F"/>
        <rFont val="Calibri"/>
        <family val="2"/>
        <scheme val="minor"/>
      </rPr>
      <t>5</t>
    </r>
    <r>
      <rPr>
        <i/>
        <sz val="12"/>
        <color rgb="FF7F7F7F"/>
        <rFont val="Calibri"/>
        <family val="2"/>
        <scheme val="minor"/>
      </rPr>
      <t>)</t>
    </r>
  </si>
  <si>
    <r>
      <t>N</t>
    </r>
    <r>
      <rPr>
        <i/>
        <vertAlign val="subscript"/>
        <sz val="12"/>
        <color rgb="FF7F7F7F"/>
        <rFont val="Calibri"/>
        <family val="2"/>
        <scheme val="minor"/>
      </rPr>
      <t xml:space="preserve">c </t>
    </r>
    <r>
      <rPr>
        <i/>
        <sz val="12"/>
        <color rgb="FF7F7F7F"/>
        <rFont val="Calibri"/>
        <family val="2"/>
        <scheme val="minor"/>
      </rPr>
      <t>=</t>
    </r>
  </si>
  <si>
    <r>
      <t>N</t>
    </r>
    <r>
      <rPr>
        <i/>
        <vertAlign val="subscript"/>
        <sz val="12"/>
        <color rgb="FF7F7F7F"/>
        <rFont val="Calibri"/>
        <family val="2"/>
        <scheme val="minor"/>
      </rPr>
      <t>d</t>
    </r>
  </si>
  <si>
    <r>
      <t>N</t>
    </r>
    <r>
      <rPr>
        <i/>
        <vertAlign val="subscript"/>
        <sz val="12"/>
        <color rgb="FF7F7F7F"/>
        <rFont val="Calibri"/>
        <family val="2"/>
        <scheme val="minor"/>
      </rPr>
      <t>c</t>
    </r>
  </si>
  <si>
    <t>Lighting Protection System ( LPS )</t>
  </si>
  <si>
    <t>Hence, LPS Should Be Installed</t>
  </si>
  <si>
    <t>Hence, LPS May Be Optional</t>
  </si>
  <si>
    <t>Accordingly,</t>
  </si>
  <si>
    <r>
      <t xml:space="preserve">1.5 x 10 </t>
    </r>
    <r>
      <rPr>
        <i/>
        <vertAlign val="superscript"/>
        <sz val="12"/>
        <color rgb="FF7F7F7F"/>
        <rFont val="Calibri"/>
        <family val="2"/>
        <scheme val="minor"/>
      </rPr>
      <t>-3</t>
    </r>
    <r>
      <rPr>
        <i/>
        <sz val="12"/>
        <color rgb="FF7F7F7F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/>
    </r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</si>
  <si>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</si>
  <si>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(N</t>
    </r>
    <r>
      <rPr>
        <i/>
        <vertAlign val="subscript"/>
        <sz val="12"/>
        <color rgb="FF7F7F7F"/>
        <rFont val="Calibri"/>
        <family val="2"/>
        <scheme val="minor"/>
      </rPr>
      <t>g</t>
    </r>
    <r>
      <rPr>
        <i/>
        <sz val="12"/>
        <color rgb="FF7F7F7F"/>
        <rFont val="Calibri"/>
        <family val="2"/>
        <scheme val="minor"/>
      </rPr>
      <t>) x (A</t>
    </r>
    <r>
      <rPr>
        <i/>
        <vertAlign val="subscript"/>
        <sz val="12"/>
        <color rgb="FF7F7F7F"/>
        <rFont val="Calibri"/>
        <family val="2"/>
        <scheme val="minor"/>
      </rPr>
      <t>e</t>
    </r>
    <r>
      <rPr>
        <i/>
        <sz val="12"/>
        <color rgb="FF7F7F7F"/>
        <rFont val="Calibri"/>
        <family val="2"/>
        <scheme val="minor"/>
      </rPr>
      <t>) x (C</t>
    </r>
    <r>
      <rPr>
        <i/>
        <vertAlign val="subscript"/>
        <sz val="12"/>
        <color rgb="FF7F7F7F"/>
        <rFont val="Calibri"/>
        <family val="2"/>
        <scheme val="minor"/>
      </rPr>
      <t>1</t>
    </r>
    <r>
      <rPr>
        <i/>
        <sz val="12"/>
        <color rgb="FF7F7F7F"/>
        <rFont val="Calibri"/>
        <family val="2"/>
        <scheme val="minor"/>
      </rPr>
      <t xml:space="preserve">) x 10 </t>
    </r>
    <r>
      <rPr>
        <i/>
        <vertAlign val="superscript"/>
        <sz val="12"/>
        <color rgb="FF7F7F7F"/>
        <rFont val="Calibri"/>
        <family val="2"/>
        <scheme val="minor"/>
      </rPr>
      <t>-6</t>
    </r>
  </si>
  <si>
    <t>Structure surrounded by taller structures or trees within a distance of 3H.</t>
  </si>
  <si>
    <t>Structure surrounded by structures of equal or lesser height within a distance of 3H.</t>
  </si>
  <si>
    <t>Isolated structure, with no other structures located within a distance of 3H.</t>
  </si>
  <si>
    <t>Isolated structure on hilltop.</t>
  </si>
  <si>
    <t>Combustible</t>
  </si>
  <si>
    <r>
      <t>Determination of Location Factor (C</t>
    </r>
    <r>
      <rPr>
        <b/>
        <u/>
        <vertAlign val="subscript"/>
        <sz val="11"/>
        <color theme="1"/>
        <rFont val="Calibri"/>
        <family val="2"/>
        <scheme val="minor"/>
      </rPr>
      <t>1</t>
    </r>
    <r>
      <rPr>
        <b/>
        <u/>
        <sz val="11"/>
        <color theme="1"/>
        <rFont val="Calibri"/>
        <family val="2"/>
        <scheme val="minor"/>
      </rPr>
      <t>):</t>
    </r>
  </si>
  <si>
    <r>
      <t>Determination of Construction Coefficient  (C</t>
    </r>
    <r>
      <rPr>
        <b/>
        <u/>
        <vertAlign val="subscript"/>
        <sz val="11"/>
        <color theme="1"/>
        <rFont val="Calibri"/>
        <family val="2"/>
        <scheme val="minor"/>
      </rPr>
      <t>2</t>
    </r>
    <r>
      <rPr>
        <b/>
        <u/>
        <sz val="11"/>
        <color theme="1"/>
        <rFont val="Calibri"/>
        <family val="2"/>
        <scheme val="minor"/>
      </rPr>
      <t>):</t>
    </r>
  </si>
  <si>
    <t>Low value and noncombustible.</t>
  </si>
  <si>
    <t>Standard value and noncombustible.</t>
  </si>
  <si>
    <t>High value, moderate combustibility.</t>
  </si>
  <si>
    <t>Exceptional value, flammable liquids, computer or electronics.</t>
  </si>
  <si>
    <t>event/year</t>
  </si>
  <si>
    <t>Risk Calculation:</t>
  </si>
  <si>
    <t>ABU DHABI</t>
  </si>
  <si>
    <t>Rev. 0</t>
  </si>
  <si>
    <t>FLASYS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</si>
</sst>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23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b/>
      <u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u/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7F7F7F"/>
      <name val="Calibri"/>
      <family val="2"/>
      <scheme val="minor"/>
    </font>
    <font>
      <i/>
      <vertAlign val="subscript"/>
      <sz val="12"/>
      <color rgb="FF7F7F7F"/>
      <name val="Calibri"/>
      <family val="2"/>
      <scheme val="minor"/>
    </font>
    <font>
      <b/>
      <sz val="11"/>
      <color rgb="FF3F3F3F"/>
      <name val="Comic Sans MS"/>
      <family val="4"/>
    </font>
    <font>
      <sz val="14"/>
      <color theme="1"/>
      <name val="Comic Sans MS"/>
      <family val="4"/>
    </font>
    <font>
      <b/>
      <sz val="14"/>
      <color rgb="FFFF0000"/>
      <name val="Calibri"/>
      <family val="2"/>
      <scheme val="minor"/>
    </font>
    <font>
      <i/>
      <vertAlign val="superscript"/>
      <sz val="12"/>
      <color rgb="FF7F7F7F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6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thin">
        <color theme="0" tint="-0.34998626667073579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rgb="FF3F3F3F"/>
      </left>
      <right style="thin">
        <color rgb="FF3F3F3F"/>
      </right>
      <top style="medium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medium">
        <color rgb="FF3F3F3F"/>
      </top>
      <bottom style="thin">
        <color rgb="FF3F3F3F"/>
      </bottom>
      <diagonal/>
    </border>
    <border>
      <left style="thin">
        <color rgb="FF3F3F3F"/>
      </left>
      <right style="medium">
        <color rgb="FF3F3F3F"/>
      </right>
      <top style="medium">
        <color rgb="FF3F3F3F"/>
      </top>
      <bottom style="thin">
        <color rgb="FF3F3F3F"/>
      </bottom>
      <diagonal/>
    </border>
    <border>
      <left style="medium">
        <color rgb="FF3F3F3F"/>
      </left>
      <right style="thin">
        <color rgb="FF3F3F3F"/>
      </right>
      <top style="thin">
        <color rgb="FF3F3F3F"/>
      </top>
      <bottom style="medium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medium">
        <color rgb="FF3F3F3F"/>
      </bottom>
      <diagonal/>
    </border>
    <border>
      <left style="thin">
        <color rgb="FF3F3F3F"/>
      </left>
      <right style="medium">
        <color rgb="FF3F3F3F"/>
      </right>
      <top style="thin">
        <color rgb="FF3F3F3F"/>
      </top>
      <bottom style="medium">
        <color rgb="FF3F3F3F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  <xf numFmtId="0" fontId="14" fillId="0" borderId="0" applyNumberFormat="0" applyFill="0" applyBorder="0" applyAlignment="0" applyProtection="0"/>
  </cellStyleXfs>
  <cellXfs count="12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3" xfId="0" applyBorder="1"/>
    <xf numFmtId="0" fontId="0" fillId="0" borderId="8" xfId="0" applyBorder="1"/>
    <xf numFmtId="0" fontId="0" fillId="0" borderId="9" xfId="0" applyBorder="1"/>
    <xf numFmtId="0" fontId="10" fillId="0" borderId="0" xfId="0" applyFont="1" applyAlignment="1">
      <alignment vertical="center"/>
    </xf>
    <xf numFmtId="0" fontId="11" fillId="2" borderId="1" xfId="1" applyFont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/>
    <xf numFmtId="0" fontId="0" fillId="0" borderId="12" xfId="0" applyBorder="1"/>
    <xf numFmtId="0" fontId="0" fillId="0" borderId="0" xfId="0" applyAlignment="1">
      <alignment horizontal="right" vertical="center"/>
    </xf>
    <xf numFmtId="164" fontId="2" fillId="3" borderId="2" xfId="2" applyNumberFormat="1" applyAlignment="1">
      <alignment horizontal="center" vertical="center"/>
    </xf>
    <xf numFmtId="164" fontId="1" fillId="2" borderId="1" xfId="1" applyNumberFormat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11" xfId="0" applyBorder="1" applyAlignment="1">
      <alignment vertical="center"/>
    </xf>
    <xf numFmtId="0" fontId="0" fillId="0" borderId="7" xfId="0" applyBorder="1" applyAlignment="1">
      <alignment vertical="center"/>
    </xf>
    <xf numFmtId="2" fontId="1" fillId="2" borderId="1" xfId="1" applyNumberFormat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11" xfId="0" applyBorder="1"/>
    <xf numFmtId="0" fontId="3" fillId="0" borderId="23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7" xfId="0" applyBorder="1"/>
    <xf numFmtId="0" fontId="3" fillId="0" borderId="8" xfId="0" applyFont="1" applyBorder="1" applyAlignment="1">
      <alignment vertical="center"/>
    </xf>
    <xf numFmtId="0" fontId="3" fillId="0" borderId="14" xfId="0" applyFon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164" fontId="0" fillId="0" borderId="30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165" fontId="2" fillId="3" borderId="2" xfId="2" applyNumberFormat="1" applyAlignment="1">
      <alignment horizontal="center" vertical="center"/>
    </xf>
    <xf numFmtId="0" fontId="16" fillId="0" borderId="44" xfId="3" applyFont="1" applyBorder="1" applyAlignment="1">
      <alignment horizontal="right" vertical="center"/>
    </xf>
    <xf numFmtId="0" fontId="16" fillId="0" borderId="45" xfId="3" applyFont="1" applyBorder="1" applyAlignment="1">
      <alignment vertical="center"/>
    </xf>
    <xf numFmtId="0" fontId="16" fillId="0" borderId="46" xfId="3" applyFont="1" applyBorder="1" applyAlignment="1">
      <alignment vertical="center"/>
    </xf>
    <xf numFmtId="0" fontId="16" fillId="0" borderId="45" xfId="3" applyFont="1" applyBorder="1" applyAlignment="1">
      <alignment horizontal="left" vertical="center"/>
    </xf>
    <xf numFmtId="0" fontId="0" fillId="0" borderId="46" xfId="0" applyBorder="1" applyAlignment="1">
      <alignment vertical="center"/>
    </xf>
    <xf numFmtId="0" fontId="15" fillId="0" borderId="49" xfId="0" applyFont="1" applyBorder="1" applyAlignment="1">
      <alignment vertical="center"/>
    </xf>
    <xf numFmtId="0" fontId="15" fillId="0" borderId="50" xfId="0" applyFont="1" applyBorder="1" applyAlignment="1">
      <alignment vertical="center"/>
    </xf>
    <xf numFmtId="0" fontId="15" fillId="0" borderId="8" xfId="0" applyFont="1" applyBorder="1"/>
    <xf numFmtId="0" fontId="15" fillId="0" borderId="0" xfId="0" applyFont="1"/>
    <xf numFmtId="0" fontId="15" fillId="0" borderId="9" xfId="0" applyFont="1" applyBorder="1"/>
    <xf numFmtId="0" fontId="16" fillId="0" borderId="47" xfId="3" applyFont="1" applyBorder="1" applyAlignment="1">
      <alignment horizontal="right" vertical="center"/>
    </xf>
    <xf numFmtId="0" fontId="16" fillId="0" borderId="52" xfId="3" applyFont="1" applyBorder="1" applyAlignment="1">
      <alignment horizontal="right" vertical="center"/>
    </xf>
    <xf numFmtId="0" fontId="16" fillId="0" borderId="52" xfId="3" applyFont="1" applyBorder="1" applyAlignment="1">
      <alignment horizontal="center" vertical="center"/>
    </xf>
    <xf numFmtId="0" fontId="16" fillId="0" borderId="52" xfId="3" applyFont="1" applyBorder="1" applyAlignment="1">
      <alignment vertical="center"/>
    </xf>
    <xf numFmtId="0" fontId="16" fillId="0" borderId="52" xfId="3" applyFont="1" applyBorder="1"/>
    <xf numFmtId="0" fontId="16" fillId="0" borderId="49" xfId="3" applyFont="1" applyBorder="1"/>
    <xf numFmtId="0" fontId="16" fillId="0" borderId="48" xfId="3" applyFont="1" applyBorder="1" applyAlignment="1">
      <alignment vertical="center"/>
    </xf>
    <xf numFmtId="0" fontId="16" fillId="0" borderId="53" xfId="3" applyFont="1" applyBorder="1" applyAlignment="1">
      <alignment horizontal="right" vertical="center"/>
    </xf>
    <xf numFmtId="0" fontId="16" fillId="0" borderId="53" xfId="3" applyFont="1" applyBorder="1" applyAlignment="1">
      <alignment horizontal="center" vertical="center"/>
    </xf>
    <xf numFmtId="0" fontId="16" fillId="0" borderId="53" xfId="3" applyFont="1" applyBorder="1" applyAlignment="1">
      <alignment vertical="center"/>
    </xf>
    <xf numFmtId="0" fontId="16" fillId="0" borderId="53" xfId="3" applyFont="1" applyBorder="1"/>
    <xf numFmtId="0" fontId="16" fillId="0" borderId="50" xfId="3" applyFont="1" applyBorder="1"/>
    <xf numFmtId="0" fontId="20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18" fillId="3" borderId="54" xfId="2" applyFont="1" applyBorder="1" applyAlignment="1">
      <alignment horizontal="center" vertical="center"/>
    </xf>
    <xf numFmtId="0" fontId="18" fillId="3" borderId="55" xfId="2" applyFont="1" applyBorder="1" applyAlignment="1">
      <alignment horizontal="center" vertical="center"/>
    </xf>
    <xf numFmtId="0" fontId="18" fillId="3" borderId="56" xfId="2" applyFont="1" applyBorder="1" applyAlignment="1">
      <alignment horizontal="center" vertical="center"/>
    </xf>
    <xf numFmtId="0" fontId="18" fillId="3" borderId="57" xfId="2" applyFont="1" applyBorder="1" applyAlignment="1">
      <alignment horizontal="center" vertical="center"/>
    </xf>
    <xf numFmtId="0" fontId="18" fillId="3" borderId="58" xfId="2" applyFont="1" applyBorder="1" applyAlignment="1">
      <alignment horizontal="center" vertical="center"/>
    </xf>
    <xf numFmtId="0" fontId="18" fillId="3" borderId="59" xfId="2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6" fillId="0" borderId="47" xfId="3" applyFont="1" applyBorder="1" applyAlignment="1">
      <alignment horizontal="center" vertical="center"/>
    </xf>
    <xf numFmtId="0" fontId="16" fillId="0" borderId="48" xfId="3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/>
    </xf>
    <xf numFmtId="0" fontId="16" fillId="0" borderId="51" xfId="3" applyFont="1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3" fillId="0" borderId="4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64" fontId="0" fillId="0" borderId="38" xfId="0" applyNumberFormat="1" applyBorder="1" applyAlignment="1">
      <alignment horizontal="center" vertical="center" wrapText="1"/>
    </xf>
    <xf numFmtId="164" fontId="0" fillId="0" borderId="39" xfId="0" applyNumberFormat="1" applyBorder="1" applyAlignment="1">
      <alignment horizontal="center" vertical="center" wrapText="1"/>
    </xf>
    <xf numFmtId="164" fontId="0" fillId="0" borderId="26" xfId="0" applyNumberFormat="1" applyBorder="1" applyAlignment="1">
      <alignment horizontal="center" vertical="center" wrapText="1"/>
    </xf>
    <xf numFmtId="164" fontId="0" fillId="0" borderId="21" xfId="0" applyNumberFormat="1" applyBorder="1" applyAlignment="1">
      <alignment horizontal="center" vertical="center" wrapText="1"/>
    </xf>
    <xf numFmtId="164" fontId="0" fillId="0" borderId="40" xfId="0" applyNumberFormat="1" applyBorder="1" applyAlignment="1">
      <alignment horizontal="center" vertical="center" wrapText="1"/>
    </xf>
    <xf numFmtId="164" fontId="0" fillId="0" borderId="28" xfId="0" applyNumberForma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164" fontId="0" fillId="0" borderId="35" xfId="0" applyNumberForma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0" fillId="0" borderId="22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0" fillId="0" borderId="4" xfId="0" applyBorder="1" applyAlignment="1">
      <alignment horizontal="right" vertical="center"/>
    </xf>
    <xf numFmtId="2" fontId="1" fillId="2" borderId="1" xfId="1" applyNumberFormat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4" fontId="0" fillId="0" borderId="30" xfId="0" applyNumberFormat="1" applyBorder="1" applyAlignment="1">
      <alignment horizontal="center" vertical="center" wrapText="1"/>
    </xf>
  </cellXfs>
  <cellStyles count="4">
    <cellStyle name="Explanatory Text" xfId="3" builtinId="53"/>
    <cellStyle name="Input" xfId="1" builtinId="20"/>
    <cellStyle name="Normal" xfId="0" builtinId="0"/>
    <cellStyle name="Output" xfId="2" builtinId="21"/>
  </cellStyles>
  <dxfs count="0"/>
  <tableStyles count="0" defaultTableStyle="TableStyleMedium9" defaultPivotStyle="PivotStyleLight16"/>
  <colors>
    <mruColors>
      <color rgb="FFFF9966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B8EC94BA-D50D-4A49-840B-898BC67BDCB6}" type="doc">
      <dgm:prSet loTypeId="urn:microsoft.com/office/officeart/2005/8/layout/hProcess3" loCatId="process" qsTypeId="urn:microsoft.com/office/officeart/2005/8/quickstyle/3d3" qsCatId="3D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5365FC27-F5C5-4247-AEC5-301F7AEA1E72}">
      <dgm:prSet phldrT="[Text]"/>
      <dgm:spPr/>
      <dgm:t>
        <a:bodyPr/>
        <a:lstStyle/>
        <a:p>
          <a:endParaRPr lang="en-US"/>
        </a:p>
      </dgm:t>
    </dgm:pt>
    <dgm:pt modelId="{DFDEA75A-8A22-462B-9786-00894E53A2ED}" type="parTrans" cxnId="{17A811E0-0F23-4BB1-9929-30FF109C7454}">
      <dgm:prSet/>
      <dgm:spPr/>
      <dgm:t>
        <a:bodyPr/>
        <a:lstStyle/>
        <a:p>
          <a:endParaRPr lang="en-US"/>
        </a:p>
      </dgm:t>
    </dgm:pt>
    <dgm:pt modelId="{14ED24AB-F237-476B-B652-EAA8F3CAEDC7}" type="sibTrans" cxnId="{17A811E0-0F23-4BB1-9929-30FF109C7454}">
      <dgm:prSet/>
      <dgm:spPr/>
      <dgm:t>
        <a:bodyPr/>
        <a:lstStyle/>
        <a:p>
          <a:endParaRPr lang="en-US"/>
        </a:p>
      </dgm:t>
    </dgm:pt>
    <dgm:pt modelId="{7A39EEFE-5B8F-4A65-90BA-302730EC51CB}" type="pres">
      <dgm:prSet presAssocID="{B8EC94BA-D50D-4A49-840B-898BC67BDCB6}" presName="Name0" presStyleCnt="0">
        <dgm:presLayoutVars>
          <dgm:dir/>
          <dgm:animLvl val="lvl"/>
          <dgm:resizeHandles val="exact"/>
        </dgm:presLayoutVars>
      </dgm:prSet>
      <dgm:spPr/>
    </dgm:pt>
    <dgm:pt modelId="{05968B10-22BD-4D34-A730-6B84813022D2}" type="pres">
      <dgm:prSet presAssocID="{B8EC94BA-D50D-4A49-840B-898BC67BDCB6}" presName="dummy" presStyleCnt="0"/>
      <dgm:spPr/>
    </dgm:pt>
    <dgm:pt modelId="{56216720-3732-4ABA-AF47-4CA0674AB7D1}" type="pres">
      <dgm:prSet presAssocID="{B8EC94BA-D50D-4A49-840B-898BC67BDCB6}" presName="linH" presStyleCnt="0"/>
      <dgm:spPr/>
    </dgm:pt>
    <dgm:pt modelId="{8B8320A3-4085-4654-9259-D9AFA6F83F94}" type="pres">
      <dgm:prSet presAssocID="{B8EC94BA-D50D-4A49-840B-898BC67BDCB6}" presName="padding1" presStyleCnt="0"/>
      <dgm:spPr/>
    </dgm:pt>
    <dgm:pt modelId="{98E21709-CA37-4726-86EA-F9E30B0CBF41}" type="pres">
      <dgm:prSet presAssocID="{5365FC27-F5C5-4247-AEC5-301F7AEA1E72}" presName="linV" presStyleCnt="0"/>
      <dgm:spPr/>
    </dgm:pt>
    <dgm:pt modelId="{7025A68B-7CF2-4D9C-9B07-D7E2A121C6B8}" type="pres">
      <dgm:prSet presAssocID="{5365FC27-F5C5-4247-AEC5-301F7AEA1E72}" presName="spVertical1" presStyleCnt="0"/>
      <dgm:spPr/>
    </dgm:pt>
    <dgm:pt modelId="{A8667525-EC25-40BA-B1D3-68F21FACA286}" type="pres">
      <dgm:prSet presAssocID="{5365FC27-F5C5-4247-AEC5-301F7AEA1E72}" presName="parTx" presStyleLbl="revTx" presStyleIdx="0" presStyleCnt="1" custAng="6841058">
        <dgm:presLayoutVars>
          <dgm:chMax val="0"/>
          <dgm:chPref val="0"/>
          <dgm:bulletEnabled val="1"/>
        </dgm:presLayoutVars>
      </dgm:prSet>
      <dgm:spPr/>
    </dgm:pt>
    <dgm:pt modelId="{E15F8625-5154-495A-A6CD-6F2743B0D6FA}" type="pres">
      <dgm:prSet presAssocID="{5365FC27-F5C5-4247-AEC5-301F7AEA1E72}" presName="spVertical2" presStyleCnt="0"/>
      <dgm:spPr/>
    </dgm:pt>
    <dgm:pt modelId="{7EA09CD6-C8E8-4F89-9CB2-60F37BF23CC4}" type="pres">
      <dgm:prSet presAssocID="{5365FC27-F5C5-4247-AEC5-301F7AEA1E72}" presName="spVertical3" presStyleCnt="0"/>
      <dgm:spPr/>
    </dgm:pt>
    <dgm:pt modelId="{2543D308-015A-434D-A04E-ADE116526CED}" type="pres">
      <dgm:prSet presAssocID="{B8EC94BA-D50D-4A49-840B-898BC67BDCB6}" presName="padding2" presStyleCnt="0"/>
      <dgm:spPr/>
    </dgm:pt>
    <dgm:pt modelId="{763523D0-CDEC-4731-8323-74FCBD5F829B}" type="pres">
      <dgm:prSet presAssocID="{B8EC94BA-D50D-4A49-840B-898BC67BDCB6}" presName="negArrow" presStyleCnt="0"/>
      <dgm:spPr/>
    </dgm:pt>
    <dgm:pt modelId="{1F1D69BA-6F94-444C-A2B3-6AE1F11FA11A}" type="pres">
      <dgm:prSet presAssocID="{B8EC94BA-D50D-4A49-840B-898BC67BDCB6}" presName="backgroundArrow" presStyleLbl="node1" presStyleIdx="0" presStyleCnt="1" custLinFactNeighborX="21875" custLinFactNeighborY="2917"/>
      <dgm:spPr>
        <a:solidFill>
          <a:srgbClr val="FF9966"/>
        </a:solidFill>
        <a:scene3d>
          <a:camera prst="orthographicFront">
            <a:rot lat="0" lon="0" rev="1620000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gm:spPr>
    </dgm:pt>
  </dgm:ptLst>
  <dgm:cxnLst>
    <dgm:cxn modelId="{27C4FBA5-D44B-49B1-9845-D132AD42081E}" type="presOf" srcId="{5365FC27-F5C5-4247-AEC5-301F7AEA1E72}" destId="{A8667525-EC25-40BA-B1D3-68F21FACA286}" srcOrd="0" destOrd="0" presId="urn:microsoft.com/office/officeart/2005/8/layout/hProcess3"/>
    <dgm:cxn modelId="{2640E0BD-0B68-4CB8-849C-52F208ED4B09}" type="presOf" srcId="{B8EC94BA-D50D-4A49-840B-898BC67BDCB6}" destId="{7A39EEFE-5B8F-4A65-90BA-302730EC51CB}" srcOrd="0" destOrd="0" presId="urn:microsoft.com/office/officeart/2005/8/layout/hProcess3"/>
    <dgm:cxn modelId="{17A811E0-0F23-4BB1-9929-30FF109C7454}" srcId="{B8EC94BA-D50D-4A49-840B-898BC67BDCB6}" destId="{5365FC27-F5C5-4247-AEC5-301F7AEA1E72}" srcOrd="0" destOrd="0" parTransId="{DFDEA75A-8A22-462B-9786-00894E53A2ED}" sibTransId="{14ED24AB-F237-476B-B652-EAA8F3CAEDC7}"/>
    <dgm:cxn modelId="{5BE9483C-E512-4415-A8E6-6DC0A17717A2}" type="presParOf" srcId="{7A39EEFE-5B8F-4A65-90BA-302730EC51CB}" destId="{05968B10-22BD-4D34-A730-6B84813022D2}" srcOrd="0" destOrd="0" presId="urn:microsoft.com/office/officeart/2005/8/layout/hProcess3"/>
    <dgm:cxn modelId="{FB968DB4-8D2B-4DD6-9869-461D6394BC3D}" type="presParOf" srcId="{7A39EEFE-5B8F-4A65-90BA-302730EC51CB}" destId="{56216720-3732-4ABA-AF47-4CA0674AB7D1}" srcOrd="1" destOrd="0" presId="urn:microsoft.com/office/officeart/2005/8/layout/hProcess3"/>
    <dgm:cxn modelId="{01F269B6-A22C-41FA-B8FE-1C7943157F7A}" type="presParOf" srcId="{56216720-3732-4ABA-AF47-4CA0674AB7D1}" destId="{8B8320A3-4085-4654-9259-D9AFA6F83F94}" srcOrd="0" destOrd="0" presId="urn:microsoft.com/office/officeart/2005/8/layout/hProcess3"/>
    <dgm:cxn modelId="{2C4F3664-122F-4EAE-A871-2B1D08F53846}" type="presParOf" srcId="{56216720-3732-4ABA-AF47-4CA0674AB7D1}" destId="{98E21709-CA37-4726-86EA-F9E30B0CBF41}" srcOrd="1" destOrd="0" presId="urn:microsoft.com/office/officeart/2005/8/layout/hProcess3"/>
    <dgm:cxn modelId="{662C09F8-8B60-41AE-8F52-5948BB42B4B5}" type="presParOf" srcId="{98E21709-CA37-4726-86EA-F9E30B0CBF41}" destId="{7025A68B-7CF2-4D9C-9B07-D7E2A121C6B8}" srcOrd="0" destOrd="0" presId="urn:microsoft.com/office/officeart/2005/8/layout/hProcess3"/>
    <dgm:cxn modelId="{FB5A9963-FDD2-4A07-8822-0C68AB06FCBA}" type="presParOf" srcId="{98E21709-CA37-4726-86EA-F9E30B0CBF41}" destId="{A8667525-EC25-40BA-B1D3-68F21FACA286}" srcOrd="1" destOrd="0" presId="urn:microsoft.com/office/officeart/2005/8/layout/hProcess3"/>
    <dgm:cxn modelId="{41D32A54-FCF8-4D58-A03A-E1587334DC55}" type="presParOf" srcId="{98E21709-CA37-4726-86EA-F9E30B0CBF41}" destId="{E15F8625-5154-495A-A6CD-6F2743B0D6FA}" srcOrd="2" destOrd="0" presId="urn:microsoft.com/office/officeart/2005/8/layout/hProcess3"/>
    <dgm:cxn modelId="{0E62FB3F-F5F1-4388-81E7-FCECD4F9ABEB}" type="presParOf" srcId="{98E21709-CA37-4726-86EA-F9E30B0CBF41}" destId="{7EA09CD6-C8E8-4F89-9CB2-60F37BF23CC4}" srcOrd="3" destOrd="0" presId="urn:microsoft.com/office/officeart/2005/8/layout/hProcess3"/>
    <dgm:cxn modelId="{467B4B8B-F074-49AD-8CC0-5CE6ED3BDC15}" type="presParOf" srcId="{56216720-3732-4ABA-AF47-4CA0674AB7D1}" destId="{2543D308-015A-434D-A04E-ADE116526CED}" srcOrd="2" destOrd="0" presId="urn:microsoft.com/office/officeart/2005/8/layout/hProcess3"/>
    <dgm:cxn modelId="{ED2F6BBA-55F5-4795-B2C0-BEDFA8DC089C}" type="presParOf" srcId="{56216720-3732-4ABA-AF47-4CA0674AB7D1}" destId="{763523D0-CDEC-4731-8323-74FCBD5F829B}" srcOrd="3" destOrd="0" presId="urn:microsoft.com/office/officeart/2005/8/layout/hProcess3"/>
    <dgm:cxn modelId="{71B20A38-247C-4313-B596-EE879E57AA7C}" type="presParOf" srcId="{56216720-3732-4ABA-AF47-4CA0674AB7D1}" destId="{1F1D69BA-6F94-444C-A2B3-6AE1F11FA11A}" srcOrd="4" destOrd="0" presId="urn:microsoft.com/office/officeart/2005/8/layout/hProcess3"/>
  </dgm:cxnLst>
  <dgm:bg/>
  <dgm:whole/>
  <dgm:extLst>
    <a:ext uri="http://schemas.microsoft.com/office/drawing/2008/diagram">
      <dsp:dataModelExt xmlns:dsp="http://schemas.microsoft.com/office/drawing/2008/diagram" relId="rId7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1F1D69BA-6F94-444C-A2B3-6AE1F11FA11A}">
      <dsp:nvSpPr>
        <dsp:cNvPr id="0" name=""/>
        <dsp:cNvSpPr/>
      </dsp:nvSpPr>
      <dsp:spPr>
        <a:xfrm>
          <a:off x="0" y="19932"/>
          <a:ext cx="609599" cy="360000"/>
        </a:xfrm>
        <a:prstGeom prst="rightArrow">
          <a:avLst/>
        </a:prstGeom>
        <a:solidFill>
          <a:srgbClr val="FF9966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1620000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</dsp:sp>
    <dsp:sp modelId="{A8667525-EC25-40BA-B1D3-68F21FACA286}">
      <dsp:nvSpPr>
        <dsp:cNvPr id="0" name=""/>
        <dsp:cNvSpPr/>
      </dsp:nvSpPr>
      <dsp:spPr>
        <a:xfrm rot="6841058">
          <a:off x="49172" y="99966"/>
          <a:ext cx="499466" cy="180000"/>
        </a:xfrm>
        <a:prstGeom prst="rect">
          <a:avLst/>
        </a:prstGeom>
        <a:noFill/>
        <a:ln w="9525" cap="flat" cmpd="sng" algn="ctr">
          <a:solidFill>
            <a:schemeClr val="dk1">
              <a:alpha val="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0" tIns="50800" rIns="0" bIns="5080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49172" y="99966"/>
        <a:ext cx="499466" cy="18000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Process3">
  <dgm:title val=""/>
  <dgm:desc val=""/>
  <dgm:catLst>
    <dgm:cat type="process" pri="6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 chOrder="t">
    <dgm:varLst>
      <dgm:dir/>
      <dgm:animLvl val="lvl"/>
      <dgm:resizeHandles val="exact"/>
    </dgm:varLst>
    <dgm:alg type="composite"/>
    <dgm:shape xmlns:r="http://schemas.openxmlformats.org/officeDocument/2006/relationships" r:blip="">
      <dgm:adjLst/>
    </dgm:shape>
    <dgm:presOf/>
    <dgm:constrLst>
      <dgm:constr type="w" for="ch" forName="dummy" refType="w"/>
      <dgm:constr type="h" for="ch" forName="dummy" refType="h"/>
      <dgm:constr type="h" for="ch" forName="dummy" refType="w" refFor="ch" refForName="dummy" op="lte" fact="0.4"/>
      <dgm:constr type="ctrX" for="ch" forName="dummy" refType="w" fact="0.5"/>
      <dgm:constr type="ctrY" for="ch" forName="dummy" refType="h" fact="0.5"/>
      <dgm:constr type="w" for="ch" forName="linH" refType="w"/>
      <dgm:constr type="h" for="ch" forName="linH" refType="h"/>
      <dgm:constr type="ctrX" for="ch" forName="linH" refType="w" fact="0.5"/>
      <dgm:constr type="ctrY" for="ch" forName="linH" refType="h" fact="0.5"/>
      <dgm:constr type="userP" for="ch" forName="linH" refType="h" refFor="ch" refForName="dummy" fact="0.25"/>
      <dgm:constr type="userT" for="des" forName="parTx" refType="w" refFor="ch" refForName="dummy" fact="0.2"/>
    </dgm:constrLst>
    <dgm:ruleLst/>
    <dgm:layoutNode name="dummy">
      <dgm:alg type="sp"/>
      <dgm:shape xmlns:r="http://schemas.openxmlformats.org/officeDocument/2006/relationships" r:blip="">
        <dgm:adjLst/>
      </dgm:shape>
      <dgm:presOf/>
      <dgm:constrLst/>
      <dgm:ruleLst/>
    </dgm:layoutNode>
    <dgm:layoutNode name="linH">
      <dgm:choose name="Name1">
        <dgm:if name="Name2" func="var" arg="dir" op="equ" val="norm">
          <dgm:alg type="lin">
            <dgm:param type="linDir" val="fromL"/>
            <dgm:param type="nodeVertAlign" val="t"/>
          </dgm:alg>
        </dgm:if>
        <dgm:else name="Name3">
          <dgm:alg type="lin">
            <dgm:param type="linDir" val="fromR"/>
            <dgm:param type="nodeVertAlign" val="t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primFontSz" for="des" forName="parTx" val="65"/>
        <dgm:constr type="primFontSz" for="des" forName="desTx" refType="primFontSz" refFor="des" refForName="parTx" op="equ"/>
        <dgm:constr type="h" for="des" forName="parTx" refType="primFontSz" refFor="des" refForName="parTx"/>
        <dgm:constr type="h" for="des" forName="desTx" refType="primFontSz" refFor="des" refForName="parTx" fact="0.5"/>
        <dgm:constr type="h" for="des" forName="parTx" op="equ"/>
        <dgm:constr type="h" for="des" forName="desTx" op="equ"/>
        <dgm:constr type="h" for="ch" forName="backgroundArrow" refType="primFontSz" refFor="des" refForName="parTx" fact="2"/>
        <dgm:constr type="h" for="ch" forName="backgroundArrow" refType="h" refFor="des" refForName="parTx" op="lte" fact="2"/>
        <dgm:constr type="h" for="ch" forName="backgroundArrow" refType="h" refFor="des" refForName="parTx" op="gte" fact="2"/>
        <dgm:constr type="h" for="des" forName="spVertical1" refType="primFontSz" refFor="des" refForName="parTx" fact="0.5"/>
        <dgm:constr type="h" for="des" forName="spVertical1" refType="h" refFor="des" refForName="parTx" op="lte" fact="0.5"/>
        <dgm:constr type="h" for="des" forName="spVertical1" refType="h" refFor="des" refForName="parTx" op="gte" fact="0.5"/>
        <dgm:constr type="h" for="des" forName="spVertical2" refType="primFontSz" refFor="des" refForName="parTx" fact="0.5"/>
        <dgm:constr type="h" for="des" forName="spVertical2" refType="h" refFor="des" refForName="parTx" op="lte" fact="0.5"/>
        <dgm:constr type="h" for="des" forName="spVertical2" refType="h" refFor="des" refForName="parTx" op="gte" fact="0.5"/>
        <dgm:constr type="h" for="des" forName="spVertical3" refType="primFontSz" refFor="des" refForName="parTx" fact="-0.4"/>
        <dgm:constr type="h" for="des" forName="spVertical3" refType="h" refFor="des" refForName="parTx" op="lte" fact="-0.4"/>
        <dgm:constr type="h" for="des" forName="spVertical3" refType="h" refFor="des" refForName="parTx" op="gte" fact="-0.4"/>
        <dgm:constr type="w" for="ch" forName="backgroundArrow" refType="w"/>
        <dgm:constr type="w" for="ch" forName="negArrow" refType="w" fact="-1"/>
        <dgm:constr type="w" for="ch" forName="linV" refType="w"/>
        <dgm:constr type="w" for="ch" forName="space" refType="w" refFor="ch" refForName="linV" fact="0.2"/>
        <dgm:constr type="w" for="ch" forName="padding1" refType="w" fact="0.08"/>
        <dgm:constr type="userP"/>
        <dgm:constr type="w" for="ch" forName="padding2" refType="userP"/>
      </dgm:constrLst>
      <dgm:ruleLst>
        <dgm:rule type="w" for="ch" forName="linV" val="0" fact="NaN" max="NaN"/>
        <dgm:rule type="primFontSz" for="des" forName="parTx" val="5" fact="NaN" max="NaN"/>
      </dgm:ruleLst>
      <dgm:layoutNode name="padding1">
        <dgm:alg type="sp"/>
        <dgm:shape xmlns:r="http://schemas.openxmlformats.org/officeDocument/2006/relationships" r:blip="">
          <dgm:adjLst/>
        </dgm:shape>
        <dgm:presOf/>
        <dgm:constrLst/>
        <dgm:ruleLst/>
      </dgm:layoutNode>
      <dgm:forEach name="Name4" axis="ch" ptType="node">
        <dgm:layoutNode name="linV">
          <dgm:alg type="lin">
            <dgm:param type="linDir" val="fromT"/>
          </dgm:alg>
          <dgm:shape xmlns:r="http://schemas.openxmlformats.org/officeDocument/2006/relationships" r:blip="">
            <dgm:adjLst/>
          </dgm:shape>
          <dgm:presOf/>
          <dgm:constrLst>
            <dgm:constr type="w" for="ch" forName="spVertical1" refType="w"/>
            <dgm:constr type="w" for="ch" forName="parTx" refType="w"/>
            <dgm:constr type="w" for="ch" forName="spVertical2" refType="w"/>
            <dgm:constr type="w" for="ch" forName="spVertical3" refType="w"/>
            <dgm:constr type="w" for="ch" forName="desTx" refType="w"/>
          </dgm:constrLst>
          <dgm:ruleLst/>
          <dgm:layoutNode name="spVertical1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  <dgm:layoutNode name="parTx" styleLbl="revTx">
            <dgm:varLst>
              <dgm:chMax val="0"/>
              <dgm:chPref val="0"/>
              <dgm:bulletEnabled val="1"/>
            </dgm:varLst>
            <dgm:choose name="Name5">
              <dgm:if name="Name6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7">
                <dgm:alg type="tx">
                  <dgm:param type="parTxLTRAlign" val="ctr"/>
                  <dgm:param type="parTxRTLAlign" val="ctr"/>
                </dgm:alg>
              </dgm:else>
            </dgm:choose>
            <dgm:shape xmlns:r="http://schemas.openxmlformats.org/officeDocument/2006/relationships" type="rect" r:blip="">
              <dgm:adjLst/>
            </dgm:shape>
            <dgm:presOf axis="self" ptType="node"/>
            <dgm:choose name="Name8">
              <dgm:if name="Name9" func="var" arg="dir" op="equ" val="norm">
                <dgm:constrLst>
                  <dgm:constr type="userT"/>
                  <dgm:constr type="h" refType="userT" op="lte"/>
                  <dgm:constr type="tMarg" refType="primFontSz" fact="0.8"/>
                  <dgm:constr type="bMarg" refType="tMarg"/>
                  <dgm:constr type="lMarg"/>
                  <dgm:constr type="rMarg"/>
                </dgm:constrLst>
              </dgm:if>
              <dgm:else name="Name10">
                <dgm:constrLst>
                  <dgm:constr type="userT"/>
                  <dgm:constr type="h" refType="userT" op="lte"/>
                  <dgm:constr type="tMarg" refType="primFontSz" fact="0.8"/>
                  <dgm:constr type="bMarg" refType="tMarg"/>
                  <dgm:constr type="lMarg"/>
                  <dgm:constr type="rMarg"/>
                </dgm:constrLst>
              </dgm:else>
            </dgm:choose>
            <dgm:ruleLst>
              <dgm:rule type="h" val="INF" fact="NaN" max="NaN"/>
            </dgm:ruleLst>
          </dgm:layoutNode>
          <dgm:layoutNode name="spVertical2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  <dgm:layoutNode name="spVertical3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  <dgm:choose name="Name11">
            <dgm:if name="Name12" axis="ch" ptType="node" func="cnt" op="gte" val="1">
              <dgm:layoutNode name="desTx" styleLbl="revTx">
                <dgm:varLst>
                  <dgm:bulletEnabled val="1"/>
                </dgm:varLst>
                <dgm:alg type="tx">
                  <dgm:param type="stBulletLvl" val="1"/>
                </dgm:alg>
                <dgm:shape xmlns:r="http://schemas.openxmlformats.org/officeDocument/2006/relationships" type="rect" r:blip="">
                  <dgm:adjLst/>
                </dgm:shape>
                <dgm:presOf axis="des" ptType="node"/>
                <dgm:constrLst>
                  <dgm:constr type="tMarg"/>
                  <dgm:constr type="bMarg"/>
                  <dgm:constr type="rMarg"/>
                  <dgm:constr type="lMarg"/>
                </dgm:constrLst>
                <dgm:ruleLst>
                  <dgm:rule type="h" val="INF" fact="NaN" max="NaN"/>
                </dgm:ruleLst>
              </dgm:layoutNode>
            </dgm:if>
            <dgm:else name="Name13"/>
          </dgm:choose>
        </dgm:layoutNode>
        <dgm:forEach name="Name14" axis="followSib" ptType="sibTrans" cnt="1">
          <dgm:layoutNode name="space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forEach>
      </dgm:forEach>
      <dgm:layoutNode name="padding2">
        <dgm:alg type="sp"/>
        <dgm:shape xmlns:r="http://schemas.openxmlformats.org/officeDocument/2006/relationships" r:blip="">
          <dgm:adjLst/>
        </dgm:shape>
        <dgm:presOf/>
        <dgm:constrLst/>
        <dgm:ruleLst/>
      </dgm:layoutNode>
      <dgm:layoutNode name="negArrow">
        <dgm:alg type="sp"/>
        <dgm:shape xmlns:r="http://schemas.openxmlformats.org/officeDocument/2006/relationships" r:blip="">
          <dgm:adjLst/>
        </dgm:shape>
        <dgm:presOf/>
        <dgm:constrLst/>
        <dgm:ruleLst/>
      </dgm:layoutNode>
      <dgm:layoutNode name="backgroundArrow" styleLbl="node1">
        <dgm:alg type="sp"/>
        <dgm:choose name="Name15">
          <dgm:if name="Name16" func="var" arg="dir" op="equ" val="norm">
            <dgm:shape xmlns:r="http://schemas.openxmlformats.org/officeDocument/2006/relationships" type="rightArrow" r:blip="">
              <dgm:adjLst/>
            </dgm:shape>
          </dgm:if>
          <dgm:else name="Name17">
            <dgm:shape xmlns:r="http://schemas.openxmlformats.org/officeDocument/2006/relationships" type="leftArrow" r:blip="">
              <dgm:adjLst/>
            </dgm:shape>
          </dgm:else>
        </dgm:choose>
        <dgm:presOf/>
        <dgm:constrLst/>
        <dgm:ruleLst/>
      </dgm:layoutNode>
    </dgm:layoutNod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3d3">
  <dgm:title val=""/>
  <dgm:desc val=""/>
  <dgm:catLst>
    <dgm:cat type="3D" pri="11300"/>
  </dgm:catLst>
  <dgm:scene3d>
    <a:camera prst="orthographicFront"/>
    <a:lightRig rig="threePt" dir="t"/>
  </dgm:scene3d>
  <dgm:styleLbl name="node0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l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clear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flat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-182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1D1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>
        <a:rot lat="0" lon="0" rev="0"/>
      </a:camera>
      <a:lightRig rig="contrasting" dir="t">
        <a:rot lat="0" lon="0" rev="1200000"/>
      </a:lightRig>
    </dgm:scene3d>
    <dgm:sp3d z="10000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4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1D1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Acc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2700" prstMaterial="flat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>
        <a:rot lat="0" lon="0" rev="0"/>
      </a:camera>
      <a:lightRig rig="contrasting" dir="t">
        <a:rot lat="0" lon="0" rev="1200000"/>
      </a:lightRig>
    </dgm:scene3d>
    <dgm:sp3d z="-300000" prstMaterial="plastic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flat">
      <a:bevelT w="100800" h="1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>
        <a:rot lat="0" lon="0" rev="0"/>
      </a:camera>
      <a:lightRig rig="contrasting" dir="t">
        <a:rot lat="0" lon="0" rev="1200000"/>
      </a:lightRig>
    </dgm:scene3d>
    <dgm:sp3d z="-1524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Data" Target="../diagrams/data1.xml"/><Relationship Id="rId7" Type="http://schemas.microsoft.com/office/2007/relationships/diagramDrawing" Target="../diagrams/drawing1.xml"/><Relationship Id="rId2" Type="http://schemas.openxmlformats.org/officeDocument/2006/relationships/image" Target="../media/image2.gif"/><Relationship Id="rId1" Type="http://schemas.openxmlformats.org/officeDocument/2006/relationships/image" Target="../media/image1.wmf"/><Relationship Id="rId6" Type="http://schemas.openxmlformats.org/officeDocument/2006/relationships/diagramColors" Target="../diagrams/colors1.xml"/><Relationship Id="rId5" Type="http://schemas.openxmlformats.org/officeDocument/2006/relationships/diagramQuickStyle" Target="../diagrams/quickStyle1.xml"/><Relationship Id="rId4" Type="http://schemas.openxmlformats.org/officeDocument/2006/relationships/diagramLayout" Target="../diagrams/layou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21</xdr:row>
      <xdr:rowOff>190500</xdr:rowOff>
    </xdr:from>
    <xdr:to>
      <xdr:col>9</xdr:col>
      <xdr:colOff>555879</xdr:colOff>
      <xdr:row>29</xdr:row>
      <xdr:rowOff>154686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/>
        </a:blip>
        <a:srcRect/>
        <a:stretch>
          <a:fillRect/>
        </a:stretch>
      </xdr:blipFill>
      <xdr:spPr bwMode="auto">
        <a:xfrm>
          <a:off x="2714625" y="5238750"/>
          <a:ext cx="3232404" cy="16882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122465</xdr:colOff>
      <xdr:row>47</xdr:row>
      <xdr:rowOff>1361</xdr:rowOff>
    </xdr:from>
    <xdr:to>
      <xdr:col>10</xdr:col>
      <xdr:colOff>1</xdr:colOff>
      <xdr:row>65</xdr:row>
      <xdr:rowOff>81589</xdr:rowOff>
    </xdr:to>
    <xdr:pic>
      <xdr:nvPicPr>
        <xdr:cNvPr id="5" name="Picture 4" descr="lightning-map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2465" y="10440761"/>
          <a:ext cx="5878286" cy="3509228"/>
        </a:xfrm>
        <a:prstGeom prst="rect">
          <a:avLst/>
        </a:prstGeom>
      </xdr:spPr>
    </xdr:pic>
    <xdr:clientData/>
  </xdr:twoCellAnchor>
  <xdr:twoCellAnchor>
    <xdr:from>
      <xdr:col>4</xdr:col>
      <xdr:colOff>622056</xdr:colOff>
      <xdr:row>153</xdr:row>
      <xdr:rowOff>74630</xdr:rowOff>
    </xdr:from>
    <xdr:to>
      <xdr:col>5</xdr:col>
      <xdr:colOff>622055</xdr:colOff>
      <xdr:row>155</xdr:row>
      <xdr:rowOff>65942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3" r:lo="rId4" r:qs="rId5" r:cs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5"/>
  <sheetViews>
    <sheetView tabSelected="1" zoomScaleNormal="100" zoomScaleSheetLayoutView="100" workbookViewId="0">
      <selection activeCell="C12" sqref="C12:I12"/>
    </sheetView>
  </sheetViews>
  <sheetFormatPr defaultRowHeight="14.4" x14ac:dyDescent="0.3"/>
  <cols>
    <col min="1" max="1" width="2.109375" customWidth="1"/>
    <col min="3" max="3" width="9.109375" customWidth="1"/>
    <col min="8" max="8" width="9.109375" customWidth="1"/>
    <col min="9" max="9" width="14.6640625" customWidth="1"/>
    <col min="10" max="10" width="9.109375" customWidth="1"/>
    <col min="11" max="11" width="2.109375" customWidth="1"/>
  </cols>
  <sheetData>
    <row r="1" spans="1:11" ht="30" customHeight="1" thickBot="1" x14ac:dyDescent="0.35">
      <c r="A1" s="90" t="s">
        <v>100</v>
      </c>
      <c r="B1" s="91"/>
      <c r="C1" s="91"/>
      <c r="D1" s="91"/>
      <c r="E1" s="91"/>
      <c r="F1" s="91"/>
      <c r="G1" s="91"/>
      <c r="H1" s="91"/>
      <c r="I1" s="92"/>
      <c r="J1" s="93" t="s">
        <v>99</v>
      </c>
      <c r="K1" s="94"/>
    </row>
    <row r="2" spans="1:11" ht="20.100000000000001" customHeight="1" x14ac:dyDescent="0.3">
      <c r="A2" s="4"/>
      <c r="B2" s="89" t="s">
        <v>3</v>
      </c>
      <c r="C2" s="89"/>
      <c r="D2" s="89"/>
      <c r="E2" s="89"/>
      <c r="F2" s="89"/>
      <c r="G2" s="89"/>
      <c r="H2" s="89"/>
      <c r="I2" s="89"/>
      <c r="J2" s="89"/>
      <c r="K2" s="5"/>
    </row>
    <row r="3" spans="1:11" ht="20.100000000000001" customHeight="1" x14ac:dyDescent="0.3">
      <c r="A3" s="4"/>
      <c r="B3" s="89" t="s">
        <v>4</v>
      </c>
      <c r="C3" s="89"/>
      <c r="D3" s="89"/>
      <c r="E3" s="89"/>
      <c r="F3" s="89"/>
      <c r="G3" s="89"/>
      <c r="H3" s="89"/>
      <c r="I3" s="89"/>
      <c r="J3" s="89"/>
      <c r="K3" s="5"/>
    </row>
    <row r="4" spans="1:11" ht="20.25" customHeight="1" x14ac:dyDescent="0.3">
      <c r="A4" s="4"/>
      <c r="B4" s="6" t="s">
        <v>11</v>
      </c>
      <c r="I4" s="56"/>
      <c r="K4" s="5"/>
    </row>
    <row r="5" spans="1:11" ht="20.100000000000001" customHeight="1" x14ac:dyDescent="0.3">
      <c r="A5" s="4"/>
      <c r="B5" s="95" t="s">
        <v>12</v>
      </c>
      <c r="C5" s="97"/>
      <c r="D5" s="96"/>
      <c r="E5" s="96"/>
      <c r="F5" s="96"/>
      <c r="G5" s="96"/>
      <c r="H5" s="96"/>
      <c r="I5" s="96"/>
      <c r="J5" s="96"/>
      <c r="K5" s="5"/>
    </row>
    <row r="6" spans="1:11" ht="9.9" customHeight="1" x14ac:dyDescent="0.3">
      <c r="A6" s="4"/>
      <c r="B6" s="1"/>
      <c r="C6" s="1"/>
      <c r="F6" s="3"/>
      <c r="G6" s="3"/>
      <c r="H6" s="3"/>
      <c r="I6" s="3"/>
      <c r="J6" s="2"/>
      <c r="K6" s="5"/>
    </row>
    <row r="7" spans="1:11" ht="20.100000000000001" customHeight="1" x14ac:dyDescent="0.3">
      <c r="A7" s="4"/>
      <c r="B7" s="95" t="s">
        <v>13</v>
      </c>
      <c r="C7" s="97"/>
      <c r="D7" s="7"/>
      <c r="E7" s="2"/>
      <c r="F7" s="95" t="s">
        <v>14</v>
      </c>
      <c r="G7" s="95"/>
      <c r="H7" s="96"/>
      <c r="I7" s="96"/>
      <c r="J7" s="96"/>
      <c r="K7" s="5"/>
    </row>
    <row r="8" spans="1:11" ht="24.9" customHeight="1" x14ac:dyDescent="0.3">
      <c r="A8" s="4"/>
      <c r="B8" s="6" t="s">
        <v>0</v>
      </c>
      <c r="K8" s="5"/>
    </row>
    <row r="9" spans="1:11" s="1" customFormat="1" ht="20.100000000000001" customHeight="1" x14ac:dyDescent="0.3">
      <c r="A9" s="8"/>
      <c r="B9" s="9" t="s">
        <v>1</v>
      </c>
      <c r="C9" s="95" t="s">
        <v>67</v>
      </c>
      <c r="D9" s="95"/>
      <c r="E9" s="95"/>
      <c r="F9" s="95"/>
      <c r="G9" s="95"/>
      <c r="H9" s="95"/>
      <c r="I9" s="95"/>
      <c r="K9" s="10"/>
    </row>
    <row r="10" spans="1:11" s="1" customFormat="1" ht="20.100000000000001" customHeight="1" x14ac:dyDescent="0.3">
      <c r="A10" s="8"/>
      <c r="B10" s="9" t="s">
        <v>10</v>
      </c>
      <c r="C10" s="95" t="s">
        <v>15</v>
      </c>
      <c r="D10" s="95"/>
      <c r="E10" s="95"/>
      <c r="F10" s="95"/>
      <c r="G10" s="95"/>
      <c r="H10" s="95"/>
      <c r="I10" s="95"/>
      <c r="K10" s="10"/>
    </row>
    <row r="11" spans="1:11" s="1" customFormat="1" ht="20.100000000000001" customHeight="1" x14ac:dyDescent="0.3">
      <c r="A11" s="8"/>
      <c r="B11" s="9" t="s">
        <v>2</v>
      </c>
      <c r="C11" s="95" t="s">
        <v>5</v>
      </c>
      <c r="D11" s="95"/>
      <c r="E11" s="95"/>
      <c r="F11" s="95"/>
      <c r="G11" s="95"/>
      <c r="H11" s="95"/>
      <c r="I11" s="95"/>
      <c r="K11" s="10"/>
    </row>
    <row r="12" spans="1:11" s="1" customFormat="1" ht="20.100000000000001" customHeight="1" x14ac:dyDescent="0.3">
      <c r="A12" s="8"/>
      <c r="B12" s="9" t="s">
        <v>6</v>
      </c>
      <c r="C12" s="95" t="s">
        <v>7</v>
      </c>
      <c r="D12" s="95"/>
      <c r="E12" s="95"/>
      <c r="F12" s="95"/>
      <c r="G12" s="95"/>
      <c r="H12" s="95"/>
      <c r="I12" s="95"/>
      <c r="K12" s="10"/>
    </row>
    <row r="13" spans="1:11" s="1" customFormat="1" ht="20.100000000000001" customHeight="1" x14ac:dyDescent="0.3">
      <c r="A13" s="8"/>
      <c r="B13" s="9" t="s">
        <v>9</v>
      </c>
      <c r="C13" s="95" t="s">
        <v>8</v>
      </c>
      <c r="D13" s="95"/>
      <c r="E13" s="95"/>
      <c r="F13" s="95"/>
      <c r="G13" s="95"/>
      <c r="H13" s="95"/>
      <c r="I13" s="95"/>
      <c r="K13" s="10"/>
    </row>
    <row r="14" spans="1:11" s="1" customFormat="1" ht="20.100000000000001" customHeight="1" x14ac:dyDescent="0.3">
      <c r="A14" s="8"/>
      <c r="B14" s="9" t="s">
        <v>16</v>
      </c>
      <c r="C14" s="95" t="s">
        <v>21</v>
      </c>
      <c r="D14" s="95"/>
      <c r="E14" s="95"/>
      <c r="F14" s="95"/>
      <c r="G14" s="95"/>
      <c r="H14" s="95"/>
      <c r="I14" s="95"/>
      <c r="K14" s="10"/>
    </row>
    <row r="15" spans="1:11" s="1" customFormat="1" ht="20.100000000000001" customHeight="1" x14ac:dyDescent="0.3">
      <c r="A15" s="8"/>
      <c r="B15" s="9" t="s">
        <v>17</v>
      </c>
      <c r="C15" s="95" t="s">
        <v>20</v>
      </c>
      <c r="D15" s="95"/>
      <c r="E15" s="95"/>
      <c r="F15" s="95"/>
      <c r="G15" s="95"/>
      <c r="H15" s="95"/>
      <c r="I15" s="95"/>
      <c r="K15" s="10"/>
    </row>
    <row r="16" spans="1:11" s="1" customFormat="1" ht="20.100000000000001" customHeight="1" x14ac:dyDescent="0.3">
      <c r="A16" s="8"/>
      <c r="B16" s="9" t="s">
        <v>18</v>
      </c>
      <c r="C16" s="95" t="s">
        <v>22</v>
      </c>
      <c r="D16" s="95"/>
      <c r="E16" s="95"/>
      <c r="F16" s="95"/>
      <c r="G16" s="95"/>
      <c r="H16" s="95"/>
      <c r="I16" s="95"/>
      <c r="K16" s="10"/>
    </row>
    <row r="17" spans="1:11" s="1" customFormat="1" ht="20.100000000000001" customHeight="1" x14ac:dyDescent="0.3">
      <c r="A17" s="8"/>
      <c r="B17" s="9" t="s">
        <v>19</v>
      </c>
      <c r="C17" s="95" t="s">
        <v>23</v>
      </c>
      <c r="D17" s="95"/>
      <c r="E17" s="95"/>
      <c r="F17" s="95"/>
      <c r="G17" s="95"/>
      <c r="H17" s="95"/>
      <c r="I17" s="95"/>
      <c r="K17" s="10"/>
    </row>
    <row r="18" spans="1:11" ht="9.9" customHeight="1" x14ac:dyDescent="0.3">
      <c r="A18" s="4"/>
      <c r="K18" s="5"/>
    </row>
    <row r="19" spans="1:11" ht="24.9" customHeight="1" x14ac:dyDescent="0.3">
      <c r="A19" s="4"/>
      <c r="B19" s="6" t="s">
        <v>24</v>
      </c>
      <c r="K19" s="5"/>
    </row>
    <row r="20" spans="1:11" x14ac:dyDescent="0.3">
      <c r="A20" s="4"/>
      <c r="B20" s="101" t="s">
        <v>25</v>
      </c>
      <c r="C20" s="101"/>
      <c r="D20" s="15">
        <v>37</v>
      </c>
      <c r="E20" s="101" t="s">
        <v>26</v>
      </c>
      <c r="F20" s="101"/>
      <c r="G20" s="15">
        <v>60</v>
      </c>
      <c r="H20" s="102" t="s">
        <v>27</v>
      </c>
      <c r="I20" s="103"/>
      <c r="J20" s="15">
        <v>10.5</v>
      </c>
      <c r="K20" s="5"/>
    </row>
    <row r="21" spans="1:11" ht="9.9" customHeight="1" x14ac:dyDescent="0.3">
      <c r="A21" s="4"/>
      <c r="K21" s="5"/>
    </row>
    <row r="22" spans="1:11" ht="24.9" customHeight="1" x14ac:dyDescent="0.3">
      <c r="A22" s="4"/>
      <c r="B22" s="6" t="s">
        <v>28</v>
      </c>
      <c r="K22" s="5"/>
    </row>
    <row r="23" spans="1:11" x14ac:dyDescent="0.3">
      <c r="A23" s="4"/>
      <c r="B23" s="1"/>
      <c r="C23" s="1"/>
      <c r="D23" s="1"/>
      <c r="E23" s="1"/>
      <c r="F23" s="1"/>
      <c r="G23" s="1"/>
      <c r="H23" s="1"/>
      <c r="I23" s="1"/>
      <c r="J23" s="1"/>
      <c r="K23" s="5"/>
    </row>
    <row r="24" spans="1:11" x14ac:dyDescent="0.3">
      <c r="A24" s="4"/>
      <c r="B24" s="16" t="s">
        <v>30</v>
      </c>
      <c r="C24" s="1"/>
      <c r="D24" s="1"/>
      <c r="E24" s="1"/>
      <c r="F24" s="1"/>
      <c r="G24" s="1"/>
      <c r="H24" s="1"/>
      <c r="I24" s="1"/>
      <c r="J24" s="1"/>
      <c r="K24" s="5"/>
    </row>
    <row r="25" spans="1:11" ht="15" thickBot="1" x14ac:dyDescent="0.35">
      <c r="A25" s="4"/>
      <c r="B25" s="1"/>
      <c r="C25" s="1"/>
      <c r="D25" s="1"/>
      <c r="E25" s="1"/>
      <c r="F25" s="1"/>
      <c r="G25" s="1"/>
      <c r="H25" s="1"/>
      <c r="I25" s="1"/>
      <c r="J25" s="1"/>
      <c r="K25" s="5"/>
    </row>
    <row r="26" spans="1:11" ht="19.2" thickTop="1" thickBot="1" x14ac:dyDescent="0.35">
      <c r="A26" s="4"/>
      <c r="B26" s="33" t="s">
        <v>72</v>
      </c>
      <c r="C26" s="34" t="s">
        <v>71</v>
      </c>
      <c r="D26" s="34"/>
      <c r="E26" s="35"/>
      <c r="F26" s="1"/>
      <c r="G26" s="1"/>
      <c r="H26" s="1"/>
      <c r="I26" s="1"/>
      <c r="J26" s="1"/>
      <c r="K26" s="5"/>
    </row>
    <row r="27" spans="1:11" ht="15" thickTop="1" x14ac:dyDescent="0.3">
      <c r="A27" s="4"/>
      <c r="B27" s="13"/>
      <c r="C27" s="1"/>
      <c r="D27" s="1"/>
      <c r="E27" s="1"/>
      <c r="F27" s="1"/>
      <c r="G27" s="1"/>
      <c r="H27" s="1"/>
      <c r="I27" s="1"/>
      <c r="J27" s="1"/>
      <c r="K27" s="5"/>
    </row>
    <row r="28" spans="1:11" ht="16.2" x14ac:dyDescent="0.3">
      <c r="A28" s="4"/>
      <c r="B28" s="13" t="s">
        <v>29</v>
      </c>
      <c r="C28" s="14">
        <f>((D20*G20)+((6*J20)*(D20+G20))+(9*3.14*J20*J20))</f>
        <v>11446.665000000001</v>
      </c>
      <c r="D28" s="1" t="s">
        <v>83</v>
      </c>
      <c r="E28" s="1"/>
      <c r="F28" s="1"/>
      <c r="G28" s="1"/>
      <c r="H28" s="1"/>
      <c r="I28" s="1"/>
      <c r="J28" s="1"/>
      <c r="K28" s="5"/>
    </row>
    <row r="29" spans="1:11" x14ac:dyDescent="0.3">
      <c r="A29" s="4"/>
      <c r="B29" s="1"/>
      <c r="C29" s="1"/>
      <c r="D29" s="1"/>
      <c r="E29" s="1"/>
      <c r="F29" s="1"/>
      <c r="G29" s="1"/>
      <c r="H29" s="1"/>
      <c r="I29" s="1"/>
      <c r="J29" s="1"/>
      <c r="K29" s="5"/>
    </row>
    <row r="30" spans="1:11" x14ac:dyDescent="0.3">
      <c r="A30" s="4"/>
      <c r="B30" s="1"/>
      <c r="C30" s="1"/>
      <c r="D30" s="1"/>
      <c r="E30" s="1"/>
      <c r="F30" s="1"/>
      <c r="G30" s="1"/>
      <c r="H30" s="1"/>
      <c r="I30" s="1"/>
      <c r="J30" s="1"/>
      <c r="K30" s="5"/>
    </row>
    <row r="31" spans="1:11" ht="24.9" customHeight="1" x14ac:dyDescent="0.3">
      <c r="A31" s="4"/>
      <c r="B31" s="6" t="s">
        <v>90</v>
      </c>
      <c r="K31" s="5"/>
    </row>
    <row r="32" spans="1:11" ht="9.9" customHeight="1" thickBot="1" x14ac:dyDescent="0.35">
      <c r="A32" s="4"/>
      <c r="K32" s="5"/>
    </row>
    <row r="33" spans="1:11" ht="16.2" thickBot="1" x14ac:dyDescent="0.35">
      <c r="A33" s="4"/>
      <c r="B33" s="23" t="s">
        <v>32</v>
      </c>
      <c r="C33" s="104" t="s">
        <v>31</v>
      </c>
      <c r="D33" s="104"/>
      <c r="E33" s="104"/>
      <c r="F33" s="104"/>
      <c r="G33" s="104"/>
      <c r="H33" s="104"/>
      <c r="I33" s="104"/>
      <c r="J33" s="105"/>
      <c r="K33" s="5"/>
    </row>
    <row r="34" spans="1:11" ht="18" customHeight="1" x14ac:dyDescent="0.3">
      <c r="A34" s="4"/>
      <c r="B34" s="31">
        <v>0.25</v>
      </c>
      <c r="C34" s="106" t="s">
        <v>85</v>
      </c>
      <c r="D34" s="107"/>
      <c r="E34" s="107"/>
      <c r="F34" s="107"/>
      <c r="G34" s="107"/>
      <c r="H34" s="107"/>
      <c r="I34" s="107"/>
      <c r="J34" s="108"/>
      <c r="K34" s="5"/>
    </row>
    <row r="35" spans="1:11" ht="18" customHeight="1" x14ac:dyDescent="0.3">
      <c r="A35" s="4"/>
      <c r="B35" s="29">
        <v>0.5</v>
      </c>
      <c r="C35" s="75" t="s">
        <v>86</v>
      </c>
      <c r="D35" s="76"/>
      <c r="E35" s="76"/>
      <c r="F35" s="76"/>
      <c r="G35" s="76"/>
      <c r="H35" s="76"/>
      <c r="I35" s="76"/>
      <c r="J35" s="77"/>
      <c r="K35" s="5"/>
    </row>
    <row r="36" spans="1:11" ht="18" customHeight="1" x14ac:dyDescent="0.3">
      <c r="A36" s="4"/>
      <c r="B36" s="29">
        <v>1</v>
      </c>
      <c r="C36" s="75" t="s">
        <v>87</v>
      </c>
      <c r="D36" s="76"/>
      <c r="E36" s="76"/>
      <c r="F36" s="76"/>
      <c r="G36" s="76"/>
      <c r="H36" s="76"/>
      <c r="I36" s="76"/>
      <c r="J36" s="77"/>
      <c r="K36" s="5"/>
    </row>
    <row r="37" spans="1:11" ht="18" customHeight="1" thickBot="1" x14ac:dyDescent="0.35">
      <c r="A37" s="4"/>
      <c r="B37" s="30">
        <v>2</v>
      </c>
      <c r="C37" s="98" t="s">
        <v>88</v>
      </c>
      <c r="D37" s="99"/>
      <c r="E37" s="99"/>
      <c r="F37" s="99"/>
      <c r="G37" s="99"/>
      <c r="H37" s="99"/>
      <c r="I37" s="99"/>
      <c r="J37" s="100"/>
      <c r="K37" s="5"/>
    </row>
    <row r="38" spans="1:11" x14ac:dyDescent="0.3">
      <c r="A38" s="4"/>
      <c r="B38" s="1"/>
      <c r="C38" s="1"/>
      <c r="D38" s="1"/>
      <c r="E38" s="1"/>
      <c r="F38" s="1"/>
      <c r="G38" s="1"/>
      <c r="H38" s="1"/>
      <c r="I38" s="1"/>
      <c r="J38" s="1"/>
      <c r="K38" s="5"/>
    </row>
    <row r="39" spans="1:11" ht="18" customHeight="1" x14ac:dyDescent="0.3">
      <c r="A39" s="4"/>
      <c r="B39" s="13"/>
      <c r="C39" s="1"/>
      <c r="D39" s="1"/>
      <c r="E39" s="1"/>
      <c r="F39" s="1"/>
      <c r="G39" s="1"/>
      <c r="H39" s="1"/>
      <c r="I39" s="1"/>
      <c r="J39" s="1"/>
      <c r="K39" s="5"/>
    </row>
    <row r="40" spans="1:11" ht="18" customHeight="1" x14ac:dyDescent="0.3">
      <c r="A40" s="4"/>
      <c r="B40" s="13" t="s">
        <v>33</v>
      </c>
      <c r="C40" s="19">
        <v>0.5</v>
      </c>
      <c r="D40" s="1"/>
      <c r="E40" s="1"/>
      <c r="F40" s="1"/>
      <c r="G40" s="1"/>
      <c r="H40" s="1"/>
      <c r="I40" s="1"/>
      <c r="J40" s="1"/>
      <c r="K40" s="5"/>
    </row>
    <row r="41" spans="1:11" ht="18" customHeight="1" x14ac:dyDescent="0.3">
      <c r="A41" s="4"/>
      <c r="B41" s="13"/>
      <c r="C41" s="1"/>
      <c r="D41" s="1"/>
      <c r="E41" s="1"/>
      <c r="F41" s="1"/>
      <c r="G41" s="1"/>
      <c r="H41" s="1"/>
      <c r="I41" s="1"/>
      <c r="J41" s="1"/>
      <c r="K41" s="5"/>
    </row>
    <row r="42" spans="1:11" ht="18" customHeight="1" x14ac:dyDescent="0.3">
      <c r="A42" s="4"/>
      <c r="B42" s="13"/>
      <c r="C42" s="1"/>
      <c r="D42" s="1"/>
      <c r="E42" s="1"/>
      <c r="F42" s="1"/>
      <c r="G42" s="1"/>
      <c r="H42" s="1"/>
      <c r="I42" s="1"/>
      <c r="J42" s="1"/>
      <c r="K42" s="5"/>
    </row>
    <row r="43" spans="1:11" x14ac:dyDescent="0.3">
      <c r="A43" s="4"/>
      <c r="B43" s="1"/>
      <c r="C43" s="1"/>
      <c r="D43" s="1"/>
      <c r="E43" s="1"/>
      <c r="F43" s="1"/>
      <c r="G43" s="1"/>
      <c r="H43" s="1"/>
      <c r="I43" s="1"/>
      <c r="J43" s="1"/>
      <c r="K43" s="5"/>
    </row>
    <row r="44" spans="1:11" ht="15" thickBot="1" x14ac:dyDescent="0.35">
      <c r="A44" s="11"/>
      <c r="B44" s="17"/>
      <c r="C44" s="17"/>
      <c r="D44" s="17"/>
      <c r="E44" s="17"/>
      <c r="F44" s="17"/>
      <c r="G44" s="17"/>
      <c r="H44" s="17"/>
      <c r="I44" s="17"/>
      <c r="J44" s="17"/>
      <c r="K44" s="12"/>
    </row>
    <row r="45" spans="1:11" x14ac:dyDescent="0.3">
      <c r="A45" s="20"/>
      <c r="B45" s="18"/>
      <c r="C45" s="18"/>
      <c r="D45" s="18"/>
      <c r="E45" s="18"/>
      <c r="F45" s="18"/>
      <c r="G45" s="18"/>
      <c r="H45" s="18"/>
      <c r="I45" s="18"/>
      <c r="J45" s="18"/>
      <c r="K45" s="21"/>
    </row>
    <row r="46" spans="1:11" ht="24.9" customHeight="1" x14ac:dyDescent="0.3">
      <c r="A46" s="4"/>
      <c r="B46" s="6" t="s">
        <v>34</v>
      </c>
      <c r="K46" s="5"/>
    </row>
    <row r="47" spans="1:11" ht="9.9" customHeight="1" x14ac:dyDescent="0.3">
      <c r="A47" s="4"/>
      <c r="K47" s="5"/>
    </row>
    <row r="48" spans="1:11" x14ac:dyDescent="0.3">
      <c r="A48" s="4"/>
      <c r="B48" s="1"/>
      <c r="C48" s="1"/>
      <c r="D48" s="1"/>
      <c r="E48" s="1"/>
      <c r="F48" s="1"/>
      <c r="G48" s="1"/>
      <c r="H48" s="1"/>
      <c r="I48" s="1"/>
      <c r="J48" s="1"/>
      <c r="K48" s="5"/>
    </row>
    <row r="49" spans="1:11" x14ac:dyDescent="0.3">
      <c r="A49" s="4"/>
      <c r="K49" s="5"/>
    </row>
    <row r="50" spans="1:11" x14ac:dyDescent="0.3">
      <c r="A50" s="4"/>
      <c r="K50" s="5"/>
    </row>
    <row r="51" spans="1:11" x14ac:dyDescent="0.3">
      <c r="A51" s="4"/>
      <c r="K51" s="5"/>
    </row>
    <row r="52" spans="1:11" x14ac:dyDescent="0.3">
      <c r="A52" s="4"/>
      <c r="K52" s="5"/>
    </row>
    <row r="53" spans="1:11" x14ac:dyDescent="0.3">
      <c r="A53" s="4"/>
      <c r="K53" s="5"/>
    </row>
    <row r="54" spans="1:11" x14ac:dyDescent="0.3">
      <c r="A54" s="4"/>
      <c r="K54" s="5"/>
    </row>
    <row r="55" spans="1:11" x14ac:dyDescent="0.3">
      <c r="A55" s="4"/>
      <c r="K55" s="5"/>
    </row>
    <row r="56" spans="1:11" x14ac:dyDescent="0.3">
      <c r="A56" s="4"/>
      <c r="K56" s="5"/>
    </row>
    <row r="57" spans="1:11" x14ac:dyDescent="0.3">
      <c r="A57" s="4"/>
      <c r="K57" s="5"/>
    </row>
    <row r="58" spans="1:11" x14ac:dyDescent="0.3">
      <c r="A58" s="4"/>
      <c r="K58" s="5"/>
    </row>
    <row r="59" spans="1:11" x14ac:dyDescent="0.3">
      <c r="A59" s="4"/>
      <c r="K59" s="5"/>
    </row>
    <row r="60" spans="1:11" x14ac:dyDescent="0.3">
      <c r="A60" s="4"/>
      <c r="K60" s="5"/>
    </row>
    <row r="61" spans="1:11" x14ac:dyDescent="0.3">
      <c r="A61" s="4"/>
      <c r="K61" s="5"/>
    </row>
    <row r="62" spans="1:11" x14ac:dyDescent="0.3">
      <c r="A62" s="4"/>
      <c r="K62" s="5"/>
    </row>
    <row r="63" spans="1:11" x14ac:dyDescent="0.3">
      <c r="A63" s="4"/>
      <c r="K63" s="5"/>
    </row>
    <row r="64" spans="1:11" x14ac:dyDescent="0.3">
      <c r="A64" s="4"/>
      <c r="K64" s="5"/>
    </row>
    <row r="65" spans="1:11" x14ac:dyDescent="0.3">
      <c r="A65" s="4"/>
      <c r="K65" s="5"/>
    </row>
    <row r="66" spans="1:11" x14ac:dyDescent="0.3">
      <c r="A66" s="4"/>
      <c r="K66" s="5"/>
    </row>
    <row r="67" spans="1:11" x14ac:dyDescent="0.3">
      <c r="A67" s="4"/>
      <c r="B67" s="95" t="s">
        <v>37</v>
      </c>
      <c r="C67" s="95"/>
      <c r="D67" s="95"/>
      <c r="E67" s="95"/>
      <c r="F67" s="95"/>
      <c r="G67" s="95"/>
      <c r="H67" s="95"/>
      <c r="I67" s="95"/>
      <c r="J67" s="95"/>
      <c r="K67" s="5"/>
    </row>
    <row r="68" spans="1:11" x14ac:dyDescent="0.3">
      <c r="A68" s="4"/>
      <c r="K68" s="5"/>
    </row>
    <row r="69" spans="1:11" ht="16.2" x14ac:dyDescent="0.3">
      <c r="A69" s="4"/>
      <c r="B69" s="109" t="s">
        <v>35</v>
      </c>
      <c r="C69" s="110"/>
      <c r="D69" s="111" t="s">
        <v>98</v>
      </c>
      <c r="E69" s="111"/>
      <c r="G69" s="13" t="s">
        <v>36</v>
      </c>
      <c r="H69" s="15">
        <v>10</v>
      </c>
      <c r="I69" t="s">
        <v>39</v>
      </c>
      <c r="K69" s="5"/>
    </row>
    <row r="70" spans="1:11" x14ac:dyDescent="0.3">
      <c r="A70" s="4"/>
      <c r="K70" s="5"/>
    </row>
    <row r="71" spans="1:11" x14ac:dyDescent="0.3">
      <c r="A71" s="4"/>
      <c r="K71" s="5"/>
    </row>
    <row r="72" spans="1:11" ht="24.9" customHeight="1" x14ac:dyDescent="0.3">
      <c r="A72" s="4"/>
      <c r="B72" s="6" t="s">
        <v>38</v>
      </c>
      <c r="K72" s="5"/>
    </row>
    <row r="73" spans="1:11" ht="9.9" customHeight="1" thickBot="1" x14ac:dyDescent="0.35">
      <c r="A73" s="4"/>
      <c r="K73" s="5"/>
    </row>
    <row r="74" spans="1:11" ht="19.2" thickTop="1" thickBot="1" x14ac:dyDescent="0.35">
      <c r="A74" s="4"/>
      <c r="B74" s="33" t="s">
        <v>73</v>
      </c>
      <c r="C74" s="36" t="s">
        <v>84</v>
      </c>
      <c r="D74" s="34"/>
      <c r="E74" s="37"/>
      <c r="K74" s="5"/>
    </row>
    <row r="75" spans="1:11" ht="15" thickTop="1" x14ac:dyDescent="0.3">
      <c r="A75" s="4"/>
      <c r="B75" s="13"/>
      <c r="C75" s="1"/>
      <c r="D75" s="1"/>
      <c r="E75" s="1"/>
      <c r="K75" s="5"/>
    </row>
    <row r="76" spans="1:11" ht="18" x14ac:dyDescent="0.3">
      <c r="A76" s="4"/>
      <c r="B76" s="13" t="s">
        <v>40</v>
      </c>
      <c r="C76" s="32">
        <f>(H69*C28*C40)/1000000</f>
        <v>5.7233325000000002E-2</v>
      </c>
      <c r="D76" s="57" t="s">
        <v>96</v>
      </c>
      <c r="E76" s="55" t="str">
        <f>IF(C76=0,"XXXXXXXXXX",".")</f>
        <v>.</v>
      </c>
      <c r="K76" s="5"/>
    </row>
    <row r="77" spans="1:11" x14ac:dyDescent="0.3">
      <c r="A77" s="4"/>
      <c r="K77" s="5"/>
    </row>
    <row r="78" spans="1:11" x14ac:dyDescent="0.3">
      <c r="A78" s="4"/>
      <c r="K78" s="5"/>
    </row>
    <row r="79" spans="1:11" ht="24.9" customHeight="1" x14ac:dyDescent="0.3">
      <c r="A79" s="4"/>
      <c r="B79" s="6" t="s">
        <v>91</v>
      </c>
      <c r="K79" s="5"/>
    </row>
    <row r="80" spans="1:11" ht="9.9" customHeight="1" thickBot="1" x14ac:dyDescent="0.35">
      <c r="A80" s="4"/>
      <c r="K80" s="5"/>
    </row>
    <row r="81" spans="1:11" ht="15" customHeight="1" thickBot="1" x14ac:dyDescent="0.35">
      <c r="A81" s="4"/>
      <c r="B81" s="118"/>
      <c r="C81" s="118"/>
      <c r="D81" s="115" t="s">
        <v>41</v>
      </c>
      <c r="E81" s="116"/>
      <c r="F81" s="116"/>
      <c r="G81" s="116"/>
      <c r="H81" s="116"/>
      <c r="I81" s="117"/>
      <c r="J81" s="24"/>
      <c r="K81" s="5"/>
    </row>
    <row r="82" spans="1:11" ht="15" customHeight="1" thickBot="1" x14ac:dyDescent="0.35">
      <c r="A82" s="4"/>
      <c r="B82" s="119" t="s">
        <v>42</v>
      </c>
      <c r="C82" s="79"/>
      <c r="D82" s="112" t="s">
        <v>43</v>
      </c>
      <c r="E82" s="113"/>
      <c r="F82" s="113" t="s">
        <v>44</v>
      </c>
      <c r="G82" s="113"/>
      <c r="H82" s="113" t="s">
        <v>89</v>
      </c>
      <c r="I82" s="114"/>
      <c r="J82" s="25"/>
      <c r="K82" s="5"/>
    </row>
    <row r="83" spans="1:11" x14ac:dyDescent="0.3">
      <c r="A83" s="4"/>
      <c r="B83" s="120" t="s">
        <v>43</v>
      </c>
      <c r="C83" s="121"/>
      <c r="D83" s="83">
        <v>0.5</v>
      </c>
      <c r="E83" s="84"/>
      <c r="F83" s="84">
        <v>1</v>
      </c>
      <c r="G83" s="84"/>
      <c r="H83" s="84">
        <v>2</v>
      </c>
      <c r="I83" s="85"/>
      <c r="J83" s="1"/>
      <c r="K83" s="5"/>
    </row>
    <row r="84" spans="1:11" x14ac:dyDescent="0.3">
      <c r="A84" s="4"/>
      <c r="B84" s="122" t="s">
        <v>44</v>
      </c>
      <c r="C84" s="123"/>
      <c r="D84" s="86">
        <v>1</v>
      </c>
      <c r="E84" s="87"/>
      <c r="F84" s="87">
        <v>1</v>
      </c>
      <c r="G84" s="87"/>
      <c r="H84" s="87">
        <v>2.5</v>
      </c>
      <c r="I84" s="88"/>
      <c r="J84" s="1"/>
      <c r="K84" s="5"/>
    </row>
    <row r="85" spans="1:11" ht="15" thickBot="1" x14ac:dyDescent="0.35">
      <c r="A85" s="4"/>
      <c r="B85" s="124" t="s">
        <v>89</v>
      </c>
      <c r="C85" s="125"/>
      <c r="D85" s="126">
        <v>2</v>
      </c>
      <c r="E85" s="81"/>
      <c r="F85" s="81">
        <v>2.5</v>
      </c>
      <c r="G85" s="81"/>
      <c r="H85" s="81">
        <v>3</v>
      </c>
      <c r="I85" s="82"/>
      <c r="J85" s="1"/>
      <c r="K85" s="5"/>
    </row>
    <row r="86" spans="1:11" x14ac:dyDescent="0.3">
      <c r="A86" s="4"/>
      <c r="K86" s="5"/>
    </row>
    <row r="87" spans="1:11" x14ac:dyDescent="0.3">
      <c r="A87" s="4"/>
      <c r="K87" s="5"/>
    </row>
    <row r="88" spans="1:11" ht="15.6" x14ac:dyDescent="0.3">
      <c r="A88" s="4"/>
      <c r="B88" s="13" t="s">
        <v>45</v>
      </c>
      <c r="C88" s="15">
        <v>1</v>
      </c>
      <c r="K88" s="5"/>
    </row>
    <row r="89" spans="1:11" x14ac:dyDescent="0.3">
      <c r="A89" s="4"/>
      <c r="K89" s="5"/>
    </row>
    <row r="90" spans="1:11" x14ac:dyDescent="0.3">
      <c r="A90" s="4"/>
      <c r="K90" s="5"/>
    </row>
    <row r="91" spans="1:11" x14ac:dyDescent="0.3">
      <c r="A91" s="4"/>
      <c r="K91" s="5"/>
    </row>
    <row r="92" spans="1:11" x14ac:dyDescent="0.3">
      <c r="A92" s="4"/>
      <c r="K92" s="5"/>
    </row>
    <row r="93" spans="1:11" x14ac:dyDescent="0.3">
      <c r="A93" s="4"/>
      <c r="K93" s="5"/>
    </row>
    <row r="94" spans="1:11" x14ac:dyDescent="0.3">
      <c r="A94" s="4"/>
      <c r="K94" s="5"/>
    </row>
    <row r="95" spans="1:11" ht="15" thickBot="1" x14ac:dyDescent="0.35">
      <c r="A95" s="11"/>
      <c r="B95" s="22"/>
      <c r="C95" s="22"/>
      <c r="D95" s="22"/>
      <c r="E95" s="22"/>
      <c r="F95" s="22"/>
      <c r="G95" s="22"/>
      <c r="H95" s="22"/>
      <c r="I95" s="22"/>
      <c r="J95" s="22"/>
      <c r="K95" s="12"/>
    </row>
    <row r="96" spans="1:11" x14ac:dyDescent="0.3">
      <c r="A96" s="20"/>
      <c r="B96" s="26"/>
      <c r="C96" s="26"/>
      <c r="D96" s="26"/>
      <c r="E96" s="26"/>
      <c r="F96" s="26"/>
      <c r="G96" s="26"/>
      <c r="H96" s="26"/>
      <c r="I96" s="26"/>
      <c r="J96" s="26"/>
      <c r="K96" s="21"/>
    </row>
    <row r="97" spans="1:11" ht="24.9" customHeight="1" x14ac:dyDescent="0.3">
      <c r="A97" s="4"/>
      <c r="B97" s="6" t="s">
        <v>48</v>
      </c>
      <c r="K97" s="5"/>
    </row>
    <row r="98" spans="1:11" ht="9.9" customHeight="1" thickBot="1" x14ac:dyDescent="0.35">
      <c r="A98" s="4"/>
      <c r="K98" s="5"/>
    </row>
    <row r="99" spans="1:11" ht="16.2" thickBot="1" x14ac:dyDescent="0.35">
      <c r="A99" s="4"/>
      <c r="B99" s="23" t="s">
        <v>46</v>
      </c>
      <c r="C99" s="78" t="s">
        <v>49</v>
      </c>
      <c r="D99" s="79"/>
      <c r="E99" s="79"/>
      <c r="F99" s="79"/>
      <c r="G99" s="79"/>
      <c r="H99" s="80"/>
      <c r="I99" s="27"/>
      <c r="J99" s="2"/>
      <c r="K99" s="5"/>
    </row>
    <row r="100" spans="1:11" x14ac:dyDescent="0.3">
      <c r="A100" s="4"/>
      <c r="B100" s="29">
        <v>0.5</v>
      </c>
      <c r="C100" s="72" t="s">
        <v>92</v>
      </c>
      <c r="D100" s="73"/>
      <c r="E100" s="73"/>
      <c r="F100" s="73"/>
      <c r="G100" s="73"/>
      <c r="H100" s="74"/>
      <c r="I100" s="27"/>
      <c r="J100" s="2"/>
      <c r="K100" s="5"/>
    </row>
    <row r="101" spans="1:11" x14ac:dyDescent="0.3">
      <c r="A101" s="4"/>
      <c r="B101" s="29">
        <v>1</v>
      </c>
      <c r="C101" s="75" t="s">
        <v>93</v>
      </c>
      <c r="D101" s="76"/>
      <c r="E101" s="76"/>
      <c r="F101" s="76"/>
      <c r="G101" s="76"/>
      <c r="H101" s="77"/>
      <c r="I101" s="27"/>
      <c r="J101" s="2"/>
      <c r="K101" s="5"/>
    </row>
    <row r="102" spans="1:11" x14ac:dyDescent="0.3">
      <c r="A102" s="4"/>
      <c r="B102" s="29">
        <v>2</v>
      </c>
      <c r="C102" s="75" t="s">
        <v>94</v>
      </c>
      <c r="D102" s="76"/>
      <c r="E102" s="76"/>
      <c r="F102" s="76"/>
      <c r="G102" s="76"/>
      <c r="H102" s="77"/>
      <c r="I102" s="27"/>
      <c r="J102" s="2"/>
      <c r="K102" s="5"/>
    </row>
    <row r="103" spans="1:11" x14ac:dyDescent="0.3">
      <c r="A103" s="4"/>
      <c r="B103" s="29">
        <v>3</v>
      </c>
      <c r="C103" s="75" t="s">
        <v>95</v>
      </c>
      <c r="D103" s="76"/>
      <c r="E103" s="76"/>
      <c r="F103" s="76"/>
      <c r="G103" s="76"/>
      <c r="H103" s="77"/>
      <c r="I103" s="27"/>
      <c r="J103" s="2"/>
      <c r="K103" s="5"/>
    </row>
    <row r="104" spans="1:11" ht="15" thickBot="1" x14ac:dyDescent="0.35">
      <c r="A104" s="4"/>
      <c r="B104" s="30">
        <v>4</v>
      </c>
      <c r="C104" s="69" t="s">
        <v>50</v>
      </c>
      <c r="D104" s="70"/>
      <c r="E104" s="70"/>
      <c r="F104" s="70"/>
      <c r="G104" s="70"/>
      <c r="H104" s="71"/>
      <c r="I104" s="27"/>
      <c r="J104" s="2"/>
      <c r="K104" s="5"/>
    </row>
    <row r="105" spans="1:11" x14ac:dyDescent="0.3">
      <c r="A105" s="4"/>
      <c r="B105" s="1"/>
      <c r="C105" s="1"/>
      <c r="D105" s="1"/>
      <c r="E105" s="1"/>
      <c r="F105" s="1"/>
      <c r="G105" s="1"/>
      <c r="H105" s="1"/>
      <c r="I105" s="1"/>
      <c r="J105" s="1"/>
      <c r="K105" s="5"/>
    </row>
    <row r="106" spans="1:11" ht="18" customHeight="1" x14ac:dyDescent="0.3">
      <c r="A106" s="4"/>
      <c r="B106" s="13"/>
      <c r="C106" s="1"/>
      <c r="D106" s="1"/>
      <c r="E106" s="1"/>
      <c r="F106" s="1"/>
      <c r="G106" s="1"/>
      <c r="H106" s="1"/>
      <c r="I106" s="1"/>
      <c r="J106" s="1"/>
      <c r="K106" s="5"/>
    </row>
    <row r="107" spans="1:11" ht="18" customHeight="1" x14ac:dyDescent="0.3">
      <c r="A107" s="4"/>
      <c r="B107" s="13" t="s">
        <v>47</v>
      </c>
      <c r="C107" s="15">
        <v>0.5</v>
      </c>
      <c r="D107" s="1"/>
      <c r="E107" s="1"/>
      <c r="F107" s="1"/>
      <c r="G107" s="1"/>
      <c r="H107" s="1"/>
      <c r="I107" s="1"/>
      <c r="J107" s="1"/>
      <c r="K107" s="5"/>
    </row>
    <row r="108" spans="1:11" x14ac:dyDescent="0.3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5"/>
    </row>
    <row r="109" spans="1:11" x14ac:dyDescent="0.3">
      <c r="A109" s="4"/>
      <c r="K109" s="5"/>
    </row>
    <row r="110" spans="1:11" ht="24.9" customHeight="1" x14ac:dyDescent="0.3">
      <c r="A110" s="4"/>
      <c r="B110" s="6" t="s">
        <v>53</v>
      </c>
      <c r="K110" s="5"/>
    </row>
    <row r="111" spans="1:11" ht="9.9" customHeight="1" thickBot="1" x14ac:dyDescent="0.35">
      <c r="A111" s="4"/>
      <c r="K111" s="5"/>
    </row>
    <row r="112" spans="1:11" ht="16.2" thickBot="1" x14ac:dyDescent="0.35">
      <c r="A112" s="4"/>
      <c r="B112" s="23" t="s">
        <v>52</v>
      </c>
      <c r="C112" s="78" t="s">
        <v>51</v>
      </c>
      <c r="D112" s="79"/>
      <c r="E112" s="79"/>
      <c r="F112" s="79"/>
      <c r="G112" s="79"/>
      <c r="H112" s="80"/>
      <c r="I112" s="27"/>
      <c r="J112" s="2"/>
      <c r="K112" s="5"/>
    </row>
    <row r="113" spans="1:11" x14ac:dyDescent="0.3">
      <c r="A113" s="4"/>
      <c r="B113" s="29">
        <v>0.5</v>
      </c>
      <c r="C113" s="72" t="s">
        <v>55</v>
      </c>
      <c r="D113" s="73"/>
      <c r="E113" s="73"/>
      <c r="F113" s="73"/>
      <c r="G113" s="73"/>
      <c r="H113" s="74"/>
      <c r="I113" s="27"/>
      <c r="J113" s="2"/>
      <c r="K113" s="5"/>
    </row>
    <row r="114" spans="1:11" x14ac:dyDescent="0.3">
      <c r="A114" s="4"/>
      <c r="B114" s="29">
        <v>1</v>
      </c>
      <c r="C114" s="75" t="s">
        <v>56</v>
      </c>
      <c r="D114" s="76"/>
      <c r="E114" s="76"/>
      <c r="F114" s="76"/>
      <c r="G114" s="76"/>
      <c r="H114" s="77"/>
      <c r="I114" s="27"/>
      <c r="J114" s="2"/>
      <c r="K114" s="5"/>
    </row>
    <row r="115" spans="1:11" ht="15" thickBot="1" x14ac:dyDescent="0.35">
      <c r="A115" s="4"/>
      <c r="B115" s="30">
        <v>3</v>
      </c>
      <c r="C115" s="69" t="s">
        <v>57</v>
      </c>
      <c r="D115" s="70"/>
      <c r="E115" s="70"/>
      <c r="F115" s="70"/>
      <c r="G115" s="70"/>
      <c r="H115" s="71"/>
      <c r="I115" s="27"/>
      <c r="J115" s="2"/>
      <c r="K115" s="5"/>
    </row>
    <row r="116" spans="1:11" x14ac:dyDescent="0.3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5"/>
    </row>
    <row r="117" spans="1:11" ht="18" customHeight="1" x14ac:dyDescent="0.3">
      <c r="A117" s="4"/>
      <c r="B117" s="13"/>
      <c r="C117" s="1"/>
      <c r="D117" s="1"/>
      <c r="E117" s="1"/>
      <c r="F117" s="1"/>
      <c r="G117" s="1"/>
      <c r="H117" s="1"/>
      <c r="I117" s="1"/>
      <c r="J117" s="1"/>
      <c r="K117" s="5"/>
    </row>
    <row r="118" spans="1:11" ht="18" customHeight="1" x14ac:dyDescent="0.3">
      <c r="A118" s="4"/>
      <c r="B118" s="13" t="s">
        <v>54</v>
      </c>
      <c r="C118" s="15">
        <v>1</v>
      </c>
      <c r="D118" s="1"/>
      <c r="E118" s="1"/>
      <c r="F118" s="1"/>
      <c r="G118" s="1"/>
      <c r="H118" s="1"/>
      <c r="I118" s="1"/>
      <c r="J118" s="1"/>
      <c r="K118" s="5"/>
    </row>
    <row r="119" spans="1:11" x14ac:dyDescent="0.3">
      <c r="A119" s="4"/>
      <c r="K119" s="5"/>
    </row>
    <row r="120" spans="1:11" x14ac:dyDescent="0.3">
      <c r="A120" s="4"/>
      <c r="K120" s="5"/>
    </row>
    <row r="121" spans="1:11" ht="24.9" customHeight="1" x14ac:dyDescent="0.3">
      <c r="A121" s="4"/>
      <c r="B121" s="6" t="s">
        <v>58</v>
      </c>
      <c r="K121" s="5"/>
    </row>
    <row r="122" spans="1:11" ht="9.9" customHeight="1" thickBot="1" x14ac:dyDescent="0.35">
      <c r="A122" s="4"/>
      <c r="K122" s="5"/>
    </row>
    <row r="123" spans="1:11" ht="16.2" thickBot="1" x14ac:dyDescent="0.35">
      <c r="A123" s="4"/>
      <c r="B123" s="28" t="s">
        <v>59</v>
      </c>
      <c r="C123" s="78" t="s">
        <v>61</v>
      </c>
      <c r="D123" s="79"/>
      <c r="E123" s="79"/>
      <c r="F123" s="79"/>
      <c r="G123" s="79"/>
      <c r="H123" s="79"/>
      <c r="I123" s="80"/>
      <c r="J123" s="2"/>
      <c r="K123" s="5"/>
    </row>
    <row r="124" spans="1:11" x14ac:dyDescent="0.3">
      <c r="A124" s="4"/>
      <c r="B124" s="29">
        <v>1</v>
      </c>
      <c r="C124" s="72" t="s">
        <v>62</v>
      </c>
      <c r="D124" s="73"/>
      <c r="E124" s="73"/>
      <c r="F124" s="73"/>
      <c r="G124" s="73"/>
      <c r="H124" s="73"/>
      <c r="I124" s="74"/>
      <c r="J124" s="2"/>
      <c r="K124" s="5"/>
    </row>
    <row r="125" spans="1:11" x14ac:dyDescent="0.3">
      <c r="A125" s="4"/>
      <c r="B125" s="29">
        <v>5</v>
      </c>
      <c r="C125" s="75" t="s">
        <v>63</v>
      </c>
      <c r="D125" s="76"/>
      <c r="E125" s="76"/>
      <c r="F125" s="76"/>
      <c r="G125" s="76"/>
      <c r="H125" s="76"/>
      <c r="I125" s="77"/>
      <c r="J125" s="2"/>
      <c r="K125" s="5"/>
    </row>
    <row r="126" spans="1:11" ht="15" thickBot="1" x14ac:dyDescent="0.35">
      <c r="A126" s="4"/>
      <c r="B126" s="30">
        <v>10</v>
      </c>
      <c r="C126" s="69" t="s">
        <v>64</v>
      </c>
      <c r="D126" s="70"/>
      <c r="E126" s="70"/>
      <c r="F126" s="70"/>
      <c r="G126" s="70"/>
      <c r="H126" s="70"/>
      <c r="I126" s="71"/>
      <c r="J126" s="2"/>
      <c r="K126" s="5"/>
    </row>
    <row r="127" spans="1:11" x14ac:dyDescent="0.3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5"/>
    </row>
    <row r="128" spans="1:11" ht="18" customHeight="1" x14ac:dyDescent="0.3">
      <c r="A128" s="4"/>
      <c r="B128" s="13"/>
      <c r="C128" s="1"/>
      <c r="D128" s="1"/>
      <c r="E128" s="1"/>
      <c r="F128" s="1"/>
      <c r="G128" s="1"/>
      <c r="H128" s="1"/>
      <c r="I128" s="1"/>
      <c r="J128" s="1"/>
      <c r="K128" s="5"/>
    </row>
    <row r="129" spans="1:11" ht="18" customHeight="1" x14ac:dyDescent="0.3">
      <c r="A129" s="4"/>
      <c r="B129" s="13" t="s">
        <v>60</v>
      </c>
      <c r="C129" s="15">
        <v>1</v>
      </c>
      <c r="D129" s="1"/>
      <c r="E129" s="1"/>
      <c r="F129" s="1"/>
      <c r="G129" s="1"/>
      <c r="H129" s="1"/>
      <c r="I129" s="1"/>
      <c r="J129" s="1"/>
      <c r="K129" s="5"/>
    </row>
    <row r="130" spans="1:11" x14ac:dyDescent="0.3">
      <c r="A130" s="4"/>
      <c r="K130" s="5"/>
    </row>
    <row r="131" spans="1:11" x14ac:dyDescent="0.3">
      <c r="A131" s="4"/>
      <c r="K131" s="5"/>
    </row>
    <row r="132" spans="1:11" ht="24.9" customHeight="1" x14ac:dyDescent="0.3">
      <c r="A132" s="4"/>
      <c r="B132" s="6" t="s">
        <v>65</v>
      </c>
      <c r="K132" s="5"/>
    </row>
    <row r="133" spans="1:11" ht="9.9" customHeight="1" thickBot="1" x14ac:dyDescent="0.35">
      <c r="A133" s="4"/>
      <c r="K133" s="5"/>
    </row>
    <row r="134" spans="1:11" ht="18" customHeight="1" thickTop="1" x14ac:dyDescent="0.3">
      <c r="A134" s="4"/>
      <c r="B134" s="65" t="s">
        <v>75</v>
      </c>
      <c r="C134" s="67" t="s">
        <v>82</v>
      </c>
      <c r="D134" s="67"/>
      <c r="E134" s="38"/>
      <c r="K134" s="5"/>
    </row>
    <row r="135" spans="1:11" ht="18" customHeight="1" thickBot="1" x14ac:dyDescent="0.35">
      <c r="A135" s="4"/>
      <c r="B135" s="66"/>
      <c r="C135" s="68" t="s">
        <v>74</v>
      </c>
      <c r="D135" s="68"/>
      <c r="E135" s="39"/>
      <c r="K135" s="5"/>
    </row>
    <row r="136" spans="1:11" ht="15" thickTop="1" x14ac:dyDescent="0.3">
      <c r="A136" s="4"/>
      <c r="B136" s="13"/>
      <c r="C136" s="1"/>
      <c r="D136" s="1"/>
      <c r="E136" s="1"/>
      <c r="K136" s="5"/>
    </row>
    <row r="137" spans="1:11" ht="15.6" x14ac:dyDescent="0.3">
      <c r="A137" s="4"/>
      <c r="B137" s="13" t="s">
        <v>66</v>
      </c>
      <c r="C137" s="32">
        <f>((1.5/1000)/(C88*C107*C118*C129))</f>
        <v>3.0000000000000001E-3</v>
      </c>
      <c r="D137" s="57" t="s">
        <v>96</v>
      </c>
      <c r="E137" s="1"/>
      <c r="K137" s="5"/>
    </row>
    <row r="138" spans="1:11" x14ac:dyDescent="0.3">
      <c r="A138" s="4"/>
      <c r="K138" s="5"/>
    </row>
    <row r="139" spans="1:11" x14ac:dyDescent="0.3">
      <c r="A139" s="4"/>
      <c r="K139" s="5"/>
    </row>
    <row r="140" spans="1:11" x14ac:dyDescent="0.3">
      <c r="A140" s="4"/>
      <c r="K140" s="5"/>
    </row>
    <row r="141" spans="1:11" x14ac:dyDescent="0.3">
      <c r="A141" s="4"/>
      <c r="K141" s="5"/>
    </row>
    <row r="142" spans="1:11" x14ac:dyDescent="0.3">
      <c r="A142" s="4"/>
      <c r="K142" s="5"/>
    </row>
    <row r="143" spans="1:11" ht="15" thickBot="1" x14ac:dyDescent="0.35">
      <c r="A143" s="11"/>
      <c r="B143" s="22"/>
      <c r="C143" s="22"/>
      <c r="D143" s="22"/>
      <c r="E143" s="22"/>
      <c r="F143" s="22"/>
      <c r="G143" s="22"/>
      <c r="H143" s="22"/>
      <c r="I143" s="22"/>
      <c r="J143" s="22"/>
      <c r="K143" s="12"/>
    </row>
    <row r="144" spans="1:11" x14ac:dyDescent="0.3">
      <c r="A144" s="20"/>
      <c r="B144" s="26"/>
      <c r="C144" s="26"/>
      <c r="D144" s="26"/>
      <c r="E144" s="26"/>
      <c r="F144" s="26"/>
      <c r="G144" s="26"/>
      <c r="H144" s="26"/>
      <c r="I144" s="26"/>
      <c r="J144" s="26"/>
      <c r="K144" s="21"/>
    </row>
    <row r="145" spans="1:11" ht="24.9" customHeight="1" x14ac:dyDescent="0.3">
      <c r="A145" s="4"/>
      <c r="B145" s="6" t="s">
        <v>97</v>
      </c>
      <c r="K145" s="5"/>
    </row>
    <row r="146" spans="1:11" ht="9.9" customHeight="1" thickBot="1" x14ac:dyDescent="0.35">
      <c r="A146" s="4"/>
      <c r="K146" s="5"/>
    </row>
    <row r="147" spans="1:11" s="41" customFormat="1" ht="18" customHeight="1" thickTop="1" x14ac:dyDescent="0.3">
      <c r="A147" s="40"/>
      <c r="C147" s="43" t="s">
        <v>68</v>
      </c>
      <c r="D147" s="44" t="s">
        <v>76</v>
      </c>
      <c r="E147" s="45" t="s">
        <v>69</v>
      </c>
      <c r="F147" s="46" t="s">
        <v>77</v>
      </c>
      <c r="G147" s="47" t="s">
        <v>80</v>
      </c>
      <c r="H147" s="47"/>
      <c r="I147" s="48"/>
      <c r="K147" s="42"/>
    </row>
    <row r="148" spans="1:11" s="41" customFormat="1" ht="18" customHeight="1" thickBot="1" x14ac:dyDescent="0.35">
      <c r="A148" s="40"/>
      <c r="C148" s="49"/>
      <c r="D148" s="50" t="s">
        <v>76</v>
      </c>
      <c r="E148" s="51" t="s">
        <v>70</v>
      </c>
      <c r="F148" s="52" t="s">
        <v>77</v>
      </c>
      <c r="G148" s="53" t="s">
        <v>79</v>
      </c>
      <c r="H148" s="53"/>
      <c r="I148" s="54"/>
      <c r="K148" s="42"/>
    </row>
    <row r="149" spans="1:11" ht="15" thickTop="1" x14ac:dyDescent="0.3">
      <c r="A149" s="4"/>
      <c r="K149" s="5"/>
    </row>
    <row r="150" spans="1:11" x14ac:dyDescent="0.3">
      <c r="A150" s="4"/>
      <c r="B150" t="s">
        <v>81</v>
      </c>
      <c r="K150" s="5"/>
    </row>
    <row r="151" spans="1:11" x14ac:dyDescent="0.3">
      <c r="A151" s="4"/>
      <c r="K151" s="5"/>
    </row>
    <row r="152" spans="1:11" ht="19.8" x14ac:dyDescent="0.45">
      <c r="A152" s="4"/>
      <c r="D152" s="64" t="s">
        <v>78</v>
      </c>
      <c r="E152" s="64"/>
      <c r="F152" s="64"/>
      <c r="G152" s="64"/>
      <c r="H152" s="64"/>
      <c r="K152" s="5"/>
    </row>
    <row r="153" spans="1:11" x14ac:dyDescent="0.3">
      <c r="A153" s="4"/>
      <c r="K153" s="5"/>
    </row>
    <row r="154" spans="1:11" ht="15" customHeight="1" x14ac:dyDescent="0.3">
      <c r="A154" s="4"/>
      <c r="K154" s="5"/>
    </row>
    <row r="155" spans="1:11" ht="15.75" customHeight="1" x14ac:dyDescent="0.3">
      <c r="A155" s="4"/>
      <c r="K155" s="5"/>
    </row>
    <row r="156" spans="1:11" x14ac:dyDescent="0.3">
      <c r="A156" s="4"/>
      <c r="K156" s="5"/>
    </row>
    <row r="157" spans="1:11" ht="14.25" customHeight="1" thickBot="1" x14ac:dyDescent="0.35">
      <c r="A157" s="4"/>
      <c r="K157" s="5"/>
    </row>
    <row r="158" spans="1:11" ht="15" customHeight="1" x14ac:dyDescent="0.3">
      <c r="A158" s="4"/>
      <c r="D158" s="58" t="str">
        <f>IF(C137&gt;=C76,"May Be Optional","Should Be Installed")</f>
        <v>Should Be Installed</v>
      </c>
      <c r="E158" s="59"/>
      <c r="F158" s="59"/>
      <c r="G158" s="59"/>
      <c r="H158" s="60"/>
      <c r="K158" s="5"/>
    </row>
    <row r="159" spans="1:11" ht="15" thickBot="1" x14ac:dyDescent="0.35">
      <c r="A159" s="4"/>
      <c r="D159" s="61"/>
      <c r="E159" s="62"/>
      <c r="F159" s="62"/>
      <c r="G159" s="62"/>
      <c r="H159" s="63"/>
      <c r="K159" s="5"/>
    </row>
    <row r="160" spans="1:11" x14ac:dyDescent="0.3">
      <c r="A160" s="4"/>
      <c r="K160" s="5"/>
    </row>
    <row r="161" spans="1:11" ht="14.25" customHeight="1" x14ac:dyDescent="0.3">
      <c r="A161" s="4"/>
      <c r="K161" s="5"/>
    </row>
    <row r="162" spans="1:11" ht="15" customHeight="1" x14ac:dyDescent="0.3">
      <c r="A162" s="4"/>
      <c r="K162" s="5"/>
    </row>
    <row r="163" spans="1:11" ht="14.25" customHeight="1" x14ac:dyDescent="0.3">
      <c r="A163" s="4"/>
      <c r="K163" s="5"/>
    </row>
    <row r="164" spans="1:11" ht="15" customHeight="1" x14ac:dyDescent="0.3">
      <c r="A164" s="4"/>
      <c r="K164" s="5"/>
    </row>
    <row r="165" spans="1:11" x14ac:dyDescent="0.3">
      <c r="A165" s="4"/>
      <c r="K165" s="5"/>
    </row>
    <row r="166" spans="1:11" x14ac:dyDescent="0.3">
      <c r="A166" s="4"/>
      <c r="K166" s="5"/>
    </row>
    <row r="167" spans="1:11" x14ac:dyDescent="0.3">
      <c r="A167" s="4"/>
      <c r="K167" s="5"/>
    </row>
    <row r="168" spans="1:11" x14ac:dyDescent="0.3">
      <c r="A168" s="4"/>
      <c r="K168" s="5"/>
    </row>
    <row r="169" spans="1:11" x14ac:dyDescent="0.3">
      <c r="A169" s="4"/>
      <c r="K169" s="5"/>
    </row>
    <row r="170" spans="1:11" x14ac:dyDescent="0.3">
      <c r="A170" s="4"/>
      <c r="K170" s="5"/>
    </row>
    <row r="171" spans="1:11" x14ac:dyDescent="0.3">
      <c r="A171" s="4"/>
      <c r="K171" s="5"/>
    </row>
    <row r="172" spans="1:11" x14ac:dyDescent="0.3">
      <c r="A172" s="4"/>
      <c r="K172" s="5"/>
    </row>
    <row r="173" spans="1:11" x14ac:dyDescent="0.3">
      <c r="A173" s="4"/>
      <c r="K173" s="5"/>
    </row>
    <row r="174" spans="1:11" x14ac:dyDescent="0.3">
      <c r="A174" s="4"/>
      <c r="K174" s="5"/>
    </row>
    <row r="175" spans="1:11" x14ac:dyDescent="0.3">
      <c r="A175" s="4"/>
      <c r="K175" s="5"/>
    </row>
    <row r="176" spans="1:11" x14ac:dyDescent="0.3">
      <c r="A176" s="4"/>
      <c r="K176" s="5"/>
    </row>
    <row r="177" spans="1:11" x14ac:dyDescent="0.3">
      <c r="A177" s="4"/>
      <c r="K177" s="5"/>
    </row>
    <row r="178" spans="1:11" x14ac:dyDescent="0.3">
      <c r="A178" s="4"/>
      <c r="K178" s="5"/>
    </row>
    <row r="179" spans="1:11" x14ac:dyDescent="0.3">
      <c r="A179" s="4"/>
      <c r="K179" s="5"/>
    </row>
    <row r="180" spans="1:11" x14ac:dyDescent="0.3">
      <c r="A180" s="4"/>
      <c r="K180" s="5"/>
    </row>
    <row r="181" spans="1:11" x14ac:dyDescent="0.3">
      <c r="A181" s="4"/>
      <c r="K181" s="5"/>
    </row>
    <row r="182" spans="1:11" x14ac:dyDescent="0.3">
      <c r="A182" s="4"/>
      <c r="K182" s="5"/>
    </row>
    <row r="183" spans="1:11" x14ac:dyDescent="0.3">
      <c r="A183" s="4"/>
      <c r="K183" s="5"/>
    </row>
    <row r="184" spans="1:11" x14ac:dyDescent="0.3">
      <c r="A184" s="4"/>
      <c r="K184" s="5"/>
    </row>
    <row r="185" spans="1:11" x14ac:dyDescent="0.3">
      <c r="A185" s="4"/>
      <c r="K185" s="5"/>
    </row>
    <row r="186" spans="1:11" x14ac:dyDescent="0.3">
      <c r="A186" s="4"/>
      <c r="K186" s="5"/>
    </row>
    <row r="187" spans="1:11" x14ac:dyDescent="0.3">
      <c r="A187" s="4"/>
      <c r="K187" s="5"/>
    </row>
    <row r="188" spans="1:11" x14ac:dyDescent="0.3">
      <c r="A188" s="4"/>
      <c r="K188" s="5"/>
    </row>
    <row r="189" spans="1:11" x14ac:dyDescent="0.3">
      <c r="A189" s="4"/>
      <c r="K189" s="5"/>
    </row>
    <row r="190" spans="1:11" x14ac:dyDescent="0.3">
      <c r="A190" s="4"/>
      <c r="K190" s="5"/>
    </row>
    <row r="191" spans="1:11" x14ac:dyDescent="0.3">
      <c r="A191" s="4"/>
      <c r="K191" s="5"/>
    </row>
    <row r="192" spans="1:11" x14ac:dyDescent="0.3">
      <c r="A192" s="4"/>
      <c r="K192" s="5"/>
    </row>
    <row r="193" spans="1:11" x14ac:dyDescent="0.3">
      <c r="A193" s="4"/>
      <c r="K193" s="5"/>
    </row>
    <row r="194" spans="1:11" x14ac:dyDescent="0.3">
      <c r="A194" s="4"/>
      <c r="K194" s="5"/>
    </row>
    <row r="195" spans="1:11" ht="15" thickBot="1" x14ac:dyDescent="0.35">
      <c r="A195" s="11"/>
      <c r="B195" s="22"/>
      <c r="C195" s="22"/>
      <c r="D195" s="22"/>
      <c r="E195" s="22"/>
      <c r="F195" s="22"/>
      <c r="G195" s="22"/>
      <c r="H195" s="22"/>
      <c r="I195" s="22"/>
      <c r="J195" s="22"/>
      <c r="K195" s="12"/>
    </row>
  </sheetData>
  <mergeCells count="66">
    <mergeCell ref="B83:C83"/>
    <mergeCell ref="B84:C84"/>
    <mergeCell ref="B85:C85"/>
    <mergeCell ref="D85:E85"/>
    <mergeCell ref="F85:G85"/>
    <mergeCell ref="B67:J67"/>
    <mergeCell ref="B69:C69"/>
    <mergeCell ref="D69:E69"/>
    <mergeCell ref="D82:E82"/>
    <mergeCell ref="F82:G82"/>
    <mergeCell ref="H82:I82"/>
    <mergeCell ref="D81:I81"/>
    <mergeCell ref="B81:C81"/>
    <mergeCell ref="B82:C82"/>
    <mergeCell ref="C37:J37"/>
    <mergeCell ref="B20:C20"/>
    <mergeCell ref="E20:F20"/>
    <mergeCell ref="H20:I20"/>
    <mergeCell ref="C33:J33"/>
    <mergeCell ref="C34:J34"/>
    <mergeCell ref="C16:I16"/>
    <mergeCell ref="C17:I17"/>
    <mergeCell ref="H7:J7"/>
    <mergeCell ref="C35:J35"/>
    <mergeCell ref="C36:J36"/>
    <mergeCell ref="B2:J2"/>
    <mergeCell ref="A1:I1"/>
    <mergeCell ref="J1:K1"/>
    <mergeCell ref="C14:I14"/>
    <mergeCell ref="C15:I15"/>
    <mergeCell ref="D5:J5"/>
    <mergeCell ref="F7:G7"/>
    <mergeCell ref="B7:C7"/>
    <mergeCell ref="B5:C5"/>
    <mergeCell ref="B3:J3"/>
    <mergeCell ref="C9:I9"/>
    <mergeCell ref="C11:I11"/>
    <mergeCell ref="C12:I12"/>
    <mergeCell ref="C13:I13"/>
    <mergeCell ref="C10:I10"/>
    <mergeCell ref="H85:I85"/>
    <mergeCell ref="D83:E83"/>
    <mergeCell ref="F83:G83"/>
    <mergeCell ref="H83:I83"/>
    <mergeCell ref="D84:E84"/>
    <mergeCell ref="F84:G84"/>
    <mergeCell ref="H84:I84"/>
    <mergeCell ref="C112:H112"/>
    <mergeCell ref="C113:H113"/>
    <mergeCell ref="C114:H114"/>
    <mergeCell ref="C99:H99"/>
    <mergeCell ref="C100:H100"/>
    <mergeCell ref="C101:H101"/>
    <mergeCell ref="C102:H102"/>
    <mergeCell ref="C103:H103"/>
    <mergeCell ref="C104:H104"/>
    <mergeCell ref="C115:H115"/>
    <mergeCell ref="C124:I124"/>
    <mergeCell ref="C125:I125"/>
    <mergeCell ref="C123:I123"/>
    <mergeCell ref="C126:I126"/>
    <mergeCell ref="D158:H159"/>
    <mergeCell ref="D152:H152"/>
    <mergeCell ref="B134:B135"/>
    <mergeCell ref="C134:D134"/>
    <mergeCell ref="C135:D135"/>
  </mergeCells>
  <conditionalFormatting sqref="D158:H159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N156">
    <cfRule type="iconSet" priority="4">
      <iconSet iconSet="3Symbols">
        <cfvo type="percent" val="0"/>
        <cfvo type="percent" val="33"/>
        <cfvo type="percent" val="67"/>
      </iconSet>
    </cfRule>
  </conditionalFormatting>
  <printOptions horizontalCentered="1"/>
  <pageMargins left="0.2" right="0.2" top="0.5" bottom="0.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Rectangular Structure</vt:lpstr>
      <vt:lpstr>'Rectangular Structure'!Print_Area</vt:lpstr>
      <vt:lpstr>'Rectangular Structure'!Print_Titles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Ankesh Mishra</cp:lastModifiedBy>
  <cp:lastPrinted>2013-02-18T07:26:58Z</cp:lastPrinted>
  <dcterms:created xsi:type="dcterms:W3CDTF">2013-02-16T12:32:06Z</dcterms:created>
  <dcterms:modified xsi:type="dcterms:W3CDTF">2025-03-20T12:33:36Z</dcterms:modified>
</cp:coreProperties>
</file>