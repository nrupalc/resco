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@Ready\AC Voltage Drop\"/>
    </mc:Choice>
  </mc:AlternateContent>
  <xr:revisionPtr revIDLastSave="0" documentId="13_ncr:1_{75A1CD3E-0855-423B-A0FA-408238971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rthing Calculation" sheetId="7" r:id="rId1"/>
    <sheet name="EARTH STRIP SIZE CALCULATION" sheetId="6" r:id="rId2"/>
    <sheet name="EARTH STRIP SIZE CALCULATIO (2)" sheetId="8" r:id="rId3"/>
  </sheets>
  <definedNames>
    <definedName name="_xlnm.Print_Area" localSheetId="2">'EARTH STRIP SIZE CALCULATIO (2)'!$A$1:$I$74</definedName>
    <definedName name="_xlnm.Print_Area" localSheetId="1">'EARTH STRIP SIZE CALCULATION'!$A$1:$I$74</definedName>
    <definedName name="_xlnm.Print_Area" localSheetId="0">'Earthing Calculation'!$A$1:$I$103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8" l="1"/>
  <c r="F62" i="8" s="1"/>
  <c r="F63" i="8" s="1"/>
  <c r="F69" i="8" s="1"/>
  <c r="E50" i="8"/>
  <c r="F29" i="8"/>
  <c r="F30" i="8" s="1"/>
  <c r="F31" i="8" s="1"/>
  <c r="E37" i="8" s="1"/>
  <c r="E24" i="8"/>
  <c r="E39" i="8" s="1"/>
  <c r="F29" i="6"/>
  <c r="F30" i="6"/>
  <c r="F61" i="6"/>
  <c r="E50" i="6"/>
  <c r="E58" i="7"/>
  <c r="E39" i="7"/>
  <c r="E34" i="8" l="1"/>
  <c r="F71" i="8"/>
  <c r="E66" i="8" s="1"/>
  <c r="E17" i="7"/>
  <c r="F62" i="6" l="1"/>
  <c r="F63" i="6" s="1"/>
  <c r="F31" i="6"/>
  <c r="E37" i="6" s="1"/>
  <c r="E24" i="6"/>
  <c r="F71" i="6" s="1"/>
  <c r="F69" i="6" l="1"/>
  <c r="E66" i="6" s="1"/>
  <c r="E39" i="6"/>
  <c r="E34" i="6" s="1"/>
</calcChain>
</file>

<file path=xl/sharedStrings.xml><?xml version="1.0" encoding="utf-8"?>
<sst xmlns="http://schemas.openxmlformats.org/spreadsheetml/2006/main" count="300" uniqueCount="126">
  <si>
    <t>Project name:</t>
  </si>
  <si>
    <t>Client Name:</t>
  </si>
  <si>
    <t>Ampere</t>
  </si>
  <si>
    <t>EARTH STRIP SIZE CALCULATION</t>
  </si>
  <si>
    <t>EARTH STRIP CALCULATION</t>
  </si>
  <si>
    <t>AS PER IS: 3043</t>
  </si>
  <si>
    <t>K           =</t>
  </si>
  <si>
    <r>
      <t>√ (   (Qc (B+20))/δ</t>
    </r>
    <r>
      <rPr>
        <b/>
        <sz val="9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)   ) ln (  1+ ( θt-θ1)/(B+θ1)  )</t>
    </r>
  </si>
  <si>
    <t>Where,</t>
  </si>
  <si>
    <t xml:space="preserve">           Qc =</t>
  </si>
  <si>
    <t xml:space="preserve">            B   =</t>
  </si>
  <si>
    <r>
      <t xml:space="preserve">          δ</t>
    </r>
    <r>
      <rPr>
        <sz val="9"/>
        <color theme="1"/>
        <rFont val="Calibri"/>
        <family val="2"/>
        <scheme val="minor"/>
      </rPr>
      <t xml:space="preserve">20 </t>
    </r>
    <r>
      <rPr>
        <sz val="11"/>
        <color theme="1"/>
        <rFont val="Calibri"/>
        <family val="2"/>
        <scheme val="minor"/>
      </rPr>
      <t>=</t>
    </r>
  </si>
  <si>
    <t xml:space="preserve">            θt =</t>
  </si>
  <si>
    <t xml:space="preserve">            θ1 =</t>
  </si>
  <si>
    <t>Material constants as per IS-3043-1987 Table-5</t>
  </si>
  <si>
    <t>Steel</t>
  </si>
  <si>
    <t>Aluminium</t>
  </si>
  <si>
    <t>Copper</t>
  </si>
  <si>
    <t>B</t>
  </si>
  <si>
    <t>Qc</t>
  </si>
  <si>
    <t xml:space="preserve">δ20 </t>
  </si>
  <si>
    <t>For GI Strip</t>
  </si>
  <si>
    <t>√ (   ( 0.0038 (202 + 20) )/0.000138)   ) ln (  1+ (500-50)/(202 + 50)  )</t>
  </si>
  <si>
    <t xml:space="preserve">  Reciprocal of  temperature coefficient of resistivity at 0°C for the conductor (°C)</t>
  </si>
  <si>
    <t xml:space="preserve">  Initial temperature of conductor                    =</t>
  </si>
  <si>
    <t xml:space="preserve">  Final temperature of Steel conductor           =</t>
  </si>
  <si>
    <t xml:space="preserve">        K      =</t>
  </si>
  <si>
    <t>Nos</t>
  </si>
  <si>
    <t xml:space="preserve">               DC Side</t>
  </si>
  <si>
    <t xml:space="preserve">Current Per String </t>
  </si>
  <si>
    <t xml:space="preserve">Safety Factor (125 %) </t>
  </si>
  <si>
    <t>A</t>
  </si>
  <si>
    <t>Area of Cross Section (A) = Fault Current (If)  X Fault Current Time √(t)/ Material Constant (K)</t>
  </si>
  <si>
    <t>If =</t>
  </si>
  <si>
    <t>t =</t>
  </si>
  <si>
    <t>K =</t>
  </si>
  <si>
    <t>Fault Current</t>
  </si>
  <si>
    <t>Fault Current time</t>
  </si>
  <si>
    <t>Material Constant</t>
  </si>
  <si>
    <t xml:space="preserve">     Area of Cross Section (A)      =</t>
  </si>
  <si>
    <t>25 X 3</t>
  </si>
  <si>
    <t>Sqmm</t>
  </si>
  <si>
    <t>Second</t>
  </si>
  <si>
    <t>Corrosion Effect (1 % Every for 25 years)</t>
  </si>
  <si>
    <t xml:space="preserve">               AC Side</t>
  </si>
  <si>
    <t>No. Of Parallel Inverters (25kW) at ACCB</t>
  </si>
  <si>
    <t xml:space="preserve">Current Per Inverter </t>
  </si>
  <si>
    <t>Earth Strip Size Selected</t>
  </si>
  <si>
    <t xml:space="preserve">  Volumetric heat capacity of conductor material ( j/°C mm3)</t>
  </si>
  <si>
    <t xml:space="preserve">  Electrical resistivity of conductor material at 20°C (ohm-mm)</t>
  </si>
  <si>
    <t>EARTHING CALCULATION</t>
  </si>
  <si>
    <t>Resistance of Earth electrode as per BS 7430</t>
  </si>
  <si>
    <t>R           =</t>
  </si>
  <si>
    <r>
      <t>r</t>
    </r>
    <r>
      <rPr>
        <sz val="10"/>
        <rFont val="Arial"/>
        <family val="2"/>
      </rPr>
      <t xml:space="preserve"> =</t>
    </r>
  </si>
  <si>
    <r>
      <rPr>
        <sz val="12"/>
        <rFont val="Symbol"/>
        <family val="1"/>
        <charset val="2"/>
      </rPr>
      <t xml:space="preserve">        r</t>
    </r>
    <r>
      <rPr>
        <sz val="10"/>
        <rFont val="Arial"/>
        <family val="2"/>
      </rPr>
      <t>c =</t>
    </r>
  </si>
  <si>
    <t xml:space="preserve">         D  =</t>
  </si>
  <si>
    <t xml:space="preserve">             d =</t>
  </si>
  <si>
    <r>
      <t xml:space="preserve">             r</t>
    </r>
    <r>
      <rPr>
        <sz val="10"/>
        <rFont val="Arial"/>
        <family val="2"/>
      </rPr>
      <t xml:space="preserve"> =</t>
    </r>
  </si>
  <si>
    <t xml:space="preserve"> Resistivity of the infill material  in ohm-m  =</t>
  </si>
  <si>
    <t xml:space="preserve"> Diameter of the infill material  in m               =</t>
  </si>
  <si>
    <t xml:space="preserve"> Length of the rod or pipe in m                           =</t>
  </si>
  <si>
    <t xml:space="preserve"> Diameter of the rod in m                                     =</t>
  </si>
  <si>
    <t xml:space="preserve"> Resistivity of the soil in (ohm-m)                    =</t>
  </si>
  <si>
    <t>ohm-m</t>
  </si>
  <si>
    <t>m</t>
  </si>
  <si>
    <t xml:space="preserve">             l   =</t>
  </si>
  <si>
    <t>ohm</t>
  </si>
  <si>
    <t xml:space="preserve">          R    =</t>
  </si>
  <si>
    <t>SOLAR ARRAY AREA EARTH GRID</t>
  </si>
  <si>
    <t>Meter</t>
  </si>
  <si>
    <t>length of earth strip (25X3mm, GI) is buried in the plant at 100mm depth</t>
  </si>
  <si>
    <t>1/2πL [ (ρ - ρc) (loge[8L/D] - 1) + ρc (loge[8L/d] - 1) ]</t>
  </si>
  <si>
    <t xml:space="preserve">         R     =</t>
  </si>
  <si>
    <t>Resistance of Earth strip  as per IS: 3043 (9.2.3)</t>
  </si>
  <si>
    <t>l =</t>
  </si>
  <si>
    <t>w =</t>
  </si>
  <si>
    <t>Resistivity of the soil ( ohm-Meter)</t>
  </si>
  <si>
    <t>Length of the strip in cm</t>
  </si>
  <si>
    <t>Width of the strip</t>
  </si>
  <si>
    <t>Depth of the burial cm</t>
  </si>
  <si>
    <t>cm</t>
  </si>
  <si>
    <r>
      <t>(100ρ/2πl) log</t>
    </r>
    <r>
      <rPr>
        <b/>
        <sz val="10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(2l²/wt)</t>
    </r>
  </si>
  <si>
    <t>Considering Maintenance free Earth Pit with bore dia 17.2 mm and 3 mtr long</t>
  </si>
  <si>
    <t>Effective resistance of electrode (Re) expressed as :</t>
  </si>
  <si>
    <t>1/Re = 1/R1 + 1/R2</t>
  </si>
  <si>
    <t xml:space="preserve">                  =</t>
  </si>
  <si>
    <t xml:space="preserve">     Re        =</t>
  </si>
  <si>
    <t xml:space="preserve">        Re        =</t>
  </si>
  <si>
    <t>Total electrodes considered for individual AC or DC Earthing =     2 Nos</t>
  </si>
  <si>
    <t>( R1 x R2)/( R1 + R2 )</t>
  </si>
  <si>
    <t>(1.53x1.53)/(1.53+1.53)</t>
  </si>
  <si>
    <t>0.765  ohm</t>
  </si>
  <si>
    <t>Strip Resistance + Effective Resistance of Pit</t>
  </si>
  <si>
    <t>Total Effective Resistance of the System    =</t>
  </si>
  <si>
    <t>0.885 ohm</t>
  </si>
  <si>
    <r>
      <t xml:space="preserve">     R</t>
    </r>
    <r>
      <rPr>
        <b/>
        <sz val="9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 =</t>
    </r>
  </si>
  <si>
    <t>DC Side</t>
  </si>
  <si>
    <t>0.895 ohm</t>
  </si>
  <si>
    <t>AC Side</t>
  </si>
  <si>
    <t>Therefore, According to the Tender Value the Resistance of the Should be smaller than 4 ohm.</t>
  </si>
  <si>
    <t xml:space="preserve">In case of AC System the fault current produced due to the Solar Inverters and the source of </t>
  </si>
  <si>
    <t>supply from grid side, which is supplied by the transformer of 1000kVA already installed at IOCL</t>
  </si>
  <si>
    <t xml:space="preserve">site. </t>
  </si>
  <si>
    <t>S</t>
  </si>
  <si>
    <t>Rated Current</t>
  </si>
  <si>
    <t>Rated Voltage (415 V)</t>
  </si>
  <si>
    <t>Rated Power (1000kVA)</t>
  </si>
  <si>
    <t xml:space="preserve">    If      =</t>
  </si>
  <si>
    <t>Fault current is given by:</t>
  </si>
  <si>
    <t>%Z     =</t>
  </si>
  <si>
    <t>√3 X U X % Z</t>
  </si>
  <si>
    <t>S        =</t>
  </si>
  <si>
    <t>U        =</t>
  </si>
  <si>
    <t>Ir        =</t>
  </si>
  <si>
    <t>1000kVA</t>
  </si>
  <si>
    <t>√3 X 415V X 0.05</t>
  </si>
  <si>
    <t>Fault Current (PV Side + Grid Side)</t>
  </si>
  <si>
    <t>50X6</t>
  </si>
  <si>
    <t>Total cross section area of the strips is 600 Sqmm which is greater than the above required cross section.</t>
  </si>
  <si>
    <t>At AC Side the equipments will be connected by two 50x6 Strips by end to end.</t>
  </si>
  <si>
    <t>Fault Current produced by the Inverters:</t>
  </si>
  <si>
    <t>Total Fault Current at Sixteen Inverters (If)</t>
  </si>
  <si>
    <t>No. Of Parallel Strings at Inverters</t>
  </si>
  <si>
    <t>Percent Impedence (5% as per IS 2026 (Part 1))</t>
  </si>
  <si>
    <t xml:space="preserve">                   400.4kWp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</si>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</sst>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0"/>
      <name val="Symbol"/>
      <family val="1"/>
      <charset val="2"/>
    </font>
    <font>
      <sz val="12"/>
      <name val="Symbol"/>
      <family val="1"/>
      <charset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3" borderId="0" xfId="0" applyFont="1" applyFill="1"/>
    <xf numFmtId="0" fontId="1" fillId="3" borderId="6" xfId="0" applyFont="1" applyFill="1" applyBorder="1"/>
    <xf numFmtId="0" fontId="1" fillId="0" borderId="0" xfId="0" applyFont="1"/>
    <xf numFmtId="0" fontId="1" fillId="3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5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6" xfId="0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4" fillId="5" borderId="5" xfId="0" applyFont="1" applyFill="1" applyBorder="1"/>
    <xf numFmtId="0" fontId="4" fillId="5" borderId="0" xfId="0" applyFont="1" applyFill="1"/>
    <xf numFmtId="0" fontId="0" fillId="5" borderId="0" xfId="0" applyFill="1"/>
    <xf numFmtId="0" fontId="0" fillId="5" borderId="6" xfId="0" applyFill="1" applyBorder="1"/>
    <xf numFmtId="0" fontId="1" fillId="2" borderId="7" xfId="0" applyFon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2" fontId="0" fillId="0" borderId="0" xfId="0" applyNumberFormat="1" applyAlignment="1">
      <alignment horizontal="center" vertical="center"/>
    </xf>
    <xf numFmtId="16" fontId="1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/>
    <xf numFmtId="0" fontId="1" fillId="5" borderId="5" xfId="0" applyFont="1" applyFill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10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0" fontId="14" fillId="0" borderId="0" xfId="0" applyFont="1"/>
    <xf numFmtId="0" fontId="10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/>
    <xf numFmtId="0" fontId="14" fillId="0" borderId="5" xfId="0" applyFont="1" applyBorder="1"/>
    <xf numFmtId="0" fontId="14" fillId="0" borderId="6" xfId="0" applyFont="1" applyBorder="1"/>
    <xf numFmtId="0" fontId="0" fillId="0" borderId="7" xfId="0" applyBorder="1"/>
    <xf numFmtId="0" fontId="0" fillId="0" borderId="8" xfId="0" applyBorder="1" applyAlignment="1">
      <alignment horizontal="center"/>
    </xf>
    <xf numFmtId="1" fontId="0" fillId="0" borderId="8" xfId="0" applyNumberFormat="1" applyBorder="1"/>
    <xf numFmtId="0" fontId="0" fillId="0" borderId="8" xfId="0" applyBorder="1"/>
    <xf numFmtId="2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12" fillId="5" borderId="0" xfId="0" applyFont="1" applyFill="1" applyAlignment="1">
      <alignment vertical="center"/>
    </xf>
    <xf numFmtId="2" fontId="12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2" fontId="1" fillId="3" borderId="0" xfId="0" applyNumberFormat="1" applyFont="1" applyFill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1E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68580</xdr:rowOff>
    </xdr:from>
    <xdr:to>
      <xdr:col>1</xdr:col>
      <xdr:colOff>415485</xdr:colOff>
      <xdr:row>1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9BBF2-FFC9-41F5-818F-B5FE4EBFD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68580"/>
          <a:ext cx="804105" cy="213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68580</xdr:rowOff>
    </xdr:from>
    <xdr:to>
      <xdr:col>1</xdr:col>
      <xdr:colOff>324045</xdr:colOff>
      <xdr:row>1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E4F88-4B8B-4A79-ABBC-8BA29FCC4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804105" cy="213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83820</xdr:rowOff>
    </xdr:from>
    <xdr:to>
      <xdr:col>1</xdr:col>
      <xdr:colOff>423105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70AC8-ABBD-4BFD-86D1-CCDC27A91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3820"/>
          <a:ext cx="804105" cy="213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workbookViewId="0">
      <selection activeCell="L11" sqref="L11"/>
    </sheetView>
  </sheetViews>
  <sheetFormatPr defaultRowHeight="14.4" x14ac:dyDescent="0.3"/>
  <cols>
    <col min="4" max="4" width="12" bestFit="1" customWidth="1"/>
    <col min="5" max="6" width="13.6640625" bestFit="1" customWidth="1"/>
    <col min="12" max="12" width="10" bestFit="1" customWidth="1"/>
  </cols>
  <sheetData>
    <row r="1" spans="1:9" x14ac:dyDescent="0.3">
      <c r="A1" s="86" t="s">
        <v>50</v>
      </c>
      <c r="B1" s="87"/>
      <c r="C1" s="87"/>
      <c r="D1" s="87"/>
      <c r="E1" s="87"/>
      <c r="F1" s="87"/>
      <c r="G1" s="87"/>
      <c r="H1" s="87"/>
      <c r="I1" s="88"/>
    </row>
    <row r="2" spans="1:9" x14ac:dyDescent="0.3">
      <c r="A2" s="89"/>
      <c r="B2" s="90"/>
      <c r="C2" s="90"/>
      <c r="D2" s="90"/>
      <c r="E2" s="90"/>
      <c r="F2" s="90"/>
      <c r="G2" s="90"/>
      <c r="H2" s="90"/>
      <c r="I2" s="91"/>
    </row>
    <row r="3" spans="1:9" x14ac:dyDescent="0.3">
      <c r="A3" s="92" t="s">
        <v>0</v>
      </c>
      <c r="B3" s="93"/>
      <c r="C3" s="94" t="s">
        <v>124</v>
      </c>
      <c r="D3" s="94"/>
      <c r="E3" s="94"/>
      <c r="F3" s="94"/>
      <c r="G3" s="94"/>
      <c r="H3" s="94"/>
      <c r="I3" s="95"/>
    </row>
    <row r="4" spans="1:9" x14ac:dyDescent="0.3">
      <c r="A4" s="92" t="s">
        <v>1</v>
      </c>
      <c r="B4" s="93"/>
      <c r="C4" s="96"/>
      <c r="D4" s="96"/>
      <c r="E4" s="96"/>
      <c r="F4" s="96"/>
      <c r="G4" s="96"/>
      <c r="H4" s="96"/>
      <c r="I4" s="97"/>
    </row>
    <row r="5" spans="1:9" x14ac:dyDescent="0.3">
      <c r="A5" s="18" t="s">
        <v>51</v>
      </c>
      <c r="B5" s="15"/>
      <c r="C5" s="16"/>
      <c r="D5" s="16"/>
      <c r="E5" s="16"/>
      <c r="F5" s="16"/>
      <c r="G5" s="16"/>
      <c r="H5" s="16"/>
      <c r="I5" s="17"/>
    </row>
    <row r="6" spans="1:9" x14ac:dyDescent="0.3">
      <c r="A6" s="14" t="s">
        <v>82</v>
      </c>
      <c r="B6" s="15"/>
      <c r="C6" s="16"/>
      <c r="D6" s="16"/>
      <c r="E6" s="16"/>
      <c r="F6" s="16"/>
      <c r="G6" s="16"/>
      <c r="H6" s="16"/>
      <c r="I6" s="17"/>
    </row>
    <row r="7" spans="1:9" x14ac:dyDescent="0.3">
      <c r="A7" s="8"/>
      <c r="B7" s="9"/>
      <c r="C7" s="9"/>
      <c r="D7" s="44"/>
      <c r="E7" s="5"/>
      <c r="F7" s="5"/>
      <c r="G7" s="42"/>
      <c r="H7" s="5"/>
      <c r="I7" s="6"/>
    </row>
    <row r="8" spans="1:9" ht="15.6" x14ac:dyDescent="0.3">
      <c r="A8" s="8"/>
      <c r="B8" s="37" t="s">
        <v>52</v>
      </c>
      <c r="C8" s="38" t="s">
        <v>71</v>
      </c>
      <c r="D8" s="39"/>
      <c r="E8" s="40"/>
      <c r="F8" s="40"/>
      <c r="G8" s="42"/>
      <c r="H8" s="5"/>
      <c r="I8" s="6"/>
    </row>
    <row r="9" spans="1:9" x14ac:dyDescent="0.3">
      <c r="A9" s="8"/>
      <c r="B9" s="9"/>
      <c r="C9" s="9"/>
      <c r="D9" s="44"/>
      <c r="E9" s="5"/>
      <c r="F9" s="5"/>
      <c r="G9" s="5"/>
      <c r="H9" s="5"/>
      <c r="I9" s="6"/>
    </row>
    <row r="10" spans="1:9" x14ac:dyDescent="0.3">
      <c r="A10" s="4" t="s">
        <v>8</v>
      </c>
      <c r="B10" s="7"/>
      <c r="C10" s="7"/>
      <c r="D10" s="43"/>
      <c r="E10" s="7"/>
      <c r="F10" s="7"/>
      <c r="G10" s="7"/>
      <c r="I10" s="3"/>
    </row>
    <row r="11" spans="1:9" ht="15" x14ac:dyDescent="0.3">
      <c r="A11" s="51" t="s">
        <v>54</v>
      </c>
      <c r="B11" t="s">
        <v>58</v>
      </c>
      <c r="C11" s="7"/>
      <c r="D11" s="43"/>
      <c r="E11" s="7"/>
      <c r="F11" s="2">
        <v>0.2</v>
      </c>
      <c r="G11" s="2" t="s">
        <v>63</v>
      </c>
      <c r="I11" s="3"/>
    </row>
    <row r="12" spans="1:9" x14ac:dyDescent="0.3">
      <c r="A12" s="52" t="s">
        <v>55</v>
      </c>
      <c r="B12" t="s">
        <v>59</v>
      </c>
      <c r="F12" s="2">
        <v>0.1</v>
      </c>
      <c r="G12" s="2" t="s">
        <v>64</v>
      </c>
      <c r="I12" s="3"/>
    </row>
    <row r="13" spans="1:9" x14ac:dyDescent="0.3">
      <c r="A13" s="53" t="s">
        <v>65</v>
      </c>
      <c r="B13" t="s">
        <v>60</v>
      </c>
      <c r="F13" s="2">
        <v>3</v>
      </c>
      <c r="G13" s="2" t="s">
        <v>64</v>
      </c>
      <c r="I13" s="3"/>
    </row>
    <row r="14" spans="1:9" x14ac:dyDescent="0.3">
      <c r="A14" s="53" t="s">
        <v>56</v>
      </c>
      <c r="B14" t="s">
        <v>61</v>
      </c>
      <c r="F14" s="2">
        <v>1.7000000000000001E-2</v>
      </c>
      <c r="G14" s="2" t="s">
        <v>64</v>
      </c>
      <c r="I14" s="3"/>
    </row>
    <row r="15" spans="1:9" x14ac:dyDescent="0.3">
      <c r="A15" s="51" t="s">
        <v>57</v>
      </c>
      <c r="B15" t="s">
        <v>62</v>
      </c>
      <c r="F15" s="2">
        <v>6.34</v>
      </c>
      <c r="G15" s="2" t="s">
        <v>63</v>
      </c>
      <c r="I15" s="3"/>
    </row>
    <row r="16" spans="1:9" x14ac:dyDescent="0.3">
      <c r="A16" s="54"/>
      <c r="G16" s="2"/>
      <c r="I16" s="3"/>
    </row>
    <row r="17" spans="1:13" x14ac:dyDescent="0.3">
      <c r="A17" s="4"/>
      <c r="D17" s="79" t="s">
        <v>67</v>
      </c>
      <c r="E17" s="80">
        <f>(1/(2*3.14*F13))*((F15-F11)*(LN(8*F13/F12)-1)+F11*(LN(8*F13/F14)-1))</f>
        <v>1.5266264406780574</v>
      </c>
      <c r="F17" s="81" t="s">
        <v>66</v>
      </c>
      <c r="G17" s="1"/>
      <c r="H17" s="1"/>
      <c r="I17" s="57"/>
    </row>
    <row r="18" spans="1:13" x14ac:dyDescent="0.3">
      <c r="A18" s="21"/>
      <c r="D18" s="79"/>
      <c r="E18" s="80"/>
      <c r="F18" s="81"/>
      <c r="G18" s="1"/>
      <c r="H18" s="1"/>
      <c r="I18" s="57"/>
    </row>
    <row r="19" spans="1:13" x14ac:dyDescent="0.3">
      <c r="A19" s="4"/>
      <c r="I19" s="3"/>
    </row>
    <row r="20" spans="1:13" x14ac:dyDescent="0.3">
      <c r="A20" s="4" t="s">
        <v>88</v>
      </c>
      <c r="G20" s="2"/>
      <c r="I20" s="3"/>
      <c r="M20" s="33"/>
    </row>
    <row r="21" spans="1:13" x14ac:dyDescent="0.3">
      <c r="A21" s="4" t="s">
        <v>83</v>
      </c>
      <c r="F21" t="s">
        <v>84</v>
      </c>
      <c r="I21" s="3"/>
    </row>
    <row r="22" spans="1:13" x14ac:dyDescent="0.3">
      <c r="A22" s="4"/>
      <c r="E22" t="s">
        <v>86</v>
      </c>
      <c r="F22" t="s">
        <v>89</v>
      </c>
      <c r="I22" s="3"/>
    </row>
    <row r="23" spans="1:13" x14ac:dyDescent="0.3">
      <c r="A23" s="4"/>
      <c r="E23" t="s">
        <v>85</v>
      </c>
      <c r="F23" t="s">
        <v>90</v>
      </c>
      <c r="I23" s="3"/>
    </row>
    <row r="24" spans="1:13" x14ac:dyDescent="0.3">
      <c r="A24" s="4"/>
      <c r="E24" s="45" t="s">
        <v>87</v>
      </c>
      <c r="F24" s="46" t="s">
        <v>91</v>
      </c>
      <c r="I24" s="3"/>
    </row>
    <row r="25" spans="1:13" x14ac:dyDescent="0.3">
      <c r="A25" s="4"/>
      <c r="I25" s="3"/>
    </row>
    <row r="26" spans="1:13" x14ac:dyDescent="0.3">
      <c r="A26" s="34" t="s">
        <v>68</v>
      </c>
      <c r="B26" s="23"/>
      <c r="C26" s="23"/>
      <c r="D26" s="23"/>
      <c r="E26" s="23"/>
      <c r="F26" s="24"/>
      <c r="G26" s="24"/>
      <c r="H26" s="24"/>
      <c r="I26" s="25"/>
    </row>
    <row r="27" spans="1:13" x14ac:dyDescent="0.3">
      <c r="A27" s="22" t="s">
        <v>73</v>
      </c>
      <c r="B27" s="23"/>
      <c r="C27" s="23"/>
      <c r="D27" s="23"/>
      <c r="E27" s="23"/>
      <c r="F27" s="24"/>
      <c r="G27" s="24"/>
      <c r="H27" s="24"/>
      <c r="I27" s="25"/>
    </row>
    <row r="28" spans="1:13" ht="15.6" x14ac:dyDescent="0.3">
      <c r="A28" s="76" t="s">
        <v>96</v>
      </c>
      <c r="B28" s="77"/>
      <c r="C28" s="77"/>
      <c r="D28" s="77"/>
      <c r="E28" s="77"/>
      <c r="F28" s="77"/>
      <c r="G28" s="77"/>
      <c r="H28" s="77"/>
      <c r="I28" s="78"/>
    </row>
    <row r="29" spans="1:13" ht="15.6" x14ac:dyDescent="0.3">
      <c r="A29" s="4" t="s">
        <v>70</v>
      </c>
      <c r="C29" s="35"/>
      <c r="D29" s="35"/>
      <c r="E29" s="35"/>
      <c r="F29" s="35"/>
      <c r="G29" s="2">
        <v>160</v>
      </c>
      <c r="H29" t="s">
        <v>69</v>
      </c>
      <c r="I29" s="3"/>
    </row>
    <row r="30" spans="1:13" x14ac:dyDescent="0.3">
      <c r="A30" s="8"/>
      <c r="B30" s="9"/>
      <c r="C30" s="9"/>
      <c r="D30" s="44"/>
      <c r="E30" s="5"/>
      <c r="F30" s="5"/>
      <c r="G30" s="42"/>
      <c r="H30" s="5"/>
      <c r="I30" s="6"/>
    </row>
    <row r="31" spans="1:13" ht="15.6" x14ac:dyDescent="0.3">
      <c r="A31" s="8"/>
      <c r="B31" s="9"/>
      <c r="C31" s="31"/>
      <c r="D31" s="37" t="s">
        <v>72</v>
      </c>
      <c r="E31" s="38" t="s">
        <v>81</v>
      </c>
      <c r="F31" s="5"/>
      <c r="G31" s="42"/>
      <c r="H31" s="5"/>
      <c r="I31" s="6"/>
    </row>
    <row r="32" spans="1:13" x14ac:dyDescent="0.3">
      <c r="A32" s="8"/>
      <c r="B32" s="9"/>
      <c r="C32" s="9"/>
      <c r="D32" s="44"/>
      <c r="E32" s="5"/>
      <c r="F32" s="5"/>
      <c r="G32" s="5"/>
      <c r="H32" s="5"/>
      <c r="I32" s="6"/>
    </row>
    <row r="33" spans="1:9" x14ac:dyDescent="0.3">
      <c r="A33" s="53" t="s">
        <v>8</v>
      </c>
      <c r="B33" s="32"/>
      <c r="C33" s="32"/>
      <c r="D33" s="36"/>
      <c r="E33" s="7"/>
      <c r="F33" s="7"/>
      <c r="G33" s="7"/>
      <c r="H33" s="7"/>
      <c r="I33" s="55"/>
    </row>
    <row r="34" spans="1:9" x14ac:dyDescent="0.3">
      <c r="A34" s="56"/>
      <c r="B34" s="41" t="s">
        <v>53</v>
      </c>
      <c r="C34" s="1" t="s">
        <v>76</v>
      </c>
      <c r="D34" s="36"/>
      <c r="E34" s="7"/>
      <c r="F34" s="10">
        <v>6.34</v>
      </c>
      <c r="G34" s="2" t="s">
        <v>63</v>
      </c>
      <c r="H34" s="7"/>
      <c r="I34" s="55"/>
    </row>
    <row r="35" spans="1:9" x14ac:dyDescent="0.3">
      <c r="A35" s="56"/>
      <c r="B35" s="2" t="s">
        <v>74</v>
      </c>
      <c r="C35" s="1" t="s">
        <v>77</v>
      </c>
      <c r="D35" s="36"/>
      <c r="E35" s="7"/>
      <c r="F35" s="10">
        <v>16000</v>
      </c>
      <c r="G35" s="2" t="s">
        <v>80</v>
      </c>
      <c r="H35" s="7"/>
      <c r="I35" s="55"/>
    </row>
    <row r="36" spans="1:9" x14ac:dyDescent="0.3">
      <c r="A36" s="56"/>
      <c r="B36" s="2" t="s">
        <v>75</v>
      </c>
      <c r="C36" s="1" t="s">
        <v>79</v>
      </c>
      <c r="D36" s="36"/>
      <c r="E36" s="7"/>
      <c r="F36" s="10">
        <v>0.3</v>
      </c>
      <c r="G36" s="2" t="s">
        <v>80</v>
      </c>
      <c r="H36" s="7"/>
      <c r="I36" s="55"/>
    </row>
    <row r="37" spans="1:9" x14ac:dyDescent="0.3">
      <c r="A37" s="56"/>
      <c r="B37" s="2" t="s">
        <v>34</v>
      </c>
      <c r="C37" s="1" t="s">
        <v>78</v>
      </c>
      <c r="D37" s="36"/>
      <c r="E37" s="7"/>
      <c r="F37" s="10">
        <v>2.5</v>
      </c>
      <c r="G37" s="2" t="s">
        <v>80</v>
      </c>
      <c r="H37" s="7"/>
      <c r="I37" s="55"/>
    </row>
    <row r="38" spans="1:9" x14ac:dyDescent="0.3">
      <c r="A38" s="56"/>
      <c r="B38" s="32"/>
      <c r="C38" s="32"/>
      <c r="D38" s="36"/>
      <c r="E38" s="7"/>
      <c r="F38" s="7"/>
      <c r="G38" s="7"/>
      <c r="H38" s="7"/>
      <c r="I38" s="55"/>
    </row>
    <row r="39" spans="1:9" x14ac:dyDescent="0.3">
      <c r="A39" s="56"/>
      <c r="B39" s="32"/>
      <c r="C39" s="32"/>
      <c r="D39" s="79" t="s">
        <v>67</v>
      </c>
      <c r="E39" s="80">
        <f>((100*F34)/(2*3.14*F35))*(LN((2*F35*F35)/(F36*F37)))</f>
        <v>0.12834914351073676</v>
      </c>
      <c r="F39" s="81" t="s">
        <v>66</v>
      </c>
      <c r="G39" s="7"/>
      <c r="H39" s="7"/>
      <c r="I39" s="55"/>
    </row>
    <row r="40" spans="1:9" x14ac:dyDescent="0.3">
      <c r="A40" s="56"/>
      <c r="B40" s="32"/>
      <c r="C40" s="32"/>
      <c r="D40" s="79"/>
      <c r="E40" s="80"/>
      <c r="F40" s="81"/>
      <c r="G40" s="7"/>
      <c r="H40" s="7"/>
      <c r="I40" s="55"/>
    </row>
    <row r="41" spans="1:9" x14ac:dyDescent="0.3">
      <c r="A41" s="56"/>
      <c r="B41" s="32"/>
      <c r="C41" s="32"/>
      <c r="D41" s="36"/>
      <c r="E41" s="7"/>
      <c r="F41" s="7"/>
      <c r="G41" s="7"/>
      <c r="H41" s="7"/>
      <c r="I41" s="55"/>
    </row>
    <row r="42" spans="1:9" x14ac:dyDescent="0.3">
      <c r="A42" s="56" t="s">
        <v>93</v>
      </c>
      <c r="B42" s="32"/>
      <c r="C42" s="36"/>
      <c r="D42" s="7"/>
      <c r="E42" s="7" t="s">
        <v>92</v>
      </c>
      <c r="G42" s="7"/>
      <c r="I42" s="55"/>
    </row>
    <row r="43" spans="1:9" ht="18.75" customHeight="1" x14ac:dyDescent="0.3">
      <c r="A43" s="56"/>
      <c r="B43" s="32"/>
      <c r="C43" s="32"/>
      <c r="D43" s="82" t="s">
        <v>95</v>
      </c>
      <c r="E43" s="84" t="s">
        <v>97</v>
      </c>
      <c r="F43" s="7"/>
      <c r="G43" s="7"/>
      <c r="H43" s="7"/>
      <c r="I43" s="55"/>
    </row>
    <row r="44" spans="1:9" x14ac:dyDescent="0.3">
      <c r="A44" s="56"/>
      <c r="B44" s="32"/>
      <c r="C44" s="32"/>
      <c r="D44" s="83"/>
      <c r="E44" s="85"/>
      <c r="F44" s="7"/>
      <c r="G44" s="7"/>
      <c r="H44" s="7"/>
      <c r="I44" s="55"/>
    </row>
    <row r="45" spans="1:9" x14ac:dyDescent="0.3">
      <c r="A45" s="56" t="s">
        <v>99</v>
      </c>
      <c r="B45" s="32"/>
      <c r="C45" s="32"/>
      <c r="D45" s="36"/>
      <c r="E45" s="7"/>
      <c r="F45" s="7"/>
      <c r="G45" s="7"/>
      <c r="H45" s="7"/>
      <c r="I45" s="55"/>
    </row>
    <row r="46" spans="1:9" x14ac:dyDescent="0.3">
      <c r="A46" s="56"/>
      <c r="B46" s="32"/>
      <c r="C46" s="32"/>
      <c r="D46" s="36"/>
      <c r="E46" s="7"/>
      <c r="F46" s="7"/>
      <c r="G46" s="7"/>
      <c r="H46" s="7"/>
      <c r="I46" s="55"/>
    </row>
    <row r="47" spans="1:9" ht="15.6" x14ac:dyDescent="0.3">
      <c r="A47" s="76" t="s">
        <v>98</v>
      </c>
      <c r="B47" s="77"/>
      <c r="C47" s="77"/>
      <c r="D47" s="77"/>
      <c r="E47" s="77"/>
      <c r="F47" s="77"/>
      <c r="G47" s="77"/>
      <c r="H47" s="77"/>
      <c r="I47" s="78"/>
    </row>
    <row r="48" spans="1:9" ht="15.6" x14ac:dyDescent="0.3">
      <c r="A48" s="4" t="s">
        <v>70</v>
      </c>
      <c r="C48" s="35"/>
      <c r="D48" s="35"/>
      <c r="E48" s="35"/>
      <c r="F48" s="35"/>
      <c r="G48" s="2">
        <v>175</v>
      </c>
      <c r="H48" t="s">
        <v>69</v>
      </c>
      <c r="I48" s="3"/>
    </row>
    <row r="49" spans="1:9" x14ac:dyDescent="0.3">
      <c r="A49" s="8"/>
      <c r="B49" s="9"/>
      <c r="C49" s="9"/>
      <c r="D49" s="44"/>
      <c r="E49" s="5"/>
      <c r="F49" s="5"/>
      <c r="G49" s="42"/>
      <c r="H49" s="5"/>
      <c r="I49" s="6"/>
    </row>
    <row r="50" spans="1:9" ht="15.6" x14ac:dyDescent="0.3">
      <c r="A50" s="8"/>
      <c r="B50" s="9"/>
      <c r="C50" s="31"/>
      <c r="D50" s="37" t="s">
        <v>72</v>
      </c>
      <c r="E50" s="38" t="s">
        <v>81</v>
      </c>
      <c r="F50" s="5"/>
      <c r="G50" s="42"/>
      <c r="H50" s="5"/>
      <c r="I50" s="6"/>
    </row>
    <row r="51" spans="1:9" x14ac:dyDescent="0.3">
      <c r="A51" s="8"/>
      <c r="B51" s="9"/>
      <c r="C51" s="9"/>
      <c r="D51" s="44"/>
      <c r="E51" s="5"/>
      <c r="F51" s="5"/>
      <c r="G51" s="5"/>
      <c r="H51" s="5"/>
      <c r="I51" s="6"/>
    </row>
    <row r="52" spans="1:9" x14ac:dyDescent="0.3">
      <c r="A52" s="53" t="s">
        <v>8</v>
      </c>
      <c r="B52" s="32"/>
      <c r="C52" s="32"/>
      <c r="D52" s="36"/>
      <c r="E52" s="7"/>
      <c r="F52" s="7"/>
      <c r="G52" s="7"/>
      <c r="H52" s="7"/>
      <c r="I52" s="55"/>
    </row>
    <row r="53" spans="1:9" x14ac:dyDescent="0.3">
      <c r="A53" s="56"/>
      <c r="B53" s="41" t="s">
        <v>53</v>
      </c>
      <c r="C53" s="1" t="s">
        <v>76</v>
      </c>
      <c r="D53" s="36"/>
      <c r="E53" s="7"/>
      <c r="F53" s="10">
        <v>6.34</v>
      </c>
      <c r="G53" s="2" t="s">
        <v>63</v>
      </c>
      <c r="H53" s="7"/>
      <c r="I53" s="55"/>
    </row>
    <row r="54" spans="1:9" x14ac:dyDescent="0.3">
      <c r="A54" s="56"/>
      <c r="B54" s="2" t="s">
        <v>74</v>
      </c>
      <c r="C54" s="1" t="s">
        <v>77</v>
      </c>
      <c r="D54" s="36"/>
      <c r="E54" s="7"/>
      <c r="F54" s="10">
        <v>17500</v>
      </c>
      <c r="G54" s="2" t="s">
        <v>80</v>
      </c>
      <c r="H54" s="7"/>
      <c r="I54" s="55"/>
    </row>
    <row r="55" spans="1:9" x14ac:dyDescent="0.3">
      <c r="A55" s="56"/>
      <c r="B55" s="2" t="s">
        <v>75</v>
      </c>
      <c r="C55" s="1" t="s">
        <v>79</v>
      </c>
      <c r="D55" s="36"/>
      <c r="E55" s="7"/>
      <c r="F55" s="10">
        <v>0.3</v>
      </c>
      <c r="G55" s="2" t="s">
        <v>80</v>
      </c>
      <c r="H55" s="7"/>
      <c r="I55" s="55"/>
    </row>
    <row r="56" spans="1:9" x14ac:dyDescent="0.3">
      <c r="A56" s="56"/>
      <c r="B56" s="2" t="s">
        <v>34</v>
      </c>
      <c r="C56" s="1" t="s">
        <v>78</v>
      </c>
      <c r="D56" s="36"/>
      <c r="E56" s="7"/>
      <c r="F56" s="10">
        <v>2.5</v>
      </c>
      <c r="G56" s="2" t="s">
        <v>80</v>
      </c>
      <c r="H56" s="7"/>
      <c r="I56" s="55"/>
    </row>
    <row r="57" spans="1:9" x14ac:dyDescent="0.3">
      <c r="A57" s="56"/>
      <c r="B57" s="32"/>
      <c r="C57" s="32"/>
      <c r="D57" s="36"/>
      <c r="E57" s="7"/>
      <c r="F57" s="7"/>
      <c r="G57" s="7"/>
      <c r="H57" s="7"/>
      <c r="I57" s="55"/>
    </row>
    <row r="58" spans="1:9" x14ac:dyDescent="0.3">
      <c r="A58" s="56"/>
      <c r="B58" s="32"/>
      <c r="C58" s="32"/>
      <c r="D58" s="79" t="s">
        <v>67</v>
      </c>
      <c r="E58" s="80">
        <f>((100*F53)/(2*3.14*F54))*(LN((2*F54*F54)/(F55*F56)))</f>
        <v>0.11838171207622701</v>
      </c>
      <c r="F58" s="81" t="s">
        <v>66</v>
      </c>
      <c r="G58" s="7"/>
      <c r="H58" s="7"/>
      <c r="I58" s="55"/>
    </row>
    <row r="59" spans="1:9" x14ac:dyDescent="0.3">
      <c r="A59" s="56"/>
      <c r="B59" s="32"/>
      <c r="C59" s="32"/>
      <c r="D59" s="79"/>
      <c r="E59" s="80"/>
      <c r="F59" s="81"/>
      <c r="G59" s="7"/>
      <c r="H59" s="7"/>
      <c r="I59" s="55"/>
    </row>
    <row r="60" spans="1:9" x14ac:dyDescent="0.3">
      <c r="A60" s="56"/>
      <c r="B60" s="32"/>
      <c r="C60" s="32"/>
      <c r="D60" s="36"/>
      <c r="E60" s="7"/>
      <c r="F60" s="7"/>
      <c r="G60" s="7"/>
      <c r="H60" s="7"/>
      <c r="I60" s="55"/>
    </row>
    <row r="61" spans="1:9" x14ac:dyDescent="0.3">
      <c r="A61" s="56" t="s">
        <v>93</v>
      </c>
      <c r="B61" s="32"/>
      <c r="C61" s="36"/>
      <c r="D61" s="7"/>
      <c r="E61" s="7" t="s">
        <v>92</v>
      </c>
      <c r="G61" s="7"/>
      <c r="I61" s="55"/>
    </row>
    <row r="62" spans="1:9" x14ac:dyDescent="0.3">
      <c r="A62" s="56"/>
      <c r="B62" s="32"/>
      <c r="C62" s="32"/>
      <c r="D62" s="75" t="s">
        <v>95</v>
      </c>
      <c r="E62" s="75" t="s">
        <v>94</v>
      </c>
      <c r="F62" s="7"/>
      <c r="G62" s="7"/>
      <c r="H62" s="7"/>
      <c r="I62" s="55"/>
    </row>
    <row r="63" spans="1:9" x14ac:dyDescent="0.3">
      <c r="A63" s="56"/>
      <c r="B63" s="32"/>
      <c r="C63" s="32"/>
      <c r="D63" s="75"/>
      <c r="E63" s="75"/>
      <c r="F63" s="7"/>
      <c r="G63" s="7"/>
      <c r="H63" s="7"/>
      <c r="I63" s="55"/>
    </row>
    <row r="64" spans="1:9" ht="18" x14ac:dyDescent="0.3">
      <c r="A64" s="56" t="s">
        <v>99</v>
      </c>
      <c r="B64" s="32"/>
      <c r="C64" s="32"/>
      <c r="D64" s="66"/>
      <c r="E64" s="66"/>
      <c r="F64" s="7"/>
      <c r="G64" s="7"/>
      <c r="H64" s="7"/>
      <c r="I64" s="55"/>
    </row>
    <row r="65" spans="1:9" x14ac:dyDescent="0.3">
      <c r="A65" s="61"/>
      <c r="B65" s="64"/>
      <c r="C65" s="64"/>
      <c r="D65" s="64"/>
      <c r="E65" s="64"/>
      <c r="F65" s="65"/>
      <c r="G65" s="49"/>
      <c r="H65" s="64"/>
      <c r="I65" s="58"/>
    </row>
    <row r="66" spans="1:9" x14ac:dyDescent="0.3">
      <c r="A66" s="53"/>
      <c r="B66" s="1"/>
      <c r="C66" s="1"/>
      <c r="D66" s="47"/>
      <c r="G66" s="2"/>
      <c r="I66" s="3"/>
    </row>
    <row r="67" spans="1:9" x14ac:dyDescent="0.3">
      <c r="A67" s="53"/>
      <c r="B67" s="1"/>
      <c r="C67" s="1"/>
      <c r="D67" s="1"/>
      <c r="E67" s="1"/>
      <c r="F67" s="1"/>
      <c r="G67" s="1"/>
      <c r="H67" s="1"/>
      <c r="I67" s="57"/>
    </row>
    <row r="68" spans="1:9" x14ac:dyDescent="0.3">
      <c r="A68" s="53"/>
      <c r="B68" s="1"/>
      <c r="C68" s="1"/>
      <c r="D68" s="1"/>
      <c r="E68" s="48"/>
      <c r="F68" s="1"/>
      <c r="I68" s="3"/>
    </row>
    <row r="69" spans="1:9" x14ac:dyDescent="0.3">
      <c r="A69" s="53"/>
      <c r="B69" s="1"/>
      <c r="C69" s="1"/>
      <c r="D69" s="1"/>
      <c r="E69" s="48"/>
      <c r="F69" s="1"/>
      <c r="I69" s="3"/>
    </row>
    <row r="70" spans="1:9" x14ac:dyDescent="0.3">
      <c r="A70" s="4"/>
      <c r="B70" s="13"/>
      <c r="C70" s="20"/>
      <c r="I70" s="3"/>
    </row>
    <row r="71" spans="1:9" x14ac:dyDescent="0.3">
      <c r="A71" s="4"/>
      <c r="B71" s="19"/>
      <c r="C71" s="20"/>
      <c r="E71" s="30"/>
      <c r="F71" s="2"/>
      <c r="I71" s="3"/>
    </row>
    <row r="72" spans="1:9" x14ac:dyDescent="0.3">
      <c r="A72" s="4"/>
      <c r="B72" s="13"/>
      <c r="E72" s="2"/>
      <c r="F72" s="2"/>
      <c r="I72" s="3"/>
    </row>
    <row r="73" spans="1:9" x14ac:dyDescent="0.3">
      <c r="A73" s="4"/>
      <c r="B73" s="13"/>
      <c r="E73" s="30"/>
      <c r="F73" s="2"/>
      <c r="I73" s="3"/>
    </row>
    <row r="74" spans="1:9" x14ac:dyDescent="0.3">
      <c r="A74" s="4"/>
      <c r="E74" s="2"/>
      <c r="F74" s="2"/>
      <c r="I74" s="3"/>
    </row>
    <row r="75" spans="1:9" ht="15.6" x14ac:dyDescent="0.3">
      <c r="A75" s="59"/>
      <c r="B75" s="50"/>
      <c r="C75" s="50"/>
      <c r="D75" s="50"/>
      <c r="E75" s="50"/>
      <c r="F75" s="50"/>
      <c r="G75" s="50"/>
      <c r="H75" s="50"/>
      <c r="I75" s="60"/>
    </row>
    <row r="76" spans="1:9" x14ac:dyDescent="0.3">
      <c r="A76" s="4"/>
      <c r="F76" s="2"/>
      <c r="G76" s="2"/>
      <c r="I76" s="3"/>
    </row>
    <row r="77" spans="1:9" x14ac:dyDescent="0.3">
      <c r="A77" s="4"/>
      <c r="F77" s="2"/>
      <c r="G77" s="2"/>
      <c r="I77" s="3"/>
    </row>
    <row r="78" spans="1:9" x14ac:dyDescent="0.3">
      <c r="A78" s="4"/>
      <c r="F78" s="2"/>
      <c r="G78" s="2"/>
      <c r="I78" s="3"/>
    </row>
    <row r="79" spans="1:9" x14ac:dyDescent="0.3">
      <c r="A79" s="4"/>
      <c r="F79" s="30"/>
      <c r="G79" s="2"/>
      <c r="I79" s="3"/>
    </row>
    <row r="80" spans="1:9" x14ac:dyDescent="0.3">
      <c r="A80" s="4"/>
      <c r="F80" s="30"/>
      <c r="G80" s="2"/>
      <c r="I80" s="3"/>
    </row>
    <row r="81" spans="1:9" x14ac:dyDescent="0.3">
      <c r="A81" s="53"/>
      <c r="B81" s="1"/>
      <c r="C81" s="1"/>
      <c r="D81" s="47"/>
      <c r="G81" s="2"/>
      <c r="I81" s="3"/>
    </row>
    <row r="82" spans="1:9" x14ac:dyDescent="0.3">
      <c r="A82" s="53"/>
      <c r="B82" s="1"/>
      <c r="C82" s="1"/>
      <c r="D82" s="1"/>
      <c r="E82" s="1"/>
      <c r="F82" s="1"/>
      <c r="G82" s="1"/>
      <c r="H82" s="1"/>
      <c r="I82" s="57"/>
    </row>
    <row r="83" spans="1:9" x14ac:dyDescent="0.3">
      <c r="A83" s="53"/>
      <c r="B83" s="1"/>
      <c r="C83" s="1"/>
      <c r="D83" s="1"/>
      <c r="E83" s="48"/>
      <c r="F83" s="1"/>
      <c r="I83" s="3"/>
    </row>
    <row r="84" spans="1:9" x14ac:dyDescent="0.3">
      <c r="A84" s="53"/>
      <c r="B84" s="1"/>
      <c r="C84" s="1"/>
      <c r="D84" s="1"/>
      <c r="E84" s="48"/>
      <c r="F84" s="1"/>
      <c r="I84" s="3"/>
    </row>
    <row r="85" spans="1:9" x14ac:dyDescent="0.3">
      <c r="A85" s="61"/>
      <c r="B85" s="62"/>
      <c r="C85" s="63"/>
      <c r="D85" s="64"/>
      <c r="E85" s="64"/>
      <c r="F85" s="49"/>
      <c r="G85" s="64"/>
      <c r="H85" s="64"/>
      <c r="I85" s="58"/>
    </row>
    <row r="86" spans="1:9" x14ac:dyDescent="0.3">
      <c r="B86" s="19"/>
      <c r="C86" s="20"/>
      <c r="E86" s="30"/>
      <c r="F86" s="2"/>
    </row>
    <row r="87" spans="1:9" x14ac:dyDescent="0.3">
      <c r="B87" s="13"/>
      <c r="E87" s="2"/>
      <c r="F87" s="2"/>
    </row>
    <row r="88" spans="1:9" x14ac:dyDescent="0.3">
      <c r="B88" s="13"/>
      <c r="E88" s="30"/>
      <c r="F88" s="2"/>
    </row>
    <row r="89" spans="1:9" x14ac:dyDescent="0.3">
      <c r="E89" s="2"/>
      <c r="F89" s="2"/>
    </row>
  </sheetData>
  <mergeCells count="20">
    <mergeCell ref="E17:E18"/>
    <mergeCell ref="D17:D18"/>
    <mergeCell ref="F17:F18"/>
    <mergeCell ref="A1:I2"/>
    <mergeCell ref="A3:B3"/>
    <mergeCell ref="C3:I3"/>
    <mergeCell ref="A4:B4"/>
    <mergeCell ref="C4:I4"/>
    <mergeCell ref="D62:D63"/>
    <mergeCell ref="E62:E63"/>
    <mergeCell ref="A28:I28"/>
    <mergeCell ref="A47:I47"/>
    <mergeCell ref="D58:D59"/>
    <mergeCell ref="E58:E59"/>
    <mergeCell ref="F58:F59"/>
    <mergeCell ref="D39:D40"/>
    <mergeCell ref="E39:E40"/>
    <mergeCell ref="F39:F40"/>
    <mergeCell ref="D43:D44"/>
    <mergeCell ref="E43:E44"/>
  </mergeCells>
  <pageMargins left="0.7" right="0.7" top="0.75" bottom="0.75" header="0.3" footer="0.3"/>
  <pageSetup paperSize="9" scale="76" orientation="portrait" r:id="rId1"/>
  <rowBreaks count="2" manualBreakCount="2">
    <brk id="65" max="8" man="1"/>
    <brk id="85" max="8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4"/>
  <sheetViews>
    <sheetView workbookViewId="0">
      <selection activeCell="L14" sqref="L14"/>
    </sheetView>
  </sheetViews>
  <sheetFormatPr defaultRowHeight="14.4" x14ac:dyDescent="0.3"/>
  <cols>
    <col min="4" max="4" width="12.109375" bestFit="1" customWidth="1"/>
    <col min="5" max="6" width="17.5546875" bestFit="1" customWidth="1"/>
    <col min="7" max="7" width="9.33203125" bestFit="1" customWidth="1"/>
  </cols>
  <sheetData>
    <row r="1" spans="1:9" x14ac:dyDescent="0.3">
      <c r="A1" s="86" t="s">
        <v>3</v>
      </c>
      <c r="B1" s="87"/>
      <c r="C1" s="87"/>
      <c r="D1" s="87"/>
      <c r="E1" s="87"/>
      <c r="F1" s="87"/>
      <c r="G1" s="87"/>
      <c r="H1" s="87"/>
      <c r="I1" s="88"/>
    </row>
    <row r="2" spans="1:9" x14ac:dyDescent="0.3">
      <c r="A2" s="89"/>
      <c r="B2" s="90"/>
      <c r="C2" s="90"/>
      <c r="D2" s="90"/>
      <c r="E2" s="90"/>
      <c r="F2" s="90"/>
      <c r="G2" s="90"/>
      <c r="H2" s="90"/>
      <c r="I2" s="91"/>
    </row>
    <row r="3" spans="1:9" x14ac:dyDescent="0.3">
      <c r="A3" s="92" t="s">
        <v>0</v>
      </c>
      <c r="B3" s="93"/>
      <c r="C3" s="94" t="s">
        <v>124</v>
      </c>
      <c r="D3" s="94"/>
      <c r="E3" s="94"/>
      <c r="F3" s="94"/>
      <c r="G3" s="94"/>
      <c r="H3" s="94"/>
      <c r="I3" s="95"/>
    </row>
    <row r="4" spans="1:9" x14ac:dyDescent="0.3">
      <c r="A4" s="92" t="s">
        <v>1</v>
      </c>
      <c r="B4" s="93"/>
      <c r="C4" s="96" t="s">
        <v>125</v>
      </c>
      <c r="D4" s="96"/>
      <c r="E4" s="96"/>
      <c r="F4" s="96"/>
      <c r="G4" s="96"/>
      <c r="H4" s="96"/>
      <c r="I4" s="97"/>
    </row>
    <row r="5" spans="1:9" x14ac:dyDescent="0.3">
      <c r="A5" s="18" t="s">
        <v>4</v>
      </c>
      <c r="B5" s="15"/>
      <c r="C5" s="16"/>
      <c r="D5" s="16"/>
      <c r="E5" s="16"/>
      <c r="F5" s="16"/>
      <c r="G5" s="16"/>
      <c r="H5" s="16"/>
      <c r="I5" s="17"/>
    </row>
    <row r="6" spans="1:9" x14ac:dyDescent="0.3">
      <c r="A6" s="14" t="s">
        <v>5</v>
      </c>
      <c r="B6" s="15"/>
      <c r="C6" s="16"/>
      <c r="D6" s="16"/>
      <c r="E6" s="16"/>
      <c r="F6" s="16"/>
      <c r="G6" s="16"/>
      <c r="H6" s="16"/>
      <c r="I6" s="17"/>
    </row>
    <row r="7" spans="1:9" x14ac:dyDescent="0.3">
      <c r="A7" s="8"/>
      <c r="B7" s="9"/>
      <c r="C7" s="9"/>
      <c r="D7" s="44"/>
      <c r="E7" s="5"/>
      <c r="F7" s="5"/>
      <c r="G7" s="42"/>
      <c r="H7" s="5"/>
      <c r="I7" s="6"/>
    </row>
    <row r="8" spans="1:9" x14ac:dyDescent="0.3">
      <c r="A8" s="8"/>
      <c r="B8" s="9" t="s">
        <v>6</v>
      </c>
      <c r="C8" s="9" t="s">
        <v>7</v>
      </c>
      <c r="D8" s="44"/>
      <c r="E8" s="5"/>
      <c r="F8" s="5"/>
      <c r="G8" s="42"/>
      <c r="H8" s="5"/>
      <c r="I8" s="6"/>
    </row>
    <row r="9" spans="1:9" x14ac:dyDescent="0.3">
      <c r="A9" s="8"/>
      <c r="B9" s="9"/>
      <c r="C9" s="9"/>
      <c r="D9" s="44"/>
      <c r="E9" s="5"/>
      <c r="F9" s="5"/>
      <c r="G9" s="5"/>
      <c r="H9" s="5"/>
      <c r="I9" s="6"/>
    </row>
    <row r="10" spans="1:9" x14ac:dyDescent="0.3">
      <c r="A10" s="4" t="s">
        <v>8</v>
      </c>
      <c r="B10" s="7"/>
      <c r="C10" s="7"/>
      <c r="D10" s="43"/>
      <c r="E10" s="7"/>
      <c r="F10" s="7"/>
      <c r="G10" s="7"/>
      <c r="I10" s="3"/>
    </row>
    <row r="11" spans="1:9" x14ac:dyDescent="0.3">
      <c r="A11" s="21" t="s">
        <v>9</v>
      </c>
      <c r="B11" t="s">
        <v>48</v>
      </c>
      <c r="C11" s="7"/>
      <c r="D11" s="43"/>
      <c r="E11" s="7"/>
      <c r="F11" s="7"/>
      <c r="G11" s="7"/>
      <c r="I11" s="3"/>
    </row>
    <row r="12" spans="1:9" x14ac:dyDescent="0.3">
      <c r="A12" s="21" t="s">
        <v>10</v>
      </c>
      <c r="B12" t="s">
        <v>23</v>
      </c>
      <c r="I12" s="3"/>
    </row>
    <row r="13" spans="1:9" x14ac:dyDescent="0.3">
      <c r="A13" s="21" t="s">
        <v>11</v>
      </c>
      <c r="B13" t="s">
        <v>49</v>
      </c>
      <c r="I13" s="3"/>
    </row>
    <row r="14" spans="1:9" x14ac:dyDescent="0.3">
      <c r="A14" s="21" t="s">
        <v>13</v>
      </c>
      <c r="B14" t="s">
        <v>24</v>
      </c>
      <c r="G14" s="2">
        <v>50</v>
      </c>
      <c r="I14" s="3"/>
    </row>
    <row r="15" spans="1:9" x14ac:dyDescent="0.3">
      <c r="A15" s="21" t="s">
        <v>12</v>
      </c>
      <c r="B15" t="s">
        <v>25</v>
      </c>
      <c r="G15" s="2">
        <v>500</v>
      </c>
      <c r="I15" s="3"/>
    </row>
    <row r="16" spans="1:9" x14ac:dyDescent="0.3">
      <c r="A16" s="4"/>
      <c r="I16" s="3"/>
    </row>
    <row r="17" spans="1:9" x14ac:dyDescent="0.3">
      <c r="A17" s="22" t="s">
        <v>14</v>
      </c>
      <c r="B17" s="23"/>
      <c r="C17" s="23"/>
      <c r="D17" s="23"/>
      <c r="E17" s="23"/>
      <c r="F17" s="24"/>
      <c r="G17" s="24"/>
      <c r="H17" s="24"/>
      <c r="I17" s="25"/>
    </row>
    <row r="18" spans="1:9" ht="15.6" x14ac:dyDescent="0.3">
      <c r="A18" s="4"/>
      <c r="C18" s="11"/>
      <c r="D18" s="11" t="s">
        <v>15</v>
      </c>
      <c r="E18" s="11" t="s">
        <v>16</v>
      </c>
      <c r="F18" s="11" t="s">
        <v>17</v>
      </c>
      <c r="I18" s="3"/>
    </row>
    <row r="19" spans="1:9" ht="15.6" x14ac:dyDescent="0.3">
      <c r="A19" s="4"/>
      <c r="C19" s="12" t="s">
        <v>18</v>
      </c>
      <c r="D19" s="11">
        <v>202</v>
      </c>
      <c r="E19" s="11">
        <v>228</v>
      </c>
      <c r="F19" s="11">
        <v>234.5</v>
      </c>
      <c r="I19" s="3"/>
    </row>
    <row r="20" spans="1:9" ht="15.6" x14ac:dyDescent="0.3">
      <c r="A20" s="4"/>
      <c r="C20" s="11" t="s">
        <v>19</v>
      </c>
      <c r="D20" s="11">
        <v>3.8E-3</v>
      </c>
      <c r="E20" s="11">
        <v>2.5000000000000001E-3</v>
      </c>
      <c r="F20" s="11">
        <v>3.4499999999999999E-3</v>
      </c>
      <c r="I20" s="3"/>
    </row>
    <row r="21" spans="1:9" ht="15.6" x14ac:dyDescent="0.3">
      <c r="A21" s="4"/>
      <c r="C21" s="11" t="s">
        <v>20</v>
      </c>
      <c r="D21" s="11">
        <v>1.3799999999999999E-4</v>
      </c>
      <c r="E21" s="11">
        <v>2.8263999999999999E-5</v>
      </c>
      <c r="F21" s="11">
        <v>1.7241E-5</v>
      </c>
      <c r="I21" s="3"/>
    </row>
    <row r="22" spans="1:9" x14ac:dyDescent="0.3">
      <c r="A22" s="8" t="s">
        <v>21</v>
      </c>
      <c r="B22" s="9"/>
      <c r="C22" s="9"/>
      <c r="D22" s="44"/>
      <c r="E22" s="5"/>
      <c r="F22" s="5"/>
      <c r="G22" s="42"/>
      <c r="H22" s="5"/>
      <c r="I22" s="6"/>
    </row>
    <row r="23" spans="1:9" x14ac:dyDescent="0.3">
      <c r="A23" s="8"/>
      <c r="B23" s="9" t="s">
        <v>6</v>
      </c>
      <c r="C23" s="9" t="s">
        <v>22</v>
      </c>
      <c r="D23" s="44"/>
      <c r="E23" s="5"/>
      <c r="F23" s="5"/>
      <c r="G23" s="42"/>
      <c r="H23" s="5"/>
      <c r="I23" s="6"/>
    </row>
    <row r="24" spans="1:9" x14ac:dyDescent="0.3">
      <c r="A24" s="8"/>
      <c r="B24" s="9"/>
      <c r="C24" s="101"/>
      <c r="D24" s="101" t="s">
        <v>26</v>
      </c>
      <c r="E24" s="104">
        <f>SQRT((D20*(D19+20)/D21)*LN(1+(G15-G14)/(D19+G14)))</f>
        <v>79.138103531221844</v>
      </c>
      <c r="F24" s="5"/>
      <c r="G24" s="5"/>
      <c r="H24" s="5"/>
      <c r="I24" s="6"/>
    </row>
    <row r="25" spans="1:9" x14ac:dyDescent="0.3">
      <c r="A25" s="8"/>
      <c r="B25" s="9"/>
      <c r="C25" s="101"/>
      <c r="D25" s="101"/>
      <c r="E25" s="104"/>
      <c r="F25" s="5"/>
      <c r="G25" s="5"/>
      <c r="H25" s="5"/>
      <c r="I25" s="6"/>
    </row>
    <row r="26" spans="1:9" ht="15.6" x14ac:dyDescent="0.3">
      <c r="A26" s="76" t="s">
        <v>28</v>
      </c>
      <c r="B26" s="77"/>
      <c r="C26" s="77"/>
      <c r="D26" s="77"/>
      <c r="E26" s="77"/>
      <c r="F26" s="77"/>
      <c r="G26" s="77"/>
      <c r="H26" s="77"/>
      <c r="I26" s="78"/>
    </row>
    <row r="27" spans="1:9" x14ac:dyDescent="0.3">
      <c r="A27" s="4"/>
      <c r="B27" t="s">
        <v>122</v>
      </c>
      <c r="F27" s="2">
        <v>80</v>
      </c>
      <c r="G27" s="2" t="s">
        <v>27</v>
      </c>
      <c r="I27" s="3"/>
    </row>
    <row r="28" spans="1:9" x14ac:dyDescent="0.3">
      <c r="A28" s="4"/>
      <c r="B28" t="s">
        <v>29</v>
      </c>
      <c r="F28" s="2">
        <v>9.14</v>
      </c>
      <c r="G28" s="2" t="s">
        <v>31</v>
      </c>
      <c r="I28" s="3"/>
    </row>
    <row r="29" spans="1:9" x14ac:dyDescent="0.3">
      <c r="A29" s="4"/>
      <c r="B29" t="s">
        <v>121</v>
      </c>
      <c r="F29" s="2">
        <f>F28*F27</f>
        <v>731.2</v>
      </c>
      <c r="G29" s="2" t="s">
        <v>31</v>
      </c>
      <c r="I29" s="3"/>
    </row>
    <row r="30" spans="1:9" x14ac:dyDescent="0.3">
      <c r="A30" s="4"/>
      <c r="B30" t="s">
        <v>30</v>
      </c>
      <c r="F30" s="30">
        <f>F29*1.25</f>
        <v>914</v>
      </c>
      <c r="G30" s="2" t="s">
        <v>31</v>
      </c>
      <c r="I30" s="3"/>
    </row>
    <row r="31" spans="1:9" x14ac:dyDescent="0.3">
      <c r="A31" s="4"/>
      <c r="B31" t="s">
        <v>43</v>
      </c>
      <c r="F31" s="30">
        <f>F30*1.25</f>
        <v>1142.5</v>
      </c>
      <c r="G31" s="2" t="s">
        <v>31</v>
      </c>
      <c r="I31" s="3"/>
    </row>
    <row r="32" spans="1:9" x14ac:dyDescent="0.3">
      <c r="A32" s="8"/>
      <c r="B32" s="9"/>
      <c r="C32" s="9"/>
      <c r="D32" s="44"/>
      <c r="E32" s="5"/>
      <c r="F32" s="5"/>
      <c r="G32" s="42"/>
      <c r="H32" s="5"/>
      <c r="I32" s="6"/>
    </row>
    <row r="33" spans="1:9" x14ac:dyDescent="0.3">
      <c r="A33" s="105" t="s">
        <v>32</v>
      </c>
      <c r="B33" s="101"/>
      <c r="C33" s="101"/>
      <c r="D33" s="101"/>
      <c r="E33" s="101"/>
      <c r="F33" s="101"/>
      <c r="G33" s="101"/>
      <c r="H33" s="101"/>
      <c r="I33" s="106"/>
    </row>
    <row r="34" spans="1:9" x14ac:dyDescent="0.3">
      <c r="A34" s="8"/>
      <c r="B34" s="101" t="s">
        <v>39</v>
      </c>
      <c r="C34" s="101"/>
      <c r="D34" s="101"/>
      <c r="E34" s="102">
        <f>(E37*SQRT(E38))/E39</f>
        <v>14.436787704285292</v>
      </c>
      <c r="F34" s="103" t="s">
        <v>41</v>
      </c>
      <c r="G34" s="5"/>
      <c r="H34" s="5"/>
      <c r="I34" s="6"/>
    </row>
    <row r="35" spans="1:9" x14ac:dyDescent="0.3">
      <c r="A35" s="8"/>
      <c r="B35" s="101"/>
      <c r="C35" s="101"/>
      <c r="D35" s="101"/>
      <c r="E35" s="102"/>
      <c r="F35" s="103"/>
      <c r="G35" s="5"/>
      <c r="H35" s="5"/>
      <c r="I35" s="6"/>
    </row>
    <row r="36" spans="1:9" x14ac:dyDescent="0.3">
      <c r="A36" s="4" t="s">
        <v>8</v>
      </c>
      <c r="B36" s="13"/>
      <c r="C36" s="20"/>
      <c r="I36" s="3"/>
    </row>
    <row r="37" spans="1:9" x14ac:dyDescent="0.3">
      <c r="A37" s="4"/>
      <c r="B37" s="19" t="s">
        <v>33</v>
      </c>
      <c r="C37" s="20" t="s">
        <v>36</v>
      </c>
      <c r="E37" s="30">
        <f>F31</f>
        <v>1142.5</v>
      </c>
      <c r="F37" s="2" t="s">
        <v>2</v>
      </c>
      <c r="I37" s="3"/>
    </row>
    <row r="38" spans="1:9" x14ac:dyDescent="0.3">
      <c r="A38" s="4"/>
      <c r="B38" s="13" t="s">
        <v>34</v>
      </c>
      <c r="C38" t="s">
        <v>37</v>
      </c>
      <c r="E38" s="2">
        <v>1</v>
      </c>
      <c r="F38" s="2" t="s">
        <v>42</v>
      </c>
      <c r="I38" s="3"/>
    </row>
    <row r="39" spans="1:9" x14ac:dyDescent="0.3">
      <c r="A39" s="4"/>
      <c r="B39" s="13" t="s">
        <v>35</v>
      </c>
      <c r="C39" t="s">
        <v>38</v>
      </c>
      <c r="E39" s="30">
        <f>E24</f>
        <v>79.138103531221844</v>
      </c>
      <c r="F39" s="2"/>
      <c r="I39" s="3"/>
    </row>
    <row r="40" spans="1:9" x14ac:dyDescent="0.3">
      <c r="A40" s="26" t="s">
        <v>47</v>
      </c>
      <c r="B40" s="27"/>
      <c r="C40" s="27"/>
      <c r="D40" s="27"/>
      <c r="E40" s="28" t="s">
        <v>40</v>
      </c>
      <c r="F40" s="28" t="s">
        <v>41</v>
      </c>
      <c r="G40" s="27"/>
      <c r="H40" s="27"/>
      <c r="I40" s="29"/>
    </row>
    <row r="41" spans="1:9" ht="15.6" x14ac:dyDescent="0.3">
      <c r="A41" s="76" t="s">
        <v>44</v>
      </c>
      <c r="B41" s="77"/>
      <c r="C41" s="77"/>
      <c r="D41" s="77"/>
      <c r="E41" s="77"/>
      <c r="F41" s="77"/>
      <c r="G41" s="77"/>
      <c r="H41" s="77"/>
      <c r="I41" s="78"/>
    </row>
    <row r="42" spans="1:9" ht="15.6" x14ac:dyDescent="0.3">
      <c r="A42" s="107" t="s">
        <v>100</v>
      </c>
      <c r="B42" s="108"/>
      <c r="C42" s="108"/>
      <c r="D42" s="108"/>
      <c r="E42" s="108"/>
      <c r="F42" s="108"/>
      <c r="G42" s="108"/>
      <c r="H42" s="108"/>
      <c r="I42" s="109"/>
    </row>
    <row r="43" spans="1:9" ht="15.6" x14ac:dyDescent="0.3">
      <c r="A43" s="107" t="s">
        <v>101</v>
      </c>
      <c r="B43" s="108"/>
      <c r="C43" s="108"/>
      <c r="D43" s="108"/>
      <c r="E43" s="108"/>
      <c r="F43" s="108"/>
      <c r="G43" s="108"/>
      <c r="H43" s="108"/>
      <c r="I43" s="109"/>
    </row>
    <row r="44" spans="1:9" ht="15.6" x14ac:dyDescent="0.3">
      <c r="A44" s="67" t="s">
        <v>102</v>
      </c>
      <c r="B44" s="68"/>
      <c r="C44" s="68"/>
      <c r="D44" s="68"/>
      <c r="E44" s="68"/>
      <c r="F44" s="68"/>
      <c r="G44" s="68"/>
      <c r="H44" s="68"/>
      <c r="I44" s="69"/>
    </row>
    <row r="45" spans="1:9" ht="15.6" x14ac:dyDescent="0.3">
      <c r="A45" s="67" t="s">
        <v>108</v>
      </c>
      <c r="B45" s="68"/>
      <c r="C45" s="68"/>
      <c r="D45" s="68"/>
      <c r="E45" s="68"/>
      <c r="F45" s="68"/>
      <c r="G45" s="68"/>
      <c r="H45" s="68"/>
      <c r="I45" s="69"/>
    </row>
    <row r="46" spans="1:9" ht="16.2" thickBot="1" x14ac:dyDescent="0.35">
      <c r="A46" s="67"/>
      <c r="B46" s="68"/>
      <c r="C46" s="68"/>
      <c r="D46" s="110" t="s">
        <v>107</v>
      </c>
      <c r="E46" s="111" t="s">
        <v>103</v>
      </c>
      <c r="F46" s="111"/>
      <c r="G46" s="68"/>
      <c r="H46" s="68"/>
      <c r="I46" s="69"/>
    </row>
    <row r="47" spans="1:9" ht="15.6" x14ac:dyDescent="0.3">
      <c r="A47" s="67"/>
      <c r="B47" s="68"/>
      <c r="C47" s="68"/>
      <c r="D47" s="110"/>
      <c r="E47" s="112" t="s">
        <v>110</v>
      </c>
      <c r="F47" s="112"/>
      <c r="G47" s="68"/>
      <c r="H47" s="68"/>
      <c r="I47" s="69"/>
    </row>
    <row r="48" spans="1:9" ht="16.2" thickBot="1" x14ac:dyDescent="0.35">
      <c r="A48" s="67"/>
      <c r="B48" s="68"/>
      <c r="C48" s="68"/>
      <c r="D48" s="110" t="s">
        <v>107</v>
      </c>
      <c r="E48" s="111" t="s">
        <v>114</v>
      </c>
      <c r="F48" s="111"/>
      <c r="G48" s="68"/>
      <c r="H48" s="68"/>
      <c r="I48" s="69"/>
    </row>
    <row r="49" spans="1:9" ht="15.6" x14ac:dyDescent="0.3">
      <c r="A49" s="67"/>
      <c r="B49" s="68"/>
      <c r="C49" s="68"/>
      <c r="D49" s="110"/>
      <c r="E49" s="112" t="s">
        <v>115</v>
      </c>
      <c r="F49" s="112"/>
      <c r="G49" s="68"/>
      <c r="H49" s="68"/>
      <c r="I49" s="69"/>
    </row>
    <row r="50" spans="1:9" ht="15.6" x14ac:dyDescent="0.3">
      <c r="A50" s="67"/>
      <c r="B50" s="68"/>
      <c r="C50" s="68"/>
      <c r="D50" s="110" t="s">
        <v>107</v>
      </c>
      <c r="E50" s="113">
        <f>1000000/(1.732*415*0.05)</f>
        <v>27824.925568324106</v>
      </c>
      <c r="F50" s="114" t="s">
        <v>2</v>
      </c>
      <c r="G50" s="68"/>
      <c r="H50" s="68"/>
      <c r="I50" s="69"/>
    </row>
    <row r="51" spans="1:9" ht="15.6" x14ac:dyDescent="0.3">
      <c r="A51" s="67"/>
      <c r="B51" s="68"/>
      <c r="C51" s="68"/>
      <c r="D51" s="110"/>
      <c r="E51" s="113"/>
      <c r="F51" s="114"/>
      <c r="G51" s="68"/>
      <c r="H51" s="68"/>
      <c r="I51" s="69"/>
    </row>
    <row r="52" spans="1:9" ht="15.6" x14ac:dyDescent="0.3">
      <c r="A52" s="67" t="s">
        <v>8</v>
      </c>
      <c r="B52" s="68"/>
      <c r="C52" s="68"/>
      <c r="D52" s="74"/>
      <c r="E52" s="70"/>
      <c r="F52" s="74"/>
      <c r="G52" s="68"/>
      <c r="H52" s="68"/>
      <c r="I52" s="69"/>
    </row>
    <row r="53" spans="1:9" ht="15.6" x14ac:dyDescent="0.3">
      <c r="A53" s="67"/>
      <c r="B53" s="68"/>
      <c r="C53" s="68"/>
      <c r="D53" s="68" t="s">
        <v>113</v>
      </c>
      <c r="E53" s="68" t="s">
        <v>104</v>
      </c>
      <c r="F53" s="68"/>
      <c r="G53" s="68"/>
      <c r="H53" s="68"/>
      <c r="I53" s="69"/>
    </row>
    <row r="54" spans="1:9" ht="15.6" x14ac:dyDescent="0.3">
      <c r="A54" s="67"/>
      <c r="B54" s="68"/>
      <c r="C54" s="68"/>
      <c r="D54" s="68" t="s">
        <v>111</v>
      </c>
      <c r="E54" s="68" t="s">
        <v>106</v>
      </c>
      <c r="F54" s="68"/>
      <c r="G54" s="68"/>
      <c r="H54" s="68"/>
      <c r="I54" s="69"/>
    </row>
    <row r="55" spans="1:9" ht="15.6" x14ac:dyDescent="0.3">
      <c r="A55" s="67"/>
      <c r="B55" s="68"/>
      <c r="C55" s="68"/>
      <c r="D55" s="68" t="s">
        <v>112</v>
      </c>
      <c r="E55" s="68" t="s">
        <v>105</v>
      </c>
      <c r="F55" s="68"/>
      <c r="G55" s="68"/>
      <c r="H55" s="68"/>
      <c r="I55" s="69"/>
    </row>
    <row r="56" spans="1:9" ht="15.6" x14ac:dyDescent="0.3">
      <c r="A56" s="67"/>
      <c r="B56" s="68"/>
      <c r="C56" s="68"/>
      <c r="D56" s="68" t="s">
        <v>109</v>
      </c>
      <c r="E56" s="68" t="s">
        <v>123</v>
      </c>
      <c r="F56" s="68"/>
      <c r="G56" s="68"/>
      <c r="H56" s="68"/>
      <c r="I56" s="69"/>
    </row>
    <row r="57" spans="1:9" ht="15.6" x14ac:dyDescent="0.3">
      <c r="A57" s="67"/>
      <c r="B57" s="68"/>
      <c r="C57" s="68"/>
      <c r="D57" s="68"/>
      <c r="E57" s="68"/>
      <c r="F57" s="68"/>
      <c r="G57" s="68"/>
      <c r="H57" s="68"/>
      <c r="I57" s="69"/>
    </row>
    <row r="58" spans="1:9" ht="15.6" x14ac:dyDescent="0.3">
      <c r="A58" s="67" t="s">
        <v>120</v>
      </c>
      <c r="B58" s="68"/>
      <c r="C58" s="68"/>
      <c r="D58" s="68"/>
      <c r="E58" s="68"/>
      <c r="F58" s="68"/>
      <c r="G58" s="68"/>
      <c r="H58" s="68"/>
      <c r="I58" s="69"/>
    </row>
    <row r="59" spans="1:9" x14ac:dyDescent="0.3">
      <c r="A59" s="4"/>
      <c r="B59" t="s">
        <v>45</v>
      </c>
      <c r="F59" s="2">
        <v>16</v>
      </c>
      <c r="G59" s="2" t="s">
        <v>27</v>
      </c>
      <c r="I59" s="3"/>
    </row>
    <row r="60" spans="1:9" x14ac:dyDescent="0.3">
      <c r="A60" s="4"/>
      <c r="B60" t="s">
        <v>46</v>
      </c>
      <c r="F60" s="2">
        <v>36.200000000000003</v>
      </c>
      <c r="G60" s="2" t="s">
        <v>31</v>
      </c>
      <c r="I60" s="3"/>
    </row>
    <row r="61" spans="1:9" x14ac:dyDescent="0.3">
      <c r="A61" s="4"/>
      <c r="B61" t="s">
        <v>121</v>
      </c>
      <c r="F61" s="2">
        <f>(F60*F59)*1.25</f>
        <v>724</v>
      </c>
      <c r="G61" s="2" t="s">
        <v>31</v>
      </c>
      <c r="I61" s="3"/>
    </row>
    <row r="62" spans="1:9" x14ac:dyDescent="0.3">
      <c r="A62" s="4"/>
      <c r="B62" t="s">
        <v>30</v>
      </c>
      <c r="F62" s="30">
        <f>F61*1.25</f>
        <v>905</v>
      </c>
      <c r="G62" s="2" t="s">
        <v>31</v>
      </c>
      <c r="I62" s="3"/>
    </row>
    <row r="63" spans="1:9" x14ac:dyDescent="0.3">
      <c r="A63" s="4"/>
      <c r="B63" t="s">
        <v>43</v>
      </c>
      <c r="F63" s="30">
        <f>F62*1.25</f>
        <v>1131.25</v>
      </c>
      <c r="G63" s="2" t="s">
        <v>31</v>
      </c>
      <c r="I63" s="3"/>
    </row>
    <row r="64" spans="1:9" x14ac:dyDescent="0.3">
      <c r="A64" s="8"/>
      <c r="B64" s="9"/>
      <c r="C64" s="9"/>
      <c r="D64" s="44"/>
      <c r="E64" s="5"/>
      <c r="F64" s="5"/>
      <c r="G64" s="42"/>
      <c r="H64" s="5"/>
      <c r="I64" s="6"/>
    </row>
    <row r="65" spans="1:9" x14ac:dyDescent="0.3">
      <c r="A65" s="105" t="s">
        <v>32</v>
      </c>
      <c r="B65" s="101"/>
      <c r="C65" s="101"/>
      <c r="D65" s="101"/>
      <c r="E65" s="101"/>
      <c r="F65" s="101"/>
      <c r="G65" s="101"/>
      <c r="H65" s="101"/>
      <c r="I65" s="106"/>
    </row>
    <row r="66" spans="1:9" x14ac:dyDescent="0.3">
      <c r="A66" s="8"/>
      <c r="B66" s="101" t="s">
        <v>39</v>
      </c>
      <c r="C66" s="101"/>
      <c r="D66" s="101"/>
      <c r="E66" s="102">
        <f>(F69*SQRT(F70))/F71</f>
        <v>365.89423142924085</v>
      </c>
      <c r="F66" s="103" t="s">
        <v>41</v>
      </c>
      <c r="G66" s="5"/>
      <c r="H66" s="5"/>
      <c r="I66" s="6"/>
    </row>
    <row r="67" spans="1:9" x14ac:dyDescent="0.3">
      <c r="A67" s="8"/>
      <c r="B67" s="101"/>
      <c r="C67" s="101"/>
      <c r="D67" s="101"/>
      <c r="E67" s="102"/>
      <c r="F67" s="103"/>
      <c r="G67" s="5"/>
      <c r="H67" s="5"/>
      <c r="I67" s="6"/>
    </row>
    <row r="68" spans="1:9" x14ac:dyDescent="0.3">
      <c r="A68" s="4" t="s">
        <v>8</v>
      </c>
      <c r="B68" s="13"/>
      <c r="C68" s="20"/>
      <c r="F68" s="2"/>
      <c r="I68" s="3"/>
    </row>
    <row r="69" spans="1:9" x14ac:dyDescent="0.3">
      <c r="A69" s="4"/>
      <c r="B69" s="19" t="s">
        <v>33</v>
      </c>
      <c r="C69" s="20" t="s">
        <v>116</v>
      </c>
      <c r="E69" s="30"/>
      <c r="F69" s="30">
        <f>F63+E50</f>
        <v>28956.175568324106</v>
      </c>
      <c r="G69" s="2" t="s">
        <v>2</v>
      </c>
      <c r="I69" s="3"/>
    </row>
    <row r="70" spans="1:9" x14ac:dyDescent="0.3">
      <c r="A70" s="4"/>
      <c r="B70" s="13" t="s">
        <v>34</v>
      </c>
      <c r="C70" t="s">
        <v>37</v>
      </c>
      <c r="E70" s="2"/>
      <c r="F70" s="2">
        <v>1</v>
      </c>
      <c r="G70" s="2" t="s">
        <v>42</v>
      </c>
      <c r="I70" s="3"/>
    </row>
    <row r="71" spans="1:9" x14ac:dyDescent="0.3">
      <c r="A71" s="4"/>
      <c r="B71" s="13" t="s">
        <v>35</v>
      </c>
      <c r="C71" t="s">
        <v>38</v>
      </c>
      <c r="E71" s="30"/>
      <c r="F71" s="30">
        <f>E24</f>
        <v>79.138103531221844</v>
      </c>
      <c r="I71" s="3"/>
    </row>
    <row r="72" spans="1:9" x14ac:dyDescent="0.3">
      <c r="A72" s="98" t="s">
        <v>119</v>
      </c>
      <c r="B72" s="99"/>
      <c r="C72" s="99"/>
      <c r="D72" s="99"/>
      <c r="E72" s="99"/>
      <c r="F72" s="99"/>
      <c r="G72" s="99"/>
      <c r="H72" s="99"/>
      <c r="I72" s="100"/>
    </row>
    <row r="73" spans="1:9" x14ac:dyDescent="0.3">
      <c r="A73" s="98" t="s">
        <v>118</v>
      </c>
      <c r="B73" s="99"/>
      <c r="C73" s="99"/>
      <c r="D73" s="99"/>
      <c r="E73" s="99"/>
      <c r="F73" s="99"/>
      <c r="G73" s="99"/>
      <c r="H73" s="99"/>
      <c r="I73" s="100"/>
    </row>
    <row r="74" spans="1:9" x14ac:dyDescent="0.3">
      <c r="A74" s="26" t="s">
        <v>47</v>
      </c>
      <c r="B74" s="27"/>
      <c r="C74" s="27"/>
      <c r="D74" s="27"/>
      <c r="E74" s="28" t="s">
        <v>117</v>
      </c>
      <c r="F74" s="28" t="s">
        <v>41</v>
      </c>
      <c r="G74" s="27"/>
      <c r="H74" s="27"/>
      <c r="I74" s="29"/>
    </row>
    <row r="82" spans="14:22" ht="15.6" x14ac:dyDescent="0.3">
      <c r="N82" s="68"/>
      <c r="O82" s="68"/>
      <c r="P82" s="68"/>
      <c r="Q82" s="68"/>
      <c r="R82" s="68"/>
      <c r="S82" s="68"/>
      <c r="T82" s="68"/>
      <c r="U82" s="68"/>
      <c r="V82" s="68"/>
    </row>
    <row r="83" spans="14:22" ht="15.6" x14ac:dyDescent="0.3">
      <c r="N83" s="68"/>
      <c r="O83" s="68"/>
      <c r="P83" s="68"/>
      <c r="Q83" s="68"/>
      <c r="R83" s="68"/>
      <c r="S83" s="68"/>
      <c r="T83" s="68"/>
      <c r="U83" s="68"/>
      <c r="V83" s="68"/>
    </row>
    <row r="84" spans="14:22" ht="15.6" x14ac:dyDescent="0.3">
      <c r="N84" s="68"/>
      <c r="O84" s="68"/>
      <c r="P84" s="68"/>
      <c r="Q84" s="68"/>
      <c r="R84" s="68"/>
      <c r="S84" s="68"/>
      <c r="T84" s="68"/>
      <c r="U84" s="68"/>
      <c r="V84" s="68"/>
    </row>
    <row r="85" spans="14:22" ht="15.6" x14ac:dyDescent="0.3">
      <c r="N85" s="68"/>
      <c r="O85" s="68"/>
      <c r="P85" s="68"/>
      <c r="Q85" s="68"/>
      <c r="R85" s="68"/>
      <c r="S85" s="68"/>
      <c r="T85" s="68"/>
      <c r="U85" s="68"/>
      <c r="V85" s="68"/>
    </row>
    <row r="86" spans="14:22" ht="15.6" x14ac:dyDescent="0.3">
      <c r="N86" s="68"/>
      <c r="O86" s="68"/>
      <c r="P86" s="68"/>
      <c r="Q86" s="74"/>
      <c r="R86" s="70"/>
      <c r="S86" s="73"/>
      <c r="T86" s="68"/>
      <c r="U86" s="68"/>
      <c r="V86" s="68"/>
    </row>
    <row r="87" spans="14:22" ht="15.6" x14ac:dyDescent="0.3">
      <c r="N87" s="68"/>
      <c r="O87" s="68"/>
      <c r="P87" s="68"/>
      <c r="Q87" s="74"/>
      <c r="R87" s="70"/>
      <c r="S87" s="73"/>
      <c r="T87" s="68"/>
      <c r="U87" s="68"/>
      <c r="V87" s="68"/>
    </row>
    <row r="88" spans="14:22" ht="15.6" x14ac:dyDescent="0.3">
      <c r="N88" s="68"/>
      <c r="O88" s="68"/>
      <c r="P88" s="68"/>
      <c r="Q88" s="74"/>
      <c r="R88" s="70"/>
      <c r="S88" s="74"/>
      <c r="T88" s="68"/>
      <c r="U88" s="68"/>
      <c r="V88" s="68"/>
    </row>
    <row r="89" spans="14:22" ht="15.6" x14ac:dyDescent="0.3">
      <c r="N89" s="68"/>
      <c r="O89" s="68"/>
      <c r="P89" s="68"/>
      <c r="Q89" s="74"/>
      <c r="R89" s="70"/>
      <c r="S89" s="74"/>
      <c r="T89" s="68"/>
      <c r="U89" s="68"/>
      <c r="V89" s="68"/>
    </row>
    <row r="90" spans="14:22" ht="15.6" x14ac:dyDescent="0.3">
      <c r="N90" s="68"/>
      <c r="O90" s="68"/>
      <c r="P90" s="68"/>
      <c r="Q90" s="70"/>
      <c r="R90" s="71"/>
      <c r="S90" s="72"/>
      <c r="T90" s="68"/>
      <c r="U90" s="68"/>
      <c r="V90" s="68"/>
    </row>
    <row r="91" spans="14:22" ht="15.6" x14ac:dyDescent="0.3">
      <c r="N91" s="68"/>
      <c r="O91" s="68"/>
      <c r="P91" s="68"/>
      <c r="Q91" s="68"/>
      <c r="R91" s="68"/>
      <c r="S91" s="68"/>
      <c r="T91" s="68"/>
      <c r="U91" s="68"/>
      <c r="V91" s="68"/>
    </row>
    <row r="92" spans="14:22" ht="15.6" x14ac:dyDescent="0.3">
      <c r="N92" s="68"/>
      <c r="O92" s="68"/>
      <c r="P92" s="68"/>
      <c r="Q92" s="68"/>
      <c r="R92" s="68"/>
      <c r="S92" s="68"/>
      <c r="T92" s="68"/>
      <c r="U92" s="68"/>
      <c r="V92" s="68"/>
    </row>
    <row r="93" spans="14:22" ht="15.6" x14ac:dyDescent="0.3">
      <c r="N93" s="68"/>
      <c r="O93" s="68"/>
      <c r="P93" s="68"/>
      <c r="Q93" s="68"/>
      <c r="R93" s="68"/>
      <c r="S93" s="68"/>
      <c r="T93" s="68"/>
      <c r="U93" s="68"/>
      <c r="V93" s="68"/>
    </row>
    <row r="94" spans="14:22" ht="15.6" x14ac:dyDescent="0.3">
      <c r="N94" s="68"/>
      <c r="O94" s="68"/>
      <c r="P94" s="68"/>
      <c r="Q94" s="68"/>
      <c r="R94" s="68"/>
      <c r="S94" s="68"/>
      <c r="T94" s="68"/>
      <c r="U94" s="68"/>
      <c r="V94" s="68"/>
    </row>
  </sheetData>
  <mergeCells count="31">
    <mergeCell ref="A42:I42"/>
    <mergeCell ref="A43:I43"/>
    <mergeCell ref="A65:I65"/>
    <mergeCell ref="B66:D67"/>
    <mergeCell ref="E66:E67"/>
    <mergeCell ref="F66:F67"/>
    <mergeCell ref="D46:D47"/>
    <mergeCell ref="D48:D49"/>
    <mergeCell ref="D50:D51"/>
    <mergeCell ref="E46:F46"/>
    <mergeCell ref="E47:F47"/>
    <mergeCell ref="E48:F48"/>
    <mergeCell ref="E49:F49"/>
    <mergeCell ref="E50:E51"/>
    <mergeCell ref="F50:F51"/>
    <mergeCell ref="A73:I73"/>
    <mergeCell ref="A72:I72"/>
    <mergeCell ref="A1:I2"/>
    <mergeCell ref="A3:B3"/>
    <mergeCell ref="C3:I3"/>
    <mergeCell ref="A4:B4"/>
    <mergeCell ref="C4:I4"/>
    <mergeCell ref="B34:D35"/>
    <mergeCell ref="E34:E35"/>
    <mergeCell ref="F34:F35"/>
    <mergeCell ref="C24:C25"/>
    <mergeCell ref="D24:D25"/>
    <mergeCell ref="E24:E25"/>
    <mergeCell ref="A26:I26"/>
    <mergeCell ref="A33:I33"/>
    <mergeCell ref="A41:I41"/>
  </mergeCells>
  <pageMargins left="0.7" right="0.7" top="0.75" bottom="0.75" header="0.3" footer="0.3"/>
  <pageSetup paperSize="9" scale="85" orientation="portrait" r:id="rId1"/>
  <rowBreaks count="1" manualBreakCount="1">
    <brk id="40" max="8" man="1"/>
  </rowBreaks>
  <colBreaks count="1" manualBreakCount="1">
    <brk id="9" max="7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4"/>
  <sheetViews>
    <sheetView workbookViewId="0">
      <selection activeCell="L20" sqref="L20"/>
    </sheetView>
  </sheetViews>
  <sheetFormatPr defaultRowHeight="14.4" x14ac:dyDescent="0.3"/>
  <cols>
    <col min="4" max="4" width="12.109375" bestFit="1" customWidth="1"/>
    <col min="5" max="6" width="17.5546875" bestFit="1" customWidth="1"/>
    <col min="7" max="7" width="9.33203125" bestFit="1" customWidth="1"/>
  </cols>
  <sheetData>
    <row r="1" spans="1:9" x14ac:dyDescent="0.3">
      <c r="A1" s="86" t="s">
        <v>3</v>
      </c>
      <c r="B1" s="87"/>
      <c r="C1" s="87"/>
      <c r="D1" s="87"/>
      <c r="E1" s="87"/>
      <c r="F1" s="87"/>
      <c r="G1" s="87"/>
      <c r="H1" s="87"/>
      <c r="I1" s="88"/>
    </row>
    <row r="2" spans="1:9" x14ac:dyDescent="0.3">
      <c r="A2" s="89"/>
      <c r="B2" s="90"/>
      <c r="C2" s="90"/>
      <c r="D2" s="90"/>
      <c r="E2" s="90"/>
      <c r="F2" s="90"/>
      <c r="G2" s="90"/>
      <c r="H2" s="90"/>
      <c r="I2" s="91"/>
    </row>
    <row r="3" spans="1:9" x14ac:dyDescent="0.3">
      <c r="A3" s="92" t="s">
        <v>0</v>
      </c>
      <c r="B3" s="93"/>
      <c r="C3" s="94" t="s">
        <v>124</v>
      </c>
      <c r="D3" s="94"/>
      <c r="E3" s="94"/>
      <c r="F3" s="94"/>
      <c r="G3" s="94"/>
      <c r="H3" s="94"/>
      <c r="I3" s="95"/>
    </row>
    <row r="4" spans="1:9" x14ac:dyDescent="0.3">
      <c r="A4" s="92" t="s">
        <v>1</v>
      </c>
      <c r="B4" s="93"/>
      <c r="C4" s="96"/>
      <c r="D4" s="96"/>
      <c r="E4" s="96"/>
      <c r="F4" s="96"/>
      <c r="G4" s="96"/>
      <c r="H4" s="96"/>
      <c r="I4" s="97"/>
    </row>
    <row r="5" spans="1:9" x14ac:dyDescent="0.3">
      <c r="A5" s="18" t="s">
        <v>4</v>
      </c>
      <c r="B5" s="15"/>
      <c r="C5" s="16"/>
      <c r="D5" s="16"/>
      <c r="E5" s="16"/>
      <c r="F5" s="16"/>
      <c r="G5" s="16"/>
      <c r="H5" s="16"/>
      <c r="I5" s="17"/>
    </row>
    <row r="6" spans="1:9" x14ac:dyDescent="0.3">
      <c r="A6" s="14" t="s">
        <v>5</v>
      </c>
      <c r="B6" s="15"/>
      <c r="C6" s="16"/>
      <c r="D6" s="16"/>
      <c r="E6" s="16"/>
      <c r="F6" s="16"/>
      <c r="G6" s="16"/>
      <c r="H6" s="16"/>
      <c r="I6" s="17"/>
    </row>
    <row r="7" spans="1:9" x14ac:dyDescent="0.3">
      <c r="A7" s="8"/>
      <c r="B7" s="9"/>
      <c r="C7" s="9"/>
      <c r="D7" s="44"/>
      <c r="E7" s="5"/>
      <c r="F7" s="5"/>
      <c r="G7" s="42"/>
      <c r="H7" s="5"/>
      <c r="I7" s="6"/>
    </row>
    <row r="8" spans="1:9" x14ac:dyDescent="0.3">
      <c r="A8" s="8"/>
      <c r="B8" s="9" t="s">
        <v>6</v>
      </c>
      <c r="C8" s="9" t="s">
        <v>7</v>
      </c>
      <c r="D8" s="44"/>
      <c r="E8" s="5"/>
      <c r="F8" s="5"/>
      <c r="G8" s="42"/>
      <c r="H8" s="5"/>
      <c r="I8" s="6"/>
    </row>
    <row r="9" spans="1:9" x14ac:dyDescent="0.3">
      <c r="A9" s="8"/>
      <c r="B9" s="9"/>
      <c r="C9" s="9"/>
      <c r="D9" s="44"/>
      <c r="E9" s="5"/>
      <c r="F9" s="5"/>
      <c r="G9" s="5"/>
      <c r="H9" s="5"/>
      <c r="I9" s="6"/>
    </row>
    <row r="10" spans="1:9" x14ac:dyDescent="0.3">
      <c r="A10" s="4" t="s">
        <v>8</v>
      </c>
      <c r="B10" s="7"/>
      <c r="C10" s="7"/>
      <c r="D10" s="43"/>
      <c r="E10" s="7"/>
      <c r="F10" s="7"/>
      <c r="G10" s="7"/>
      <c r="I10" s="3"/>
    </row>
    <row r="11" spans="1:9" x14ac:dyDescent="0.3">
      <c r="A11" s="21" t="s">
        <v>9</v>
      </c>
      <c r="B11" t="s">
        <v>48</v>
      </c>
      <c r="C11" s="7"/>
      <c r="D11" s="43"/>
      <c r="E11" s="7"/>
      <c r="F11" s="7"/>
      <c r="G11" s="7"/>
      <c r="I11" s="3"/>
    </row>
    <row r="12" spans="1:9" x14ac:dyDescent="0.3">
      <c r="A12" s="21" t="s">
        <v>10</v>
      </c>
      <c r="B12" t="s">
        <v>23</v>
      </c>
      <c r="I12" s="3"/>
    </row>
    <row r="13" spans="1:9" x14ac:dyDescent="0.3">
      <c r="A13" s="21" t="s">
        <v>11</v>
      </c>
      <c r="B13" t="s">
        <v>49</v>
      </c>
      <c r="I13" s="3"/>
    </row>
    <row r="14" spans="1:9" x14ac:dyDescent="0.3">
      <c r="A14" s="21" t="s">
        <v>13</v>
      </c>
      <c r="B14" t="s">
        <v>24</v>
      </c>
      <c r="G14" s="2">
        <v>50</v>
      </c>
      <c r="I14" s="3"/>
    </row>
    <row r="15" spans="1:9" x14ac:dyDescent="0.3">
      <c r="A15" s="21" t="s">
        <v>12</v>
      </c>
      <c r="B15" t="s">
        <v>25</v>
      </c>
      <c r="G15" s="2">
        <v>500</v>
      </c>
      <c r="I15" s="3"/>
    </row>
    <row r="16" spans="1:9" x14ac:dyDescent="0.3">
      <c r="A16" s="4"/>
      <c r="I16" s="3"/>
    </row>
    <row r="17" spans="1:9" x14ac:dyDescent="0.3">
      <c r="A17" s="22" t="s">
        <v>14</v>
      </c>
      <c r="B17" s="23"/>
      <c r="C17" s="23"/>
      <c r="D17" s="23"/>
      <c r="E17" s="23"/>
      <c r="F17" s="24"/>
      <c r="G17" s="24"/>
      <c r="H17" s="24"/>
      <c r="I17" s="25"/>
    </row>
    <row r="18" spans="1:9" ht="15.6" x14ac:dyDescent="0.3">
      <c r="A18" s="4"/>
      <c r="C18" s="11"/>
      <c r="D18" s="11" t="s">
        <v>15</v>
      </c>
      <c r="E18" s="11" t="s">
        <v>16</v>
      </c>
      <c r="F18" s="11" t="s">
        <v>17</v>
      </c>
      <c r="I18" s="3"/>
    </row>
    <row r="19" spans="1:9" ht="15.6" x14ac:dyDescent="0.3">
      <c r="A19" s="4"/>
      <c r="C19" s="12" t="s">
        <v>18</v>
      </c>
      <c r="D19" s="11">
        <v>202</v>
      </c>
      <c r="E19" s="11">
        <v>228</v>
      </c>
      <c r="F19" s="11">
        <v>234.5</v>
      </c>
      <c r="I19" s="3"/>
    </row>
    <row r="20" spans="1:9" ht="15.6" x14ac:dyDescent="0.3">
      <c r="A20" s="4"/>
      <c r="C20" s="11" t="s">
        <v>19</v>
      </c>
      <c r="D20" s="11">
        <v>3.8E-3</v>
      </c>
      <c r="E20" s="11">
        <v>2.5000000000000001E-3</v>
      </c>
      <c r="F20" s="11">
        <v>3.4499999999999999E-3</v>
      </c>
      <c r="I20" s="3"/>
    </row>
    <row r="21" spans="1:9" ht="15.6" x14ac:dyDescent="0.3">
      <c r="A21" s="4"/>
      <c r="C21" s="11" t="s">
        <v>20</v>
      </c>
      <c r="D21" s="11">
        <v>1.3799999999999999E-4</v>
      </c>
      <c r="E21" s="11">
        <v>2.8263999999999999E-5</v>
      </c>
      <c r="F21" s="11">
        <v>1.7241E-5</v>
      </c>
      <c r="I21" s="3"/>
    </row>
    <row r="22" spans="1:9" x14ac:dyDescent="0.3">
      <c r="A22" s="8" t="s">
        <v>21</v>
      </c>
      <c r="B22" s="9"/>
      <c r="C22" s="9"/>
      <c r="D22" s="44"/>
      <c r="E22" s="5"/>
      <c r="F22" s="5"/>
      <c r="G22" s="42"/>
      <c r="H22" s="5"/>
      <c r="I22" s="6"/>
    </row>
    <row r="23" spans="1:9" x14ac:dyDescent="0.3">
      <c r="A23" s="8"/>
      <c r="B23" s="9" t="s">
        <v>6</v>
      </c>
      <c r="C23" s="9" t="s">
        <v>22</v>
      </c>
      <c r="D23" s="44"/>
      <c r="E23" s="5"/>
      <c r="F23" s="5"/>
      <c r="G23" s="42"/>
      <c r="H23" s="5"/>
      <c r="I23" s="6"/>
    </row>
    <row r="24" spans="1:9" x14ac:dyDescent="0.3">
      <c r="A24" s="8"/>
      <c r="B24" s="9"/>
      <c r="C24" s="101"/>
      <c r="D24" s="101" t="s">
        <v>26</v>
      </c>
      <c r="E24" s="104">
        <f>SQRT((D20*(D19+20)/D21)*LN(1+(G15-G14)/(D19+G14)))</f>
        <v>79.138103531221844</v>
      </c>
      <c r="F24" s="5"/>
      <c r="G24" s="5"/>
      <c r="H24" s="5"/>
      <c r="I24" s="6"/>
    </row>
    <row r="25" spans="1:9" x14ac:dyDescent="0.3">
      <c r="A25" s="8"/>
      <c r="B25" s="9"/>
      <c r="C25" s="101"/>
      <c r="D25" s="101"/>
      <c r="E25" s="104"/>
      <c r="F25" s="5"/>
      <c r="G25" s="5"/>
      <c r="H25" s="5"/>
      <c r="I25" s="6"/>
    </row>
    <row r="26" spans="1:9" ht="15.6" x14ac:dyDescent="0.3">
      <c r="A26" s="76" t="s">
        <v>28</v>
      </c>
      <c r="B26" s="77"/>
      <c r="C26" s="77"/>
      <c r="D26" s="77"/>
      <c r="E26" s="77"/>
      <c r="F26" s="77"/>
      <c r="G26" s="77"/>
      <c r="H26" s="77"/>
      <c r="I26" s="78"/>
    </row>
    <row r="27" spans="1:9" x14ac:dyDescent="0.3">
      <c r="A27" s="4"/>
      <c r="B27" t="s">
        <v>122</v>
      </c>
      <c r="F27" s="2">
        <v>80</v>
      </c>
      <c r="G27" s="2" t="s">
        <v>27</v>
      </c>
      <c r="I27" s="3"/>
    </row>
    <row r="28" spans="1:9" x14ac:dyDescent="0.3">
      <c r="A28" s="4"/>
      <c r="B28" t="s">
        <v>29</v>
      </c>
      <c r="F28" s="2">
        <v>9.14</v>
      </c>
      <c r="G28" s="2" t="s">
        <v>31</v>
      </c>
      <c r="I28" s="3"/>
    </row>
    <row r="29" spans="1:9" x14ac:dyDescent="0.3">
      <c r="A29" s="4"/>
      <c r="B29" t="s">
        <v>121</v>
      </c>
      <c r="F29" s="2">
        <f>F28*F27</f>
        <v>731.2</v>
      </c>
      <c r="G29" s="2" t="s">
        <v>31</v>
      </c>
      <c r="I29" s="3"/>
    </row>
    <row r="30" spans="1:9" x14ac:dyDescent="0.3">
      <c r="A30" s="4"/>
      <c r="B30" t="s">
        <v>30</v>
      </c>
      <c r="F30" s="30">
        <f>F29*1.25</f>
        <v>914</v>
      </c>
      <c r="G30" s="2" t="s">
        <v>31</v>
      </c>
      <c r="I30" s="3"/>
    </row>
    <row r="31" spans="1:9" x14ac:dyDescent="0.3">
      <c r="A31" s="4"/>
      <c r="B31" t="s">
        <v>43</v>
      </c>
      <c r="F31" s="30">
        <f>F30*1.25</f>
        <v>1142.5</v>
      </c>
      <c r="G31" s="2" t="s">
        <v>31</v>
      </c>
      <c r="I31" s="3"/>
    </row>
    <row r="32" spans="1:9" x14ac:dyDescent="0.3">
      <c r="A32" s="8"/>
      <c r="B32" s="9"/>
      <c r="C32" s="9"/>
      <c r="D32" s="44"/>
      <c r="E32" s="5"/>
      <c r="F32" s="5"/>
      <c r="G32" s="42"/>
      <c r="H32" s="5"/>
      <c r="I32" s="6"/>
    </row>
    <row r="33" spans="1:9" x14ac:dyDescent="0.3">
      <c r="A33" s="105" t="s">
        <v>32</v>
      </c>
      <c r="B33" s="101"/>
      <c r="C33" s="101"/>
      <c r="D33" s="101"/>
      <c r="E33" s="101"/>
      <c r="F33" s="101"/>
      <c r="G33" s="101"/>
      <c r="H33" s="101"/>
      <c r="I33" s="106"/>
    </row>
    <row r="34" spans="1:9" x14ac:dyDescent="0.3">
      <c r="A34" s="8"/>
      <c r="B34" s="101" t="s">
        <v>39</v>
      </c>
      <c r="C34" s="101"/>
      <c r="D34" s="101"/>
      <c r="E34" s="102">
        <f>(E37*SQRT(E38))/E39</f>
        <v>14.436787704285292</v>
      </c>
      <c r="F34" s="103" t="s">
        <v>41</v>
      </c>
      <c r="G34" s="5"/>
      <c r="H34" s="5"/>
      <c r="I34" s="6"/>
    </row>
    <row r="35" spans="1:9" x14ac:dyDescent="0.3">
      <c r="A35" s="8"/>
      <c r="B35" s="101"/>
      <c r="C35" s="101"/>
      <c r="D35" s="101"/>
      <c r="E35" s="102"/>
      <c r="F35" s="103"/>
      <c r="G35" s="5"/>
      <c r="H35" s="5"/>
      <c r="I35" s="6"/>
    </row>
    <row r="36" spans="1:9" x14ac:dyDescent="0.3">
      <c r="A36" s="4" t="s">
        <v>8</v>
      </c>
      <c r="B36" s="13"/>
      <c r="C36" s="20"/>
      <c r="I36" s="3"/>
    </row>
    <row r="37" spans="1:9" x14ac:dyDescent="0.3">
      <c r="A37" s="4"/>
      <c r="B37" s="19" t="s">
        <v>33</v>
      </c>
      <c r="C37" s="20" t="s">
        <v>36</v>
      </c>
      <c r="E37" s="30">
        <f>F31</f>
        <v>1142.5</v>
      </c>
      <c r="F37" s="2" t="s">
        <v>2</v>
      </c>
      <c r="I37" s="3"/>
    </row>
    <row r="38" spans="1:9" x14ac:dyDescent="0.3">
      <c r="A38" s="4"/>
      <c r="B38" s="13" t="s">
        <v>34</v>
      </c>
      <c r="C38" t="s">
        <v>37</v>
      </c>
      <c r="E38" s="2">
        <v>1</v>
      </c>
      <c r="F38" s="2" t="s">
        <v>42</v>
      </c>
      <c r="I38" s="3"/>
    </row>
    <row r="39" spans="1:9" x14ac:dyDescent="0.3">
      <c r="A39" s="4"/>
      <c r="B39" s="13" t="s">
        <v>35</v>
      </c>
      <c r="C39" t="s">
        <v>38</v>
      </c>
      <c r="E39" s="30">
        <f>E24</f>
        <v>79.138103531221844</v>
      </c>
      <c r="F39" s="2"/>
      <c r="I39" s="3"/>
    </row>
    <row r="40" spans="1:9" x14ac:dyDescent="0.3">
      <c r="A40" s="26" t="s">
        <v>47</v>
      </c>
      <c r="B40" s="27"/>
      <c r="C40" s="27"/>
      <c r="D40" s="27"/>
      <c r="E40" s="28" t="s">
        <v>40</v>
      </c>
      <c r="F40" s="28" t="s">
        <v>41</v>
      </c>
      <c r="G40" s="27"/>
      <c r="H40" s="27"/>
      <c r="I40" s="29"/>
    </row>
    <row r="41" spans="1:9" ht="15.6" x14ac:dyDescent="0.3">
      <c r="A41" s="76" t="s">
        <v>44</v>
      </c>
      <c r="B41" s="77"/>
      <c r="C41" s="77"/>
      <c r="D41" s="77"/>
      <c r="E41" s="77"/>
      <c r="F41" s="77"/>
      <c r="G41" s="77"/>
      <c r="H41" s="77"/>
      <c r="I41" s="78"/>
    </row>
    <row r="42" spans="1:9" ht="15.6" x14ac:dyDescent="0.3">
      <c r="A42" s="107" t="s">
        <v>100</v>
      </c>
      <c r="B42" s="108"/>
      <c r="C42" s="108"/>
      <c r="D42" s="108"/>
      <c r="E42" s="108"/>
      <c r="F42" s="108"/>
      <c r="G42" s="108"/>
      <c r="H42" s="108"/>
      <c r="I42" s="109"/>
    </row>
    <row r="43" spans="1:9" ht="15.6" x14ac:dyDescent="0.3">
      <c r="A43" s="107" t="s">
        <v>101</v>
      </c>
      <c r="B43" s="108"/>
      <c r="C43" s="108"/>
      <c r="D43" s="108"/>
      <c r="E43" s="108"/>
      <c r="F43" s="108"/>
      <c r="G43" s="108"/>
      <c r="H43" s="108"/>
      <c r="I43" s="109"/>
    </row>
    <row r="44" spans="1:9" ht="15.6" x14ac:dyDescent="0.3">
      <c r="A44" s="67" t="s">
        <v>102</v>
      </c>
      <c r="B44" s="68"/>
      <c r="C44" s="68"/>
      <c r="D44" s="68"/>
      <c r="E44" s="68"/>
      <c r="F44" s="68"/>
      <c r="G44" s="68"/>
      <c r="H44" s="68"/>
      <c r="I44" s="69"/>
    </row>
    <row r="45" spans="1:9" ht="15.6" x14ac:dyDescent="0.3">
      <c r="A45" s="67" t="s">
        <v>108</v>
      </c>
      <c r="B45" s="68"/>
      <c r="C45" s="68"/>
      <c r="D45" s="68"/>
      <c r="E45" s="68"/>
      <c r="F45" s="68"/>
      <c r="G45" s="68"/>
      <c r="H45" s="68"/>
      <c r="I45" s="69"/>
    </row>
    <row r="46" spans="1:9" ht="16.2" thickBot="1" x14ac:dyDescent="0.35">
      <c r="A46" s="67"/>
      <c r="B46" s="68"/>
      <c r="C46" s="68"/>
      <c r="D46" s="110" t="s">
        <v>107</v>
      </c>
      <c r="E46" s="111" t="s">
        <v>103</v>
      </c>
      <c r="F46" s="111"/>
      <c r="G46" s="68"/>
      <c r="H46" s="68"/>
      <c r="I46" s="69"/>
    </row>
    <row r="47" spans="1:9" ht="15.6" x14ac:dyDescent="0.3">
      <c r="A47" s="67"/>
      <c r="B47" s="68"/>
      <c r="C47" s="68"/>
      <c r="D47" s="110"/>
      <c r="E47" s="112" t="s">
        <v>110</v>
      </c>
      <c r="F47" s="112"/>
      <c r="G47" s="68"/>
      <c r="H47" s="68"/>
      <c r="I47" s="69"/>
    </row>
    <row r="48" spans="1:9" ht="16.2" thickBot="1" x14ac:dyDescent="0.35">
      <c r="A48" s="67"/>
      <c r="B48" s="68"/>
      <c r="C48" s="68"/>
      <c r="D48" s="110" t="s">
        <v>107</v>
      </c>
      <c r="E48" s="111" t="s">
        <v>114</v>
      </c>
      <c r="F48" s="111"/>
      <c r="G48" s="68"/>
      <c r="H48" s="68"/>
      <c r="I48" s="69"/>
    </row>
    <row r="49" spans="1:9" ht="15.6" x14ac:dyDescent="0.3">
      <c r="A49" s="67"/>
      <c r="B49" s="68"/>
      <c r="C49" s="68"/>
      <c r="D49" s="110"/>
      <c r="E49" s="112" t="s">
        <v>115</v>
      </c>
      <c r="F49" s="112"/>
      <c r="G49" s="68"/>
      <c r="H49" s="68"/>
      <c r="I49" s="69"/>
    </row>
    <row r="50" spans="1:9" ht="15.6" x14ac:dyDescent="0.3">
      <c r="A50" s="67"/>
      <c r="B50" s="68"/>
      <c r="C50" s="68"/>
      <c r="D50" s="110" t="s">
        <v>107</v>
      </c>
      <c r="E50" s="113">
        <f>1000000/(1.732*415*0.05)</f>
        <v>27824.925568324106</v>
      </c>
      <c r="F50" s="114" t="s">
        <v>2</v>
      </c>
      <c r="G50" s="68"/>
      <c r="H50" s="68"/>
      <c r="I50" s="69"/>
    </row>
    <row r="51" spans="1:9" ht="15.6" x14ac:dyDescent="0.3">
      <c r="A51" s="67"/>
      <c r="B51" s="68"/>
      <c r="C51" s="68"/>
      <c r="D51" s="110"/>
      <c r="E51" s="113"/>
      <c r="F51" s="114"/>
      <c r="G51" s="68"/>
      <c r="H51" s="68"/>
      <c r="I51" s="69"/>
    </row>
    <row r="52" spans="1:9" ht="15.6" x14ac:dyDescent="0.3">
      <c r="A52" s="67" t="s">
        <v>8</v>
      </c>
      <c r="B52" s="68"/>
      <c r="C52" s="68"/>
      <c r="D52" s="74"/>
      <c r="E52" s="70"/>
      <c r="F52" s="74"/>
      <c r="G52" s="68"/>
      <c r="H52" s="68"/>
      <c r="I52" s="69"/>
    </row>
    <row r="53" spans="1:9" ht="15.6" x14ac:dyDescent="0.3">
      <c r="A53" s="67"/>
      <c r="B53" s="68"/>
      <c r="C53" s="68"/>
      <c r="D53" s="68" t="s">
        <v>113</v>
      </c>
      <c r="E53" s="68" t="s">
        <v>104</v>
      </c>
      <c r="F53" s="68"/>
      <c r="G53" s="68"/>
      <c r="H53" s="68"/>
      <c r="I53" s="69"/>
    </row>
    <row r="54" spans="1:9" ht="15.6" x14ac:dyDescent="0.3">
      <c r="A54" s="67"/>
      <c r="B54" s="68"/>
      <c r="C54" s="68"/>
      <c r="D54" s="68" t="s">
        <v>111</v>
      </c>
      <c r="E54" s="68" t="s">
        <v>106</v>
      </c>
      <c r="F54" s="68"/>
      <c r="G54" s="68"/>
      <c r="H54" s="68"/>
      <c r="I54" s="69"/>
    </row>
    <row r="55" spans="1:9" ht="15.6" x14ac:dyDescent="0.3">
      <c r="A55" s="67"/>
      <c r="B55" s="68"/>
      <c r="C55" s="68"/>
      <c r="D55" s="68" t="s">
        <v>112</v>
      </c>
      <c r="E55" s="68" t="s">
        <v>105</v>
      </c>
      <c r="F55" s="68"/>
      <c r="G55" s="68"/>
      <c r="H55" s="68"/>
      <c r="I55" s="69"/>
    </row>
    <row r="56" spans="1:9" ht="15.6" x14ac:dyDescent="0.3">
      <c r="A56" s="67"/>
      <c r="B56" s="68"/>
      <c r="C56" s="68"/>
      <c r="D56" s="68" t="s">
        <v>109</v>
      </c>
      <c r="E56" s="68" t="s">
        <v>123</v>
      </c>
      <c r="F56" s="68"/>
      <c r="G56" s="68"/>
      <c r="H56" s="68"/>
      <c r="I56" s="69"/>
    </row>
    <row r="57" spans="1:9" ht="15.6" x14ac:dyDescent="0.3">
      <c r="A57" s="67"/>
      <c r="B57" s="68"/>
      <c r="C57" s="68"/>
      <c r="D57" s="68"/>
      <c r="E57" s="68"/>
      <c r="F57" s="68"/>
      <c r="G57" s="68"/>
      <c r="H57" s="68"/>
      <c r="I57" s="69"/>
    </row>
    <row r="58" spans="1:9" ht="15.6" x14ac:dyDescent="0.3">
      <c r="A58" s="67" t="s">
        <v>120</v>
      </c>
      <c r="B58" s="68"/>
      <c r="C58" s="68"/>
      <c r="D58" s="68"/>
      <c r="E58" s="68"/>
      <c r="F58" s="68"/>
      <c r="G58" s="68"/>
      <c r="H58" s="68"/>
      <c r="I58" s="69"/>
    </row>
    <row r="59" spans="1:9" x14ac:dyDescent="0.3">
      <c r="A59" s="4"/>
      <c r="B59" t="s">
        <v>45</v>
      </c>
      <c r="F59" s="2">
        <v>16</v>
      </c>
      <c r="G59" s="2" t="s">
        <v>27</v>
      </c>
      <c r="I59" s="3"/>
    </row>
    <row r="60" spans="1:9" x14ac:dyDescent="0.3">
      <c r="A60" s="4"/>
      <c r="B60" t="s">
        <v>46</v>
      </c>
      <c r="F60" s="2">
        <v>36.200000000000003</v>
      </c>
      <c r="G60" s="2" t="s">
        <v>31</v>
      </c>
      <c r="I60" s="3"/>
    </row>
    <row r="61" spans="1:9" x14ac:dyDescent="0.3">
      <c r="A61" s="4"/>
      <c r="B61" t="s">
        <v>121</v>
      </c>
      <c r="F61" s="2">
        <f>(F60*F59)*1.25</f>
        <v>724</v>
      </c>
      <c r="G61" s="2" t="s">
        <v>31</v>
      </c>
      <c r="I61" s="3"/>
    </row>
    <row r="62" spans="1:9" x14ac:dyDescent="0.3">
      <c r="A62" s="4"/>
      <c r="B62" t="s">
        <v>30</v>
      </c>
      <c r="F62" s="30">
        <f>F61*1.25</f>
        <v>905</v>
      </c>
      <c r="G62" s="2" t="s">
        <v>31</v>
      </c>
      <c r="I62" s="3"/>
    </row>
    <row r="63" spans="1:9" x14ac:dyDescent="0.3">
      <c r="A63" s="4"/>
      <c r="B63" t="s">
        <v>43</v>
      </c>
      <c r="F63" s="30">
        <f>F62*1.25</f>
        <v>1131.25</v>
      </c>
      <c r="G63" s="2" t="s">
        <v>31</v>
      </c>
      <c r="I63" s="3"/>
    </row>
    <row r="64" spans="1:9" x14ac:dyDescent="0.3">
      <c r="A64" s="8"/>
      <c r="B64" s="9"/>
      <c r="C64" s="9"/>
      <c r="D64" s="44"/>
      <c r="E64" s="5"/>
      <c r="F64" s="5"/>
      <c r="G64" s="42"/>
      <c r="H64" s="5"/>
      <c r="I64" s="6"/>
    </row>
    <row r="65" spans="1:9" x14ac:dyDescent="0.3">
      <c r="A65" s="105" t="s">
        <v>32</v>
      </c>
      <c r="B65" s="101"/>
      <c r="C65" s="101"/>
      <c r="D65" s="101"/>
      <c r="E65" s="101"/>
      <c r="F65" s="101"/>
      <c r="G65" s="101"/>
      <c r="H65" s="101"/>
      <c r="I65" s="106"/>
    </row>
    <row r="66" spans="1:9" x14ac:dyDescent="0.3">
      <c r="A66" s="8"/>
      <c r="B66" s="101" t="s">
        <v>39</v>
      </c>
      <c r="C66" s="101"/>
      <c r="D66" s="101"/>
      <c r="E66" s="102">
        <f>(F69*SQRT(F70))/F71</f>
        <v>14.294631151398457</v>
      </c>
      <c r="F66" s="103" t="s">
        <v>41</v>
      </c>
      <c r="G66" s="5"/>
      <c r="H66" s="5"/>
      <c r="I66" s="6"/>
    </row>
    <row r="67" spans="1:9" x14ac:dyDescent="0.3">
      <c r="A67" s="8"/>
      <c r="B67" s="101"/>
      <c r="C67" s="101"/>
      <c r="D67" s="101"/>
      <c r="E67" s="102"/>
      <c r="F67" s="103"/>
      <c r="G67" s="5"/>
      <c r="H67" s="5"/>
      <c r="I67" s="6"/>
    </row>
    <row r="68" spans="1:9" x14ac:dyDescent="0.3">
      <c r="A68" s="4" t="s">
        <v>8</v>
      </c>
      <c r="B68" s="13"/>
      <c r="C68" s="20"/>
      <c r="F68" s="2"/>
      <c r="I68" s="3"/>
    </row>
    <row r="69" spans="1:9" x14ac:dyDescent="0.3">
      <c r="A69" s="4"/>
      <c r="B69" s="19" t="s">
        <v>33</v>
      </c>
      <c r="C69" s="20" t="s">
        <v>116</v>
      </c>
      <c r="E69" s="30"/>
      <c r="F69" s="30">
        <f>F63</f>
        <v>1131.25</v>
      </c>
      <c r="G69" s="2" t="s">
        <v>2</v>
      </c>
      <c r="I69" s="3"/>
    </row>
    <row r="70" spans="1:9" x14ac:dyDescent="0.3">
      <c r="A70" s="4"/>
      <c r="B70" s="13" t="s">
        <v>34</v>
      </c>
      <c r="C70" t="s">
        <v>37</v>
      </c>
      <c r="E70" s="2"/>
      <c r="F70" s="2">
        <v>1</v>
      </c>
      <c r="G70" s="2" t="s">
        <v>42</v>
      </c>
      <c r="I70" s="3"/>
    </row>
    <row r="71" spans="1:9" x14ac:dyDescent="0.3">
      <c r="A71" s="4"/>
      <c r="B71" s="13" t="s">
        <v>35</v>
      </c>
      <c r="C71" t="s">
        <v>38</v>
      </c>
      <c r="E71" s="30"/>
      <c r="F71" s="30">
        <f>E24</f>
        <v>79.138103531221844</v>
      </c>
      <c r="I71" s="3"/>
    </row>
    <row r="72" spans="1:9" x14ac:dyDescent="0.3">
      <c r="A72" s="98" t="s">
        <v>119</v>
      </c>
      <c r="B72" s="99"/>
      <c r="C72" s="99"/>
      <c r="D72" s="99"/>
      <c r="E72" s="99"/>
      <c r="F72" s="99"/>
      <c r="G72" s="99"/>
      <c r="H72" s="99"/>
      <c r="I72" s="100"/>
    </row>
    <row r="73" spans="1:9" x14ac:dyDescent="0.3">
      <c r="A73" s="98" t="s">
        <v>118</v>
      </c>
      <c r="B73" s="99"/>
      <c r="C73" s="99"/>
      <c r="D73" s="99"/>
      <c r="E73" s="99"/>
      <c r="F73" s="99"/>
      <c r="G73" s="99"/>
      <c r="H73" s="99"/>
      <c r="I73" s="100"/>
    </row>
    <row r="74" spans="1:9" x14ac:dyDescent="0.3">
      <c r="A74" s="26" t="s">
        <v>47</v>
      </c>
      <c r="B74" s="27"/>
      <c r="C74" s="27"/>
      <c r="D74" s="27"/>
      <c r="E74" s="28" t="s">
        <v>117</v>
      </c>
      <c r="F74" s="28" t="s">
        <v>41</v>
      </c>
      <c r="G74" s="27"/>
      <c r="H74" s="27"/>
      <c r="I74" s="29"/>
    </row>
    <row r="82" spans="14:22" ht="15.6" x14ac:dyDescent="0.3">
      <c r="N82" s="68"/>
      <c r="O82" s="68"/>
      <c r="P82" s="68"/>
      <c r="Q82" s="68"/>
      <c r="R82" s="68"/>
      <c r="S82" s="68"/>
      <c r="T82" s="68"/>
      <c r="U82" s="68"/>
      <c r="V82" s="68"/>
    </row>
    <row r="83" spans="14:22" ht="15.6" x14ac:dyDescent="0.3">
      <c r="N83" s="68"/>
      <c r="O83" s="68"/>
      <c r="P83" s="68"/>
      <c r="Q83" s="68"/>
      <c r="R83" s="68"/>
      <c r="S83" s="68"/>
      <c r="T83" s="68"/>
      <c r="U83" s="68"/>
      <c r="V83" s="68"/>
    </row>
    <row r="84" spans="14:22" ht="15.6" x14ac:dyDescent="0.3">
      <c r="N84" s="68"/>
      <c r="O84" s="68"/>
      <c r="P84" s="68"/>
      <c r="Q84" s="68"/>
      <c r="R84" s="68"/>
      <c r="S84" s="68"/>
      <c r="T84" s="68"/>
      <c r="U84" s="68"/>
      <c r="V84" s="68"/>
    </row>
    <row r="85" spans="14:22" ht="15.6" x14ac:dyDescent="0.3">
      <c r="N85" s="68"/>
      <c r="O85" s="68"/>
      <c r="P85" s="68"/>
      <c r="Q85" s="68"/>
      <c r="R85" s="68"/>
      <c r="S85" s="68"/>
      <c r="T85" s="68"/>
      <c r="U85" s="68"/>
      <c r="V85" s="68"/>
    </row>
    <row r="86" spans="14:22" ht="15.6" x14ac:dyDescent="0.3">
      <c r="N86" s="68"/>
      <c r="O86" s="68"/>
      <c r="P86" s="68"/>
      <c r="Q86" s="74"/>
      <c r="R86" s="70"/>
      <c r="S86" s="73"/>
      <c r="T86" s="68"/>
      <c r="U86" s="68"/>
      <c r="V86" s="68"/>
    </row>
    <row r="87" spans="14:22" ht="15.6" x14ac:dyDescent="0.3">
      <c r="N87" s="68"/>
      <c r="O87" s="68"/>
      <c r="P87" s="68"/>
      <c r="Q87" s="74"/>
      <c r="R87" s="70"/>
      <c r="S87" s="73"/>
      <c r="T87" s="68"/>
      <c r="U87" s="68"/>
      <c r="V87" s="68"/>
    </row>
    <row r="88" spans="14:22" ht="15.6" x14ac:dyDescent="0.3">
      <c r="N88" s="68"/>
      <c r="O88" s="68"/>
      <c r="P88" s="68"/>
      <c r="Q88" s="74"/>
      <c r="R88" s="70"/>
      <c r="S88" s="74"/>
      <c r="T88" s="68"/>
      <c r="U88" s="68"/>
      <c r="V88" s="68"/>
    </row>
    <row r="89" spans="14:22" ht="15.6" x14ac:dyDescent="0.3">
      <c r="N89" s="68"/>
      <c r="O89" s="68"/>
      <c r="P89" s="68"/>
      <c r="Q89" s="74"/>
      <c r="R89" s="70"/>
      <c r="S89" s="74"/>
      <c r="T89" s="68"/>
      <c r="U89" s="68"/>
      <c r="V89" s="68"/>
    </row>
    <row r="90" spans="14:22" ht="15.6" x14ac:dyDescent="0.3">
      <c r="N90" s="68"/>
      <c r="O90" s="68"/>
      <c r="P90" s="68"/>
      <c r="Q90" s="70"/>
      <c r="R90" s="71"/>
      <c r="S90" s="72"/>
      <c r="T90" s="68"/>
      <c r="U90" s="68"/>
      <c r="V90" s="68"/>
    </row>
    <row r="91" spans="14:22" ht="15.6" x14ac:dyDescent="0.3">
      <c r="N91" s="68"/>
      <c r="O91" s="68"/>
      <c r="P91" s="68"/>
      <c r="Q91" s="68"/>
      <c r="R91" s="68"/>
      <c r="S91" s="68"/>
      <c r="T91" s="68"/>
      <c r="U91" s="68"/>
      <c r="V91" s="68"/>
    </row>
    <row r="92" spans="14:22" ht="15.6" x14ac:dyDescent="0.3">
      <c r="N92" s="68"/>
      <c r="O92" s="68"/>
      <c r="P92" s="68"/>
      <c r="Q92" s="68"/>
      <c r="R92" s="68"/>
      <c r="S92" s="68"/>
      <c r="T92" s="68"/>
      <c r="U92" s="68"/>
      <c r="V92" s="68"/>
    </row>
    <row r="93" spans="14:22" ht="15.6" x14ac:dyDescent="0.3">
      <c r="N93" s="68"/>
      <c r="O93" s="68"/>
      <c r="P93" s="68"/>
      <c r="Q93" s="68"/>
      <c r="R93" s="68"/>
      <c r="S93" s="68"/>
      <c r="T93" s="68"/>
      <c r="U93" s="68"/>
      <c r="V93" s="68"/>
    </row>
    <row r="94" spans="14:22" ht="15.6" x14ac:dyDescent="0.3">
      <c r="N94" s="68"/>
      <c r="O94" s="68"/>
      <c r="P94" s="68"/>
      <c r="Q94" s="68"/>
      <c r="R94" s="68"/>
      <c r="S94" s="68"/>
      <c r="T94" s="68"/>
      <c r="U94" s="68"/>
      <c r="V94" s="68"/>
    </row>
  </sheetData>
  <mergeCells count="31">
    <mergeCell ref="C24:C25"/>
    <mergeCell ref="D24:D25"/>
    <mergeCell ref="E24:E25"/>
    <mergeCell ref="A1:I2"/>
    <mergeCell ref="A3:B3"/>
    <mergeCell ref="C3:I3"/>
    <mergeCell ref="A4:B4"/>
    <mergeCell ref="C4:I4"/>
    <mergeCell ref="D48:D49"/>
    <mergeCell ref="E48:F48"/>
    <mergeCell ref="E49:F49"/>
    <mergeCell ref="A26:I26"/>
    <mergeCell ref="A33:I33"/>
    <mergeCell ref="B34:D35"/>
    <mergeCell ref="E34:E35"/>
    <mergeCell ref="F34:F35"/>
    <mergeCell ref="A41:I41"/>
    <mergeCell ref="A42:I42"/>
    <mergeCell ref="A43:I43"/>
    <mergeCell ref="D46:D47"/>
    <mergeCell ref="E46:F46"/>
    <mergeCell ref="E47:F47"/>
    <mergeCell ref="A72:I72"/>
    <mergeCell ref="A73:I73"/>
    <mergeCell ref="D50:D51"/>
    <mergeCell ref="E50:E51"/>
    <mergeCell ref="F50:F51"/>
    <mergeCell ref="A65:I65"/>
    <mergeCell ref="B66:D67"/>
    <mergeCell ref="E66:E67"/>
    <mergeCell ref="F66:F67"/>
  </mergeCells>
  <pageMargins left="0.7" right="0.7" top="0.75" bottom="0.75" header="0.3" footer="0.3"/>
  <pageSetup paperSize="9" scale="85" orientation="portrait" r:id="rId1"/>
  <rowBreaks count="1" manualBreakCount="1">
    <brk id="40" max="8" man="1"/>
  </rowBreaks>
  <colBreaks count="1" manualBreakCount="1">
    <brk id="9" max="7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Earthing Calculation</vt:lpstr>
      <vt:lpstr>EARTH STRIP SIZE CALCULATION</vt:lpstr>
      <vt:lpstr>EARTH STRIP SIZE CALCULATIO (2)</vt:lpstr>
      <vt:lpstr>'EARTH STRIP SIZE CALCULATIO (2)'!Print_Area</vt:lpstr>
      <vt:lpstr>'EARTH STRIP SIZE CALCULATION'!Print_Area</vt:lpstr>
      <vt:lpstr>'Earthing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Ankesh Mishra</cp:lastModifiedBy>
  <cp:lastPrinted>2019-01-23T05:32:17Z</cp:lastPrinted>
  <dcterms:created xsi:type="dcterms:W3CDTF">2018-10-03T10:02:47Z</dcterms:created>
  <dcterms:modified xsi:type="dcterms:W3CDTF">2025-06-17T07:12:15Z</dcterms:modified>
</cp:coreProperties>
</file>