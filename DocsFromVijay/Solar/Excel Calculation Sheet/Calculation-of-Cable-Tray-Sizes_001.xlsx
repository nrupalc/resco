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NKESH MISHRA\@FLASYS\Sales\@Online Selling Service\Solar Documents Bundle\@Ready to Deliver\"/>
    </mc:Choice>
  </mc:AlternateContent>
  <xr:revisionPtr revIDLastSave="0" documentId="13_ncr:1_{3B61EFF3-C983-418F-9949-3E3050C2CFCF}" xr6:coauthVersionLast="47" xr6:coauthVersionMax="47" xr10:uidLastSave="{00000000-0000-0000-0000-000000000000}"/>
  <bookViews>
    <workbookView xWindow="-108" yWindow="-108" windowWidth="23256" windowHeight="12456" xr2:uid="{9BDA82BC-B156-47A9-8654-52063284FA6A}"/>
  </bookViews>
  <sheets>
    <sheet name="L SIDE" sheetId="1" r:id="rId1"/>
    <sheet name="R SIDE" sheetId="4" r:id="rId2"/>
    <sheet name="flasys" sheetId="5" r:id="rId3"/>
  </sheets>
  <definedNames>
    <definedName name="_xlnm.Print_Area" localSheetId="2">flasys!$A$1:$H$21</definedName>
    <definedName name="_xlnm.Print_Area" localSheetId="0">'L SIDE'!$A$1:$H$40</definedName>
    <definedName name="_xlnm.Print_Area" localSheetId="1">'R SIDE'!$A$1:$H$40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4" i="5" l="1"/>
  <c r="E12" i="5"/>
  <c r="E13" i="5"/>
  <c r="E15" i="5"/>
  <c r="E16" i="5"/>
  <c r="E8" i="5"/>
  <c r="E17" i="5"/>
  <c r="E10" i="5"/>
  <c r="E9" i="5"/>
  <c r="E11" i="5"/>
  <c r="E18" i="5"/>
  <c r="E19" i="5"/>
  <c r="E7" i="5"/>
  <c r="E20" i="5"/>
  <c r="H21" i="5" s="1"/>
  <c r="D23" i="5" s="1"/>
  <c r="H22" i="5"/>
  <c r="H7" i="5"/>
  <c r="H20" i="5" s="1"/>
  <c r="H8" i="5"/>
  <c r="H9" i="5"/>
  <c r="H10" i="5"/>
  <c r="H11" i="5"/>
  <c r="H12" i="5"/>
  <c r="H13" i="5"/>
  <c r="H14" i="5"/>
  <c r="H15" i="5"/>
  <c r="H16" i="5"/>
  <c r="H17" i="5"/>
  <c r="H18" i="5"/>
  <c r="H19" i="5"/>
  <c r="D20" i="5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H22" i="1" s="1"/>
  <c r="H23" i="1" s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E26" i="1"/>
  <c r="E28" i="1"/>
  <c r="E29" i="1"/>
  <c r="E30" i="1" s="1"/>
  <c r="E33" i="1"/>
  <c r="E35" i="1"/>
  <c r="E36" i="1"/>
  <c r="E37" i="1"/>
  <c r="D21" i="1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E26" i="4"/>
  <c r="E28" i="4"/>
  <c r="E29" i="4"/>
  <c r="E30" i="4"/>
  <c r="E33" i="4"/>
  <c r="E35" i="4"/>
  <c r="E36" i="4" s="1"/>
  <c r="E37" i="4" s="1"/>
  <c r="D21" i="4"/>
  <c r="J17" i="5" l="1"/>
  <c r="K17" i="5"/>
  <c r="H21" i="4"/>
  <c r="E21" i="4"/>
  <c r="H22" i="4" s="1"/>
  <c r="H23" i="4" s="1"/>
  <c r="K19" i="5" l="1"/>
</calcChain>
</file>

<file path=xl/sharedStrings.xml><?xml version="1.0" encoding="utf-8"?>
<sst xmlns="http://schemas.openxmlformats.org/spreadsheetml/2006/main" count="150" uniqueCount="57">
  <si>
    <t>Total No of Cables</t>
  </si>
  <si>
    <t>SR.  NO</t>
  </si>
  <si>
    <t>Size of ECC in mm</t>
  </si>
  <si>
    <t>Dia of ECC in mm</t>
  </si>
  <si>
    <t>Width of ECC in mm</t>
  </si>
  <si>
    <t>4c x 6</t>
  </si>
  <si>
    <t>4c x 10</t>
  </si>
  <si>
    <t>4c x 16</t>
  </si>
  <si>
    <t>4c x 25</t>
  </si>
  <si>
    <t>4c x 35</t>
  </si>
  <si>
    <t>4c x 50</t>
  </si>
  <si>
    <t>4c x 70</t>
  </si>
  <si>
    <t>4c x 95</t>
  </si>
  <si>
    <t>4c x 120</t>
  </si>
  <si>
    <t>4c x 150</t>
  </si>
  <si>
    <t>4c x 185</t>
  </si>
  <si>
    <t>4c x 240</t>
  </si>
  <si>
    <t>4c x 300</t>
  </si>
  <si>
    <t>2c x 25</t>
  </si>
  <si>
    <t>Type of Cable :  Cu / XLPE / SWA / PVC - 0.6 / 1KV</t>
  </si>
  <si>
    <t>1c x 630</t>
  </si>
  <si>
    <t>1c x 150</t>
  </si>
  <si>
    <t>Cable OD in mm</t>
  </si>
  <si>
    <t xml:space="preserve">Actual width of cable tray </t>
  </si>
  <si>
    <t>Type of Cable :  Cu / XLPE / AWA / PVC - 0.6 / 1KV</t>
  </si>
  <si>
    <r>
      <t>L</t>
    </r>
    <r>
      <rPr>
        <b/>
        <u/>
        <sz val="12"/>
        <rFont val="Tahoma"/>
        <family val="2"/>
        <charset val="178"/>
      </rPr>
      <t>UNAR</t>
    </r>
    <r>
      <rPr>
        <b/>
        <u/>
        <sz val="14"/>
        <rFont val="Tahoma"/>
        <family val="2"/>
        <charset val="178"/>
      </rPr>
      <t xml:space="preserve"> E</t>
    </r>
    <r>
      <rPr>
        <b/>
        <u/>
        <sz val="12"/>
        <rFont val="Tahoma"/>
        <family val="2"/>
        <charset val="178"/>
      </rPr>
      <t>LECTRO</t>
    </r>
  </si>
  <si>
    <t>Cable size in Sq. mm</t>
  </si>
  <si>
    <t>No. of cables</t>
  </si>
  <si>
    <t>Total width of cables in mm</t>
  </si>
  <si>
    <t>Required Cable Tray Size keeping 40% space</t>
  </si>
  <si>
    <t>For 1500kVA Transformer</t>
  </si>
  <si>
    <t>For 1000kVA Transformer</t>
  </si>
  <si>
    <t>Standard Cable Tray Sizes</t>
  </si>
  <si>
    <t>100 mm</t>
  </si>
  <si>
    <t>150 mm</t>
  </si>
  <si>
    <t>200 mm</t>
  </si>
  <si>
    <t>300 mm</t>
  </si>
  <si>
    <t>400 mm</t>
  </si>
  <si>
    <t>450 mm</t>
  </si>
  <si>
    <t>500 mm</t>
  </si>
  <si>
    <t>600 mm</t>
  </si>
  <si>
    <t>CABLE TRAY SIZE CALCULATION</t>
  </si>
  <si>
    <t>Selected Cable Tray Size in mm</t>
  </si>
  <si>
    <r>
      <t>Cable Tray size at</t>
    </r>
    <r>
      <rPr>
        <sz val="10"/>
        <rFont val="Tahoma"/>
        <family val="2"/>
        <charset val="178"/>
      </rPr>
      <t xml:space="preserve"> </t>
    </r>
    <r>
      <rPr>
        <u/>
        <sz val="10"/>
        <rFont val="Tahoma"/>
        <family val="2"/>
        <charset val="178"/>
      </rPr>
      <t>LV Room to B1 Electrical Room</t>
    </r>
  </si>
  <si>
    <t>Required Cable Tray Size keeping 30% space</t>
  </si>
  <si>
    <t>600+600+600=1800</t>
  </si>
  <si>
    <t>600 + 300</t>
  </si>
  <si>
    <t>600 + 200</t>
  </si>
  <si>
    <t>Cable tray width</t>
  </si>
  <si>
    <t>Enter one bigger cable Dia.</t>
  </si>
  <si>
    <t>DIFF</t>
  </si>
  <si>
    <t>mm</t>
  </si>
  <si>
    <t>K&amp;A</t>
  </si>
  <si>
    <t>NORR</t>
  </si>
  <si>
    <t xml:space="preserve">S </t>
  </si>
  <si>
    <t>https://www.flasysdesign.com/</t>
  </si>
  <si>
    <t>Email: contact@flasysdesign.com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</si>
</sst>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_(* #,##0.0000_);_(* \(#,##0.0000\);_(* &quot;-&quot;??_);_(@_)"/>
    <numFmt numFmtId="166" formatCode="_(* #,##0_);_(* \(#,##0\);_(* &quot;-&quot;??_);_(@_)"/>
  </numFmts>
  <fonts count="14" x14ac:knownFonts="1">
    <font>
      <sz val="10"/>
      <name val="Arial"/>
      <charset val="178"/>
    </font>
    <font>
      <sz val="10"/>
      <name val="Arial"/>
      <charset val="178"/>
    </font>
    <font>
      <sz val="10"/>
      <name val="Tahoma"/>
      <family val="2"/>
      <charset val="178"/>
    </font>
    <font>
      <b/>
      <sz val="10"/>
      <name val="Tahoma"/>
      <family val="2"/>
      <charset val="178"/>
    </font>
    <font>
      <b/>
      <u/>
      <sz val="14"/>
      <name val="Tahoma"/>
      <family val="2"/>
      <charset val="178"/>
    </font>
    <font>
      <b/>
      <u/>
      <sz val="12"/>
      <name val="Tahoma"/>
      <family val="2"/>
      <charset val="178"/>
    </font>
    <font>
      <u/>
      <sz val="10"/>
      <name val="Tahoma"/>
      <family val="2"/>
      <charset val="178"/>
    </font>
    <font>
      <b/>
      <sz val="10"/>
      <name val="Tahoma"/>
      <family val="2"/>
    </font>
    <font>
      <b/>
      <sz val="10"/>
      <name val="Arial"/>
      <charset val="178"/>
    </font>
    <font>
      <sz val="10"/>
      <color indexed="10"/>
      <name val="Tahoma"/>
      <family val="2"/>
    </font>
    <font>
      <b/>
      <sz val="10"/>
      <color indexed="10"/>
      <name val="Tahoma"/>
      <family val="2"/>
    </font>
    <font>
      <b/>
      <sz val="10"/>
      <color indexed="17"/>
      <name val="Tahoma"/>
      <family val="2"/>
    </font>
    <font>
      <b/>
      <sz val="10"/>
      <color indexed="14"/>
      <name val="Tahoma"/>
      <family val="2"/>
    </font>
    <font>
      <u/>
      <sz val="10"/>
      <color theme="10"/>
      <name val="Arial"/>
      <charset val="178"/>
    </font>
  </fonts>
  <fills count="10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9.9978637043366805E-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3" fillId="0" borderId="0" applyNumberFormat="0" applyFill="0" applyBorder="0" applyAlignment="0" applyProtection="0"/>
  </cellStyleXfs>
  <cellXfs count="82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165" fontId="2" fillId="0" borderId="0" xfId="1" applyNumberFormat="1" applyFont="1" applyBorder="1" applyAlignment="1">
      <alignment vertical="center"/>
    </xf>
    <xf numFmtId="1" fontId="2" fillId="0" borderId="0" xfId="0" applyNumberFormat="1" applyFont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Continuous" vertical="center"/>
    </xf>
    <xf numFmtId="0" fontId="3" fillId="0" borderId="0" xfId="0" applyFont="1" applyAlignment="1">
      <alignment horizontal="centerContinuous" vertical="center"/>
    </xf>
    <xf numFmtId="0" fontId="4" fillId="0" borderId="0" xfId="0" applyFont="1" applyAlignment="1">
      <alignment horizontal="centerContinuous" vertical="center"/>
    </xf>
    <xf numFmtId="0" fontId="5" fillId="0" borderId="0" xfId="0" applyFont="1" applyAlignment="1">
      <alignment horizontal="centerContinuous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166" fontId="2" fillId="0" borderId="6" xfId="1" applyNumberFormat="1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166" fontId="2" fillId="0" borderId="3" xfId="1" applyNumberFormat="1" applyFont="1" applyBorder="1" applyAlignment="1">
      <alignment horizontal="center" vertical="center"/>
    </xf>
    <xf numFmtId="1" fontId="2" fillId="0" borderId="3" xfId="0" applyNumberFormat="1" applyFont="1" applyBorder="1" applyAlignment="1">
      <alignment horizontal="right" vertical="center"/>
    </xf>
    <xf numFmtId="1" fontId="2" fillId="0" borderId="8" xfId="0" applyNumberFormat="1" applyFont="1" applyBorder="1" applyAlignment="1">
      <alignment horizontal="right" vertical="center"/>
    </xf>
    <xf numFmtId="0" fontId="2" fillId="0" borderId="9" xfId="0" applyFont="1" applyBorder="1" applyAlignment="1">
      <alignment horizontal="center" vertical="center"/>
    </xf>
    <xf numFmtId="166" fontId="2" fillId="0" borderId="5" xfId="1" applyNumberFormat="1" applyFont="1" applyBorder="1" applyAlignment="1">
      <alignment horizontal="center" vertical="center"/>
    </xf>
    <xf numFmtId="166" fontId="2" fillId="0" borderId="7" xfId="1" applyNumberFormat="1" applyFont="1" applyBorder="1" applyAlignment="1">
      <alignment horizontal="center" vertical="center"/>
    </xf>
    <xf numFmtId="0" fontId="2" fillId="0" borderId="10" xfId="0" applyFont="1" applyBorder="1" applyAlignment="1">
      <alignment vertical="center"/>
    </xf>
    <xf numFmtId="0" fontId="2" fillId="0" borderId="11" xfId="0" applyFont="1" applyBorder="1" applyAlignment="1">
      <alignment horizontal="center" vertical="center"/>
    </xf>
    <xf numFmtId="0" fontId="2" fillId="0" borderId="11" xfId="0" applyFont="1" applyBorder="1" applyAlignment="1">
      <alignment horizontal="right" vertical="center"/>
    </xf>
    <xf numFmtId="0" fontId="2" fillId="0" borderId="5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166" fontId="7" fillId="0" borderId="11" xfId="1" applyNumberFormat="1" applyFont="1" applyBorder="1" applyAlignment="1">
      <alignment horizontal="right" vertical="center"/>
    </xf>
    <xf numFmtId="166" fontId="7" fillId="0" borderId="8" xfId="1" applyNumberFormat="1" applyFont="1" applyBorder="1" applyAlignment="1">
      <alignment horizontal="right" vertical="center"/>
    </xf>
    <xf numFmtId="166" fontId="9" fillId="0" borderId="3" xfId="0" applyNumberFormat="1" applyFont="1" applyBorder="1" applyAlignment="1">
      <alignment horizontal="center" vertical="center"/>
    </xf>
    <xf numFmtId="166" fontId="2" fillId="3" borderId="6" xfId="1" applyNumberFormat="1" applyFont="1" applyFill="1" applyBorder="1" applyAlignment="1">
      <alignment vertical="center"/>
    </xf>
    <xf numFmtId="166" fontId="7" fillId="3" borderId="1" xfId="0" applyNumberFormat="1" applyFont="1" applyFill="1" applyBorder="1" applyAlignment="1">
      <alignment vertical="center"/>
    </xf>
    <xf numFmtId="0" fontId="2" fillId="0" borderId="12" xfId="0" applyFont="1" applyBorder="1" applyAlignment="1">
      <alignment horizontal="right" vertical="center"/>
    </xf>
    <xf numFmtId="166" fontId="7" fillId="0" borderId="13" xfId="1" applyNumberFormat="1" applyFont="1" applyBorder="1" applyAlignment="1">
      <alignment horizontal="right" vertical="center"/>
    </xf>
    <xf numFmtId="0" fontId="2" fillId="4" borderId="1" xfId="0" applyFont="1" applyFill="1" applyBorder="1" applyAlignment="1">
      <alignment horizontal="right" vertical="center"/>
    </xf>
    <xf numFmtId="164" fontId="2" fillId="0" borderId="0" xfId="0" applyNumberFormat="1" applyFont="1" applyAlignment="1">
      <alignment vertical="center"/>
    </xf>
    <xf numFmtId="9" fontId="2" fillId="5" borderId="1" xfId="0" applyNumberFormat="1" applyFont="1" applyFill="1" applyBorder="1" applyAlignment="1">
      <alignment horizontal="center" vertical="center"/>
    </xf>
    <xf numFmtId="164" fontId="10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vertical="center"/>
    </xf>
    <xf numFmtId="0" fontId="12" fillId="0" borderId="1" xfId="0" applyFont="1" applyBorder="1" applyAlignment="1">
      <alignment vertical="center"/>
    </xf>
    <xf numFmtId="0" fontId="7" fillId="2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164" fontId="2" fillId="5" borderId="1" xfId="0" applyNumberFormat="1" applyFont="1" applyFill="1" applyBorder="1" applyAlignment="1">
      <alignment horizontal="center" vertical="center" shrinkToFit="1"/>
    </xf>
    <xf numFmtId="0" fontId="3" fillId="8" borderId="1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 wrapText="1"/>
    </xf>
    <xf numFmtId="0" fontId="13" fillId="0" borderId="0" xfId="2" applyAlignment="1">
      <alignment horizontal="center" vertical="center"/>
    </xf>
    <xf numFmtId="0" fontId="2" fillId="0" borderId="4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5" xfId="0" applyFont="1" applyBorder="1" applyAlignment="1">
      <alignment horizontal="left" vertical="center" shrinkToFit="1"/>
    </xf>
    <xf numFmtId="0" fontId="8" fillId="0" borderId="13" xfId="0" applyFont="1" applyBorder="1" applyAlignment="1">
      <alignment horizontal="left" vertical="center" shrinkToFit="1"/>
    </xf>
    <xf numFmtId="1" fontId="3" fillId="0" borderId="12" xfId="0" applyNumberFormat="1" applyFont="1" applyBorder="1" applyAlignment="1">
      <alignment horizontal="center" vertical="center" shrinkToFit="1"/>
    </xf>
    <xf numFmtId="0" fontId="8" fillId="0" borderId="16" xfId="0" applyFont="1" applyBorder="1" applyAlignment="1">
      <alignment vertical="center"/>
    </xf>
    <xf numFmtId="0" fontId="2" fillId="0" borderId="11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7" fillId="7" borderId="9" xfId="0" applyFont="1" applyFill="1" applyBorder="1" applyAlignment="1">
      <alignment horizontal="center" vertical="center" textRotation="90" wrapText="1"/>
    </xf>
    <xf numFmtId="0" fontId="7" fillId="7" borderId="4" xfId="0" applyFont="1" applyFill="1" applyBorder="1" applyAlignment="1">
      <alignment horizontal="center" vertical="center" textRotation="90" wrapText="1"/>
    </xf>
    <xf numFmtId="0" fontId="7" fillId="7" borderId="10" xfId="0" applyFont="1" applyFill="1" applyBorder="1" applyAlignment="1">
      <alignment horizontal="center" vertical="center" textRotation="90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7" fillId="7" borderId="9" xfId="0" applyFont="1" applyFill="1" applyBorder="1" applyAlignment="1">
      <alignment horizontal="left" vertical="center"/>
    </xf>
    <xf numFmtId="0" fontId="7" fillId="7" borderId="5" xfId="0" applyFont="1" applyFill="1" applyBorder="1" applyAlignment="1">
      <alignment horizontal="left" vertical="center"/>
    </xf>
    <xf numFmtId="0" fontId="7" fillId="7" borderId="17" xfId="0" applyFont="1" applyFill="1" applyBorder="1" applyAlignment="1">
      <alignment horizontal="left" vertical="center"/>
    </xf>
    <xf numFmtId="0" fontId="7" fillId="7" borderId="18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center" vertical="center"/>
    </xf>
    <xf numFmtId="0" fontId="10" fillId="9" borderId="9" xfId="0" applyFont="1" applyFill="1" applyBorder="1" applyAlignment="1">
      <alignment horizontal="center" vertical="center" textRotation="90" wrapText="1"/>
    </xf>
    <xf numFmtId="0" fontId="10" fillId="9" borderId="4" xfId="0" applyFont="1" applyFill="1" applyBorder="1" applyAlignment="1">
      <alignment horizontal="center" vertical="center" textRotation="90" wrapText="1"/>
    </xf>
    <xf numFmtId="0" fontId="10" fillId="9" borderId="10" xfId="0" applyFont="1" applyFill="1" applyBorder="1" applyAlignment="1">
      <alignment horizontal="center" vertical="center" textRotation="90" wrapText="1"/>
    </xf>
    <xf numFmtId="166" fontId="2" fillId="0" borderId="6" xfId="1" applyNumberFormat="1" applyFont="1" applyFill="1" applyBorder="1" applyAlignment="1">
      <alignment horizontal="center" vertical="center"/>
    </xf>
    <xf numFmtId="166" fontId="2" fillId="0" borderId="3" xfId="1" applyNumberFormat="1" applyFont="1" applyFill="1" applyBorder="1" applyAlignment="1">
      <alignment horizontal="center" vertical="center"/>
    </xf>
    <xf numFmtId="166" fontId="2" fillId="0" borderId="7" xfId="1" applyNumberFormat="1" applyFont="1" applyFill="1" applyBorder="1" applyAlignment="1">
      <alignment horizontal="center" vertical="center"/>
    </xf>
    <xf numFmtId="166" fontId="2" fillId="0" borderId="5" xfId="1" applyNumberFormat="1" applyFont="1" applyFill="1" applyBorder="1" applyAlignment="1">
      <alignment horizontal="center" vertical="center"/>
    </xf>
    <xf numFmtId="166" fontId="2" fillId="0" borderId="14" xfId="1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/>
    </xf>
    <xf numFmtId="9" fontId="2" fillId="0" borderId="1" xfId="0" applyNumberFormat="1" applyFont="1" applyFill="1" applyBorder="1" applyAlignment="1">
      <alignment horizontal="center" vertical="center"/>
    </xf>
    <xf numFmtId="164" fontId="2" fillId="0" borderId="1" xfId="0" applyNumberFormat="1" applyFont="1" applyFill="1" applyBorder="1" applyAlignment="1">
      <alignment horizontal="center" vertical="center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563880</xdr:colOff>
      <xdr:row>3</xdr:row>
      <xdr:rowOff>91440</xdr:rowOff>
    </xdr:from>
    <xdr:to>
      <xdr:col>2</xdr:col>
      <xdr:colOff>647806</xdr:colOff>
      <xdr:row>4</xdr:row>
      <xdr:rowOff>121920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21D3BDB-8609-49BF-9672-77067636E1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8720" y="845820"/>
          <a:ext cx="929746" cy="28194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563880</xdr:colOff>
      <xdr:row>3</xdr:row>
      <xdr:rowOff>91440</xdr:rowOff>
    </xdr:from>
    <xdr:to>
      <xdr:col>2</xdr:col>
      <xdr:colOff>647806</xdr:colOff>
      <xdr:row>4</xdr:row>
      <xdr:rowOff>121920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31DE098-6AE8-4E85-9F63-947283C451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8720" y="845820"/>
          <a:ext cx="929746" cy="28194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563880</xdr:colOff>
      <xdr:row>3</xdr:row>
      <xdr:rowOff>91440</xdr:rowOff>
    </xdr:from>
    <xdr:to>
      <xdr:col>2</xdr:col>
      <xdr:colOff>647806</xdr:colOff>
      <xdr:row>4</xdr:row>
      <xdr:rowOff>121920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3D2C131-62E5-422A-8B8C-8B08DC58F3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8720" y="845820"/>
          <a:ext cx="929746" cy="2819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flasysdesign.com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flasysdesign.com/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https://www.flasysdesign.com/" TargetMode="External"/><Relationship Id="rId1" Type="http://schemas.openxmlformats.org/officeDocument/2006/relationships/hyperlink" Target="https://www.flasysdesign.com/" TargetMode="External"/><Relationship Id="rId4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F46FE-2A18-4383-B93A-8B693DA3C687}">
  <dimension ref="A1:J40"/>
  <sheetViews>
    <sheetView tabSelected="1" topLeftCell="A4" zoomScaleNormal="75" zoomScaleSheetLayoutView="100" workbookViewId="0">
      <pane xSplit="1" ySplit="3" topLeftCell="B7" activePane="bottomRight" state="frozen"/>
      <selection activeCell="A4" sqref="A4"/>
      <selection pane="topRight" activeCell="B4" sqref="B4"/>
      <selection pane="bottomLeft" activeCell="A5" sqref="A5"/>
      <selection pane="bottomRight" activeCell="I9" sqref="I9"/>
    </sheetView>
  </sheetViews>
  <sheetFormatPr defaultColWidth="9.109375" defaultRowHeight="13.2" x14ac:dyDescent="0.25"/>
  <cols>
    <col min="1" max="1" width="9.109375" style="1"/>
    <col min="2" max="2" width="12.33203125" style="3" customWidth="1"/>
    <col min="3" max="3" width="11.44140625" style="3" customWidth="1"/>
    <col min="4" max="4" width="9" style="3" customWidth="1"/>
    <col min="5" max="5" width="11.5546875" style="3" customWidth="1"/>
    <col min="6" max="6" width="9.109375" style="3"/>
    <col min="7" max="7" width="8" style="1" customWidth="1"/>
    <col min="8" max="8" width="10.109375" style="3" customWidth="1"/>
    <col min="9" max="9" width="9.5546875" style="1" customWidth="1"/>
    <col min="10" max="10" width="10.33203125" style="1" customWidth="1"/>
    <col min="11" max="16384" width="9.109375" style="1"/>
  </cols>
  <sheetData>
    <row r="1" spans="1:9" ht="20.100000000000001" customHeight="1" x14ac:dyDescent="0.25">
      <c r="A1" s="11" t="s">
        <v>25</v>
      </c>
      <c r="B1" s="9"/>
      <c r="C1" s="9"/>
      <c r="D1" s="9"/>
      <c r="E1" s="9"/>
      <c r="F1" s="9"/>
      <c r="G1" s="9"/>
      <c r="H1" s="9"/>
    </row>
    <row r="2" spans="1:9" ht="20.100000000000001" customHeight="1" x14ac:dyDescent="0.25">
      <c r="A2" s="12" t="s">
        <v>41</v>
      </c>
      <c r="B2" s="10"/>
      <c r="C2" s="10"/>
      <c r="D2" s="10"/>
      <c r="E2" s="10"/>
      <c r="F2" s="10"/>
      <c r="G2" s="10"/>
      <c r="H2" s="10"/>
    </row>
    <row r="3" spans="1:9" ht="20.100000000000001" customHeight="1" x14ac:dyDescent="0.25">
      <c r="A3" s="2" t="s">
        <v>43</v>
      </c>
      <c r="B3" s="1"/>
    </row>
    <row r="4" spans="1:9" ht="20.100000000000001" customHeight="1" x14ac:dyDescent="0.25">
      <c r="A4" s="2"/>
      <c r="B4" s="1"/>
      <c r="F4" s="47" t="s">
        <v>55</v>
      </c>
    </row>
    <row r="5" spans="1:9" ht="20.100000000000001" customHeight="1" x14ac:dyDescent="0.25">
      <c r="A5" s="2"/>
      <c r="B5" s="1"/>
      <c r="F5" s="3" t="s">
        <v>56</v>
      </c>
    </row>
    <row r="6" spans="1:9" s="5" customFormat="1" ht="39.75" customHeight="1" x14ac:dyDescent="0.25">
      <c r="A6" s="45" t="s">
        <v>1</v>
      </c>
      <c r="B6" s="46" t="s">
        <v>26</v>
      </c>
      <c r="C6" s="46" t="s">
        <v>22</v>
      </c>
      <c r="D6" s="46" t="s">
        <v>27</v>
      </c>
      <c r="E6" s="46" t="s">
        <v>28</v>
      </c>
      <c r="F6" s="46" t="s">
        <v>2</v>
      </c>
      <c r="G6" s="46" t="s">
        <v>3</v>
      </c>
      <c r="H6" s="46" t="s">
        <v>4</v>
      </c>
    </row>
    <row r="7" spans="1:9" ht="18.899999999999999" customHeight="1" x14ac:dyDescent="0.25">
      <c r="A7" s="21">
        <v>1</v>
      </c>
      <c r="B7" s="15" t="s">
        <v>5</v>
      </c>
      <c r="C7" s="15">
        <v>19</v>
      </c>
      <c r="D7" s="77"/>
      <c r="E7" s="22">
        <f>C7*D7</f>
        <v>0</v>
      </c>
      <c r="F7" s="15">
        <v>6</v>
      </c>
      <c r="G7" s="27">
        <v>5.2</v>
      </c>
      <c r="H7" s="16">
        <f>G7*D7</f>
        <v>0</v>
      </c>
      <c r="I7" s="6"/>
    </row>
    <row r="8" spans="1:9" ht="18.899999999999999" customHeight="1" x14ac:dyDescent="0.25">
      <c r="A8" s="14">
        <v>2</v>
      </c>
      <c r="B8" s="17" t="s">
        <v>6</v>
      </c>
      <c r="C8" s="17">
        <v>21</v>
      </c>
      <c r="D8" s="76"/>
      <c r="E8" s="23">
        <f t="shared" ref="E8:E20" si="0">C8*D8</f>
        <v>0</v>
      </c>
      <c r="F8" s="17">
        <v>10</v>
      </c>
      <c r="G8" s="28">
        <v>6.7</v>
      </c>
      <c r="H8" s="18">
        <f t="shared" ref="H8:H20" si="1">G8*D8</f>
        <v>0</v>
      </c>
      <c r="I8" s="6"/>
    </row>
    <row r="9" spans="1:9" ht="18.899999999999999" customHeight="1" x14ac:dyDescent="0.25">
      <c r="A9" s="14">
        <v>3</v>
      </c>
      <c r="B9" s="17" t="s">
        <v>7</v>
      </c>
      <c r="C9" s="17">
        <v>24</v>
      </c>
      <c r="D9" s="76"/>
      <c r="E9" s="23">
        <f t="shared" si="0"/>
        <v>0</v>
      </c>
      <c r="F9" s="17">
        <v>16</v>
      </c>
      <c r="G9" s="28">
        <v>7.8</v>
      </c>
      <c r="H9" s="18">
        <f t="shared" si="1"/>
        <v>0</v>
      </c>
      <c r="I9" s="6"/>
    </row>
    <row r="10" spans="1:9" ht="18.899999999999999" customHeight="1" x14ac:dyDescent="0.25">
      <c r="A10" s="14">
        <v>4</v>
      </c>
      <c r="B10" s="17" t="s">
        <v>8</v>
      </c>
      <c r="C10" s="17">
        <v>29</v>
      </c>
      <c r="D10" s="76"/>
      <c r="E10" s="23">
        <f t="shared" si="0"/>
        <v>0</v>
      </c>
      <c r="F10" s="17">
        <v>16</v>
      </c>
      <c r="G10" s="28">
        <v>7.8</v>
      </c>
      <c r="H10" s="18">
        <f t="shared" si="1"/>
        <v>0</v>
      </c>
      <c r="I10" s="6"/>
    </row>
    <row r="11" spans="1:9" ht="18.899999999999999" customHeight="1" x14ac:dyDescent="0.25">
      <c r="A11" s="14">
        <v>5</v>
      </c>
      <c r="B11" s="17" t="s">
        <v>9</v>
      </c>
      <c r="C11" s="17">
        <v>29</v>
      </c>
      <c r="D11" s="76"/>
      <c r="E11" s="23">
        <f t="shared" si="0"/>
        <v>0</v>
      </c>
      <c r="F11" s="17">
        <v>16</v>
      </c>
      <c r="G11" s="28">
        <v>7.8</v>
      </c>
      <c r="H11" s="18">
        <f t="shared" si="1"/>
        <v>0</v>
      </c>
      <c r="I11" s="6"/>
    </row>
    <row r="12" spans="1:9" ht="18.899999999999999" customHeight="1" x14ac:dyDescent="0.25">
      <c r="A12" s="14">
        <v>6</v>
      </c>
      <c r="B12" s="17" t="s">
        <v>10</v>
      </c>
      <c r="C12" s="17">
        <v>33</v>
      </c>
      <c r="D12" s="76"/>
      <c r="E12" s="23">
        <f t="shared" si="0"/>
        <v>0</v>
      </c>
      <c r="F12" s="17">
        <v>25</v>
      </c>
      <c r="G12" s="28">
        <v>9.6999999999999993</v>
      </c>
      <c r="H12" s="18">
        <f t="shared" si="1"/>
        <v>0</v>
      </c>
      <c r="I12" s="6"/>
    </row>
    <row r="13" spans="1:9" ht="18.899999999999999" customHeight="1" x14ac:dyDescent="0.25">
      <c r="A13" s="14">
        <v>7</v>
      </c>
      <c r="B13" s="17" t="s">
        <v>11</v>
      </c>
      <c r="C13" s="17">
        <v>39</v>
      </c>
      <c r="D13" s="76"/>
      <c r="E13" s="23">
        <f t="shared" si="0"/>
        <v>0</v>
      </c>
      <c r="F13" s="17">
        <v>35</v>
      </c>
      <c r="G13" s="28">
        <v>10.9</v>
      </c>
      <c r="H13" s="18">
        <f t="shared" si="1"/>
        <v>0</v>
      </c>
      <c r="I13" s="6"/>
    </row>
    <row r="14" spans="1:9" ht="18.899999999999999" customHeight="1" x14ac:dyDescent="0.25">
      <c r="A14" s="14">
        <v>8</v>
      </c>
      <c r="B14" s="17" t="s">
        <v>12</v>
      </c>
      <c r="C14" s="17">
        <v>42</v>
      </c>
      <c r="D14" s="76">
        <v>4</v>
      </c>
      <c r="E14" s="23">
        <f t="shared" si="0"/>
        <v>168</v>
      </c>
      <c r="F14" s="17">
        <v>50</v>
      </c>
      <c r="G14" s="28">
        <v>12.8</v>
      </c>
      <c r="H14" s="18">
        <f t="shared" si="1"/>
        <v>51.2</v>
      </c>
      <c r="I14" s="6"/>
    </row>
    <row r="15" spans="1:9" ht="18.899999999999999" customHeight="1" x14ac:dyDescent="0.25">
      <c r="A15" s="14">
        <v>10</v>
      </c>
      <c r="B15" s="17" t="s">
        <v>13</v>
      </c>
      <c r="C15" s="17">
        <v>47</v>
      </c>
      <c r="D15" s="76">
        <v>4</v>
      </c>
      <c r="E15" s="23">
        <f t="shared" si="0"/>
        <v>188</v>
      </c>
      <c r="F15" s="17">
        <v>70</v>
      </c>
      <c r="G15" s="28">
        <v>14.6</v>
      </c>
      <c r="H15" s="18">
        <f t="shared" si="1"/>
        <v>58.4</v>
      </c>
      <c r="I15" s="6"/>
    </row>
    <row r="16" spans="1:9" ht="18.899999999999999" customHeight="1" x14ac:dyDescent="0.25">
      <c r="A16" s="14">
        <v>11</v>
      </c>
      <c r="B16" s="17" t="s">
        <v>14</v>
      </c>
      <c r="C16" s="17">
        <v>52</v>
      </c>
      <c r="D16" s="76"/>
      <c r="E16" s="23">
        <f t="shared" si="0"/>
        <v>0</v>
      </c>
      <c r="F16" s="17">
        <v>95</v>
      </c>
      <c r="G16" s="28">
        <v>17.100000000000001</v>
      </c>
      <c r="H16" s="18">
        <f t="shared" si="1"/>
        <v>0</v>
      </c>
      <c r="I16" s="6"/>
    </row>
    <row r="17" spans="1:10" ht="18.899999999999999" customHeight="1" x14ac:dyDescent="0.25">
      <c r="A17" s="14">
        <v>12</v>
      </c>
      <c r="B17" s="17" t="s">
        <v>15</v>
      </c>
      <c r="C17" s="17">
        <v>57</v>
      </c>
      <c r="D17" s="76"/>
      <c r="E17" s="23">
        <f t="shared" si="0"/>
        <v>0</v>
      </c>
      <c r="F17" s="17">
        <v>95</v>
      </c>
      <c r="G17" s="28">
        <v>17.100000000000001</v>
      </c>
      <c r="H17" s="18">
        <f t="shared" si="1"/>
        <v>0</v>
      </c>
      <c r="I17" s="6"/>
    </row>
    <row r="18" spans="1:10" ht="18.899999999999999" customHeight="1" x14ac:dyDescent="0.25">
      <c r="A18" s="14">
        <v>13</v>
      </c>
      <c r="B18" s="17" t="s">
        <v>16</v>
      </c>
      <c r="C18" s="17">
        <v>63</v>
      </c>
      <c r="D18" s="76"/>
      <c r="E18" s="23">
        <f t="shared" si="0"/>
        <v>0</v>
      </c>
      <c r="F18" s="17">
        <v>120</v>
      </c>
      <c r="G18" s="28">
        <v>18.8</v>
      </c>
      <c r="H18" s="18">
        <f t="shared" si="1"/>
        <v>0</v>
      </c>
      <c r="I18" s="6"/>
    </row>
    <row r="19" spans="1:10" ht="18.899999999999999" customHeight="1" x14ac:dyDescent="0.25">
      <c r="A19" s="14">
        <v>14</v>
      </c>
      <c r="B19" s="17" t="s">
        <v>17</v>
      </c>
      <c r="C19" s="17">
        <v>69</v>
      </c>
      <c r="D19" s="76"/>
      <c r="E19" s="23">
        <f t="shared" si="0"/>
        <v>0</v>
      </c>
      <c r="F19" s="17">
        <v>150</v>
      </c>
      <c r="G19" s="28">
        <v>20.9</v>
      </c>
      <c r="H19" s="18">
        <f t="shared" si="1"/>
        <v>0</v>
      </c>
      <c r="I19" s="6"/>
    </row>
    <row r="20" spans="1:10" ht="18.899999999999999" customHeight="1" x14ac:dyDescent="0.25">
      <c r="A20" s="14">
        <v>15</v>
      </c>
      <c r="B20" s="17" t="s">
        <v>18</v>
      </c>
      <c r="C20" s="17">
        <v>24</v>
      </c>
      <c r="D20" s="76">
        <v>2</v>
      </c>
      <c r="E20" s="23">
        <f t="shared" si="0"/>
        <v>48</v>
      </c>
      <c r="F20" s="17">
        <v>16</v>
      </c>
      <c r="G20" s="28">
        <v>7.8</v>
      </c>
      <c r="H20" s="18">
        <f t="shared" si="1"/>
        <v>15.6</v>
      </c>
      <c r="I20" s="6"/>
    </row>
    <row r="21" spans="1:10" ht="20.100000000000001" customHeight="1" x14ac:dyDescent="0.25">
      <c r="A21" s="24"/>
      <c r="B21" s="25"/>
      <c r="C21" s="26" t="s">
        <v>0</v>
      </c>
      <c r="D21" s="26">
        <f>SUM(D7:D20)</f>
        <v>10</v>
      </c>
      <c r="E21" s="29">
        <f>SUM(E7:E20)</f>
        <v>404</v>
      </c>
      <c r="F21" s="26"/>
      <c r="G21" s="26"/>
      <c r="H21" s="30">
        <f>SUM(H7:H20)</f>
        <v>125.19999999999999</v>
      </c>
      <c r="J21" s="7"/>
    </row>
    <row r="22" spans="1:10" ht="20.100000000000001" customHeight="1" x14ac:dyDescent="0.25">
      <c r="E22" s="50" t="s">
        <v>23</v>
      </c>
      <c r="F22" s="51"/>
      <c r="G22" s="51"/>
      <c r="H22" s="74">
        <f>SUM((E21*2)+H21)</f>
        <v>933.2</v>
      </c>
    </row>
    <row r="23" spans="1:10" ht="31.5" customHeight="1" x14ac:dyDescent="0.25">
      <c r="E23" s="48" t="s">
        <v>44</v>
      </c>
      <c r="F23" s="49"/>
      <c r="G23" s="49"/>
      <c r="H23" s="75">
        <f>H22*1.4285714</f>
        <v>1333.1428304800002</v>
      </c>
    </row>
    <row r="24" spans="1:10" ht="20.100000000000001" customHeight="1" x14ac:dyDescent="0.25">
      <c r="E24" s="55" t="s">
        <v>42</v>
      </c>
      <c r="F24" s="56"/>
      <c r="G24" s="57" t="s">
        <v>45</v>
      </c>
      <c r="H24" s="58"/>
    </row>
    <row r="25" spans="1:10" ht="5.0999999999999996" customHeight="1" x14ac:dyDescent="0.25"/>
    <row r="26" spans="1:10" ht="20.100000000000001" customHeight="1" x14ac:dyDescent="0.25">
      <c r="A26" s="71" t="s">
        <v>30</v>
      </c>
      <c r="B26" s="15" t="s">
        <v>20</v>
      </c>
      <c r="C26" s="15">
        <v>49</v>
      </c>
      <c r="D26" s="15">
        <v>11</v>
      </c>
      <c r="E26" s="16">
        <f>C26*D26</f>
        <v>539</v>
      </c>
      <c r="G26" s="64" t="s">
        <v>32</v>
      </c>
      <c r="H26" s="65"/>
    </row>
    <row r="27" spans="1:10" ht="20.100000000000001" customHeight="1" x14ac:dyDescent="0.25">
      <c r="A27" s="72"/>
      <c r="B27" s="17"/>
      <c r="C27" s="17"/>
      <c r="D27" s="17"/>
      <c r="E27" s="13"/>
      <c r="G27" s="64"/>
      <c r="H27" s="65"/>
    </row>
    <row r="28" spans="1:10" ht="20.100000000000001" customHeight="1" x14ac:dyDescent="0.25">
      <c r="A28" s="72"/>
      <c r="B28" s="17" t="s">
        <v>21</v>
      </c>
      <c r="C28" s="17">
        <v>22.5</v>
      </c>
      <c r="D28" s="17">
        <v>2</v>
      </c>
      <c r="E28" s="18">
        <f>C28*D28</f>
        <v>45</v>
      </c>
      <c r="G28" s="53" t="s">
        <v>33</v>
      </c>
      <c r="H28" s="54"/>
    </row>
    <row r="29" spans="1:10" ht="20.100000000000001" customHeight="1" x14ac:dyDescent="0.25">
      <c r="A29" s="72"/>
      <c r="B29" s="52" t="s">
        <v>23</v>
      </c>
      <c r="C29" s="52"/>
      <c r="D29" s="52"/>
      <c r="E29" s="31">
        <f>E26+E28</f>
        <v>584</v>
      </c>
      <c r="G29" s="53" t="s">
        <v>34</v>
      </c>
      <c r="H29" s="54"/>
    </row>
    <row r="30" spans="1:10" ht="27.75" customHeight="1" x14ac:dyDescent="0.25">
      <c r="A30" s="72"/>
      <c r="B30" s="49" t="s">
        <v>44</v>
      </c>
      <c r="C30" s="49"/>
      <c r="D30" s="49"/>
      <c r="E30" s="19">
        <f>(E29*2)</f>
        <v>1168</v>
      </c>
      <c r="G30" s="53" t="s">
        <v>35</v>
      </c>
      <c r="H30" s="54"/>
    </row>
    <row r="31" spans="1:10" ht="20.100000000000001" customHeight="1" x14ac:dyDescent="0.25">
      <c r="A31" s="73"/>
      <c r="B31" s="59" t="s">
        <v>42</v>
      </c>
      <c r="C31" s="59"/>
      <c r="D31" s="59"/>
      <c r="E31" s="20" t="s">
        <v>46</v>
      </c>
      <c r="G31" s="53" t="s">
        <v>36</v>
      </c>
      <c r="H31" s="54"/>
    </row>
    <row r="32" spans="1:10" ht="5.0999999999999996" customHeight="1" x14ac:dyDescent="0.25">
      <c r="G32" s="53"/>
      <c r="H32" s="54"/>
    </row>
    <row r="33" spans="1:8" ht="20.100000000000001" customHeight="1" x14ac:dyDescent="0.25">
      <c r="A33" s="61" t="s">
        <v>31</v>
      </c>
      <c r="B33" s="15" t="s">
        <v>20</v>
      </c>
      <c r="C33" s="15">
        <v>49</v>
      </c>
      <c r="D33" s="15">
        <v>7</v>
      </c>
      <c r="E33" s="16">
        <f>C33*D33</f>
        <v>343</v>
      </c>
      <c r="G33" s="53" t="s">
        <v>37</v>
      </c>
      <c r="H33" s="54"/>
    </row>
    <row r="34" spans="1:8" ht="20.100000000000001" customHeight="1" x14ac:dyDescent="0.25">
      <c r="A34" s="62"/>
      <c r="B34" s="17"/>
      <c r="C34" s="17"/>
      <c r="D34" s="17"/>
      <c r="E34" s="13"/>
      <c r="G34" s="53" t="s">
        <v>38</v>
      </c>
      <c r="H34" s="54"/>
    </row>
    <row r="35" spans="1:8" ht="20.100000000000001" customHeight="1" x14ac:dyDescent="0.25">
      <c r="A35" s="62"/>
      <c r="B35" s="17" t="s">
        <v>21</v>
      </c>
      <c r="C35" s="17">
        <v>22.5</v>
      </c>
      <c r="D35" s="17">
        <v>2</v>
      </c>
      <c r="E35" s="18">
        <f>C35*D35</f>
        <v>45</v>
      </c>
      <c r="G35" s="53" t="s">
        <v>39</v>
      </c>
      <c r="H35" s="54"/>
    </row>
    <row r="36" spans="1:8" ht="20.100000000000001" customHeight="1" x14ac:dyDescent="0.25">
      <c r="A36" s="62"/>
      <c r="B36" s="52" t="s">
        <v>23</v>
      </c>
      <c r="C36" s="52"/>
      <c r="D36" s="52"/>
      <c r="E36" s="31">
        <f>E33+E35</f>
        <v>388</v>
      </c>
      <c r="G36" s="53" t="s">
        <v>40</v>
      </c>
      <c r="H36" s="54"/>
    </row>
    <row r="37" spans="1:8" ht="27.75" customHeight="1" x14ac:dyDescent="0.25">
      <c r="A37" s="62"/>
      <c r="B37" s="49" t="s">
        <v>29</v>
      </c>
      <c r="C37" s="49"/>
      <c r="D37" s="49"/>
      <c r="E37" s="19">
        <f>E36*170%</f>
        <v>659.6</v>
      </c>
      <c r="G37" s="60"/>
      <c r="H37" s="60"/>
    </row>
    <row r="38" spans="1:8" ht="20.100000000000001" customHeight="1" x14ac:dyDescent="0.25">
      <c r="A38" s="63"/>
      <c r="B38" s="59" t="s">
        <v>42</v>
      </c>
      <c r="C38" s="59"/>
      <c r="D38" s="59"/>
      <c r="E38" s="20" t="s">
        <v>47</v>
      </c>
      <c r="G38" s="60"/>
      <c r="H38" s="60"/>
    </row>
    <row r="39" spans="1:8" ht="20.100000000000001" customHeight="1" x14ac:dyDescent="0.25">
      <c r="A39" s="8" t="s">
        <v>19</v>
      </c>
      <c r="C39" s="1"/>
      <c r="D39" s="1"/>
      <c r="G39" s="60"/>
      <c r="H39" s="60"/>
    </row>
    <row r="40" spans="1:8" ht="20.100000000000001" customHeight="1" x14ac:dyDescent="0.25">
      <c r="A40" s="8" t="s">
        <v>24</v>
      </c>
      <c r="B40" s="8"/>
      <c r="C40" s="1"/>
      <c r="D40" s="1"/>
      <c r="G40" s="60"/>
      <c r="H40" s="60"/>
    </row>
  </sheetData>
  <mergeCells count="25">
    <mergeCell ref="G40:H40"/>
    <mergeCell ref="B38:D38"/>
    <mergeCell ref="G35:H35"/>
    <mergeCell ref="G36:H36"/>
    <mergeCell ref="G37:H37"/>
    <mergeCell ref="G38:H38"/>
    <mergeCell ref="A26:A31"/>
    <mergeCell ref="B31:D31"/>
    <mergeCell ref="G39:H39"/>
    <mergeCell ref="A33:A38"/>
    <mergeCell ref="G26:H27"/>
    <mergeCell ref="G28:H28"/>
    <mergeCell ref="G29:H29"/>
    <mergeCell ref="G30:H30"/>
    <mergeCell ref="E23:G23"/>
    <mergeCell ref="B30:D30"/>
    <mergeCell ref="E22:G22"/>
    <mergeCell ref="B37:D37"/>
    <mergeCell ref="B29:D29"/>
    <mergeCell ref="B36:D36"/>
    <mergeCell ref="G31:H32"/>
    <mergeCell ref="G33:H33"/>
    <mergeCell ref="G34:H34"/>
    <mergeCell ref="E24:F24"/>
    <mergeCell ref="G24:H24"/>
  </mergeCells>
  <phoneticPr fontId="0" type="noConversion"/>
  <hyperlinks>
    <hyperlink ref="F4" r:id="rId1" xr:uid="{A1BBEED4-07D4-49B9-834A-A66B87B82B40}"/>
  </hyperlinks>
  <printOptions horizontalCentered="1"/>
  <pageMargins left="0.5" right="0.5" top="0.25" bottom="0" header="0" footer="0"/>
  <pageSetup paperSize="9" orientation="portrait" horizontalDpi="150" verticalDpi="150" r:id="rId2"/>
  <headerFooter alignWithMargins="0">
    <oddFooter>&amp;R&amp;"Tahoma,Italic"&amp;8Print date and time: &amp;D,&amp;T</oddFooter>
  </headerFooter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631F4-E442-4213-8F7D-3135C615B871}">
  <dimension ref="A1:J40"/>
  <sheetViews>
    <sheetView topLeftCell="A4" zoomScaleNormal="75" zoomScaleSheetLayoutView="100" workbookViewId="0">
      <pane xSplit="1" ySplit="3" topLeftCell="B7" activePane="bottomRight" state="frozen"/>
      <selection activeCell="A4" sqref="A4"/>
      <selection pane="topRight" activeCell="B4" sqref="B4"/>
      <selection pane="bottomLeft" activeCell="A5" sqref="A5"/>
      <selection pane="bottomRight" activeCell="L10" sqref="L10"/>
    </sheetView>
  </sheetViews>
  <sheetFormatPr defaultColWidth="9.109375" defaultRowHeight="13.2" x14ac:dyDescent="0.25"/>
  <cols>
    <col min="1" max="1" width="9.109375" style="1"/>
    <col min="2" max="2" width="12.33203125" style="3" customWidth="1"/>
    <col min="3" max="3" width="11.44140625" style="3" customWidth="1"/>
    <col min="4" max="4" width="9" style="3" customWidth="1"/>
    <col min="5" max="5" width="11.5546875" style="3" customWidth="1"/>
    <col min="6" max="6" width="9.109375" style="3"/>
    <col min="7" max="7" width="8" style="1" customWidth="1"/>
    <col min="8" max="8" width="10.109375" style="3" customWidth="1"/>
    <col min="9" max="9" width="9.5546875" style="1" customWidth="1"/>
    <col min="10" max="10" width="10.33203125" style="1" customWidth="1"/>
    <col min="11" max="16384" width="9.109375" style="1"/>
  </cols>
  <sheetData>
    <row r="1" spans="1:9" ht="20.100000000000001" customHeight="1" x14ac:dyDescent="0.25">
      <c r="A1" s="11" t="s">
        <v>25</v>
      </c>
      <c r="B1" s="9"/>
      <c r="C1" s="9"/>
      <c r="D1" s="9"/>
      <c r="E1" s="9"/>
      <c r="F1" s="9"/>
      <c r="G1" s="9"/>
      <c r="H1" s="9"/>
    </row>
    <row r="2" spans="1:9" ht="20.100000000000001" customHeight="1" x14ac:dyDescent="0.25">
      <c r="A2" s="12" t="s">
        <v>41</v>
      </c>
      <c r="B2" s="10"/>
      <c r="C2" s="10"/>
      <c r="D2" s="10"/>
      <c r="E2" s="10"/>
      <c r="F2" s="10"/>
      <c r="G2" s="10"/>
      <c r="H2" s="10"/>
    </row>
    <row r="3" spans="1:9" ht="20.100000000000001" customHeight="1" x14ac:dyDescent="0.25">
      <c r="A3" s="2" t="s">
        <v>43</v>
      </c>
      <c r="B3" s="1"/>
    </row>
    <row r="4" spans="1:9" ht="20.100000000000001" customHeight="1" x14ac:dyDescent="0.25">
      <c r="A4" s="2"/>
      <c r="B4" s="1"/>
      <c r="F4" s="47" t="s">
        <v>55</v>
      </c>
    </row>
    <row r="5" spans="1:9" ht="20.100000000000001" customHeight="1" x14ac:dyDescent="0.25">
      <c r="A5" s="2"/>
      <c r="B5" s="1"/>
      <c r="F5" s="3" t="s">
        <v>56</v>
      </c>
    </row>
    <row r="6" spans="1:9" s="5" customFormat="1" ht="39.75" customHeight="1" x14ac:dyDescent="0.25">
      <c r="A6" s="45" t="s">
        <v>1</v>
      </c>
      <c r="B6" s="46" t="s">
        <v>26</v>
      </c>
      <c r="C6" s="46" t="s">
        <v>22</v>
      </c>
      <c r="D6" s="46" t="s">
        <v>27</v>
      </c>
      <c r="E6" s="46" t="s">
        <v>28</v>
      </c>
      <c r="F6" s="46" t="s">
        <v>2</v>
      </c>
      <c r="G6" s="46" t="s">
        <v>3</v>
      </c>
      <c r="H6" s="46" t="s">
        <v>4</v>
      </c>
    </row>
    <row r="7" spans="1:9" ht="18.899999999999999" customHeight="1" x14ac:dyDescent="0.25">
      <c r="A7" s="21">
        <v>1</v>
      </c>
      <c r="B7" s="15" t="s">
        <v>5</v>
      </c>
      <c r="C7" s="15">
        <v>19</v>
      </c>
      <c r="D7" s="77"/>
      <c r="E7" s="22">
        <f t="shared" ref="E7:E20" si="0">C7*D7</f>
        <v>0</v>
      </c>
      <c r="F7" s="15">
        <v>6</v>
      </c>
      <c r="G7" s="27">
        <v>5.2</v>
      </c>
      <c r="H7" s="16">
        <f t="shared" ref="H7:H20" si="1">G7*D7</f>
        <v>0</v>
      </c>
      <c r="I7" s="6"/>
    </row>
    <row r="8" spans="1:9" ht="18.899999999999999" customHeight="1" x14ac:dyDescent="0.25">
      <c r="A8" s="14">
        <v>2</v>
      </c>
      <c r="B8" s="17" t="s">
        <v>6</v>
      </c>
      <c r="C8" s="17">
        <v>21</v>
      </c>
      <c r="D8" s="76"/>
      <c r="E8" s="23">
        <f t="shared" si="0"/>
        <v>0</v>
      </c>
      <c r="F8" s="17">
        <v>10</v>
      </c>
      <c r="G8" s="28">
        <v>6.7</v>
      </c>
      <c r="H8" s="18">
        <f t="shared" si="1"/>
        <v>0</v>
      </c>
      <c r="I8" s="6"/>
    </row>
    <row r="9" spans="1:9" ht="18.899999999999999" customHeight="1" x14ac:dyDescent="0.25">
      <c r="A9" s="14">
        <v>3</v>
      </c>
      <c r="B9" s="17" t="s">
        <v>7</v>
      </c>
      <c r="C9" s="17">
        <v>24</v>
      </c>
      <c r="D9" s="76"/>
      <c r="E9" s="23">
        <f t="shared" si="0"/>
        <v>0</v>
      </c>
      <c r="F9" s="17">
        <v>16</v>
      </c>
      <c r="G9" s="28">
        <v>7.8</v>
      </c>
      <c r="H9" s="18">
        <f t="shared" si="1"/>
        <v>0</v>
      </c>
      <c r="I9" s="6"/>
    </row>
    <row r="10" spans="1:9" ht="18.899999999999999" customHeight="1" x14ac:dyDescent="0.25">
      <c r="A10" s="14">
        <v>4</v>
      </c>
      <c r="B10" s="17" t="s">
        <v>8</v>
      </c>
      <c r="C10" s="17">
        <v>29</v>
      </c>
      <c r="D10" s="76"/>
      <c r="E10" s="23">
        <f t="shared" si="0"/>
        <v>0</v>
      </c>
      <c r="F10" s="17">
        <v>16</v>
      </c>
      <c r="G10" s="28">
        <v>7.8</v>
      </c>
      <c r="H10" s="18">
        <f t="shared" si="1"/>
        <v>0</v>
      </c>
      <c r="I10" s="6"/>
    </row>
    <row r="11" spans="1:9" ht="18.899999999999999" customHeight="1" x14ac:dyDescent="0.25">
      <c r="A11" s="14">
        <v>5</v>
      </c>
      <c r="B11" s="17" t="s">
        <v>9</v>
      </c>
      <c r="C11" s="17">
        <v>29</v>
      </c>
      <c r="D11" s="76"/>
      <c r="E11" s="23">
        <f t="shared" si="0"/>
        <v>0</v>
      </c>
      <c r="F11" s="17">
        <v>16</v>
      </c>
      <c r="G11" s="28">
        <v>7.8</v>
      </c>
      <c r="H11" s="18">
        <f t="shared" si="1"/>
        <v>0</v>
      </c>
      <c r="I11" s="6"/>
    </row>
    <row r="12" spans="1:9" ht="18.899999999999999" customHeight="1" x14ac:dyDescent="0.25">
      <c r="A12" s="14">
        <v>6</v>
      </c>
      <c r="B12" s="17" t="s">
        <v>10</v>
      </c>
      <c r="C12" s="17">
        <v>33</v>
      </c>
      <c r="D12" s="76"/>
      <c r="E12" s="23">
        <f t="shared" si="0"/>
        <v>0</v>
      </c>
      <c r="F12" s="17">
        <v>25</v>
      </c>
      <c r="G12" s="28">
        <v>9.6999999999999993</v>
      </c>
      <c r="H12" s="18">
        <f t="shared" si="1"/>
        <v>0</v>
      </c>
      <c r="I12" s="6"/>
    </row>
    <row r="13" spans="1:9" ht="18.899999999999999" customHeight="1" x14ac:dyDescent="0.25">
      <c r="A13" s="14">
        <v>7</v>
      </c>
      <c r="B13" s="17" t="s">
        <v>11</v>
      </c>
      <c r="C13" s="17">
        <v>39</v>
      </c>
      <c r="D13" s="76"/>
      <c r="E13" s="23">
        <f t="shared" si="0"/>
        <v>0</v>
      </c>
      <c r="F13" s="17">
        <v>35</v>
      </c>
      <c r="G13" s="28">
        <v>10.9</v>
      </c>
      <c r="H13" s="18">
        <f t="shared" si="1"/>
        <v>0</v>
      </c>
      <c r="I13" s="6"/>
    </row>
    <row r="14" spans="1:9" ht="18.899999999999999" customHeight="1" x14ac:dyDescent="0.25">
      <c r="A14" s="14">
        <v>8</v>
      </c>
      <c r="B14" s="17" t="s">
        <v>12</v>
      </c>
      <c r="C14" s="17">
        <v>42</v>
      </c>
      <c r="D14" s="76"/>
      <c r="E14" s="23">
        <f t="shared" si="0"/>
        <v>0</v>
      </c>
      <c r="F14" s="17">
        <v>50</v>
      </c>
      <c r="G14" s="28">
        <v>12.8</v>
      </c>
      <c r="H14" s="18">
        <f t="shared" si="1"/>
        <v>0</v>
      </c>
      <c r="I14" s="6"/>
    </row>
    <row r="15" spans="1:9" ht="18.899999999999999" customHeight="1" x14ac:dyDescent="0.25">
      <c r="A15" s="14">
        <v>10</v>
      </c>
      <c r="B15" s="17" t="s">
        <v>13</v>
      </c>
      <c r="C15" s="17">
        <v>47</v>
      </c>
      <c r="D15" s="76"/>
      <c r="E15" s="23">
        <f t="shared" si="0"/>
        <v>0</v>
      </c>
      <c r="F15" s="17">
        <v>70</v>
      </c>
      <c r="G15" s="28">
        <v>14.6</v>
      </c>
      <c r="H15" s="18">
        <f t="shared" si="1"/>
        <v>0</v>
      </c>
      <c r="I15" s="6"/>
    </row>
    <row r="16" spans="1:9" ht="18.899999999999999" customHeight="1" x14ac:dyDescent="0.25">
      <c r="A16" s="14">
        <v>11</v>
      </c>
      <c r="B16" s="17" t="s">
        <v>14</v>
      </c>
      <c r="C16" s="17">
        <v>52</v>
      </c>
      <c r="D16" s="76"/>
      <c r="E16" s="23">
        <f t="shared" si="0"/>
        <v>0</v>
      </c>
      <c r="F16" s="17">
        <v>95</v>
      </c>
      <c r="G16" s="28">
        <v>17.100000000000001</v>
      </c>
      <c r="H16" s="18">
        <f t="shared" si="1"/>
        <v>0</v>
      </c>
      <c r="I16" s="6"/>
    </row>
    <row r="17" spans="1:10" ht="18.899999999999999" customHeight="1" x14ac:dyDescent="0.25">
      <c r="A17" s="14">
        <v>12</v>
      </c>
      <c r="B17" s="17" t="s">
        <v>15</v>
      </c>
      <c r="C17" s="17">
        <v>57</v>
      </c>
      <c r="D17" s="76"/>
      <c r="E17" s="23">
        <f t="shared" si="0"/>
        <v>0</v>
      </c>
      <c r="F17" s="17">
        <v>95</v>
      </c>
      <c r="G17" s="28">
        <v>17.100000000000001</v>
      </c>
      <c r="H17" s="18">
        <f t="shared" si="1"/>
        <v>0</v>
      </c>
      <c r="I17" s="6"/>
    </row>
    <row r="18" spans="1:10" ht="18.899999999999999" customHeight="1" x14ac:dyDescent="0.25">
      <c r="A18" s="14">
        <v>13</v>
      </c>
      <c r="B18" s="17" t="s">
        <v>16</v>
      </c>
      <c r="C18" s="17">
        <v>63</v>
      </c>
      <c r="D18" s="76"/>
      <c r="E18" s="23">
        <f t="shared" si="0"/>
        <v>0</v>
      </c>
      <c r="F18" s="17">
        <v>120</v>
      </c>
      <c r="G18" s="28">
        <v>18.8</v>
      </c>
      <c r="H18" s="18">
        <f t="shared" si="1"/>
        <v>0</v>
      </c>
      <c r="I18" s="6"/>
    </row>
    <row r="19" spans="1:10" ht="18.899999999999999" customHeight="1" x14ac:dyDescent="0.25">
      <c r="A19" s="14">
        <v>14</v>
      </c>
      <c r="B19" s="17" t="s">
        <v>17</v>
      </c>
      <c r="C19" s="17">
        <v>69</v>
      </c>
      <c r="D19" s="76"/>
      <c r="E19" s="23">
        <f t="shared" si="0"/>
        <v>0</v>
      </c>
      <c r="F19" s="17">
        <v>150</v>
      </c>
      <c r="G19" s="28">
        <v>20.9</v>
      </c>
      <c r="H19" s="18">
        <f t="shared" si="1"/>
        <v>0</v>
      </c>
      <c r="I19" s="6"/>
    </row>
    <row r="20" spans="1:10" ht="18.899999999999999" customHeight="1" x14ac:dyDescent="0.25">
      <c r="A20" s="14">
        <v>15</v>
      </c>
      <c r="B20" s="17" t="s">
        <v>18</v>
      </c>
      <c r="C20" s="17">
        <v>24</v>
      </c>
      <c r="D20" s="76"/>
      <c r="E20" s="23">
        <f t="shared" si="0"/>
        <v>0</v>
      </c>
      <c r="F20" s="17">
        <v>16</v>
      </c>
      <c r="G20" s="28">
        <v>7.8</v>
      </c>
      <c r="H20" s="18">
        <f t="shared" si="1"/>
        <v>0</v>
      </c>
      <c r="I20" s="6"/>
    </row>
    <row r="21" spans="1:10" ht="20.100000000000001" customHeight="1" x14ac:dyDescent="0.25">
      <c r="A21" s="24"/>
      <c r="B21" s="25"/>
      <c r="C21" s="26" t="s">
        <v>0</v>
      </c>
      <c r="D21" s="26">
        <f>SUM(D7:D20)</f>
        <v>0</v>
      </c>
      <c r="E21" s="29">
        <f>SUM(E7:E20)</f>
        <v>0</v>
      </c>
      <c r="F21" s="26"/>
      <c r="G21" s="26"/>
      <c r="H21" s="30">
        <f>SUM(H7:H20)</f>
        <v>0</v>
      </c>
      <c r="J21" s="7"/>
    </row>
    <row r="22" spans="1:10" ht="20.100000000000001" customHeight="1" x14ac:dyDescent="0.25">
      <c r="E22" s="50" t="s">
        <v>23</v>
      </c>
      <c r="F22" s="51"/>
      <c r="G22" s="51"/>
      <c r="H22" s="74">
        <f>SUM((E21*2)+H21)</f>
        <v>0</v>
      </c>
    </row>
    <row r="23" spans="1:10" ht="31.5" customHeight="1" x14ac:dyDescent="0.25">
      <c r="E23" s="48" t="s">
        <v>44</v>
      </c>
      <c r="F23" s="49"/>
      <c r="G23" s="49"/>
      <c r="H23" s="75">
        <f>H22*1.4285714</f>
        <v>0</v>
      </c>
    </row>
    <row r="24" spans="1:10" ht="20.100000000000001" customHeight="1" x14ac:dyDescent="0.25">
      <c r="E24" s="55" t="s">
        <v>42</v>
      </c>
      <c r="F24" s="56"/>
      <c r="G24" s="57" t="s">
        <v>45</v>
      </c>
      <c r="H24" s="58"/>
    </row>
    <row r="25" spans="1:10" ht="5.0999999999999996" customHeight="1" x14ac:dyDescent="0.25"/>
    <row r="26" spans="1:10" ht="20.100000000000001" customHeight="1" x14ac:dyDescent="0.25">
      <c r="A26" s="71" t="s">
        <v>30</v>
      </c>
      <c r="B26" s="15" t="s">
        <v>20</v>
      </c>
      <c r="C26" s="15">
        <v>49</v>
      </c>
      <c r="D26" s="15">
        <v>11</v>
      </c>
      <c r="E26" s="16">
        <f>C26*D26</f>
        <v>539</v>
      </c>
      <c r="G26" s="64" t="s">
        <v>32</v>
      </c>
      <c r="H26" s="65"/>
    </row>
    <row r="27" spans="1:10" ht="20.100000000000001" customHeight="1" x14ac:dyDescent="0.25">
      <c r="A27" s="72"/>
      <c r="B27" s="17"/>
      <c r="C27" s="17"/>
      <c r="D27" s="17"/>
      <c r="E27" s="13"/>
      <c r="G27" s="64"/>
      <c r="H27" s="65"/>
    </row>
    <row r="28" spans="1:10" ht="20.100000000000001" customHeight="1" x14ac:dyDescent="0.25">
      <c r="A28" s="72"/>
      <c r="B28" s="17" t="s">
        <v>21</v>
      </c>
      <c r="C28" s="17">
        <v>22.5</v>
      </c>
      <c r="D28" s="17">
        <v>2</v>
      </c>
      <c r="E28" s="18">
        <f>C28*D28</f>
        <v>45</v>
      </c>
      <c r="G28" s="53" t="s">
        <v>33</v>
      </c>
      <c r="H28" s="54"/>
    </row>
    <row r="29" spans="1:10" ht="20.100000000000001" customHeight="1" x14ac:dyDescent="0.25">
      <c r="A29" s="72"/>
      <c r="B29" s="52" t="s">
        <v>23</v>
      </c>
      <c r="C29" s="52"/>
      <c r="D29" s="52"/>
      <c r="E29" s="31">
        <f>E26+E28</f>
        <v>584</v>
      </c>
      <c r="G29" s="53" t="s">
        <v>34</v>
      </c>
      <c r="H29" s="54"/>
    </row>
    <row r="30" spans="1:10" ht="27.75" customHeight="1" x14ac:dyDescent="0.25">
      <c r="A30" s="72"/>
      <c r="B30" s="49" t="s">
        <v>44</v>
      </c>
      <c r="C30" s="49"/>
      <c r="D30" s="49"/>
      <c r="E30" s="19">
        <f>(E29*2)</f>
        <v>1168</v>
      </c>
      <c r="G30" s="53" t="s">
        <v>35</v>
      </c>
      <c r="H30" s="54"/>
    </row>
    <row r="31" spans="1:10" ht="20.100000000000001" customHeight="1" x14ac:dyDescent="0.25">
      <c r="A31" s="73"/>
      <c r="B31" s="59" t="s">
        <v>42</v>
      </c>
      <c r="C31" s="59"/>
      <c r="D31" s="59"/>
      <c r="E31" s="20" t="s">
        <v>46</v>
      </c>
      <c r="G31" s="53" t="s">
        <v>36</v>
      </c>
      <c r="H31" s="54"/>
    </row>
    <row r="32" spans="1:10" ht="5.0999999999999996" customHeight="1" x14ac:dyDescent="0.25">
      <c r="G32" s="53"/>
      <c r="H32" s="54"/>
    </row>
    <row r="33" spans="1:8" ht="20.100000000000001" customHeight="1" x14ac:dyDescent="0.25">
      <c r="A33" s="61" t="s">
        <v>31</v>
      </c>
      <c r="B33" s="15" t="s">
        <v>20</v>
      </c>
      <c r="C33" s="15">
        <v>49</v>
      </c>
      <c r="D33" s="15">
        <v>7</v>
      </c>
      <c r="E33" s="16">
        <f>C33*D33</f>
        <v>343</v>
      </c>
      <c r="G33" s="53" t="s">
        <v>37</v>
      </c>
      <c r="H33" s="54"/>
    </row>
    <row r="34" spans="1:8" ht="20.100000000000001" customHeight="1" x14ac:dyDescent="0.25">
      <c r="A34" s="62"/>
      <c r="B34" s="17"/>
      <c r="C34" s="17"/>
      <c r="D34" s="17"/>
      <c r="E34" s="13"/>
      <c r="G34" s="53" t="s">
        <v>38</v>
      </c>
      <c r="H34" s="54"/>
    </row>
    <row r="35" spans="1:8" ht="20.100000000000001" customHeight="1" x14ac:dyDescent="0.25">
      <c r="A35" s="62"/>
      <c r="B35" s="17" t="s">
        <v>21</v>
      </c>
      <c r="C35" s="17">
        <v>22.5</v>
      </c>
      <c r="D35" s="17">
        <v>2</v>
      </c>
      <c r="E35" s="18">
        <f>C35*D35</f>
        <v>45</v>
      </c>
      <c r="G35" s="53" t="s">
        <v>39</v>
      </c>
      <c r="H35" s="54"/>
    </row>
    <row r="36" spans="1:8" ht="20.100000000000001" customHeight="1" x14ac:dyDescent="0.25">
      <c r="A36" s="62"/>
      <c r="B36" s="52" t="s">
        <v>23</v>
      </c>
      <c r="C36" s="52"/>
      <c r="D36" s="52"/>
      <c r="E36" s="31">
        <f>E33+E35</f>
        <v>388</v>
      </c>
      <c r="G36" s="53" t="s">
        <v>40</v>
      </c>
      <c r="H36" s="54"/>
    </row>
    <row r="37" spans="1:8" ht="27.75" customHeight="1" x14ac:dyDescent="0.25">
      <c r="A37" s="62"/>
      <c r="B37" s="49" t="s">
        <v>29</v>
      </c>
      <c r="C37" s="49"/>
      <c r="D37" s="49"/>
      <c r="E37" s="19">
        <f>E36*170%</f>
        <v>659.6</v>
      </c>
      <c r="G37" s="60"/>
      <c r="H37" s="60"/>
    </row>
    <row r="38" spans="1:8" ht="20.100000000000001" customHeight="1" x14ac:dyDescent="0.25">
      <c r="A38" s="63"/>
      <c r="B38" s="59" t="s">
        <v>42</v>
      </c>
      <c r="C38" s="59"/>
      <c r="D38" s="59"/>
      <c r="E38" s="20" t="s">
        <v>47</v>
      </c>
      <c r="G38" s="60"/>
      <c r="H38" s="60"/>
    </row>
    <row r="39" spans="1:8" ht="20.100000000000001" customHeight="1" x14ac:dyDescent="0.25">
      <c r="A39" s="8" t="s">
        <v>19</v>
      </c>
      <c r="C39" s="1"/>
      <c r="D39" s="1"/>
      <c r="G39" s="60"/>
      <c r="H39" s="60"/>
    </row>
    <row r="40" spans="1:8" ht="20.100000000000001" customHeight="1" x14ac:dyDescent="0.25">
      <c r="A40" s="8" t="s">
        <v>24</v>
      </c>
      <c r="B40" s="8"/>
      <c r="C40" s="1"/>
      <c r="D40" s="1"/>
      <c r="G40" s="60"/>
      <c r="H40" s="60"/>
    </row>
  </sheetData>
  <mergeCells count="25">
    <mergeCell ref="E23:G23"/>
    <mergeCell ref="B30:D30"/>
    <mergeCell ref="E22:G22"/>
    <mergeCell ref="B37:D37"/>
    <mergeCell ref="B29:D29"/>
    <mergeCell ref="B36:D36"/>
    <mergeCell ref="G31:H32"/>
    <mergeCell ref="G33:H33"/>
    <mergeCell ref="G34:H34"/>
    <mergeCell ref="E24:F24"/>
    <mergeCell ref="G24:H24"/>
    <mergeCell ref="A26:A31"/>
    <mergeCell ref="B31:D31"/>
    <mergeCell ref="G39:H39"/>
    <mergeCell ref="A33:A38"/>
    <mergeCell ref="G26:H27"/>
    <mergeCell ref="G28:H28"/>
    <mergeCell ref="G29:H29"/>
    <mergeCell ref="G30:H30"/>
    <mergeCell ref="G40:H40"/>
    <mergeCell ref="B38:D38"/>
    <mergeCell ref="G35:H35"/>
    <mergeCell ref="G36:H36"/>
    <mergeCell ref="G37:H37"/>
    <mergeCell ref="G38:H38"/>
  </mergeCells>
  <phoneticPr fontId="0" type="noConversion"/>
  <hyperlinks>
    <hyperlink ref="F4" r:id="rId1" xr:uid="{38B64DA2-4A7E-43FB-B904-527B6EF4986E}"/>
  </hyperlinks>
  <printOptions horizontalCentered="1"/>
  <pageMargins left="0.5" right="0.5" top="0.25" bottom="0" header="0" footer="0"/>
  <pageSetup paperSize="9" orientation="portrait" horizontalDpi="150" verticalDpi="150" r:id="rId2"/>
  <headerFooter alignWithMargins="0">
    <oddFooter>&amp;R&amp;"Tahoma,Italic"&amp;8Print date and time: &amp;D,&amp;T</oddFooter>
  </headerFooter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580B3-2C0B-40A8-8C04-0AFA56991CF7}">
  <dimension ref="A1:L41"/>
  <sheetViews>
    <sheetView topLeftCell="A4" zoomScaleNormal="75" zoomScaleSheetLayoutView="100" workbookViewId="0">
      <pane ySplit="20" topLeftCell="A24" activePane="bottomLeft" state="frozen"/>
      <selection activeCell="A4" sqref="A4"/>
      <selection pane="bottomLeft" activeCell="O13" sqref="O13"/>
    </sheetView>
  </sheetViews>
  <sheetFormatPr defaultColWidth="9.109375" defaultRowHeight="13.2" x14ac:dyDescent="0.25"/>
  <cols>
    <col min="1" max="1" width="9.109375" style="1"/>
    <col min="2" max="2" width="12.33203125" style="3" customWidth="1"/>
    <col min="3" max="3" width="11.44140625" style="3" customWidth="1"/>
    <col min="4" max="4" width="9" style="3" customWidth="1"/>
    <col min="5" max="5" width="11.5546875" style="3" hidden="1" customWidth="1"/>
    <col min="6" max="6" width="9.109375" style="3" hidden="1" customWidth="1"/>
    <col min="7" max="7" width="8" style="1" hidden="1" customWidth="1"/>
    <col min="8" max="8" width="10.109375" style="3" hidden="1" customWidth="1"/>
    <col min="9" max="9" width="9.5546875" style="1" customWidth="1"/>
    <col min="10" max="10" width="10.33203125" style="1" customWidth="1"/>
    <col min="11" max="16384" width="9.109375" style="1"/>
  </cols>
  <sheetData>
    <row r="1" spans="1:12" ht="20.100000000000001" hidden="1" customHeight="1" x14ac:dyDescent="0.25">
      <c r="A1" s="11" t="s">
        <v>25</v>
      </c>
      <c r="B1" s="9"/>
      <c r="C1" s="9"/>
      <c r="D1" s="9"/>
      <c r="E1" s="9"/>
      <c r="F1" s="9"/>
      <c r="G1" s="9"/>
      <c r="H1" s="9"/>
    </row>
    <row r="2" spans="1:12" ht="20.100000000000001" hidden="1" customHeight="1" x14ac:dyDescent="0.25">
      <c r="A2" s="12" t="s">
        <v>41</v>
      </c>
      <c r="B2" s="10"/>
      <c r="C2" s="10"/>
      <c r="D2" s="10"/>
      <c r="E2" s="10"/>
      <c r="F2" s="10"/>
      <c r="G2" s="10"/>
      <c r="H2" s="10"/>
    </row>
    <row r="3" spans="1:12" ht="20.100000000000001" hidden="1" customHeight="1" x14ac:dyDescent="0.25">
      <c r="A3" s="2" t="s">
        <v>43</v>
      </c>
      <c r="B3" s="1"/>
    </row>
    <row r="4" spans="1:12" ht="20.100000000000001" customHeight="1" x14ac:dyDescent="0.25">
      <c r="A4" s="2"/>
      <c r="B4" s="1"/>
      <c r="F4" s="47" t="s">
        <v>55</v>
      </c>
      <c r="I4" s="47" t="s">
        <v>55</v>
      </c>
    </row>
    <row r="5" spans="1:12" ht="20.100000000000001" customHeight="1" x14ac:dyDescent="0.25">
      <c r="A5" s="2"/>
      <c r="B5" s="1"/>
      <c r="F5" s="3" t="s">
        <v>56</v>
      </c>
      <c r="I5" s="3" t="s">
        <v>56</v>
      </c>
    </row>
    <row r="6" spans="1:12" s="5" customFormat="1" ht="39.75" customHeight="1" x14ac:dyDescent="0.25">
      <c r="A6" s="45" t="s">
        <v>1</v>
      </c>
      <c r="B6" s="46" t="s">
        <v>26</v>
      </c>
      <c r="C6" s="46" t="s">
        <v>22</v>
      </c>
      <c r="D6" s="46" t="s">
        <v>27</v>
      </c>
      <c r="E6" s="4" t="s">
        <v>28</v>
      </c>
      <c r="F6" s="4" t="s">
        <v>2</v>
      </c>
      <c r="G6" s="4" t="s">
        <v>3</v>
      </c>
      <c r="H6" s="4" t="s">
        <v>4</v>
      </c>
    </row>
    <row r="7" spans="1:12" ht="18.899999999999999" customHeight="1" x14ac:dyDescent="0.25">
      <c r="A7" s="21">
        <v>1</v>
      </c>
      <c r="B7" s="15" t="s">
        <v>5</v>
      </c>
      <c r="C7" s="15">
        <v>19</v>
      </c>
      <c r="D7" s="77"/>
      <c r="E7" s="22">
        <f t="shared" ref="E7:E19" si="0">C7*D7</f>
        <v>0</v>
      </c>
      <c r="F7" s="15">
        <v>6</v>
      </c>
      <c r="G7" s="27">
        <v>5.2</v>
      </c>
      <c r="H7" s="16">
        <f t="shared" ref="H7:H19" si="1">G7*D7</f>
        <v>0</v>
      </c>
      <c r="I7" s="6"/>
    </row>
    <row r="8" spans="1:12" ht="18.899999999999999" customHeight="1" x14ac:dyDescent="0.25">
      <c r="A8" s="14">
        <v>2</v>
      </c>
      <c r="B8" s="17" t="s">
        <v>6</v>
      </c>
      <c r="C8" s="17">
        <v>21</v>
      </c>
      <c r="D8" s="76">
        <v>1</v>
      </c>
      <c r="E8" s="23">
        <f t="shared" si="0"/>
        <v>21</v>
      </c>
      <c r="F8" s="17">
        <v>10</v>
      </c>
      <c r="G8" s="28">
        <v>6.7</v>
      </c>
      <c r="H8" s="18">
        <f t="shared" si="1"/>
        <v>6.7</v>
      </c>
      <c r="I8" s="6"/>
    </row>
    <row r="9" spans="1:12" ht="18.899999999999999" customHeight="1" x14ac:dyDescent="0.25">
      <c r="A9" s="14">
        <v>3</v>
      </c>
      <c r="B9" s="17" t="s">
        <v>7</v>
      </c>
      <c r="C9" s="17">
        <v>24</v>
      </c>
      <c r="D9" s="76"/>
      <c r="E9" s="23">
        <f t="shared" si="0"/>
        <v>0</v>
      </c>
      <c r="F9" s="17">
        <v>16</v>
      </c>
      <c r="G9" s="28">
        <v>7.8</v>
      </c>
      <c r="H9" s="18">
        <f t="shared" si="1"/>
        <v>0</v>
      </c>
      <c r="I9" s="6"/>
    </row>
    <row r="10" spans="1:12" ht="18.899999999999999" customHeight="1" x14ac:dyDescent="0.25">
      <c r="A10" s="14">
        <v>4</v>
      </c>
      <c r="B10" s="17" t="s">
        <v>8</v>
      </c>
      <c r="C10" s="17">
        <v>29</v>
      </c>
      <c r="D10" s="76">
        <v>1</v>
      </c>
      <c r="E10" s="23">
        <f t="shared" si="0"/>
        <v>29</v>
      </c>
      <c r="F10" s="17">
        <v>16</v>
      </c>
      <c r="G10" s="28">
        <v>7.8</v>
      </c>
      <c r="H10" s="18">
        <f t="shared" si="1"/>
        <v>7.8</v>
      </c>
      <c r="I10" s="6"/>
      <c r="K10" s="1" t="s">
        <v>54</v>
      </c>
    </row>
    <row r="11" spans="1:12" ht="18.899999999999999" customHeight="1" x14ac:dyDescent="0.25">
      <c r="A11" s="14">
        <v>5</v>
      </c>
      <c r="B11" s="17" t="s">
        <v>9</v>
      </c>
      <c r="C11" s="17">
        <v>29</v>
      </c>
      <c r="D11" s="76"/>
      <c r="E11" s="23">
        <f t="shared" si="0"/>
        <v>0</v>
      </c>
      <c r="F11" s="17">
        <v>16</v>
      </c>
      <c r="G11" s="28">
        <v>7.8</v>
      </c>
      <c r="H11" s="18">
        <f t="shared" si="1"/>
        <v>0</v>
      </c>
      <c r="I11" s="6"/>
    </row>
    <row r="12" spans="1:12" ht="18.899999999999999" customHeight="1" x14ac:dyDescent="0.25">
      <c r="A12" s="14">
        <v>6</v>
      </c>
      <c r="B12" s="17" t="s">
        <v>10</v>
      </c>
      <c r="C12" s="17">
        <v>33</v>
      </c>
      <c r="D12" s="76"/>
      <c r="E12" s="23">
        <f t="shared" si="0"/>
        <v>0</v>
      </c>
      <c r="F12" s="17">
        <v>25</v>
      </c>
      <c r="G12" s="28">
        <v>9.6999999999999993</v>
      </c>
      <c r="H12" s="18">
        <f t="shared" si="1"/>
        <v>0</v>
      </c>
      <c r="I12" s="6"/>
    </row>
    <row r="13" spans="1:12" ht="18.899999999999999" customHeight="1" x14ac:dyDescent="0.25">
      <c r="A13" s="14">
        <v>7</v>
      </c>
      <c r="B13" s="17" t="s">
        <v>11</v>
      </c>
      <c r="C13" s="17">
        <v>39</v>
      </c>
      <c r="D13" s="76">
        <v>1</v>
      </c>
      <c r="E13" s="23">
        <f t="shared" si="0"/>
        <v>39</v>
      </c>
      <c r="F13" s="17">
        <v>35</v>
      </c>
      <c r="G13" s="28">
        <v>10.9</v>
      </c>
      <c r="H13" s="18">
        <f t="shared" si="1"/>
        <v>10.9</v>
      </c>
      <c r="I13" s="6"/>
    </row>
    <row r="14" spans="1:12" ht="18.899999999999999" customHeight="1" x14ac:dyDescent="0.25">
      <c r="A14" s="14">
        <v>8</v>
      </c>
      <c r="B14" s="17" t="s">
        <v>12</v>
      </c>
      <c r="C14" s="17">
        <v>42</v>
      </c>
      <c r="D14" s="76"/>
      <c r="E14" s="23">
        <f t="shared" si="0"/>
        <v>0</v>
      </c>
      <c r="F14" s="17">
        <v>50</v>
      </c>
      <c r="G14" s="28">
        <v>12.8</v>
      </c>
      <c r="H14" s="18">
        <f t="shared" si="1"/>
        <v>0</v>
      </c>
      <c r="I14" s="6"/>
      <c r="L14" s="37"/>
    </row>
    <row r="15" spans="1:12" ht="18.899999999999999" customHeight="1" x14ac:dyDescent="0.25">
      <c r="A15" s="14">
        <v>10</v>
      </c>
      <c r="B15" s="17" t="s">
        <v>13</v>
      </c>
      <c r="C15" s="17">
        <v>47</v>
      </c>
      <c r="D15" s="76"/>
      <c r="E15" s="23">
        <f t="shared" si="0"/>
        <v>0</v>
      </c>
      <c r="F15" s="17">
        <v>70</v>
      </c>
      <c r="G15" s="28">
        <v>14.6</v>
      </c>
      <c r="H15" s="18">
        <f t="shared" si="1"/>
        <v>0</v>
      </c>
      <c r="I15" s="6"/>
      <c r="J15" s="42" t="s">
        <v>52</v>
      </c>
      <c r="K15" s="43" t="s">
        <v>53</v>
      </c>
    </row>
    <row r="16" spans="1:12" ht="18.899999999999999" customHeight="1" x14ac:dyDescent="0.25">
      <c r="A16" s="14">
        <v>11</v>
      </c>
      <c r="B16" s="17" t="s">
        <v>14</v>
      </c>
      <c r="C16" s="17">
        <v>52</v>
      </c>
      <c r="D16" s="76"/>
      <c r="E16" s="23">
        <f t="shared" si="0"/>
        <v>0</v>
      </c>
      <c r="F16" s="17">
        <v>95</v>
      </c>
      <c r="G16" s="28">
        <v>17.100000000000001</v>
      </c>
      <c r="H16" s="18">
        <f t="shared" si="1"/>
        <v>0</v>
      </c>
      <c r="I16" s="6"/>
      <c r="J16" s="80">
        <v>0.25</v>
      </c>
      <c r="K16" s="38">
        <v>0.3</v>
      </c>
    </row>
    <row r="17" spans="1:12" ht="18.899999999999999" customHeight="1" x14ac:dyDescent="0.25">
      <c r="A17" s="14">
        <v>12</v>
      </c>
      <c r="B17" s="17" t="s">
        <v>15</v>
      </c>
      <c r="C17" s="17">
        <v>57</v>
      </c>
      <c r="D17" s="76">
        <v>2</v>
      </c>
      <c r="E17" s="23">
        <f t="shared" si="0"/>
        <v>114</v>
      </c>
      <c r="F17" s="17">
        <v>95</v>
      </c>
      <c r="G17" s="28">
        <v>17.100000000000001</v>
      </c>
      <c r="H17" s="18">
        <f t="shared" si="1"/>
        <v>34.200000000000003</v>
      </c>
      <c r="I17" s="6"/>
      <c r="J17" s="81">
        <f>(D23*25%)+(D23)</f>
        <v>538.75</v>
      </c>
      <c r="K17" s="44">
        <f>(D23*30%)+(D23)</f>
        <v>560.29999999999995</v>
      </c>
    </row>
    <row r="18" spans="1:12" ht="18.899999999999999" customHeight="1" x14ac:dyDescent="0.25">
      <c r="A18" s="14">
        <v>13</v>
      </c>
      <c r="B18" s="17" t="s">
        <v>16</v>
      </c>
      <c r="C18" s="17">
        <v>63</v>
      </c>
      <c r="D18" s="76"/>
      <c r="E18" s="23">
        <f t="shared" si="0"/>
        <v>0</v>
      </c>
      <c r="F18" s="17">
        <v>120</v>
      </c>
      <c r="G18" s="28">
        <v>18.8</v>
      </c>
      <c r="H18" s="18">
        <f t="shared" si="1"/>
        <v>0</v>
      </c>
      <c r="I18" s="6"/>
    </row>
    <row r="19" spans="1:12" ht="18.899999999999999" customHeight="1" x14ac:dyDescent="0.25">
      <c r="A19" s="14">
        <v>14</v>
      </c>
      <c r="B19" s="17" t="s">
        <v>17</v>
      </c>
      <c r="C19" s="17">
        <v>69</v>
      </c>
      <c r="D19" s="78"/>
      <c r="E19" s="23">
        <f t="shared" si="0"/>
        <v>0</v>
      </c>
      <c r="F19" s="17">
        <v>150</v>
      </c>
      <c r="G19" s="28">
        <v>20.9</v>
      </c>
      <c r="H19" s="18">
        <f t="shared" si="1"/>
        <v>0</v>
      </c>
      <c r="I19" s="6"/>
      <c r="J19" s="40" t="s">
        <v>50</v>
      </c>
      <c r="K19" s="39">
        <f>K17-J17</f>
        <v>21.549999999999955</v>
      </c>
      <c r="L19" s="41" t="s">
        <v>51</v>
      </c>
    </row>
    <row r="20" spans="1:12" ht="20.100000000000001" customHeight="1" x14ac:dyDescent="0.25">
      <c r="A20" s="24"/>
      <c r="B20" s="25"/>
      <c r="C20" s="34" t="s">
        <v>0</v>
      </c>
      <c r="D20" s="36">
        <f>SUM(D7:D19)</f>
        <v>5</v>
      </c>
      <c r="E20" s="35">
        <f>SUM(E7:E19)</f>
        <v>203</v>
      </c>
      <c r="F20" s="26"/>
      <c r="G20" s="26"/>
      <c r="H20" s="30">
        <f>SUM(H7:H19)</f>
        <v>59.6</v>
      </c>
      <c r="J20" s="7"/>
    </row>
    <row r="21" spans="1:12" ht="20.100000000000001" hidden="1" customHeight="1" x14ac:dyDescent="0.25">
      <c r="E21" s="66"/>
      <c r="F21" s="67"/>
      <c r="G21" s="67"/>
      <c r="H21" s="32">
        <f>SUM(E20*2)</f>
        <v>406</v>
      </c>
    </row>
    <row r="22" spans="1:12" ht="20.100000000000001" customHeight="1" x14ac:dyDescent="0.25">
      <c r="B22" s="70" t="s">
        <v>49</v>
      </c>
      <c r="C22" s="70"/>
      <c r="D22" s="79">
        <v>25</v>
      </c>
      <c r="H22" s="3">
        <f>D22</f>
        <v>25</v>
      </c>
    </row>
    <row r="23" spans="1:12" ht="20.100000000000001" customHeight="1" x14ac:dyDescent="0.25">
      <c r="B23" s="68" t="s">
        <v>48</v>
      </c>
      <c r="C23" s="69"/>
      <c r="D23" s="33">
        <f>SUM(H21:H22)</f>
        <v>431</v>
      </c>
    </row>
    <row r="24" spans="1:12" ht="20.100000000000001" customHeight="1" x14ac:dyDescent="0.25"/>
    <row r="25" spans="1:12" ht="20.100000000000001" customHeight="1" x14ac:dyDescent="0.25"/>
    <row r="26" spans="1:12" ht="20.100000000000001" customHeight="1" x14ac:dyDescent="0.25"/>
    <row r="27" spans="1:12" ht="20.100000000000001" customHeight="1" x14ac:dyDescent="0.25"/>
    <row r="28" spans="1:12" ht="20.100000000000001" customHeight="1" x14ac:dyDescent="0.25"/>
    <row r="29" spans="1:12" ht="20.100000000000001" customHeight="1" x14ac:dyDescent="0.25"/>
    <row r="30" spans="1:12" ht="20.100000000000001" customHeight="1" x14ac:dyDescent="0.25"/>
    <row r="31" spans="1:12" ht="20.100000000000001" customHeight="1" x14ac:dyDescent="0.25"/>
    <row r="32" spans="1:12" ht="20.100000000000001" customHeight="1" x14ac:dyDescent="0.25"/>
    <row r="33" ht="20.100000000000001" customHeight="1" x14ac:dyDescent="0.25"/>
    <row r="34" ht="20.100000000000001" customHeight="1" x14ac:dyDescent="0.25"/>
    <row r="35" ht="20.100000000000001" customHeight="1" x14ac:dyDescent="0.25"/>
    <row r="36" ht="20.100000000000001" customHeight="1" x14ac:dyDescent="0.25"/>
    <row r="37" ht="20.100000000000001" customHeight="1" x14ac:dyDescent="0.25"/>
    <row r="38" ht="20.100000000000001" customHeight="1" x14ac:dyDescent="0.25"/>
    <row r="39" ht="20.100000000000001" customHeight="1" x14ac:dyDescent="0.25"/>
    <row r="40" ht="20.100000000000001" customHeight="1" x14ac:dyDescent="0.25"/>
    <row r="41" ht="20.100000000000001" customHeight="1" x14ac:dyDescent="0.25"/>
  </sheetData>
  <mergeCells count="3">
    <mergeCell ref="E21:G21"/>
    <mergeCell ref="B23:C23"/>
    <mergeCell ref="B22:C22"/>
  </mergeCells>
  <phoneticPr fontId="0" type="noConversion"/>
  <hyperlinks>
    <hyperlink ref="F4" r:id="rId1" xr:uid="{FEAA4E73-F1B8-4320-BCDE-A91A9349A1E2}"/>
    <hyperlink ref="I4" r:id="rId2" xr:uid="{97A07A55-EA03-4EA3-A67F-2614CAA5D883}"/>
  </hyperlinks>
  <printOptions horizontalCentered="1"/>
  <pageMargins left="0.5" right="0.5" top="0.25" bottom="0" header="0" footer="0"/>
  <pageSetup paperSize="9" orientation="portrait" horizontalDpi="150" verticalDpi="150" r:id="rId3"/>
  <headerFooter alignWithMargins="0">
    <oddFooter>&amp;R&amp;"Tahoma,Italic"&amp;8Print date and time: &amp;D,&amp;T</oddFooter>
  </headerFooter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L SIDE</vt:lpstr>
      <vt:lpstr>R SIDE</vt:lpstr>
      <vt:lpstr>flasys</vt:lpstr>
      <vt:lpstr>flasys!Print_Area</vt:lpstr>
      <vt:lpstr>'L SIDE'!Print_Area</vt:lpstr>
      <vt:lpstr>'R SIDE'!Print_Area</vt:lpstr>
    </vt:vector>
  </TitlesOfParts>
  <Company>LUNAR ELECTRO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LUNAR</dc:creator>
  <cp:lastModifiedBy>Ankesh Mishra</cp:lastModifiedBy>
  <cp:lastPrinted>2004-02-09T10:00:57Z</cp:lastPrinted>
  <dcterms:created xsi:type="dcterms:W3CDTF">2004-02-08T09:14:32Z</dcterms:created>
  <dcterms:modified xsi:type="dcterms:W3CDTF">2025-03-19T08:02:10Z</dcterms:modified>
</cp:coreProperties>
</file>