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D7134C6C-A7B4-4DD1-BEDA-340FC3E351DC}" xr6:coauthVersionLast="47" xr6:coauthVersionMax="47" xr10:uidLastSave="{00000000-0000-0000-0000-000000000000}"/>
  <bookViews>
    <workbookView xWindow="-108" yWindow="-108" windowWidth="23256" windowHeight="12456" xr2:uid="{5A2F6504-6447-43A7-8A33-21E98A80FBEA}"/>
  </bookViews>
  <sheets>
    <sheet name="Sheet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2" i="2" l="1"/>
  <c r="O421" i="2"/>
  <c r="O420" i="2"/>
  <c r="O419" i="2"/>
  <c r="L410" i="2"/>
  <c r="L412" i="2" s="1"/>
  <c r="N409" i="2"/>
  <c r="L409" i="2"/>
  <c r="O381" i="2"/>
  <c r="O380" i="2"/>
  <c r="O379" i="2"/>
  <c r="O378" i="2"/>
  <c r="L369" i="2"/>
  <c r="L371" i="2" s="1"/>
  <c r="N368" i="2"/>
  <c r="L368" i="2"/>
  <c r="O340" i="2"/>
  <c r="O339" i="2"/>
  <c r="O338" i="2"/>
  <c r="O337" i="2"/>
  <c r="L328" i="2"/>
  <c r="L330" i="2" s="1"/>
  <c r="L327" i="2"/>
  <c r="O300" i="2"/>
  <c r="O299" i="2"/>
  <c r="O298" i="2"/>
  <c r="O297" i="2"/>
  <c r="L290" i="2"/>
  <c r="L288" i="2"/>
  <c r="N287" i="2"/>
  <c r="L287" i="2"/>
  <c r="O245" i="2"/>
  <c r="O244" i="2"/>
  <c r="O243" i="2"/>
  <c r="O242" i="2"/>
  <c r="O241" i="2"/>
  <c r="V225" i="2"/>
  <c r="S225" i="2"/>
  <c r="L226" i="2" s="1"/>
  <c r="L228" i="2" s="1"/>
  <c r="N230" i="2" s="1"/>
  <c r="X212" i="2"/>
  <c r="J214" i="2" s="1"/>
  <c r="P194" i="2"/>
  <c r="M178" i="2"/>
  <c r="O175" i="2"/>
  <c r="O157" i="2"/>
  <c r="O152" i="2"/>
  <c r="Q148" i="2"/>
  <c r="O144" i="2"/>
  <c r="O138" i="2"/>
  <c r="O137" i="2"/>
  <c r="O136" i="2"/>
  <c r="O135" i="2"/>
  <c r="O134" i="2"/>
  <c r="V119" i="2"/>
  <c r="S119" i="2"/>
  <c r="L120" i="2" s="1"/>
  <c r="L122" i="2" s="1"/>
  <c r="N124" i="2" s="1"/>
  <c r="X106" i="2"/>
  <c r="J108" i="2" s="1"/>
  <c r="P89" i="2"/>
  <c r="O79" i="2"/>
  <c r="O78" i="2"/>
  <c r="O77" i="2"/>
  <c r="O76" i="2"/>
  <c r="O75" i="2"/>
  <c r="V60" i="2"/>
  <c r="S60" i="2"/>
  <c r="L61" i="2" s="1"/>
  <c r="L63" i="2" s="1"/>
  <c r="N65" i="2" s="1"/>
  <c r="X47" i="2"/>
  <c r="J49" i="2" s="1"/>
  <c r="Q30" i="2"/>
  <c r="C4" i="2"/>
  <c r="C2" i="2"/>
  <c r="L66" i="2" l="1"/>
  <c r="L68" i="2" s="1"/>
  <c r="L65" i="2"/>
  <c r="L231" i="2"/>
  <c r="L233" i="2" s="1"/>
  <c r="L230" i="2"/>
  <c r="L125" i="2"/>
  <c r="L127" i="2" s="1"/>
  <c r="L124" i="2"/>
  <c r="J213" i="2"/>
  <c r="J48" i="2"/>
  <c r="J107" i="2"/>
</calcChain>
</file>

<file path=xl/sharedStrings.xml><?xml version="1.0" encoding="utf-8"?>
<sst xmlns="http://schemas.openxmlformats.org/spreadsheetml/2006/main" count="582" uniqueCount="155">
  <si>
    <t>By</t>
  </si>
  <si>
    <t>Project :</t>
  </si>
  <si>
    <t>Date</t>
  </si>
  <si>
    <t xml:space="preserve">Client : </t>
  </si>
  <si>
    <t xml:space="preserve">Doc. </t>
  </si>
  <si>
    <t>Chd.</t>
  </si>
  <si>
    <t xml:space="preserve">Subject : </t>
  </si>
  <si>
    <t>Contract No.-</t>
  </si>
  <si>
    <t>Rev. No.</t>
  </si>
  <si>
    <t>CALCULATIONS FOR CT &amp; PT PARAMETERS IN ARAR GENERATION EXPANSION PROJECT</t>
  </si>
  <si>
    <t xml:space="preserve">REFERENCE DATA </t>
  </si>
  <si>
    <t xml:space="preserve">1) </t>
  </si>
  <si>
    <t>Short Cicruit Study</t>
  </si>
  <si>
    <t>2)  General Site Layout -</t>
  </si>
  <si>
    <t xml:space="preserve">3)  SEC -EOA's Specification : </t>
  </si>
  <si>
    <t xml:space="preserve">4)  Main One line diagram(480V Swgr) </t>
  </si>
  <si>
    <t xml:space="preserve">5) </t>
  </si>
  <si>
    <t xml:space="preserve">480V Aux One line Diagram </t>
  </si>
  <si>
    <t>480V Switchgear Incomer CT sizing</t>
  </si>
  <si>
    <t>1) Calculation of parameters for  SAT  Neutral side CT used for Earth Fault 51G protection.</t>
  </si>
  <si>
    <t>BCT-HY.C1</t>
  </si>
  <si>
    <t xml:space="preserve">Station Auxiliary Transformer Rating </t>
  </si>
  <si>
    <t>=</t>
  </si>
  <si>
    <t>3 MVA , ONAN</t>
  </si>
  <si>
    <t>4.16/0.480kV, Dyn11, Z=8% at ONAN rating</t>
  </si>
  <si>
    <t>Therefore full load currrent on 480V Side</t>
  </si>
  <si>
    <t>(MVAx 1000)/(1.732 x kV)</t>
  </si>
  <si>
    <t>x</t>
  </si>
  <si>
    <t>/</t>
  </si>
  <si>
    <t>Amps</t>
  </si>
  <si>
    <t>CT ratio chosen</t>
  </si>
  <si>
    <t xml:space="preserve">4000/1 A </t>
  </si>
  <si>
    <t xml:space="preserve">Relay Used </t>
  </si>
  <si>
    <t>: SPAJ110C</t>
  </si>
  <si>
    <t>Knee Point Voltage Formulae</t>
  </si>
  <si>
    <t xml:space="preserve">The rated knee point voltage </t>
  </si>
  <si>
    <r>
      <t>E</t>
    </r>
    <r>
      <rPr>
        <vertAlign val="subscript"/>
        <sz val="10"/>
        <rFont val="Arial"/>
        <family val="2"/>
      </rPr>
      <t>k</t>
    </r>
  </si>
  <si>
    <r>
      <t>K</t>
    </r>
    <r>
      <rPr>
        <vertAlign val="subscript"/>
        <sz val="10"/>
        <rFont val="Arial"/>
        <family val="2"/>
      </rPr>
      <t>x</t>
    </r>
    <r>
      <rPr>
        <sz val="11"/>
        <color theme="1"/>
        <rFont val="Calibri"/>
        <family val="2"/>
        <scheme val="minor"/>
      </rPr>
      <t xml:space="preserve"> (R</t>
    </r>
    <r>
      <rPr>
        <vertAlign val="subscript"/>
        <sz val="10"/>
        <rFont val="Arial"/>
        <family val="2"/>
      </rPr>
      <t>ct</t>
    </r>
    <r>
      <rPr>
        <sz val="11"/>
        <color theme="1"/>
        <rFont val="Calibri"/>
        <family val="2"/>
        <scheme val="minor"/>
      </rPr>
      <t>+R</t>
    </r>
    <r>
      <rPr>
        <vertAlign val="subscript"/>
        <sz val="10"/>
        <rFont val="Arial"/>
        <family val="2"/>
      </rPr>
      <t>b</t>
    </r>
    <r>
      <rPr>
        <sz val="11"/>
        <color theme="1"/>
        <rFont val="Calibri"/>
        <family val="2"/>
        <scheme val="minor"/>
      </rPr>
      <t>) x I</t>
    </r>
    <r>
      <rPr>
        <vertAlign val="subscript"/>
        <sz val="10"/>
        <rFont val="Arial"/>
        <family val="2"/>
      </rPr>
      <t>sn</t>
    </r>
  </si>
  <si>
    <t>( IEC 60044-1 Amend, Page 17)</t>
  </si>
  <si>
    <t xml:space="preserve">where </t>
  </si>
  <si>
    <t xml:space="preserve">Kx </t>
  </si>
  <si>
    <t xml:space="preserve">Dimensioning facor </t>
  </si>
  <si>
    <t>Rct</t>
  </si>
  <si>
    <t>Maximum resistance of secondary winding</t>
  </si>
  <si>
    <t>Isn</t>
  </si>
  <si>
    <t>Rated secondary current</t>
  </si>
  <si>
    <t>Rb</t>
  </si>
  <si>
    <t>Rated resistive burden</t>
  </si>
  <si>
    <t>Rrelay + 2Rl</t>
  </si>
  <si>
    <t>Rl</t>
  </si>
  <si>
    <t>Cable resistance between CT &amp; Relay</t>
  </si>
  <si>
    <t>Knee Point Voltage calculation</t>
  </si>
  <si>
    <t xml:space="preserve">The actual fault as per short cirucit study is 45.7kA. Considering 20% margin it is </t>
  </si>
  <si>
    <t>KA</t>
  </si>
  <si>
    <r>
      <t>K</t>
    </r>
    <r>
      <rPr>
        <vertAlign val="subscript"/>
        <sz val="10"/>
        <rFont val="Arial"/>
        <family val="2"/>
      </rPr>
      <t>x</t>
    </r>
  </si>
  <si>
    <r>
      <t>R</t>
    </r>
    <r>
      <rPr>
        <vertAlign val="subscript"/>
        <sz val="10"/>
        <rFont val="Arial"/>
        <family val="2"/>
      </rPr>
      <t xml:space="preserve">ct </t>
    </r>
  </si>
  <si>
    <r>
      <t>R</t>
    </r>
    <r>
      <rPr>
        <vertAlign val="subscript"/>
        <sz val="10"/>
        <rFont val="Arial"/>
        <family val="2"/>
      </rPr>
      <t>b</t>
    </r>
  </si>
  <si>
    <r>
      <t>R</t>
    </r>
    <r>
      <rPr>
        <vertAlign val="subscript"/>
        <sz val="10"/>
        <rFont val="Arial"/>
        <family val="2"/>
      </rPr>
      <t>relay</t>
    </r>
    <r>
      <rPr>
        <sz val="11"/>
        <color theme="1"/>
        <rFont val="Calibri"/>
        <family val="2"/>
        <scheme val="minor"/>
      </rPr>
      <t xml:space="preserve"> + 2R</t>
    </r>
    <r>
      <rPr>
        <vertAlign val="subscript"/>
        <sz val="10"/>
        <rFont val="Arial"/>
        <family val="2"/>
      </rPr>
      <t>l</t>
    </r>
  </si>
  <si>
    <t>The CT burdens of numerical relays  are below 0.1VA and can therefore be neglected</t>
  </si>
  <si>
    <t>Considering 6 sq.mm copper conductor cable between CT and relay, resistance of</t>
  </si>
  <si>
    <t xml:space="preserve">6 sq.mm copper cable </t>
  </si>
  <si>
    <t>Ohms / km</t>
  </si>
  <si>
    <t>Maximum cable length</t>
  </si>
  <si>
    <t>M</t>
  </si>
  <si>
    <t>(from site plan)</t>
  </si>
  <si>
    <r>
      <t>Cable Lead Resistance for the loop R</t>
    </r>
    <r>
      <rPr>
        <vertAlign val="subscript"/>
        <sz val="10"/>
        <rFont val="Arial"/>
        <family val="2"/>
      </rPr>
      <t>l</t>
    </r>
    <r>
      <rPr>
        <sz val="11"/>
        <color theme="1"/>
        <rFont val="Calibri"/>
        <family val="2"/>
        <scheme val="minor"/>
      </rPr>
      <t xml:space="preserve">           =</t>
    </r>
  </si>
  <si>
    <t>Ohms</t>
  </si>
  <si>
    <r>
      <t>Knee point voltage E</t>
    </r>
    <r>
      <rPr>
        <vertAlign val="subscript"/>
        <sz val="10"/>
        <rFont val="Arial"/>
        <family val="2"/>
      </rPr>
      <t>k</t>
    </r>
  </si>
  <si>
    <t>Considering a margin of 20% on Ek as per PTS-1022, Appendix-V, Page 20 of 46</t>
  </si>
  <si>
    <t>Ek</t>
  </si>
  <si>
    <t>V</t>
  </si>
  <si>
    <t>CT Class =</t>
  </si>
  <si>
    <t>PX</t>
  </si>
  <si>
    <t xml:space="preserve">Therefore CT chosen </t>
  </si>
  <si>
    <t xml:space="preserve">CT RATIO                           </t>
  </si>
  <si>
    <t xml:space="preserve">Knee Point Voltage         </t>
  </si>
  <si>
    <t>&gt;=</t>
  </si>
  <si>
    <t xml:space="preserve">CT Wdg. Res. Rct              </t>
  </si>
  <si>
    <t>ohms</t>
  </si>
  <si>
    <t xml:space="preserve">CT Class                           </t>
  </si>
  <si>
    <t xml:space="preserve">CT Cable to be used         </t>
  </si>
  <si>
    <t>2) Calculation of CT parameters for  ( 51&amp; 51N) on LV side of SAT</t>
  </si>
  <si>
    <t>CT-101F.C1</t>
  </si>
  <si>
    <t>CT Ratio Selection :</t>
  </si>
  <si>
    <t xml:space="preserve">SAT Rating </t>
  </si>
  <si>
    <t>MVA</t>
  </si>
  <si>
    <t>Full Load current on 0.48kV side</t>
  </si>
  <si>
    <t>A</t>
  </si>
  <si>
    <t>CT ratio selected on 480V side is</t>
  </si>
  <si>
    <t>4000 /1 Amp</t>
  </si>
  <si>
    <t>Relay Used : SPAJ140C</t>
  </si>
  <si>
    <t xml:space="preserve">The actual fault as per short cirucit study is 45.7KA. Considering 20% margin it is </t>
  </si>
  <si>
    <t>3) SAT LV side metering CT</t>
  </si>
  <si>
    <t>Meters</t>
  </si>
  <si>
    <t>As per ION metering catalogue</t>
  </si>
  <si>
    <t>Total</t>
  </si>
  <si>
    <t xml:space="preserve"> CT VA burden selected is </t>
  </si>
  <si>
    <t>30VA</t>
  </si>
  <si>
    <t>Voltage developed across CT at rated current(1A) =</t>
  </si>
  <si>
    <t>1 x (Rct + 30)</t>
  </si>
  <si>
    <t>44V</t>
  </si>
  <si>
    <t>Isf selected is 5</t>
  </si>
  <si>
    <t xml:space="preserve">Therefore during fault voltage across CT = </t>
  </si>
  <si>
    <t>5 x (Rct + 30) V</t>
  </si>
  <si>
    <t xml:space="preserve">When the connected burden is 0.05 the voltage developed is </t>
  </si>
  <si>
    <t xml:space="preserve">= </t>
  </si>
  <si>
    <t>y x (14 + 0.05)</t>
  </si>
  <si>
    <t>Where y is magnified Isf)</t>
  </si>
  <si>
    <t>y</t>
  </si>
  <si>
    <t>Therefore CT chosen</t>
  </si>
  <si>
    <t>4000 /1 A.</t>
  </si>
  <si>
    <t>30 VA</t>
  </si>
  <si>
    <t>CL.0.5</t>
  </si>
  <si>
    <r>
      <t xml:space="preserve">ISF </t>
    </r>
    <r>
      <rPr>
        <u/>
        <sz val="10"/>
        <rFont val="Arial"/>
        <family val="2"/>
      </rPr>
      <t>&lt;</t>
    </r>
    <r>
      <rPr>
        <sz val="11"/>
        <color theme="1"/>
        <rFont val="Calibri"/>
        <family val="2"/>
        <scheme val="minor"/>
      </rPr>
      <t>5.</t>
    </r>
  </si>
  <si>
    <t>4) Calculation of parameters for 480V VT on LV side of SAT &amp; Bus VT</t>
  </si>
  <si>
    <t>VT ratio chosen</t>
  </si>
  <si>
    <t>480/  3 /115/  3</t>
  </si>
  <si>
    <t>VT will be with dual accuracy</t>
  </si>
  <si>
    <t>0.5 / 3P class</t>
  </si>
  <si>
    <t>Equipment</t>
  </si>
  <si>
    <t>VA Burdens</t>
  </si>
  <si>
    <t>As per ION catalogue</t>
  </si>
  <si>
    <t>27-1 &amp; 2</t>
  </si>
  <si>
    <t>ABB catalogue</t>
  </si>
  <si>
    <t>Therefore PT chosen</t>
  </si>
  <si>
    <t>100 VA</t>
  </si>
  <si>
    <t xml:space="preserve">Unit Switchgear Incomer </t>
  </si>
  <si>
    <t>5) Calculation of parameters for  UAT  Neutral side CT used for 51G protection.</t>
  </si>
  <si>
    <t>Refer CT calculation for GT and UAT bay</t>
  </si>
  <si>
    <t>6) Calculation of CT parameters for  ( 50/51&amp; 51N) on LV side of UAT &amp; Incomer from Station Swgr</t>
  </si>
  <si>
    <t>CT-201F.C1 &amp; CT-202F.C1</t>
  </si>
  <si>
    <t xml:space="preserve">UAT Rating </t>
  </si>
  <si>
    <t>2000 /1 Amp</t>
  </si>
  <si>
    <t xml:space="preserve">The actual fault as per short cirucit study is 44kA. Considering 20% margin it is </t>
  </si>
  <si>
    <t xml:space="preserve">7) </t>
  </si>
  <si>
    <t xml:space="preserve">Calculation of parameters for UAT  LV side Overall Unit Differential Protection 87OA.  </t>
  </si>
  <si>
    <t>CT-201F.C3</t>
  </si>
  <si>
    <t>8) Calculation of parameters for 480V VT for Incomers &amp; Bus VT</t>
  </si>
  <si>
    <t>PT201</t>
  </si>
  <si>
    <t>Refer Calculation for GT and UAT bay</t>
  </si>
  <si>
    <t>9) Incomer metering CT</t>
  </si>
  <si>
    <t>CT-201F.C2 &amp; CT-202F.C2</t>
  </si>
  <si>
    <t xml:space="preserve">Refer Calculation for GT and UAT bay </t>
  </si>
  <si>
    <t>Station Switchgear &amp; Unit Switchgear  Outgoing feeders</t>
  </si>
  <si>
    <t>10) 800A Feeder(Typ)- 50/51, 50N/51N</t>
  </si>
  <si>
    <t xml:space="preserve">CT ratio selected </t>
  </si>
  <si>
    <t>800 /1 Amp</t>
  </si>
  <si>
    <r>
      <t>R</t>
    </r>
    <r>
      <rPr>
        <vertAlign val="subscript"/>
        <sz val="10"/>
        <rFont val="Arial"/>
        <family val="2"/>
      </rPr>
      <t>l</t>
    </r>
    <r>
      <rPr>
        <sz val="11"/>
        <color theme="1"/>
        <rFont val="Calibri"/>
        <family val="2"/>
        <scheme val="minor"/>
      </rPr>
      <t xml:space="preserve"> is neglible as they are internally wired.</t>
    </r>
  </si>
  <si>
    <t>11) 1000A Feeder(Typ)- 50/51, 50N/51N</t>
  </si>
  <si>
    <t>1000 /1 Amp</t>
  </si>
  <si>
    <t>12) 2000A Feeder(Typ)- 50/51, 50N/51N</t>
  </si>
  <si>
    <t>13 ) CT parameters for Station switchgear Bus coupler protection , 51</t>
  </si>
  <si>
    <t>CT1.1</t>
  </si>
  <si>
    <t>The CT burdens of numerical relays are below 0.1VA and can therefore be neglected</t>
  </si>
  <si>
    <t>https://www.flasysdesign.com/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</si>
</sst>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vertAlign val="subscript"/>
      <sz val="10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1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16" xfId="0" applyFont="1" applyBorder="1"/>
    <xf numFmtId="0" fontId="0" fillId="0" borderId="16" xfId="0" applyBorder="1"/>
    <xf numFmtId="0" fontId="2" fillId="2" borderId="21" xfId="0" applyFont="1" applyFill="1" applyBorder="1" applyAlignment="1">
      <alignment horizontal="center"/>
    </xf>
    <xf numFmtId="0" fontId="1" fillId="0" borderId="27" xfId="0" applyFont="1" applyBorder="1"/>
    <xf numFmtId="0" fontId="1" fillId="0" borderId="0" xfId="0" applyFont="1"/>
    <xf numFmtId="0" fontId="1" fillId="4" borderId="30" xfId="0" applyFont="1" applyFill="1" applyBorder="1"/>
    <xf numFmtId="0" fontId="1" fillId="4" borderId="31" xfId="0" applyFont="1" applyFill="1" applyBorder="1"/>
    <xf numFmtId="0" fontId="1" fillId="4" borderId="32" xfId="0" applyFont="1" applyFill="1" applyBorder="1"/>
    <xf numFmtId="0" fontId="1" fillId="4" borderId="13" xfId="0" applyFont="1" applyFill="1" applyBorder="1"/>
    <xf numFmtId="0" fontId="1" fillId="4" borderId="33" xfId="0" applyFont="1" applyFill="1" applyBorder="1"/>
    <xf numFmtId="0" fontId="1" fillId="4" borderId="34" xfId="0" applyFont="1" applyFill="1" applyBorder="1"/>
    <xf numFmtId="0" fontId="1" fillId="4" borderId="36" xfId="0" applyFont="1" applyFill="1" applyBorder="1"/>
    <xf numFmtId="0" fontId="1" fillId="4" borderId="37" xfId="0" applyFont="1" applyFill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4" borderId="11" xfId="0" applyFont="1" applyFill="1" applyBorder="1"/>
    <xf numFmtId="0" fontId="0" fillId="4" borderId="0" xfId="0" applyFill="1"/>
    <xf numFmtId="0" fontId="1" fillId="4" borderId="18" xfId="0" applyFont="1" applyFill="1" applyBorder="1"/>
    <xf numFmtId="0" fontId="1" fillId="4" borderId="17" xfId="0" applyFont="1" applyFill="1" applyBorder="1"/>
    <xf numFmtId="0" fontId="1" fillId="4" borderId="16" xfId="0" quotePrefix="1" applyFont="1" applyFill="1" applyBorder="1"/>
    <xf numFmtId="0" fontId="1" fillId="4" borderId="0" xfId="0" applyFont="1" applyFill="1"/>
    <xf numFmtId="0" fontId="1" fillId="4" borderId="38" xfId="0" applyFont="1" applyFill="1" applyBorder="1"/>
    <xf numFmtId="0" fontId="1" fillId="4" borderId="39" xfId="0" applyFont="1" applyFill="1" applyBorder="1"/>
    <xf numFmtId="0" fontId="1" fillId="4" borderId="40" xfId="0" applyFont="1" applyFill="1" applyBorder="1"/>
    <xf numFmtId="0" fontId="2" fillId="4" borderId="13" xfId="0" applyFont="1" applyFill="1" applyBorder="1"/>
    <xf numFmtId="0" fontId="0" fillId="4" borderId="33" xfId="0" applyFill="1" applyBorder="1"/>
    <xf numFmtId="0" fontId="0" fillId="4" borderId="2" xfId="0" applyFill="1" applyBorder="1"/>
    <xf numFmtId="0" fontId="0" fillId="4" borderId="37" xfId="0" applyFill="1" applyBorder="1"/>
    <xf numFmtId="0" fontId="0" fillId="4" borderId="10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38" xfId="0" applyFill="1" applyBorder="1"/>
    <xf numFmtId="0" fontId="0" fillId="4" borderId="39" xfId="0" applyFill="1" applyBorder="1"/>
    <xf numFmtId="0" fontId="0" fillId="4" borderId="40" xfId="0" applyFill="1" applyBorder="1"/>
    <xf numFmtId="0" fontId="1" fillId="4" borderId="44" xfId="0" applyFont="1" applyFill="1" applyBorder="1"/>
    <xf numFmtId="0" fontId="1" fillId="4" borderId="42" xfId="0" applyFont="1" applyFill="1" applyBorder="1"/>
    <xf numFmtId="0" fontId="1" fillId="4" borderId="22" xfId="0" applyFont="1" applyFill="1" applyBorder="1"/>
    <xf numFmtId="0" fontId="1" fillId="4" borderId="19" xfId="0" applyFont="1" applyFill="1" applyBorder="1"/>
    <xf numFmtId="0" fontId="1" fillId="4" borderId="43" xfId="0" applyFont="1" applyFill="1" applyBorder="1"/>
    <xf numFmtId="0" fontId="2" fillId="5" borderId="27" xfId="0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5" borderId="15" xfId="0" applyFont="1" applyFill="1" applyBorder="1"/>
    <xf numFmtId="0" fontId="2" fillId="5" borderId="18" xfId="0" applyFont="1" applyFill="1" applyBorder="1"/>
    <xf numFmtId="0" fontId="1" fillId="5" borderId="27" xfId="0" applyFont="1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5" xfId="0" applyFill="1" applyBorder="1"/>
    <xf numFmtId="0" fontId="0" fillId="5" borderId="18" xfId="0" applyFill="1" applyBorder="1"/>
    <xf numFmtId="0" fontId="0" fillId="5" borderId="27" xfId="0" applyFill="1" applyBorder="1"/>
    <xf numFmtId="0" fontId="1" fillId="5" borderId="16" xfId="0" applyFont="1" applyFill="1" applyBorder="1"/>
    <xf numFmtId="0" fontId="1" fillId="5" borderId="17" xfId="0" applyFont="1" applyFill="1" applyBorder="1"/>
    <xf numFmtId="0" fontId="2" fillId="5" borderId="19" xfId="0" applyFont="1" applyFill="1" applyBorder="1"/>
    <xf numFmtId="0" fontId="0" fillId="5" borderId="16" xfId="0" quotePrefix="1" applyFill="1" applyBorder="1"/>
    <xf numFmtId="0" fontId="0" fillId="5" borderId="28" xfId="0" applyFill="1" applyBorder="1"/>
    <xf numFmtId="0" fontId="0" fillId="5" borderId="11" xfId="0" applyFill="1" applyBorder="1"/>
    <xf numFmtId="2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17" xfId="0" quotePrefix="1" applyFill="1" applyBorder="1"/>
    <xf numFmtId="0" fontId="0" fillId="5" borderId="11" xfId="0" quotePrefix="1" applyFill="1" applyBorder="1"/>
    <xf numFmtId="0" fontId="0" fillId="5" borderId="19" xfId="0" applyFill="1" applyBorder="1"/>
    <xf numFmtId="0" fontId="0" fillId="5" borderId="19" xfId="0" applyFill="1" applyBorder="1" applyAlignment="1">
      <alignment horizontal="center"/>
    </xf>
    <xf numFmtId="0" fontId="0" fillId="5" borderId="0" xfId="0" applyFill="1"/>
    <xf numFmtId="0" fontId="0" fillId="5" borderId="29" xfId="0" applyFill="1" applyBorder="1"/>
    <xf numFmtId="0" fontId="6" fillId="5" borderId="16" xfId="0" applyFont="1" applyFill="1" applyBorder="1"/>
    <xf numFmtId="0" fontId="6" fillId="5" borderId="0" xfId="0" applyFont="1" applyFill="1"/>
    <xf numFmtId="0" fontId="2" fillId="5" borderId="0" xfId="0" applyFont="1" applyFill="1"/>
    <xf numFmtId="0" fontId="0" fillId="5" borderId="11" xfId="0" quotePrefix="1" applyFill="1" applyBorder="1" applyAlignment="1">
      <alignment horizontal="center"/>
    </xf>
    <xf numFmtId="0" fontId="0" fillId="5" borderId="19" xfId="0" quotePrefix="1" applyFill="1" applyBorder="1"/>
    <xf numFmtId="0" fontId="0" fillId="5" borderId="41" xfId="0" applyFill="1" applyBorder="1"/>
    <xf numFmtId="0" fontId="0" fillId="5" borderId="12" xfId="0" applyFill="1" applyBorder="1"/>
    <xf numFmtId="0" fontId="0" fillId="5" borderId="10" xfId="0" applyFill="1" applyBorder="1"/>
    <xf numFmtId="0" fontId="0" fillId="5" borderId="14" xfId="0" applyFill="1" applyBorder="1"/>
    <xf numFmtId="0" fontId="0" fillId="5" borderId="20" xfId="0" applyFill="1" applyBorder="1"/>
    <xf numFmtId="0" fontId="0" fillId="5" borderId="42" xfId="0" applyFill="1" applyBorder="1"/>
    <xf numFmtId="0" fontId="0" fillId="5" borderId="43" xfId="0" applyFill="1" applyBorder="1"/>
    <xf numFmtId="0" fontId="1" fillId="5" borderId="19" xfId="0" applyFont="1" applyFill="1" applyBorder="1"/>
    <xf numFmtId="0" fontId="1" fillId="5" borderId="20" xfId="0" applyFont="1" applyFill="1" applyBorder="1"/>
    <xf numFmtId="2" fontId="0" fillId="5" borderId="16" xfId="0" applyNumberFormat="1" applyFill="1" applyBorder="1"/>
    <xf numFmtId="0" fontId="1" fillId="5" borderId="11" xfId="0" applyFont="1" applyFill="1" applyBorder="1"/>
    <xf numFmtId="0" fontId="0" fillId="5" borderId="3" xfId="0" applyFill="1" applyBorder="1"/>
    <xf numFmtId="165" fontId="0" fillId="5" borderId="17" xfId="0" applyNumberFormat="1" applyFill="1" applyBorder="1" applyAlignment="1">
      <alignment horizontal="left"/>
    </xf>
    <xf numFmtId="165" fontId="0" fillId="5" borderId="25" xfId="0" quotePrefix="1" applyNumberFormat="1" applyFill="1" applyBorder="1" applyAlignment="1">
      <alignment horizontal="left"/>
    </xf>
    <xf numFmtId="0" fontId="0" fillId="5" borderId="29" xfId="0" applyFill="1" applyBorder="1" applyAlignment="1">
      <alignment horizontal="center"/>
    </xf>
    <xf numFmtId="0" fontId="0" fillId="5" borderId="29" xfId="0" quotePrefix="1" applyFill="1" applyBorder="1"/>
    <xf numFmtId="0" fontId="0" fillId="5" borderId="25" xfId="0" applyFill="1" applyBorder="1" applyAlignment="1">
      <alignment horizontal="center"/>
    </xf>
    <xf numFmtId="0" fontId="0" fillId="5" borderId="20" xfId="0" applyFill="1" applyBorder="1" applyAlignment="1">
      <alignment horizontal="left"/>
    </xf>
    <xf numFmtId="0" fontId="1" fillId="5" borderId="0" xfId="0" applyFont="1" applyFill="1"/>
    <xf numFmtId="0" fontId="0" fillId="5" borderId="39" xfId="0" applyFill="1" applyBorder="1"/>
    <xf numFmtId="0" fontId="3" fillId="5" borderId="16" xfId="0" applyFont="1" applyFill="1" applyBorder="1"/>
    <xf numFmtId="0" fontId="4" fillId="5" borderId="16" xfId="0" applyFont="1" applyFill="1" applyBorder="1"/>
    <xf numFmtId="0" fontId="3" fillId="5" borderId="11" xfId="0" applyFont="1" applyFill="1" applyBorder="1"/>
    <xf numFmtId="0" fontId="1" fillId="5" borderId="29" xfId="0" applyFont="1" applyFill="1" applyBorder="1"/>
    <xf numFmtId="0" fontId="1" fillId="5" borderId="18" xfId="0" applyFont="1" applyFill="1" applyBorder="1"/>
    <xf numFmtId="0" fontId="0" fillId="5" borderId="25" xfId="0" quotePrefix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4" fillId="5" borderId="1" xfId="0" applyFont="1" applyFill="1" applyBorder="1"/>
    <xf numFmtId="0" fontId="4" fillId="5" borderId="2" xfId="0" applyFont="1" applyFill="1" applyBorder="1"/>
    <xf numFmtId="0" fontId="0" fillId="5" borderId="8" xfId="0" applyFill="1" applyBorder="1"/>
    <xf numFmtId="0" fontId="0" fillId="5" borderId="2" xfId="0" applyFill="1" applyBorder="1"/>
    <xf numFmtId="0" fontId="4" fillId="5" borderId="3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4" xfId="0" applyFill="1" applyBorder="1"/>
    <xf numFmtId="0" fontId="4" fillId="5" borderId="0" xfId="0" applyFont="1" applyFill="1"/>
    <xf numFmtId="0" fontId="4" fillId="5" borderId="3" xfId="0" applyFont="1" applyFill="1" applyBorder="1" applyAlignment="1">
      <alignment vertical="top"/>
    </xf>
    <xf numFmtId="0" fontId="4" fillId="5" borderId="0" xfId="0" applyFont="1" applyFill="1" applyAlignment="1">
      <alignment vertical="top"/>
    </xf>
    <xf numFmtId="0" fontId="4" fillId="5" borderId="5" xfId="0" applyFont="1" applyFill="1" applyBorder="1" applyAlignment="1">
      <alignment vertical="top"/>
    </xf>
    <xf numFmtId="0" fontId="4" fillId="5" borderId="6" xfId="0" applyFont="1" applyFill="1" applyBorder="1" applyAlignment="1">
      <alignment vertical="top"/>
    </xf>
    <xf numFmtId="0" fontId="0" fillId="5" borderId="7" xfId="0" applyFill="1" applyBorder="1"/>
    <xf numFmtId="0" fontId="0" fillId="5" borderId="6" xfId="0" applyFill="1" applyBorder="1"/>
    <xf numFmtId="0" fontId="0" fillId="5" borderId="6" xfId="0" applyFill="1" applyBorder="1" applyAlignment="1">
      <alignment vertical="top"/>
    </xf>
    <xf numFmtId="0" fontId="4" fillId="5" borderId="9" xfId="0" applyFont="1" applyFill="1" applyBorder="1" applyAlignment="1">
      <alignment vertical="top"/>
    </xf>
    <xf numFmtId="0" fontId="0" fillId="5" borderId="13" xfId="0" applyFill="1" applyBorder="1"/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4" borderId="34" xfId="0" applyFont="1" applyFill="1" applyBorder="1" applyAlignment="1">
      <alignment horizontal="left" vertical="center"/>
    </xf>
    <xf numFmtId="0" fontId="1" fillId="4" borderId="35" xfId="0" applyFont="1" applyFill="1" applyBorder="1" applyAlignment="1">
      <alignment horizontal="left" vertical="center"/>
    </xf>
    <xf numFmtId="0" fontId="1" fillId="4" borderId="36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left" vertical="center"/>
    </xf>
    <xf numFmtId="0" fontId="1" fillId="4" borderId="26" xfId="0" applyFont="1" applyFill="1" applyBorder="1" applyAlignment="1">
      <alignment horizontal="left" vertical="center"/>
    </xf>
    <xf numFmtId="0" fontId="1" fillId="4" borderId="24" xfId="0" applyFont="1" applyFill="1" applyBorder="1" applyAlignment="1">
      <alignment horizontal="left" vertical="center"/>
    </xf>
    <xf numFmtId="164" fontId="1" fillId="2" borderId="23" xfId="0" applyNumberFormat="1" applyFont="1" applyFill="1" applyBorder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164" fontId="0" fillId="4" borderId="23" xfId="0" applyNumberFormat="1" applyFill="1" applyBorder="1" applyAlignment="1">
      <alignment horizontal="center"/>
    </xf>
    <xf numFmtId="164" fontId="0" fillId="4" borderId="24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2" fontId="0" fillId="5" borderId="17" xfId="0" applyNumberFormat="1" applyFill="1" applyBorder="1" applyAlignment="1">
      <alignment horizontal="center"/>
    </xf>
    <xf numFmtId="2" fontId="0" fillId="5" borderId="27" xfId="0" applyNumberFormat="1" applyFill="1" applyBorder="1" applyAlignment="1">
      <alignment horizontal="center"/>
    </xf>
    <xf numFmtId="2" fontId="0" fillId="5" borderId="16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165" fontId="0" fillId="5" borderId="17" xfId="0" applyNumberFormat="1" applyFill="1" applyBorder="1" applyAlignment="1">
      <alignment horizontal="center"/>
    </xf>
    <xf numFmtId="165" fontId="0" fillId="5" borderId="27" xfId="0" applyNumberFormat="1" applyFill="1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4" fillId="5" borderId="0" xfId="0" applyNumberFormat="1" applyFont="1" applyFill="1" applyAlignment="1">
      <alignment horizontal="center" vertical="center"/>
    </xf>
    <xf numFmtId="0" fontId="0" fillId="3" borderId="23" xfId="0" applyFill="1" applyBorder="1" applyAlignment="1">
      <alignment horizontal="center" wrapText="1"/>
    </xf>
    <xf numFmtId="0" fontId="0" fillId="3" borderId="24" xfId="0" applyFill="1" applyBorder="1" applyAlignment="1">
      <alignment horizontal="center" wrapText="1"/>
    </xf>
    <xf numFmtId="2" fontId="1" fillId="2" borderId="23" xfId="0" applyNumberFormat="1" applyFont="1" applyFill="1" applyBorder="1" applyAlignment="1">
      <alignment horizontal="center"/>
    </xf>
    <xf numFmtId="2" fontId="1" fillId="2" borderId="26" xfId="0" applyNumberFormat="1" applyFont="1" applyFill="1" applyBorder="1" applyAlignment="1">
      <alignment horizontal="center"/>
    </xf>
    <xf numFmtId="2" fontId="1" fillId="2" borderId="24" xfId="0" applyNumberFormat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9" fillId="5" borderId="6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175260</xdr:rowOff>
    </xdr:from>
    <xdr:to>
      <xdr:col>6</xdr:col>
      <xdr:colOff>137160</xdr:colOff>
      <xdr:row>1</xdr:row>
      <xdr:rowOff>175260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EBBE0680-613E-4736-9983-79790FC57466}"/>
            </a:ext>
          </a:extLst>
        </xdr:cNvPr>
        <xdr:cNvSpPr>
          <a:spLocks noChangeShapeType="1"/>
        </xdr:cNvSpPr>
      </xdr:nvSpPr>
      <xdr:spPr bwMode="auto">
        <a:xfrm flipV="1">
          <a:off x="259080" y="342900"/>
          <a:ext cx="975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2</xdr:row>
      <xdr:rowOff>68580</xdr:rowOff>
    </xdr:from>
    <xdr:to>
      <xdr:col>20</xdr:col>
      <xdr:colOff>99060</xdr:colOff>
      <xdr:row>2</xdr:row>
      <xdr:rowOff>68580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3FCCD876-A3FC-44E1-A7E4-D5EE767C9A30}"/>
            </a:ext>
          </a:extLst>
        </xdr:cNvPr>
        <xdr:cNvSpPr>
          <a:spLocks noChangeShapeType="1"/>
        </xdr:cNvSpPr>
      </xdr:nvSpPr>
      <xdr:spPr bwMode="auto">
        <a:xfrm>
          <a:off x="1348740" y="464820"/>
          <a:ext cx="3436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</xdr:row>
      <xdr:rowOff>121920</xdr:rowOff>
    </xdr:from>
    <xdr:to>
      <xdr:col>20</xdr:col>
      <xdr:colOff>190500</xdr:colOff>
      <xdr:row>3</xdr:row>
      <xdr:rowOff>121920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E1D70478-9657-423F-ACEA-C2FB905218D9}"/>
            </a:ext>
          </a:extLst>
        </xdr:cNvPr>
        <xdr:cNvSpPr>
          <a:spLocks noChangeShapeType="1"/>
        </xdr:cNvSpPr>
      </xdr:nvSpPr>
      <xdr:spPr bwMode="auto">
        <a:xfrm>
          <a:off x="4892040" y="7467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45720</xdr:colOff>
      <xdr:row>1</xdr:row>
      <xdr:rowOff>190500</xdr:rowOff>
    </xdr:from>
    <xdr:to>
      <xdr:col>32</xdr:col>
      <xdr:colOff>114300</xdr:colOff>
      <xdr:row>1</xdr:row>
      <xdr:rowOff>190500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539A0C60-632D-4893-B0F1-28F0AFC41449}"/>
            </a:ext>
          </a:extLst>
        </xdr:cNvPr>
        <xdr:cNvSpPr>
          <a:spLocks noChangeShapeType="1"/>
        </xdr:cNvSpPr>
      </xdr:nvSpPr>
      <xdr:spPr bwMode="auto">
        <a:xfrm>
          <a:off x="5303520" y="35814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</xdr:row>
      <xdr:rowOff>114300</xdr:rowOff>
    </xdr:from>
    <xdr:to>
      <xdr:col>28</xdr:col>
      <xdr:colOff>182880</xdr:colOff>
      <xdr:row>3</xdr:row>
      <xdr:rowOff>114300</xdr:rowOff>
    </xdr:to>
    <xdr:sp macro="" textlink="">
      <xdr:nvSpPr>
        <xdr:cNvPr id="6" name="Line 18">
          <a:extLst>
            <a:ext uri="{FF2B5EF4-FFF2-40B4-BE49-F238E27FC236}">
              <a16:creationId xmlns:a16="http://schemas.microsoft.com/office/drawing/2014/main" id="{5C5029A6-5853-4198-BE5C-7A726BB40C1F}"/>
            </a:ext>
          </a:extLst>
        </xdr:cNvPr>
        <xdr:cNvSpPr>
          <a:spLocks noChangeShapeType="1"/>
        </xdr:cNvSpPr>
      </xdr:nvSpPr>
      <xdr:spPr bwMode="auto">
        <a:xfrm>
          <a:off x="6408420" y="7391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83820</xdr:colOff>
      <xdr:row>3</xdr:row>
      <xdr:rowOff>144780</xdr:rowOff>
    </xdr:from>
    <xdr:to>
      <xdr:col>32</xdr:col>
      <xdr:colOff>7620</xdr:colOff>
      <xdr:row>3</xdr:row>
      <xdr:rowOff>144780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C18B1568-9450-4893-B03A-6FC97AE090B3}"/>
            </a:ext>
          </a:extLst>
        </xdr:cNvPr>
        <xdr:cNvSpPr>
          <a:spLocks noChangeShapeType="1"/>
        </xdr:cNvSpPr>
      </xdr:nvSpPr>
      <xdr:spPr bwMode="auto">
        <a:xfrm>
          <a:off x="6675120" y="769620"/>
          <a:ext cx="289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2</xdr:row>
      <xdr:rowOff>144780</xdr:rowOff>
    </xdr:from>
    <xdr:to>
      <xdr:col>6</xdr:col>
      <xdr:colOff>137160</xdr:colOff>
      <xdr:row>2</xdr:row>
      <xdr:rowOff>144780</xdr:rowOff>
    </xdr:to>
    <xdr:sp macro="" textlink="">
      <xdr:nvSpPr>
        <xdr:cNvPr id="8" name="Line 23">
          <a:extLst>
            <a:ext uri="{FF2B5EF4-FFF2-40B4-BE49-F238E27FC236}">
              <a16:creationId xmlns:a16="http://schemas.microsoft.com/office/drawing/2014/main" id="{AD106C1D-9A31-4A70-A559-1D0E41F5A367}"/>
            </a:ext>
          </a:extLst>
        </xdr:cNvPr>
        <xdr:cNvSpPr>
          <a:spLocks noChangeShapeType="1"/>
        </xdr:cNvSpPr>
      </xdr:nvSpPr>
      <xdr:spPr bwMode="auto">
        <a:xfrm flipV="1">
          <a:off x="259080" y="541020"/>
          <a:ext cx="975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</xdr:colOff>
      <xdr:row>3</xdr:row>
      <xdr:rowOff>121920</xdr:rowOff>
    </xdr:from>
    <xdr:to>
      <xdr:col>6</xdr:col>
      <xdr:colOff>121920</xdr:colOff>
      <xdr:row>3</xdr:row>
      <xdr:rowOff>121920</xdr:rowOff>
    </xdr:to>
    <xdr:sp macro="" textlink="">
      <xdr:nvSpPr>
        <xdr:cNvPr id="9" name="Line 24">
          <a:extLst>
            <a:ext uri="{FF2B5EF4-FFF2-40B4-BE49-F238E27FC236}">
              <a16:creationId xmlns:a16="http://schemas.microsoft.com/office/drawing/2014/main" id="{6336BC3E-CE6E-428B-8A0E-998271FB0C3D}"/>
            </a:ext>
          </a:extLst>
        </xdr:cNvPr>
        <xdr:cNvSpPr>
          <a:spLocks noChangeShapeType="1"/>
        </xdr:cNvSpPr>
      </xdr:nvSpPr>
      <xdr:spPr bwMode="auto">
        <a:xfrm flipV="1">
          <a:off x="251460" y="746760"/>
          <a:ext cx="967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76200</xdr:colOff>
      <xdr:row>0</xdr:row>
      <xdr:rowOff>144780</xdr:rowOff>
    </xdr:from>
    <xdr:to>
      <xdr:col>6</xdr:col>
      <xdr:colOff>137160</xdr:colOff>
      <xdr:row>0</xdr:row>
      <xdr:rowOff>144780</xdr:rowOff>
    </xdr:to>
    <xdr:sp macro="" textlink="">
      <xdr:nvSpPr>
        <xdr:cNvPr id="10" name="Line 25">
          <a:extLst>
            <a:ext uri="{FF2B5EF4-FFF2-40B4-BE49-F238E27FC236}">
              <a16:creationId xmlns:a16="http://schemas.microsoft.com/office/drawing/2014/main" id="{1352B722-965B-49F1-B90B-4282739605AF}"/>
            </a:ext>
          </a:extLst>
        </xdr:cNvPr>
        <xdr:cNvSpPr>
          <a:spLocks noChangeShapeType="1"/>
        </xdr:cNvSpPr>
      </xdr:nvSpPr>
      <xdr:spPr bwMode="auto">
        <a:xfrm flipV="1">
          <a:off x="259080" y="144780"/>
          <a:ext cx="975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38100</xdr:colOff>
      <xdr:row>2</xdr:row>
      <xdr:rowOff>175260</xdr:rowOff>
    </xdr:from>
    <xdr:to>
      <xdr:col>32</xdr:col>
      <xdr:colOff>106680</xdr:colOff>
      <xdr:row>2</xdr:row>
      <xdr:rowOff>175260</xdr:rowOff>
    </xdr:to>
    <xdr:sp macro="" textlink="">
      <xdr:nvSpPr>
        <xdr:cNvPr id="11" name="Line 26">
          <a:extLst>
            <a:ext uri="{FF2B5EF4-FFF2-40B4-BE49-F238E27FC236}">
              <a16:creationId xmlns:a16="http://schemas.microsoft.com/office/drawing/2014/main" id="{74D173B0-4D72-49B7-84CC-8F6EB97AC747}"/>
            </a:ext>
          </a:extLst>
        </xdr:cNvPr>
        <xdr:cNvSpPr>
          <a:spLocks noChangeShapeType="1"/>
        </xdr:cNvSpPr>
      </xdr:nvSpPr>
      <xdr:spPr bwMode="auto">
        <a:xfrm>
          <a:off x="5295900" y="57150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45720</xdr:colOff>
      <xdr:row>0</xdr:row>
      <xdr:rowOff>160020</xdr:rowOff>
    </xdr:from>
    <xdr:to>
      <xdr:col>32</xdr:col>
      <xdr:colOff>114300</xdr:colOff>
      <xdr:row>0</xdr:row>
      <xdr:rowOff>160020</xdr:rowOff>
    </xdr:to>
    <xdr:sp macro="" textlink="">
      <xdr:nvSpPr>
        <xdr:cNvPr id="12" name="Line 27">
          <a:extLst>
            <a:ext uri="{FF2B5EF4-FFF2-40B4-BE49-F238E27FC236}">
              <a16:creationId xmlns:a16="http://schemas.microsoft.com/office/drawing/2014/main" id="{59BBB177-93AF-4594-A03C-A8D8141FE1EE}"/>
            </a:ext>
          </a:extLst>
        </xdr:cNvPr>
        <xdr:cNvSpPr>
          <a:spLocks noChangeShapeType="1"/>
        </xdr:cNvSpPr>
      </xdr:nvSpPr>
      <xdr:spPr bwMode="auto">
        <a:xfrm>
          <a:off x="5303520" y="160020"/>
          <a:ext cx="1767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6" name="Line 50">
          <a:extLst>
            <a:ext uri="{FF2B5EF4-FFF2-40B4-BE49-F238E27FC236}">
              <a16:creationId xmlns:a16="http://schemas.microsoft.com/office/drawing/2014/main" id="{79213F7F-FBCC-4229-8294-5E1C9622110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7" name="Line 52">
          <a:extLst>
            <a:ext uri="{FF2B5EF4-FFF2-40B4-BE49-F238E27FC236}">
              <a16:creationId xmlns:a16="http://schemas.microsoft.com/office/drawing/2014/main" id="{AD223C99-1803-4DB2-8BC1-581252E3695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8" name="Line 54">
          <a:extLst>
            <a:ext uri="{FF2B5EF4-FFF2-40B4-BE49-F238E27FC236}">
              <a16:creationId xmlns:a16="http://schemas.microsoft.com/office/drawing/2014/main" id="{2D80FC3D-E046-4B11-BF0D-0BB7A54614A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9" name="Line 67">
          <a:extLst>
            <a:ext uri="{FF2B5EF4-FFF2-40B4-BE49-F238E27FC236}">
              <a16:creationId xmlns:a16="http://schemas.microsoft.com/office/drawing/2014/main" id="{CFC960F0-A8DF-4EE4-A4A2-5FC7C2FB5B31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0" name="Line 69">
          <a:extLst>
            <a:ext uri="{FF2B5EF4-FFF2-40B4-BE49-F238E27FC236}">
              <a16:creationId xmlns:a16="http://schemas.microsoft.com/office/drawing/2014/main" id="{0EABF364-D777-4B93-9069-C7C2AE0154E5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1" name="Line 71">
          <a:extLst>
            <a:ext uri="{FF2B5EF4-FFF2-40B4-BE49-F238E27FC236}">
              <a16:creationId xmlns:a16="http://schemas.microsoft.com/office/drawing/2014/main" id="{0323FFE5-CA20-4FE4-9B67-343359AD7C6B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2" name="Line 84">
          <a:extLst>
            <a:ext uri="{FF2B5EF4-FFF2-40B4-BE49-F238E27FC236}">
              <a16:creationId xmlns:a16="http://schemas.microsoft.com/office/drawing/2014/main" id="{65A08D06-D97C-4937-B029-2C9B3AA82FE9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3" name="Line 86">
          <a:extLst>
            <a:ext uri="{FF2B5EF4-FFF2-40B4-BE49-F238E27FC236}">
              <a16:creationId xmlns:a16="http://schemas.microsoft.com/office/drawing/2014/main" id="{FC4CB86D-FE2C-4BE3-AAD7-2A57A623D09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4" name="Line 88">
          <a:extLst>
            <a:ext uri="{FF2B5EF4-FFF2-40B4-BE49-F238E27FC236}">
              <a16:creationId xmlns:a16="http://schemas.microsoft.com/office/drawing/2014/main" id="{CA3C8D24-8222-4230-AE91-E6CFAEBAAAF9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5" name="Line 101">
          <a:extLst>
            <a:ext uri="{FF2B5EF4-FFF2-40B4-BE49-F238E27FC236}">
              <a16:creationId xmlns:a16="http://schemas.microsoft.com/office/drawing/2014/main" id="{83EE4349-6F98-483B-898B-F6DA014787F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6" name="Line 103">
          <a:extLst>
            <a:ext uri="{FF2B5EF4-FFF2-40B4-BE49-F238E27FC236}">
              <a16:creationId xmlns:a16="http://schemas.microsoft.com/office/drawing/2014/main" id="{008934D0-CB6E-403D-9F8B-E49DB8D7AFA1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7" name="Line 105">
          <a:extLst>
            <a:ext uri="{FF2B5EF4-FFF2-40B4-BE49-F238E27FC236}">
              <a16:creationId xmlns:a16="http://schemas.microsoft.com/office/drawing/2014/main" id="{DAA68A45-2462-41AE-AB6E-29F7777D574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8" name="Line 118">
          <a:extLst>
            <a:ext uri="{FF2B5EF4-FFF2-40B4-BE49-F238E27FC236}">
              <a16:creationId xmlns:a16="http://schemas.microsoft.com/office/drawing/2014/main" id="{C7384F96-2D32-42F8-9F93-4124A1B30017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9" name="Line 120">
          <a:extLst>
            <a:ext uri="{FF2B5EF4-FFF2-40B4-BE49-F238E27FC236}">
              <a16:creationId xmlns:a16="http://schemas.microsoft.com/office/drawing/2014/main" id="{C3E4ABC0-3F6D-4F7D-8C8C-F300948D644B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30" name="Line 122">
          <a:extLst>
            <a:ext uri="{FF2B5EF4-FFF2-40B4-BE49-F238E27FC236}">
              <a16:creationId xmlns:a16="http://schemas.microsoft.com/office/drawing/2014/main" id="{CE1D4361-9173-435C-80AB-623F3149CEF4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31" name="Line 135">
          <a:extLst>
            <a:ext uri="{FF2B5EF4-FFF2-40B4-BE49-F238E27FC236}">
              <a16:creationId xmlns:a16="http://schemas.microsoft.com/office/drawing/2014/main" id="{B23664E5-A9B0-464F-8233-D2AE86BB6D38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32" name="Line 137">
          <a:extLst>
            <a:ext uri="{FF2B5EF4-FFF2-40B4-BE49-F238E27FC236}">
              <a16:creationId xmlns:a16="http://schemas.microsoft.com/office/drawing/2014/main" id="{CBA1BB21-9617-4715-A533-8AD00D69EBE5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33" name="Line 139">
          <a:extLst>
            <a:ext uri="{FF2B5EF4-FFF2-40B4-BE49-F238E27FC236}">
              <a16:creationId xmlns:a16="http://schemas.microsoft.com/office/drawing/2014/main" id="{3D789C5F-28EB-4140-9B41-C964BD6D00D6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34" name="Line 152">
          <a:extLst>
            <a:ext uri="{FF2B5EF4-FFF2-40B4-BE49-F238E27FC236}">
              <a16:creationId xmlns:a16="http://schemas.microsoft.com/office/drawing/2014/main" id="{B75E3E84-A05A-4327-B49B-5D295023A33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35" name="Line 154">
          <a:extLst>
            <a:ext uri="{FF2B5EF4-FFF2-40B4-BE49-F238E27FC236}">
              <a16:creationId xmlns:a16="http://schemas.microsoft.com/office/drawing/2014/main" id="{7B998262-C496-4CDC-A5AF-BDA0B18065A6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36" name="Line 156">
          <a:extLst>
            <a:ext uri="{FF2B5EF4-FFF2-40B4-BE49-F238E27FC236}">
              <a16:creationId xmlns:a16="http://schemas.microsoft.com/office/drawing/2014/main" id="{2A3D7C2E-F11B-4201-9D59-2CDC5128048E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37" name="Line 169">
          <a:extLst>
            <a:ext uri="{FF2B5EF4-FFF2-40B4-BE49-F238E27FC236}">
              <a16:creationId xmlns:a16="http://schemas.microsoft.com/office/drawing/2014/main" id="{1C531E05-AD94-4A3B-A944-76B75BD32C4D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38" name="Line 171">
          <a:extLst>
            <a:ext uri="{FF2B5EF4-FFF2-40B4-BE49-F238E27FC236}">
              <a16:creationId xmlns:a16="http://schemas.microsoft.com/office/drawing/2014/main" id="{76703771-9D22-4503-800B-A5EAA65C2253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39" name="Line 173">
          <a:extLst>
            <a:ext uri="{FF2B5EF4-FFF2-40B4-BE49-F238E27FC236}">
              <a16:creationId xmlns:a16="http://schemas.microsoft.com/office/drawing/2014/main" id="{74BEF8F8-330C-49D0-8C53-62960BA41FBD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40" name="Line 186">
          <a:extLst>
            <a:ext uri="{FF2B5EF4-FFF2-40B4-BE49-F238E27FC236}">
              <a16:creationId xmlns:a16="http://schemas.microsoft.com/office/drawing/2014/main" id="{A9F89A07-0AA0-45A5-962B-480F28CE772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41" name="Line 188">
          <a:extLst>
            <a:ext uri="{FF2B5EF4-FFF2-40B4-BE49-F238E27FC236}">
              <a16:creationId xmlns:a16="http://schemas.microsoft.com/office/drawing/2014/main" id="{5E07B115-D244-4F6C-8017-0B585F569FDA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42" name="Line 190">
          <a:extLst>
            <a:ext uri="{FF2B5EF4-FFF2-40B4-BE49-F238E27FC236}">
              <a16:creationId xmlns:a16="http://schemas.microsoft.com/office/drawing/2014/main" id="{C0D4ABEA-A6CE-407F-93FF-53D37FDA1EEA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43" name="Line 203">
          <a:extLst>
            <a:ext uri="{FF2B5EF4-FFF2-40B4-BE49-F238E27FC236}">
              <a16:creationId xmlns:a16="http://schemas.microsoft.com/office/drawing/2014/main" id="{14EE6F46-BE1D-4EBD-A0BA-620A98284AAD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44" name="Line 205">
          <a:extLst>
            <a:ext uri="{FF2B5EF4-FFF2-40B4-BE49-F238E27FC236}">
              <a16:creationId xmlns:a16="http://schemas.microsoft.com/office/drawing/2014/main" id="{92B06FFC-CCAE-4057-B481-B41A2D3D7B01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45" name="Line 207">
          <a:extLst>
            <a:ext uri="{FF2B5EF4-FFF2-40B4-BE49-F238E27FC236}">
              <a16:creationId xmlns:a16="http://schemas.microsoft.com/office/drawing/2014/main" id="{31C02C9F-A649-4908-A1A5-6787E4DF7960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46" name="Line 220">
          <a:extLst>
            <a:ext uri="{FF2B5EF4-FFF2-40B4-BE49-F238E27FC236}">
              <a16:creationId xmlns:a16="http://schemas.microsoft.com/office/drawing/2014/main" id="{59D7CB58-C3BE-4622-868B-5B1FE8C02AD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47" name="Line 222">
          <a:extLst>
            <a:ext uri="{FF2B5EF4-FFF2-40B4-BE49-F238E27FC236}">
              <a16:creationId xmlns:a16="http://schemas.microsoft.com/office/drawing/2014/main" id="{4ECE3F2C-884C-42CD-9E83-E1392A7FCA92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48" name="Line 224">
          <a:extLst>
            <a:ext uri="{FF2B5EF4-FFF2-40B4-BE49-F238E27FC236}">
              <a16:creationId xmlns:a16="http://schemas.microsoft.com/office/drawing/2014/main" id="{3F8B69AA-FDE4-49A6-97DA-7A5466123195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49" name="Line 233">
          <a:extLst>
            <a:ext uri="{FF2B5EF4-FFF2-40B4-BE49-F238E27FC236}">
              <a16:creationId xmlns:a16="http://schemas.microsoft.com/office/drawing/2014/main" id="{D6F3A834-A018-4EAD-BD7B-90F7B4C6235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50" name="Line 234">
          <a:extLst>
            <a:ext uri="{FF2B5EF4-FFF2-40B4-BE49-F238E27FC236}">
              <a16:creationId xmlns:a16="http://schemas.microsoft.com/office/drawing/2014/main" id="{EDF0EAAB-91E5-4AA6-8739-EC5FA5FBAAEA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51" name="Line 235">
          <a:extLst>
            <a:ext uri="{FF2B5EF4-FFF2-40B4-BE49-F238E27FC236}">
              <a16:creationId xmlns:a16="http://schemas.microsoft.com/office/drawing/2014/main" id="{52EB711F-9C81-4690-B39E-7897B8DBBD43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52" name="Line 236">
          <a:extLst>
            <a:ext uri="{FF2B5EF4-FFF2-40B4-BE49-F238E27FC236}">
              <a16:creationId xmlns:a16="http://schemas.microsoft.com/office/drawing/2014/main" id="{B434A032-C7D5-4EA4-8350-399C414A2FF9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53" name="Line 237">
          <a:extLst>
            <a:ext uri="{FF2B5EF4-FFF2-40B4-BE49-F238E27FC236}">
              <a16:creationId xmlns:a16="http://schemas.microsoft.com/office/drawing/2014/main" id="{1119AF97-B1CB-4056-9DCA-BE04ACB4F10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54" name="Line 238">
          <a:extLst>
            <a:ext uri="{FF2B5EF4-FFF2-40B4-BE49-F238E27FC236}">
              <a16:creationId xmlns:a16="http://schemas.microsoft.com/office/drawing/2014/main" id="{E205234B-CAD7-4D29-A460-98885E8969CB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55" name="Line 243">
          <a:extLst>
            <a:ext uri="{FF2B5EF4-FFF2-40B4-BE49-F238E27FC236}">
              <a16:creationId xmlns:a16="http://schemas.microsoft.com/office/drawing/2014/main" id="{B693C777-10D5-4ACD-B9AA-C707F10100E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56" name="Line 245">
          <a:extLst>
            <a:ext uri="{FF2B5EF4-FFF2-40B4-BE49-F238E27FC236}">
              <a16:creationId xmlns:a16="http://schemas.microsoft.com/office/drawing/2014/main" id="{1DD81660-E649-4F8A-B01A-C47520584406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57" name="Line 247">
          <a:extLst>
            <a:ext uri="{FF2B5EF4-FFF2-40B4-BE49-F238E27FC236}">
              <a16:creationId xmlns:a16="http://schemas.microsoft.com/office/drawing/2014/main" id="{9AB3001B-50B9-4CAF-8AFE-0A2A045CC645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58" name="Line 256">
          <a:extLst>
            <a:ext uri="{FF2B5EF4-FFF2-40B4-BE49-F238E27FC236}">
              <a16:creationId xmlns:a16="http://schemas.microsoft.com/office/drawing/2014/main" id="{9FED2F17-68E9-4F66-910E-F4C85A46C49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59" name="Line 257">
          <a:extLst>
            <a:ext uri="{FF2B5EF4-FFF2-40B4-BE49-F238E27FC236}">
              <a16:creationId xmlns:a16="http://schemas.microsoft.com/office/drawing/2014/main" id="{5EE529EB-AF38-4950-915C-D5F4E6653CBD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60" name="Line 258">
          <a:extLst>
            <a:ext uri="{FF2B5EF4-FFF2-40B4-BE49-F238E27FC236}">
              <a16:creationId xmlns:a16="http://schemas.microsoft.com/office/drawing/2014/main" id="{722E0D45-6EA2-48FA-A17A-A9335C5CB6BA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61" name="Line 275">
          <a:extLst>
            <a:ext uri="{FF2B5EF4-FFF2-40B4-BE49-F238E27FC236}">
              <a16:creationId xmlns:a16="http://schemas.microsoft.com/office/drawing/2014/main" id="{34E6A625-BF7F-4CB5-9478-569C27DA933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62" name="Line 276">
          <a:extLst>
            <a:ext uri="{FF2B5EF4-FFF2-40B4-BE49-F238E27FC236}">
              <a16:creationId xmlns:a16="http://schemas.microsoft.com/office/drawing/2014/main" id="{D714C288-5833-4532-9156-394465DFF6DA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63" name="Line 277">
          <a:extLst>
            <a:ext uri="{FF2B5EF4-FFF2-40B4-BE49-F238E27FC236}">
              <a16:creationId xmlns:a16="http://schemas.microsoft.com/office/drawing/2014/main" id="{272BEF28-D1A3-49EE-989F-F041A62ABB9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19</xdr:row>
      <xdr:rowOff>0</xdr:rowOff>
    </xdr:from>
    <xdr:to>
      <xdr:col>20</xdr:col>
      <xdr:colOff>190500</xdr:colOff>
      <xdr:row>19</xdr:row>
      <xdr:rowOff>0</xdr:rowOff>
    </xdr:to>
    <xdr:sp macro="" textlink="">
      <xdr:nvSpPr>
        <xdr:cNvPr id="64" name="Line 281">
          <a:extLst>
            <a:ext uri="{FF2B5EF4-FFF2-40B4-BE49-F238E27FC236}">
              <a16:creationId xmlns:a16="http://schemas.microsoft.com/office/drawing/2014/main" id="{96F00214-B298-4A19-B63F-DE95DFF03D89}"/>
            </a:ext>
          </a:extLst>
        </xdr:cNvPr>
        <xdr:cNvSpPr>
          <a:spLocks noChangeShapeType="1"/>
        </xdr:cNvSpPr>
      </xdr:nvSpPr>
      <xdr:spPr bwMode="auto">
        <a:xfrm>
          <a:off x="4892040" y="12382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19</xdr:row>
      <xdr:rowOff>0</xdr:rowOff>
    </xdr:from>
    <xdr:to>
      <xdr:col>21</xdr:col>
      <xdr:colOff>182880</xdr:colOff>
      <xdr:row>19</xdr:row>
      <xdr:rowOff>0</xdr:rowOff>
    </xdr:to>
    <xdr:sp macro="" textlink="">
      <xdr:nvSpPr>
        <xdr:cNvPr id="65" name="Line 283">
          <a:extLst>
            <a:ext uri="{FF2B5EF4-FFF2-40B4-BE49-F238E27FC236}">
              <a16:creationId xmlns:a16="http://schemas.microsoft.com/office/drawing/2014/main" id="{548B5243-78F6-4DB4-A9C8-D1D1D7DEE921}"/>
            </a:ext>
          </a:extLst>
        </xdr:cNvPr>
        <xdr:cNvSpPr>
          <a:spLocks noChangeShapeType="1"/>
        </xdr:cNvSpPr>
      </xdr:nvSpPr>
      <xdr:spPr bwMode="auto">
        <a:xfrm>
          <a:off x="5067300" y="123825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19</xdr:row>
      <xdr:rowOff>0</xdr:rowOff>
    </xdr:from>
    <xdr:to>
      <xdr:col>28</xdr:col>
      <xdr:colOff>182880</xdr:colOff>
      <xdr:row>19</xdr:row>
      <xdr:rowOff>0</xdr:rowOff>
    </xdr:to>
    <xdr:sp macro="" textlink="">
      <xdr:nvSpPr>
        <xdr:cNvPr id="66" name="Line 285">
          <a:extLst>
            <a:ext uri="{FF2B5EF4-FFF2-40B4-BE49-F238E27FC236}">
              <a16:creationId xmlns:a16="http://schemas.microsoft.com/office/drawing/2014/main" id="{FF5171DC-5215-4635-8DE1-9E2BA1BCCE98}"/>
            </a:ext>
          </a:extLst>
        </xdr:cNvPr>
        <xdr:cNvSpPr>
          <a:spLocks noChangeShapeType="1"/>
        </xdr:cNvSpPr>
      </xdr:nvSpPr>
      <xdr:spPr bwMode="auto">
        <a:xfrm>
          <a:off x="6408420" y="12382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67" name="Line 295">
          <a:extLst>
            <a:ext uri="{FF2B5EF4-FFF2-40B4-BE49-F238E27FC236}">
              <a16:creationId xmlns:a16="http://schemas.microsoft.com/office/drawing/2014/main" id="{7E687D1D-A0BF-4C24-95E8-5994AB6C72B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68" name="Line 297">
          <a:extLst>
            <a:ext uri="{FF2B5EF4-FFF2-40B4-BE49-F238E27FC236}">
              <a16:creationId xmlns:a16="http://schemas.microsoft.com/office/drawing/2014/main" id="{8B8CBCB8-EB3C-44B6-98B0-30FB4D66641B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69" name="Line 299">
          <a:extLst>
            <a:ext uri="{FF2B5EF4-FFF2-40B4-BE49-F238E27FC236}">
              <a16:creationId xmlns:a16="http://schemas.microsoft.com/office/drawing/2014/main" id="{BD9A5C99-528C-41FA-A222-C3E7D2D058B1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70" name="Line 309">
          <a:extLst>
            <a:ext uri="{FF2B5EF4-FFF2-40B4-BE49-F238E27FC236}">
              <a16:creationId xmlns:a16="http://schemas.microsoft.com/office/drawing/2014/main" id="{8A14FB17-0ADD-4CF9-9035-817E0C42B72A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71" name="Line 311">
          <a:extLst>
            <a:ext uri="{FF2B5EF4-FFF2-40B4-BE49-F238E27FC236}">
              <a16:creationId xmlns:a16="http://schemas.microsoft.com/office/drawing/2014/main" id="{36729A4C-4DBC-4A60-93B6-F23EE648F981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72" name="Line 313">
          <a:extLst>
            <a:ext uri="{FF2B5EF4-FFF2-40B4-BE49-F238E27FC236}">
              <a16:creationId xmlns:a16="http://schemas.microsoft.com/office/drawing/2014/main" id="{2464BAA9-CE0F-4A7B-B271-9D7FCF4F2A4E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73" name="Line 323">
          <a:extLst>
            <a:ext uri="{FF2B5EF4-FFF2-40B4-BE49-F238E27FC236}">
              <a16:creationId xmlns:a16="http://schemas.microsoft.com/office/drawing/2014/main" id="{A686AA85-871D-4CDF-AE7F-5EC0A512BAAE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74" name="Line 325">
          <a:extLst>
            <a:ext uri="{FF2B5EF4-FFF2-40B4-BE49-F238E27FC236}">
              <a16:creationId xmlns:a16="http://schemas.microsoft.com/office/drawing/2014/main" id="{E3C524A1-4044-4A29-A3E5-E4FD36EC773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75" name="Line 327">
          <a:extLst>
            <a:ext uri="{FF2B5EF4-FFF2-40B4-BE49-F238E27FC236}">
              <a16:creationId xmlns:a16="http://schemas.microsoft.com/office/drawing/2014/main" id="{07DDEC55-1608-434E-B4CA-336461BA8C2A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76" name="Line 337">
          <a:extLst>
            <a:ext uri="{FF2B5EF4-FFF2-40B4-BE49-F238E27FC236}">
              <a16:creationId xmlns:a16="http://schemas.microsoft.com/office/drawing/2014/main" id="{A6F85A0E-A570-48D6-A4C1-3E319499715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77" name="Line 339">
          <a:extLst>
            <a:ext uri="{FF2B5EF4-FFF2-40B4-BE49-F238E27FC236}">
              <a16:creationId xmlns:a16="http://schemas.microsoft.com/office/drawing/2014/main" id="{B4908B72-6A41-4EDB-93AE-C667DC4ABDE0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78" name="Line 341">
          <a:extLst>
            <a:ext uri="{FF2B5EF4-FFF2-40B4-BE49-F238E27FC236}">
              <a16:creationId xmlns:a16="http://schemas.microsoft.com/office/drawing/2014/main" id="{E37B1EA7-8A82-4587-9237-52E0CEDF7DCD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79" name="Line 351">
          <a:extLst>
            <a:ext uri="{FF2B5EF4-FFF2-40B4-BE49-F238E27FC236}">
              <a16:creationId xmlns:a16="http://schemas.microsoft.com/office/drawing/2014/main" id="{EEA9FD08-86C3-4FD3-95EE-9F257BD992F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80" name="Line 353">
          <a:extLst>
            <a:ext uri="{FF2B5EF4-FFF2-40B4-BE49-F238E27FC236}">
              <a16:creationId xmlns:a16="http://schemas.microsoft.com/office/drawing/2014/main" id="{E7AFAF69-E650-4FD8-9856-DD91581D418D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81" name="Line 355">
          <a:extLst>
            <a:ext uri="{FF2B5EF4-FFF2-40B4-BE49-F238E27FC236}">
              <a16:creationId xmlns:a16="http://schemas.microsoft.com/office/drawing/2014/main" id="{CEF3FD4D-BA8C-48BF-9900-AA1A88F51648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82" name="Line 365">
          <a:extLst>
            <a:ext uri="{FF2B5EF4-FFF2-40B4-BE49-F238E27FC236}">
              <a16:creationId xmlns:a16="http://schemas.microsoft.com/office/drawing/2014/main" id="{443FA858-CE0F-4B79-8A6F-8BC7DFF5640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83" name="Line 367">
          <a:extLst>
            <a:ext uri="{FF2B5EF4-FFF2-40B4-BE49-F238E27FC236}">
              <a16:creationId xmlns:a16="http://schemas.microsoft.com/office/drawing/2014/main" id="{329D724C-3F5F-439D-B2CA-97BEEF3304DB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84" name="Line 369">
          <a:extLst>
            <a:ext uri="{FF2B5EF4-FFF2-40B4-BE49-F238E27FC236}">
              <a16:creationId xmlns:a16="http://schemas.microsoft.com/office/drawing/2014/main" id="{C3CA0E5B-BA0D-443B-9F0B-4EC8A1BB9704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85" name="Line 381">
          <a:extLst>
            <a:ext uri="{FF2B5EF4-FFF2-40B4-BE49-F238E27FC236}">
              <a16:creationId xmlns:a16="http://schemas.microsoft.com/office/drawing/2014/main" id="{F0FDB2C6-C4AD-4D62-B71A-41743AFE2BE1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86" name="Line 383">
          <a:extLst>
            <a:ext uri="{FF2B5EF4-FFF2-40B4-BE49-F238E27FC236}">
              <a16:creationId xmlns:a16="http://schemas.microsoft.com/office/drawing/2014/main" id="{D90816CB-B65B-4B4B-9021-B95E11C3DAB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87" name="Line 393">
          <a:extLst>
            <a:ext uri="{FF2B5EF4-FFF2-40B4-BE49-F238E27FC236}">
              <a16:creationId xmlns:a16="http://schemas.microsoft.com/office/drawing/2014/main" id="{A24DF463-9548-48A3-AEC0-BCA565128486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88" name="Line 395">
          <a:extLst>
            <a:ext uri="{FF2B5EF4-FFF2-40B4-BE49-F238E27FC236}">
              <a16:creationId xmlns:a16="http://schemas.microsoft.com/office/drawing/2014/main" id="{174F2E6C-C34B-4B83-86BF-78A2A81EF5C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89" name="Line 397">
          <a:extLst>
            <a:ext uri="{FF2B5EF4-FFF2-40B4-BE49-F238E27FC236}">
              <a16:creationId xmlns:a16="http://schemas.microsoft.com/office/drawing/2014/main" id="{CF2E8DDB-E775-48D5-AD47-6DECF36D24D1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90" name="Line 405">
          <a:extLst>
            <a:ext uri="{FF2B5EF4-FFF2-40B4-BE49-F238E27FC236}">
              <a16:creationId xmlns:a16="http://schemas.microsoft.com/office/drawing/2014/main" id="{7C4BE12E-6479-45D2-BD33-9ACE30FD331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91" name="Line 406">
          <a:extLst>
            <a:ext uri="{FF2B5EF4-FFF2-40B4-BE49-F238E27FC236}">
              <a16:creationId xmlns:a16="http://schemas.microsoft.com/office/drawing/2014/main" id="{864A9EE6-C8A8-4394-9FAF-0834032A7BE7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92" name="Line 407">
          <a:extLst>
            <a:ext uri="{FF2B5EF4-FFF2-40B4-BE49-F238E27FC236}">
              <a16:creationId xmlns:a16="http://schemas.microsoft.com/office/drawing/2014/main" id="{FAC19462-9506-42AD-860D-7E47E2CAE4CE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93" name="Line 408">
          <a:extLst>
            <a:ext uri="{FF2B5EF4-FFF2-40B4-BE49-F238E27FC236}">
              <a16:creationId xmlns:a16="http://schemas.microsoft.com/office/drawing/2014/main" id="{B109BEE5-5FFE-414F-83AC-BE3FC608900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94" name="Line 409">
          <a:extLst>
            <a:ext uri="{FF2B5EF4-FFF2-40B4-BE49-F238E27FC236}">
              <a16:creationId xmlns:a16="http://schemas.microsoft.com/office/drawing/2014/main" id="{53979374-8616-4CD2-AA33-8425EF055BA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95" name="Line 410">
          <a:extLst>
            <a:ext uri="{FF2B5EF4-FFF2-40B4-BE49-F238E27FC236}">
              <a16:creationId xmlns:a16="http://schemas.microsoft.com/office/drawing/2014/main" id="{53BB479A-7590-46C2-B569-6E8EA447FF2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96" name="Line 411">
          <a:extLst>
            <a:ext uri="{FF2B5EF4-FFF2-40B4-BE49-F238E27FC236}">
              <a16:creationId xmlns:a16="http://schemas.microsoft.com/office/drawing/2014/main" id="{19A96CFC-D9B7-49FE-B5A5-36560E59C4D8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97" name="Line 412">
          <a:extLst>
            <a:ext uri="{FF2B5EF4-FFF2-40B4-BE49-F238E27FC236}">
              <a16:creationId xmlns:a16="http://schemas.microsoft.com/office/drawing/2014/main" id="{6E16CF31-0320-40C8-822A-F1287BD4E63A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98" name="Line 413">
          <a:extLst>
            <a:ext uri="{FF2B5EF4-FFF2-40B4-BE49-F238E27FC236}">
              <a16:creationId xmlns:a16="http://schemas.microsoft.com/office/drawing/2014/main" id="{6AB457EB-69FB-43B9-B283-81873E222151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99" name="Line 414">
          <a:extLst>
            <a:ext uri="{FF2B5EF4-FFF2-40B4-BE49-F238E27FC236}">
              <a16:creationId xmlns:a16="http://schemas.microsoft.com/office/drawing/2014/main" id="{730EF8D4-A830-426C-8B9C-5C6C3113B2AF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00" name="Line 415">
          <a:extLst>
            <a:ext uri="{FF2B5EF4-FFF2-40B4-BE49-F238E27FC236}">
              <a16:creationId xmlns:a16="http://schemas.microsoft.com/office/drawing/2014/main" id="{4B8BCE4D-788A-47BB-B964-E7F4BFFFBDC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01" name="Line 416">
          <a:extLst>
            <a:ext uri="{FF2B5EF4-FFF2-40B4-BE49-F238E27FC236}">
              <a16:creationId xmlns:a16="http://schemas.microsoft.com/office/drawing/2014/main" id="{C5F5A94D-5BB4-46FA-AAD0-F2437132F4C6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02" name="Line 417">
          <a:extLst>
            <a:ext uri="{FF2B5EF4-FFF2-40B4-BE49-F238E27FC236}">
              <a16:creationId xmlns:a16="http://schemas.microsoft.com/office/drawing/2014/main" id="{63FC6610-1CE2-4B1C-818A-E52601829CCC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03" name="Line 418">
          <a:extLst>
            <a:ext uri="{FF2B5EF4-FFF2-40B4-BE49-F238E27FC236}">
              <a16:creationId xmlns:a16="http://schemas.microsoft.com/office/drawing/2014/main" id="{288639AF-E06F-4567-A966-C1C7AC18DE8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04" name="Line 419">
          <a:extLst>
            <a:ext uri="{FF2B5EF4-FFF2-40B4-BE49-F238E27FC236}">
              <a16:creationId xmlns:a16="http://schemas.microsoft.com/office/drawing/2014/main" id="{81857893-F5C0-4264-87BA-02018FCC2F96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05" name="Line 420">
          <a:extLst>
            <a:ext uri="{FF2B5EF4-FFF2-40B4-BE49-F238E27FC236}">
              <a16:creationId xmlns:a16="http://schemas.microsoft.com/office/drawing/2014/main" id="{36B3D82B-7ACF-4172-9900-4AD47FBF2947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06" name="Line 421">
          <a:extLst>
            <a:ext uri="{FF2B5EF4-FFF2-40B4-BE49-F238E27FC236}">
              <a16:creationId xmlns:a16="http://schemas.microsoft.com/office/drawing/2014/main" id="{07536C0F-2577-4860-8872-FD1CF9BF8E74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07" name="Line 422">
          <a:extLst>
            <a:ext uri="{FF2B5EF4-FFF2-40B4-BE49-F238E27FC236}">
              <a16:creationId xmlns:a16="http://schemas.microsoft.com/office/drawing/2014/main" id="{277EBF92-DB20-438C-AF9B-1989621C8F5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08" name="Line 423">
          <a:extLst>
            <a:ext uri="{FF2B5EF4-FFF2-40B4-BE49-F238E27FC236}">
              <a16:creationId xmlns:a16="http://schemas.microsoft.com/office/drawing/2014/main" id="{CCE795F7-EB01-49AE-9550-724F44BB10CD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09" name="Line 424">
          <a:extLst>
            <a:ext uri="{FF2B5EF4-FFF2-40B4-BE49-F238E27FC236}">
              <a16:creationId xmlns:a16="http://schemas.microsoft.com/office/drawing/2014/main" id="{7EB06B06-EE5D-43ED-B177-7BF73B626D5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10" name="Line 425">
          <a:extLst>
            <a:ext uri="{FF2B5EF4-FFF2-40B4-BE49-F238E27FC236}">
              <a16:creationId xmlns:a16="http://schemas.microsoft.com/office/drawing/2014/main" id="{25858766-E630-40EF-89D4-E15EC8EDC87D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11" name="Line 426">
          <a:extLst>
            <a:ext uri="{FF2B5EF4-FFF2-40B4-BE49-F238E27FC236}">
              <a16:creationId xmlns:a16="http://schemas.microsoft.com/office/drawing/2014/main" id="{221A73E1-48BC-4B33-864E-E7B9D388C469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12" name="Line 427">
          <a:extLst>
            <a:ext uri="{FF2B5EF4-FFF2-40B4-BE49-F238E27FC236}">
              <a16:creationId xmlns:a16="http://schemas.microsoft.com/office/drawing/2014/main" id="{07BDADC1-ECD6-4D59-A692-6F5FF6D8D2EF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13" name="Line 428">
          <a:extLst>
            <a:ext uri="{FF2B5EF4-FFF2-40B4-BE49-F238E27FC236}">
              <a16:creationId xmlns:a16="http://schemas.microsoft.com/office/drawing/2014/main" id="{BF4A3175-7DB7-4766-9922-17B031436D43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89</xdr:row>
      <xdr:rowOff>0</xdr:rowOff>
    </xdr:from>
    <xdr:to>
      <xdr:col>20</xdr:col>
      <xdr:colOff>190500</xdr:colOff>
      <xdr:row>89</xdr:row>
      <xdr:rowOff>0</xdr:rowOff>
    </xdr:to>
    <xdr:sp macro="" textlink="">
      <xdr:nvSpPr>
        <xdr:cNvPr id="114" name="Line 429">
          <a:extLst>
            <a:ext uri="{FF2B5EF4-FFF2-40B4-BE49-F238E27FC236}">
              <a16:creationId xmlns:a16="http://schemas.microsoft.com/office/drawing/2014/main" id="{21A680A8-5C67-48A1-81E9-64534CAC1AFA}"/>
            </a:ext>
          </a:extLst>
        </xdr:cNvPr>
        <xdr:cNvSpPr>
          <a:spLocks noChangeShapeType="1"/>
        </xdr:cNvSpPr>
      </xdr:nvSpPr>
      <xdr:spPr bwMode="auto">
        <a:xfrm>
          <a:off x="4892040" y="244983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89</xdr:row>
      <xdr:rowOff>0</xdr:rowOff>
    </xdr:from>
    <xdr:to>
      <xdr:col>21</xdr:col>
      <xdr:colOff>182880</xdr:colOff>
      <xdr:row>89</xdr:row>
      <xdr:rowOff>0</xdr:rowOff>
    </xdr:to>
    <xdr:sp macro="" textlink="">
      <xdr:nvSpPr>
        <xdr:cNvPr id="115" name="Line 430">
          <a:extLst>
            <a:ext uri="{FF2B5EF4-FFF2-40B4-BE49-F238E27FC236}">
              <a16:creationId xmlns:a16="http://schemas.microsoft.com/office/drawing/2014/main" id="{9911119A-2E47-43C2-91ED-AF7902EDCB31}"/>
            </a:ext>
          </a:extLst>
        </xdr:cNvPr>
        <xdr:cNvSpPr>
          <a:spLocks noChangeShapeType="1"/>
        </xdr:cNvSpPr>
      </xdr:nvSpPr>
      <xdr:spPr bwMode="auto">
        <a:xfrm>
          <a:off x="5067300" y="244983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89</xdr:row>
      <xdr:rowOff>0</xdr:rowOff>
    </xdr:from>
    <xdr:to>
      <xdr:col>28</xdr:col>
      <xdr:colOff>182880</xdr:colOff>
      <xdr:row>89</xdr:row>
      <xdr:rowOff>0</xdr:rowOff>
    </xdr:to>
    <xdr:sp macro="" textlink="">
      <xdr:nvSpPr>
        <xdr:cNvPr id="116" name="Line 431">
          <a:extLst>
            <a:ext uri="{FF2B5EF4-FFF2-40B4-BE49-F238E27FC236}">
              <a16:creationId xmlns:a16="http://schemas.microsoft.com/office/drawing/2014/main" id="{9065D4A6-BCB6-4E74-8C6E-0E15A9FBFDC8}"/>
            </a:ext>
          </a:extLst>
        </xdr:cNvPr>
        <xdr:cNvSpPr>
          <a:spLocks noChangeShapeType="1"/>
        </xdr:cNvSpPr>
      </xdr:nvSpPr>
      <xdr:spPr bwMode="auto">
        <a:xfrm>
          <a:off x="6408420" y="244983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17" name="Line 432">
          <a:extLst>
            <a:ext uri="{FF2B5EF4-FFF2-40B4-BE49-F238E27FC236}">
              <a16:creationId xmlns:a16="http://schemas.microsoft.com/office/drawing/2014/main" id="{3F01D4A2-3685-441E-A247-9C9F35125E4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18" name="Line 433">
          <a:extLst>
            <a:ext uri="{FF2B5EF4-FFF2-40B4-BE49-F238E27FC236}">
              <a16:creationId xmlns:a16="http://schemas.microsoft.com/office/drawing/2014/main" id="{F8D61175-01DE-4FE9-BAC4-8F75BD51DABD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19" name="Line 434">
          <a:extLst>
            <a:ext uri="{FF2B5EF4-FFF2-40B4-BE49-F238E27FC236}">
              <a16:creationId xmlns:a16="http://schemas.microsoft.com/office/drawing/2014/main" id="{13023C0B-AF34-4ABE-BD7F-758B19952AE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20" name="Line 435">
          <a:extLst>
            <a:ext uri="{FF2B5EF4-FFF2-40B4-BE49-F238E27FC236}">
              <a16:creationId xmlns:a16="http://schemas.microsoft.com/office/drawing/2014/main" id="{00A02F75-32DA-4F78-9970-9C20CEB44D87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21" name="Line 436">
          <a:extLst>
            <a:ext uri="{FF2B5EF4-FFF2-40B4-BE49-F238E27FC236}">
              <a16:creationId xmlns:a16="http://schemas.microsoft.com/office/drawing/2014/main" id="{16011DAF-5DEA-43E4-9AD3-FD7D0C603883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22" name="Line 437">
          <a:extLst>
            <a:ext uri="{FF2B5EF4-FFF2-40B4-BE49-F238E27FC236}">
              <a16:creationId xmlns:a16="http://schemas.microsoft.com/office/drawing/2014/main" id="{CB761AB8-C0B3-4772-98B4-93CFF4874C28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23" name="Line 438">
          <a:extLst>
            <a:ext uri="{FF2B5EF4-FFF2-40B4-BE49-F238E27FC236}">
              <a16:creationId xmlns:a16="http://schemas.microsoft.com/office/drawing/2014/main" id="{F7E6E2AA-E02C-4E5B-BDC0-B00F7B9F9596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24" name="Line 439">
          <a:extLst>
            <a:ext uri="{FF2B5EF4-FFF2-40B4-BE49-F238E27FC236}">
              <a16:creationId xmlns:a16="http://schemas.microsoft.com/office/drawing/2014/main" id="{0B6DAD1F-3979-4C98-A5DF-862A2B8139EA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25" name="Line 440">
          <a:extLst>
            <a:ext uri="{FF2B5EF4-FFF2-40B4-BE49-F238E27FC236}">
              <a16:creationId xmlns:a16="http://schemas.microsoft.com/office/drawing/2014/main" id="{5DE38D18-B65E-4BDF-A3D8-431EDB652FF5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26" name="Line 441">
          <a:extLst>
            <a:ext uri="{FF2B5EF4-FFF2-40B4-BE49-F238E27FC236}">
              <a16:creationId xmlns:a16="http://schemas.microsoft.com/office/drawing/2014/main" id="{417E595A-BE52-4B3C-9C16-08C01177A85D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27" name="Line 442">
          <a:extLst>
            <a:ext uri="{FF2B5EF4-FFF2-40B4-BE49-F238E27FC236}">
              <a16:creationId xmlns:a16="http://schemas.microsoft.com/office/drawing/2014/main" id="{339AEDBE-4348-4DFB-8B29-B8111E6964D3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28" name="Line 443">
          <a:extLst>
            <a:ext uri="{FF2B5EF4-FFF2-40B4-BE49-F238E27FC236}">
              <a16:creationId xmlns:a16="http://schemas.microsoft.com/office/drawing/2014/main" id="{78AA4B70-5876-4C9B-8D56-69605FD77779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29" name="Line 444">
          <a:extLst>
            <a:ext uri="{FF2B5EF4-FFF2-40B4-BE49-F238E27FC236}">
              <a16:creationId xmlns:a16="http://schemas.microsoft.com/office/drawing/2014/main" id="{9BC63A6E-ECEA-4A84-B7E7-8F355A80F2C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30" name="Line 445">
          <a:extLst>
            <a:ext uri="{FF2B5EF4-FFF2-40B4-BE49-F238E27FC236}">
              <a16:creationId xmlns:a16="http://schemas.microsoft.com/office/drawing/2014/main" id="{FC21C266-3DBC-4049-A1C6-3626B3286BE3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31" name="Line 446">
          <a:extLst>
            <a:ext uri="{FF2B5EF4-FFF2-40B4-BE49-F238E27FC236}">
              <a16:creationId xmlns:a16="http://schemas.microsoft.com/office/drawing/2014/main" id="{DB437B77-E285-4E66-8C55-65A715C892C3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32" name="Line 447">
          <a:extLst>
            <a:ext uri="{FF2B5EF4-FFF2-40B4-BE49-F238E27FC236}">
              <a16:creationId xmlns:a16="http://schemas.microsoft.com/office/drawing/2014/main" id="{9AF92097-161A-4FB1-A098-0F128205B8AF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33" name="Line 448">
          <a:extLst>
            <a:ext uri="{FF2B5EF4-FFF2-40B4-BE49-F238E27FC236}">
              <a16:creationId xmlns:a16="http://schemas.microsoft.com/office/drawing/2014/main" id="{DB36DC46-36A3-4CD6-BE21-CFBEB127045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34" name="Line 449">
          <a:extLst>
            <a:ext uri="{FF2B5EF4-FFF2-40B4-BE49-F238E27FC236}">
              <a16:creationId xmlns:a16="http://schemas.microsoft.com/office/drawing/2014/main" id="{80960775-B6A0-4A5A-A456-2E710F7A2EF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35" name="Line 450">
          <a:extLst>
            <a:ext uri="{FF2B5EF4-FFF2-40B4-BE49-F238E27FC236}">
              <a16:creationId xmlns:a16="http://schemas.microsoft.com/office/drawing/2014/main" id="{1BB92823-A531-42ED-B1EB-A49F26CFCD4F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36" name="Line 451">
          <a:extLst>
            <a:ext uri="{FF2B5EF4-FFF2-40B4-BE49-F238E27FC236}">
              <a16:creationId xmlns:a16="http://schemas.microsoft.com/office/drawing/2014/main" id="{82505D98-F693-4820-B8C7-473828410A79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37" name="Line 452">
          <a:extLst>
            <a:ext uri="{FF2B5EF4-FFF2-40B4-BE49-F238E27FC236}">
              <a16:creationId xmlns:a16="http://schemas.microsoft.com/office/drawing/2014/main" id="{F2AE1D16-7851-43F3-87C0-5B09A960038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38" name="Line 453">
          <a:extLst>
            <a:ext uri="{FF2B5EF4-FFF2-40B4-BE49-F238E27FC236}">
              <a16:creationId xmlns:a16="http://schemas.microsoft.com/office/drawing/2014/main" id="{664CE423-33E0-49CC-B783-7634F13E51E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39" name="Line 454">
          <a:extLst>
            <a:ext uri="{FF2B5EF4-FFF2-40B4-BE49-F238E27FC236}">
              <a16:creationId xmlns:a16="http://schemas.microsoft.com/office/drawing/2014/main" id="{60938E7A-32A0-418F-A864-BB8CB62C5512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40" name="Line 455">
          <a:extLst>
            <a:ext uri="{FF2B5EF4-FFF2-40B4-BE49-F238E27FC236}">
              <a16:creationId xmlns:a16="http://schemas.microsoft.com/office/drawing/2014/main" id="{3EB26B57-0672-4412-801F-804375384591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41" name="Line 456">
          <a:extLst>
            <a:ext uri="{FF2B5EF4-FFF2-40B4-BE49-F238E27FC236}">
              <a16:creationId xmlns:a16="http://schemas.microsoft.com/office/drawing/2014/main" id="{6E8B056C-F30D-4B62-86CF-296DCE2BB658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42" name="Line 457">
          <a:extLst>
            <a:ext uri="{FF2B5EF4-FFF2-40B4-BE49-F238E27FC236}">
              <a16:creationId xmlns:a16="http://schemas.microsoft.com/office/drawing/2014/main" id="{67A09859-6842-483C-92D8-BF275DCA715F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43" name="Line 458">
          <a:extLst>
            <a:ext uri="{FF2B5EF4-FFF2-40B4-BE49-F238E27FC236}">
              <a16:creationId xmlns:a16="http://schemas.microsoft.com/office/drawing/2014/main" id="{4D8CE319-AEF9-48BE-80CE-3757AA04F886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44" name="Line 459">
          <a:extLst>
            <a:ext uri="{FF2B5EF4-FFF2-40B4-BE49-F238E27FC236}">
              <a16:creationId xmlns:a16="http://schemas.microsoft.com/office/drawing/2014/main" id="{0860C551-1F33-4C61-8DAA-655693B0F1B4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45" name="Line 460">
          <a:extLst>
            <a:ext uri="{FF2B5EF4-FFF2-40B4-BE49-F238E27FC236}">
              <a16:creationId xmlns:a16="http://schemas.microsoft.com/office/drawing/2014/main" id="{57E9EAF3-E74C-4686-97D5-E1F52A0A216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46" name="Line 461">
          <a:extLst>
            <a:ext uri="{FF2B5EF4-FFF2-40B4-BE49-F238E27FC236}">
              <a16:creationId xmlns:a16="http://schemas.microsoft.com/office/drawing/2014/main" id="{6EEFCAE2-3A76-4102-BB88-0F03F0D68EC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47" name="Line 462">
          <a:extLst>
            <a:ext uri="{FF2B5EF4-FFF2-40B4-BE49-F238E27FC236}">
              <a16:creationId xmlns:a16="http://schemas.microsoft.com/office/drawing/2014/main" id="{410255F2-DF50-476E-829A-2A659E55528A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48" name="Line 463">
          <a:extLst>
            <a:ext uri="{FF2B5EF4-FFF2-40B4-BE49-F238E27FC236}">
              <a16:creationId xmlns:a16="http://schemas.microsoft.com/office/drawing/2014/main" id="{0AB86040-C47D-4E4A-91E2-5EB2BEEC72FD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49" name="Line 464">
          <a:extLst>
            <a:ext uri="{FF2B5EF4-FFF2-40B4-BE49-F238E27FC236}">
              <a16:creationId xmlns:a16="http://schemas.microsoft.com/office/drawing/2014/main" id="{AFB046B0-44AD-494B-808F-405AF6D03D00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50" name="Line 465">
          <a:extLst>
            <a:ext uri="{FF2B5EF4-FFF2-40B4-BE49-F238E27FC236}">
              <a16:creationId xmlns:a16="http://schemas.microsoft.com/office/drawing/2014/main" id="{B4CFBFF5-6EB9-47C5-B2B2-32F55570514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51" name="Line 466">
          <a:extLst>
            <a:ext uri="{FF2B5EF4-FFF2-40B4-BE49-F238E27FC236}">
              <a16:creationId xmlns:a16="http://schemas.microsoft.com/office/drawing/2014/main" id="{6CCF3D05-DA94-40DB-B06B-A1FCCF197BA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52" name="Line 467">
          <a:extLst>
            <a:ext uri="{FF2B5EF4-FFF2-40B4-BE49-F238E27FC236}">
              <a16:creationId xmlns:a16="http://schemas.microsoft.com/office/drawing/2014/main" id="{06F5C6B3-DF02-447E-8626-1D0990CED4CC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53" name="Line 468">
          <a:extLst>
            <a:ext uri="{FF2B5EF4-FFF2-40B4-BE49-F238E27FC236}">
              <a16:creationId xmlns:a16="http://schemas.microsoft.com/office/drawing/2014/main" id="{1300D4F6-04BF-418C-94DC-287ED1AD553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54" name="Line 469">
          <a:extLst>
            <a:ext uri="{FF2B5EF4-FFF2-40B4-BE49-F238E27FC236}">
              <a16:creationId xmlns:a16="http://schemas.microsoft.com/office/drawing/2014/main" id="{39512C99-7BAA-4C52-866E-2BDA3BA58112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55" name="Line 470">
          <a:extLst>
            <a:ext uri="{FF2B5EF4-FFF2-40B4-BE49-F238E27FC236}">
              <a16:creationId xmlns:a16="http://schemas.microsoft.com/office/drawing/2014/main" id="{5CA0C590-C2D4-4698-B25D-4BC6C7F66CE0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56" name="Line 471">
          <a:extLst>
            <a:ext uri="{FF2B5EF4-FFF2-40B4-BE49-F238E27FC236}">
              <a16:creationId xmlns:a16="http://schemas.microsoft.com/office/drawing/2014/main" id="{24B00C71-EAE4-4124-BD62-05D613A20CA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57" name="Line 472">
          <a:extLst>
            <a:ext uri="{FF2B5EF4-FFF2-40B4-BE49-F238E27FC236}">
              <a16:creationId xmlns:a16="http://schemas.microsoft.com/office/drawing/2014/main" id="{03D9B89D-3F45-4D10-A6BE-C93D89EA6494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58" name="Line 473">
          <a:extLst>
            <a:ext uri="{FF2B5EF4-FFF2-40B4-BE49-F238E27FC236}">
              <a16:creationId xmlns:a16="http://schemas.microsoft.com/office/drawing/2014/main" id="{58EAF3C4-D5EE-4E22-ABBF-15CBF24E50D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138</xdr:row>
      <xdr:rowOff>0</xdr:rowOff>
    </xdr:from>
    <xdr:to>
      <xdr:col>20</xdr:col>
      <xdr:colOff>190500</xdr:colOff>
      <xdr:row>138</xdr:row>
      <xdr:rowOff>0</xdr:rowOff>
    </xdr:to>
    <xdr:sp macro="" textlink="">
      <xdr:nvSpPr>
        <xdr:cNvPr id="159" name="Line 474">
          <a:extLst>
            <a:ext uri="{FF2B5EF4-FFF2-40B4-BE49-F238E27FC236}">
              <a16:creationId xmlns:a16="http://schemas.microsoft.com/office/drawing/2014/main" id="{C0BF47F3-1102-4B94-B721-878821023240}"/>
            </a:ext>
          </a:extLst>
        </xdr:cNvPr>
        <xdr:cNvSpPr>
          <a:spLocks noChangeShapeType="1"/>
        </xdr:cNvSpPr>
      </xdr:nvSpPr>
      <xdr:spPr bwMode="auto">
        <a:xfrm>
          <a:off x="489204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138</xdr:row>
      <xdr:rowOff>0</xdr:rowOff>
    </xdr:from>
    <xdr:to>
      <xdr:col>21</xdr:col>
      <xdr:colOff>182880</xdr:colOff>
      <xdr:row>138</xdr:row>
      <xdr:rowOff>0</xdr:rowOff>
    </xdr:to>
    <xdr:sp macro="" textlink="">
      <xdr:nvSpPr>
        <xdr:cNvPr id="160" name="Line 475">
          <a:extLst>
            <a:ext uri="{FF2B5EF4-FFF2-40B4-BE49-F238E27FC236}">
              <a16:creationId xmlns:a16="http://schemas.microsoft.com/office/drawing/2014/main" id="{05CB98B8-1A4F-4EA2-ADAC-3491B10309AA}"/>
            </a:ext>
          </a:extLst>
        </xdr:cNvPr>
        <xdr:cNvSpPr>
          <a:spLocks noChangeShapeType="1"/>
        </xdr:cNvSpPr>
      </xdr:nvSpPr>
      <xdr:spPr bwMode="auto">
        <a:xfrm>
          <a:off x="5067300" y="33108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138</xdr:row>
      <xdr:rowOff>0</xdr:rowOff>
    </xdr:from>
    <xdr:to>
      <xdr:col>28</xdr:col>
      <xdr:colOff>182880</xdr:colOff>
      <xdr:row>138</xdr:row>
      <xdr:rowOff>0</xdr:rowOff>
    </xdr:to>
    <xdr:sp macro="" textlink="">
      <xdr:nvSpPr>
        <xdr:cNvPr id="161" name="Line 476">
          <a:extLst>
            <a:ext uri="{FF2B5EF4-FFF2-40B4-BE49-F238E27FC236}">
              <a16:creationId xmlns:a16="http://schemas.microsoft.com/office/drawing/2014/main" id="{383F8D02-4C61-4CCC-96C3-1FC0DD053C06}"/>
            </a:ext>
          </a:extLst>
        </xdr:cNvPr>
        <xdr:cNvSpPr>
          <a:spLocks noChangeShapeType="1"/>
        </xdr:cNvSpPr>
      </xdr:nvSpPr>
      <xdr:spPr bwMode="auto">
        <a:xfrm>
          <a:off x="640842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62" name="Line 477">
          <a:extLst>
            <a:ext uri="{FF2B5EF4-FFF2-40B4-BE49-F238E27FC236}">
              <a16:creationId xmlns:a16="http://schemas.microsoft.com/office/drawing/2014/main" id="{9D6527A6-36BF-4AC7-9E2B-14C2E3F5A271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63" name="Line 478">
          <a:extLst>
            <a:ext uri="{FF2B5EF4-FFF2-40B4-BE49-F238E27FC236}">
              <a16:creationId xmlns:a16="http://schemas.microsoft.com/office/drawing/2014/main" id="{142B6651-61A9-4CAF-8EF7-3781B54B0607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64" name="Line 479">
          <a:extLst>
            <a:ext uri="{FF2B5EF4-FFF2-40B4-BE49-F238E27FC236}">
              <a16:creationId xmlns:a16="http://schemas.microsoft.com/office/drawing/2014/main" id="{769C1D16-C52E-4AFF-95C5-421CA3733DDA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65" name="Line 480">
          <a:extLst>
            <a:ext uri="{FF2B5EF4-FFF2-40B4-BE49-F238E27FC236}">
              <a16:creationId xmlns:a16="http://schemas.microsoft.com/office/drawing/2014/main" id="{72F8337C-6E9D-4891-B10C-36DBE38BC3C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66" name="Line 481">
          <a:extLst>
            <a:ext uri="{FF2B5EF4-FFF2-40B4-BE49-F238E27FC236}">
              <a16:creationId xmlns:a16="http://schemas.microsoft.com/office/drawing/2014/main" id="{0C52F637-8C22-4519-A54B-86FEE457837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67" name="Line 482">
          <a:extLst>
            <a:ext uri="{FF2B5EF4-FFF2-40B4-BE49-F238E27FC236}">
              <a16:creationId xmlns:a16="http://schemas.microsoft.com/office/drawing/2014/main" id="{3F721C99-3E17-402A-815F-5792F668FDAD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68" name="Line 483">
          <a:extLst>
            <a:ext uri="{FF2B5EF4-FFF2-40B4-BE49-F238E27FC236}">
              <a16:creationId xmlns:a16="http://schemas.microsoft.com/office/drawing/2014/main" id="{82158D93-E38E-4BAE-A813-8F77FA18117E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69" name="Line 484">
          <a:extLst>
            <a:ext uri="{FF2B5EF4-FFF2-40B4-BE49-F238E27FC236}">
              <a16:creationId xmlns:a16="http://schemas.microsoft.com/office/drawing/2014/main" id="{3774A8C8-30BF-4FD5-8988-DE495C035196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70" name="Line 485">
          <a:extLst>
            <a:ext uri="{FF2B5EF4-FFF2-40B4-BE49-F238E27FC236}">
              <a16:creationId xmlns:a16="http://schemas.microsoft.com/office/drawing/2014/main" id="{34C0D070-DA7C-431D-BF04-BDFA6A3F7773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71" name="Line 486">
          <a:extLst>
            <a:ext uri="{FF2B5EF4-FFF2-40B4-BE49-F238E27FC236}">
              <a16:creationId xmlns:a16="http://schemas.microsoft.com/office/drawing/2014/main" id="{BD805AAE-61E1-4158-9AAE-3DFA5D25197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72" name="Line 487">
          <a:extLst>
            <a:ext uri="{FF2B5EF4-FFF2-40B4-BE49-F238E27FC236}">
              <a16:creationId xmlns:a16="http://schemas.microsoft.com/office/drawing/2014/main" id="{93D74B65-BEE8-4A28-A00E-4273D79A4C5D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73" name="Line 488">
          <a:extLst>
            <a:ext uri="{FF2B5EF4-FFF2-40B4-BE49-F238E27FC236}">
              <a16:creationId xmlns:a16="http://schemas.microsoft.com/office/drawing/2014/main" id="{52ABAB0D-D60B-457B-8B8A-EDA3FAF9366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74" name="Line 489">
          <a:extLst>
            <a:ext uri="{FF2B5EF4-FFF2-40B4-BE49-F238E27FC236}">
              <a16:creationId xmlns:a16="http://schemas.microsoft.com/office/drawing/2014/main" id="{CC02AE56-BACF-42F3-9D35-1CDD7E545F2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75" name="Line 490">
          <a:extLst>
            <a:ext uri="{FF2B5EF4-FFF2-40B4-BE49-F238E27FC236}">
              <a16:creationId xmlns:a16="http://schemas.microsoft.com/office/drawing/2014/main" id="{D8CFEF84-B38B-42A5-BA88-5ACB7F20C3E4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76" name="Line 491">
          <a:extLst>
            <a:ext uri="{FF2B5EF4-FFF2-40B4-BE49-F238E27FC236}">
              <a16:creationId xmlns:a16="http://schemas.microsoft.com/office/drawing/2014/main" id="{6A64CDAA-2A35-4842-9EA8-00DC008F497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77" name="Line 492">
          <a:extLst>
            <a:ext uri="{FF2B5EF4-FFF2-40B4-BE49-F238E27FC236}">
              <a16:creationId xmlns:a16="http://schemas.microsoft.com/office/drawing/2014/main" id="{DA5AD27D-5157-40E1-80E5-914F81D1A43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78" name="Line 493">
          <a:extLst>
            <a:ext uri="{FF2B5EF4-FFF2-40B4-BE49-F238E27FC236}">
              <a16:creationId xmlns:a16="http://schemas.microsoft.com/office/drawing/2014/main" id="{92962F77-3CA3-4FAF-9F09-973B48AA98B4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79" name="Line 494">
          <a:extLst>
            <a:ext uri="{FF2B5EF4-FFF2-40B4-BE49-F238E27FC236}">
              <a16:creationId xmlns:a16="http://schemas.microsoft.com/office/drawing/2014/main" id="{E47A85F8-CE99-4A68-BC05-84F8D39735B1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80" name="Line 495">
          <a:extLst>
            <a:ext uri="{FF2B5EF4-FFF2-40B4-BE49-F238E27FC236}">
              <a16:creationId xmlns:a16="http://schemas.microsoft.com/office/drawing/2014/main" id="{BEBFFE82-6553-4D74-829E-1A979A03A584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81" name="Line 496">
          <a:extLst>
            <a:ext uri="{FF2B5EF4-FFF2-40B4-BE49-F238E27FC236}">
              <a16:creationId xmlns:a16="http://schemas.microsoft.com/office/drawing/2014/main" id="{8A04FCE8-0CB5-4D0A-B1B2-ADFB31B06C8B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82" name="Line 497">
          <a:extLst>
            <a:ext uri="{FF2B5EF4-FFF2-40B4-BE49-F238E27FC236}">
              <a16:creationId xmlns:a16="http://schemas.microsoft.com/office/drawing/2014/main" id="{E14202B5-710B-4E5D-ABD8-0D65E11F79EA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83" name="Line 498">
          <a:extLst>
            <a:ext uri="{FF2B5EF4-FFF2-40B4-BE49-F238E27FC236}">
              <a16:creationId xmlns:a16="http://schemas.microsoft.com/office/drawing/2014/main" id="{A9AE98FD-0144-4AF2-B2CC-7D2A8863719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84" name="Line 499">
          <a:extLst>
            <a:ext uri="{FF2B5EF4-FFF2-40B4-BE49-F238E27FC236}">
              <a16:creationId xmlns:a16="http://schemas.microsoft.com/office/drawing/2014/main" id="{7D9AD193-389D-4C25-B9BF-502F5DA11F6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85" name="Line 500">
          <a:extLst>
            <a:ext uri="{FF2B5EF4-FFF2-40B4-BE49-F238E27FC236}">
              <a16:creationId xmlns:a16="http://schemas.microsoft.com/office/drawing/2014/main" id="{257800CC-B48F-4D65-99C1-4633F8191FC4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86" name="Line 501">
          <a:extLst>
            <a:ext uri="{FF2B5EF4-FFF2-40B4-BE49-F238E27FC236}">
              <a16:creationId xmlns:a16="http://schemas.microsoft.com/office/drawing/2014/main" id="{A4FEEF34-348B-4DAA-82E7-E1E929B5A7F2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87" name="Line 502">
          <a:extLst>
            <a:ext uri="{FF2B5EF4-FFF2-40B4-BE49-F238E27FC236}">
              <a16:creationId xmlns:a16="http://schemas.microsoft.com/office/drawing/2014/main" id="{77B9D1AE-D2A2-4AE2-B3D2-008AC269D4B8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88" name="Line 503">
          <a:extLst>
            <a:ext uri="{FF2B5EF4-FFF2-40B4-BE49-F238E27FC236}">
              <a16:creationId xmlns:a16="http://schemas.microsoft.com/office/drawing/2014/main" id="{F06C9067-62F3-4DFB-8493-C35C8D0550D4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89" name="Line 504">
          <a:extLst>
            <a:ext uri="{FF2B5EF4-FFF2-40B4-BE49-F238E27FC236}">
              <a16:creationId xmlns:a16="http://schemas.microsoft.com/office/drawing/2014/main" id="{4F72A7C2-9BF1-46EC-8E75-367C07AD5AB8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90" name="Line 505">
          <a:extLst>
            <a:ext uri="{FF2B5EF4-FFF2-40B4-BE49-F238E27FC236}">
              <a16:creationId xmlns:a16="http://schemas.microsoft.com/office/drawing/2014/main" id="{78015595-D469-4661-A05D-A285C407848C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91" name="Line 506">
          <a:extLst>
            <a:ext uri="{FF2B5EF4-FFF2-40B4-BE49-F238E27FC236}">
              <a16:creationId xmlns:a16="http://schemas.microsoft.com/office/drawing/2014/main" id="{85955A04-BA7C-4B82-8B51-AC462A1576EF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92" name="Line 507">
          <a:extLst>
            <a:ext uri="{FF2B5EF4-FFF2-40B4-BE49-F238E27FC236}">
              <a16:creationId xmlns:a16="http://schemas.microsoft.com/office/drawing/2014/main" id="{89361D22-CD85-4BCE-ACD4-E7E4B903B4B3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93" name="Line 508">
          <a:extLst>
            <a:ext uri="{FF2B5EF4-FFF2-40B4-BE49-F238E27FC236}">
              <a16:creationId xmlns:a16="http://schemas.microsoft.com/office/drawing/2014/main" id="{475C8EDE-DD5E-4FFE-9376-049C5E466390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94" name="Line 509">
          <a:extLst>
            <a:ext uri="{FF2B5EF4-FFF2-40B4-BE49-F238E27FC236}">
              <a16:creationId xmlns:a16="http://schemas.microsoft.com/office/drawing/2014/main" id="{81951A3F-0A5B-4CBF-BCB0-3F65D4E9D567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95" name="Line 510">
          <a:extLst>
            <a:ext uri="{FF2B5EF4-FFF2-40B4-BE49-F238E27FC236}">
              <a16:creationId xmlns:a16="http://schemas.microsoft.com/office/drawing/2014/main" id="{1237F776-2A63-4007-B308-94D42A0A1625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96" name="Line 511">
          <a:extLst>
            <a:ext uri="{FF2B5EF4-FFF2-40B4-BE49-F238E27FC236}">
              <a16:creationId xmlns:a16="http://schemas.microsoft.com/office/drawing/2014/main" id="{A412C4B5-12A0-432A-9064-76E8CE18A72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197" name="Line 512">
          <a:extLst>
            <a:ext uri="{FF2B5EF4-FFF2-40B4-BE49-F238E27FC236}">
              <a16:creationId xmlns:a16="http://schemas.microsoft.com/office/drawing/2014/main" id="{41703001-2E27-40D1-A7A6-457B4EBE3130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198" name="Line 513">
          <a:extLst>
            <a:ext uri="{FF2B5EF4-FFF2-40B4-BE49-F238E27FC236}">
              <a16:creationId xmlns:a16="http://schemas.microsoft.com/office/drawing/2014/main" id="{B8B1490A-A227-41F0-A4DD-639F5E1D1857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199" name="Line 514">
          <a:extLst>
            <a:ext uri="{FF2B5EF4-FFF2-40B4-BE49-F238E27FC236}">
              <a16:creationId xmlns:a16="http://schemas.microsoft.com/office/drawing/2014/main" id="{8A495B2F-3E62-4EA4-9894-1A3643D46835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00" name="Line 515">
          <a:extLst>
            <a:ext uri="{FF2B5EF4-FFF2-40B4-BE49-F238E27FC236}">
              <a16:creationId xmlns:a16="http://schemas.microsoft.com/office/drawing/2014/main" id="{9B3C7113-CA90-433B-A1FB-5D9280D196CE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01" name="Line 516">
          <a:extLst>
            <a:ext uri="{FF2B5EF4-FFF2-40B4-BE49-F238E27FC236}">
              <a16:creationId xmlns:a16="http://schemas.microsoft.com/office/drawing/2014/main" id="{29371188-B4D3-4ECD-B364-6FDCDCDF436A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02" name="Line 517">
          <a:extLst>
            <a:ext uri="{FF2B5EF4-FFF2-40B4-BE49-F238E27FC236}">
              <a16:creationId xmlns:a16="http://schemas.microsoft.com/office/drawing/2014/main" id="{312F8314-F3DC-41B9-9C06-6760A269609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03" name="Line 518">
          <a:extLst>
            <a:ext uri="{FF2B5EF4-FFF2-40B4-BE49-F238E27FC236}">
              <a16:creationId xmlns:a16="http://schemas.microsoft.com/office/drawing/2014/main" id="{793C2F7F-B59F-4827-AE35-278466EF7E03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04" name="Line 535">
          <a:extLst>
            <a:ext uri="{FF2B5EF4-FFF2-40B4-BE49-F238E27FC236}">
              <a16:creationId xmlns:a16="http://schemas.microsoft.com/office/drawing/2014/main" id="{D3A5E474-50AC-41CB-8C2F-5AF0A891BE5B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05" name="Line 536">
          <a:extLst>
            <a:ext uri="{FF2B5EF4-FFF2-40B4-BE49-F238E27FC236}">
              <a16:creationId xmlns:a16="http://schemas.microsoft.com/office/drawing/2014/main" id="{FD0E7E54-1758-423E-8F7F-FAB57C73A7FE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06" name="Line 537">
          <a:extLst>
            <a:ext uri="{FF2B5EF4-FFF2-40B4-BE49-F238E27FC236}">
              <a16:creationId xmlns:a16="http://schemas.microsoft.com/office/drawing/2014/main" id="{3A1F9B67-33F0-41DF-A55C-96D890573E0D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07" name="Line 538">
          <a:extLst>
            <a:ext uri="{FF2B5EF4-FFF2-40B4-BE49-F238E27FC236}">
              <a16:creationId xmlns:a16="http://schemas.microsoft.com/office/drawing/2014/main" id="{C06AA55F-944F-4BCE-8788-3FB7E3544780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08" name="Line 539">
          <a:extLst>
            <a:ext uri="{FF2B5EF4-FFF2-40B4-BE49-F238E27FC236}">
              <a16:creationId xmlns:a16="http://schemas.microsoft.com/office/drawing/2014/main" id="{59D8ECF8-9BCF-4FB8-8BC1-2BF8DAAB0FC6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09" name="Line 540">
          <a:extLst>
            <a:ext uri="{FF2B5EF4-FFF2-40B4-BE49-F238E27FC236}">
              <a16:creationId xmlns:a16="http://schemas.microsoft.com/office/drawing/2014/main" id="{71174E8A-E4B5-40F3-A1B5-3D08A151AE96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139</xdr:row>
      <xdr:rowOff>0</xdr:rowOff>
    </xdr:from>
    <xdr:to>
      <xdr:col>20</xdr:col>
      <xdr:colOff>190500</xdr:colOff>
      <xdr:row>139</xdr:row>
      <xdr:rowOff>0</xdr:rowOff>
    </xdr:to>
    <xdr:sp macro="" textlink="">
      <xdr:nvSpPr>
        <xdr:cNvPr id="210" name="Line 541">
          <a:extLst>
            <a:ext uri="{FF2B5EF4-FFF2-40B4-BE49-F238E27FC236}">
              <a16:creationId xmlns:a16="http://schemas.microsoft.com/office/drawing/2014/main" id="{0F5549CA-D457-40D4-9EBE-F9B38341098D}"/>
            </a:ext>
          </a:extLst>
        </xdr:cNvPr>
        <xdr:cNvSpPr>
          <a:spLocks noChangeShapeType="1"/>
        </xdr:cNvSpPr>
      </xdr:nvSpPr>
      <xdr:spPr bwMode="auto">
        <a:xfrm>
          <a:off x="489204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139</xdr:row>
      <xdr:rowOff>0</xdr:rowOff>
    </xdr:from>
    <xdr:to>
      <xdr:col>21</xdr:col>
      <xdr:colOff>182880</xdr:colOff>
      <xdr:row>139</xdr:row>
      <xdr:rowOff>0</xdr:rowOff>
    </xdr:to>
    <xdr:sp macro="" textlink="">
      <xdr:nvSpPr>
        <xdr:cNvPr id="211" name="Line 542">
          <a:extLst>
            <a:ext uri="{FF2B5EF4-FFF2-40B4-BE49-F238E27FC236}">
              <a16:creationId xmlns:a16="http://schemas.microsoft.com/office/drawing/2014/main" id="{3AEB27A7-C9C4-47D6-8C20-D47ED84F3416}"/>
            </a:ext>
          </a:extLst>
        </xdr:cNvPr>
        <xdr:cNvSpPr>
          <a:spLocks noChangeShapeType="1"/>
        </xdr:cNvSpPr>
      </xdr:nvSpPr>
      <xdr:spPr bwMode="auto">
        <a:xfrm>
          <a:off x="5067300" y="33276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139</xdr:row>
      <xdr:rowOff>0</xdr:rowOff>
    </xdr:from>
    <xdr:to>
      <xdr:col>28</xdr:col>
      <xdr:colOff>182880</xdr:colOff>
      <xdr:row>139</xdr:row>
      <xdr:rowOff>0</xdr:rowOff>
    </xdr:to>
    <xdr:sp macro="" textlink="">
      <xdr:nvSpPr>
        <xdr:cNvPr id="212" name="Line 543">
          <a:extLst>
            <a:ext uri="{FF2B5EF4-FFF2-40B4-BE49-F238E27FC236}">
              <a16:creationId xmlns:a16="http://schemas.microsoft.com/office/drawing/2014/main" id="{18CFD305-9E9C-4497-A2C8-9358FB74308B}"/>
            </a:ext>
          </a:extLst>
        </xdr:cNvPr>
        <xdr:cNvSpPr>
          <a:spLocks noChangeShapeType="1"/>
        </xdr:cNvSpPr>
      </xdr:nvSpPr>
      <xdr:spPr bwMode="auto">
        <a:xfrm>
          <a:off x="6408420" y="33276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138</xdr:row>
      <xdr:rowOff>0</xdr:rowOff>
    </xdr:from>
    <xdr:to>
      <xdr:col>20</xdr:col>
      <xdr:colOff>190500</xdr:colOff>
      <xdr:row>138</xdr:row>
      <xdr:rowOff>0</xdr:rowOff>
    </xdr:to>
    <xdr:sp macro="" textlink="">
      <xdr:nvSpPr>
        <xdr:cNvPr id="213" name="Line 546">
          <a:extLst>
            <a:ext uri="{FF2B5EF4-FFF2-40B4-BE49-F238E27FC236}">
              <a16:creationId xmlns:a16="http://schemas.microsoft.com/office/drawing/2014/main" id="{BFB4F61B-C01B-4183-9C3F-51314C1B974C}"/>
            </a:ext>
          </a:extLst>
        </xdr:cNvPr>
        <xdr:cNvSpPr>
          <a:spLocks noChangeShapeType="1"/>
        </xdr:cNvSpPr>
      </xdr:nvSpPr>
      <xdr:spPr bwMode="auto">
        <a:xfrm>
          <a:off x="489204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138</xdr:row>
      <xdr:rowOff>0</xdr:rowOff>
    </xdr:from>
    <xdr:to>
      <xdr:col>21</xdr:col>
      <xdr:colOff>182880</xdr:colOff>
      <xdr:row>138</xdr:row>
      <xdr:rowOff>0</xdr:rowOff>
    </xdr:to>
    <xdr:sp macro="" textlink="">
      <xdr:nvSpPr>
        <xdr:cNvPr id="214" name="Line 547">
          <a:extLst>
            <a:ext uri="{FF2B5EF4-FFF2-40B4-BE49-F238E27FC236}">
              <a16:creationId xmlns:a16="http://schemas.microsoft.com/office/drawing/2014/main" id="{4C114AAB-5E30-41AD-85FC-21C0CB9D1851}"/>
            </a:ext>
          </a:extLst>
        </xdr:cNvPr>
        <xdr:cNvSpPr>
          <a:spLocks noChangeShapeType="1"/>
        </xdr:cNvSpPr>
      </xdr:nvSpPr>
      <xdr:spPr bwMode="auto">
        <a:xfrm>
          <a:off x="5067300" y="33108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138</xdr:row>
      <xdr:rowOff>0</xdr:rowOff>
    </xdr:from>
    <xdr:to>
      <xdr:col>28</xdr:col>
      <xdr:colOff>182880</xdr:colOff>
      <xdr:row>138</xdr:row>
      <xdr:rowOff>0</xdr:rowOff>
    </xdr:to>
    <xdr:sp macro="" textlink="">
      <xdr:nvSpPr>
        <xdr:cNvPr id="215" name="Line 548">
          <a:extLst>
            <a:ext uri="{FF2B5EF4-FFF2-40B4-BE49-F238E27FC236}">
              <a16:creationId xmlns:a16="http://schemas.microsoft.com/office/drawing/2014/main" id="{0FA73C50-98F6-4183-A1AD-9FAAF865514F}"/>
            </a:ext>
          </a:extLst>
        </xdr:cNvPr>
        <xdr:cNvSpPr>
          <a:spLocks noChangeShapeType="1"/>
        </xdr:cNvSpPr>
      </xdr:nvSpPr>
      <xdr:spPr bwMode="auto">
        <a:xfrm>
          <a:off x="640842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138</xdr:row>
      <xdr:rowOff>0</xdr:rowOff>
    </xdr:from>
    <xdr:to>
      <xdr:col>20</xdr:col>
      <xdr:colOff>190500</xdr:colOff>
      <xdr:row>138</xdr:row>
      <xdr:rowOff>0</xdr:rowOff>
    </xdr:to>
    <xdr:sp macro="" textlink="">
      <xdr:nvSpPr>
        <xdr:cNvPr id="216" name="Line 549">
          <a:extLst>
            <a:ext uri="{FF2B5EF4-FFF2-40B4-BE49-F238E27FC236}">
              <a16:creationId xmlns:a16="http://schemas.microsoft.com/office/drawing/2014/main" id="{6B497D4F-5502-4967-A95B-ACBCC25E1719}"/>
            </a:ext>
          </a:extLst>
        </xdr:cNvPr>
        <xdr:cNvSpPr>
          <a:spLocks noChangeShapeType="1"/>
        </xdr:cNvSpPr>
      </xdr:nvSpPr>
      <xdr:spPr bwMode="auto">
        <a:xfrm>
          <a:off x="489204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138</xdr:row>
      <xdr:rowOff>0</xdr:rowOff>
    </xdr:from>
    <xdr:to>
      <xdr:col>21</xdr:col>
      <xdr:colOff>182880</xdr:colOff>
      <xdr:row>138</xdr:row>
      <xdr:rowOff>0</xdr:rowOff>
    </xdr:to>
    <xdr:sp macro="" textlink="">
      <xdr:nvSpPr>
        <xdr:cNvPr id="217" name="Line 550">
          <a:extLst>
            <a:ext uri="{FF2B5EF4-FFF2-40B4-BE49-F238E27FC236}">
              <a16:creationId xmlns:a16="http://schemas.microsoft.com/office/drawing/2014/main" id="{B82331FC-C9CB-4329-8932-73C539C75DEB}"/>
            </a:ext>
          </a:extLst>
        </xdr:cNvPr>
        <xdr:cNvSpPr>
          <a:spLocks noChangeShapeType="1"/>
        </xdr:cNvSpPr>
      </xdr:nvSpPr>
      <xdr:spPr bwMode="auto">
        <a:xfrm>
          <a:off x="5067300" y="33108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138</xdr:row>
      <xdr:rowOff>0</xdr:rowOff>
    </xdr:from>
    <xdr:to>
      <xdr:col>28</xdr:col>
      <xdr:colOff>182880</xdr:colOff>
      <xdr:row>138</xdr:row>
      <xdr:rowOff>0</xdr:rowOff>
    </xdr:to>
    <xdr:sp macro="" textlink="">
      <xdr:nvSpPr>
        <xdr:cNvPr id="218" name="Line 551">
          <a:extLst>
            <a:ext uri="{FF2B5EF4-FFF2-40B4-BE49-F238E27FC236}">
              <a16:creationId xmlns:a16="http://schemas.microsoft.com/office/drawing/2014/main" id="{932BA796-523C-4FAB-B96C-CDBE8965320C}"/>
            </a:ext>
          </a:extLst>
        </xdr:cNvPr>
        <xdr:cNvSpPr>
          <a:spLocks noChangeShapeType="1"/>
        </xdr:cNvSpPr>
      </xdr:nvSpPr>
      <xdr:spPr bwMode="auto">
        <a:xfrm>
          <a:off x="640842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142</xdr:row>
      <xdr:rowOff>0</xdr:rowOff>
    </xdr:from>
    <xdr:to>
      <xdr:col>20</xdr:col>
      <xdr:colOff>190500</xdr:colOff>
      <xdr:row>142</xdr:row>
      <xdr:rowOff>0</xdr:rowOff>
    </xdr:to>
    <xdr:sp macro="" textlink="">
      <xdr:nvSpPr>
        <xdr:cNvPr id="219" name="Line 552">
          <a:extLst>
            <a:ext uri="{FF2B5EF4-FFF2-40B4-BE49-F238E27FC236}">
              <a16:creationId xmlns:a16="http://schemas.microsoft.com/office/drawing/2014/main" id="{6295A032-C43E-47DD-919B-83E910A9EB30}"/>
            </a:ext>
          </a:extLst>
        </xdr:cNvPr>
        <xdr:cNvSpPr>
          <a:spLocks noChangeShapeType="1"/>
        </xdr:cNvSpPr>
      </xdr:nvSpPr>
      <xdr:spPr bwMode="auto">
        <a:xfrm>
          <a:off x="4892040" y="33787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142</xdr:row>
      <xdr:rowOff>0</xdr:rowOff>
    </xdr:from>
    <xdr:to>
      <xdr:col>21</xdr:col>
      <xdr:colOff>182880</xdr:colOff>
      <xdr:row>142</xdr:row>
      <xdr:rowOff>0</xdr:rowOff>
    </xdr:to>
    <xdr:sp macro="" textlink="">
      <xdr:nvSpPr>
        <xdr:cNvPr id="220" name="Line 553">
          <a:extLst>
            <a:ext uri="{FF2B5EF4-FFF2-40B4-BE49-F238E27FC236}">
              <a16:creationId xmlns:a16="http://schemas.microsoft.com/office/drawing/2014/main" id="{36F618F4-1EB9-49E3-BAC7-48D699D70EAB}"/>
            </a:ext>
          </a:extLst>
        </xdr:cNvPr>
        <xdr:cNvSpPr>
          <a:spLocks noChangeShapeType="1"/>
        </xdr:cNvSpPr>
      </xdr:nvSpPr>
      <xdr:spPr bwMode="auto">
        <a:xfrm>
          <a:off x="5067300" y="337870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142</xdr:row>
      <xdr:rowOff>0</xdr:rowOff>
    </xdr:from>
    <xdr:to>
      <xdr:col>28</xdr:col>
      <xdr:colOff>182880</xdr:colOff>
      <xdr:row>142</xdr:row>
      <xdr:rowOff>0</xdr:rowOff>
    </xdr:to>
    <xdr:sp macro="" textlink="">
      <xdr:nvSpPr>
        <xdr:cNvPr id="221" name="Line 554">
          <a:extLst>
            <a:ext uri="{FF2B5EF4-FFF2-40B4-BE49-F238E27FC236}">
              <a16:creationId xmlns:a16="http://schemas.microsoft.com/office/drawing/2014/main" id="{00B3432E-E8B4-4873-AB83-7CFF071D838B}"/>
            </a:ext>
          </a:extLst>
        </xdr:cNvPr>
        <xdr:cNvSpPr>
          <a:spLocks noChangeShapeType="1"/>
        </xdr:cNvSpPr>
      </xdr:nvSpPr>
      <xdr:spPr bwMode="auto">
        <a:xfrm>
          <a:off x="6408420" y="33787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22860</xdr:colOff>
      <xdr:row>166</xdr:row>
      <xdr:rowOff>22860</xdr:rowOff>
    </xdr:from>
    <xdr:to>
      <xdr:col>15</xdr:col>
      <xdr:colOff>167640</xdr:colOff>
      <xdr:row>166</xdr:row>
      <xdr:rowOff>129540</xdr:rowOff>
    </xdr:to>
    <xdr:grpSp>
      <xdr:nvGrpSpPr>
        <xdr:cNvPr id="222" name="Group 555">
          <a:extLst>
            <a:ext uri="{FF2B5EF4-FFF2-40B4-BE49-F238E27FC236}">
              <a16:creationId xmlns:a16="http://schemas.microsoft.com/office/drawing/2014/main" id="{424FAE35-5DCD-4B0E-B27B-ACB958B99B5D}"/>
            </a:ext>
          </a:extLst>
        </xdr:cNvPr>
        <xdr:cNvGrpSpPr>
          <a:grpSpLocks/>
        </xdr:cNvGrpSpPr>
      </xdr:nvGrpSpPr>
      <xdr:grpSpPr bwMode="auto">
        <a:xfrm>
          <a:off x="3436620" y="31066740"/>
          <a:ext cx="144780" cy="106680"/>
          <a:chOff x="287" y="308"/>
          <a:chExt cx="12" cy="16"/>
        </a:xfrm>
      </xdr:grpSpPr>
      <xdr:sp macro="" textlink="">
        <xdr:nvSpPr>
          <xdr:cNvPr id="223" name="Line 556">
            <a:extLst>
              <a:ext uri="{FF2B5EF4-FFF2-40B4-BE49-F238E27FC236}">
                <a16:creationId xmlns:a16="http://schemas.microsoft.com/office/drawing/2014/main" id="{4506E8F5-63A1-239E-29AA-ADC02685E232}"/>
              </a:ext>
            </a:extLst>
          </xdr:cNvPr>
          <xdr:cNvSpPr>
            <a:spLocks noChangeShapeType="1"/>
          </xdr:cNvSpPr>
        </xdr:nvSpPr>
        <xdr:spPr bwMode="auto">
          <a:xfrm flipV="1">
            <a:off x="290" y="308"/>
            <a:ext cx="3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4" name="Line 557">
            <a:extLst>
              <a:ext uri="{FF2B5EF4-FFF2-40B4-BE49-F238E27FC236}">
                <a16:creationId xmlns:a16="http://schemas.microsoft.com/office/drawing/2014/main" id="{59ED781A-7D0A-A000-AF94-0C16B9670D8E}"/>
              </a:ext>
            </a:extLst>
          </xdr:cNvPr>
          <xdr:cNvSpPr>
            <a:spLocks noChangeShapeType="1"/>
          </xdr:cNvSpPr>
        </xdr:nvSpPr>
        <xdr:spPr bwMode="auto">
          <a:xfrm>
            <a:off x="287" y="317"/>
            <a:ext cx="2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5" name="Line 558">
            <a:extLst>
              <a:ext uri="{FF2B5EF4-FFF2-40B4-BE49-F238E27FC236}">
                <a16:creationId xmlns:a16="http://schemas.microsoft.com/office/drawing/2014/main" id="{64C54C26-790E-4952-C937-94859867DDDF}"/>
              </a:ext>
            </a:extLst>
          </xdr:cNvPr>
          <xdr:cNvSpPr>
            <a:spLocks noChangeShapeType="1"/>
          </xdr:cNvSpPr>
        </xdr:nvSpPr>
        <xdr:spPr bwMode="auto">
          <a:xfrm>
            <a:off x="293" y="309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281940</xdr:colOff>
      <xdr:row>166</xdr:row>
      <xdr:rowOff>22860</xdr:rowOff>
    </xdr:from>
    <xdr:to>
      <xdr:col>17</xdr:col>
      <xdr:colOff>129540</xdr:colOff>
      <xdr:row>166</xdr:row>
      <xdr:rowOff>129540</xdr:rowOff>
    </xdr:to>
    <xdr:grpSp>
      <xdr:nvGrpSpPr>
        <xdr:cNvPr id="226" name="Group 559">
          <a:extLst>
            <a:ext uri="{FF2B5EF4-FFF2-40B4-BE49-F238E27FC236}">
              <a16:creationId xmlns:a16="http://schemas.microsoft.com/office/drawing/2014/main" id="{BBB6EE9A-F7E1-4F41-9585-164D8A0067E0}"/>
            </a:ext>
          </a:extLst>
        </xdr:cNvPr>
        <xdr:cNvGrpSpPr>
          <a:grpSpLocks/>
        </xdr:cNvGrpSpPr>
      </xdr:nvGrpSpPr>
      <xdr:grpSpPr bwMode="auto">
        <a:xfrm>
          <a:off x="3901440" y="31066740"/>
          <a:ext cx="152400" cy="106680"/>
          <a:chOff x="287" y="308"/>
          <a:chExt cx="12" cy="16"/>
        </a:xfrm>
      </xdr:grpSpPr>
      <xdr:sp macro="" textlink="">
        <xdr:nvSpPr>
          <xdr:cNvPr id="227" name="Line 560">
            <a:extLst>
              <a:ext uri="{FF2B5EF4-FFF2-40B4-BE49-F238E27FC236}">
                <a16:creationId xmlns:a16="http://schemas.microsoft.com/office/drawing/2014/main" id="{C1AA95C1-E88C-F5A5-35EC-7F29BAEAD8CF}"/>
              </a:ext>
            </a:extLst>
          </xdr:cNvPr>
          <xdr:cNvSpPr>
            <a:spLocks noChangeShapeType="1"/>
          </xdr:cNvSpPr>
        </xdr:nvSpPr>
        <xdr:spPr bwMode="auto">
          <a:xfrm flipV="1">
            <a:off x="290" y="308"/>
            <a:ext cx="3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561">
            <a:extLst>
              <a:ext uri="{FF2B5EF4-FFF2-40B4-BE49-F238E27FC236}">
                <a16:creationId xmlns:a16="http://schemas.microsoft.com/office/drawing/2014/main" id="{353E5DC7-374C-3B1B-676D-DDEAFE177C47}"/>
              </a:ext>
            </a:extLst>
          </xdr:cNvPr>
          <xdr:cNvSpPr>
            <a:spLocks noChangeShapeType="1"/>
          </xdr:cNvSpPr>
        </xdr:nvSpPr>
        <xdr:spPr bwMode="auto">
          <a:xfrm>
            <a:off x="287" y="317"/>
            <a:ext cx="2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" name="Line 562">
            <a:extLst>
              <a:ext uri="{FF2B5EF4-FFF2-40B4-BE49-F238E27FC236}">
                <a16:creationId xmlns:a16="http://schemas.microsoft.com/office/drawing/2014/main" id="{4D702BAF-AED9-04D1-AE56-CBFDE27B7529}"/>
              </a:ext>
            </a:extLst>
          </xdr:cNvPr>
          <xdr:cNvSpPr>
            <a:spLocks noChangeShapeType="1"/>
          </xdr:cNvSpPr>
        </xdr:nvSpPr>
        <xdr:spPr bwMode="auto">
          <a:xfrm>
            <a:off x="293" y="309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236220</xdr:colOff>
      <xdr:row>143</xdr:row>
      <xdr:rowOff>0</xdr:rowOff>
    </xdr:from>
    <xdr:to>
      <xdr:col>20</xdr:col>
      <xdr:colOff>190500</xdr:colOff>
      <xdr:row>143</xdr:row>
      <xdr:rowOff>0</xdr:rowOff>
    </xdr:to>
    <xdr:sp macro="" textlink="">
      <xdr:nvSpPr>
        <xdr:cNvPr id="230" name="Line 563">
          <a:extLst>
            <a:ext uri="{FF2B5EF4-FFF2-40B4-BE49-F238E27FC236}">
              <a16:creationId xmlns:a16="http://schemas.microsoft.com/office/drawing/2014/main" id="{DF77803F-8F63-46BF-BF14-B5EA01D1DFBD}"/>
            </a:ext>
          </a:extLst>
        </xdr:cNvPr>
        <xdr:cNvSpPr>
          <a:spLocks noChangeShapeType="1"/>
        </xdr:cNvSpPr>
      </xdr:nvSpPr>
      <xdr:spPr bwMode="auto">
        <a:xfrm>
          <a:off x="4892040" y="339623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143</xdr:row>
      <xdr:rowOff>0</xdr:rowOff>
    </xdr:from>
    <xdr:to>
      <xdr:col>21</xdr:col>
      <xdr:colOff>182880</xdr:colOff>
      <xdr:row>143</xdr:row>
      <xdr:rowOff>0</xdr:rowOff>
    </xdr:to>
    <xdr:sp macro="" textlink="">
      <xdr:nvSpPr>
        <xdr:cNvPr id="231" name="Line 564">
          <a:extLst>
            <a:ext uri="{FF2B5EF4-FFF2-40B4-BE49-F238E27FC236}">
              <a16:creationId xmlns:a16="http://schemas.microsoft.com/office/drawing/2014/main" id="{421FC26B-387C-4845-995E-AC5D49EC5F4D}"/>
            </a:ext>
          </a:extLst>
        </xdr:cNvPr>
        <xdr:cNvSpPr>
          <a:spLocks noChangeShapeType="1"/>
        </xdr:cNvSpPr>
      </xdr:nvSpPr>
      <xdr:spPr bwMode="auto">
        <a:xfrm>
          <a:off x="5067300" y="339623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143</xdr:row>
      <xdr:rowOff>0</xdr:rowOff>
    </xdr:from>
    <xdr:to>
      <xdr:col>28</xdr:col>
      <xdr:colOff>182880</xdr:colOff>
      <xdr:row>143</xdr:row>
      <xdr:rowOff>0</xdr:rowOff>
    </xdr:to>
    <xdr:sp macro="" textlink="">
      <xdr:nvSpPr>
        <xdr:cNvPr id="232" name="Line 565">
          <a:extLst>
            <a:ext uri="{FF2B5EF4-FFF2-40B4-BE49-F238E27FC236}">
              <a16:creationId xmlns:a16="http://schemas.microsoft.com/office/drawing/2014/main" id="{6258EFF8-A84C-4CF7-ACD6-167784980ED7}"/>
            </a:ext>
          </a:extLst>
        </xdr:cNvPr>
        <xdr:cNvSpPr>
          <a:spLocks noChangeShapeType="1"/>
        </xdr:cNvSpPr>
      </xdr:nvSpPr>
      <xdr:spPr bwMode="auto">
        <a:xfrm>
          <a:off x="6408420" y="339623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179</xdr:row>
      <xdr:rowOff>0</xdr:rowOff>
    </xdr:from>
    <xdr:to>
      <xdr:col>20</xdr:col>
      <xdr:colOff>190500</xdr:colOff>
      <xdr:row>179</xdr:row>
      <xdr:rowOff>0</xdr:rowOff>
    </xdr:to>
    <xdr:sp macro="" textlink="">
      <xdr:nvSpPr>
        <xdr:cNvPr id="233" name="Line 566">
          <a:extLst>
            <a:ext uri="{FF2B5EF4-FFF2-40B4-BE49-F238E27FC236}">
              <a16:creationId xmlns:a16="http://schemas.microsoft.com/office/drawing/2014/main" id="{45D17E29-777C-4EC8-87D5-6A1386613E1D}"/>
            </a:ext>
          </a:extLst>
        </xdr:cNvPr>
        <xdr:cNvSpPr>
          <a:spLocks noChangeShapeType="1"/>
        </xdr:cNvSpPr>
      </xdr:nvSpPr>
      <xdr:spPr bwMode="auto">
        <a:xfrm>
          <a:off x="4892040" y="40073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179</xdr:row>
      <xdr:rowOff>0</xdr:rowOff>
    </xdr:from>
    <xdr:to>
      <xdr:col>21</xdr:col>
      <xdr:colOff>182880</xdr:colOff>
      <xdr:row>179</xdr:row>
      <xdr:rowOff>0</xdr:rowOff>
    </xdr:to>
    <xdr:sp macro="" textlink="">
      <xdr:nvSpPr>
        <xdr:cNvPr id="234" name="Line 567">
          <a:extLst>
            <a:ext uri="{FF2B5EF4-FFF2-40B4-BE49-F238E27FC236}">
              <a16:creationId xmlns:a16="http://schemas.microsoft.com/office/drawing/2014/main" id="{1CCF0F6F-53EA-4A1F-A08B-950B9387A79A}"/>
            </a:ext>
          </a:extLst>
        </xdr:cNvPr>
        <xdr:cNvSpPr>
          <a:spLocks noChangeShapeType="1"/>
        </xdr:cNvSpPr>
      </xdr:nvSpPr>
      <xdr:spPr bwMode="auto">
        <a:xfrm>
          <a:off x="5067300" y="400735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179</xdr:row>
      <xdr:rowOff>0</xdr:rowOff>
    </xdr:from>
    <xdr:to>
      <xdr:col>28</xdr:col>
      <xdr:colOff>182880</xdr:colOff>
      <xdr:row>179</xdr:row>
      <xdr:rowOff>0</xdr:rowOff>
    </xdr:to>
    <xdr:sp macro="" textlink="">
      <xdr:nvSpPr>
        <xdr:cNvPr id="235" name="Line 568">
          <a:extLst>
            <a:ext uri="{FF2B5EF4-FFF2-40B4-BE49-F238E27FC236}">
              <a16:creationId xmlns:a16="http://schemas.microsoft.com/office/drawing/2014/main" id="{768581A2-FA8E-40F3-B5CA-58E35B3BFAEC}"/>
            </a:ext>
          </a:extLst>
        </xdr:cNvPr>
        <xdr:cNvSpPr>
          <a:spLocks noChangeShapeType="1"/>
        </xdr:cNvSpPr>
      </xdr:nvSpPr>
      <xdr:spPr bwMode="auto">
        <a:xfrm>
          <a:off x="6408420" y="40073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259080</xdr:colOff>
      <xdr:row>176</xdr:row>
      <xdr:rowOff>7620</xdr:rowOff>
    </xdr:from>
    <xdr:to>
      <xdr:col>13</xdr:col>
      <xdr:colOff>106680</xdr:colOff>
      <xdr:row>176</xdr:row>
      <xdr:rowOff>121920</xdr:rowOff>
    </xdr:to>
    <xdr:grpSp>
      <xdr:nvGrpSpPr>
        <xdr:cNvPr id="236" name="Group 569">
          <a:extLst>
            <a:ext uri="{FF2B5EF4-FFF2-40B4-BE49-F238E27FC236}">
              <a16:creationId xmlns:a16="http://schemas.microsoft.com/office/drawing/2014/main" id="{4DF85D63-DD40-4C17-90B1-75A43A72BAA3}"/>
            </a:ext>
          </a:extLst>
        </xdr:cNvPr>
        <xdr:cNvGrpSpPr>
          <a:grpSpLocks/>
        </xdr:cNvGrpSpPr>
      </xdr:nvGrpSpPr>
      <xdr:grpSpPr bwMode="auto">
        <a:xfrm>
          <a:off x="2674620" y="32926020"/>
          <a:ext cx="144780" cy="114300"/>
          <a:chOff x="287" y="308"/>
          <a:chExt cx="12" cy="16"/>
        </a:xfrm>
      </xdr:grpSpPr>
      <xdr:sp macro="" textlink="">
        <xdr:nvSpPr>
          <xdr:cNvPr id="237" name="Line 570">
            <a:extLst>
              <a:ext uri="{FF2B5EF4-FFF2-40B4-BE49-F238E27FC236}">
                <a16:creationId xmlns:a16="http://schemas.microsoft.com/office/drawing/2014/main" id="{F0725545-72B2-D21F-040C-2377C1335CDD}"/>
              </a:ext>
            </a:extLst>
          </xdr:cNvPr>
          <xdr:cNvSpPr>
            <a:spLocks noChangeShapeType="1"/>
          </xdr:cNvSpPr>
        </xdr:nvSpPr>
        <xdr:spPr bwMode="auto">
          <a:xfrm flipV="1">
            <a:off x="290" y="308"/>
            <a:ext cx="3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" name="Line 571">
            <a:extLst>
              <a:ext uri="{FF2B5EF4-FFF2-40B4-BE49-F238E27FC236}">
                <a16:creationId xmlns:a16="http://schemas.microsoft.com/office/drawing/2014/main" id="{769A6B6A-FD36-DB02-1DFF-A91F0AB9E342}"/>
              </a:ext>
            </a:extLst>
          </xdr:cNvPr>
          <xdr:cNvSpPr>
            <a:spLocks noChangeShapeType="1"/>
          </xdr:cNvSpPr>
        </xdr:nvSpPr>
        <xdr:spPr bwMode="auto">
          <a:xfrm>
            <a:off x="287" y="317"/>
            <a:ext cx="2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" name="Line 572">
            <a:extLst>
              <a:ext uri="{FF2B5EF4-FFF2-40B4-BE49-F238E27FC236}">
                <a16:creationId xmlns:a16="http://schemas.microsoft.com/office/drawing/2014/main" id="{1BD75EAC-D5A3-2F1B-3D49-7B400D8E35CE}"/>
              </a:ext>
            </a:extLst>
          </xdr:cNvPr>
          <xdr:cNvSpPr>
            <a:spLocks noChangeShapeType="1"/>
          </xdr:cNvSpPr>
        </xdr:nvSpPr>
        <xdr:spPr bwMode="auto">
          <a:xfrm>
            <a:off x="293" y="309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176</xdr:row>
      <xdr:rowOff>7620</xdr:rowOff>
    </xdr:from>
    <xdr:to>
      <xdr:col>15</xdr:col>
      <xdr:colOff>144780</xdr:colOff>
      <xdr:row>176</xdr:row>
      <xdr:rowOff>114300</xdr:rowOff>
    </xdr:to>
    <xdr:grpSp>
      <xdr:nvGrpSpPr>
        <xdr:cNvPr id="240" name="Group 573">
          <a:extLst>
            <a:ext uri="{FF2B5EF4-FFF2-40B4-BE49-F238E27FC236}">
              <a16:creationId xmlns:a16="http://schemas.microsoft.com/office/drawing/2014/main" id="{8681FD7F-42A9-49CF-863C-3D77D5F11546}"/>
            </a:ext>
          </a:extLst>
        </xdr:cNvPr>
        <xdr:cNvGrpSpPr>
          <a:grpSpLocks/>
        </xdr:cNvGrpSpPr>
      </xdr:nvGrpSpPr>
      <xdr:grpSpPr bwMode="auto">
        <a:xfrm>
          <a:off x="3413760" y="32926020"/>
          <a:ext cx="144780" cy="106680"/>
          <a:chOff x="287" y="308"/>
          <a:chExt cx="12" cy="16"/>
        </a:xfrm>
      </xdr:grpSpPr>
      <xdr:sp macro="" textlink="">
        <xdr:nvSpPr>
          <xdr:cNvPr id="241" name="Line 574">
            <a:extLst>
              <a:ext uri="{FF2B5EF4-FFF2-40B4-BE49-F238E27FC236}">
                <a16:creationId xmlns:a16="http://schemas.microsoft.com/office/drawing/2014/main" id="{C01F24D6-77C6-091E-CE2A-FD1D88D8E90E}"/>
              </a:ext>
            </a:extLst>
          </xdr:cNvPr>
          <xdr:cNvSpPr>
            <a:spLocks noChangeShapeType="1"/>
          </xdr:cNvSpPr>
        </xdr:nvSpPr>
        <xdr:spPr bwMode="auto">
          <a:xfrm flipV="1">
            <a:off x="290" y="308"/>
            <a:ext cx="3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2" name="Line 575">
            <a:extLst>
              <a:ext uri="{FF2B5EF4-FFF2-40B4-BE49-F238E27FC236}">
                <a16:creationId xmlns:a16="http://schemas.microsoft.com/office/drawing/2014/main" id="{F8EF4A92-B2B8-3AD9-6F5D-1B27AAAF6C88}"/>
              </a:ext>
            </a:extLst>
          </xdr:cNvPr>
          <xdr:cNvSpPr>
            <a:spLocks noChangeShapeType="1"/>
          </xdr:cNvSpPr>
        </xdr:nvSpPr>
        <xdr:spPr bwMode="auto">
          <a:xfrm>
            <a:off x="287" y="317"/>
            <a:ext cx="2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576">
            <a:extLst>
              <a:ext uri="{FF2B5EF4-FFF2-40B4-BE49-F238E27FC236}">
                <a16:creationId xmlns:a16="http://schemas.microsoft.com/office/drawing/2014/main" id="{C479ECFB-BA70-94D8-418A-EC83F7649A09}"/>
              </a:ext>
            </a:extLst>
          </xdr:cNvPr>
          <xdr:cNvSpPr>
            <a:spLocks noChangeShapeType="1"/>
          </xdr:cNvSpPr>
        </xdr:nvSpPr>
        <xdr:spPr bwMode="auto">
          <a:xfrm>
            <a:off x="293" y="309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20</xdr:col>
      <xdr:colOff>236220</xdr:colOff>
      <xdr:row>179</xdr:row>
      <xdr:rowOff>0</xdr:rowOff>
    </xdr:from>
    <xdr:to>
      <xdr:col>20</xdr:col>
      <xdr:colOff>190500</xdr:colOff>
      <xdr:row>179</xdr:row>
      <xdr:rowOff>0</xdr:rowOff>
    </xdr:to>
    <xdr:sp macro="" textlink="">
      <xdr:nvSpPr>
        <xdr:cNvPr id="244" name="Line 577">
          <a:extLst>
            <a:ext uri="{FF2B5EF4-FFF2-40B4-BE49-F238E27FC236}">
              <a16:creationId xmlns:a16="http://schemas.microsoft.com/office/drawing/2014/main" id="{3D63A629-6D82-47FB-A11C-7DB719365A4D}"/>
            </a:ext>
          </a:extLst>
        </xdr:cNvPr>
        <xdr:cNvSpPr>
          <a:spLocks noChangeShapeType="1"/>
        </xdr:cNvSpPr>
      </xdr:nvSpPr>
      <xdr:spPr bwMode="auto">
        <a:xfrm>
          <a:off x="4892040" y="40073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179</xdr:row>
      <xdr:rowOff>0</xdr:rowOff>
    </xdr:from>
    <xdr:to>
      <xdr:col>21</xdr:col>
      <xdr:colOff>182880</xdr:colOff>
      <xdr:row>179</xdr:row>
      <xdr:rowOff>0</xdr:rowOff>
    </xdr:to>
    <xdr:sp macro="" textlink="">
      <xdr:nvSpPr>
        <xdr:cNvPr id="245" name="Line 578">
          <a:extLst>
            <a:ext uri="{FF2B5EF4-FFF2-40B4-BE49-F238E27FC236}">
              <a16:creationId xmlns:a16="http://schemas.microsoft.com/office/drawing/2014/main" id="{3AA029D9-C892-431C-8728-BEE8F050FD6B}"/>
            </a:ext>
          </a:extLst>
        </xdr:cNvPr>
        <xdr:cNvSpPr>
          <a:spLocks noChangeShapeType="1"/>
        </xdr:cNvSpPr>
      </xdr:nvSpPr>
      <xdr:spPr bwMode="auto">
        <a:xfrm>
          <a:off x="5067300" y="400735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179</xdr:row>
      <xdr:rowOff>0</xdr:rowOff>
    </xdr:from>
    <xdr:to>
      <xdr:col>28</xdr:col>
      <xdr:colOff>182880</xdr:colOff>
      <xdr:row>179</xdr:row>
      <xdr:rowOff>0</xdr:rowOff>
    </xdr:to>
    <xdr:sp macro="" textlink="">
      <xdr:nvSpPr>
        <xdr:cNvPr id="246" name="Line 579">
          <a:extLst>
            <a:ext uri="{FF2B5EF4-FFF2-40B4-BE49-F238E27FC236}">
              <a16:creationId xmlns:a16="http://schemas.microsoft.com/office/drawing/2014/main" id="{6DEEC8DD-35FE-46A0-B18F-A67C07C7D643}"/>
            </a:ext>
          </a:extLst>
        </xdr:cNvPr>
        <xdr:cNvSpPr>
          <a:spLocks noChangeShapeType="1"/>
        </xdr:cNvSpPr>
      </xdr:nvSpPr>
      <xdr:spPr bwMode="auto">
        <a:xfrm>
          <a:off x="6408420" y="40073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175</xdr:row>
      <xdr:rowOff>0</xdr:rowOff>
    </xdr:from>
    <xdr:to>
      <xdr:col>20</xdr:col>
      <xdr:colOff>190500</xdr:colOff>
      <xdr:row>175</xdr:row>
      <xdr:rowOff>0</xdr:rowOff>
    </xdr:to>
    <xdr:sp macro="" textlink="">
      <xdr:nvSpPr>
        <xdr:cNvPr id="247" name="Line 580">
          <a:extLst>
            <a:ext uri="{FF2B5EF4-FFF2-40B4-BE49-F238E27FC236}">
              <a16:creationId xmlns:a16="http://schemas.microsoft.com/office/drawing/2014/main" id="{1F7F7F81-35B6-4F5B-9CB5-AA1F2AB5C912}"/>
            </a:ext>
          </a:extLst>
        </xdr:cNvPr>
        <xdr:cNvSpPr>
          <a:spLocks noChangeShapeType="1"/>
        </xdr:cNvSpPr>
      </xdr:nvSpPr>
      <xdr:spPr bwMode="auto">
        <a:xfrm>
          <a:off x="4892040" y="39387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175</xdr:row>
      <xdr:rowOff>0</xdr:rowOff>
    </xdr:from>
    <xdr:to>
      <xdr:col>21</xdr:col>
      <xdr:colOff>182880</xdr:colOff>
      <xdr:row>175</xdr:row>
      <xdr:rowOff>0</xdr:rowOff>
    </xdr:to>
    <xdr:sp macro="" textlink="">
      <xdr:nvSpPr>
        <xdr:cNvPr id="248" name="Line 581">
          <a:extLst>
            <a:ext uri="{FF2B5EF4-FFF2-40B4-BE49-F238E27FC236}">
              <a16:creationId xmlns:a16="http://schemas.microsoft.com/office/drawing/2014/main" id="{C4C83111-6B33-45E1-9240-410E782D51E5}"/>
            </a:ext>
          </a:extLst>
        </xdr:cNvPr>
        <xdr:cNvSpPr>
          <a:spLocks noChangeShapeType="1"/>
        </xdr:cNvSpPr>
      </xdr:nvSpPr>
      <xdr:spPr bwMode="auto">
        <a:xfrm>
          <a:off x="5067300" y="393877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175</xdr:row>
      <xdr:rowOff>0</xdr:rowOff>
    </xdr:from>
    <xdr:to>
      <xdr:col>28</xdr:col>
      <xdr:colOff>182880</xdr:colOff>
      <xdr:row>175</xdr:row>
      <xdr:rowOff>0</xdr:rowOff>
    </xdr:to>
    <xdr:sp macro="" textlink="">
      <xdr:nvSpPr>
        <xdr:cNvPr id="249" name="Line 582">
          <a:extLst>
            <a:ext uri="{FF2B5EF4-FFF2-40B4-BE49-F238E27FC236}">
              <a16:creationId xmlns:a16="http://schemas.microsoft.com/office/drawing/2014/main" id="{29A812CC-7344-4840-A305-CD1E273E9E6F}"/>
            </a:ext>
          </a:extLst>
        </xdr:cNvPr>
        <xdr:cNvSpPr>
          <a:spLocks noChangeShapeType="1"/>
        </xdr:cNvSpPr>
      </xdr:nvSpPr>
      <xdr:spPr bwMode="auto">
        <a:xfrm>
          <a:off x="6408420" y="39387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175</xdr:row>
      <xdr:rowOff>0</xdr:rowOff>
    </xdr:from>
    <xdr:to>
      <xdr:col>20</xdr:col>
      <xdr:colOff>190500</xdr:colOff>
      <xdr:row>175</xdr:row>
      <xdr:rowOff>0</xdr:rowOff>
    </xdr:to>
    <xdr:sp macro="" textlink="">
      <xdr:nvSpPr>
        <xdr:cNvPr id="250" name="Line 583">
          <a:extLst>
            <a:ext uri="{FF2B5EF4-FFF2-40B4-BE49-F238E27FC236}">
              <a16:creationId xmlns:a16="http://schemas.microsoft.com/office/drawing/2014/main" id="{25D94BDC-B574-4984-B626-2EF8C4F65255}"/>
            </a:ext>
          </a:extLst>
        </xdr:cNvPr>
        <xdr:cNvSpPr>
          <a:spLocks noChangeShapeType="1"/>
        </xdr:cNvSpPr>
      </xdr:nvSpPr>
      <xdr:spPr bwMode="auto">
        <a:xfrm>
          <a:off x="4892040" y="39387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175</xdr:row>
      <xdr:rowOff>0</xdr:rowOff>
    </xdr:from>
    <xdr:to>
      <xdr:col>21</xdr:col>
      <xdr:colOff>182880</xdr:colOff>
      <xdr:row>175</xdr:row>
      <xdr:rowOff>0</xdr:rowOff>
    </xdr:to>
    <xdr:sp macro="" textlink="">
      <xdr:nvSpPr>
        <xdr:cNvPr id="251" name="Line 584">
          <a:extLst>
            <a:ext uri="{FF2B5EF4-FFF2-40B4-BE49-F238E27FC236}">
              <a16:creationId xmlns:a16="http://schemas.microsoft.com/office/drawing/2014/main" id="{9FFEFC58-8CAE-41AF-9081-EFB99F281094}"/>
            </a:ext>
          </a:extLst>
        </xdr:cNvPr>
        <xdr:cNvSpPr>
          <a:spLocks noChangeShapeType="1"/>
        </xdr:cNvSpPr>
      </xdr:nvSpPr>
      <xdr:spPr bwMode="auto">
        <a:xfrm>
          <a:off x="5067300" y="393877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175</xdr:row>
      <xdr:rowOff>0</xdr:rowOff>
    </xdr:from>
    <xdr:to>
      <xdr:col>28</xdr:col>
      <xdr:colOff>182880</xdr:colOff>
      <xdr:row>175</xdr:row>
      <xdr:rowOff>0</xdr:rowOff>
    </xdr:to>
    <xdr:sp macro="" textlink="">
      <xdr:nvSpPr>
        <xdr:cNvPr id="252" name="Line 585">
          <a:extLst>
            <a:ext uri="{FF2B5EF4-FFF2-40B4-BE49-F238E27FC236}">
              <a16:creationId xmlns:a16="http://schemas.microsoft.com/office/drawing/2014/main" id="{1729B59E-5A3B-4A6A-B496-ACA9D3805724}"/>
            </a:ext>
          </a:extLst>
        </xdr:cNvPr>
        <xdr:cNvSpPr>
          <a:spLocks noChangeShapeType="1"/>
        </xdr:cNvSpPr>
      </xdr:nvSpPr>
      <xdr:spPr bwMode="auto">
        <a:xfrm>
          <a:off x="6408420" y="393877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53" name="Line 588">
          <a:extLst>
            <a:ext uri="{FF2B5EF4-FFF2-40B4-BE49-F238E27FC236}">
              <a16:creationId xmlns:a16="http://schemas.microsoft.com/office/drawing/2014/main" id="{A9ADB942-E6BD-4F55-BBDE-2316AB0C148F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54" name="Line 589">
          <a:extLst>
            <a:ext uri="{FF2B5EF4-FFF2-40B4-BE49-F238E27FC236}">
              <a16:creationId xmlns:a16="http://schemas.microsoft.com/office/drawing/2014/main" id="{28888AF2-96D1-4AC9-B122-1F5576E687F8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55" name="Line 590">
          <a:extLst>
            <a:ext uri="{FF2B5EF4-FFF2-40B4-BE49-F238E27FC236}">
              <a16:creationId xmlns:a16="http://schemas.microsoft.com/office/drawing/2014/main" id="{10C9811A-F57A-4BE9-A310-8F0EB8FF7AE5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56" name="Line 591">
          <a:extLst>
            <a:ext uri="{FF2B5EF4-FFF2-40B4-BE49-F238E27FC236}">
              <a16:creationId xmlns:a16="http://schemas.microsoft.com/office/drawing/2014/main" id="{BE40EF2C-15EA-43A5-91F1-4AEB4C378798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57" name="Line 592">
          <a:extLst>
            <a:ext uri="{FF2B5EF4-FFF2-40B4-BE49-F238E27FC236}">
              <a16:creationId xmlns:a16="http://schemas.microsoft.com/office/drawing/2014/main" id="{6974226C-52E9-4713-A98E-607314DE7244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58" name="Line 593">
          <a:extLst>
            <a:ext uri="{FF2B5EF4-FFF2-40B4-BE49-F238E27FC236}">
              <a16:creationId xmlns:a16="http://schemas.microsoft.com/office/drawing/2014/main" id="{EAAD7346-A378-45F3-B028-86D06251E9ED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59" name="Line 594">
          <a:extLst>
            <a:ext uri="{FF2B5EF4-FFF2-40B4-BE49-F238E27FC236}">
              <a16:creationId xmlns:a16="http://schemas.microsoft.com/office/drawing/2014/main" id="{D1C18D5C-03A5-413A-B0BE-FB7E4FD4BE73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60" name="Line 595">
          <a:extLst>
            <a:ext uri="{FF2B5EF4-FFF2-40B4-BE49-F238E27FC236}">
              <a16:creationId xmlns:a16="http://schemas.microsoft.com/office/drawing/2014/main" id="{6F2BDE4A-66CE-4E1F-87A5-DB0D809D8E15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61" name="Line 596">
          <a:extLst>
            <a:ext uri="{FF2B5EF4-FFF2-40B4-BE49-F238E27FC236}">
              <a16:creationId xmlns:a16="http://schemas.microsoft.com/office/drawing/2014/main" id="{9A8FE37F-CA2E-4820-A177-6B2FF8721CCC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62" name="Line 597">
          <a:extLst>
            <a:ext uri="{FF2B5EF4-FFF2-40B4-BE49-F238E27FC236}">
              <a16:creationId xmlns:a16="http://schemas.microsoft.com/office/drawing/2014/main" id="{4E96AFC7-344F-48AF-82CE-A401BBAEFF11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63" name="Line 598">
          <a:extLst>
            <a:ext uri="{FF2B5EF4-FFF2-40B4-BE49-F238E27FC236}">
              <a16:creationId xmlns:a16="http://schemas.microsoft.com/office/drawing/2014/main" id="{C0426BCE-28B0-4BE0-A151-F5F6C121B0F1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64" name="Line 599">
          <a:extLst>
            <a:ext uri="{FF2B5EF4-FFF2-40B4-BE49-F238E27FC236}">
              <a16:creationId xmlns:a16="http://schemas.microsoft.com/office/drawing/2014/main" id="{B28B277B-CD0F-43E9-8F00-1E7C704F7C94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65" name="Line 600">
          <a:extLst>
            <a:ext uri="{FF2B5EF4-FFF2-40B4-BE49-F238E27FC236}">
              <a16:creationId xmlns:a16="http://schemas.microsoft.com/office/drawing/2014/main" id="{ED2103AD-1698-46A1-9305-D788DB564DBD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66" name="Line 601">
          <a:extLst>
            <a:ext uri="{FF2B5EF4-FFF2-40B4-BE49-F238E27FC236}">
              <a16:creationId xmlns:a16="http://schemas.microsoft.com/office/drawing/2014/main" id="{0253362E-213D-4F35-8AD8-FCF82FB9F67B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67" name="Line 602">
          <a:extLst>
            <a:ext uri="{FF2B5EF4-FFF2-40B4-BE49-F238E27FC236}">
              <a16:creationId xmlns:a16="http://schemas.microsoft.com/office/drawing/2014/main" id="{01CA863D-4AC3-47A0-A3CE-F011071DC254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68" name="Line 603">
          <a:extLst>
            <a:ext uri="{FF2B5EF4-FFF2-40B4-BE49-F238E27FC236}">
              <a16:creationId xmlns:a16="http://schemas.microsoft.com/office/drawing/2014/main" id="{BB906C84-F1AB-4397-B399-5913389EE69B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69" name="Line 604">
          <a:extLst>
            <a:ext uri="{FF2B5EF4-FFF2-40B4-BE49-F238E27FC236}">
              <a16:creationId xmlns:a16="http://schemas.microsoft.com/office/drawing/2014/main" id="{330ED7BF-2256-4EB7-83AE-63554A57C52F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70" name="Line 605">
          <a:extLst>
            <a:ext uri="{FF2B5EF4-FFF2-40B4-BE49-F238E27FC236}">
              <a16:creationId xmlns:a16="http://schemas.microsoft.com/office/drawing/2014/main" id="{07BB1136-19A3-480A-933D-AEC6E8354214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71" name="Line 606">
          <a:extLst>
            <a:ext uri="{FF2B5EF4-FFF2-40B4-BE49-F238E27FC236}">
              <a16:creationId xmlns:a16="http://schemas.microsoft.com/office/drawing/2014/main" id="{1BF456FC-3C1B-4606-BB47-723FC9FA8B82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72" name="Line 607">
          <a:extLst>
            <a:ext uri="{FF2B5EF4-FFF2-40B4-BE49-F238E27FC236}">
              <a16:creationId xmlns:a16="http://schemas.microsoft.com/office/drawing/2014/main" id="{8DF4D0DE-BE84-478B-95A5-E6547BC6B5D5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73" name="Line 608">
          <a:extLst>
            <a:ext uri="{FF2B5EF4-FFF2-40B4-BE49-F238E27FC236}">
              <a16:creationId xmlns:a16="http://schemas.microsoft.com/office/drawing/2014/main" id="{F281772F-EA24-4787-A0AA-863A69ED771C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74" name="Line 609">
          <a:extLst>
            <a:ext uri="{FF2B5EF4-FFF2-40B4-BE49-F238E27FC236}">
              <a16:creationId xmlns:a16="http://schemas.microsoft.com/office/drawing/2014/main" id="{7B8EE8E5-543A-4B55-A1C2-D24FFF44FE3D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75" name="Line 610">
          <a:extLst>
            <a:ext uri="{FF2B5EF4-FFF2-40B4-BE49-F238E27FC236}">
              <a16:creationId xmlns:a16="http://schemas.microsoft.com/office/drawing/2014/main" id="{FA50A85D-D2FC-4868-8F7E-93D1272F79D8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276" name="Line 611">
          <a:extLst>
            <a:ext uri="{FF2B5EF4-FFF2-40B4-BE49-F238E27FC236}">
              <a16:creationId xmlns:a16="http://schemas.microsoft.com/office/drawing/2014/main" id="{9FBFE7A8-88D1-4615-A40B-64747876C8F0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277" name="Line 612">
          <a:extLst>
            <a:ext uri="{FF2B5EF4-FFF2-40B4-BE49-F238E27FC236}">
              <a16:creationId xmlns:a16="http://schemas.microsoft.com/office/drawing/2014/main" id="{E801D6B3-9D2D-4D99-A10F-BA277AE87CFE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278" name="Line 613">
          <a:extLst>
            <a:ext uri="{FF2B5EF4-FFF2-40B4-BE49-F238E27FC236}">
              <a16:creationId xmlns:a16="http://schemas.microsoft.com/office/drawing/2014/main" id="{AF6E8B96-EC10-4912-8829-8F5C6F60F861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279" name="Line 614">
          <a:extLst>
            <a:ext uri="{FF2B5EF4-FFF2-40B4-BE49-F238E27FC236}">
              <a16:creationId xmlns:a16="http://schemas.microsoft.com/office/drawing/2014/main" id="{1891E1DC-2D54-476C-8297-EF925EAA1476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246</xdr:row>
      <xdr:rowOff>0</xdr:rowOff>
    </xdr:from>
    <xdr:to>
      <xdr:col>20</xdr:col>
      <xdr:colOff>190500</xdr:colOff>
      <xdr:row>246</xdr:row>
      <xdr:rowOff>0</xdr:rowOff>
    </xdr:to>
    <xdr:sp macro="" textlink="">
      <xdr:nvSpPr>
        <xdr:cNvPr id="280" name="Line 615">
          <a:extLst>
            <a:ext uri="{FF2B5EF4-FFF2-40B4-BE49-F238E27FC236}">
              <a16:creationId xmlns:a16="http://schemas.microsoft.com/office/drawing/2014/main" id="{159F667E-85AB-454A-A8B2-36188149947C}"/>
            </a:ext>
          </a:extLst>
        </xdr:cNvPr>
        <xdr:cNvSpPr>
          <a:spLocks noChangeShapeType="1"/>
        </xdr:cNvSpPr>
      </xdr:nvSpPr>
      <xdr:spPr bwMode="auto">
        <a:xfrm>
          <a:off x="489204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281" name="Line 616">
          <a:extLst>
            <a:ext uri="{FF2B5EF4-FFF2-40B4-BE49-F238E27FC236}">
              <a16:creationId xmlns:a16="http://schemas.microsoft.com/office/drawing/2014/main" id="{64032B02-C172-4528-A39B-F1654FA4751D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282" name="Line 617">
          <a:extLst>
            <a:ext uri="{FF2B5EF4-FFF2-40B4-BE49-F238E27FC236}">
              <a16:creationId xmlns:a16="http://schemas.microsoft.com/office/drawing/2014/main" id="{EEA0983D-835E-43A8-BA5F-84071F8F8B25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246</xdr:row>
      <xdr:rowOff>0</xdr:rowOff>
    </xdr:from>
    <xdr:to>
      <xdr:col>20</xdr:col>
      <xdr:colOff>190500</xdr:colOff>
      <xdr:row>246</xdr:row>
      <xdr:rowOff>0</xdr:rowOff>
    </xdr:to>
    <xdr:sp macro="" textlink="">
      <xdr:nvSpPr>
        <xdr:cNvPr id="283" name="Line 618">
          <a:extLst>
            <a:ext uri="{FF2B5EF4-FFF2-40B4-BE49-F238E27FC236}">
              <a16:creationId xmlns:a16="http://schemas.microsoft.com/office/drawing/2014/main" id="{968023E9-EFD6-4669-ADE4-3262A43D6062}"/>
            </a:ext>
          </a:extLst>
        </xdr:cNvPr>
        <xdr:cNvSpPr>
          <a:spLocks noChangeShapeType="1"/>
        </xdr:cNvSpPr>
      </xdr:nvSpPr>
      <xdr:spPr bwMode="auto">
        <a:xfrm>
          <a:off x="489204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284" name="Line 619">
          <a:extLst>
            <a:ext uri="{FF2B5EF4-FFF2-40B4-BE49-F238E27FC236}">
              <a16:creationId xmlns:a16="http://schemas.microsoft.com/office/drawing/2014/main" id="{0F1AA444-62A9-4330-B5EE-61611EDD4DE8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285" name="Line 620">
          <a:extLst>
            <a:ext uri="{FF2B5EF4-FFF2-40B4-BE49-F238E27FC236}">
              <a16:creationId xmlns:a16="http://schemas.microsoft.com/office/drawing/2014/main" id="{74351EA3-323B-4A47-82DE-CA151040961B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246</xdr:row>
      <xdr:rowOff>0</xdr:rowOff>
    </xdr:from>
    <xdr:to>
      <xdr:col>20</xdr:col>
      <xdr:colOff>190500</xdr:colOff>
      <xdr:row>246</xdr:row>
      <xdr:rowOff>0</xdr:rowOff>
    </xdr:to>
    <xdr:sp macro="" textlink="">
      <xdr:nvSpPr>
        <xdr:cNvPr id="286" name="Line 621">
          <a:extLst>
            <a:ext uri="{FF2B5EF4-FFF2-40B4-BE49-F238E27FC236}">
              <a16:creationId xmlns:a16="http://schemas.microsoft.com/office/drawing/2014/main" id="{329A142E-489A-4B77-B0B8-F81555C59FDA}"/>
            </a:ext>
          </a:extLst>
        </xdr:cNvPr>
        <xdr:cNvSpPr>
          <a:spLocks noChangeShapeType="1"/>
        </xdr:cNvSpPr>
      </xdr:nvSpPr>
      <xdr:spPr bwMode="auto">
        <a:xfrm>
          <a:off x="489204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287" name="Line 622">
          <a:extLst>
            <a:ext uri="{FF2B5EF4-FFF2-40B4-BE49-F238E27FC236}">
              <a16:creationId xmlns:a16="http://schemas.microsoft.com/office/drawing/2014/main" id="{8BDEB16F-0836-4DA1-A701-DFAA0582ACF8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288" name="Line 623">
          <a:extLst>
            <a:ext uri="{FF2B5EF4-FFF2-40B4-BE49-F238E27FC236}">
              <a16:creationId xmlns:a16="http://schemas.microsoft.com/office/drawing/2014/main" id="{C87D0B54-264D-4A60-BD1B-F5E507497F3C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246</xdr:row>
      <xdr:rowOff>0</xdr:rowOff>
    </xdr:from>
    <xdr:to>
      <xdr:col>20</xdr:col>
      <xdr:colOff>190500</xdr:colOff>
      <xdr:row>246</xdr:row>
      <xdr:rowOff>0</xdr:rowOff>
    </xdr:to>
    <xdr:sp macro="" textlink="">
      <xdr:nvSpPr>
        <xdr:cNvPr id="289" name="Line 624">
          <a:extLst>
            <a:ext uri="{FF2B5EF4-FFF2-40B4-BE49-F238E27FC236}">
              <a16:creationId xmlns:a16="http://schemas.microsoft.com/office/drawing/2014/main" id="{F3242679-5710-4207-8BC9-1202D67A5F29}"/>
            </a:ext>
          </a:extLst>
        </xdr:cNvPr>
        <xdr:cNvSpPr>
          <a:spLocks noChangeShapeType="1"/>
        </xdr:cNvSpPr>
      </xdr:nvSpPr>
      <xdr:spPr bwMode="auto">
        <a:xfrm>
          <a:off x="489204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290" name="Line 625">
          <a:extLst>
            <a:ext uri="{FF2B5EF4-FFF2-40B4-BE49-F238E27FC236}">
              <a16:creationId xmlns:a16="http://schemas.microsoft.com/office/drawing/2014/main" id="{035C4C37-6B4D-4FBB-A351-10547DF27196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291" name="Line 626">
          <a:extLst>
            <a:ext uri="{FF2B5EF4-FFF2-40B4-BE49-F238E27FC236}">
              <a16:creationId xmlns:a16="http://schemas.microsoft.com/office/drawing/2014/main" id="{A4880559-830F-44AB-B06B-5FED7CE3FB7D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246</xdr:row>
      <xdr:rowOff>0</xdr:rowOff>
    </xdr:from>
    <xdr:to>
      <xdr:col>20</xdr:col>
      <xdr:colOff>190500</xdr:colOff>
      <xdr:row>246</xdr:row>
      <xdr:rowOff>0</xdr:rowOff>
    </xdr:to>
    <xdr:sp macro="" textlink="">
      <xdr:nvSpPr>
        <xdr:cNvPr id="292" name="Line 627">
          <a:extLst>
            <a:ext uri="{FF2B5EF4-FFF2-40B4-BE49-F238E27FC236}">
              <a16:creationId xmlns:a16="http://schemas.microsoft.com/office/drawing/2014/main" id="{B63F8714-AB4F-43F3-911A-13BF8A5FCDF2}"/>
            </a:ext>
          </a:extLst>
        </xdr:cNvPr>
        <xdr:cNvSpPr>
          <a:spLocks noChangeShapeType="1"/>
        </xdr:cNvSpPr>
      </xdr:nvSpPr>
      <xdr:spPr bwMode="auto">
        <a:xfrm>
          <a:off x="489204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293" name="Line 628">
          <a:extLst>
            <a:ext uri="{FF2B5EF4-FFF2-40B4-BE49-F238E27FC236}">
              <a16:creationId xmlns:a16="http://schemas.microsoft.com/office/drawing/2014/main" id="{E603C508-9428-4D30-87F8-7C85F32C17A4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294" name="Line 629">
          <a:extLst>
            <a:ext uri="{FF2B5EF4-FFF2-40B4-BE49-F238E27FC236}">
              <a16:creationId xmlns:a16="http://schemas.microsoft.com/office/drawing/2014/main" id="{B5B4866F-F82C-4560-ACB5-38F72245B62F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259</xdr:row>
      <xdr:rowOff>0</xdr:rowOff>
    </xdr:from>
    <xdr:to>
      <xdr:col>20</xdr:col>
      <xdr:colOff>190500</xdr:colOff>
      <xdr:row>259</xdr:row>
      <xdr:rowOff>0</xdr:rowOff>
    </xdr:to>
    <xdr:sp macro="" textlink="">
      <xdr:nvSpPr>
        <xdr:cNvPr id="295" name="Line 630">
          <a:extLst>
            <a:ext uri="{FF2B5EF4-FFF2-40B4-BE49-F238E27FC236}">
              <a16:creationId xmlns:a16="http://schemas.microsoft.com/office/drawing/2014/main" id="{46E60717-2873-4A4E-A713-EA197C96BF69}"/>
            </a:ext>
          </a:extLst>
        </xdr:cNvPr>
        <xdr:cNvSpPr>
          <a:spLocks noChangeShapeType="1"/>
        </xdr:cNvSpPr>
      </xdr:nvSpPr>
      <xdr:spPr bwMode="auto">
        <a:xfrm>
          <a:off x="4892040" y="538810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259</xdr:row>
      <xdr:rowOff>0</xdr:rowOff>
    </xdr:from>
    <xdr:to>
      <xdr:col>21</xdr:col>
      <xdr:colOff>182880</xdr:colOff>
      <xdr:row>259</xdr:row>
      <xdr:rowOff>0</xdr:rowOff>
    </xdr:to>
    <xdr:sp macro="" textlink="">
      <xdr:nvSpPr>
        <xdr:cNvPr id="296" name="Line 631">
          <a:extLst>
            <a:ext uri="{FF2B5EF4-FFF2-40B4-BE49-F238E27FC236}">
              <a16:creationId xmlns:a16="http://schemas.microsoft.com/office/drawing/2014/main" id="{551F5118-27AF-4AC3-B3F5-188F8BCAFD4E}"/>
            </a:ext>
          </a:extLst>
        </xdr:cNvPr>
        <xdr:cNvSpPr>
          <a:spLocks noChangeShapeType="1"/>
        </xdr:cNvSpPr>
      </xdr:nvSpPr>
      <xdr:spPr bwMode="auto">
        <a:xfrm>
          <a:off x="5067300" y="538810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259</xdr:row>
      <xdr:rowOff>0</xdr:rowOff>
    </xdr:from>
    <xdr:to>
      <xdr:col>28</xdr:col>
      <xdr:colOff>182880</xdr:colOff>
      <xdr:row>259</xdr:row>
      <xdr:rowOff>0</xdr:rowOff>
    </xdr:to>
    <xdr:sp macro="" textlink="">
      <xdr:nvSpPr>
        <xdr:cNvPr id="297" name="Line 632">
          <a:extLst>
            <a:ext uri="{FF2B5EF4-FFF2-40B4-BE49-F238E27FC236}">
              <a16:creationId xmlns:a16="http://schemas.microsoft.com/office/drawing/2014/main" id="{A83CF147-333D-4C02-AE0F-1E836325BCE2}"/>
            </a:ext>
          </a:extLst>
        </xdr:cNvPr>
        <xdr:cNvSpPr>
          <a:spLocks noChangeShapeType="1"/>
        </xdr:cNvSpPr>
      </xdr:nvSpPr>
      <xdr:spPr bwMode="auto">
        <a:xfrm>
          <a:off x="6408420" y="538810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298" name="Line 641">
          <a:extLst>
            <a:ext uri="{FF2B5EF4-FFF2-40B4-BE49-F238E27FC236}">
              <a16:creationId xmlns:a16="http://schemas.microsoft.com/office/drawing/2014/main" id="{075AD50B-5EBC-40A1-B023-833718013285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299" name="Line 642">
          <a:extLst>
            <a:ext uri="{FF2B5EF4-FFF2-40B4-BE49-F238E27FC236}">
              <a16:creationId xmlns:a16="http://schemas.microsoft.com/office/drawing/2014/main" id="{3AEA6D66-EC4C-4FF5-B3D3-BEC0A3F0118A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00" name="Line 643">
          <a:extLst>
            <a:ext uri="{FF2B5EF4-FFF2-40B4-BE49-F238E27FC236}">
              <a16:creationId xmlns:a16="http://schemas.microsoft.com/office/drawing/2014/main" id="{006D263C-93DE-4B71-87F3-A35E54F7064D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01" name="Line 644">
          <a:extLst>
            <a:ext uri="{FF2B5EF4-FFF2-40B4-BE49-F238E27FC236}">
              <a16:creationId xmlns:a16="http://schemas.microsoft.com/office/drawing/2014/main" id="{B9F0DF3D-D2E7-4E5E-B6A3-CA843D79C827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02" name="Line 645">
          <a:extLst>
            <a:ext uri="{FF2B5EF4-FFF2-40B4-BE49-F238E27FC236}">
              <a16:creationId xmlns:a16="http://schemas.microsoft.com/office/drawing/2014/main" id="{FDC78226-48AF-4570-897C-3E6F64AEC6A6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03" name="Line 646">
          <a:extLst>
            <a:ext uri="{FF2B5EF4-FFF2-40B4-BE49-F238E27FC236}">
              <a16:creationId xmlns:a16="http://schemas.microsoft.com/office/drawing/2014/main" id="{5AAEDAA7-FD90-4938-A089-8BE6D4E526E8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04" name="Line 647">
          <a:extLst>
            <a:ext uri="{FF2B5EF4-FFF2-40B4-BE49-F238E27FC236}">
              <a16:creationId xmlns:a16="http://schemas.microsoft.com/office/drawing/2014/main" id="{6D41D6BC-4163-4A78-9C5D-F9552A3785E7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05" name="Line 648">
          <a:extLst>
            <a:ext uri="{FF2B5EF4-FFF2-40B4-BE49-F238E27FC236}">
              <a16:creationId xmlns:a16="http://schemas.microsoft.com/office/drawing/2014/main" id="{B8BBD7FA-F212-43AE-9326-78418037A640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06" name="Line 649">
          <a:extLst>
            <a:ext uri="{FF2B5EF4-FFF2-40B4-BE49-F238E27FC236}">
              <a16:creationId xmlns:a16="http://schemas.microsoft.com/office/drawing/2014/main" id="{C4467E8B-6550-4A24-B406-95E45FBD13C3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07" name="Line 650">
          <a:extLst>
            <a:ext uri="{FF2B5EF4-FFF2-40B4-BE49-F238E27FC236}">
              <a16:creationId xmlns:a16="http://schemas.microsoft.com/office/drawing/2014/main" id="{4BA11ABE-1BA1-4B48-A9FE-202BDC76ECD9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08" name="Line 651">
          <a:extLst>
            <a:ext uri="{FF2B5EF4-FFF2-40B4-BE49-F238E27FC236}">
              <a16:creationId xmlns:a16="http://schemas.microsoft.com/office/drawing/2014/main" id="{D4C51365-414D-4EC8-B083-66DFFCE0CF26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09" name="Line 652">
          <a:extLst>
            <a:ext uri="{FF2B5EF4-FFF2-40B4-BE49-F238E27FC236}">
              <a16:creationId xmlns:a16="http://schemas.microsoft.com/office/drawing/2014/main" id="{BDF11958-62D1-4B1A-8168-2540EEA9ACD3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10" name="Line 653">
          <a:extLst>
            <a:ext uri="{FF2B5EF4-FFF2-40B4-BE49-F238E27FC236}">
              <a16:creationId xmlns:a16="http://schemas.microsoft.com/office/drawing/2014/main" id="{4DAAE162-2A61-4831-8ED5-A3A17E564CBA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11" name="Line 654">
          <a:extLst>
            <a:ext uri="{FF2B5EF4-FFF2-40B4-BE49-F238E27FC236}">
              <a16:creationId xmlns:a16="http://schemas.microsoft.com/office/drawing/2014/main" id="{C857AB61-CBC3-4738-902C-D450C48D7B75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12" name="Line 655">
          <a:extLst>
            <a:ext uri="{FF2B5EF4-FFF2-40B4-BE49-F238E27FC236}">
              <a16:creationId xmlns:a16="http://schemas.microsoft.com/office/drawing/2014/main" id="{5E4D9C4A-DF29-4E57-8608-9C7E7722DD7B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13" name="Line 656">
          <a:extLst>
            <a:ext uri="{FF2B5EF4-FFF2-40B4-BE49-F238E27FC236}">
              <a16:creationId xmlns:a16="http://schemas.microsoft.com/office/drawing/2014/main" id="{9D3D57A8-BCD5-4221-A3B7-5FEC591AEA52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14" name="Line 657">
          <a:extLst>
            <a:ext uri="{FF2B5EF4-FFF2-40B4-BE49-F238E27FC236}">
              <a16:creationId xmlns:a16="http://schemas.microsoft.com/office/drawing/2014/main" id="{BBB909AB-9056-47DC-A98E-FC78D7C52BE3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15" name="Line 658">
          <a:extLst>
            <a:ext uri="{FF2B5EF4-FFF2-40B4-BE49-F238E27FC236}">
              <a16:creationId xmlns:a16="http://schemas.microsoft.com/office/drawing/2014/main" id="{42363A31-0371-4A7A-B4AB-4E7AF1A573FB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316" name="Line 659">
          <a:extLst>
            <a:ext uri="{FF2B5EF4-FFF2-40B4-BE49-F238E27FC236}">
              <a16:creationId xmlns:a16="http://schemas.microsoft.com/office/drawing/2014/main" id="{4556DF36-B823-40CD-8CF5-A0C70E5BE08D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317" name="Line 660">
          <a:extLst>
            <a:ext uri="{FF2B5EF4-FFF2-40B4-BE49-F238E27FC236}">
              <a16:creationId xmlns:a16="http://schemas.microsoft.com/office/drawing/2014/main" id="{2696B2AF-A544-4433-908B-08A246AAFC7F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318" name="Line 661">
          <a:extLst>
            <a:ext uri="{FF2B5EF4-FFF2-40B4-BE49-F238E27FC236}">
              <a16:creationId xmlns:a16="http://schemas.microsoft.com/office/drawing/2014/main" id="{71043DA0-5809-49F2-96E3-5400FDC3B021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246</xdr:row>
      <xdr:rowOff>0</xdr:rowOff>
    </xdr:from>
    <xdr:to>
      <xdr:col>21</xdr:col>
      <xdr:colOff>182880</xdr:colOff>
      <xdr:row>246</xdr:row>
      <xdr:rowOff>0</xdr:rowOff>
    </xdr:to>
    <xdr:sp macro="" textlink="">
      <xdr:nvSpPr>
        <xdr:cNvPr id="319" name="Line 662">
          <a:extLst>
            <a:ext uri="{FF2B5EF4-FFF2-40B4-BE49-F238E27FC236}">
              <a16:creationId xmlns:a16="http://schemas.microsoft.com/office/drawing/2014/main" id="{596C7A1B-D7E9-49D0-822E-EB8036594D9B}"/>
            </a:ext>
          </a:extLst>
        </xdr:cNvPr>
        <xdr:cNvSpPr>
          <a:spLocks noChangeShapeType="1"/>
        </xdr:cNvSpPr>
      </xdr:nvSpPr>
      <xdr:spPr bwMode="auto">
        <a:xfrm>
          <a:off x="5067300" y="517017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246</xdr:row>
      <xdr:rowOff>0</xdr:rowOff>
    </xdr:from>
    <xdr:to>
      <xdr:col>28</xdr:col>
      <xdr:colOff>182880</xdr:colOff>
      <xdr:row>246</xdr:row>
      <xdr:rowOff>0</xdr:rowOff>
    </xdr:to>
    <xdr:sp macro="" textlink="">
      <xdr:nvSpPr>
        <xdr:cNvPr id="320" name="Line 663">
          <a:extLst>
            <a:ext uri="{FF2B5EF4-FFF2-40B4-BE49-F238E27FC236}">
              <a16:creationId xmlns:a16="http://schemas.microsoft.com/office/drawing/2014/main" id="{6CE7A3AF-B157-44A8-99FD-AF6679E42AEB}"/>
            </a:ext>
          </a:extLst>
        </xdr:cNvPr>
        <xdr:cNvSpPr>
          <a:spLocks noChangeShapeType="1"/>
        </xdr:cNvSpPr>
      </xdr:nvSpPr>
      <xdr:spPr bwMode="auto">
        <a:xfrm>
          <a:off x="6408420" y="51701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259</xdr:row>
      <xdr:rowOff>0</xdr:rowOff>
    </xdr:from>
    <xdr:to>
      <xdr:col>20</xdr:col>
      <xdr:colOff>190500</xdr:colOff>
      <xdr:row>259</xdr:row>
      <xdr:rowOff>0</xdr:rowOff>
    </xdr:to>
    <xdr:sp macro="" textlink="">
      <xdr:nvSpPr>
        <xdr:cNvPr id="321" name="Line 664">
          <a:extLst>
            <a:ext uri="{FF2B5EF4-FFF2-40B4-BE49-F238E27FC236}">
              <a16:creationId xmlns:a16="http://schemas.microsoft.com/office/drawing/2014/main" id="{16C36A7C-1FDA-4F9D-967A-8EB5754B3F06}"/>
            </a:ext>
          </a:extLst>
        </xdr:cNvPr>
        <xdr:cNvSpPr>
          <a:spLocks noChangeShapeType="1"/>
        </xdr:cNvSpPr>
      </xdr:nvSpPr>
      <xdr:spPr bwMode="auto">
        <a:xfrm>
          <a:off x="4892040" y="538810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259</xdr:row>
      <xdr:rowOff>0</xdr:rowOff>
    </xdr:from>
    <xdr:to>
      <xdr:col>21</xdr:col>
      <xdr:colOff>182880</xdr:colOff>
      <xdr:row>259</xdr:row>
      <xdr:rowOff>0</xdr:rowOff>
    </xdr:to>
    <xdr:sp macro="" textlink="">
      <xdr:nvSpPr>
        <xdr:cNvPr id="322" name="Line 665">
          <a:extLst>
            <a:ext uri="{FF2B5EF4-FFF2-40B4-BE49-F238E27FC236}">
              <a16:creationId xmlns:a16="http://schemas.microsoft.com/office/drawing/2014/main" id="{302A5E26-CC69-42B1-A776-0320042C45BB}"/>
            </a:ext>
          </a:extLst>
        </xdr:cNvPr>
        <xdr:cNvSpPr>
          <a:spLocks noChangeShapeType="1"/>
        </xdr:cNvSpPr>
      </xdr:nvSpPr>
      <xdr:spPr bwMode="auto">
        <a:xfrm>
          <a:off x="5067300" y="538810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259</xdr:row>
      <xdr:rowOff>0</xdr:rowOff>
    </xdr:from>
    <xdr:to>
      <xdr:col>28</xdr:col>
      <xdr:colOff>182880</xdr:colOff>
      <xdr:row>259</xdr:row>
      <xdr:rowOff>0</xdr:rowOff>
    </xdr:to>
    <xdr:sp macro="" textlink="">
      <xdr:nvSpPr>
        <xdr:cNvPr id="323" name="Line 666">
          <a:extLst>
            <a:ext uri="{FF2B5EF4-FFF2-40B4-BE49-F238E27FC236}">
              <a16:creationId xmlns:a16="http://schemas.microsoft.com/office/drawing/2014/main" id="{C71A61A0-0985-42DD-B69F-FB1B47B121D0}"/>
            </a:ext>
          </a:extLst>
        </xdr:cNvPr>
        <xdr:cNvSpPr>
          <a:spLocks noChangeShapeType="1"/>
        </xdr:cNvSpPr>
      </xdr:nvSpPr>
      <xdr:spPr bwMode="auto">
        <a:xfrm>
          <a:off x="6408420" y="538810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24" name="Line 667">
          <a:extLst>
            <a:ext uri="{FF2B5EF4-FFF2-40B4-BE49-F238E27FC236}">
              <a16:creationId xmlns:a16="http://schemas.microsoft.com/office/drawing/2014/main" id="{A1A27BD8-441B-4772-8ACF-6B62FD158710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25" name="Line 668">
          <a:extLst>
            <a:ext uri="{FF2B5EF4-FFF2-40B4-BE49-F238E27FC236}">
              <a16:creationId xmlns:a16="http://schemas.microsoft.com/office/drawing/2014/main" id="{8E78F48E-4541-4D43-88BB-2A824F36A5A2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26" name="Line 669">
          <a:extLst>
            <a:ext uri="{FF2B5EF4-FFF2-40B4-BE49-F238E27FC236}">
              <a16:creationId xmlns:a16="http://schemas.microsoft.com/office/drawing/2014/main" id="{79171307-E830-4170-9AB6-E5FAD2DE0B54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27" name="Line 670">
          <a:extLst>
            <a:ext uri="{FF2B5EF4-FFF2-40B4-BE49-F238E27FC236}">
              <a16:creationId xmlns:a16="http://schemas.microsoft.com/office/drawing/2014/main" id="{64D8522D-92BF-47C1-A01D-90A0E9914847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28" name="Line 671">
          <a:extLst>
            <a:ext uri="{FF2B5EF4-FFF2-40B4-BE49-F238E27FC236}">
              <a16:creationId xmlns:a16="http://schemas.microsoft.com/office/drawing/2014/main" id="{B40EF167-F436-4F52-AAB8-10C700D5570D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29" name="Line 672">
          <a:extLst>
            <a:ext uri="{FF2B5EF4-FFF2-40B4-BE49-F238E27FC236}">
              <a16:creationId xmlns:a16="http://schemas.microsoft.com/office/drawing/2014/main" id="{85147BB5-12FF-4557-BE4A-D7233FEF55C7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30" name="Line 673">
          <a:extLst>
            <a:ext uri="{FF2B5EF4-FFF2-40B4-BE49-F238E27FC236}">
              <a16:creationId xmlns:a16="http://schemas.microsoft.com/office/drawing/2014/main" id="{98A36EDA-421D-44D0-A52E-7733029E07FF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31" name="Line 674">
          <a:extLst>
            <a:ext uri="{FF2B5EF4-FFF2-40B4-BE49-F238E27FC236}">
              <a16:creationId xmlns:a16="http://schemas.microsoft.com/office/drawing/2014/main" id="{403F8CB7-F83E-45FE-AD81-BE53F3C1973A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32" name="Line 675">
          <a:extLst>
            <a:ext uri="{FF2B5EF4-FFF2-40B4-BE49-F238E27FC236}">
              <a16:creationId xmlns:a16="http://schemas.microsoft.com/office/drawing/2014/main" id="{07CD02A1-705E-42FB-BF7C-5FA11F0431C9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33" name="Line 676">
          <a:extLst>
            <a:ext uri="{FF2B5EF4-FFF2-40B4-BE49-F238E27FC236}">
              <a16:creationId xmlns:a16="http://schemas.microsoft.com/office/drawing/2014/main" id="{C7E32016-E25C-41F3-8660-E577446A6A1A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34" name="Line 677">
          <a:extLst>
            <a:ext uri="{FF2B5EF4-FFF2-40B4-BE49-F238E27FC236}">
              <a16:creationId xmlns:a16="http://schemas.microsoft.com/office/drawing/2014/main" id="{4ED15629-A990-46B4-A7D0-C7048651F6BE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35" name="Line 678">
          <a:extLst>
            <a:ext uri="{FF2B5EF4-FFF2-40B4-BE49-F238E27FC236}">
              <a16:creationId xmlns:a16="http://schemas.microsoft.com/office/drawing/2014/main" id="{D1D66996-4274-4664-B485-4F6580B4E158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36" name="Line 679">
          <a:extLst>
            <a:ext uri="{FF2B5EF4-FFF2-40B4-BE49-F238E27FC236}">
              <a16:creationId xmlns:a16="http://schemas.microsoft.com/office/drawing/2014/main" id="{1C8534E7-FD9C-409D-B248-3CF09B1098BA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37" name="Line 680">
          <a:extLst>
            <a:ext uri="{FF2B5EF4-FFF2-40B4-BE49-F238E27FC236}">
              <a16:creationId xmlns:a16="http://schemas.microsoft.com/office/drawing/2014/main" id="{3875DE31-B79C-4BE5-BCEC-D29A6746571A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38" name="Line 681">
          <a:extLst>
            <a:ext uri="{FF2B5EF4-FFF2-40B4-BE49-F238E27FC236}">
              <a16:creationId xmlns:a16="http://schemas.microsoft.com/office/drawing/2014/main" id="{E91D9F3F-4779-4BA8-8F2B-9FB696282B85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39" name="Line 682">
          <a:extLst>
            <a:ext uri="{FF2B5EF4-FFF2-40B4-BE49-F238E27FC236}">
              <a16:creationId xmlns:a16="http://schemas.microsoft.com/office/drawing/2014/main" id="{A754BC4B-971C-481B-B434-3D7DFDA9984D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40" name="Line 683">
          <a:extLst>
            <a:ext uri="{FF2B5EF4-FFF2-40B4-BE49-F238E27FC236}">
              <a16:creationId xmlns:a16="http://schemas.microsoft.com/office/drawing/2014/main" id="{632438E6-5FB8-47C0-802A-1979A830FC9F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41" name="Line 684">
          <a:extLst>
            <a:ext uri="{FF2B5EF4-FFF2-40B4-BE49-F238E27FC236}">
              <a16:creationId xmlns:a16="http://schemas.microsoft.com/office/drawing/2014/main" id="{CFDCDD2F-DF5F-4F85-80DB-79A1F4751E30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42" name="Line 685">
          <a:extLst>
            <a:ext uri="{FF2B5EF4-FFF2-40B4-BE49-F238E27FC236}">
              <a16:creationId xmlns:a16="http://schemas.microsoft.com/office/drawing/2014/main" id="{53106FB3-A9E7-4ED1-AD90-FAC10EA12FB9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43" name="Line 686">
          <a:extLst>
            <a:ext uri="{FF2B5EF4-FFF2-40B4-BE49-F238E27FC236}">
              <a16:creationId xmlns:a16="http://schemas.microsoft.com/office/drawing/2014/main" id="{ADA2F6E1-2C44-4669-AF6B-DD6B2C16B526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44" name="Line 687">
          <a:extLst>
            <a:ext uri="{FF2B5EF4-FFF2-40B4-BE49-F238E27FC236}">
              <a16:creationId xmlns:a16="http://schemas.microsoft.com/office/drawing/2014/main" id="{3CA1DE0F-4ABF-4DA2-B86B-B1533C28E606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186</xdr:row>
      <xdr:rowOff>0</xdr:rowOff>
    </xdr:from>
    <xdr:to>
      <xdr:col>20</xdr:col>
      <xdr:colOff>190500</xdr:colOff>
      <xdr:row>186</xdr:row>
      <xdr:rowOff>0</xdr:rowOff>
    </xdr:to>
    <xdr:sp macro="" textlink="">
      <xdr:nvSpPr>
        <xdr:cNvPr id="345" name="Line 688">
          <a:extLst>
            <a:ext uri="{FF2B5EF4-FFF2-40B4-BE49-F238E27FC236}">
              <a16:creationId xmlns:a16="http://schemas.microsoft.com/office/drawing/2014/main" id="{1259DFF6-9BE1-4F87-A81E-23310EBE89F5}"/>
            </a:ext>
          </a:extLst>
        </xdr:cNvPr>
        <xdr:cNvSpPr>
          <a:spLocks noChangeShapeType="1"/>
        </xdr:cNvSpPr>
      </xdr:nvSpPr>
      <xdr:spPr bwMode="auto">
        <a:xfrm>
          <a:off x="489204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186</xdr:row>
      <xdr:rowOff>0</xdr:rowOff>
    </xdr:from>
    <xdr:to>
      <xdr:col>21</xdr:col>
      <xdr:colOff>182880</xdr:colOff>
      <xdr:row>186</xdr:row>
      <xdr:rowOff>0</xdr:rowOff>
    </xdr:to>
    <xdr:sp macro="" textlink="">
      <xdr:nvSpPr>
        <xdr:cNvPr id="346" name="Line 689">
          <a:extLst>
            <a:ext uri="{FF2B5EF4-FFF2-40B4-BE49-F238E27FC236}">
              <a16:creationId xmlns:a16="http://schemas.microsoft.com/office/drawing/2014/main" id="{38EEB8CD-FC5D-416E-AE3A-420A3A206686}"/>
            </a:ext>
          </a:extLst>
        </xdr:cNvPr>
        <xdr:cNvSpPr>
          <a:spLocks noChangeShapeType="1"/>
        </xdr:cNvSpPr>
      </xdr:nvSpPr>
      <xdr:spPr bwMode="auto">
        <a:xfrm>
          <a:off x="5067300" y="41247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186</xdr:row>
      <xdr:rowOff>0</xdr:rowOff>
    </xdr:from>
    <xdr:to>
      <xdr:col>28</xdr:col>
      <xdr:colOff>182880</xdr:colOff>
      <xdr:row>186</xdr:row>
      <xdr:rowOff>0</xdr:rowOff>
    </xdr:to>
    <xdr:sp macro="" textlink="">
      <xdr:nvSpPr>
        <xdr:cNvPr id="347" name="Line 690">
          <a:extLst>
            <a:ext uri="{FF2B5EF4-FFF2-40B4-BE49-F238E27FC236}">
              <a16:creationId xmlns:a16="http://schemas.microsoft.com/office/drawing/2014/main" id="{93575C05-5D25-40AC-8F05-A8D68D623D18}"/>
            </a:ext>
          </a:extLst>
        </xdr:cNvPr>
        <xdr:cNvSpPr>
          <a:spLocks noChangeShapeType="1"/>
        </xdr:cNvSpPr>
      </xdr:nvSpPr>
      <xdr:spPr bwMode="auto">
        <a:xfrm>
          <a:off x="6408420" y="41247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348" name="Line 691">
          <a:extLst>
            <a:ext uri="{FF2B5EF4-FFF2-40B4-BE49-F238E27FC236}">
              <a16:creationId xmlns:a16="http://schemas.microsoft.com/office/drawing/2014/main" id="{0A3BCD2B-28CF-48D2-A02C-57AE9371487E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349" name="Line 692">
          <a:extLst>
            <a:ext uri="{FF2B5EF4-FFF2-40B4-BE49-F238E27FC236}">
              <a16:creationId xmlns:a16="http://schemas.microsoft.com/office/drawing/2014/main" id="{52891506-4D2A-4452-A5BC-41E81E31C70C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350" name="Line 693">
          <a:extLst>
            <a:ext uri="{FF2B5EF4-FFF2-40B4-BE49-F238E27FC236}">
              <a16:creationId xmlns:a16="http://schemas.microsoft.com/office/drawing/2014/main" id="{5DA437C8-A946-4842-96CB-D966E2D819C9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351" name="Line 702">
          <a:extLst>
            <a:ext uri="{FF2B5EF4-FFF2-40B4-BE49-F238E27FC236}">
              <a16:creationId xmlns:a16="http://schemas.microsoft.com/office/drawing/2014/main" id="{F039C227-584C-4406-ACA3-9FDA18134E80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352" name="Line 703">
          <a:extLst>
            <a:ext uri="{FF2B5EF4-FFF2-40B4-BE49-F238E27FC236}">
              <a16:creationId xmlns:a16="http://schemas.microsoft.com/office/drawing/2014/main" id="{C9704AA3-A527-41C6-9FBB-C53C344816F5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353" name="Line 704">
          <a:extLst>
            <a:ext uri="{FF2B5EF4-FFF2-40B4-BE49-F238E27FC236}">
              <a16:creationId xmlns:a16="http://schemas.microsoft.com/office/drawing/2014/main" id="{365AE12E-B8BE-4030-B961-3C23E0D27D5A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354" name="Line 705">
          <a:extLst>
            <a:ext uri="{FF2B5EF4-FFF2-40B4-BE49-F238E27FC236}">
              <a16:creationId xmlns:a16="http://schemas.microsoft.com/office/drawing/2014/main" id="{01C5EA24-3AB8-4088-AEAF-9AC57512A13C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355" name="Line 706">
          <a:extLst>
            <a:ext uri="{FF2B5EF4-FFF2-40B4-BE49-F238E27FC236}">
              <a16:creationId xmlns:a16="http://schemas.microsoft.com/office/drawing/2014/main" id="{83B49078-208A-4B76-848F-2D7A45D8C8CF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356" name="Line 707">
          <a:extLst>
            <a:ext uri="{FF2B5EF4-FFF2-40B4-BE49-F238E27FC236}">
              <a16:creationId xmlns:a16="http://schemas.microsoft.com/office/drawing/2014/main" id="{0BD2F65C-A801-4D8A-97B1-BC6F8449FF76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357" name="Line 708">
          <a:extLst>
            <a:ext uri="{FF2B5EF4-FFF2-40B4-BE49-F238E27FC236}">
              <a16:creationId xmlns:a16="http://schemas.microsoft.com/office/drawing/2014/main" id="{20B5C154-523E-476D-807B-B43C8702B2B0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358" name="Line 709">
          <a:extLst>
            <a:ext uri="{FF2B5EF4-FFF2-40B4-BE49-F238E27FC236}">
              <a16:creationId xmlns:a16="http://schemas.microsoft.com/office/drawing/2014/main" id="{7D8A68CE-EDB8-47E4-AD11-FF1FA114B7CB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359" name="Line 710">
          <a:extLst>
            <a:ext uri="{FF2B5EF4-FFF2-40B4-BE49-F238E27FC236}">
              <a16:creationId xmlns:a16="http://schemas.microsoft.com/office/drawing/2014/main" id="{D6FA047B-7EE1-49C2-8623-1A5AD6209FE2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79</xdr:row>
      <xdr:rowOff>0</xdr:rowOff>
    </xdr:from>
    <xdr:to>
      <xdr:col>20</xdr:col>
      <xdr:colOff>190500</xdr:colOff>
      <xdr:row>79</xdr:row>
      <xdr:rowOff>0</xdr:rowOff>
    </xdr:to>
    <xdr:sp macro="" textlink="">
      <xdr:nvSpPr>
        <xdr:cNvPr id="360" name="Line 713">
          <a:extLst>
            <a:ext uri="{FF2B5EF4-FFF2-40B4-BE49-F238E27FC236}">
              <a16:creationId xmlns:a16="http://schemas.microsoft.com/office/drawing/2014/main" id="{F1410898-0F39-4A4D-8250-342D453D2805}"/>
            </a:ext>
          </a:extLst>
        </xdr:cNvPr>
        <xdr:cNvSpPr>
          <a:spLocks noChangeShapeType="1"/>
        </xdr:cNvSpPr>
      </xdr:nvSpPr>
      <xdr:spPr bwMode="auto">
        <a:xfrm>
          <a:off x="4892040" y="2282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79</xdr:row>
      <xdr:rowOff>0</xdr:rowOff>
    </xdr:from>
    <xdr:to>
      <xdr:col>21</xdr:col>
      <xdr:colOff>182880</xdr:colOff>
      <xdr:row>79</xdr:row>
      <xdr:rowOff>0</xdr:rowOff>
    </xdr:to>
    <xdr:sp macro="" textlink="">
      <xdr:nvSpPr>
        <xdr:cNvPr id="361" name="Line 714">
          <a:extLst>
            <a:ext uri="{FF2B5EF4-FFF2-40B4-BE49-F238E27FC236}">
              <a16:creationId xmlns:a16="http://schemas.microsoft.com/office/drawing/2014/main" id="{18392AE5-32D8-4C3A-8A60-3FF5DC64DBD7}"/>
            </a:ext>
          </a:extLst>
        </xdr:cNvPr>
        <xdr:cNvSpPr>
          <a:spLocks noChangeShapeType="1"/>
        </xdr:cNvSpPr>
      </xdr:nvSpPr>
      <xdr:spPr bwMode="auto">
        <a:xfrm>
          <a:off x="5067300" y="22821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79</xdr:row>
      <xdr:rowOff>0</xdr:rowOff>
    </xdr:from>
    <xdr:to>
      <xdr:col>28</xdr:col>
      <xdr:colOff>182880</xdr:colOff>
      <xdr:row>79</xdr:row>
      <xdr:rowOff>0</xdr:rowOff>
    </xdr:to>
    <xdr:sp macro="" textlink="">
      <xdr:nvSpPr>
        <xdr:cNvPr id="362" name="Line 715">
          <a:extLst>
            <a:ext uri="{FF2B5EF4-FFF2-40B4-BE49-F238E27FC236}">
              <a16:creationId xmlns:a16="http://schemas.microsoft.com/office/drawing/2014/main" id="{7C7F3CDF-45E7-464A-9D4A-EF4AB67A8E27}"/>
            </a:ext>
          </a:extLst>
        </xdr:cNvPr>
        <xdr:cNvSpPr>
          <a:spLocks noChangeShapeType="1"/>
        </xdr:cNvSpPr>
      </xdr:nvSpPr>
      <xdr:spPr bwMode="auto">
        <a:xfrm>
          <a:off x="6408420" y="2282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79</xdr:row>
      <xdr:rowOff>0</xdr:rowOff>
    </xdr:from>
    <xdr:to>
      <xdr:col>20</xdr:col>
      <xdr:colOff>190500</xdr:colOff>
      <xdr:row>79</xdr:row>
      <xdr:rowOff>0</xdr:rowOff>
    </xdr:to>
    <xdr:sp macro="" textlink="">
      <xdr:nvSpPr>
        <xdr:cNvPr id="363" name="Line 716">
          <a:extLst>
            <a:ext uri="{FF2B5EF4-FFF2-40B4-BE49-F238E27FC236}">
              <a16:creationId xmlns:a16="http://schemas.microsoft.com/office/drawing/2014/main" id="{4AF3AEA6-D4D4-4222-806D-7DDE8D9193AE}"/>
            </a:ext>
          </a:extLst>
        </xdr:cNvPr>
        <xdr:cNvSpPr>
          <a:spLocks noChangeShapeType="1"/>
        </xdr:cNvSpPr>
      </xdr:nvSpPr>
      <xdr:spPr bwMode="auto">
        <a:xfrm>
          <a:off x="4892040" y="2282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79</xdr:row>
      <xdr:rowOff>0</xdr:rowOff>
    </xdr:from>
    <xdr:to>
      <xdr:col>21</xdr:col>
      <xdr:colOff>182880</xdr:colOff>
      <xdr:row>79</xdr:row>
      <xdr:rowOff>0</xdr:rowOff>
    </xdr:to>
    <xdr:sp macro="" textlink="">
      <xdr:nvSpPr>
        <xdr:cNvPr id="364" name="Line 717">
          <a:extLst>
            <a:ext uri="{FF2B5EF4-FFF2-40B4-BE49-F238E27FC236}">
              <a16:creationId xmlns:a16="http://schemas.microsoft.com/office/drawing/2014/main" id="{C8A7508E-2265-4341-8981-35EBD24D60AA}"/>
            </a:ext>
          </a:extLst>
        </xdr:cNvPr>
        <xdr:cNvSpPr>
          <a:spLocks noChangeShapeType="1"/>
        </xdr:cNvSpPr>
      </xdr:nvSpPr>
      <xdr:spPr bwMode="auto">
        <a:xfrm>
          <a:off x="5067300" y="22821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79</xdr:row>
      <xdr:rowOff>0</xdr:rowOff>
    </xdr:from>
    <xdr:to>
      <xdr:col>28</xdr:col>
      <xdr:colOff>182880</xdr:colOff>
      <xdr:row>79</xdr:row>
      <xdr:rowOff>0</xdr:rowOff>
    </xdr:to>
    <xdr:sp macro="" textlink="">
      <xdr:nvSpPr>
        <xdr:cNvPr id="365" name="Line 718">
          <a:extLst>
            <a:ext uri="{FF2B5EF4-FFF2-40B4-BE49-F238E27FC236}">
              <a16:creationId xmlns:a16="http://schemas.microsoft.com/office/drawing/2014/main" id="{2F7B102C-7DD1-4EF0-91C3-1BF263146926}"/>
            </a:ext>
          </a:extLst>
        </xdr:cNvPr>
        <xdr:cNvSpPr>
          <a:spLocks noChangeShapeType="1"/>
        </xdr:cNvSpPr>
      </xdr:nvSpPr>
      <xdr:spPr bwMode="auto">
        <a:xfrm>
          <a:off x="6408420" y="22821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79</xdr:row>
      <xdr:rowOff>0</xdr:rowOff>
    </xdr:from>
    <xdr:to>
      <xdr:col>11</xdr:col>
      <xdr:colOff>30480</xdr:colOff>
      <xdr:row>79</xdr:row>
      <xdr:rowOff>0</xdr:rowOff>
    </xdr:to>
    <xdr:sp macro="" textlink="">
      <xdr:nvSpPr>
        <xdr:cNvPr id="366" name="AutoShape 719">
          <a:extLst>
            <a:ext uri="{FF2B5EF4-FFF2-40B4-BE49-F238E27FC236}">
              <a16:creationId xmlns:a16="http://schemas.microsoft.com/office/drawing/2014/main" id="{11E9ACD5-D808-4012-A8EB-2FFA4085F973}"/>
            </a:ext>
          </a:extLst>
        </xdr:cNvPr>
        <xdr:cNvSpPr>
          <a:spLocks/>
        </xdr:cNvSpPr>
      </xdr:nvSpPr>
      <xdr:spPr bwMode="auto">
        <a:xfrm>
          <a:off x="2103120" y="22821900"/>
          <a:ext cx="76200" cy="0"/>
        </a:xfrm>
        <a:prstGeom prst="lef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79</xdr:row>
      <xdr:rowOff>0</xdr:rowOff>
    </xdr:from>
    <xdr:to>
      <xdr:col>15</xdr:col>
      <xdr:colOff>114300</xdr:colOff>
      <xdr:row>79</xdr:row>
      <xdr:rowOff>0</xdr:rowOff>
    </xdr:to>
    <xdr:sp macro="" textlink="">
      <xdr:nvSpPr>
        <xdr:cNvPr id="367" name="AutoShape 720">
          <a:extLst>
            <a:ext uri="{FF2B5EF4-FFF2-40B4-BE49-F238E27FC236}">
              <a16:creationId xmlns:a16="http://schemas.microsoft.com/office/drawing/2014/main" id="{8C7D7E2C-AF33-43BD-B891-B5162A4775C1}"/>
            </a:ext>
          </a:extLst>
        </xdr:cNvPr>
        <xdr:cNvSpPr>
          <a:spLocks/>
        </xdr:cNvSpPr>
      </xdr:nvSpPr>
      <xdr:spPr bwMode="auto">
        <a:xfrm>
          <a:off x="3451860" y="22821900"/>
          <a:ext cx="76200" cy="0"/>
        </a:xfrm>
        <a:prstGeom prst="righ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20</xdr:col>
      <xdr:colOff>236220</xdr:colOff>
      <xdr:row>138</xdr:row>
      <xdr:rowOff>0</xdr:rowOff>
    </xdr:from>
    <xdr:to>
      <xdr:col>20</xdr:col>
      <xdr:colOff>190500</xdr:colOff>
      <xdr:row>138</xdr:row>
      <xdr:rowOff>0</xdr:rowOff>
    </xdr:to>
    <xdr:sp macro="" textlink="">
      <xdr:nvSpPr>
        <xdr:cNvPr id="368" name="Line 721">
          <a:extLst>
            <a:ext uri="{FF2B5EF4-FFF2-40B4-BE49-F238E27FC236}">
              <a16:creationId xmlns:a16="http://schemas.microsoft.com/office/drawing/2014/main" id="{36BDD86C-B289-44AB-9C7E-B0D974D6369D}"/>
            </a:ext>
          </a:extLst>
        </xdr:cNvPr>
        <xdr:cNvSpPr>
          <a:spLocks noChangeShapeType="1"/>
        </xdr:cNvSpPr>
      </xdr:nvSpPr>
      <xdr:spPr bwMode="auto">
        <a:xfrm>
          <a:off x="489204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138</xdr:row>
      <xdr:rowOff>0</xdr:rowOff>
    </xdr:from>
    <xdr:to>
      <xdr:col>21</xdr:col>
      <xdr:colOff>182880</xdr:colOff>
      <xdr:row>138</xdr:row>
      <xdr:rowOff>0</xdr:rowOff>
    </xdr:to>
    <xdr:sp macro="" textlink="">
      <xdr:nvSpPr>
        <xdr:cNvPr id="369" name="Line 722">
          <a:extLst>
            <a:ext uri="{FF2B5EF4-FFF2-40B4-BE49-F238E27FC236}">
              <a16:creationId xmlns:a16="http://schemas.microsoft.com/office/drawing/2014/main" id="{A0393245-CE8B-4ADA-853B-C2FFA97B773D}"/>
            </a:ext>
          </a:extLst>
        </xdr:cNvPr>
        <xdr:cNvSpPr>
          <a:spLocks noChangeShapeType="1"/>
        </xdr:cNvSpPr>
      </xdr:nvSpPr>
      <xdr:spPr bwMode="auto">
        <a:xfrm>
          <a:off x="5067300" y="33108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138</xdr:row>
      <xdr:rowOff>0</xdr:rowOff>
    </xdr:from>
    <xdr:to>
      <xdr:col>28</xdr:col>
      <xdr:colOff>182880</xdr:colOff>
      <xdr:row>138</xdr:row>
      <xdr:rowOff>0</xdr:rowOff>
    </xdr:to>
    <xdr:sp macro="" textlink="">
      <xdr:nvSpPr>
        <xdr:cNvPr id="370" name="Line 723">
          <a:extLst>
            <a:ext uri="{FF2B5EF4-FFF2-40B4-BE49-F238E27FC236}">
              <a16:creationId xmlns:a16="http://schemas.microsoft.com/office/drawing/2014/main" id="{8C08BA30-C07C-447B-820D-8736E2DAB7D6}"/>
            </a:ext>
          </a:extLst>
        </xdr:cNvPr>
        <xdr:cNvSpPr>
          <a:spLocks noChangeShapeType="1"/>
        </xdr:cNvSpPr>
      </xdr:nvSpPr>
      <xdr:spPr bwMode="auto">
        <a:xfrm>
          <a:off x="640842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138</xdr:row>
      <xdr:rowOff>0</xdr:rowOff>
    </xdr:from>
    <xdr:to>
      <xdr:col>20</xdr:col>
      <xdr:colOff>190500</xdr:colOff>
      <xdr:row>138</xdr:row>
      <xdr:rowOff>0</xdr:rowOff>
    </xdr:to>
    <xdr:sp macro="" textlink="">
      <xdr:nvSpPr>
        <xdr:cNvPr id="371" name="Line 724">
          <a:extLst>
            <a:ext uri="{FF2B5EF4-FFF2-40B4-BE49-F238E27FC236}">
              <a16:creationId xmlns:a16="http://schemas.microsoft.com/office/drawing/2014/main" id="{33885D20-8DBB-4FB0-878A-3A7D22FF6AED}"/>
            </a:ext>
          </a:extLst>
        </xdr:cNvPr>
        <xdr:cNvSpPr>
          <a:spLocks noChangeShapeType="1"/>
        </xdr:cNvSpPr>
      </xdr:nvSpPr>
      <xdr:spPr bwMode="auto">
        <a:xfrm>
          <a:off x="489204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138</xdr:row>
      <xdr:rowOff>0</xdr:rowOff>
    </xdr:from>
    <xdr:to>
      <xdr:col>21</xdr:col>
      <xdr:colOff>182880</xdr:colOff>
      <xdr:row>138</xdr:row>
      <xdr:rowOff>0</xdr:rowOff>
    </xdr:to>
    <xdr:sp macro="" textlink="">
      <xdr:nvSpPr>
        <xdr:cNvPr id="372" name="Line 725">
          <a:extLst>
            <a:ext uri="{FF2B5EF4-FFF2-40B4-BE49-F238E27FC236}">
              <a16:creationId xmlns:a16="http://schemas.microsoft.com/office/drawing/2014/main" id="{DBCE1436-8D99-4022-834A-1991CA5143AD}"/>
            </a:ext>
          </a:extLst>
        </xdr:cNvPr>
        <xdr:cNvSpPr>
          <a:spLocks noChangeShapeType="1"/>
        </xdr:cNvSpPr>
      </xdr:nvSpPr>
      <xdr:spPr bwMode="auto">
        <a:xfrm>
          <a:off x="5067300" y="331089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138</xdr:row>
      <xdr:rowOff>0</xdr:rowOff>
    </xdr:from>
    <xdr:to>
      <xdr:col>28</xdr:col>
      <xdr:colOff>182880</xdr:colOff>
      <xdr:row>138</xdr:row>
      <xdr:rowOff>0</xdr:rowOff>
    </xdr:to>
    <xdr:sp macro="" textlink="">
      <xdr:nvSpPr>
        <xdr:cNvPr id="373" name="Line 726">
          <a:extLst>
            <a:ext uri="{FF2B5EF4-FFF2-40B4-BE49-F238E27FC236}">
              <a16:creationId xmlns:a16="http://schemas.microsoft.com/office/drawing/2014/main" id="{08ECDE1A-3594-43D6-910B-80AB81EDD141}"/>
            </a:ext>
          </a:extLst>
        </xdr:cNvPr>
        <xdr:cNvSpPr>
          <a:spLocks noChangeShapeType="1"/>
        </xdr:cNvSpPr>
      </xdr:nvSpPr>
      <xdr:spPr bwMode="auto">
        <a:xfrm>
          <a:off x="6408420" y="33108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138</xdr:row>
      <xdr:rowOff>0</xdr:rowOff>
    </xdr:from>
    <xdr:to>
      <xdr:col>11</xdr:col>
      <xdr:colOff>30480</xdr:colOff>
      <xdr:row>138</xdr:row>
      <xdr:rowOff>0</xdr:rowOff>
    </xdr:to>
    <xdr:sp macro="" textlink="">
      <xdr:nvSpPr>
        <xdr:cNvPr id="374" name="AutoShape 727">
          <a:extLst>
            <a:ext uri="{FF2B5EF4-FFF2-40B4-BE49-F238E27FC236}">
              <a16:creationId xmlns:a16="http://schemas.microsoft.com/office/drawing/2014/main" id="{EFBCEA36-D759-4A9D-8BE7-191FA012FCF2}"/>
            </a:ext>
          </a:extLst>
        </xdr:cNvPr>
        <xdr:cNvSpPr>
          <a:spLocks/>
        </xdr:cNvSpPr>
      </xdr:nvSpPr>
      <xdr:spPr bwMode="auto">
        <a:xfrm>
          <a:off x="2103120" y="33108900"/>
          <a:ext cx="76200" cy="0"/>
        </a:xfrm>
        <a:prstGeom prst="lef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138</xdr:row>
      <xdr:rowOff>0</xdr:rowOff>
    </xdr:from>
    <xdr:to>
      <xdr:col>15</xdr:col>
      <xdr:colOff>114300</xdr:colOff>
      <xdr:row>138</xdr:row>
      <xdr:rowOff>0</xdr:rowOff>
    </xdr:to>
    <xdr:sp macro="" textlink="">
      <xdr:nvSpPr>
        <xdr:cNvPr id="375" name="AutoShape 728">
          <a:extLst>
            <a:ext uri="{FF2B5EF4-FFF2-40B4-BE49-F238E27FC236}">
              <a16:creationId xmlns:a16="http://schemas.microsoft.com/office/drawing/2014/main" id="{86C5AA17-466F-47F2-B96C-C91F3972BCCC}"/>
            </a:ext>
          </a:extLst>
        </xdr:cNvPr>
        <xdr:cNvSpPr>
          <a:spLocks/>
        </xdr:cNvSpPr>
      </xdr:nvSpPr>
      <xdr:spPr bwMode="auto">
        <a:xfrm>
          <a:off x="3451860" y="33108900"/>
          <a:ext cx="76200" cy="0"/>
        </a:xfrm>
        <a:prstGeom prst="righ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376" name="Line 729">
          <a:extLst>
            <a:ext uri="{FF2B5EF4-FFF2-40B4-BE49-F238E27FC236}">
              <a16:creationId xmlns:a16="http://schemas.microsoft.com/office/drawing/2014/main" id="{F6B732C8-9363-4529-9E17-54F447427FBB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377" name="Line 730">
          <a:extLst>
            <a:ext uri="{FF2B5EF4-FFF2-40B4-BE49-F238E27FC236}">
              <a16:creationId xmlns:a16="http://schemas.microsoft.com/office/drawing/2014/main" id="{4627A3C2-14B0-4ECF-87B6-1FD4EA69730D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378" name="Line 731">
          <a:extLst>
            <a:ext uri="{FF2B5EF4-FFF2-40B4-BE49-F238E27FC236}">
              <a16:creationId xmlns:a16="http://schemas.microsoft.com/office/drawing/2014/main" id="{89451D61-716C-4532-9F85-909BE196356E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379" name="Line 732">
          <a:extLst>
            <a:ext uri="{FF2B5EF4-FFF2-40B4-BE49-F238E27FC236}">
              <a16:creationId xmlns:a16="http://schemas.microsoft.com/office/drawing/2014/main" id="{B4084B86-51DF-4E0D-9F3B-1A9DC5BE40CA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380" name="Line 733">
          <a:extLst>
            <a:ext uri="{FF2B5EF4-FFF2-40B4-BE49-F238E27FC236}">
              <a16:creationId xmlns:a16="http://schemas.microsoft.com/office/drawing/2014/main" id="{EBECA4DD-5949-4FE8-8F04-29046398AA56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381" name="Line 734">
          <a:extLst>
            <a:ext uri="{FF2B5EF4-FFF2-40B4-BE49-F238E27FC236}">
              <a16:creationId xmlns:a16="http://schemas.microsoft.com/office/drawing/2014/main" id="{F19E4112-B8EC-4464-B97B-7E0FB919A0AE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382" name="Line 737">
          <a:extLst>
            <a:ext uri="{FF2B5EF4-FFF2-40B4-BE49-F238E27FC236}">
              <a16:creationId xmlns:a16="http://schemas.microsoft.com/office/drawing/2014/main" id="{B6C0DDE7-0444-4E34-9354-F94E19469377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383" name="Line 738">
          <a:extLst>
            <a:ext uri="{FF2B5EF4-FFF2-40B4-BE49-F238E27FC236}">
              <a16:creationId xmlns:a16="http://schemas.microsoft.com/office/drawing/2014/main" id="{64613A4B-0BE0-44FD-83FA-17D040E6619B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384" name="Line 739">
          <a:extLst>
            <a:ext uri="{FF2B5EF4-FFF2-40B4-BE49-F238E27FC236}">
              <a16:creationId xmlns:a16="http://schemas.microsoft.com/office/drawing/2014/main" id="{D60E39D8-A659-4D67-BB74-23A3F5D272FC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385" name="Line 740">
          <a:extLst>
            <a:ext uri="{FF2B5EF4-FFF2-40B4-BE49-F238E27FC236}">
              <a16:creationId xmlns:a16="http://schemas.microsoft.com/office/drawing/2014/main" id="{B4399968-FEEB-4626-99ED-6AD8A70A010B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386" name="Line 741">
          <a:extLst>
            <a:ext uri="{FF2B5EF4-FFF2-40B4-BE49-F238E27FC236}">
              <a16:creationId xmlns:a16="http://schemas.microsoft.com/office/drawing/2014/main" id="{F0969233-9661-4396-9206-1DCADB488C83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387" name="Line 742">
          <a:extLst>
            <a:ext uri="{FF2B5EF4-FFF2-40B4-BE49-F238E27FC236}">
              <a16:creationId xmlns:a16="http://schemas.microsoft.com/office/drawing/2014/main" id="{7499254C-DA92-4ECB-BF1F-ED2CAA6B8AAB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205740</xdr:colOff>
      <xdr:row>245</xdr:row>
      <xdr:rowOff>0</xdr:rowOff>
    </xdr:from>
    <xdr:to>
      <xdr:col>11</xdr:col>
      <xdr:colOff>30480</xdr:colOff>
      <xdr:row>245</xdr:row>
      <xdr:rowOff>0</xdr:rowOff>
    </xdr:to>
    <xdr:sp macro="" textlink="">
      <xdr:nvSpPr>
        <xdr:cNvPr id="388" name="AutoShape 743">
          <a:extLst>
            <a:ext uri="{FF2B5EF4-FFF2-40B4-BE49-F238E27FC236}">
              <a16:creationId xmlns:a16="http://schemas.microsoft.com/office/drawing/2014/main" id="{EC493597-D67E-4323-8933-675E3A50754C}"/>
            </a:ext>
          </a:extLst>
        </xdr:cNvPr>
        <xdr:cNvSpPr>
          <a:spLocks/>
        </xdr:cNvSpPr>
      </xdr:nvSpPr>
      <xdr:spPr bwMode="auto">
        <a:xfrm>
          <a:off x="2103120" y="51534060"/>
          <a:ext cx="76200" cy="0"/>
        </a:xfrm>
        <a:prstGeom prst="lef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15</xdr:col>
      <xdr:colOff>38100</xdr:colOff>
      <xdr:row>245</xdr:row>
      <xdr:rowOff>0</xdr:rowOff>
    </xdr:from>
    <xdr:to>
      <xdr:col>15</xdr:col>
      <xdr:colOff>114300</xdr:colOff>
      <xdr:row>245</xdr:row>
      <xdr:rowOff>0</xdr:rowOff>
    </xdr:to>
    <xdr:sp macro="" textlink="">
      <xdr:nvSpPr>
        <xdr:cNvPr id="389" name="AutoShape 744">
          <a:extLst>
            <a:ext uri="{FF2B5EF4-FFF2-40B4-BE49-F238E27FC236}">
              <a16:creationId xmlns:a16="http://schemas.microsoft.com/office/drawing/2014/main" id="{68F4E954-8A20-49BE-8A7E-13D8EE774CC3}"/>
            </a:ext>
          </a:extLst>
        </xdr:cNvPr>
        <xdr:cNvSpPr>
          <a:spLocks/>
        </xdr:cNvSpPr>
      </xdr:nvSpPr>
      <xdr:spPr bwMode="auto">
        <a:xfrm>
          <a:off x="3451860" y="51534060"/>
          <a:ext cx="76200" cy="0"/>
        </a:xfrm>
        <a:prstGeom prst="rightBracket">
          <a:avLst>
            <a:gd name="adj" fmla="val -214748364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390" name="Line 751">
          <a:extLst>
            <a:ext uri="{FF2B5EF4-FFF2-40B4-BE49-F238E27FC236}">
              <a16:creationId xmlns:a16="http://schemas.microsoft.com/office/drawing/2014/main" id="{A5A63597-2257-4E3E-899F-57720D1DAC8D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391" name="Line 752">
          <a:extLst>
            <a:ext uri="{FF2B5EF4-FFF2-40B4-BE49-F238E27FC236}">
              <a16:creationId xmlns:a16="http://schemas.microsoft.com/office/drawing/2014/main" id="{36D04799-E9C9-4C3C-A791-3E283CBD14D4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392" name="Line 753">
          <a:extLst>
            <a:ext uri="{FF2B5EF4-FFF2-40B4-BE49-F238E27FC236}">
              <a16:creationId xmlns:a16="http://schemas.microsoft.com/office/drawing/2014/main" id="{B9D86DEA-8038-4EA4-827A-55FC5CFC2C5C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393" name="Line 754">
          <a:extLst>
            <a:ext uri="{FF2B5EF4-FFF2-40B4-BE49-F238E27FC236}">
              <a16:creationId xmlns:a16="http://schemas.microsoft.com/office/drawing/2014/main" id="{794CC9A9-29CE-4807-B2F6-7160C2F7BA89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394" name="Line 755">
          <a:extLst>
            <a:ext uri="{FF2B5EF4-FFF2-40B4-BE49-F238E27FC236}">
              <a16:creationId xmlns:a16="http://schemas.microsoft.com/office/drawing/2014/main" id="{102F2C20-E42E-4CF5-81A0-81E2F0F12438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395" name="Line 756">
          <a:extLst>
            <a:ext uri="{FF2B5EF4-FFF2-40B4-BE49-F238E27FC236}">
              <a16:creationId xmlns:a16="http://schemas.microsoft.com/office/drawing/2014/main" id="{E456DF35-214F-4664-B546-A49DB447D310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44</xdr:row>
      <xdr:rowOff>0</xdr:rowOff>
    </xdr:from>
    <xdr:to>
      <xdr:col>20</xdr:col>
      <xdr:colOff>190500</xdr:colOff>
      <xdr:row>44</xdr:row>
      <xdr:rowOff>0</xdr:rowOff>
    </xdr:to>
    <xdr:sp macro="" textlink="">
      <xdr:nvSpPr>
        <xdr:cNvPr id="396" name="Line 757">
          <a:extLst>
            <a:ext uri="{FF2B5EF4-FFF2-40B4-BE49-F238E27FC236}">
              <a16:creationId xmlns:a16="http://schemas.microsoft.com/office/drawing/2014/main" id="{A2C1B0F0-8781-4AA0-AA67-164C65F54CAE}"/>
            </a:ext>
          </a:extLst>
        </xdr:cNvPr>
        <xdr:cNvSpPr>
          <a:spLocks noChangeShapeType="1"/>
        </xdr:cNvSpPr>
      </xdr:nvSpPr>
      <xdr:spPr bwMode="auto">
        <a:xfrm>
          <a:off x="4892040" y="16642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44</xdr:row>
      <xdr:rowOff>0</xdr:rowOff>
    </xdr:from>
    <xdr:to>
      <xdr:col>21</xdr:col>
      <xdr:colOff>182880</xdr:colOff>
      <xdr:row>44</xdr:row>
      <xdr:rowOff>0</xdr:rowOff>
    </xdr:to>
    <xdr:sp macro="" textlink="">
      <xdr:nvSpPr>
        <xdr:cNvPr id="397" name="Line 758">
          <a:extLst>
            <a:ext uri="{FF2B5EF4-FFF2-40B4-BE49-F238E27FC236}">
              <a16:creationId xmlns:a16="http://schemas.microsoft.com/office/drawing/2014/main" id="{85033E0C-4A21-4FCB-BF6B-7D215F9EAD69}"/>
            </a:ext>
          </a:extLst>
        </xdr:cNvPr>
        <xdr:cNvSpPr>
          <a:spLocks noChangeShapeType="1"/>
        </xdr:cNvSpPr>
      </xdr:nvSpPr>
      <xdr:spPr bwMode="auto">
        <a:xfrm>
          <a:off x="5067300" y="166420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44</xdr:row>
      <xdr:rowOff>0</xdr:rowOff>
    </xdr:from>
    <xdr:to>
      <xdr:col>28</xdr:col>
      <xdr:colOff>182880</xdr:colOff>
      <xdr:row>44</xdr:row>
      <xdr:rowOff>0</xdr:rowOff>
    </xdr:to>
    <xdr:sp macro="" textlink="">
      <xdr:nvSpPr>
        <xdr:cNvPr id="398" name="Line 759">
          <a:extLst>
            <a:ext uri="{FF2B5EF4-FFF2-40B4-BE49-F238E27FC236}">
              <a16:creationId xmlns:a16="http://schemas.microsoft.com/office/drawing/2014/main" id="{F9615B62-D9FB-4784-A1BE-C1B67D055E46}"/>
            </a:ext>
          </a:extLst>
        </xdr:cNvPr>
        <xdr:cNvSpPr>
          <a:spLocks noChangeShapeType="1"/>
        </xdr:cNvSpPr>
      </xdr:nvSpPr>
      <xdr:spPr bwMode="auto">
        <a:xfrm>
          <a:off x="6408420" y="16642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44</xdr:row>
      <xdr:rowOff>0</xdr:rowOff>
    </xdr:from>
    <xdr:to>
      <xdr:col>20</xdr:col>
      <xdr:colOff>190500</xdr:colOff>
      <xdr:row>44</xdr:row>
      <xdr:rowOff>0</xdr:rowOff>
    </xdr:to>
    <xdr:sp macro="" textlink="">
      <xdr:nvSpPr>
        <xdr:cNvPr id="399" name="Line 760">
          <a:extLst>
            <a:ext uri="{FF2B5EF4-FFF2-40B4-BE49-F238E27FC236}">
              <a16:creationId xmlns:a16="http://schemas.microsoft.com/office/drawing/2014/main" id="{9CA6A53A-8CB1-4649-930C-4C4065BA49F2}"/>
            </a:ext>
          </a:extLst>
        </xdr:cNvPr>
        <xdr:cNvSpPr>
          <a:spLocks noChangeShapeType="1"/>
        </xdr:cNvSpPr>
      </xdr:nvSpPr>
      <xdr:spPr bwMode="auto">
        <a:xfrm>
          <a:off x="4892040" y="16642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44</xdr:row>
      <xdr:rowOff>0</xdr:rowOff>
    </xdr:from>
    <xdr:to>
      <xdr:col>21</xdr:col>
      <xdr:colOff>182880</xdr:colOff>
      <xdr:row>44</xdr:row>
      <xdr:rowOff>0</xdr:rowOff>
    </xdr:to>
    <xdr:sp macro="" textlink="">
      <xdr:nvSpPr>
        <xdr:cNvPr id="400" name="Line 761">
          <a:extLst>
            <a:ext uri="{FF2B5EF4-FFF2-40B4-BE49-F238E27FC236}">
              <a16:creationId xmlns:a16="http://schemas.microsoft.com/office/drawing/2014/main" id="{0D6A6051-EC61-4564-ABFF-450181CE5C35}"/>
            </a:ext>
          </a:extLst>
        </xdr:cNvPr>
        <xdr:cNvSpPr>
          <a:spLocks noChangeShapeType="1"/>
        </xdr:cNvSpPr>
      </xdr:nvSpPr>
      <xdr:spPr bwMode="auto">
        <a:xfrm>
          <a:off x="5067300" y="166420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44</xdr:row>
      <xdr:rowOff>0</xdr:rowOff>
    </xdr:from>
    <xdr:to>
      <xdr:col>28</xdr:col>
      <xdr:colOff>182880</xdr:colOff>
      <xdr:row>44</xdr:row>
      <xdr:rowOff>0</xdr:rowOff>
    </xdr:to>
    <xdr:sp macro="" textlink="">
      <xdr:nvSpPr>
        <xdr:cNvPr id="401" name="Line 762">
          <a:extLst>
            <a:ext uri="{FF2B5EF4-FFF2-40B4-BE49-F238E27FC236}">
              <a16:creationId xmlns:a16="http://schemas.microsoft.com/office/drawing/2014/main" id="{74D46416-5174-463E-986B-B488B2D9298F}"/>
            </a:ext>
          </a:extLst>
        </xdr:cNvPr>
        <xdr:cNvSpPr>
          <a:spLocks noChangeShapeType="1"/>
        </xdr:cNvSpPr>
      </xdr:nvSpPr>
      <xdr:spPr bwMode="auto">
        <a:xfrm>
          <a:off x="6408420" y="16642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103</xdr:row>
      <xdr:rowOff>0</xdr:rowOff>
    </xdr:from>
    <xdr:to>
      <xdr:col>20</xdr:col>
      <xdr:colOff>190500</xdr:colOff>
      <xdr:row>103</xdr:row>
      <xdr:rowOff>0</xdr:rowOff>
    </xdr:to>
    <xdr:sp macro="" textlink="">
      <xdr:nvSpPr>
        <xdr:cNvPr id="402" name="Line 763">
          <a:extLst>
            <a:ext uri="{FF2B5EF4-FFF2-40B4-BE49-F238E27FC236}">
              <a16:creationId xmlns:a16="http://schemas.microsoft.com/office/drawing/2014/main" id="{CDDD6747-8300-4D1D-8F4C-7C6E34FFB85B}"/>
            </a:ext>
          </a:extLst>
        </xdr:cNvPr>
        <xdr:cNvSpPr>
          <a:spLocks noChangeShapeType="1"/>
        </xdr:cNvSpPr>
      </xdr:nvSpPr>
      <xdr:spPr bwMode="auto">
        <a:xfrm>
          <a:off x="4892040" y="26929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103</xdr:row>
      <xdr:rowOff>0</xdr:rowOff>
    </xdr:from>
    <xdr:to>
      <xdr:col>21</xdr:col>
      <xdr:colOff>182880</xdr:colOff>
      <xdr:row>103</xdr:row>
      <xdr:rowOff>0</xdr:rowOff>
    </xdr:to>
    <xdr:sp macro="" textlink="">
      <xdr:nvSpPr>
        <xdr:cNvPr id="403" name="Line 764">
          <a:extLst>
            <a:ext uri="{FF2B5EF4-FFF2-40B4-BE49-F238E27FC236}">
              <a16:creationId xmlns:a16="http://schemas.microsoft.com/office/drawing/2014/main" id="{2EF852E3-64EE-480F-B24E-0F19BC421CDB}"/>
            </a:ext>
          </a:extLst>
        </xdr:cNvPr>
        <xdr:cNvSpPr>
          <a:spLocks noChangeShapeType="1"/>
        </xdr:cNvSpPr>
      </xdr:nvSpPr>
      <xdr:spPr bwMode="auto">
        <a:xfrm>
          <a:off x="5067300" y="269290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103</xdr:row>
      <xdr:rowOff>0</xdr:rowOff>
    </xdr:from>
    <xdr:to>
      <xdr:col>28</xdr:col>
      <xdr:colOff>182880</xdr:colOff>
      <xdr:row>103</xdr:row>
      <xdr:rowOff>0</xdr:rowOff>
    </xdr:to>
    <xdr:sp macro="" textlink="">
      <xdr:nvSpPr>
        <xdr:cNvPr id="404" name="Line 765">
          <a:extLst>
            <a:ext uri="{FF2B5EF4-FFF2-40B4-BE49-F238E27FC236}">
              <a16:creationId xmlns:a16="http://schemas.microsoft.com/office/drawing/2014/main" id="{0E77A0EB-8FE0-4A24-94BD-D325775A8CA0}"/>
            </a:ext>
          </a:extLst>
        </xdr:cNvPr>
        <xdr:cNvSpPr>
          <a:spLocks noChangeShapeType="1"/>
        </xdr:cNvSpPr>
      </xdr:nvSpPr>
      <xdr:spPr bwMode="auto">
        <a:xfrm>
          <a:off x="6408420" y="26929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103</xdr:row>
      <xdr:rowOff>0</xdr:rowOff>
    </xdr:from>
    <xdr:to>
      <xdr:col>20</xdr:col>
      <xdr:colOff>190500</xdr:colOff>
      <xdr:row>103</xdr:row>
      <xdr:rowOff>0</xdr:rowOff>
    </xdr:to>
    <xdr:sp macro="" textlink="">
      <xdr:nvSpPr>
        <xdr:cNvPr id="405" name="Line 766">
          <a:extLst>
            <a:ext uri="{FF2B5EF4-FFF2-40B4-BE49-F238E27FC236}">
              <a16:creationId xmlns:a16="http://schemas.microsoft.com/office/drawing/2014/main" id="{CB303AF8-8362-4D28-8E20-57F8EDD850B1}"/>
            </a:ext>
          </a:extLst>
        </xdr:cNvPr>
        <xdr:cNvSpPr>
          <a:spLocks noChangeShapeType="1"/>
        </xdr:cNvSpPr>
      </xdr:nvSpPr>
      <xdr:spPr bwMode="auto">
        <a:xfrm>
          <a:off x="4892040" y="26929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103</xdr:row>
      <xdr:rowOff>0</xdr:rowOff>
    </xdr:from>
    <xdr:to>
      <xdr:col>21</xdr:col>
      <xdr:colOff>182880</xdr:colOff>
      <xdr:row>103</xdr:row>
      <xdr:rowOff>0</xdr:rowOff>
    </xdr:to>
    <xdr:sp macro="" textlink="">
      <xdr:nvSpPr>
        <xdr:cNvPr id="406" name="Line 767">
          <a:extLst>
            <a:ext uri="{FF2B5EF4-FFF2-40B4-BE49-F238E27FC236}">
              <a16:creationId xmlns:a16="http://schemas.microsoft.com/office/drawing/2014/main" id="{F07EF480-5AF8-42A4-BFF7-D6A220452566}"/>
            </a:ext>
          </a:extLst>
        </xdr:cNvPr>
        <xdr:cNvSpPr>
          <a:spLocks noChangeShapeType="1"/>
        </xdr:cNvSpPr>
      </xdr:nvSpPr>
      <xdr:spPr bwMode="auto">
        <a:xfrm>
          <a:off x="5067300" y="2692908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103</xdr:row>
      <xdr:rowOff>0</xdr:rowOff>
    </xdr:from>
    <xdr:to>
      <xdr:col>28</xdr:col>
      <xdr:colOff>182880</xdr:colOff>
      <xdr:row>103</xdr:row>
      <xdr:rowOff>0</xdr:rowOff>
    </xdr:to>
    <xdr:sp macro="" textlink="">
      <xdr:nvSpPr>
        <xdr:cNvPr id="407" name="Line 768">
          <a:extLst>
            <a:ext uri="{FF2B5EF4-FFF2-40B4-BE49-F238E27FC236}">
              <a16:creationId xmlns:a16="http://schemas.microsoft.com/office/drawing/2014/main" id="{5B01FCE9-075B-4517-BB69-3CD966D6C804}"/>
            </a:ext>
          </a:extLst>
        </xdr:cNvPr>
        <xdr:cNvSpPr>
          <a:spLocks noChangeShapeType="1"/>
        </xdr:cNvSpPr>
      </xdr:nvSpPr>
      <xdr:spPr bwMode="auto">
        <a:xfrm>
          <a:off x="6408420" y="269290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08" name="Line 769">
          <a:extLst>
            <a:ext uri="{FF2B5EF4-FFF2-40B4-BE49-F238E27FC236}">
              <a16:creationId xmlns:a16="http://schemas.microsoft.com/office/drawing/2014/main" id="{A92B3BCE-5492-4834-A5BA-FA27543E0C4C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09" name="Line 770">
          <a:extLst>
            <a:ext uri="{FF2B5EF4-FFF2-40B4-BE49-F238E27FC236}">
              <a16:creationId xmlns:a16="http://schemas.microsoft.com/office/drawing/2014/main" id="{A634E541-3481-4076-BEF4-518D95D81B97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10" name="Line 771">
          <a:extLst>
            <a:ext uri="{FF2B5EF4-FFF2-40B4-BE49-F238E27FC236}">
              <a16:creationId xmlns:a16="http://schemas.microsoft.com/office/drawing/2014/main" id="{ED1D8A71-A4E8-45A9-A425-C3782C3CC665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11" name="Line 772">
          <a:extLst>
            <a:ext uri="{FF2B5EF4-FFF2-40B4-BE49-F238E27FC236}">
              <a16:creationId xmlns:a16="http://schemas.microsoft.com/office/drawing/2014/main" id="{03691937-2172-4279-A4C8-CCDF4CE60C9D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12" name="Line 773">
          <a:extLst>
            <a:ext uri="{FF2B5EF4-FFF2-40B4-BE49-F238E27FC236}">
              <a16:creationId xmlns:a16="http://schemas.microsoft.com/office/drawing/2014/main" id="{E834D260-8D41-496B-832B-FABC324F13CE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13" name="Line 774">
          <a:extLst>
            <a:ext uri="{FF2B5EF4-FFF2-40B4-BE49-F238E27FC236}">
              <a16:creationId xmlns:a16="http://schemas.microsoft.com/office/drawing/2014/main" id="{B328B3CD-D829-46EF-879D-D8F157617638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414" name="Line 775">
          <a:extLst>
            <a:ext uri="{FF2B5EF4-FFF2-40B4-BE49-F238E27FC236}">
              <a16:creationId xmlns:a16="http://schemas.microsoft.com/office/drawing/2014/main" id="{A77B32C9-59F2-487E-8541-FC5842A6E673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415" name="Line 776">
          <a:extLst>
            <a:ext uri="{FF2B5EF4-FFF2-40B4-BE49-F238E27FC236}">
              <a16:creationId xmlns:a16="http://schemas.microsoft.com/office/drawing/2014/main" id="{EC1D3EA7-49CE-4D4C-B8AB-41CD3C6420EC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416" name="Line 777">
          <a:extLst>
            <a:ext uri="{FF2B5EF4-FFF2-40B4-BE49-F238E27FC236}">
              <a16:creationId xmlns:a16="http://schemas.microsoft.com/office/drawing/2014/main" id="{D74506AE-F5AE-424B-A9C5-D3A7EA064E43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417" name="Line 778">
          <a:extLst>
            <a:ext uri="{FF2B5EF4-FFF2-40B4-BE49-F238E27FC236}">
              <a16:creationId xmlns:a16="http://schemas.microsoft.com/office/drawing/2014/main" id="{F18E2B70-19EF-470C-A68B-DCED2948030A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418" name="Line 779">
          <a:extLst>
            <a:ext uri="{FF2B5EF4-FFF2-40B4-BE49-F238E27FC236}">
              <a16:creationId xmlns:a16="http://schemas.microsoft.com/office/drawing/2014/main" id="{C123E6E5-6895-45E4-83D2-81B0A8C8393A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419" name="Line 780">
          <a:extLst>
            <a:ext uri="{FF2B5EF4-FFF2-40B4-BE49-F238E27FC236}">
              <a16:creationId xmlns:a16="http://schemas.microsoft.com/office/drawing/2014/main" id="{A7962BEF-3D4A-4616-99E6-216D2F16649E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20" name="Line 781">
          <a:extLst>
            <a:ext uri="{FF2B5EF4-FFF2-40B4-BE49-F238E27FC236}">
              <a16:creationId xmlns:a16="http://schemas.microsoft.com/office/drawing/2014/main" id="{F324E043-392E-4068-AAF9-4ECA45AC7C39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21" name="Line 782">
          <a:extLst>
            <a:ext uri="{FF2B5EF4-FFF2-40B4-BE49-F238E27FC236}">
              <a16:creationId xmlns:a16="http://schemas.microsoft.com/office/drawing/2014/main" id="{AFD02F6D-E568-4D0F-9E93-6CF4523FECCC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22" name="Line 783">
          <a:extLst>
            <a:ext uri="{FF2B5EF4-FFF2-40B4-BE49-F238E27FC236}">
              <a16:creationId xmlns:a16="http://schemas.microsoft.com/office/drawing/2014/main" id="{2A58BEF1-3334-4DD2-9A04-3C9954D46CCE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23" name="Line 784">
          <a:extLst>
            <a:ext uri="{FF2B5EF4-FFF2-40B4-BE49-F238E27FC236}">
              <a16:creationId xmlns:a16="http://schemas.microsoft.com/office/drawing/2014/main" id="{BC80B911-EF6F-4956-BB74-56B16498578C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24" name="Line 785">
          <a:extLst>
            <a:ext uri="{FF2B5EF4-FFF2-40B4-BE49-F238E27FC236}">
              <a16:creationId xmlns:a16="http://schemas.microsoft.com/office/drawing/2014/main" id="{E9226D54-F208-43B8-9D40-ACD3D6D51032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25" name="Line 786">
          <a:extLst>
            <a:ext uri="{FF2B5EF4-FFF2-40B4-BE49-F238E27FC236}">
              <a16:creationId xmlns:a16="http://schemas.microsoft.com/office/drawing/2014/main" id="{9F19969E-A6C0-48B2-AF9C-9335609054CC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426" name="Line 803">
          <a:extLst>
            <a:ext uri="{FF2B5EF4-FFF2-40B4-BE49-F238E27FC236}">
              <a16:creationId xmlns:a16="http://schemas.microsoft.com/office/drawing/2014/main" id="{E8157C46-2BDF-4A9C-A525-13C7B24AEC48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427" name="Line 804">
          <a:extLst>
            <a:ext uri="{FF2B5EF4-FFF2-40B4-BE49-F238E27FC236}">
              <a16:creationId xmlns:a16="http://schemas.microsoft.com/office/drawing/2014/main" id="{49966F6B-6AC5-45D5-81D0-AF93A06FF7A3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428" name="Line 805">
          <a:extLst>
            <a:ext uri="{FF2B5EF4-FFF2-40B4-BE49-F238E27FC236}">
              <a16:creationId xmlns:a16="http://schemas.microsoft.com/office/drawing/2014/main" id="{1211467A-A509-4787-8A9B-7DBD07B154CC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254</xdr:row>
      <xdr:rowOff>0</xdr:rowOff>
    </xdr:from>
    <xdr:to>
      <xdr:col>20</xdr:col>
      <xdr:colOff>190500</xdr:colOff>
      <xdr:row>254</xdr:row>
      <xdr:rowOff>0</xdr:rowOff>
    </xdr:to>
    <xdr:sp macro="" textlink="">
      <xdr:nvSpPr>
        <xdr:cNvPr id="429" name="Line 806">
          <a:extLst>
            <a:ext uri="{FF2B5EF4-FFF2-40B4-BE49-F238E27FC236}">
              <a16:creationId xmlns:a16="http://schemas.microsoft.com/office/drawing/2014/main" id="{D3826B00-C601-4FBE-89AF-1B1237BD4A28}"/>
            </a:ext>
          </a:extLst>
        </xdr:cNvPr>
        <xdr:cNvSpPr>
          <a:spLocks noChangeShapeType="1"/>
        </xdr:cNvSpPr>
      </xdr:nvSpPr>
      <xdr:spPr bwMode="auto">
        <a:xfrm>
          <a:off x="489204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254</xdr:row>
      <xdr:rowOff>0</xdr:rowOff>
    </xdr:from>
    <xdr:to>
      <xdr:col>21</xdr:col>
      <xdr:colOff>182880</xdr:colOff>
      <xdr:row>254</xdr:row>
      <xdr:rowOff>0</xdr:rowOff>
    </xdr:to>
    <xdr:sp macro="" textlink="">
      <xdr:nvSpPr>
        <xdr:cNvPr id="430" name="Line 807">
          <a:extLst>
            <a:ext uri="{FF2B5EF4-FFF2-40B4-BE49-F238E27FC236}">
              <a16:creationId xmlns:a16="http://schemas.microsoft.com/office/drawing/2014/main" id="{91198BF2-D67D-4BEA-9853-534529771832}"/>
            </a:ext>
          </a:extLst>
        </xdr:cNvPr>
        <xdr:cNvSpPr>
          <a:spLocks noChangeShapeType="1"/>
        </xdr:cNvSpPr>
      </xdr:nvSpPr>
      <xdr:spPr bwMode="auto">
        <a:xfrm>
          <a:off x="5067300" y="530428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254</xdr:row>
      <xdr:rowOff>0</xdr:rowOff>
    </xdr:from>
    <xdr:to>
      <xdr:col>28</xdr:col>
      <xdr:colOff>182880</xdr:colOff>
      <xdr:row>254</xdr:row>
      <xdr:rowOff>0</xdr:rowOff>
    </xdr:to>
    <xdr:sp macro="" textlink="">
      <xdr:nvSpPr>
        <xdr:cNvPr id="431" name="Line 808">
          <a:extLst>
            <a:ext uri="{FF2B5EF4-FFF2-40B4-BE49-F238E27FC236}">
              <a16:creationId xmlns:a16="http://schemas.microsoft.com/office/drawing/2014/main" id="{1C8644BF-3C42-4EE7-AA5E-0A0F669516D4}"/>
            </a:ext>
          </a:extLst>
        </xdr:cNvPr>
        <xdr:cNvSpPr>
          <a:spLocks noChangeShapeType="1"/>
        </xdr:cNvSpPr>
      </xdr:nvSpPr>
      <xdr:spPr bwMode="auto">
        <a:xfrm>
          <a:off x="6408420" y="530428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32" name="Line 812">
          <a:extLst>
            <a:ext uri="{FF2B5EF4-FFF2-40B4-BE49-F238E27FC236}">
              <a16:creationId xmlns:a16="http://schemas.microsoft.com/office/drawing/2014/main" id="{4CC8D6C5-6DB0-4AA2-8BB4-DE8B7D0AE90C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33" name="Line 813">
          <a:extLst>
            <a:ext uri="{FF2B5EF4-FFF2-40B4-BE49-F238E27FC236}">
              <a16:creationId xmlns:a16="http://schemas.microsoft.com/office/drawing/2014/main" id="{8516FC6A-DD83-4A44-AD4D-2FC1A24DFF12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34" name="Line 814">
          <a:extLst>
            <a:ext uri="{FF2B5EF4-FFF2-40B4-BE49-F238E27FC236}">
              <a16:creationId xmlns:a16="http://schemas.microsoft.com/office/drawing/2014/main" id="{733FCACB-2C19-4ED0-9EFE-699867A97C01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35" name="Line 815">
          <a:extLst>
            <a:ext uri="{FF2B5EF4-FFF2-40B4-BE49-F238E27FC236}">
              <a16:creationId xmlns:a16="http://schemas.microsoft.com/office/drawing/2014/main" id="{C3FDD986-A6FF-4238-A651-43DCCA753CC5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36" name="Line 816">
          <a:extLst>
            <a:ext uri="{FF2B5EF4-FFF2-40B4-BE49-F238E27FC236}">
              <a16:creationId xmlns:a16="http://schemas.microsoft.com/office/drawing/2014/main" id="{4CF55F53-60F8-4DB6-BD30-2A4CC722A467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37" name="Line 817">
          <a:extLst>
            <a:ext uri="{FF2B5EF4-FFF2-40B4-BE49-F238E27FC236}">
              <a16:creationId xmlns:a16="http://schemas.microsoft.com/office/drawing/2014/main" id="{17502A7A-FB64-4429-B303-464D7175D05E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438" name="Line 818">
          <a:extLst>
            <a:ext uri="{FF2B5EF4-FFF2-40B4-BE49-F238E27FC236}">
              <a16:creationId xmlns:a16="http://schemas.microsoft.com/office/drawing/2014/main" id="{A621F873-0E95-44C5-87A3-4A1A031A92FC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439" name="Line 819">
          <a:extLst>
            <a:ext uri="{FF2B5EF4-FFF2-40B4-BE49-F238E27FC236}">
              <a16:creationId xmlns:a16="http://schemas.microsoft.com/office/drawing/2014/main" id="{058A55D3-1EED-425F-A129-EDC191CB96D6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440" name="Line 820">
          <a:extLst>
            <a:ext uri="{FF2B5EF4-FFF2-40B4-BE49-F238E27FC236}">
              <a16:creationId xmlns:a16="http://schemas.microsoft.com/office/drawing/2014/main" id="{88223488-4B2A-4770-B4F6-86BF47716819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245</xdr:row>
      <xdr:rowOff>0</xdr:rowOff>
    </xdr:from>
    <xdr:to>
      <xdr:col>20</xdr:col>
      <xdr:colOff>190500</xdr:colOff>
      <xdr:row>245</xdr:row>
      <xdr:rowOff>0</xdr:rowOff>
    </xdr:to>
    <xdr:sp macro="" textlink="">
      <xdr:nvSpPr>
        <xdr:cNvPr id="441" name="Line 821">
          <a:extLst>
            <a:ext uri="{FF2B5EF4-FFF2-40B4-BE49-F238E27FC236}">
              <a16:creationId xmlns:a16="http://schemas.microsoft.com/office/drawing/2014/main" id="{1738F1AF-A4F2-4ABE-BCC8-745FF79DF9B0}"/>
            </a:ext>
          </a:extLst>
        </xdr:cNvPr>
        <xdr:cNvSpPr>
          <a:spLocks noChangeShapeType="1"/>
        </xdr:cNvSpPr>
      </xdr:nvSpPr>
      <xdr:spPr bwMode="auto">
        <a:xfrm>
          <a:off x="489204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245</xdr:row>
      <xdr:rowOff>0</xdr:rowOff>
    </xdr:from>
    <xdr:to>
      <xdr:col>21</xdr:col>
      <xdr:colOff>182880</xdr:colOff>
      <xdr:row>245</xdr:row>
      <xdr:rowOff>0</xdr:rowOff>
    </xdr:to>
    <xdr:sp macro="" textlink="">
      <xdr:nvSpPr>
        <xdr:cNvPr id="442" name="Line 822">
          <a:extLst>
            <a:ext uri="{FF2B5EF4-FFF2-40B4-BE49-F238E27FC236}">
              <a16:creationId xmlns:a16="http://schemas.microsoft.com/office/drawing/2014/main" id="{5BF08282-211C-4387-8479-E60D5EB2B150}"/>
            </a:ext>
          </a:extLst>
        </xdr:cNvPr>
        <xdr:cNvSpPr>
          <a:spLocks noChangeShapeType="1"/>
        </xdr:cNvSpPr>
      </xdr:nvSpPr>
      <xdr:spPr bwMode="auto">
        <a:xfrm>
          <a:off x="5067300" y="5153406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245</xdr:row>
      <xdr:rowOff>0</xdr:rowOff>
    </xdr:from>
    <xdr:to>
      <xdr:col>28</xdr:col>
      <xdr:colOff>182880</xdr:colOff>
      <xdr:row>245</xdr:row>
      <xdr:rowOff>0</xdr:rowOff>
    </xdr:to>
    <xdr:sp macro="" textlink="">
      <xdr:nvSpPr>
        <xdr:cNvPr id="443" name="Line 823">
          <a:extLst>
            <a:ext uri="{FF2B5EF4-FFF2-40B4-BE49-F238E27FC236}">
              <a16:creationId xmlns:a16="http://schemas.microsoft.com/office/drawing/2014/main" id="{E9A5C420-4289-4B98-B5A2-980FE9D5C523}"/>
            </a:ext>
          </a:extLst>
        </xdr:cNvPr>
        <xdr:cNvSpPr>
          <a:spLocks noChangeShapeType="1"/>
        </xdr:cNvSpPr>
      </xdr:nvSpPr>
      <xdr:spPr bwMode="auto">
        <a:xfrm>
          <a:off x="6408420" y="515340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44" name="Line 831">
          <a:extLst>
            <a:ext uri="{FF2B5EF4-FFF2-40B4-BE49-F238E27FC236}">
              <a16:creationId xmlns:a16="http://schemas.microsoft.com/office/drawing/2014/main" id="{B6484083-F499-4245-8DF6-B05A2A8F3DAF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45" name="Line 832">
          <a:extLst>
            <a:ext uri="{FF2B5EF4-FFF2-40B4-BE49-F238E27FC236}">
              <a16:creationId xmlns:a16="http://schemas.microsoft.com/office/drawing/2014/main" id="{93EAB14A-DB3A-47C3-A804-3E90B43DC943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46" name="Line 833">
          <a:extLst>
            <a:ext uri="{FF2B5EF4-FFF2-40B4-BE49-F238E27FC236}">
              <a16:creationId xmlns:a16="http://schemas.microsoft.com/office/drawing/2014/main" id="{3E44870C-CCFF-4030-9D8C-308B25DC3367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47" name="Line 834">
          <a:extLst>
            <a:ext uri="{FF2B5EF4-FFF2-40B4-BE49-F238E27FC236}">
              <a16:creationId xmlns:a16="http://schemas.microsoft.com/office/drawing/2014/main" id="{870334DD-F809-4432-9715-08202EB67213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48" name="Line 835">
          <a:extLst>
            <a:ext uri="{FF2B5EF4-FFF2-40B4-BE49-F238E27FC236}">
              <a16:creationId xmlns:a16="http://schemas.microsoft.com/office/drawing/2014/main" id="{A8F5CB70-CE9B-4F19-950E-7C5CE0C08865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49" name="Line 836">
          <a:extLst>
            <a:ext uri="{FF2B5EF4-FFF2-40B4-BE49-F238E27FC236}">
              <a16:creationId xmlns:a16="http://schemas.microsoft.com/office/drawing/2014/main" id="{E46F84DE-1275-4F2A-A6D3-8ACE8AF83D84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38100</xdr:colOff>
      <xdr:row>249</xdr:row>
      <xdr:rowOff>0</xdr:rowOff>
    </xdr:from>
    <xdr:to>
      <xdr:col>20</xdr:col>
      <xdr:colOff>114300</xdr:colOff>
      <xdr:row>249</xdr:row>
      <xdr:rowOff>0</xdr:rowOff>
    </xdr:to>
    <xdr:sp macro="" textlink="">
      <xdr:nvSpPr>
        <xdr:cNvPr id="450" name="AutoShape 837">
          <a:extLst>
            <a:ext uri="{FF2B5EF4-FFF2-40B4-BE49-F238E27FC236}">
              <a16:creationId xmlns:a16="http://schemas.microsoft.com/office/drawing/2014/main" id="{2F10A0EC-51E7-4DA1-944F-040986E5DA4D}"/>
            </a:ext>
          </a:extLst>
        </xdr:cNvPr>
        <xdr:cNvSpPr>
          <a:spLocks/>
        </xdr:cNvSpPr>
      </xdr:nvSpPr>
      <xdr:spPr bwMode="auto">
        <a:xfrm>
          <a:off x="4724400" y="52204620"/>
          <a:ext cx="7620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20</xdr:col>
      <xdr:colOff>236220</xdr:colOff>
      <xdr:row>276</xdr:row>
      <xdr:rowOff>0</xdr:rowOff>
    </xdr:from>
    <xdr:to>
      <xdr:col>20</xdr:col>
      <xdr:colOff>190500</xdr:colOff>
      <xdr:row>276</xdr:row>
      <xdr:rowOff>0</xdr:rowOff>
    </xdr:to>
    <xdr:sp macro="" textlink="">
      <xdr:nvSpPr>
        <xdr:cNvPr id="451" name="Line 838">
          <a:extLst>
            <a:ext uri="{FF2B5EF4-FFF2-40B4-BE49-F238E27FC236}">
              <a16:creationId xmlns:a16="http://schemas.microsoft.com/office/drawing/2014/main" id="{3C89FF54-6ED3-4404-9978-3745AAECEDC9}"/>
            </a:ext>
          </a:extLst>
        </xdr:cNvPr>
        <xdr:cNvSpPr>
          <a:spLocks noChangeShapeType="1"/>
        </xdr:cNvSpPr>
      </xdr:nvSpPr>
      <xdr:spPr bwMode="auto">
        <a:xfrm>
          <a:off x="4892040" y="568147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276</xdr:row>
      <xdr:rowOff>0</xdr:rowOff>
    </xdr:from>
    <xdr:to>
      <xdr:col>21</xdr:col>
      <xdr:colOff>182880</xdr:colOff>
      <xdr:row>276</xdr:row>
      <xdr:rowOff>0</xdr:rowOff>
    </xdr:to>
    <xdr:sp macro="" textlink="">
      <xdr:nvSpPr>
        <xdr:cNvPr id="452" name="Line 839">
          <a:extLst>
            <a:ext uri="{FF2B5EF4-FFF2-40B4-BE49-F238E27FC236}">
              <a16:creationId xmlns:a16="http://schemas.microsoft.com/office/drawing/2014/main" id="{3F73F5B5-E331-4CE2-B9FC-4E4D8A4CE088}"/>
            </a:ext>
          </a:extLst>
        </xdr:cNvPr>
        <xdr:cNvSpPr>
          <a:spLocks noChangeShapeType="1"/>
        </xdr:cNvSpPr>
      </xdr:nvSpPr>
      <xdr:spPr bwMode="auto">
        <a:xfrm>
          <a:off x="5067300" y="568147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276</xdr:row>
      <xdr:rowOff>0</xdr:rowOff>
    </xdr:from>
    <xdr:to>
      <xdr:col>28</xdr:col>
      <xdr:colOff>182880</xdr:colOff>
      <xdr:row>276</xdr:row>
      <xdr:rowOff>0</xdr:rowOff>
    </xdr:to>
    <xdr:sp macro="" textlink="">
      <xdr:nvSpPr>
        <xdr:cNvPr id="453" name="Line 840">
          <a:extLst>
            <a:ext uri="{FF2B5EF4-FFF2-40B4-BE49-F238E27FC236}">
              <a16:creationId xmlns:a16="http://schemas.microsoft.com/office/drawing/2014/main" id="{34B2A4D4-7186-4D2A-9BBF-BC544BE7067A}"/>
            </a:ext>
          </a:extLst>
        </xdr:cNvPr>
        <xdr:cNvSpPr>
          <a:spLocks noChangeShapeType="1"/>
        </xdr:cNvSpPr>
      </xdr:nvSpPr>
      <xdr:spPr bwMode="auto">
        <a:xfrm>
          <a:off x="6408420" y="568147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276</xdr:row>
      <xdr:rowOff>0</xdr:rowOff>
    </xdr:from>
    <xdr:to>
      <xdr:col>20</xdr:col>
      <xdr:colOff>190500</xdr:colOff>
      <xdr:row>276</xdr:row>
      <xdr:rowOff>0</xdr:rowOff>
    </xdr:to>
    <xdr:sp macro="" textlink="">
      <xdr:nvSpPr>
        <xdr:cNvPr id="454" name="Line 841">
          <a:extLst>
            <a:ext uri="{FF2B5EF4-FFF2-40B4-BE49-F238E27FC236}">
              <a16:creationId xmlns:a16="http://schemas.microsoft.com/office/drawing/2014/main" id="{672C12E7-84C3-40C8-8758-A86A3BAC67C8}"/>
            </a:ext>
          </a:extLst>
        </xdr:cNvPr>
        <xdr:cNvSpPr>
          <a:spLocks noChangeShapeType="1"/>
        </xdr:cNvSpPr>
      </xdr:nvSpPr>
      <xdr:spPr bwMode="auto">
        <a:xfrm>
          <a:off x="4892040" y="568147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276</xdr:row>
      <xdr:rowOff>0</xdr:rowOff>
    </xdr:from>
    <xdr:to>
      <xdr:col>21</xdr:col>
      <xdr:colOff>182880</xdr:colOff>
      <xdr:row>276</xdr:row>
      <xdr:rowOff>0</xdr:rowOff>
    </xdr:to>
    <xdr:sp macro="" textlink="">
      <xdr:nvSpPr>
        <xdr:cNvPr id="455" name="Line 842">
          <a:extLst>
            <a:ext uri="{FF2B5EF4-FFF2-40B4-BE49-F238E27FC236}">
              <a16:creationId xmlns:a16="http://schemas.microsoft.com/office/drawing/2014/main" id="{642E0678-50E6-478B-8CD4-C785C9B82506}"/>
            </a:ext>
          </a:extLst>
        </xdr:cNvPr>
        <xdr:cNvSpPr>
          <a:spLocks noChangeShapeType="1"/>
        </xdr:cNvSpPr>
      </xdr:nvSpPr>
      <xdr:spPr bwMode="auto">
        <a:xfrm>
          <a:off x="5067300" y="568147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276</xdr:row>
      <xdr:rowOff>0</xdr:rowOff>
    </xdr:from>
    <xdr:to>
      <xdr:col>28</xdr:col>
      <xdr:colOff>182880</xdr:colOff>
      <xdr:row>276</xdr:row>
      <xdr:rowOff>0</xdr:rowOff>
    </xdr:to>
    <xdr:sp macro="" textlink="">
      <xdr:nvSpPr>
        <xdr:cNvPr id="456" name="Line 843">
          <a:extLst>
            <a:ext uri="{FF2B5EF4-FFF2-40B4-BE49-F238E27FC236}">
              <a16:creationId xmlns:a16="http://schemas.microsoft.com/office/drawing/2014/main" id="{547BC6A4-78A1-464A-AC54-2631E892BCCE}"/>
            </a:ext>
          </a:extLst>
        </xdr:cNvPr>
        <xdr:cNvSpPr>
          <a:spLocks noChangeShapeType="1"/>
        </xdr:cNvSpPr>
      </xdr:nvSpPr>
      <xdr:spPr bwMode="auto">
        <a:xfrm>
          <a:off x="6408420" y="568147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315</xdr:row>
      <xdr:rowOff>0</xdr:rowOff>
    </xdr:from>
    <xdr:to>
      <xdr:col>20</xdr:col>
      <xdr:colOff>190500</xdr:colOff>
      <xdr:row>315</xdr:row>
      <xdr:rowOff>0</xdr:rowOff>
    </xdr:to>
    <xdr:sp macro="" textlink="">
      <xdr:nvSpPr>
        <xdr:cNvPr id="457" name="Line 844">
          <a:extLst>
            <a:ext uri="{FF2B5EF4-FFF2-40B4-BE49-F238E27FC236}">
              <a16:creationId xmlns:a16="http://schemas.microsoft.com/office/drawing/2014/main" id="{159864EA-C9DA-43A4-B573-05E4F9326561}"/>
            </a:ext>
          </a:extLst>
        </xdr:cNvPr>
        <xdr:cNvSpPr>
          <a:spLocks noChangeShapeType="1"/>
        </xdr:cNvSpPr>
      </xdr:nvSpPr>
      <xdr:spPr bwMode="auto">
        <a:xfrm>
          <a:off x="4892040" y="63665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315</xdr:row>
      <xdr:rowOff>0</xdr:rowOff>
    </xdr:from>
    <xdr:to>
      <xdr:col>21</xdr:col>
      <xdr:colOff>182880</xdr:colOff>
      <xdr:row>315</xdr:row>
      <xdr:rowOff>0</xdr:rowOff>
    </xdr:to>
    <xdr:sp macro="" textlink="">
      <xdr:nvSpPr>
        <xdr:cNvPr id="458" name="Line 845">
          <a:extLst>
            <a:ext uri="{FF2B5EF4-FFF2-40B4-BE49-F238E27FC236}">
              <a16:creationId xmlns:a16="http://schemas.microsoft.com/office/drawing/2014/main" id="{BDC455D4-85E5-48F5-9A19-B50F68A1F6AF}"/>
            </a:ext>
          </a:extLst>
        </xdr:cNvPr>
        <xdr:cNvSpPr>
          <a:spLocks noChangeShapeType="1"/>
        </xdr:cNvSpPr>
      </xdr:nvSpPr>
      <xdr:spPr bwMode="auto">
        <a:xfrm>
          <a:off x="5067300" y="636651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315</xdr:row>
      <xdr:rowOff>0</xdr:rowOff>
    </xdr:from>
    <xdr:to>
      <xdr:col>28</xdr:col>
      <xdr:colOff>182880</xdr:colOff>
      <xdr:row>315</xdr:row>
      <xdr:rowOff>0</xdr:rowOff>
    </xdr:to>
    <xdr:sp macro="" textlink="">
      <xdr:nvSpPr>
        <xdr:cNvPr id="459" name="Line 846">
          <a:extLst>
            <a:ext uri="{FF2B5EF4-FFF2-40B4-BE49-F238E27FC236}">
              <a16:creationId xmlns:a16="http://schemas.microsoft.com/office/drawing/2014/main" id="{3273835A-98F8-4AA2-B6C1-67E1223F0059}"/>
            </a:ext>
          </a:extLst>
        </xdr:cNvPr>
        <xdr:cNvSpPr>
          <a:spLocks noChangeShapeType="1"/>
        </xdr:cNvSpPr>
      </xdr:nvSpPr>
      <xdr:spPr bwMode="auto">
        <a:xfrm>
          <a:off x="6408420" y="63665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315</xdr:row>
      <xdr:rowOff>0</xdr:rowOff>
    </xdr:from>
    <xdr:to>
      <xdr:col>20</xdr:col>
      <xdr:colOff>190500</xdr:colOff>
      <xdr:row>315</xdr:row>
      <xdr:rowOff>0</xdr:rowOff>
    </xdr:to>
    <xdr:sp macro="" textlink="">
      <xdr:nvSpPr>
        <xdr:cNvPr id="460" name="Line 847">
          <a:extLst>
            <a:ext uri="{FF2B5EF4-FFF2-40B4-BE49-F238E27FC236}">
              <a16:creationId xmlns:a16="http://schemas.microsoft.com/office/drawing/2014/main" id="{52637C8D-99A5-45A7-BEB3-1C8EAD65901B}"/>
            </a:ext>
          </a:extLst>
        </xdr:cNvPr>
        <xdr:cNvSpPr>
          <a:spLocks noChangeShapeType="1"/>
        </xdr:cNvSpPr>
      </xdr:nvSpPr>
      <xdr:spPr bwMode="auto">
        <a:xfrm>
          <a:off x="4892040" y="63665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315</xdr:row>
      <xdr:rowOff>0</xdr:rowOff>
    </xdr:from>
    <xdr:to>
      <xdr:col>21</xdr:col>
      <xdr:colOff>182880</xdr:colOff>
      <xdr:row>315</xdr:row>
      <xdr:rowOff>0</xdr:rowOff>
    </xdr:to>
    <xdr:sp macro="" textlink="">
      <xdr:nvSpPr>
        <xdr:cNvPr id="461" name="Line 848">
          <a:extLst>
            <a:ext uri="{FF2B5EF4-FFF2-40B4-BE49-F238E27FC236}">
              <a16:creationId xmlns:a16="http://schemas.microsoft.com/office/drawing/2014/main" id="{C742EBB8-0056-4DAD-8311-2D50E3642F28}"/>
            </a:ext>
          </a:extLst>
        </xdr:cNvPr>
        <xdr:cNvSpPr>
          <a:spLocks noChangeShapeType="1"/>
        </xdr:cNvSpPr>
      </xdr:nvSpPr>
      <xdr:spPr bwMode="auto">
        <a:xfrm>
          <a:off x="5067300" y="636651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315</xdr:row>
      <xdr:rowOff>0</xdr:rowOff>
    </xdr:from>
    <xdr:to>
      <xdr:col>28</xdr:col>
      <xdr:colOff>182880</xdr:colOff>
      <xdr:row>315</xdr:row>
      <xdr:rowOff>0</xdr:rowOff>
    </xdr:to>
    <xdr:sp macro="" textlink="">
      <xdr:nvSpPr>
        <xdr:cNvPr id="462" name="Line 849">
          <a:extLst>
            <a:ext uri="{FF2B5EF4-FFF2-40B4-BE49-F238E27FC236}">
              <a16:creationId xmlns:a16="http://schemas.microsoft.com/office/drawing/2014/main" id="{B492FC44-B87A-4A53-A96D-50473275334B}"/>
            </a:ext>
          </a:extLst>
        </xdr:cNvPr>
        <xdr:cNvSpPr>
          <a:spLocks noChangeShapeType="1"/>
        </xdr:cNvSpPr>
      </xdr:nvSpPr>
      <xdr:spPr bwMode="auto">
        <a:xfrm>
          <a:off x="6408420" y="63665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355</xdr:row>
      <xdr:rowOff>0</xdr:rowOff>
    </xdr:from>
    <xdr:to>
      <xdr:col>20</xdr:col>
      <xdr:colOff>190500</xdr:colOff>
      <xdr:row>355</xdr:row>
      <xdr:rowOff>0</xdr:rowOff>
    </xdr:to>
    <xdr:sp macro="" textlink="">
      <xdr:nvSpPr>
        <xdr:cNvPr id="463" name="Line 850">
          <a:extLst>
            <a:ext uri="{FF2B5EF4-FFF2-40B4-BE49-F238E27FC236}">
              <a16:creationId xmlns:a16="http://schemas.microsoft.com/office/drawing/2014/main" id="{1A1CECB0-CE20-4650-BDE1-CE78EF869449}"/>
            </a:ext>
          </a:extLst>
        </xdr:cNvPr>
        <xdr:cNvSpPr>
          <a:spLocks noChangeShapeType="1"/>
        </xdr:cNvSpPr>
      </xdr:nvSpPr>
      <xdr:spPr bwMode="auto">
        <a:xfrm>
          <a:off x="4892040" y="706831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355</xdr:row>
      <xdr:rowOff>0</xdr:rowOff>
    </xdr:from>
    <xdr:to>
      <xdr:col>21</xdr:col>
      <xdr:colOff>182880</xdr:colOff>
      <xdr:row>355</xdr:row>
      <xdr:rowOff>0</xdr:rowOff>
    </xdr:to>
    <xdr:sp macro="" textlink="">
      <xdr:nvSpPr>
        <xdr:cNvPr id="464" name="Line 851">
          <a:extLst>
            <a:ext uri="{FF2B5EF4-FFF2-40B4-BE49-F238E27FC236}">
              <a16:creationId xmlns:a16="http://schemas.microsoft.com/office/drawing/2014/main" id="{6672EC1B-EDF5-4A03-89C2-CAE946994274}"/>
            </a:ext>
          </a:extLst>
        </xdr:cNvPr>
        <xdr:cNvSpPr>
          <a:spLocks noChangeShapeType="1"/>
        </xdr:cNvSpPr>
      </xdr:nvSpPr>
      <xdr:spPr bwMode="auto">
        <a:xfrm>
          <a:off x="5067300" y="706831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355</xdr:row>
      <xdr:rowOff>0</xdr:rowOff>
    </xdr:from>
    <xdr:to>
      <xdr:col>28</xdr:col>
      <xdr:colOff>182880</xdr:colOff>
      <xdr:row>355</xdr:row>
      <xdr:rowOff>0</xdr:rowOff>
    </xdr:to>
    <xdr:sp macro="" textlink="">
      <xdr:nvSpPr>
        <xdr:cNvPr id="465" name="Line 852">
          <a:extLst>
            <a:ext uri="{FF2B5EF4-FFF2-40B4-BE49-F238E27FC236}">
              <a16:creationId xmlns:a16="http://schemas.microsoft.com/office/drawing/2014/main" id="{440BA37E-F3DB-402D-97D9-69EB58EE8A7A}"/>
            </a:ext>
          </a:extLst>
        </xdr:cNvPr>
        <xdr:cNvSpPr>
          <a:spLocks noChangeShapeType="1"/>
        </xdr:cNvSpPr>
      </xdr:nvSpPr>
      <xdr:spPr bwMode="auto">
        <a:xfrm>
          <a:off x="6408420" y="706831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355</xdr:row>
      <xdr:rowOff>0</xdr:rowOff>
    </xdr:from>
    <xdr:to>
      <xdr:col>20</xdr:col>
      <xdr:colOff>190500</xdr:colOff>
      <xdr:row>355</xdr:row>
      <xdr:rowOff>0</xdr:rowOff>
    </xdr:to>
    <xdr:sp macro="" textlink="">
      <xdr:nvSpPr>
        <xdr:cNvPr id="466" name="Line 853">
          <a:extLst>
            <a:ext uri="{FF2B5EF4-FFF2-40B4-BE49-F238E27FC236}">
              <a16:creationId xmlns:a16="http://schemas.microsoft.com/office/drawing/2014/main" id="{ADA90D26-6CDE-4C1A-9FF3-F1B5418E5A41}"/>
            </a:ext>
          </a:extLst>
        </xdr:cNvPr>
        <xdr:cNvSpPr>
          <a:spLocks noChangeShapeType="1"/>
        </xdr:cNvSpPr>
      </xdr:nvSpPr>
      <xdr:spPr bwMode="auto">
        <a:xfrm>
          <a:off x="4892040" y="706831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355</xdr:row>
      <xdr:rowOff>0</xdr:rowOff>
    </xdr:from>
    <xdr:to>
      <xdr:col>21</xdr:col>
      <xdr:colOff>182880</xdr:colOff>
      <xdr:row>355</xdr:row>
      <xdr:rowOff>0</xdr:rowOff>
    </xdr:to>
    <xdr:sp macro="" textlink="">
      <xdr:nvSpPr>
        <xdr:cNvPr id="467" name="Line 854">
          <a:extLst>
            <a:ext uri="{FF2B5EF4-FFF2-40B4-BE49-F238E27FC236}">
              <a16:creationId xmlns:a16="http://schemas.microsoft.com/office/drawing/2014/main" id="{9689E969-6B55-40AC-BDF5-F8F4456F893E}"/>
            </a:ext>
          </a:extLst>
        </xdr:cNvPr>
        <xdr:cNvSpPr>
          <a:spLocks noChangeShapeType="1"/>
        </xdr:cNvSpPr>
      </xdr:nvSpPr>
      <xdr:spPr bwMode="auto">
        <a:xfrm>
          <a:off x="5067300" y="706831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355</xdr:row>
      <xdr:rowOff>0</xdr:rowOff>
    </xdr:from>
    <xdr:to>
      <xdr:col>28</xdr:col>
      <xdr:colOff>182880</xdr:colOff>
      <xdr:row>355</xdr:row>
      <xdr:rowOff>0</xdr:rowOff>
    </xdr:to>
    <xdr:sp macro="" textlink="">
      <xdr:nvSpPr>
        <xdr:cNvPr id="468" name="Line 855">
          <a:extLst>
            <a:ext uri="{FF2B5EF4-FFF2-40B4-BE49-F238E27FC236}">
              <a16:creationId xmlns:a16="http://schemas.microsoft.com/office/drawing/2014/main" id="{625F3427-7E69-44DF-8088-79295258468A}"/>
            </a:ext>
          </a:extLst>
        </xdr:cNvPr>
        <xdr:cNvSpPr>
          <a:spLocks noChangeShapeType="1"/>
        </xdr:cNvSpPr>
      </xdr:nvSpPr>
      <xdr:spPr bwMode="auto">
        <a:xfrm>
          <a:off x="6408420" y="706831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396</xdr:row>
      <xdr:rowOff>0</xdr:rowOff>
    </xdr:from>
    <xdr:to>
      <xdr:col>20</xdr:col>
      <xdr:colOff>190500</xdr:colOff>
      <xdr:row>396</xdr:row>
      <xdr:rowOff>0</xdr:rowOff>
    </xdr:to>
    <xdr:sp macro="" textlink="">
      <xdr:nvSpPr>
        <xdr:cNvPr id="469" name="Line 856">
          <a:extLst>
            <a:ext uri="{FF2B5EF4-FFF2-40B4-BE49-F238E27FC236}">
              <a16:creationId xmlns:a16="http://schemas.microsoft.com/office/drawing/2014/main" id="{49D1C532-0E65-40D4-921A-340076EBA251}"/>
            </a:ext>
          </a:extLst>
        </xdr:cNvPr>
        <xdr:cNvSpPr>
          <a:spLocks noChangeShapeType="1"/>
        </xdr:cNvSpPr>
      </xdr:nvSpPr>
      <xdr:spPr bwMode="auto">
        <a:xfrm>
          <a:off x="4892040" y="77853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396</xdr:row>
      <xdr:rowOff>0</xdr:rowOff>
    </xdr:from>
    <xdr:to>
      <xdr:col>21</xdr:col>
      <xdr:colOff>182880</xdr:colOff>
      <xdr:row>396</xdr:row>
      <xdr:rowOff>0</xdr:rowOff>
    </xdr:to>
    <xdr:sp macro="" textlink="">
      <xdr:nvSpPr>
        <xdr:cNvPr id="470" name="Line 857">
          <a:extLst>
            <a:ext uri="{FF2B5EF4-FFF2-40B4-BE49-F238E27FC236}">
              <a16:creationId xmlns:a16="http://schemas.microsoft.com/office/drawing/2014/main" id="{E1FA120B-CE39-4978-97C7-8366F5749F4E}"/>
            </a:ext>
          </a:extLst>
        </xdr:cNvPr>
        <xdr:cNvSpPr>
          <a:spLocks noChangeShapeType="1"/>
        </xdr:cNvSpPr>
      </xdr:nvSpPr>
      <xdr:spPr bwMode="auto">
        <a:xfrm>
          <a:off x="5067300" y="77853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396</xdr:row>
      <xdr:rowOff>0</xdr:rowOff>
    </xdr:from>
    <xdr:to>
      <xdr:col>28</xdr:col>
      <xdr:colOff>182880</xdr:colOff>
      <xdr:row>396</xdr:row>
      <xdr:rowOff>0</xdr:rowOff>
    </xdr:to>
    <xdr:sp macro="" textlink="">
      <xdr:nvSpPr>
        <xdr:cNvPr id="471" name="Line 858">
          <a:extLst>
            <a:ext uri="{FF2B5EF4-FFF2-40B4-BE49-F238E27FC236}">
              <a16:creationId xmlns:a16="http://schemas.microsoft.com/office/drawing/2014/main" id="{CC5C687B-1F99-45CD-81A6-94D3D00B59DE}"/>
            </a:ext>
          </a:extLst>
        </xdr:cNvPr>
        <xdr:cNvSpPr>
          <a:spLocks noChangeShapeType="1"/>
        </xdr:cNvSpPr>
      </xdr:nvSpPr>
      <xdr:spPr bwMode="auto">
        <a:xfrm>
          <a:off x="6408420" y="77853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396</xdr:row>
      <xdr:rowOff>0</xdr:rowOff>
    </xdr:from>
    <xdr:to>
      <xdr:col>20</xdr:col>
      <xdr:colOff>190500</xdr:colOff>
      <xdr:row>396</xdr:row>
      <xdr:rowOff>0</xdr:rowOff>
    </xdr:to>
    <xdr:sp macro="" textlink="">
      <xdr:nvSpPr>
        <xdr:cNvPr id="472" name="Line 859">
          <a:extLst>
            <a:ext uri="{FF2B5EF4-FFF2-40B4-BE49-F238E27FC236}">
              <a16:creationId xmlns:a16="http://schemas.microsoft.com/office/drawing/2014/main" id="{6FE169A7-907D-4C70-87C3-10DFCA586F4C}"/>
            </a:ext>
          </a:extLst>
        </xdr:cNvPr>
        <xdr:cNvSpPr>
          <a:spLocks noChangeShapeType="1"/>
        </xdr:cNvSpPr>
      </xdr:nvSpPr>
      <xdr:spPr bwMode="auto">
        <a:xfrm>
          <a:off x="4892040" y="77853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396</xdr:row>
      <xdr:rowOff>0</xdr:rowOff>
    </xdr:from>
    <xdr:to>
      <xdr:col>21</xdr:col>
      <xdr:colOff>182880</xdr:colOff>
      <xdr:row>396</xdr:row>
      <xdr:rowOff>0</xdr:rowOff>
    </xdr:to>
    <xdr:sp macro="" textlink="">
      <xdr:nvSpPr>
        <xdr:cNvPr id="473" name="Line 860">
          <a:extLst>
            <a:ext uri="{FF2B5EF4-FFF2-40B4-BE49-F238E27FC236}">
              <a16:creationId xmlns:a16="http://schemas.microsoft.com/office/drawing/2014/main" id="{8DF88420-4C85-4CA8-BE5C-A6F178F93654}"/>
            </a:ext>
          </a:extLst>
        </xdr:cNvPr>
        <xdr:cNvSpPr>
          <a:spLocks noChangeShapeType="1"/>
        </xdr:cNvSpPr>
      </xdr:nvSpPr>
      <xdr:spPr bwMode="auto">
        <a:xfrm>
          <a:off x="5067300" y="7785354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396</xdr:row>
      <xdr:rowOff>0</xdr:rowOff>
    </xdr:from>
    <xdr:to>
      <xdr:col>28</xdr:col>
      <xdr:colOff>182880</xdr:colOff>
      <xdr:row>396</xdr:row>
      <xdr:rowOff>0</xdr:rowOff>
    </xdr:to>
    <xdr:sp macro="" textlink="">
      <xdr:nvSpPr>
        <xdr:cNvPr id="474" name="Line 861">
          <a:extLst>
            <a:ext uri="{FF2B5EF4-FFF2-40B4-BE49-F238E27FC236}">
              <a16:creationId xmlns:a16="http://schemas.microsoft.com/office/drawing/2014/main" id="{1400639B-F55E-432C-A02B-9D1E958C54CD}"/>
            </a:ext>
          </a:extLst>
        </xdr:cNvPr>
        <xdr:cNvSpPr>
          <a:spLocks noChangeShapeType="1"/>
        </xdr:cNvSpPr>
      </xdr:nvSpPr>
      <xdr:spPr bwMode="auto">
        <a:xfrm>
          <a:off x="6408420" y="7785354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75" name="Line 862">
          <a:extLst>
            <a:ext uri="{FF2B5EF4-FFF2-40B4-BE49-F238E27FC236}">
              <a16:creationId xmlns:a16="http://schemas.microsoft.com/office/drawing/2014/main" id="{D44BDB2C-E358-4445-BCDE-7E9C8D1DE141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76" name="Line 863">
          <a:extLst>
            <a:ext uri="{FF2B5EF4-FFF2-40B4-BE49-F238E27FC236}">
              <a16:creationId xmlns:a16="http://schemas.microsoft.com/office/drawing/2014/main" id="{C2B1154A-0C35-4B05-A820-34543CD38F22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77" name="Line 864">
          <a:extLst>
            <a:ext uri="{FF2B5EF4-FFF2-40B4-BE49-F238E27FC236}">
              <a16:creationId xmlns:a16="http://schemas.microsoft.com/office/drawing/2014/main" id="{E02D10BB-7729-49CD-912B-7E13F53EC413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185</xdr:row>
      <xdr:rowOff>0</xdr:rowOff>
    </xdr:from>
    <xdr:to>
      <xdr:col>20</xdr:col>
      <xdr:colOff>190500</xdr:colOff>
      <xdr:row>185</xdr:row>
      <xdr:rowOff>0</xdr:rowOff>
    </xdr:to>
    <xdr:sp macro="" textlink="">
      <xdr:nvSpPr>
        <xdr:cNvPr id="478" name="Line 865">
          <a:extLst>
            <a:ext uri="{FF2B5EF4-FFF2-40B4-BE49-F238E27FC236}">
              <a16:creationId xmlns:a16="http://schemas.microsoft.com/office/drawing/2014/main" id="{BF1A783B-4128-4C13-8434-AB1CDCDCDCAC}"/>
            </a:ext>
          </a:extLst>
        </xdr:cNvPr>
        <xdr:cNvSpPr>
          <a:spLocks noChangeShapeType="1"/>
        </xdr:cNvSpPr>
      </xdr:nvSpPr>
      <xdr:spPr bwMode="auto">
        <a:xfrm>
          <a:off x="489204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185</xdr:row>
      <xdr:rowOff>0</xdr:rowOff>
    </xdr:from>
    <xdr:to>
      <xdr:col>21</xdr:col>
      <xdr:colOff>182880</xdr:colOff>
      <xdr:row>185</xdr:row>
      <xdr:rowOff>0</xdr:rowOff>
    </xdr:to>
    <xdr:sp macro="" textlink="">
      <xdr:nvSpPr>
        <xdr:cNvPr id="479" name="Line 866">
          <a:extLst>
            <a:ext uri="{FF2B5EF4-FFF2-40B4-BE49-F238E27FC236}">
              <a16:creationId xmlns:a16="http://schemas.microsoft.com/office/drawing/2014/main" id="{D6CC2BD1-7D2E-4089-80CC-274F57036A00}"/>
            </a:ext>
          </a:extLst>
        </xdr:cNvPr>
        <xdr:cNvSpPr>
          <a:spLocks noChangeShapeType="1"/>
        </xdr:cNvSpPr>
      </xdr:nvSpPr>
      <xdr:spPr bwMode="auto">
        <a:xfrm>
          <a:off x="5067300" y="410794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185</xdr:row>
      <xdr:rowOff>0</xdr:rowOff>
    </xdr:from>
    <xdr:to>
      <xdr:col>28</xdr:col>
      <xdr:colOff>182880</xdr:colOff>
      <xdr:row>185</xdr:row>
      <xdr:rowOff>0</xdr:rowOff>
    </xdr:to>
    <xdr:sp macro="" textlink="">
      <xdr:nvSpPr>
        <xdr:cNvPr id="480" name="Line 867">
          <a:extLst>
            <a:ext uri="{FF2B5EF4-FFF2-40B4-BE49-F238E27FC236}">
              <a16:creationId xmlns:a16="http://schemas.microsoft.com/office/drawing/2014/main" id="{DA3CB867-9C9A-4C08-90B4-321A928FA09F}"/>
            </a:ext>
          </a:extLst>
        </xdr:cNvPr>
        <xdr:cNvSpPr>
          <a:spLocks noChangeShapeType="1"/>
        </xdr:cNvSpPr>
      </xdr:nvSpPr>
      <xdr:spPr bwMode="auto">
        <a:xfrm>
          <a:off x="6408420" y="41079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209</xdr:row>
      <xdr:rowOff>0</xdr:rowOff>
    </xdr:from>
    <xdr:to>
      <xdr:col>20</xdr:col>
      <xdr:colOff>190500</xdr:colOff>
      <xdr:row>209</xdr:row>
      <xdr:rowOff>0</xdr:rowOff>
    </xdr:to>
    <xdr:sp macro="" textlink="">
      <xdr:nvSpPr>
        <xdr:cNvPr id="481" name="Line 868">
          <a:extLst>
            <a:ext uri="{FF2B5EF4-FFF2-40B4-BE49-F238E27FC236}">
              <a16:creationId xmlns:a16="http://schemas.microsoft.com/office/drawing/2014/main" id="{CFEA9FCE-1A25-41BC-8C46-92E373B0988C}"/>
            </a:ext>
          </a:extLst>
        </xdr:cNvPr>
        <xdr:cNvSpPr>
          <a:spLocks noChangeShapeType="1"/>
        </xdr:cNvSpPr>
      </xdr:nvSpPr>
      <xdr:spPr bwMode="auto">
        <a:xfrm>
          <a:off x="4892040" y="45186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209</xdr:row>
      <xdr:rowOff>0</xdr:rowOff>
    </xdr:from>
    <xdr:to>
      <xdr:col>21</xdr:col>
      <xdr:colOff>182880</xdr:colOff>
      <xdr:row>209</xdr:row>
      <xdr:rowOff>0</xdr:rowOff>
    </xdr:to>
    <xdr:sp macro="" textlink="">
      <xdr:nvSpPr>
        <xdr:cNvPr id="482" name="Line 869">
          <a:extLst>
            <a:ext uri="{FF2B5EF4-FFF2-40B4-BE49-F238E27FC236}">
              <a16:creationId xmlns:a16="http://schemas.microsoft.com/office/drawing/2014/main" id="{D90741B2-7983-42F8-A0A5-68D61AC8E911}"/>
            </a:ext>
          </a:extLst>
        </xdr:cNvPr>
        <xdr:cNvSpPr>
          <a:spLocks noChangeShapeType="1"/>
        </xdr:cNvSpPr>
      </xdr:nvSpPr>
      <xdr:spPr bwMode="auto">
        <a:xfrm>
          <a:off x="5067300" y="451866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209</xdr:row>
      <xdr:rowOff>0</xdr:rowOff>
    </xdr:from>
    <xdr:to>
      <xdr:col>28</xdr:col>
      <xdr:colOff>182880</xdr:colOff>
      <xdr:row>209</xdr:row>
      <xdr:rowOff>0</xdr:rowOff>
    </xdr:to>
    <xdr:sp macro="" textlink="">
      <xdr:nvSpPr>
        <xdr:cNvPr id="483" name="Line 870">
          <a:extLst>
            <a:ext uri="{FF2B5EF4-FFF2-40B4-BE49-F238E27FC236}">
              <a16:creationId xmlns:a16="http://schemas.microsoft.com/office/drawing/2014/main" id="{E62CE4A7-8552-4E34-90C9-82D91AA2F8D8}"/>
            </a:ext>
          </a:extLst>
        </xdr:cNvPr>
        <xdr:cNvSpPr>
          <a:spLocks noChangeShapeType="1"/>
        </xdr:cNvSpPr>
      </xdr:nvSpPr>
      <xdr:spPr bwMode="auto">
        <a:xfrm>
          <a:off x="6408420" y="45186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209</xdr:row>
      <xdr:rowOff>0</xdr:rowOff>
    </xdr:from>
    <xdr:to>
      <xdr:col>20</xdr:col>
      <xdr:colOff>190500</xdr:colOff>
      <xdr:row>209</xdr:row>
      <xdr:rowOff>0</xdr:rowOff>
    </xdr:to>
    <xdr:sp macro="" textlink="">
      <xdr:nvSpPr>
        <xdr:cNvPr id="484" name="Line 871">
          <a:extLst>
            <a:ext uri="{FF2B5EF4-FFF2-40B4-BE49-F238E27FC236}">
              <a16:creationId xmlns:a16="http://schemas.microsoft.com/office/drawing/2014/main" id="{32E578E4-DDB8-447E-B884-28B914D3E9B5}"/>
            </a:ext>
          </a:extLst>
        </xdr:cNvPr>
        <xdr:cNvSpPr>
          <a:spLocks noChangeShapeType="1"/>
        </xdr:cNvSpPr>
      </xdr:nvSpPr>
      <xdr:spPr bwMode="auto">
        <a:xfrm>
          <a:off x="4892040" y="45186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209</xdr:row>
      <xdr:rowOff>0</xdr:rowOff>
    </xdr:from>
    <xdr:to>
      <xdr:col>21</xdr:col>
      <xdr:colOff>182880</xdr:colOff>
      <xdr:row>209</xdr:row>
      <xdr:rowOff>0</xdr:rowOff>
    </xdr:to>
    <xdr:sp macro="" textlink="">
      <xdr:nvSpPr>
        <xdr:cNvPr id="485" name="Line 872">
          <a:extLst>
            <a:ext uri="{FF2B5EF4-FFF2-40B4-BE49-F238E27FC236}">
              <a16:creationId xmlns:a16="http://schemas.microsoft.com/office/drawing/2014/main" id="{A767C4B0-0C6F-43F3-9612-727738904896}"/>
            </a:ext>
          </a:extLst>
        </xdr:cNvPr>
        <xdr:cNvSpPr>
          <a:spLocks noChangeShapeType="1"/>
        </xdr:cNvSpPr>
      </xdr:nvSpPr>
      <xdr:spPr bwMode="auto">
        <a:xfrm>
          <a:off x="5067300" y="4518660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209</xdr:row>
      <xdr:rowOff>0</xdr:rowOff>
    </xdr:from>
    <xdr:to>
      <xdr:col>28</xdr:col>
      <xdr:colOff>182880</xdr:colOff>
      <xdr:row>209</xdr:row>
      <xdr:rowOff>0</xdr:rowOff>
    </xdr:to>
    <xdr:sp macro="" textlink="">
      <xdr:nvSpPr>
        <xdr:cNvPr id="486" name="Line 873">
          <a:extLst>
            <a:ext uri="{FF2B5EF4-FFF2-40B4-BE49-F238E27FC236}">
              <a16:creationId xmlns:a16="http://schemas.microsoft.com/office/drawing/2014/main" id="{08E8AD0F-73BC-4D27-81A8-6F6B85E7DAB2}"/>
            </a:ext>
          </a:extLst>
        </xdr:cNvPr>
        <xdr:cNvSpPr>
          <a:spLocks noChangeShapeType="1"/>
        </xdr:cNvSpPr>
      </xdr:nvSpPr>
      <xdr:spPr bwMode="auto">
        <a:xfrm>
          <a:off x="6408420" y="45186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87" name="Line 874">
          <a:extLst>
            <a:ext uri="{FF2B5EF4-FFF2-40B4-BE49-F238E27FC236}">
              <a16:creationId xmlns:a16="http://schemas.microsoft.com/office/drawing/2014/main" id="{297061AE-720E-4D0D-ABB2-186DAFD4646B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88" name="Line 875">
          <a:extLst>
            <a:ext uri="{FF2B5EF4-FFF2-40B4-BE49-F238E27FC236}">
              <a16:creationId xmlns:a16="http://schemas.microsoft.com/office/drawing/2014/main" id="{DD452FE1-F9CA-43C3-8265-2EC4F128DF54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89" name="Line 876">
          <a:extLst>
            <a:ext uri="{FF2B5EF4-FFF2-40B4-BE49-F238E27FC236}">
              <a16:creationId xmlns:a16="http://schemas.microsoft.com/office/drawing/2014/main" id="{76481208-38F7-48C1-8B29-B9FD325B5D31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236220</xdr:colOff>
      <xdr:row>249</xdr:row>
      <xdr:rowOff>0</xdr:rowOff>
    </xdr:from>
    <xdr:to>
      <xdr:col>20</xdr:col>
      <xdr:colOff>190500</xdr:colOff>
      <xdr:row>249</xdr:row>
      <xdr:rowOff>0</xdr:rowOff>
    </xdr:to>
    <xdr:sp macro="" textlink="">
      <xdr:nvSpPr>
        <xdr:cNvPr id="490" name="Line 877">
          <a:extLst>
            <a:ext uri="{FF2B5EF4-FFF2-40B4-BE49-F238E27FC236}">
              <a16:creationId xmlns:a16="http://schemas.microsoft.com/office/drawing/2014/main" id="{8D80CA39-0244-4E69-855C-B9E7832F078F}"/>
            </a:ext>
          </a:extLst>
        </xdr:cNvPr>
        <xdr:cNvSpPr>
          <a:spLocks noChangeShapeType="1"/>
        </xdr:cNvSpPr>
      </xdr:nvSpPr>
      <xdr:spPr bwMode="auto">
        <a:xfrm>
          <a:off x="489204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175260</xdr:colOff>
      <xdr:row>249</xdr:row>
      <xdr:rowOff>0</xdr:rowOff>
    </xdr:from>
    <xdr:to>
      <xdr:col>21</xdr:col>
      <xdr:colOff>182880</xdr:colOff>
      <xdr:row>249</xdr:row>
      <xdr:rowOff>0</xdr:rowOff>
    </xdr:to>
    <xdr:sp macro="" textlink="">
      <xdr:nvSpPr>
        <xdr:cNvPr id="491" name="Line 878">
          <a:extLst>
            <a:ext uri="{FF2B5EF4-FFF2-40B4-BE49-F238E27FC236}">
              <a16:creationId xmlns:a16="http://schemas.microsoft.com/office/drawing/2014/main" id="{CD3508EA-63B4-4F9D-AE74-1C2404725265}"/>
            </a:ext>
          </a:extLst>
        </xdr:cNvPr>
        <xdr:cNvSpPr>
          <a:spLocks noChangeShapeType="1"/>
        </xdr:cNvSpPr>
      </xdr:nvSpPr>
      <xdr:spPr bwMode="auto">
        <a:xfrm>
          <a:off x="5067300" y="52204620"/>
          <a:ext cx="7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449580</xdr:colOff>
      <xdr:row>249</xdr:row>
      <xdr:rowOff>0</xdr:rowOff>
    </xdr:from>
    <xdr:to>
      <xdr:col>28</xdr:col>
      <xdr:colOff>182880</xdr:colOff>
      <xdr:row>249</xdr:row>
      <xdr:rowOff>0</xdr:rowOff>
    </xdr:to>
    <xdr:sp macro="" textlink="">
      <xdr:nvSpPr>
        <xdr:cNvPr id="492" name="Line 879">
          <a:extLst>
            <a:ext uri="{FF2B5EF4-FFF2-40B4-BE49-F238E27FC236}">
              <a16:creationId xmlns:a16="http://schemas.microsoft.com/office/drawing/2014/main" id="{6C6547CC-3FA2-484C-9D4F-6A0A41E124D3}"/>
            </a:ext>
          </a:extLst>
        </xdr:cNvPr>
        <xdr:cNvSpPr>
          <a:spLocks noChangeShapeType="1"/>
        </xdr:cNvSpPr>
      </xdr:nvSpPr>
      <xdr:spPr bwMode="auto">
        <a:xfrm>
          <a:off x="6408420" y="522046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12</xdr:col>
      <xdr:colOff>99060</xdr:colOff>
      <xdr:row>0</xdr:row>
      <xdr:rowOff>106680</xdr:rowOff>
    </xdr:from>
    <xdr:to>
      <xdr:col>15</xdr:col>
      <xdr:colOff>30586</xdr:colOff>
      <xdr:row>1</xdr:row>
      <xdr:rowOff>205740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2E8077-33CC-4872-A570-7A7ECF4D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106680"/>
          <a:ext cx="929746" cy="281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3916-2F1A-465C-9808-8EE0F75A383B}">
  <dimension ref="A1:IV2829"/>
  <sheetViews>
    <sheetView showGridLines="0" tabSelected="1" workbookViewId="0">
      <selection activeCell="AJ8" sqref="AJ8"/>
    </sheetView>
  </sheetViews>
  <sheetFormatPr defaultRowHeight="14.4" x14ac:dyDescent="0.3"/>
  <cols>
    <col min="1" max="1" width="2.6640625" style="1" customWidth="1"/>
    <col min="2" max="7" width="2.6640625" customWidth="1"/>
    <col min="8" max="10" width="3" customWidth="1"/>
    <col min="11" max="11" width="3.6640625" customWidth="1"/>
    <col min="12" max="12" width="3.88671875" customWidth="1"/>
    <col min="13" max="13" width="4.33203125" customWidth="1"/>
    <col min="14" max="14" width="5.88671875" customWidth="1"/>
    <col min="15" max="15" width="4.33203125" customWidth="1"/>
    <col min="16" max="16" width="3" customWidth="1"/>
    <col min="17" max="17" width="4.44140625" customWidth="1"/>
    <col min="18" max="18" width="4" customWidth="1"/>
    <col min="19" max="19" width="3" customWidth="1"/>
    <col min="20" max="20" width="4.109375" customWidth="1"/>
    <col min="21" max="21" width="3" customWidth="1"/>
    <col min="22" max="25" width="2.6640625" customWidth="1"/>
    <col min="26" max="26" width="3.109375" customWidth="1"/>
    <col min="27" max="27" width="2.6640625" style="1" customWidth="1"/>
    <col min="28" max="28" width="2.6640625" customWidth="1"/>
    <col min="29" max="29" width="3" customWidth="1"/>
    <col min="30" max="32" width="2.6640625" customWidth="1"/>
    <col min="33" max="33" width="7" style="2" customWidth="1"/>
    <col min="34" max="34" width="9.44140625" customWidth="1"/>
    <col min="257" max="263" width="2.6640625" customWidth="1"/>
    <col min="264" max="266" width="3" customWidth="1"/>
    <col min="267" max="267" width="3.6640625" customWidth="1"/>
    <col min="268" max="268" width="3.88671875" customWidth="1"/>
    <col min="269" max="269" width="4.33203125" customWidth="1"/>
    <col min="270" max="270" width="5.88671875" customWidth="1"/>
    <col min="271" max="271" width="4.33203125" customWidth="1"/>
    <col min="272" max="272" width="3" customWidth="1"/>
    <col min="273" max="273" width="4.44140625" customWidth="1"/>
    <col min="274" max="274" width="4" customWidth="1"/>
    <col min="275" max="275" width="3" customWidth="1"/>
    <col min="276" max="276" width="4.109375" customWidth="1"/>
    <col min="277" max="277" width="3" customWidth="1"/>
    <col min="278" max="281" width="2.6640625" customWidth="1"/>
    <col min="282" max="282" width="3.109375" customWidth="1"/>
    <col min="283" max="284" width="2.6640625" customWidth="1"/>
    <col min="285" max="285" width="3" customWidth="1"/>
    <col min="286" max="288" width="2.6640625" customWidth="1"/>
    <col min="289" max="289" width="7" customWidth="1"/>
    <col min="290" max="290" width="9.44140625" customWidth="1"/>
    <col min="513" max="519" width="2.6640625" customWidth="1"/>
    <col min="520" max="522" width="3" customWidth="1"/>
    <col min="523" max="523" width="3.6640625" customWidth="1"/>
    <col min="524" max="524" width="3.88671875" customWidth="1"/>
    <col min="525" max="525" width="4.33203125" customWidth="1"/>
    <col min="526" max="526" width="5.88671875" customWidth="1"/>
    <col min="527" max="527" width="4.33203125" customWidth="1"/>
    <col min="528" max="528" width="3" customWidth="1"/>
    <col min="529" max="529" width="4.44140625" customWidth="1"/>
    <col min="530" max="530" width="4" customWidth="1"/>
    <col min="531" max="531" width="3" customWidth="1"/>
    <col min="532" max="532" width="4.109375" customWidth="1"/>
    <col min="533" max="533" width="3" customWidth="1"/>
    <col min="534" max="537" width="2.6640625" customWidth="1"/>
    <col min="538" max="538" width="3.109375" customWidth="1"/>
    <col min="539" max="540" width="2.6640625" customWidth="1"/>
    <col min="541" max="541" width="3" customWidth="1"/>
    <col min="542" max="544" width="2.6640625" customWidth="1"/>
    <col min="545" max="545" width="7" customWidth="1"/>
    <col min="546" max="546" width="9.44140625" customWidth="1"/>
    <col min="769" max="775" width="2.6640625" customWidth="1"/>
    <col min="776" max="778" width="3" customWidth="1"/>
    <col min="779" max="779" width="3.6640625" customWidth="1"/>
    <col min="780" max="780" width="3.88671875" customWidth="1"/>
    <col min="781" max="781" width="4.33203125" customWidth="1"/>
    <col min="782" max="782" width="5.88671875" customWidth="1"/>
    <col min="783" max="783" width="4.33203125" customWidth="1"/>
    <col min="784" max="784" width="3" customWidth="1"/>
    <col min="785" max="785" width="4.44140625" customWidth="1"/>
    <col min="786" max="786" width="4" customWidth="1"/>
    <col min="787" max="787" width="3" customWidth="1"/>
    <col min="788" max="788" width="4.109375" customWidth="1"/>
    <col min="789" max="789" width="3" customWidth="1"/>
    <col min="790" max="793" width="2.6640625" customWidth="1"/>
    <col min="794" max="794" width="3.109375" customWidth="1"/>
    <col min="795" max="796" width="2.6640625" customWidth="1"/>
    <col min="797" max="797" width="3" customWidth="1"/>
    <col min="798" max="800" width="2.6640625" customWidth="1"/>
    <col min="801" max="801" width="7" customWidth="1"/>
    <col min="802" max="802" width="9.44140625" customWidth="1"/>
    <col min="1025" max="1031" width="2.6640625" customWidth="1"/>
    <col min="1032" max="1034" width="3" customWidth="1"/>
    <col min="1035" max="1035" width="3.6640625" customWidth="1"/>
    <col min="1036" max="1036" width="3.88671875" customWidth="1"/>
    <col min="1037" max="1037" width="4.33203125" customWidth="1"/>
    <col min="1038" max="1038" width="5.88671875" customWidth="1"/>
    <col min="1039" max="1039" width="4.33203125" customWidth="1"/>
    <col min="1040" max="1040" width="3" customWidth="1"/>
    <col min="1041" max="1041" width="4.44140625" customWidth="1"/>
    <col min="1042" max="1042" width="4" customWidth="1"/>
    <col min="1043" max="1043" width="3" customWidth="1"/>
    <col min="1044" max="1044" width="4.109375" customWidth="1"/>
    <col min="1045" max="1045" width="3" customWidth="1"/>
    <col min="1046" max="1049" width="2.6640625" customWidth="1"/>
    <col min="1050" max="1050" width="3.109375" customWidth="1"/>
    <col min="1051" max="1052" width="2.6640625" customWidth="1"/>
    <col min="1053" max="1053" width="3" customWidth="1"/>
    <col min="1054" max="1056" width="2.6640625" customWidth="1"/>
    <col min="1057" max="1057" width="7" customWidth="1"/>
    <col min="1058" max="1058" width="9.44140625" customWidth="1"/>
    <col min="1281" max="1287" width="2.6640625" customWidth="1"/>
    <col min="1288" max="1290" width="3" customWidth="1"/>
    <col min="1291" max="1291" width="3.6640625" customWidth="1"/>
    <col min="1292" max="1292" width="3.88671875" customWidth="1"/>
    <col min="1293" max="1293" width="4.33203125" customWidth="1"/>
    <col min="1294" max="1294" width="5.88671875" customWidth="1"/>
    <col min="1295" max="1295" width="4.33203125" customWidth="1"/>
    <col min="1296" max="1296" width="3" customWidth="1"/>
    <col min="1297" max="1297" width="4.44140625" customWidth="1"/>
    <col min="1298" max="1298" width="4" customWidth="1"/>
    <col min="1299" max="1299" width="3" customWidth="1"/>
    <col min="1300" max="1300" width="4.109375" customWidth="1"/>
    <col min="1301" max="1301" width="3" customWidth="1"/>
    <col min="1302" max="1305" width="2.6640625" customWidth="1"/>
    <col min="1306" max="1306" width="3.109375" customWidth="1"/>
    <col min="1307" max="1308" width="2.6640625" customWidth="1"/>
    <col min="1309" max="1309" width="3" customWidth="1"/>
    <col min="1310" max="1312" width="2.6640625" customWidth="1"/>
    <col min="1313" max="1313" width="7" customWidth="1"/>
    <col min="1314" max="1314" width="9.44140625" customWidth="1"/>
    <col min="1537" max="1543" width="2.6640625" customWidth="1"/>
    <col min="1544" max="1546" width="3" customWidth="1"/>
    <col min="1547" max="1547" width="3.6640625" customWidth="1"/>
    <col min="1548" max="1548" width="3.88671875" customWidth="1"/>
    <col min="1549" max="1549" width="4.33203125" customWidth="1"/>
    <col min="1550" max="1550" width="5.88671875" customWidth="1"/>
    <col min="1551" max="1551" width="4.33203125" customWidth="1"/>
    <col min="1552" max="1552" width="3" customWidth="1"/>
    <col min="1553" max="1553" width="4.44140625" customWidth="1"/>
    <col min="1554" max="1554" width="4" customWidth="1"/>
    <col min="1555" max="1555" width="3" customWidth="1"/>
    <col min="1556" max="1556" width="4.109375" customWidth="1"/>
    <col min="1557" max="1557" width="3" customWidth="1"/>
    <col min="1558" max="1561" width="2.6640625" customWidth="1"/>
    <col min="1562" max="1562" width="3.109375" customWidth="1"/>
    <col min="1563" max="1564" width="2.6640625" customWidth="1"/>
    <col min="1565" max="1565" width="3" customWidth="1"/>
    <col min="1566" max="1568" width="2.6640625" customWidth="1"/>
    <col min="1569" max="1569" width="7" customWidth="1"/>
    <col min="1570" max="1570" width="9.44140625" customWidth="1"/>
    <col min="1793" max="1799" width="2.6640625" customWidth="1"/>
    <col min="1800" max="1802" width="3" customWidth="1"/>
    <col min="1803" max="1803" width="3.6640625" customWidth="1"/>
    <col min="1804" max="1804" width="3.88671875" customWidth="1"/>
    <col min="1805" max="1805" width="4.33203125" customWidth="1"/>
    <col min="1806" max="1806" width="5.88671875" customWidth="1"/>
    <col min="1807" max="1807" width="4.33203125" customWidth="1"/>
    <col min="1808" max="1808" width="3" customWidth="1"/>
    <col min="1809" max="1809" width="4.44140625" customWidth="1"/>
    <col min="1810" max="1810" width="4" customWidth="1"/>
    <col min="1811" max="1811" width="3" customWidth="1"/>
    <col min="1812" max="1812" width="4.109375" customWidth="1"/>
    <col min="1813" max="1813" width="3" customWidth="1"/>
    <col min="1814" max="1817" width="2.6640625" customWidth="1"/>
    <col min="1818" max="1818" width="3.109375" customWidth="1"/>
    <col min="1819" max="1820" width="2.6640625" customWidth="1"/>
    <col min="1821" max="1821" width="3" customWidth="1"/>
    <col min="1822" max="1824" width="2.6640625" customWidth="1"/>
    <col min="1825" max="1825" width="7" customWidth="1"/>
    <col min="1826" max="1826" width="9.44140625" customWidth="1"/>
    <col min="2049" max="2055" width="2.6640625" customWidth="1"/>
    <col min="2056" max="2058" width="3" customWidth="1"/>
    <col min="2059" max="2059" width="3.6640625" customWidth="1"/>
    <col min="2060" max="2060" width="3.88671875" customWidth="1"/>
    <col min="2061" max="2061" width="4.33203125" customWidth="1"/>
    <col min="2062" max="2062" width="5.88671875" customWidth="1"/>
    <col min="2063" max="2063" width="4.33203125" customWidth="1"/>
    <col min="2064" max="2064" width="3" customWidth="1"/>
    <col min="2065" max="2065" width="4.44140625" customWidth="1"/>
    <col min="2066" max="2066" width="4" customWidth="1"/>
    <col min="2067" max="2067" width="3" customWidth="1"/>
    <col min="2068" max="2068" width="4.109375" customWidth="1"/>
    <col min="2069" max="2069" width="3" customWidth="1"/>
    <col min="2070" max="2073" width="2.6640625" customWidth="1"/>
    <col min="2074" max="2074" width="3.109375" customWidth="1"/>
    <col min="2075" max="2076" width="2.6640625" customWidth="1"/>
    <col min="2077" max="2077" width="3" customWidth="1"/>
    <col min="2078" max="2080" width="2.6640625" customWidth="1"/>
    <col min="2081" max="2081" width="7" customWidth="1"/>
    <col min="2082" max="2082" width="9.44140625" customWidth="1"/>
    <col min="2305" max="2311" width="2.6640625" customWidth="1"/>
    <col min="2312" max="2314" width="3" customWidth="1"/>
    <col min="2315" max="2315" width="3.6640625" customWidth="1"/>
    <col min="2316" max="2316" width="3.88671875" customWidth="1"/>
    <col min="2317" max="2317" width="4.33203125" customWidth="1"/>
    <col min="2318" max="2318" width="5.88671875" customWidth="1"/>
    <col min="2319" max="2319" width="4.33203125" customWidth="1"/>
    <col min="2320" max="2320" width="3" customWidth="1"/>
    <col min="2321" max="2321" width="4.44140625" customWidth="1"/>
    <col min="2322" max="2322" width="4" customWidth="1"/>
    <col min="2323" max="2323" width="3" customWidth="1"/>
    <col min="2324" max="2324" width="4.109375" customWidth="1"/>
    <col min="2325" max="2325" width="3" customWidth="1"/>
    <col min="2326" max="2329" width="2.6640625" customWidth="1"/>
    <col min="2330" max="2330" width="3.109375" customWidth="1"/>
    <col min="2331" max="2332" width="2.6640625" customWidth="1"/>
    <col min="2333" max="2333" width="3" customWidth="1"/>
    <col min="2334" max="2336" width="2.6640625" customWidth="1"/>
    <col min="2337" max="2337" width="7" customWidth="1"/>
    <col min="2338" max="2338" width="9.44140625" customWidth="1"/>
    <col min="2561" max="2567" width="2.6640625" customWidth="1"/>
    <col min="2568" max="2570" width="3" customWidth="1"/>
    <col min="2571" max="2571" width="3.6640625" customWidth="1"/>
    <col min="2572" max="2572" width="3.88671875" customWidth="1"/>
    <col min="2573" max="2573" width="4.33203125" customWidth="1"/>
    <col min="2574" max="2574" width="5.88671875" customWidth="1"/>
    <col min="2575" max="2575" width="4.33203125" customWidth="1"/>
    <col min="2576" max="2576" width="3" customWidth="1"/>
    <col min="2577" max="2577" width="4.44140625" customWidth="1"/>
    <col min="2578" max="2578" width="4" customWidth="1"/>
    <col min="2579" max="2579" width="3" customWidth="1"/>
    <col min="2580" max="2580" width="4.109375" customWidth="1"/>
    <col min="2581" max="2581" width="3" customWidth="1"/>
    <col min="2582" max="2585" width="2.6640625" customWidth="1"/>
    <col min="2586" max="2586" width="3.109375" customWidth="1"/>
    <col min="2587" max="2588" width="2.6640625" customWidth="1"/>
    <col min="2589" max="2589" width="3" customWidth="1"/>
    <col min="2590" max="2592" width="2.6640625" customWidth="1"/>
    <col min="2593" max="2593" width="7" customWidth="1"/>
    <col min="2594" max="2594" width="9.44140625" customWidth="1"/>
    <col min="2817" max="2823" width="2.6640625" customWidth="1"/>
    <col min="2824" max="2826" width="3" customWidth="1"/>
    <col min="2827" max="2827" width="3.6640625" customWidth="1"/>
    <col min="2828" max="2828" width="3.88671875" customWidth="1"/>
    <col min="2829" max="2829" width="4.33203125" customWidth="1"/>
    <col min="2830" max="2830" width="5.88671875" customWidth="1"/>
    <col min="2831" max="2831" width="4.33203125" customWidth="1"/>
    <col min="2832" max="2832" width="3" customWidth="1"/>
    <col min="2833" max="2833" width="4.44140625" customWidth="1"/>
    <col min="2834" max="2834" width="4" customWidth="1"/>
    <col min="2835" max="2835" width="3" customWidth="1"/>
    <col min="2836" max="2836" width="4.109375" customWidth="1"/>
    <col min="2837" max="2837" width="3" customWidth="1"/>
    <col min="2838" max="2841" width="2.6640625" customWidth="1"/>
    <col min="2842" max="2842" width="3.109375" customWidth="1"/>
    <col min="2843" max="2844" width="2.6640625" customWidth="1"/>
    <col min="2845" max="2845" width="3" customWidth="1"/>
    <col min="2846" max="2848" width="2.6640625" customWidth="1"/>
    <col min="2849" max="2849" width="7" customWidth="1"/>
    <col min="2850" max="2850" width="9.44140625" customWidth="1"/>
    <col min="3073" max="3079" width="2.6640625" customWidth="1"/>
    <col min="3080" max="3082" width="3" customWidth="1"/>
    <col min="3083" max="3083" width="3.6640625" customWidth="1"/>
    <col min="3084" max="3084" width="3.88671875" customWidth="1"/>
    <col min="3085" max="3085" width="4.33203125" customWidth="1"/>
    <col min="3086" max="3086" width="5.88671875" customWidth="1"/>
    <col min="3087" max="3087" width="4.33203125" customWidth="1"/>
    <col min="3088" max="3088" width="3" customWidth="1"/>
    <col min="3089" max="3089" width="4.44140625" customWidth="1"/>
    <col min="3090" max="3090" width="4" customWidth="1"/>
    <col min="3091" max="3091" width="3" customWidth="1"/>
    <col min="3092" max="3092" width="4.109375" customWidth="1"/>
    <col min="3093" max="3093" width="3" customWidth="1"/>
    <col min="3094" max="3097" width="2.6640625" customWidth="1"/>
    <col min="3098" max="3098" width="3.109375" customWidth="1"/>
    <col min="3099" max="3100" width="2.6640625" customWidth="1"/>
    <col min="3101" max="3101" width="3" customWidth="1"/>
    <col min="3102" max="3104" width="2.6640625" customWidth="1"/>
    <col min="3105" max="3105" width="7" customWidth="1"/>
    <col min="3106" max="3106" width="9.44140625" customWidth="1"/>
    <col min="3329" max="3335" width="2.6640625" customWidth="1"/>
    <col min="3336" max="3338" width="3" customWidth="1"/>
    <col min="3339" max="3339" width="3.6640625" customWidth="1"/>
    <col min="3340" max="3340" width="3.88671875" customWidth="1"/>
    <col min="3341" max="3341" width="4.33203125" customWidth="1"/>
    <col min="3342" max="3342" width="5.88671875" customWidth="1"/>
    <col min="3343" max="3343" width="4.33203125" customWidth="1"/>
    <col min="3344" max="3344" width="3" customWidth="1"/>
    <col min="3345" max="3345" width="4.44140625" customWidth="1"/>
    <col min="3346" max="3346" width="4" customWidth="1"/>
    <col min="3347" max="3347" width="3" customWidth="1"/>
    <col min="3348" max="3348" width="4.109375" customWidth="1"/>
    <col min="3349" max="3349" width="3" customWidth="1"/>
    <col min="3350" max="3353" width="2.6640625" customWidth="1"/>
    <col min="3354" max="3354" width="3.109375" customWidth="1"/>
    <col min="3355" max="3356" width="2.6640625" customWidth="1"/>
    <col min="3357" max="3357" width="3" customWidth="1"/>
    <col min="3358" max="3360" width="2.6640625" customWidth="1"/>
    <col min="3361" max="3361" width="7" customWidth="1"/>
    <col min="3362" max="3362" width="9.44140625" customWidth="1"/>
    <col min="3585" max="3591" width="2.6640625" customWidth="1"/>
    <col min="3592" max="3594" width="3" customWidth="1"/>
    <col min="3595" max="3595" width="3.6640625" customWidth="1"/>
    <col min="3596" max="3596" width="3.88671875" customWidth="1"/>
    <col min="3597" max="3597" width="4.33203125" customWidth="1"/>
    <col min="3598" max="3598" width="5.88671875" customWidth="1"/>
    <col min="3599" max="3599" width="4.33203125" customWidth="1"/>
    <col min="3600" max="3600" width="3" customWidth="1"/>
    <col min="3601" max="3601" width="4.44140625" customWidth="1"/>
    <col min="3602" max="3602" width="4" customWidth="1"/>
    <col min="3603" max="3603" width="3" customWidth="1"/>
    <col min="3604" max="3604" width="4.109375" customWidth="1"/>
    <col min="3605" max="3605" width="3" customWidth="1"/>
    <col min="3606" max="3609" width="2.6640625" customWidth="1"/>
    <col min="3610" max="3610" width="3.109375" customWidth="1"/>
    <col min="3611" max="3612" width="2.6640625" customWidth="1"/>
    <col min="3613" max="3613" width="3" customWidth="1"/>
    <col min="3614" max="3616" width="2.6640625" customWidth="1"/>
    <col min="3617" max="3617" width="7" customWidth="1"/>
    <col min="3618" max="3618" width="9.44140625" customWidth="1"/>
    <col min="3841" max="3847" width="2.6640625" customWidth="1"/>
    <col min="3848" max="3850" width="3" customWidth="1"/>
    <col min="3851" max="3851" width="3.6640625" customWidth="1"/>
    <col min="3852" max="3852" width="3.88671875" customWidth="1"/>
    <col min="3853" max="3853" width="4.33203125" customWidth="1"/>
    <col min="3854" max="3854" width="5.88671875" customWidth="1"/>
    <col min="3855" max="3855" width="4.33203125" customWidth="1"/>
    <col min="3856" max="3856" width="3" customWidth="1"/>
    <col min="3857" max="3857" width="4.44140625" customWidth="1"/>
    <col min="3858" max="3858" width="4" customWidth="1"/>
    <col min="3859" max="3859" width="3" customWidth="1"/>
    <col min="3860" max="3860" width="4.109375" customWidth="1"/>
    <col min="3861" max="3861" width="3" customWidth="1"/>
    <col min="3862" max="3865" width="2.6640625" customWidth="1"/>
    <col min="3866" max="3866" width="3.109375" customWidth="1"/>
    <col min="3867" max="3868" width="2.6640625" customWidth="1"/>
    <col min="3869" max="3869" width="3" customWidth="1"/>
    <col min="3870" max="3872" width="2.6640625" customWidth="1"/>
    <col min="3873" max="3873" width="7" customWidth="1"/>
    <col min="3874" max="3874" width="9.44140625" customWidth="1"/>
    <col min="4097" max="4103" width="2.6640625" customWidth="1"/>
    <col min="4104" max="4106" width="3" customWidth="1"/>
    <col min="4107" max="4107" width="3.6640625" customWidth="1"/>
    <col min="4108" max="4108" width="3.88671875" customWidth="1"/>
    <col min="4109" max="4109" width="4.33203125" customWidth="1"/>
    <col min="4110" max="4110" width="5.88671875" customWidth="1"/>
    <col min="4111" max="4111" width="4.33203125" customWidth="1"/>
    <col min="4112" max="4112" width="3" customWidth="1"/>
    <col min="4113" max="4113" width="4.44140625" customWidth="1"/>
    <col min="4114" max="4114" width="4" customWidth="1"/>
    <col min="4115" max="4115" width="3" customWidth="1"/>
    <col min="4116" max="4116" width="4.109375" customWidth="1"/>
    <col min="4117" max="4117" width="3" customWidth="1"/>
    <col min="4118" max="4121" width="2.6640625" customWidth="1"/>
    <col min="4122" max="4122" width="3.109375" customWidth="1"/>
    <col min="4123" max="4124" width="2.6640625" customWidth="1"/>
    <col min="4125" max="4125" width="3" customWidth="1"/>
    <col min="4126" max="4128" width="2.6640625" customWidth="1"/>
    <col min="4129" max="4129" width="7" customWidth="1"/>
    <col min="4130" max="4130" width="9.44140625" customWidth="1"/>
    <col min="4353" max="4359" width="2.6640625" customWidth="1"/>
    <col min="4360" max="4362" width="3" customWidth="1"/>
    <col min="4363" max="4363" width="3.6640625" customWidth="1"/>
    <col min="4364" max="4364" width="3.88671875" customWidth="1"/>
    <col min="4365" max="4365" width="4.33203125" customWidth="1"/>
    <col min="4366" max="4366" width="5.88671875" customWidth="1"/>
    <col min="4367" max="4367" width="4.33203125" customWidth="1"/>
    <col min="4368" max="4368" width="3" customWidth="1"/>
    <col min="4369" max="4369" width="4.44140625" customWidth="1"/>
    <col min="4370" max="4370" width="4" customWidth="1"/>
    <col min="4371" max="4371" width="3" customWidth="1"/>
    <col min="4372" max="4372" width="4.109375" customWidth="1"/>
    <col min="4373" max="4373" width="3" customWidth="1"/>
    <col min="4374" max="4377" width="2.6640625" customWidth="1"/>
    <col min="4378" max="4378" width="3.109375" customWidth="1"/>
    <col min="4379" max="4380" width="2.6640625" customWidth="1"/>
    <col min="4381" max="4381" width="3" customWidth="1"/>
    <col min="4382" max="4384" width="2.6640625" customWidth="1"/>
    <col min="4385" max="4385" width="7" customWidth="1"/>
    <col min="4386" max="4386" width="9.44140625" customWidth="1"/>
    <col min="4609" max="4615" width="2.6640625" customWidth="1"/>
    <col min="4616" max="4618" width="3" customWidth="1"/>
    <col min="4619" max="4619" width="3.6640625" customWidth="1"/>
    <col min="4620" max="4620" width="3.88671875" customWidth="1"/>
    <col min="4621" max="4621" width="4.33203125" customWidth="1"/>
    <col min="4622" max="4622" width="5.88671875" customWidth="1"/>
    <col min="4623" max="4623" width="4.33203125" customWidth="1"/>
    <col min="4624" max="4624" width="3" customWidth="1"/>
    <col min="4625" max="4625" width="4.44140625" customWidth="1"/>
    <col min="4626" max="4626" width="4" customWidth="1"/>
    <col min="4627" max="4627" width="3" customWidth="1"/>
    <col min="4628" max="4628" width="4.109375" customWidth="1"/>
    <col min="4629" max="4629" width="3" customWidth="1"/>
    <col min="4630" max="4633" width="2.6640625" customWidth="1"/>
    <col min="4634" max="4634" width="3.109375" customWidth="1"/>
    <col min="4635" max="4636" width="2.6640625" customWidth="1"/>
    <col min="4637" max="4637" width="3" customWidth="1"/>
    <col min="4638" max="4640" width="2.6640625" customWidth="1"/>
    <col min="4641" max="4641" width="7" customWidth="1"/>
    <col min="4642" max="4642" width="9.44140625" customWidth="1"/>
    <col min="4865" max="4871" width="2.6640625" customWidth="1"/>
    <col min="4872" max="4874" width="3" customWidth="1"/>
    <col min="4875" max="4875" width="3.6640625" customWidth="1"/>
    <col min="4876" max="4876" width="3.88671875" customWidth="1"/>
    <col min="4877" max="4877" width="4.33203125" customWidth="1"/>
    <col min="4878" max="4878" width="5.88671875" customWidth="1"/>
    <col min="4879" max="4879" width="4.33203125" customWidth="1"/>
    <col min="4880" max="4880" width="3" customWidth="1"/>
    <col min="4881" max="4881" width="4.44140625" customWidth="1"/>
    <col min="4882" max="4882" width="4" customWidth="1"/>
    <col min="4883" max="4883" width="3" customWidth="1"/>
    <col min="4884" max="4884" width="4.109375" customWidth="1"/>
    <col min="4885" max="4885" width="3" customWidth="1"/>
    <col min="4886" max="4889" width="2.6640625" customWidth="1"/>
    <col min="4890" max="4890" width="3.109375" customWidth="1"/>
    <col min="4891" max="4892" width="2.6640625" customWidth="1"/>
    <col min="4893" max="4893" width="3" customWidth="1"/>
    <col min="4894" max="4896" width="2.6640625" customWidth="1"/>
    <col min="4897" max="4897" width="7" customWidth="1"/>
    <col min="4898" max="4898" width="9.44140625" customWidth="1"/>
    <col min="5121" max="5127" width="2.6640625" customWidth="1"/>
    <col min="5128" max="5130" width="3" customWidth="1"/>
    <col min="5131" max="5131" width="3.6640625" customWidth="1"/>
    <col min="5132" max="5132" width="3.88671875" customWidth="1"/>
    <col min="5133" max="5133" width="4.33203125" customWidth="1"/>
    <col min="5134" max="5134" width="5.88671875" customWidth="1"/>
    <col min="5135" max="5135" width="4.33203125" customWidth="1"/>
    <col min="5136" max="5136" width="3" customWidth="1"/>
    <col min="5137" max="5137" width="4.44140625" customWidth="1"/>
    <col min="5138" max="5138" width="4" customWidth="1"/>
    <col min="5139" max="5139" width="3" customWidth="1"/>
    <col min="5140" max="5140" width="4.109375" customWidth="1"/>
    <col min="5141" max="5141" width="3" customWidth="1"/>
    <col min="5142" max="5145" width="2.6640625" customWidth="1"/>
    <col min="5146" max="5146" width="3.109375" customWidth="1"/>
    <col min="5147" max="5148" width="2.6640625" customWidth="1"/>
    <col min="5149" max="5149" width="3" customWidth="1"/>
    <col min="5150" max="5152" width="2.6640625" customWidth="1"/>
    <col min="5153" max="5153" width="7" customWidth="1"/>
    <col min="5154" max="5154" width="9.44140625" customWidth="1"/>
    <col min="5377" max="5383" width="2.6640625" customWidth="1"/>
    <col min="5384" max="5386" width="3" customWidth="1"/>
    <col min="5387" max="5387" width="3.6640625" customWidth="1"/>
    <col min="5388" max="5388" width="3.88671875" customWidth="1"/>
    <col min="5389" max="5389" width="4.33203125" customWidth="1"/>
    <col min="5390" max="5390" width="5.88671875" customWidth="1"/>
    <col min="5391" max="5391" width="4.33203125" customWidth="1"/>
    <col min="5392" max="5392" width="3" customWidth="1"/>
    <col min="5393" max="5393" width="4.44140625" customWidth="1"/>
    <col min="5394" max="5394" width="4" customWidth="1"/>
    <col min="5395" max="5395" width="3" customWidth="1"/>
    <col min="5396" max="5396" width="4.109375" customWidth="1"/>
    <col min="5397" max="5397" width="3" customWidth="1"/>
    <col min="5398" max="5401" width="2.6640625" customWidth="1"/>
    <col min="5402" max="5402" width="3.109375" customWidth="1"/>
    <col min="5403" max="5404" width="2.6640625" customWidth="1"/>
    <col min="5405" max="5405" width="3" customWidth="1"/>
    <col min="5406" max="5408" width="2.6640625" customWidth="1"/>
    <col min="5409" max="5409" width="7" customWidth="1"/>
    <col min="5410" max="5410" width="9.44140625" customWidth="1"/>
    <col min="5633" max="5639" width="2.6640625" customWidth="1"/>
    <col min="5640" max="5642" width="3" customWidth="1"/>
    <col min="5643" max="5643" width="3.6640625" customWidth="1"/>
    <col min="5644" max="5644" width="3.88671875" customWidth="1"/>
    <col min="5645" max="5645" width="4.33203125" customWidth="1"/>
    <col min="5646" max="5646" width="5.88671875" customWidth="1"/>
    <col min="5647" max="5647" width="4.33203125" customWidth="1"/>
    <col min="5648" max="5648" width="3" customWidth="1"/>
    <col min="5649" max="5649" width="4.44140625" customWidth="1"/>
    <col min="5650" max="5650" width="4" customWidth="1"/>
    <col min="5651" max="5651" width="3" customWidth="1"/>
    <col min="5652" max="5652" width="4.109375" customWidth="1"/>
    <col min="5653" max="5653" width="3" customWidth="1"/>
    <col min="5654" max="5657" width="2.6640625" customWidth="1"/>
    <col min="5658" max="5658" width="3.109375" customWidth="1"/>
    <col min="5659" max="5660" width="2.6640625" customWidth="1"/>
    <col min="5661" max="5661" width="3" customWidth="1"/>
    <col min="5662" max="5664" width="2.6640625" customWidth="1"/>
    <col min="5665" max="5665" width="7" customWidth="1"/>
    <col min="5666" max="5666" width="9.44140625" customWidth="1"/>
    <col min="5889" max="5895" width="2.6640625" customWidth="1"/>
    <col min="5896" max="5898" width="3" customWidth="1"/>
    <col min="5899" max="5899" width="3.6640625" customWidth="1"/>
    <col min="5900" max="5900" width="3.88671875" customWidth="1"/>
    <col min="5901" max="5901" width="4.33203125" customWidth="1"/>
    <col min="5902" max="5902" width="5.88671875" customWidth="1"/>
    <col min="5903" max="5903" width="4.33203125" customWidth="1"/>
    <col min="5904" max="5904" width="3" customWidth="1"/>
    <col min="5905" max="5905" width="4.44140625" customWidth="1"/>
    <col min="5906" max="5906" width="4" customWidth="1"/>
    <col min="5907" max="5907" width="3" customWidth="1"/>
    <col min="5908" max="5908" width="4.109375" customWidth="1"/>
    <col min="5909" max="5909" width="3" customWidth="1"/>
    <col min="5910" max="5913" width="2.6640625" customWidth="1"/>
    <col min="5914" max="5914" width="3.109375" customWidth="1"/>
    <col min="5915" max="5916" width="2.6640625" customWidth="1"/>
    <col min="5917" max="5917" width="3" customWidth="1"/>
    <col min="5918" max="5920" width="2.6640625" customWidth="1"/>
    <col min="5921" max="5921" width="7" customWidth="1"/>
    <col min="5922" max="5922" width="9.44140625" customWidth="1"/>
    <col min="6145" max="6151" width="2.6640625" customWidth="1"/>
    <col min="6152" max="6154" width="3" customWidth="1"/>
    <col min="6155" max="6155" width="3.6640625" customWidth="1"/>
    <col min="6156" max="6156" width="3.88671875" customWidth="1"/>
    <col min="6157" max="6157" width="4.33203125" customWidth="1"/>
    <col min="6158" max="6158" width="5.88671875" customWidth="1"/>
    <col min="6159" max="6159" width="4.33203125" customWidth="1"/>
    <col min="6160" max="6160" width="3" customWidth="1"/>
    <col min="6161" max="6161" width="4.44140625" customWidth="1"/>
    <col min="6162" max="6162" width="4" customWidth="1"/>
    <col min="6163" max="6163" width="3" customWidth="1"/>
    <col min="6164" max="6164" width="4.109375" customWidth="1"/>
    <col min="6165" max="6165" width="3" customWidth="1"/>
    <col min="6166" max="6169" width="2.6640625" customWidth="1"/>
    <col min="6170" max="6170" width="3.109375" customWidth="1"/>
    <col min="6171" max="6172" width="2.6640625" customWidth="1"/>
    <col min="6173" max="6173" width="3" customWidth="1"/>
    <col min="6174" max="6176" width="2.6640625" customWidth="1"/>
    <col min="6177" max="6177" width="7" customWidth="1"/>
    <col min="6178" max="6178" width="9.44140625" customWidth="1"/>
    <col min="6401" max="6407" width="2.6640625" customWidth="1"/>
    <col min="6408" max="6410" width="3" customWidth="1"/>
    <col min="6411" max="6411" width="3.6640625" customWidth="1"/>
    <col min="6412" max="6412" width="3.88671875" customWidth="1"/>
    <col min="6413" max="6413" width="4.33203125" customWidth="1"/>
    <col min="6414" max="6414" width="5.88671875" customWidth="1"/>
    <col min="6415" max="6415" width="4.33203125" customWidth="1"/>
    <col min="6416" max="6416" width="3" customWidth="1"/>
    <col min="6417" max="6417" width="4.44140625" customWidth="1"/>
    <col min="6418" max="6418" width="4" customWidth="1"/>
    <col min="6419" max="6419" width="3" customWidth="1"/>
    <col min="6420" max="6420" width="4.109375" customWidth="1"/>
    <col min="6421" max="6421" width="3" customWidth="1"/>
    <col min="6422" max="6425" width="2.6640625" customWidth="1"/>
    <col min="6426" max="6426" width="3.109375" customWidth="1"/>
    <col min="6427" max="6428" width="2.6640625" customWidth="1"/>
    <col min="6429" max="6429" width="3" customWidth="1"/>
    <col min="6430" max="6432" width="2.6640625" customWidth="1"/>
    <col min="6433" max="6433" width="7" customWidth="1"/>
    <col min="6434" max="6434" width="9.44140625" customWidth="1"/>
    <col min="6657" max="6663" width="2.6640625" customWidth="1"/>
    <col min="6664" max="6666" width="3" customWidth="1"/>
    <col min="6667" max="6667" width="3.6640625" customWidth="1"/>
    <col min="6668" max="6668" width="3.88671875" customWidth="1"/>
    <col min="6669" max="6669" width="4.33203125" customWidth="1"/>
    <col min="6670" max="6670" width="5.88671875" customWidth="1"/>
    <col min="6671" max="6671" width="4.33203125" customWidth="1"/>
    <col min="6672" max="6672" width="3" customWidth="1"/>
    <col min="6673" max="6673" width="4.44140625" customWidth="1"/>
    <col min="6674" max="6674" width="4" customWidth="1"/>
    <col min="6675" max="6675" width="3" customWidth="1"/>
    <col min="6676" max="6676" width="4.109375" customWidth="1"/>
    <col min="6677" max="6677" width="3" customWidth="1"/>
    <col min="6678" max="6681" width="2.6640625" customWidth="1"/>
    <col min="6682" max="6682" width="3.109375" customWidth="1"/>
    <col min="6683" max="6684" width="2.6640625" customWidth="1"/>
    <col min="6685" max="6685" width="3" customWidth="1"/>
    <col min="6686" max="6688" width="2.6640625" customWidth="1"/>
    <col min="6689" max="6689" width="7" customWidth="1"/>
    <col min="6690" max="6690" width="9.44140625" customWidth="1"/>
    <col min="6913" max="6919" width="2.6640625" customWidth="1"/>
    <col min="6920" max="6922" width="3" customWidth="1"/>
    <col min="6923" max="6923" width="3.6640625" customWidth="1"/>
    <col min="6924" max="6924" width="3.88671875" customWidth="1"/>
    <col min="6925" max="6925" width="4.33203125" customWidth="1"/>
    <col min="6926" max="6926" width="5.88671875" customWidth="1"/>
    <col min="6927" max="6927" width="4.33203125" customWidth="1"/>
    <col min="6928" max="6928" width="3" customWidth="1"/>
    <col min="6929" max="6929" width="4.44140625" customWidth="1"/>
    <col min="6930" max="6930" width="4" customWidth="1"/>
    <col min="6931" max="6931" width="3" customWidth="1"/>
    <col min="6932" max="6932" width="4.109375" customWidth="1"/>
    <col min="6933" max="6933" width="3" customWidth="1"/>
    <col min="6934" max="6937" width="2.6640625" customWidth="1"/>
    <col min="6938" max="6938" width="3.109375" customWidth="1"/>
    <col min="6939" max="6940" width="2.6640625" customWidth="1"/>
    <col min="6941" max="6941" width="3" customWidth="1"/>
    <col min="6942" max="6944" width="2.6640625" customWidth="1"/>
    <col min="6945" max="6945" width="7" customWidth="1"/>
    <col min="6946" max="6946" width="9.44140625" customWidth="1"/>
    <col min="7169" max="7175" width="2.6640625" customWidth="1"/>
    <col min="7176" max="7178" width="3" customWidth="1"/>
    <col min="7179" max="7179" width="3.6640625" customWidth="1"/>
    <col min="7180" max="7180" width="3.88671875" customWidth="1"/>
    <col min="7181" max="7181" width="4.33203125" customWidth="1"/>
    <col min="7182" max="7182" width="5.88671875" customWidth="1"/>
    <col min="7183" max="7183" width="4.33203125" customWidth="1"/>
    <col min="7184" max="7184" width="3" customWidth="1"/>
    <col min="7185" max="7185" width="4.44140625" customWidth="1"/>
    <col min="7186" max="7186" width="4" customWidth="1"/>
    <col min="7187" max="7187" width="3" customWidth="1"/>
    <col min="7188" max="7188" width="4.109375" customWidth="1"/>
    <col min="7189" max="7189" width="3" customWidth="1"/>
    <col min="7190" max="7193" width="2.6640625" customWidth="1"/>
    <col min="7194" max="7194" width="3.109375" customWidth="1"/>
    <col min="7195" max="7196" width="2.6640625" customWidth="1"/>
    <col min="7197" max="7197" width="3" customWidth="1"/>
    <col min="7198" max="7200" width="2.6640625" customWidth="1"/>
    <col min="7201" max="7201" width="7" customWidth="1"/>
    <col min="7202" max="7202" width="9.44140625" customWidth="1"/>
    <col min="7425" max="7431" width="2.6640625" customWidth="1"/>
    <col min="7432" max="7434" width="3" customWidth="1"/>
    <col min="7435" max="7435" width="3.6640625" customWidth="1"/>
    <col min="7436" max="7436" width="3.88671875" customWidth="1"/>
    <col min="7437" max="7437" width="4.33203125" customWidth="1"/>
    <col min="7438" max="7438" width="5.88671875" customWidth="1"/>
    <col min="7439" max="7439" width="4.33203125" customWidth="1"/>
    <col min="7440" max="7440" width="3" customWidth="1"/>
    <col min="7441" max="7441" width="4.44140625" customWidth="1"/>
    <col min="7442" max="7442" width="4" customWidth="1"/>
    <col min="7443" max="7443" width="3" customWidth="1"/>
    <col min="7444" max="7444" width="4.109375" customWidth="1"/>
    <col min="7445" max="7445" width="3" customWidth="1"/>
    <col min="7446" max="7449" width="2.6640625" customWidth="1"/>
    <col min="7450" max="7450" width="3.109375" customWidth="1"/>
    <col min="7451" max="7452" width="2.6640625" customWidth="1"/>
    <col min="7453" max="7453" width="3" customWidth="1"/>
    <col min="7454" max="7456" width="2.6640625" customWidth="1"/>
    <col min="7457" max="7457" width="7" customWidth="1"/>
    <col min="7458" max="7458" width="9.44140625" customWidth="1"/>
    <col min="7681" max="7687" width="2.6640625" customWidth="1"/>
    <col min="7688" max="7690" width="3" customWidth="1"/>
    <col min="7691" max="7691" width="3.6640625" customWidth="1"/>
    <col min="7692" max="7692" width="3.88671875" customWidth="1"/>
    <col min="7693" max="7693" width="4.33203125" customWidth="1"/>
    <col min="7694" max="7694" width="5.88671875" customWidth="1"/>
    <col min="7695" max="7695" width="4.33203125" customWidth="1"/>
    <col min="7696" max="7696" width="3" customWidth="1"/>
    <col min="7697" max="7697" width="4.44140625" customWidth="1"/>
    <col min="7698" max="7698" width="4" customWidth="1"/>
    <col min="7699" max="7699" width="3" customWidth="1"/>
    <col min="7700" max="7700" width="4.109375" customWidth="1"/>
    <col min="7701" max="7701" width="3" customWidth="1"/>
    <col min="7702" max="7705" width="2.6640625" customWidth="1"/>
    <col min="7706" max="7706" width="3.109375" customWidth="1"/>
    <col min="7707" max="7708" width="2.6640625" customWidth="1"/>
    <col min="7709" max="7709" width="3" customWidth="1"/>
    <col min="7710" max="7712" width="2.6640625" customWidth="1"/>
    <col min="7713" max="7713" width="7" customWidth="1"/>
    <col min="7714" max="7714" width="9.44140625" customWidth="1"/>
    <col min="7937" max="7943" width="2.6640625" customWidth="1"/>
    <col min="7944" max="7946" width="3" customWidth="1"/>
    <col min="7947" max="7947" width="3.6640625" customWidth="1"/>
    <col min="7948" max="7948" width="3.88671875" customWidth="1"/>
    <col min="7949" max="7949" width="4.33203125" customWidth="1"/>
    <col min="7950" max="7950" width="5.88671875" customWidth="1"/>
    <col min="7951" max="7951" width="4.33203125" customWidth="1"/>
    <col min="7952" max="7952" width="3" customWidth="1"/>
    <col min="7953" max="7953" width="4.44140625" customWidth="1"/>
    <col min="7954" max="7954" width="4" customWidth="1"/>
    <col min="7955" max="7955" width="3" customWidth="1"/>
    <col min="7956" max="7956" width="4.109375" customWidth="1"/>
    <col min="7957" max="7957" width="3" customWidth="1"/>
    <col min="7958" max="7961" width="2.6640625" customWidth="1"/>
    <col min="7962" max="7962" width="3.109375" customWidth="1"/>
    <col min="7963" max="7964" width="2.6640625" customWidth="1"/>
    <col min="7965" max="7965" width="3" customWidth="1"/>
    <col min="7966" max="7968" width="2.6640625" customWidth="1"/>
    <col min="7969" max="7969" width="7" customWidth="1"/>
    <col min="7970" max="7970" width="9.44140625" customWidth="1"/>
    <col min="8193" max="8199" width="2.6640625" customWidth="1"/>
    <col min="8200" max="8202" width="3" customWidth="1"/>
    <col min="8203" max="8203" width="3.6640625" customWidth="1"/>
    <col min="8204" max="8204" width="3.88671875" customWidth="1"/>
    <col min="8205" max="8205" width="4.33203125" customWidth="1"/>
    <col min="8206" max="8206" width="5.88671875" customWidth="1"/>
    <col min="8207" max="8207" width="4.33203125" customWidth="1"/>
    <col min="8208" max="8208" width="3" customWidth="1"/>
    <col min="8209" max="8209" width="4.44140625" customWidth="1"/>
    <col min="8210" max="8210" width="4" customWidth="1"/>
    <col min="8211" max="8211" width="3" customWidth="1"/>
    <col min="8212" max="8212" width="4.109375" customWidth="1"/>
    <col min="8213" max="8213" width="3" customWidth="1"/>
    <col min="8214" max="8217" width="2.6640625" customWidth="1"/>
    <col min="8218" max="8218" width="3.109375" customWidth="1"/>
    <col min="8219" max="8220" width="2.6640625" customWidth="1"/>
    <col min="8221" max="8221" width="3" customWidth="1"/>
    <col min="8222" max="8224" width="2.6640625" customWidth="1"/>
    <col min="8225" max="8225" width="7" customWidth="1"/>
    <col min="8226" max="8226" width="9.44140625" customWidth="1"/>
    <col min="8449" max="8455" width="2.6640625" customWidth="1"/>
    <col min="8456" max="8458" width="3" customWidth="1"/>
    <col min="8459" max="8459" width="3.6640625" customWidth="1"/>
    <col min="8460" max="8460" width="3.88671875" customWidth="1"/>
    <col min="8461" max="8461" width="4.33203125" customWidth="1"/>
    <col min="8462" max="8462" width="5.88671875" customWidth="1"/>
    <col min="8463" max="8463" width="4.33203125" customWidth="1"/>
    <col min="8464" max="8464" width="3" customWidth="1"/>
    <col min="8465" max="8465" width="4.44140625" customWidth="1"/>
    <col min="8466" max="8466" width="4" customWidth="1"/>
    <col min="8467" max="8467" width="3" customWidth="1"/>
    <col min="8468" max="8468" width="4.109375" customWidth="1"/>
    <col min="8469" max="8469" width="3" customWidth="1"/>
    <col min="8470" max="8473" width="2.6640625" customWidth="1"/>
    <col min="8474" max="8474" width="3.109375" customWidth="1"/>
    <col min="8475" max="8476" width="2.6640625" customWidth="1"/>
    <col min="8477" max="8477" width="3" customWidth="1"/>
    <col min="8478" max="8480" width="2.6640625" customWidth="1"/>
    <col min="8481" max="8481" width="7" customWidth="1"/>
    <col min="8482" max="8482" width="9.44140625" customWidth="1"/>
    <col min="8705" max="8711" width="2.6640625" customWidth="1"/>
    <col min="8712" max="8714" width="3" customWidth="1"/>
    <col min="8715" max="8715" width="3.6640625" customWidth="1"/>
    <col min="8716" max="8716" width="3.88671875" customWidth="1"/>
    <col min="8717" max="8717" width="4.33203125" customWidth="1"/>
    <col min="8718" max="8718" width="5.88671875" customWidth="1"/>
    <col min="8719" max="8719" width="4.33203125" customWidth="1"/>
    <col min="8720" max="8720" width="3" customWidth="1"/>
    <col min="8721" max="8721" width="4.44140625" customWidth="1"/>
    <col min="8722" max="8722" width="4" customWidth="1"/>
    <col min="8723" max="8723" width="3" customWidth="1"/>
    <col min="8724" max="8724" width="4.109375" customWidth="1"/>
    <col min="8725" max="8725" width="3" customWidth="1"/>
    <col min="8726" max="8729" width="2.6640625" customWidth="1"/>
    <col min="8730" max="8730" width="3.109375" customWidth="1"/>
    <col min="8731" max="8732" width="2.6640625" customWidth="1"/>
    <col min="8733" max="8733" width="3" customWidth="1"/>
    <col min="8734" max="8736" width="2.6640625" customWidth="1"/>
    <col min="8737" max="8737" width="7" customWidth="1"/>
    <col min="8738" max="8738" width="9.44140625" customWidth="1"/>
    <col min="8961" max="8967" width="2.6640625" customWidth="1"/>
    <col min="8968" max="8970" width="3" customWidth="1"/>
    <col min="8971" max="8971" width="3.6640625" customWidth="1"/>
    <col min="8972" max="8972" width="3.88671875" customWidth="1"/>
    <col min="8973" max="8973" width="4.33203125" customWidth="1"/>
    <col min="8974" max="8974" width="5.88671875" customWidth="1"/>
    <col min="8975" max="8975" width="4.33203125" customWidth="1"/>
    <col min="8976" max="8976" width="3" customWidth="1"/>
    <col min="8977" max="8977" width="4.44140625" customWidth="1"/>
    <col min="8978" max="8978" width="4" customWidth="1"/>
    <col min="8979" max="8979" width="3" customWidth="1"/>
    <col min="8980" max="8980" width="4.109375" customWidth="1"/>
    <col min="8981" max="8981" width="3" customWidth="1"/>
    <col min="8982" max="8985" width="2.6640625" customWidth="1"/>
    <col min="8986" max="8986" width="3.109375" customWidth="1"/>
    <col min="8987" max="8988" width="2.6640625" customWidth="1"/>
    <col min="8989" max="8989" width="3" customWidth="1"/>
    <col min="8990" max="8992" width="2.6640625" customWidth="1"/>
    <col min="8993" max="8993" width="7" customWidth="1"/>
    <col min="8994" max="8994" width="9.44140625" customWidth="1"/>
    <col min="9217" max="9223" width="2.6640625" customWidth="1"/>
    <col min="9224" max="9226" width="3" customWidth="1"/>
    <col min="9227" max="9227" width="3.6640625" customWidth="1"/>
    <col min="9228" max="9228" width="3.88671875" customWidth="1"/>
    <col min="9229" max="9229" width="4.33203125" customWidth="1"/>
    <col min="9230" max="9230" width="5.88671875" customWidth="1"/>
    <col min="9231" max="9231" width="4.33203125" customWidth="1"/>
    <col min="9232" max="9232" width="3" customWidth="1"/>
    <col min="9233" max="9233" width="4.44140625" customWidth="1"/>
    <col min="9234" max="9234" width="4" customWidth="1"/>
    <col min="9235" max="9235" width="3" customWidth="1"/>
    <col min="9236" max="9236" width="4.109375" customWidth="1"/>
    <col min="9237" max="9237" width="3" customWidth="1"/>
    <col min="9238" max="9241" width="2.6640625" customWidth="1"/>
    <col min="9242" max="9242" width="3.109375" customWidth="1"/>
    <col min="9243" max="9244" width="2.6640625" customWidth="1"/>
    <col min="9245" max="9245" width="3" customWidth="1"/>
    <col min="9246" max="9248" width="2.6640625" customWidth="1"/>
    <col min="9249" max="9249" width="7" customWidth="1"/>
    <col min="9250" max="9250" width="9.44140625" customWidth="1"/>
    <col min="9473" max="9479" width="2.6640625" customWidth="1"/>
    <col min="9480" max="9482" width="3" customWidth="1"/>
    <col min="9483" max="9483" width="3.6640625" customWidth="1"/>
    <col min="9484" max="9484" width="3.88671875" customWidth="1"/>
    <col min="9485" max="9485" width="4.33203125" customWidth="1"/>
    <col min="9486" max="9486" width="5.88671875" customWidth="1"/>
    <col min="9487" max="9487" width="4.33203125" customWidth="1"/>
    <col min="9488" max="9488" width="3" customWidth="1"/>
    <col min="9489" max="9489" width="4.44140625" customWidth="1"/>
    <col min="9490" max="9490" width="4" customWidth="1"/>
    <col min="9491" max="9491" width="3" customWidth="1"/>
    <col min="9492" max="9492" width="4.109375" customWidth="1"/>
    <col min="9493" max="9493" width="3" customWidth="1"/>
    <col min="9494" max="9497" width="2.6640625" customWidth="1"/>
    <col min="9498" max="9498" width="3.109375" customWidth="1"/>
    <col min="9499" max="9500" width="2.6640625" customWidth="1"/>
    <col min="9501" max="9501" width="3" customWidth="1"/>
    <col min="9502" max="9504" width="2.6640625" customWidth="1"/>
    <col min="9505" max="9505" width="7" customWidth="1"/>
    <col min="9506" max="9506" width="9.44140625" customWidth="1"/>
    <col min="9729" max="9735" width="2.6640625" customWidth="1"/>
    <col min="9736" max="9738" width="3" customWidth="1"/>
    <col min="9739" max="9739" width="3.6640625" customWidth="1"/>
    <col min="9740" max="9740" width="3.88671875" customWidth="1"/>
    <col min="9741" max="9741" width="4.33203125" customWidth="1"/>
    <col min="9742" max="9742" width="5.88671875" customWidth="1"/>
    <col min="9743" max="9743" width="4.33203125" customWidth="1"/>
    <col min="9744" max="9744" width="3" customWidth="1"/>
    <col min="9745" max="9745" width="4.44140625" customWidth="1"/>
    <col min="9746" max="9746" width="4" customWidth="1"/>
    <col min="9747" max="9747" width="3" customWidth="1"/>
    <col min="9748" max="9748" width="4.109375" customWidth="1"/>
    <col min="9749" max="9749" width="3" customWidth="1"/>
    <col min="9750" max="9753" width="2.6640625" customWidth="1"/>
    <col min="9754" max="9754" width="3.109375" customWidth="1"/>
    <col min="9755" max="9756" width="2.6640625" customWidth="1"/>
    <col min="9757" max="9757" width="3" customWidth="1"/>
    <col min="9758" max="9760" width="2.6640625" customWidth="1"/>
    <col min="9761" max="9761" width="7" customWidth="1"/>
    <col min="9762" max="9762" width="9.44140625" customWidth="1"/>
    <col min="9985" max="9991" width="2.6640625" customWidth="1"/>
    <col min="9992" max="9994" width="3" customWidth="1"/>
    <col min="9995" max="9995" width="3.6640625" customWidth="1"/>
    <col min="9996" max="9996" width="3.88671875" customWidth="1"/>
    <col min="9997" max="9997" width="4.33203125" customWidth="1"/>
    <col min="9998" max="9998" width="5.88671875" customWidth="1"/>
    <col min="9999" max="9999" width="4.33203125" customWidth="1"/>
    <col min="10000" max="10000" width="3" customWidth="1"/>
    <col min="10001" max="10001" width="4.44140625" customWidth="1"/>
    <col min="10002" max="10002" width="4" customWidth="1"/>
    <col min="10003" max="10003" width="3" customWidth="1"/>
    <col min="10004" max="10004" width="4.109375" customWidth="1"/>
    <col min="10005" max="10005" width="3" customWidth="1"/>
    <col min="10006" max="10009" width="2.6640625" customWidth="1"/>
    <col min="10010" max="10010" width="3.109375" customWidth="1"/>
    <col min="10011" max="10012" width="2.6640625" customWidth="1"/>
    <col min="10013" max="10013" width="3" customWidth="1"/>
    <col min="10014" max="10016" width="2.6640625" customWidth="1"/>
    <col min="10017" max="10017" width="7" customWidth="1"/>
    <col min="10018" max="10018" width="9.44140625" customWidth="1"/>
    <col min="10241" max="10247" width="2.6640625" customWidth="1"/>
    <col min="10248" max="10250" width="3" customWidth="1"/>
    <col min="10251" max="10251" width="3.6640625" customWidth="1"/>
    <col min="10252" max="10252" width="3.88671875" customWidth="1"/>
    <col min="10253" max="10253" width="4.33203125" customWidth="1"/>
    <col min="10254" max="10254" width="5.88671875" customWidth="1"/>
    <col min="10255" max="10255" width="4.33203125" customWidth="1"/>
    <col min="10256" max="10256" width="3" customWidth="1"/>
    <col min="10257" max="10257" width="4.44140625" customWidth="1"/>
    <col min="10258" max="10258" width="4" customWidth="1"/>
    <col min="10259" max="10259" width="3" customWidth="1"/>
    <col min="10260" max="10260" width="4.109375" customWidth="1"/>
    <col min="10261" max="10261" width="3" customWidth="1"/>
    <col min="10262" max="10265" width="2.6640625" customWidth="1"/>
    <col min="10266" max="10266" width="3.109375" customWidth="1"/>
    <col min="10267" max="10268" width="2.6640625" customWidth="1"/>
    <col min="10269" max="10269" width="3" customWidth="1"/>
    <col min="10270" max="10272" width="2.6640625" customWidth="1"/>
    <col min="10273" max="10273" width="7" customWidth="1"/>
    <col min="10274" max="10274" width="9.44140625" customWidth="1"/>
    <col min="10497" max="10503" width="2.6640625" customWidth="1"/>
    <col min="10504" max="10506" width="3" customWidth="1"/>
    <col min="10507" max="10507" width="3.6640625" customWidth="1"/>
    <col min="10508" max="10508" width="3.88671875" customWidth="1"/>
    <col min="10509" max="10509" width="4.33203125" customWidth="1"/>
    <col min="10510" max="10510" width="5.88671875" customWidth="1"/>
    <col min="10511" max="10511" width="4.33203125" customWidth="1"/>
    <col min="10512" max="10512" width="3" customWidth="1"/>
    <col min="10513" max="10513" width="4.44140625" customWidth="1"/>
    <col min="10514" max="10514" width="4" customWidth="1"/>
    <col min="10515" max="10515" width="3" customWidth="1"/>
    <col min="10516" max="10516" width="4.109375" customWidth="1"/>
    <col min="10517" max="10517" width="3" customWidth="1"/>
    <col min="10518" max="10521" width="2.6640625" customWidth="1"/>
    <col min="10522" max="10522" width="3.109375" customWidth="1"/>
    <col min="10523" max="10524" width="2.6640625" customWidth="1"/>
    <col min="10525" max="10525" width="3" customWidth="1"/>
    <col min="10526" max="10528" width="2.6640625" customWidth="1"/>
    <col min="10529" max="10529" width="7" customWidth="1"/>
    <col min="10530" max="10530" width="9.44140625" customWidth="1"/>
    <col min="10753" max="10759" width="2.6640625" customWidth="1"/>
    <col min="10760" max="10762" width="3" customWidth="1"/>
    <col min="10763" max="10763" width="3.6640625" customWidth="1"/>
    <col min="10764" max="10764" width="3.88671875" customWidth="1"/>
    <col min="10765" max="10765" width="4.33203125" customWidth="1"/>
    <col min="10766" max="10766" width="5.88671875" customWidth="1"/>
    <col min="10767" max="10767" width="4.33203125" customWidth="1"/>
    <col min="10768" max="10768" width="3" customWidth="1"/>
    <col min="10769" max="10769" width="4.44140625" customWidth="1"/>
    <col min="10770" max="10770" width="4" customWidth="1"/>
    <col min="10771" max="10771" width="3" customWidth="1"/>
    <col min="10772" max="10772" width="4.109375" customWidth="1"/>
    <col min="10773" max="10773" width="3" customWidth="1"/>
    <col min="10774" max="10777" width="2.6640625" customWidth="1"/>
    <col min="10778" max="10778" width="3.109375" customWidth="1"/>
    <col min="10779" max="10780" width="2.6640625" customWidth="1"/>
    <col min="10781" max="10781" width="3" customWidth="1"/>
    <col min="10782" max="10784" width="2.6640625" customWidth="1"/>
    <col min="10785" max="10785" width="7" customWidth="1"/>
    <col min="10786" max="10786" width="9.44140625" customWidth="1"/>
    <col min="11009" max="11015" width="2.6640625" customWidth="1"/>
    <col min="11016" max="11018" width="3" customWidth="1"/>
    <col min="11019" max="11019" width="3.6640625" customWidth="1"/>
    <col min="11020" max="11020" width="3.88671875" customWidth="1"/>
    <col min="11021" max="11021" width="4.33203125" customWidth="1"/>
    <col min="11022" max="11022" width="5.88671875" customWidth="1"/>
    <col min="11023" max="11023" width="4.33203125" customWidth="1"/>
    <col min="11024" max="11024" width="3" customWidth="1"/>
    <col min="11025" max="11025" width="4.44140625" customWidth="1"/>
    <col min="11026" max="11026" width="4" customWidth="1"/>
    <col min="11027" max="11027" width="3" customWidth="1"/>
    <col min="11028" max="11028" width="4.109375" customWidth="1"/>
    <col min="11029" max="11029" width="3" customWidth="1"/>
    <col min="11030" max="11033" width="2.6640625" customWidth="1"/>
    <col min="11034" max="11034" width="3.109375" customWidth="1"/>
    <col min="11035" max="11036" width="2.6640625" customWidth="1"/>
    <col min="11037" max="11037" width="3" customWidth="1"/>
    <col min="11038" max="11040" width="2.6640625" customWidth="1"/>
    <col min="11041" max="11041" width="7" customWidth="1"/>
    <col min="11042" max="11042" width="9.44140625" customWidth="1"/>
    <col min="11265" max="11271" width="2.6640625" customWidth="1"/>
    <col min="11272" max="11274" width="3" customWidth="1"/>
    <col min="11275" max="11275" width="3.6640625" customWidth="1"/>
    <col min="11276" max="11276" width="3.88671875" customWidth="1"/>
    <col min="11277" max="11277" width="4.33203125" customWidth="1"/>
    <col min="11278" max="11278" width="5.88671875" customWidth="1"/>
    <col min="11279" max="11279" width="4.33203125" customWidth="1"/>
    <col min="11280" max="11280" width="3" customWidth="1"/>
    <col min="11281" max="11281" width="4.44140625" customWidth="1"/>
    <col min="11282" max="11282" width="4" customWidth="1"/>
    <col min="11283" max="11283" width="3" customWidth="1"/>
    <col min="11284" max="11284" width="4.109375" customWidth="1"/>
    <col min="11285" max="11285" width="3" customWidth="1"/>
    <col min="11286" max="11289" width="2.6640625" customWidth="1"/>
    <col min="11290" max="11290" width="3.109375" customWidth="1"/>
    <col min="11291" max="11292" width="2.6640625" customWidth="1"/>
    <col min="11293" max="11293" width="3" customWidth="1"/>
    <col min="11294" max="11296" width="2.6640625" customWidth="1"/>
    <col min="11297" max="11297" width="7" customWidth="1"/>
    <col min="11298" max="11298" width="9.44140625" customWidth="1"/>
    <col min="11521" max="11527" width="2.6640625" customWidth="1"/>
    <col min="11528" max="11530" width="3" customWidth="1"/>
    <col min="11531" max="11531" width="3.6640625" customWidth="1"/>
    <col min="11532" max="11532" width="3.88671875" customWidth="1"/>
    <col min="11533" max="11533" width="4.33203125" customWidth="1"/>
    <col min="11534" max="11534" width="5.88671875" customWidth="1"/>
    <col min="11535" max="11535" width="4.33203125" customWidth="1"/>
    <col min="11536" max="11536" width="3" customWidth="1"/>
    <col min="11537" max="11537" width="4.44140625" customWidth="1"/>
    <col min="11538" max="11538" width="4" customWidth="1"/>
    <col min="11539" max="11539" width="3" customWidth="1"/>
    <col min="11540" max="11540" width="4.109375" customWidth="1"/>
    <col min="11541" max="11541" width="3" customWidth="1"/>
    <col min="11542" max="11545" width="2.6640625" customWidth="1"/>
    <col min="11546" max="11546" width="3.109375" customWidth="1"/>
    <col min="11547" max="11548" width="2.6640625" customWidth="1"/>
    <col min="11549" max="11549" width="3" customWidth="1"/>
    <col min="11550" max="11552" width="2.6640625" customWidth="1"/>
    <col min="11553" max="11553" width="7" customWidth="1"/>
    <col min="11554" max="11554" width="9.44140625" customWidth="1"/>
    <col min="11777" max="11783" width="2.6640625" customWidth="1"/>
    <col min="11784" max="11786" width="3" customWidth="1"/>
    <col min="11787" max="11787" width="3.6640625" customWidth="1"/>
    <col min="11788" max="11788" width="3.88671875" customWidth="1"/>
    <col min="11789" max="11789" width="4.33203125" customWidth="1"/>
    <col min="11790" max="11790" width="5.88671875" customWidth="1"/>
    <col min="11791" max="11791" width="4.33203125" customWidth="1"/>
    <col min="11792" max="11792" width="3" customWidth="1"/>
    <col min="11793" max="11793" width="4.44140625" customWidth="1"/>
    <col min="11794" max="11794" width="4" customWidth="1"/>
    <col min="11795" max="11795" width="3" customWidth="1"/>
    <col min="11796" max="11796" width="4.109375" customWidth="1"/>
    <col min="11797" max="11797" width="3" customWidth="1"/>
    <col min="11798" max="11801" width="2.6640625" customWidth="1"/>
    <col min="11802" max="11802" width="3.109375" customWidth="1"/>
    <col min="11803" max="11804" width="2.6640625" customWidth="1"/>
    <col min="11805" max="11805" width="3" customWidth="1"/>
    <col min="11806" max="11808" width="2.6640625" customWidth="1"/>
    <col min="11809" max="11809" width="7" customWidth="1"/>
    <col min="11810" max="11810" width="9.44140625" customWidth="1"/>
    <col min="12033" max="12039" width="2.6640625" customWidth="1"/>
    <col min="12040" max="12042" width="3" customWidth="1"/>
    <col min="12043" max="12043" width="3.6640625" customWidth="1"/>
    <col min="12044" max="12044" width="3.88671875" customWidth="1"/>
    <col min="12045" max="12045" width="4.33203125" customWidth="1"/>
    <col min="12046" max="12046" width="5.88671875" customWidth="1"/>
    <col min="12047" max="12047" width="4.33203125" customWidth="1"/>
    <col min="12048" max="12048" width="3" customWidth="1"/>
    <col min="12049" max="12049" width="4.44140625" customWidth="1"/>
    <col min="12050" max="12050" width="4" customWidth="1"/>
    <col min="12051" max="12051" width="3" customWidth="1"/>
    <col min="12052" max="12052" width="4.109375" customWidth="1"/>
    <col min="12053" max="12053" width="3" customWidth="1"/>
    <col min="12054" max="12057" width="2.6640625" customWidth="1"/>
    <col min="12058" max="12058" width="3.109375" customWidth="1"/>
    <col min="12059" max="12060" width="2.6640625" customWidth="1"/>
    <col min="12061" max="12061" width="3" customWidth="1"/>
    <col min="12062" max="12064" width="2.6640625" customWidth="1"/>
    <col min="12065" max="12065" width="7" customWidth="1"/>
    <col min="12066" max="12066" width="9.44140625" customWidth="1"/>
    <col min="12289" max="12295" width="2.6640625" customWidth="1"/>
    <col min="12296" max="12298" width="3" customWidth="1"/>
    <col min="12299" max="12299" width="3.6640625" customWidth="1"/>
    <col min="12300" max="12300" width="3.88671875" customWidth="1"/>
    <col min="12301" max="12301" width="4.33203125" customWidth="1"/>
    <col min="12302" max="12302" width="5.88671875" customWidth="1"/>
    <col min="12303" max="12303" width="4.33203125" customWidth="1"/>
    <col min="12304" max="12304" width="3" customWidth="1"/>
    <col min="12305" max="12305" width="4.44140625" customWidth="1"/>
    <col min="12306" max="12306" width="4" customWidth="1"/>
    <col min="12307" max="12307" width="3" customWidth="1"/>
    <col min="12308" max="12308" width="4.109375" customWidth="1"/>
    <col min="12309" max="12309" width="3" customWidth="1"/>
    <col min="12310" max="12313" width="2.6640625" customWidth="1"/>
    <col min="12314" max="12314" width="3.109375" customWidth="1"/>
    <col min="12315" max="12316" width="2.6640625" customWidth="1"/>
    <col min="12317" max="12317" width="3" customWidth="1"/>
    <col min="12318" max="12320" width="2.6640625" customWidth="1"/>
    <col min="12321" max="12321" width="7" customWidth="1"/>
    <col min="12322" max="12322" width="9.44140625" customWidth="1"/>
    <col min="12545" max="12551" width="2.6640625" customWidth="1"/>
    <col min="12552" max="12554" width="3" customWidth="1"/>
    <col min="12555" max="12555" width="3.6640625" customWidth="1"/>
    <col min="12556" max="12556" width="3.88671875" customWidth="1"/>
    <col min="12557" max="12557" width="4.33203125" customWidth="1"/>
    <col min="12558" max="12558" width="5.88671875" customWidth="1"/>
    <col min="12559" max="12559" width="4.33203125" customWidth="1"/>
    <col min="12560" max="12560" width="3" customWidth="1"/>
    <col min="12561" max="12561" width="4.44140625" customWidth="1"/>
    <col min="12562" max="12562" width="4" customWidth="1"/>
    <col min="12563" max="12563" width="3" customWidth="1"/>
    <col min="12564" max="12564" width="4.109375" customWidth="1"/>
    <col min="12565" max="12565" width="3" customWidth="1"/>
    <col min="12566" max="12569" width="2.6640625" customWidth="1"/>
    <col min="12570" max="12570" width="3.109375" customWidth="1"/>
    <col min="12571" max="12572" width="2.6640625" customWidth="1"/>
    <col min="12573" max="12573" width="3" customWidth="1"/>
    <col min="12574" max="12576" width="2.6640625" customWidth="1"/>
    <col min="12577" max="12577" width="7" customWidth="1"/>
    <col min="12578" max="12578" width="9.44140625" customWidth="1"/>
    <col min="12801" max="12807" width="2.6640625" customWidth="1"/>
    <col min="12808" max="12810" width="3" customWidth="1"/>
    <col min="12811" max="12811" width="3.6640625" customWidth="1"/>
    <col min="12812" max="12812" width="3.88671875" customWidth="1"/>
    <col min="12813" max="12813" width="4.33203125" customWidth="1"/>
    <col min="12814" max="12814" width="5.88671875" customWidth="1"/>
    <col min="12815" max="12815" width="4.33203125" customWidth="1"/>
    <col min="12816" max="12816" width="3" customWidth="1"/>
    <col min="12817" max="12817" width="4.44140625" customWidth="1"/>
    <col min="12818" max="12818" width="4" customWidth="1"/>
    <col min="12819" max="12819" width="3" customWidth="1"/>
    <col min="12820" max="12820" width="4.109375" customWidth="1"/>
    <col min="12821" max="12821" width="3" customWidth="1"/>
    <col min="12822" max="12825" width="2.6640625" customWidth="1"/>
    <col min="12826" max="12826" width="3.109375" customWidth="1"/>
    <col min="12827" max="12828" width="2.6640625" customWidth="1"/>
    <col min="12829" max="12829" width="3" customWidth="1"/>
    <col min="12830" max="12832" width="2.6640625" customWidth="1"/>
    <col min="12833" max="12833" width="7" customWidth="1"/>
    <col min="12834" max="12834" width="9.44140625" customWidth="1"/>
    <col min="13057" max="13063" width="2.6640625" customWidth="1"/>
    <col min="13064" max="13066" width="3" customWidth="1"/>
    <col min="13067" max="13067" width="3.6640625" customWidth="1"/>
    <col min="13068" max="13068" width="3.88671875" customWidth="1"/>
    <col min="13069" max="13069" width="4.33203125" customWidth="1"/>
    <col min="13070" max="13070" width="5.88671875" customWidth="1"/>
    <col min="13071" max="13071" width="4.33203125" customWidth="1"/>
    <col min="13072" max="13072" width="3" customWidth="1"/>
    <col min="13073" max="13073" width="4.44140625" customWidth="1"/>
    <col min="13074" max="13074" width="4" customWidth="1"/>
    <col min="13075" max="13075" width="3" customWidth="1"/>
    <col min="13076" max="13076" width="4.109375" customWidth="1"/>
    <col min="13077" max="13077" width="3" customWidth="1"/>
    <col min="13078" max="13081" width="2.6640625" customWidth="1"/>
    <col min="13082" max="13082" width="3.109375" customWidth="1"/>
    <col min="13083" max="13084" width="2.6640625" customWidth="1"/>
    <col min="13085" max="13085" width="3" customWidth="1"/>
    <col min="13086" max="13088" width="2.6640625" customWidth="1"/>
    <col min="13089" max="13089" width="7" customWidth="1"/>
    <col min="13090" max="13090" width="9.44140625" customWidth="1"/>
    <col min="13313" max="13319" width="2.6640625" customWidth="1"/>
    <col min="13320" max="13322" width="3" customWidth="1"/>
    <col min="13323" max="13323" width="3.6640625" customWidth="1"/>
    <col min="13324" max="13324" width="3.88671875" customWidth="1"/>
    <col min="13325" max="13325" width="4.33203125" customWidth="1"/>
    <col min="13326" max="13326" width="5.88671875" customWidth="1"/>
    <col min="13327" max="13327" width="4.33203125" customWidth="1"/>
    <col min="13328" max="13328" width="3" customWidth="1"/>
    <col min="13329" max="13329" width="4.44140625" customWidth="1"/>
    <col min="13330" max="13330" width="4" customWidth="1"/>
    <col min="13331" max="13331" width="3" customWidth="1"/>
    <col min="13332" max="13332" width="4.109375" customWidth="1"/>
    <col min="13333" max="13333" width="3" customWidth="1"/>
    <col min="13334" max="13337" width="2.6640625" customWidth="1"/>
    <col min="13338" max="13338" width="3.109375" customWidth="1"/>
    <col min="13339" max="13340" width="2.6640625" customWidth="1"/>
    <col min="13341" max="13341" width="3" customWidth="1"/>
    <col min="13342" max="13344" width="2.6640625" customWidth="1"/>
    <col min="13345" max="13345" width="7" customWidth="1"/>
    <col min="13346" max="13346" width="9.44140625" customWidth="1"/>
    <col min="13569" max="13575" width="2.6640625" customWidth="1"/>
    <col min="13576" max="13578" width="3" customWidth="1"/>
    <col min="13579" max="13579" width="3.6640625" customWidth="1"/>
    <col min="13580" max="13580" width="3.88671875" customWidth="1"/>
    <col min="13581" max="13581" width="4.33203125" customWidth="1"/>
    <col min="13582" max="13582" width="5.88671875" customWidth="1"/>
    <col min="13583" max="13583" width="4.33203125" customWidth="1"/>
    <col min="13584" max="13584" width="3" customWidth="1"/>
    <col min="13585" max="13585" width="4.44140625" customWidth="1"/>
    <col min="13586" max="13586" width="4" customWidth="1"/>
    <col min="13587" max="13587" width="3" customWidth="1"/>
    <col min="13588" max="13588" width="4.109375" customWidth="1"/>
    <col min="13589" max="13589" width="3" customWidth="1"/>
    <col min="13590" max="13593" width="2.6640625" customWidth="1"/>
    <col min="13594" max="13594" width="3.109375" customWidth="1"/>
    <col min="13595" max="13596" width="2.6640625" customWidth="1"/>
    <col min="13597" max="13597" width="3" customWidth="1"/>
    <col min="13598" max="13600" width="2.6640625" customWidth="1"/>
    <col min="13601" max="13601" width="7" customWidth="1"/>
    <col min="13602" max="13602" width="9.44140625" customWidth="1"/>
    <col min="13825" max="13831" width="2.6640625" customWidth="1"/>
    <col min="13832" max="13834" width="3" customWidth="1"/>
    <col min="13835" max="13835" width="3.6640625" customWidth="1"/>
    <col min="13836" max="13836" width="3.88671875" customWidth="1"/>
    <col min="13837" max="13837" width="4.33203125" customWidth="1"/>
    <col min="13838" max="13838" width="5.88671875" customWidth="1"/>
    <col min="13839" max="13839" width="4.33203125" customWidth="1"/>
    <col min="13840" max="13840" width="3" customWidth="1"/>
    <col min="13841" max="13841" width="4.44140625" customWidth="1"/>
    <col min="13842" max="13842" width="4" customWidth="1"/>
    <col min="13843" max="13843" width="3" customWidth="1"/>
    <col min="13844" max="13844" width="4.109375" customWidth="1"/>
    <col min="13845" max="13845" width="3" customWidth="1"/>
    <col min="13846" max="13849" width="2.6640625" customWidth="1"/>
    <col min="13850" max="13850" width="3.109375" customWidth="1"/>
    <col min="13851" max="13852" width="2.6640625" customWidth="1"/>
    <col min="13853" max="13853" width="3" customWidth="1"/>
    <col min="13854" max="13856" width="2.6640625" customWidth="1"/>
    <col min="13857" max="13857" width="7" customWidth="1"/>
    <col min="13858" max="13858" width="9.44140625" customWidth="1"/>
    <col min="14081" max="14087" width="2.6640625" customWidth="1"/>
    <col min="14088" max="14090" width="3" customWidth="1"/>
    <col min="14091" max="14091" width="3.6640625" customWidth="1"/>
    <col min="14092" max="14092" width="3.88671875" customWidth="1"/>
    <col min="14093" max="14093" width="4.33203125" customWidth="1"/>
    <col min="14094" max="14094" width="5.88671875" customWidth="1"/>
    <col min="14095" max="14095" width="4.33203125" customWidth="1"/>
    <col min="14096" max="14096" width="3" customWidth="1"/>
    <col min="14097" max="14097" width="4.44140625" customWidth="1"/>
    <col min="14098" max="14098" width="4" customWidth="1"/>
    <col min="14099" max="14099" width="3" customWidth="1"/>
    <col min="14100" max="14100" width="4.109375" customWidth="1"/>
    <col min="14101" max="14101" width="3" customWidth="1"/>
    <col min="14102" max="14105" width="2.6640625" customWidth="1"/>
    <col min="14106" max="14106" width="3.109375" customWidth="1"/>
    <col min="14107" max="14108" width="2.6640625" customWidth="1"/>
    <col min="14109" max="14109" width="3" customWidth="1"/>
    <col min="14110" max="14112" width="2.6640625" customWidth="1"/>
    <col min="14113" max="14113" width="7" customWidth="1"/>
    <col min="14114" max="14114" width="9.44140625" customWidth="1"/>
    <col min="14337" max="14343" width="2.6640625" customWidth="1"/>
    <col min="14344" max="14346" width="3" customWidth="1"/>
    <col min="14347" max="14347" width="3.6640625" customWidth="1"/>
    <col min="14348" max="14348" width="3.88671875" customWidth="1"/>
    <col min="14349" max="14349" width="4.33203125" customWidth="1"/>
    <col min="14350" max="14350" width="5.88671875" customWidth="1"/>
    <col min="14351" max="14351" width="4.33203125" customWidth="1"/>
    <col min="14352" max="14352" width="3" customWidth="1"/>
    <col min="14353" max="14353" width="4.44140625" customWidth="1"/>
    <col min="14354" max="14354" width="4" customWidth="1"/>
    <col min="14355" max="14355" width="3" customWidth="1"/>
    <col min="14356" max="14356" width="4.109375" customWidth="1"/>
    <col min="14357" max="14357" width="3" customWidth="1"/>
    <col min="14358" max="14361" width="2.6640625" customWidth="1"/>
    <col min="14362" max="14362" width="3.109375" customWidth="1"/>
    <col min="14363" max="14364" width="2.6640625" customWidth="1"/>
    <col min="14365" max="14365" width="3" customWidth="1"/>
    <col min="14366" max="14368" width="2.6640625" customWidth="1"/>
    <col min="14369" max="14369" width="7" customWidth="1"/>
    <col min="14370" max="14370" width="9.44140625" customWidth="1"/>
    <col min="14593" max="14599" width="2.6640625" customWidth="1"/>
    <col min="14600" max="14602" width="3" customWidth="1"/>
    <col min="14603" max="14603" width="3.6640625" customWidth="1"/>
    <col min="14604" max="14604" width="3.88671875" customWidth="1"/>
    <col min="14605" max="14605" width="4.33203125" customWidth="1"/>
    <col min="14606" max="14606" width="5.88671875" customWidth="1"/>
    <col min="14607" max="14607" width="4.33203125" customWidth="1"/>
    <col min="14608" max="14608" width="3" customWidth="1"/>
    <col min="14609" max="14609" width="4.44140625" customWidth="1"/>
    <col min="14610" max="14610" width="4" customWidth="1"/>
    <col min="14611" max="14611" width="3" customWidth="1"/>
    <col min="14612" max="14612" width="4.109375" customWidth="1"/>
    <col min="14613" max="14613" width="3" customWidth="1"/>
    <col min="14614" max="14617" width="2.6640625" customWidth="1"/>
    <col min="14618" max="14618" width="3.109375" customWidth="1"/>
    <col min="14619" max="14620" width="2.6640625" customWidth="1"/>
    <col min="14621" max="14621" width="3" customWidth="1"/>
    <col min="14622" max="14624" width="2.6640625" customWidth="1"/>
    <col min="14625" max="14625" width="7" customWidth="1"/>
    <col min="14626" max="14626" width="9.44140625" customWidth="1"/>
    <col min="14849" max="14855" width="2.6640625" customWidth="1"/>
    <col min="14856" max="14858" width="3" customWidth="1"/>
    <col min="14859" max="14859" width="3.6640625" customWidth="1"/>
    <col min="14860" max="14860" width="3.88671875" customWidth="1"/>
    <col min="14861" max="14861" width="4.33203125" customWidth="1"/>
    <col min="14862" max="14862" width="5.88671875" customWidth="1"/>
    <col min="14863" max="14863" width="4.33203125" customWidth="1"/>
    <col min="14864" max="14864" width="3" customWidth="1"/>
    <col min="14865" max="14865" width="4.44140625" customWidth="1"/>
    <col min="14866" max="14866" width="4" customWidth="1"/>
    <col min="14867" max="14867" width="3" customWidth="1"/>
    <col min="14868" max="14868" width="4.109375" customWidth="1"/>
    <col min="14869" max="14869" width="3" customWidth="1"/>
    <col min="14870" max="14873" width="2.6640625" customWidth="1"/>
    <col min="14874" max="14874" width="3.109375" customWidth="1"/>
    <col min="14875" max="14876" width="2.6640625" customWidth="1"/>
    <col min="14877" max="14877" width="3" customWidth="1"/>
    <col min="14878" max="14880" width="2.6640625" customWidth="1"/>
    <col min="14881" max="14881" width="7" customWidth="1"/>
    <col min="14882" max="14882" width="9.44140625" customWidth="1"/>
    <col min="15105" max="15111" width="2.6640625" customWidth="1"/>
    <col min="15112" max="15114" width="3" customWidth="1"/>
    <col min="15115" max="15115" width="3.6640625" customWidth="1"/>
    <col min="15116" max="15116" width="3.88671875" customWidth="1"/>
    <col min="15117" max="15117" width="4.33203125" customWidth="1"/>
    <col min="15118" max="15118" width="5.88671875" customWidth="1"/>
    <col min="15119" max="15119" width="4.33203125" customWidth="1"/>
    <col min="15120" max="15120" width="3" customWidth="1"/>
    <col min="15121" max="15121" width="4.44140625" customWidth="1"/>
    <col min="15122" max="15122" width="4" customWidth="1"/>
    <col min="15123" max="15123" width="3" customWidth="1"/>
    <col min="15124" max="15124" width="4.109375" customWidth="1"/>
    <col min="15125" max="15125" width="3" customWidth="1"/>
    <col min="15126" max="15129" width="2.6640625" customWidth="1"/>
    <col min="15130" max="15130" width="3.109375" customWidth="1"/>
    <col min="15131" max="15132" width="2.6640625" customWidth="1"/>
    <col min="15133" max="15133" width="3" customWidth="1"/>
    <col min="15134" max="15136" width="2.6640625" customWidth="1"/>
    <col min="15137" max="15137" width="7" customWidth="1"/>
    <col min="15138" max="15138" width="9.44140625" customWidth="1"/>
    <col min="15361" max="15367" width="2.6640625" customWidth="1"/>
    <col min="15368" max="15370" width="3" customWidth="1"/>
    <col min="15371" max="15371" width="3.6640625" customWidth="1"/>
    <col min="15372" max="15372" width="3.88671875" customWidth="1"/>
    <col min="15373" max="15373" width="4.33203125" customWidth="1"/>
    <col min="15374" max="15374" width="5.88671875" customWidth="1"/>
    <col min="15375" max="15375" width="4.33203125" customWidth="1"/>
    <col min="15376" max="15376" width="3" customWidth="1"/>
    <col min="15377" max="15377" width="4.44140625" customWidth="1"/>
    <col min="15378" max="15378" width="4" customWidth="1"/>
    <col min="15379" max="15379" width="3" customWidth="1"/>
    <col min="15380" max="15380" width="4.109375" customWidth="1"/>
    <col min="15381" max="15381" width="3" customWidth="1"/>
    <col min="15382" max="15385" width="2.6640625" customWidth="1"/>
    <col min="15386" max="15386" width="3.109375" customWidth="1"/>
    <col min="15387" max="15388" width="2.6640625" customWidth="1"/>
    <col min="15389" max="15389" width="3" customWidth="1"/>
    <col min="15390" max="15392" width="2.6640625" customWidth="1"/>
    <col min="15393" max="15393" width="7" customWidth="1"/>
    <col min="15394" max="15394" width="9.44140625" customWidth="1"/>
    <col min="15617" max="15623" width="2.6640625" customWidth="1"/>
    <col min="15624" max="15626" width="3" customWidth="1"/>
    <col min="15627" max="15627" width="3.6640625" customWidth="1"/>
    <col min="15628" max="15628" width="3.88671875" customWidth="1"/>
    <col min="15629" max="15629" width="4.33203125" customWidth="1"/>
    <col min="15630" max="15630" width="5.88671875" customWidth="1"/>
    <col min="15631" max="15631" width="4.33203125" customWidth="1"/>
    <col min="15632" max="15632" width="3" customWidth="1"/>
    <col min="15633" max="15633" width="4.44140625" customWidth="1"/>
    <col min="15634" max="15634" width="4" customWidth="1"/>
    <col min="15635" max="15635" width="3" customWidth="1"/>
    <col min="15636" max="15636" width="4.109375" customWidth="1"/>
    <col min="15637" max="15637" width="3" customWidth="1"/>
    <col min="15638" max="15641" width="2.6640625" customWidth="1"/>
    <col min="15642" max="15642" width="3.109375" customWidth="1"/>
    <col min="15643" max="15644" width="2.6640625" customWidth="1"/>
    <col min="15645" max="15645" width="3" customWidth="1"/>
    <col min="15646" max="15648" width="2.6640625" customWidth="1"/>
    <col min="15649" max="15649" width="7" customWidth="1"/>
    <col min="15650" max="15650" width="9.44140625" customWidth="1"/>
    <col min="15873" max="15879" width="2.6640625" customWidth="1"/>
    <col min="15880" max="15882" width="3" customWidth="1"/>
    <col min="15883" max="15883" width="3.6640625" customWidth="1"/>
    <col min="15884" max="15884" width="3.88671875" customWidth="1"/>
    <col min="15885" max="15885" width="4.33203125" customWidth="1"/>
    <col min="15886" max="15886" width="5.88671875" customWidth="1"/>
    <col min="15887" max="15887" width="4.33203125" customWidth="1"/>
    <col min="15888" max="15888" width="3" customWidth="1"/>
    <col min="15889" max="15889" width="4.44140625" customWidth="1"/>
    <col min="15890" max="15890" width="4" customWidth="1"/>
    <col min="15891" max="15891" width="3" customWidth="1"/>
    <col min="15892" max="15892" width="4.109375" customWidth="1"/>
    <col min="15893" max="15893" width="3" customWidth="1"/>
    <col min="15894" max="15897" width="2.6640625" customWidth="1"/>
    <col min="15898" max="15898" width="3.109375" customWidth="1"/>
    <col min="15899" max="15900" width="2.6640625" customWidth="1"/>
    <col min="15901" max="15901" width="3" customWidth="1"/>
    <col min="15902" max="15904" width="2.6640625" customWidth="1"/>
    <col min="15905" max="15905" width="7" customWidth="1"/>
    <col min="15906" max="15906" width="9.44140625" customWidth="1"/>
    <col min="16129" max="16135" width="2.6640625" customWidth="1"/>
    <col min="16136" max="16138" width="3" customWidth="1"/>
    <col min="16139" max="16139" width="3.6640625" customWidth="1"/>
    <col min="16140" max="16140" width="3.88671875" customWidth="1"/>
    <col min="16141" max="16141" width="4.33203125" customWidth="1"/>
    <col min="16142" max="16142" width="5.88671875" customWidth="1"/>
    <col min="16143" max="16143" width="4.33203125" customWidth="1"/>
    <col min="16144" max="16144" width="3" customWidth="1"/>
    <col min="16145" max="16145" width="4.44140625" customWidth="1"/>
    <col min="16146" max="16146" width="4" customWidth="1"/>
    <col min="16147" max="16147" width="3" customWidth="1"/>
    <col min="16148" max="16148" width="4.109375" customWidth="1"/>
    <col min="16149" max="16149" width="3" customWidth="1"/>
    <col min="16150" max="16153" width="2.6640625" customWidth="1"/>
    <col min="16154" max="16154" width="3.109375" customWidth="1"/>
    <col min="16155" max="16156" width="2.6640625" customWidth="1"/>
    <col min="16157" max="16157" width="3" customWidth="1"/>
    <col min="16158" max="16160" width="2.6640625" customWidth="1"/>
    <col min="16161" max="16161" width="7" customWidth="1"/>
    <col min="16162" max="16162" width="9.44140625" customWidth="1"/>
  </cols>
  <sheetData>
    <row r="1" spans="1:33" x14ac:dyDescent="0.3">
      <c r="A1" s="102" t="s">
        <v>0</v>
      </c>
      <c r="B1" s="103"/>
      <c r="C1" s="103"/>
      <c r="D1" s="103"/>
      <c r="E1" s="103"/>
      <c r="F1" s="103"/>
      <c r="G1" s="104"/>
      <c r="H1" s="160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2"/>
      <c r="V1" s="102" t="s">
        <v>1</v>
      </c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4"/>
    </row>
    <row r="2" spans="1:33" ht="18" customHeight="1" x14ac:dyDescent="0.3">
      <c r="A2" s="106" t="s">
        <v>2</v>
      </c>
      <c r="B2" s="107"/>
      <c r="C2" s="163">
        <f ca="1">TODAY()</f>
        <v>45733</v>
      </c>
      <c r="D2" s="163"/>
      <c r="E2" s="163"/>
      <c r="F2" s="107"/>
      <c r="G2" s="108"/>
      <c r="H2" s="109" t="s">
        <v>3</v>
      </c>
      <c r="I2" s="109"/>
      <c r="J2" s="109"/>
      <c r="K2" s="109"/>
      <c r="L2" s="109"/>
      <c r="M2" s="109"/>
      <c r="N2" s="68"/>
      <c r="O2" s="68"/>
      <c r="P2" s="68"/>
      <c r="Q2" s="68"/>
      <c r="R2" s="68"/>
      <c r="S2" s="68"/>
      <c r="T2" s="68"/>
      <c r="U2" s="68"/>
      <c r="V2" s="106" t="s">
        <v>4</v>
      </c>
      <c r="W2" s="68"/>
      <c r="X2" s="68"/>
      <c r="Y2" s="68"/>
      <c r="Z2" s="68"/>
      <c r="AA2" s="68"/>
      <c r="AB2" s="68"/>
      <c r="AC2" s="68"/>
      <c r="AD2" s="68"/>
      <c r="AE2" s="68"/>
      <c r="AF2" s="68"/>
      <c r="AG2" s="108"/>
    </row>
    <row r="3" spans="1:33" ht="18" customHeight="1" x14ac:dyDescent="0.3">
      <c r="A3" s="110" t="s">
        <v>5</v>
      </c>
      <c r="B3" s="111"/>
      <c r="C3" s="111"/>
      <c r="D3" s="111"/>
      <c r="E3" s="111"/>
      <c r="F3" s="111"/>
      <c r="G3" s="10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110" t="s">
        <v>6</v>
      </c>
      <c r="W3" s="68"/>
      <c r="X3" s="68"/>
      <c r="Y3" s="68"/>
      <c r="Z3" s="68"/>
      <c r="AA3" s="68"/>
      <c r="AB3" s="68"/>
      <c r="AC3" s="68"/>
      <c r="AD3" s="68"/>
      <c r="AE3" s="68"/>
      <c r="AF3" s="68"/>
      <c r="AG3" s="108"/>
    </row>
    <row r="4" spans="1:33" ht="15" customHeight="1" thickBot="1" x14ac:dyDescent="0.35">
      <c r="A4" s="112" t="s">
        <v>2</v>
      </c>
      <c r="B4" s="113"/>
      <c r="C4" s="163">
        <f ca="1">TODAY()</f>
        <v>45733</v>
      </c>
      <c r="D4" s="163"/>
      <c r="E4" s="163"/>
      <c r="F4" s="113"/>
      <c r="G4" s="114"/>
      <c r="H4" s="113" t="s">
        <v>7</v>
      </c>
      <c r="I4" s="113"/>
      <c r="J4" s="113"/>
      <c r="K4" s="113"/>
      <c r="L4" s="170" t="s">
        <v>154</v>
      </c>
      <c r="M4" s="113"/>
      <c r="N4" s="115"/>
      <c r="O4" s="115"/>
      <c r="P4" s="115"/>
      <c r="Q4" s="115"/>
      <c r="R4" s="115"/>
      <c r="S4" s="115"/>
      <c r="T4" s="115"/>
      <c r="U4" s="115"/>
      <c r="V4" s="112"/>
      <c r="W4" s="116"/>
      <c r="X4" s="115"/>
      <c r="Y4" s="115"/>
      <c r="Z4" s="116"/>
      <c r="AA4" s="115"/>
      <c r="AB4" s="115"/>
      <c r="AC4" s="117" t="s">
        <v>8</v>
      </c>
      <c r="AD4" s="115"/>
      <c r="AE4" s="115"/>
      <c r="AF4" s="116"/>
      <c r="AG4" s="114"/>
    </row>
    <row r="5" spans="1:33" x14ac:dyDescent="0.3">
      <c r="A5" s="77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76"/>
      <c r="AA5" s="118"/>
      <c r="AB5" s="59"/>
      <c r="AC5" s="59"/>
      <c r="AD5" s="59"/>
      <c r="AE5" s="59"/>
      <c r="AF5" s="59"/>
      <c r="AG5" s="78"/>
    </row>
    <row r="6" spans="1:33" x14ac:dyDescent="0.3">
      <c r="A6" s="51"/>
      <c r="B6" s="54" t="s">
        <v>9</v>
      </c>
      <c r="C6" s="49"/>
      <c r="D6" s="68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50"/>
      <c r="AA6" s="51"/>
      <c r="AB6" s="49"/>
      <c r="AC6" s="49"/>
      <c r="AD6" s="49"/>
      <c r="AE6" s="49"/>
      <c r="AF6" s="49"/>
      <c r="AG6" s="52"/>
    </row>
    <row r="7" spans="1:33" x14ac:dyDescent="0.3">
      <c r="A7" s="51"/>
      <c r="B7" s="54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50"/>
      <c r="AA7" s="51"/>
      <c r="AB7" s="49"/>
      <c r="AC7" s="49"/>
      <c r="AD7" s="49"/>
      <c r="AE7" s="49"/>
      <c r="AF7" s="49"/>
      <c r="AG7" s="52"/>
    </row>
    <row r="8" spans="1:33" x14ac:dyDescent="0.3">
      <c r="A8" s="51"/>
      <c r="B8" s="54" t="s">
        <v>10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68"/>
      <c r="O8" s="49"/>
      <c r="P8" s="49"/>
      <c r="Q8" s="49"/>
      <c r="R8" s="68"/>
      <c r="S8" s="49"/>
      <c r="T8" s="49"/>
      <c r="U8" s="49"/>
      <c r="V8" s="49"/>
      <c r="W8" s="49"/>
      <c r="X8" s="49"/>
      <c r="Y8" s="49"/>
      <c r="Z8" s="50"/>
      <c r="AA8" s="51"/>
      <c r="AB8" s="49"/>
      <c r="AC8" s="49"/>
      <c r="AD8" s="49"/>
      <c r="AE8" s="49"/>
      <c r="AF8" s="49"/>
      <c r="AG8" s="52"/>
    </row>
    <row r="9" spans="1:33" x14ac:dyDescent="0.3">
      <c r="A9" s="51"/>
      <c r="B9" s="54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50"/>
      <c r="AA9" s="51"/>
      <c r="AB9" s="49"/>
      <c r="AC9" s="49"/>
      <c r="AD9" s="49"/>
      <c r="AE9" s="49"/>
      <c r="AF9" s="49"/>
      <c r="AG9" s="52"/>
    </row>
    <row r="10" spans="1:33" x14ac:dyDescent="0.3">
      <c r="A10" s="51"/>
      <c r="B10" s="44" t="s">
        <v>11</v>
      </c>
      <c r="C10" s="44" t="s">
        <v>12</v>
      </c>
      <c r="D10" s="54"/>
      <c r="E10" s="54"/>
      <c r="F10" s="54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50"/>
      <c r="AA10" s="51"/>
      <c r="AB10" s="49"/>
      <c r="AC10" s="49"/>
      <c r="AD10" s="49"/>
      <c r="AE10" s="49"/>
      <c r="AF10" s="49"/>
      <c r="AG10" s="52"/>
    </row>
    <row r="11" spans="1:33" x14ac:dyDescent="0.3">
      <c r="A11" s="51"/>
      <c r="B11" s="44"/>
      <c r="C11" s="54"/>
      <c r="D11" s="54"/>
      <c r="E11" s="54"/>
      <c r="F11" s="54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50"/>
      <c r="AA11" s="51"/>
      <c r="AB11" s="49"/>
      <c r="AC11" s="49"/>
      <c r="AD11" s="49"/>
      <c r="AE11" s="49"/>
      <c r="AF11" s="49"/>
      <c r="AG11" s="52"/>
    </row>
    <row r="12" spans="1:33" x14ac:dyDescent="0.3">
      <c r="A12" s="51"/>
      <c r="B12" s="44" t="s">
        <v>13</v>
      </c>
      <c r="C12" s="54"/>
      <c r="D12" s="54"/>
      <c r="E12" s="54"/>
      <c r="F12" s="54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0"/>
      <c r="AA12" s="51"/>
      <c r="AB12" s="49"/>
      <c r="AC12" s="49"/>
      <c r="AD12" s="49"/>
      <c r="AE12" s="49"/>
      <c r="AF12" s="49"/>
      <c r="AG12" s="52"/>
    </row>
    <row r="13" spans="1:33" x14ac:dyDescent="0.3">
      <c r="A13" s="51"/>
      <c r="B13" s="44"/>
      <c r="C13" s="54"/>
      <c r="D13" s="54"/>
      <c r="E13" s="54"/>
      <c r="F13" s="54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/>
      <c r="AA13" s="51"/>
      <c r="AB13" s="49"/>
      <c r="AC13" s="49"/>
      <c r="AD13" s="49"/>
      <c r="AE13" s="49"/>
      <c r="AF13" s="49"/>
      <c r="AG13" s="52"/>
    </row>
    <row r="14" spans="1:33" x14ac:dyDescent="0.3">
      <c r="A14" s="51"/>
      <c r="B14" s="44" t="s">
        <v>14</v>
      </c>
      <c r="C14" s="54"/>
      <c r="D14" s="54"/>
      <c r="E14" s="54"/>
      <c r="F14" s="54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50"/>
      <c r="AA14" s="51"/>
      <c r="AB14" s="49"/>
      <c r="AC14" s="49"/>
      <c r="AD14" s="49"/>
      <c r="AE14" s="49"/>
      <c r="AF14" s="49"/>
      <c r="AG14" s="52"/>
    </row>
    <row r="15" spans="1:33" x14ac:dyDescent="0.3">
      <c r="A15" s="51"/>
      <c r="B15" s="44"/>
      <c r="C15" s="54"/>
      <c r="D15" s="54"/>
      <c r="E15" s="54"/>
      <c r="F15" s="54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50"/>
      <c r="AA15" s="51"/>
      <c r="AB15" s="49"/>
      <c r="AC15" s="49"/>
      <c r="AD15" s="49"/>
      <c r="AE15" s="49"/>
      <c r="AF15" s="49"/>
      <c r="AG15" s="52"/>
    </row>
    <row r="16" spans="1:33" x14ac:dyDescent="0.3">
      <c r="A16" s="51"/>
      <c r="B16" s="44" t="s">
        <v>15</v>
      </c>
      <c r="C16" s="54"/>
      <c r="D16" s="54"/>
      <c r="E16" s="54"/>
      <c r="F16" s="54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50"/>
      <c r="AA16" s="51"/>
      <c r="AB16" s="49"/>
      <c r="AC16" s="49"/>
      <c r="AD16" s="49"/>
      <c r="AE16" s="49"/>
      <c r="AF16" s="49"/>
      <c r="AG16" s="52"/>
    </row>
    <row r="17" spans="1:33" x14ac:dyDescent="0.3">
      <c r="A17" s="51"/>
      <c r="B17" s="54"/>
      <c r="C17" s="54"/>
      <c r="D17" s="54"/>
      <c r="E17" s="54"/>
      <c r="F17" s="54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50"/>
      <c r="AA17" s="51"/>
      <c r="AB17" s="49"/>
      <c r="AC17" s="49"/>
      <c r="AD17" s="49"/>
      <c r="AE17" s="49"/>
      <c r="AF17" s="49"/>
      <c r="AG17" s="52"/>
    </row>
    <row r="18" spans="1:33" x14ac:dyDescent="0.3">
      <c r="A18" s="51"/>
      <c r="B18" s="44" t="s">
        <v>16</v>
      </c>
      <c r="C18" s="44" t="s">
        <v>17</v>
      </c>
      <c r="D18" s="54"/>
      <c r="E18" s="54"/>
      <c r="F18" s="54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50"/>
      <c r="AA18" s="51"/>
      <c r="AB18" s="49"/>
      <c r="AC18" s="49"/>
      <c r="AD18" s="49"/>
      <c r="AE18" s="49"/>
      <c r="AF18" s="49"/>
      <c r="AG18" s="52"/>
    </row>
    <row r="19" spans="1:33" x14ac:dyDescent="0.3">
      <c r="A19" s="51"/>
      <c r="B19" s="54"/>
      <c r="C19" s="54"/>
      <c r="D19" s="54"/>
      <c r="E19" s="54"/>
      <c r="F19" s="54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50"/>
      <c r="AA19" s="51"/>
      <c r="AB19" s="49"/>
      <c r="AC19" s="49"/>
      <c r="AD19" s="49"/>
      <c r="AE19" s="49"/>
      <c r="AF19" s="49"/>
      <c r="AG19" s="52"/>
    </row>
    <row r="20" spans="1:33" x14ac:dyDescent="0.3">
      <c r="A20" s="51"/>
      <c r="B20" s="49"/>
      <c r="C20" s="54" t="s">
        <v>18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50"/>
      <c r="AA20" s="51"/>
      <c r="AB20" s="49"/>
      <c r="AC20" s="49"/>
      <c r="AD20" s="49"/>
      <c r="AE20" s="49"/>
      <c r="AF20" s="49"/>
      <c r="AG20" s="52"/>
    </row>
    <row r="21" spans="1:33" x14ac:dyDescent="0.3">
      <c r="A21" s="51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50"/>
      <c r="AA21" s="51"/>
      <c r="AB21" s="49"/>
      <c r="AC21" s="49"/>
      <c r="AD21" s="49"/>
      <c r="AE21" s="49"/>
      <c r="AF21" s="49"/>
      <c r="AG21" s="52"/>
    </row>
    <row r="22" spans="1:33" x14ac:dyDescent="0.3">
      <c r="A22" s="51"/>
      <c r="B22" s="54" t="s">
        <v>19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50"/>
      <c r="AA22" s="51"/>
      <c r="AB22" s="49"/>
      <c r="AC22" s="49"/>
      <c r="AD22" s="49"/>
      <c r="AE22" s="49"/>
      <c r="AF22" s="49"/>
      <c r="AG22" s="52"/>
    </row>
    <row r="23" spans="1:33" x14ac:dyDescent="0.3">
      <c r="A23" s="51"/>
      <c r="B23" s="54"/>
      <c r="C23" s="54" t="s">
        <v>20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50"/>
      <c r="AA23" s="51"/>
      <c r="AB23" s="49"/>
      <c r="AC23" s="49"/>
      <c r="AD23" s="49"/>
      <c r="AE23" s="49"/>
      <c r="AF23" s="49"/>
      <c r="AG23" s="52"/>
    </row>
    <row r="24" spans="1:33" x14ac:dyDescent="0.3">
      <c r="A24" s="51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50"/>
      <c r="AA24" s="51"/>
      <c r="AB24" s="49"/>
      <c r="AC24" s="49"/>
      <c r="AD24" s="49"/>
      <c r="AE24" s="49"/>
      <c r="AF24" s="49"/>
      <c r="AG24" s="52"/>
    </row>
    <row r="25" spans="1:33" x14ac:dyDescent="0.3">
      <c r="A25" s="51"/>
      <c r="B25" s="49"/>
      <c r="C25" s="49" t="s">
        <v>21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 t="s">
        <v>22</v>
      </c>
      <c r="Q25" s="49" t="s">
        <v>23</v>
      </c>
      <c r="R25" s="49"/>
      <c r="S25" s="49"/>
      <c r="T25" s="49"/>
      <c r="U25" s="49"/>
      <c r="V25" s="49"/>
      <c r="W25" s="49"/>
      <c r="X25" s="49"/>
      <c r="Y25" s="49"/>
      <c r="Z25" s="50"/>
      <c r="AA25" s="51"/>
      <c r="AB25" s="49"/>
      <c r="AC25" s="49"/>
      <c r="AD25" s="49"/>
      <c r="AE25" s="49"/>
      <c r="AF25" s="49"/>
      <c r="AG25" s="52"/>
    </row>
    <row r="26" spans="1:33" x14ac:dyDescent="0.3">
      <c r="A26" s="51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 t="s">
        <v>24</v>
      </c>
      <c r="R26" s="49"/>
      <c r="S26" s="49"/>
      <c r="T26" s="49"/>
      <c r="U26" s="49"/>
      <c r="V26" s="49"/>
      <c r="W26" s="49"/>
      <c r="X26" s="49"/>
      <c r="Y26" s="49"/>
      <c r="Z26" s="50"/>
      <c r="AA26" s="51"/>
      <c r="AB26" s="49"/>
      <c r="AC26" s="49"/>
      <c r="AD26" s="49"/>
      <c r="AE26" s="49"/>
      <c r="AF26" s="49"/>
      <c r="AG26" s="52"/>
    </row>
    <row r="27" spans="1:33" x14ac:dyDescent="0.3">
      <c r="A27" s="51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50"/>
      <c r="AA27" s="51"/>
      <c r="AB27" s="49"/>
      <c r="AC27" s="49"/>
      <c r="AD27" s="49"/>
      <c r="AE27" s="49"/>
      <c r="AF27" s="49"/>
      <c r="AG27" s="52"/>
    </row>
    <row r="28" spans="1:33" ht="15" thickBot="1" x14ac:dyDescent="0.35">
      <c r="A28" s="51"/>
      <c r="B28" s="49"/>
      <c r="C28" s="49" t="s">
        <v>25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 t="s">
        <v>22</v>
      </c>
      <c r="Q28" s="66" t="s">
        <v>26</v>
      </c>
      <c r="R28" s="49"/>
      <c r="S28" s="66"/>
      <c r="T28" s="66"/>
      <c r="U28" s="49"/>
      <c r="V28" s="66"/>
      <c r="W28" s="66"/>
      <c r="X28" s="49"/>
      <c r="Y28" s="66"/>
      <c r="Z28" s="79"/>
      <c r="AA28" s="51"/>
      <c r="AB28" s="49"/>
      <c r="AC28" s="49"/>
      <c r="AD28" s="49"/>
      <c r="AE28" s="49"/>
      <c r="AF28" s="49"/>
      <c r="AG28" s="52"/>
    </row>
    <row r="29" spans="1:33" ht="15" thickBot="1" x14ac:dyDescent="0.35">
      <c r="A29" s="5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0" t="s">
        <v>22</v>
      </c>
      <c r="Q29" s="5">
        <v>3</v>
      </c>
      <c r="R29" s="101" t="s">
        <v>27</v>
      </c>
      <c r="S29" s="164">
        <v>1000</v>
      </c>
      <c r="T29" s="165"/>
      <c r="U29" s="100" t="s">
        <v>28</v>
      </c>
      <c r="V29" s="158">
        <v>1.732</v>
      </c>
      <c r="W29" s="159"/>
      <c r="X29" s="91" t="s">
        <v>27</v>
      </c>
      <c r="Y29" s="119">
        <v>0.48</v>
      </c>
      <c r="Z29" s="120"/>
      <c r="AA29" s="51"/>
      <c r="AB29" s="49"/>
      <c r="AC29" s="49"/>
      <c r="AD29" s="49"/>
      <c r="AE29" s="49"/>
      <c r="AF29" s="49"/>
      <c r="AG29" s="52"/>
    </row>
    <row r="30" spans="1:33" ht="15" thickBot="1" x14ac:dyDescent="0.35">
      <c r="A30" s="51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50" t="s">
        <v>22</v>
      </c>
      <c r="Q30" s="166">
        <f>(Q29*S29)/(V29*Y29)</f>
        <v>3608.5450346420325</v>
      </c>
      <c r="R30" s="167"/>
      <c r="S30" s="167"/>
      <c r="T30" s="168"/>
      <c r="U30" s="53" t="s">
        <v>29</v>
      </c>
      <c r="V30" s="59"/>
      <c r="W30" s="59"/>
      <c r="X30" s="49"/>
      <c r="Y30" s="59"/>
      <c r="Z30" s="76"/>
      <c r="AA30" s="51"/>
      <c r="AB30" s="49"/>
      <c r="AC30" s="49"/>
      <c r="AD30" s="49"/>
      <c r="AE30" s="49"/>
      <c r="AF30" s="49"/>
      <c r="AG30" s="52"/>
    </row>
    <row r="31" spans="1:33" ht="15" thickBot="1" x14ac:dyDescent="0.35">
      <c r="A31" s="51"/>
      <c r="B31" s="49"/>
      <c r="C31" s="54"/>
      <c r="D31" s="49"/>
      <c r="E31" s="49"/>
      <c r="F31" s="49"/>
      <c r="G31" s="49"/>
      <c r="H31" s="49"/>
      <c r="I31" s="49"/>
      <c r="J31" s="66"/>
      <c r="K31" s="66"/>
      <c r="L31" s="66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50"/>
      <c r="AA31" s="51"/>
      <c r="AB31" s="49"/>
      <c r="AC31" s="49"/>
      <c r="AD31" s="49"/>
      <c r="AE31" s="49"/>
      <c r="AF31" s="49"/>
      <c r="AG31" s="52"/>
    </row>
    <row r="32" spans="1:33" ht="15" thickBot="1" x14ac:dyDescent="0.35">
      <c r="A32" s="51"/>
      <c r="B32" s="49"/>
      <c r="C32" s="49" t="s">
        <v>30</v>
      </c>
      <c r="D32" s="49"/>
      <c r="E32" s="49"/>
      <c r="F32" s="49"/>
      <c r="G32" s="49"/>
      <c r="H32" s="49"/>
      <c r="I32" s="50" t="s">
        <v>22</v>
      </c>
      <c r="J32" s="137" t="s">
        <v>31</v>
      </c>
      <c r="K32" s="169"/>
      <c r="L32" s="138"/>
      <c r="M32" s="53"/>
      <c r="N32" s="49"/>
      <c r="O32" s="68"/>
      <c r="P32" s="68"/>
      <c r="Q32" s="49"/>
      <c r="R32" s="49"/>
      <c r="S32" s="49"/>
      <c r="T32" s="49"/>
      <c r="U32" s="49"/>
      <c r="V32" s="49"/>
      <c r="W32" s="49"/>
      <c r="X32" s="49"/>
      <c r="Y32" s="49"/>
      <c r="Z32" s="50"/>
      <c r="AA32" s="51"/>
      <c r="AB32" s="49"/>
      <c r="AC32" s="49"/>
      <c r="AD32" s="49"/>
      <c r="AE32" s="49"/>
      <c r="AF32" s="49"/>
      <c r="AG32" s="52"/>
    </row>
    <row r="33" spans="1:256" x14ac:dyDescent="0.3">
      <c r="A33" s="54"/>
      <c r="B33" s="54"/>
      <c r="C33" s="54"/>
      <c r="D33" s="54"/>
      <c r="E33" s="54"/>
      <c r="F33" s="54"/>
      <c r="G33" s="54"/>
      <c r="H33" s="54"/>
      <c r="I33" s="54"/>
      <c r="J33" s="85"/>
      <c r="K33" s="85"/>
      <c r="L33" s="85"/>
      <c r="M33" s="54"/>
      <c r="N33" s="54"/>
      <c r="O33" s="54"/>
      <c r="P33" s="82"/>
      <c r="Q33" s="54"/>
      <c r="R33" s="54"/>
      <c r="S33" s="54"/>
      <c r="T33" s="54"/>
      <c r="U33" s="54"/>
      <c r="V33" s="54"/>
      <c r="W33" s="54"/>
      <c r="X33" s="54"/>
      <c r="Y33" s="54"/>
      <c r="Z33" s="50"/>
      <c r="AA33" s="51"/>
      <c r="AB33" s="54"/>
      <c r="AC33" s="54"/>
      <c r="AD33" s="54"/>
      <c r="AE33" s="54"/>
      <c r="AF33" s="54"/>
      <c r="AG33" s="99"/>
      <c r="AH33" s="6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spans="1:256" x14ac:dyDescent="0.3">
      <c r="A34" s="48"/>
      <c r="B34" s="54"/>
      <c r="C34" s="44" t="s">
        <v>32</v>
      </c>
      <c r="D34" s="54"/>
      <c r="E34" s="54"/>
      <c r="F34" s="54"/>
      <c r="G34" s="44" t="s">
        <v>33</v>
      </c>
      <c r="H34" s="54"/>
      <c r="I34" s="54"/>
      <c r="J34" s="85"/>
      <c r="K34" s="85"/>
      <c r="L34" s="85"/>
      <c r="M34" s="54"/>
      <c r="N34" s="54"/>
      <c r="O34" s="54"/>
      <c r="P34" s="82"/>
      <c r="Q34" s="54"/>
      <c r="R34" s="54"/>
      <c r="S34" s="54"/>
      <c r="T34" s="54"/>
      <c r="U34" s="54"/>
      <c r="V34" s="54"/>
      <c r="W34" s="54"/>
      <c r="X34" s="54"/>
      <c r="Y34" s="54"/>
      <c r="Z34" s="50"/>
      <c r="AA34" s="51"/>
      <c r="AB34" s="54"/>
      <c r="AC34" s="54"/>
      <c r="AD34" s="54"/>
      <c r="AE34" s="54"/>
      <c r="AF34" s="54"/>
      <c r="AG34" s="99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</row>
    <row r="35" spans="1:256" x14ac:dyDescent="0.3">
      <c r="A35" s="51"/>
      <c r="B35" s="49"/>
      <c r="C35" s="70" t="s">
        <v>34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50"/>
      <c r="AA35" s="51"/>
      <c r="AB35" s="49"/>
      <c r="AC35" s="49"/>
      <c r="AD35" s="49"/>
      <c r="AE35" s="49"/>
      <c r="AF35" s="49"/>
      <c r="AG35" s="52"/>
    </row>
    <row r="36" spans="1:256" x14ac:dyDescent="0.3">
      <c r="A36" s="53"/>
      <c r="B36" s="49"/>
      <c r="C36" s="71"/>
      <c r="D36" s="49"/>
      <c r="E36" s="49"/>
      <c r="F36" s="49"/>
      <c r="G36" s="49"/>
      <c r="H36" s="49"/>
      <c r="I36" s="49"/>
      <c r="J36" s="58"/>
      <c r="K36" s="58"/>
      <c r="L36" s="58"/>
      <c r="M36" s="59"/>
      <c r="N36" s="59"/>
      <c r="O36" s="49"/>
      <c r="P36" s="49"/>
      <c r="Q36" s="49"/>
      <c r="R36" s="49"/>
      <c r="S36" s="49"/>
      <c r="T36" s="49"/>
      <c r="U36" s="49"/>
      <c r="V36" s="66"/>
      <c r="W36" s="66"/>
      <c r="X36" s="66"/>
      <c r="Y36" s="49"/>
      <c r="Z36" s="50"/>
      <c r="AA36" s="51"/>
      <c r="AB36" s="49"/>
      <c r="AC36" s="49"/>
      <c r="AD36" s="49"/>
      <c r="AE36" s="49"/>
      <c r="AF36" s="49"/>
      <c r="AG36" s="52"/>
    </row>
    <row r="37" spans="1:256" ht="15.6" x14ac:dyDescent="0.35">
      <c r="A37" s="53"/>
      <c r="B37" s="49"/>
      <c r="C37" s="72" t="s">
        <v>35</v>
      </c>
      <c r="D37" s="49"/>
      <c r="E37" s="49"/>
      <c r="F37" s="49"/>
      <c r="G37" s="49"/>
      <c r="H37" s="49"/>
      <c r="I37" s="49"/>
      <c r="J37" s="58"/>
      <c r="K37" s="58"/>
      <c r="L37" s="68" t="s">
        <v>36</v>
      </c>
      <c r="M37" s="73" t="s">
        <v>22</v>
      </c>
      <c r="N37" s="68" t="s">
        <v>37</v>
      </c>
      <c r="O37" s="59"/>
      <c r="P37" s="49"/>
      <c r="Q37" s="49"/>
      <c r="R37" s="49" t="s">
        <v>38</v>
      </c>
      <c r="S37" s="49"/>
      <c r="T37" s="49"/>
      <c r="U37" s="49"/>
      <c r="V37" s="66"/>
      <c r="W37" s="66"/>
      <c r="X37" s="66"/>
      <c r="Y37" s="49"/>
      <c r="Z37" s="50"/>
      <c r="AA37" s="51"/>
      <c r="AB37" s="49"/>
      <c r="AC37" s="49"/>
      <c r="AD37" s="49"/>
      <c r="AE37" s="49"/>
      <c r="AF37" s="49"/>
      <c r="AG37" s="52"/>
    </row>
    <row r="38" spans="1:256" x14ac:dyDescent="0.3">
      <c r="A38" s="53"/>
      <c r="B38" s="49"/>
      <c r="C38" s="71"/>
      <c r="D38" s="49"/>
      <c r="E38" s="49"/>
      <c r="F38" s="49"/>
      <c r="G38" s="49"/>
      <c r="H38" s="49"/>
      <c r="I38" s="49"/>
      <c r="J38" s="58"/>
      <c r="K38" s="58"/>
      <c r="L38" s="58"/>
      <c r="M38" s="59"/>
      <c r="N38" s="59"/>
      <c r="O38" s="49"/>
      <c r="P38" s="49"/>
      <c r="Q38" s="49"/>
      <c r="R38" s="49"/>
      <c r="S38" s="49"/>
      <c r="T38" s="49"/>
      <c r="U38" s="49"/>
      <c r="V38" s="66"/>
      <c r="W38" s="66"/>
      <c r="X38" s="66"/>
      <c r="Y38" s="49"/>
      <c r="Z38" s="50"/>
      <c r="AA38" s="51"/>
      <c r="AB38" s="49"/>
      <c r="AC38" s="49"/>
      <c r="AD38" s="49"/>
      <c r="AE38" s="49"/>
      <c r="AF38" s="49"/>
      <c r="AG38" s="52"/>
    </row>
    <row r="39" spans="1:256" x14ac:dyDescent="0.3">
      <c r="A39" s="53"/>
      <c r="B39" s="49"/>
      <c r="C39" s="68"/>
      <c r="D39" s="72" t="s">
        <v>39</v>
      </c>
      <c r="E39" s="49"/>
      <c r="F39" s="49"/>
      <c r="G39" s="49"/>
      <c r="H39" s="49"/>
      <c r="I39" s="49"/>
      <c r="J39" s="58"/>
      <c r="K39" s="58"/>
      <c r="L39" s="58"/>
      <c r="M39" s="59"/>
      <c r="N39" s="59"/>
      <c r="O39" s="49"/>
      <c r="P39" s="49"/>
      <c r="Q39" s="49"/>
      <c r="R39" s="49"/>
      <c r="S39" s="49"/>
      <c r="T39" s="49"/>
      <c r="U39" s="49"/>
      <c r="V39" s="66"/>
      <c r="W39" s="66"/>
      <c r="X39" s="66"/>
      <c r="Y39" s="49"/>
      <c r="Z39" s="50"/>
      <c r="AA39" s="51"/>
      <c r="AB39" s="49"/>
      <c r="AC39" s="49"/>
      <c r="AD39" s="49"/>
      <c r="AE39" s="49"/>
      <c r="AF39" s="49"/>
      <c r="AG39" s="52"/>
    </row>
    <row r="40" spans="1:256" x14ac:dyDescent="0.3">
      <c r="A40" s="53"/>
      <c r="B40" s="49"/>
      <c r="C40" s="72"/>
      <c r="D40" s="49"/>
      <c r="E40" s="49"/>
      <c r="F40" s="49"/>
      <c r="G40" s="49" t="s">
        <v>40</v>
      </c>
      <c r="H40" s="49"/>
      <c r="I40" s="57" t="s">
        <v>22</v>
      </c>
      <c r="J40" s="58" t="s">
        <v>41</v>
      </c>
      <c r="K40" s="58"/>
      <c r="L40" s="58"/>
      <c r="M40" s="59"/>
      <c r="N40" s="59"/>
      <c r="O40" s="49"/>
      <c r="P40" s="49"/>
      <c r="Q40" s="49"/>
      <c r="R40" s="49"/>
      <c r="S40" s="49"/>
      <c r="T40" s="49"/>
      <c r="U40" s="49"/>
      <c r="V40" s="66"/>
      <c r="W40" s="66"/>
      <c r="X40" s="66"/>
      <c r="Y40" s="49"/>
      <c r="Z40" s="50"/>
      <c r="AA40" s="51"/>
      <c r="AB40" s="49"/>
      <c r="AC40" s="49"/>
      <c r="AD40" s="49"/>
      <c r="AE40" s="49"/>
      <c r="AF40" s="49"/>
      <c r="AG40" s="52"/>
    </row>
    <row r="41" spans="1:256" x14ac:dyDescent="0.3">
      <c r="A41" s="53"/>
      <c r="B41" s="49"/>
      <c r="C41" s="72"/>
      <c r="D41" s="49"/>
      <c r="E41" s="49"/>
      <c r="F41" s="49"/>
      <c r="G41" s="49" t="s">
        <v>42</v>
      </c>
      <c r="H41" s="49"/>
      <c r="I41" s="57" t="s">
        <v>22</v>
      </c>
      <c r="J41" s="58" t="s">
        <v>43</v>
      </c>
      <c r="K41" s="58"/>
      <c r="L41" s="58"/>
      <c r="M41" s="59"/>
      <c r="N41" s="59"/>
      <c r="O41" s="49"/>
      <c r="P41" s="49"/>
      <c r="Q41" s="49"/>
      <c r="R41" s="49"/>
      <c r="S41" s="49"/>
      <c r="T41" s="49"/>
      <c r="U41" s="49"/>
      <c r="V41" s="66"/>
      <c r="W41" s="66"/>
      <c r="X41" s="66"/>
      <c r="Y41" s="49"/>
      <c r="Z41" s="50"/>
      <c r="AA41" s="51"/>
      <c r="AB41" s="49"/>
      <c r="AC41" s="49"/>
      <c r="AD41" s="49"/>
      <c r="AE41" s="49"/>
      <c r="AF41" s="49"/>
      <c r="AG41" s="52"/>
    </row>
    <row r="42" spans="1:256" x14ac:dyDescent="0.3">
      <c r="A42" s="53"/>
      <c r="B42" s="49"/>
      <c r="C42" s="72"/>
      <c r="D42" s="49"/>
      <c r="E42" s="49"/>
      <c r="F42" s="49"/>
      <c r="G42" s="49" t="s">
        <v>44</v>
      </c>
      <c r="H42" s="49"/>
      <c r="I42" s="57" t="s">
        <v>22</v>
      </c>
      <c r="J42" s="58" t="s">
        <v>45</v>
      </c>
      <c r="K42" s="58"/>
      <c r="L42" s="58"/>
      <c r="M42" s="59"/>
      <c r="N42" s="59"/>
      <c r="O42" s="49"/>
      <c r="P42" s="49"/>
      <c r="Q42" s="49"/>
      <c r="R42" s="49"/>
      <c r="S42" s="49"/>
      <c r="T42" s="49"/>
      <c r="U42" s="49"/>
      <c r="V42" s="66"/>
      <c r="W42" s="66"/>
      <c r="X42" s="66"/>
      <c r="Y42" s="49"/>
      <c r="Z42" s="50"/>
      <c r="AA42" s="51"/>
      <c r="AB42" s="49"/>
      <c r="AC42" s="49"/>
      <c r="AD42" s="49"/>
      <c r="AE42" s="49"/>
      <c r="AF42" s="49"/>
      <c r="AG42" s="52"/>
    </row>
    <row r="43" spans="1:256" x14ac:dyDescent="0.3">
      <c r="A43" s="53"/>
      <c r="B43" s="49"/>
      <c r="C43" s="72"/>
      <c r="D43" s="49"/>
      <c r="E43" s="49"/>
      <c r="F43" s="49"/>
      <c r="G43" s="49" t="s">
        <v>46</v>
      </c>
      <c r="H43" s="49"/>
      <c r="I43" s="57" t="s">
        <v>22</v>
      </c>
      <c r="J43" s="58" t="s">
        <v>47</v>
      </c>
      <c r="K43" s="58"/>
      <c r="L43" s="58"/>
      <c r="M43" s="59"/>
      <c r="N43" s="59"/>
      <c r="O43" s="49"/>
      <c r="P43" s="49"/>
      <c r="Q43" s="49"/>
      <c r="R43" s="49"/>
      <c r="S43" s="49"/>
      <c r="T43" s="49"/>
      <c r="U43" s="49"/>
      <c r="V43" s="66"/>
      <c r="W43" s="66"/>
      <c r="X43" s="66"/>
      <c r="Y43" s="49"/>
      <c r="Z43" s="50"/>
      <c r="AA43" s="51"/>
      <c r="AB43" s="49"/>
      <c r="AC43" s="49"/>
      <c r="AD43" s="49"/>
      <c r="AE43" s="49"/>
      <c r="AF43" s="49"/>
      <c r="AG43" s="52"/>
    </row>
    <row r="44" spans="1:256" x14ac:dyDescent="0.3">
      <c r="A44" s="53"/>
      <c r="B44" s="49"/>
      <c r="C44" s="72"/>
      <c r="D44" s="49"/>
      <c r="E44" s="49"/>
      <c r="F44" s="49"/>
      <c r="G44" s="49"/>
      <c r="H44" s="49"/>
      <c r="I44" s="57" t="s">
        <v>22</v>
      </c>
      <c r="J44" s="58" t="s">
        <v>48</v>
      </c>
      <c r="K44" s="58"/>
      <c r="L44" s="58"/>
      <c r="M44" s="59"/>
      <c r="N44" s="59"/>
      <c r="O44" s="49"/>
      <c r="P44" s="49"/>
      <c r="Q44" s="49"/>
      <c r="R44" s="49"/>
      <c r="S44" s="49"/>
      <c r="T44" s="49"/>
      <c r="U44" s="49"/>
      <c r="V44" s="66"/>
      <c r="W44" s="66"/>
      <c r="X44" s="66"/>
      <c r="Y44" s="49"/>
      <c r="Z44" s="50"/>
      <c r="AA44" s="51"/>
      <c r="AB44" s="49"/>
      <c r="AC44" s="49"/>
      <c r="AD44" s="49"/>
      <c r="AE44" s="49"/>
      <c r="AF44" s="49"/>
      <c r="AG44" s="52"/>
    </row>
    <row r="45" spans="1:256" x14ac:dyDescent="0.3">
      <c r="A45" s="53"/>
      <c r="B45" s="49"/>
      <c r="C45" s="72"/>
      <c r="D45" s="49"/>
      <c r="E45" s="49"/>
      <c r="F45" s="49"/>
      <c r="G45" s="49" t="s">
        <v>49</v>
      </c>
      <c r="H45" s="49"/>
      <c r="I45" s="57" t="s">
        <v>22</v>
      </c>
      <c r="J45" s="58" t="s">
        <v>50</v>
      </c>
      <c r="K45" s="58"/>
      <c r="L45" s="58"/>
      <c r="M45" s="58"/>
      <c r="N45" s="59"/>
      <c r="O45" s="49"/>
      <c r="P45" s="59"/>
      <c r="Q45" s="59"/>
      <c r="R45" s="49"/>
      <c r="S45" s="50"/>
      <c r="T45" s="49"/>
      <c r="U45" s="49"/>
      <c r="V45" s="66"/>
      <c r="W45" s="66"/>
      <c r="X45" s="66"/>
      <c r="Y45" s="53"/>
      <c r="Z45" s="50"/>
      <c r="AA45" s="51"/>
      <c r="AB45" s="50"/>
      <c r="AC45" s="53"/>
      <c r="AD45" s="49"/>
      <c r="AE45" s="49"/>
      <c r="AF45" s="49"/>
      <c r="AG45" s="52"/>
    </row>
    <row r="46" spans="1:256" x14ac:dyDescent="0.3">
      <c r="A46" s="51"/>
      <c r="B46" s="49"/>
      <c r="C46" s="49" t="s">
        <v>51</v>
      </c>
      <c r="D46" s="49"/>
      <c r="E46" s="49"/>
      <c r="F46" s="49"/>
      <c r="G46" s="49"/>
      <c r="H46" s="49"/>
      <c r="I46" s="49"/>
      <c r="J46" s="49"/>
      <c r="K46" s="57"/>
      <c r="L46" s="66"/>
      <c r="M46" s="66"/>
      <c r="N46" s="49"/>
      <c r="O46" s="49"/>
      <c r="P46" s="59"/>
      <c r="Q46" s="59"/>
      <c r="R46" s="49"/>
      <c r="S46" s="50"/>
      <c r="T46" s="60"/>
      <c r="U46" s="60"/>
      <c r="V46" s="57"/>
      <c r="W46" s="61"/>
      <c r="X46" s="61"/>
      <c r="Y46" s="53"/>
      <c r="Z46" s="50"/>
      <c r="AA46" s="51"/>
      <c r="AB46" s="62"/>
      <c r="AC46" s="63"/>
      <c r="AD46" s="49"/>
      <c r="AE46" s="49"/>
      <c r="AF46" s="49"/>
      <c r="AG46" s="52"/>
    </row>
    <row r="47" spans="1:256" x14ac:dyDescent="0.3">
      <c r="A47" s="51"/>
      <c r="B47" s="49"/>
      <c r="C47" s="49" t="s">
        <v>52</v>
      </c>
      <c r="D47" s="49"/>
      <c r="E47" s="68"/>
      <c r="F47" s="49"/>
      <c r="G47" s="49"/>
      <c r="H47" s="49"/>
      <c r="I47" s="50"/>
      <c r="J47" s="79"/>
      <c r="K47" s="90"/>
      <c r="L47" s="69"/>
      <c r="M47" s="66"/>
      <c r="N47" s="49"/>
      <c r="O47" s="49"/>
      <c r="P47" s="59"/>
      <c r="Q47" s="59"/>
      <c r="R47" s="49"/>
      <c r="S47" s="50"/>
      <c r="T47" s="60"/>
      <c r="U47" s="60"/>
      <c r="V47" s="57"/>
      <c r="W47" s="61"/>
      <c r="X47" s="133">
        <f>45.7*1.2</f>
        <v>54.84</v>
      </c>
      <c r="Y47" s="134"/>
      <c r="Z47" s="53" t="s">
        <v>53</v>
      </c>
      <c r="AA47" s="51"/>
      <c r="AB47" s="62"/>
      <c r="AC47" s="63"/>
      <c r="AD47" s="49"/>
      <c r="AE47" s="49"/>
      <c r="AF47" s="49"/>
      <c r="AG47" s="52"/>
    </row>
    <row r="48" spans="1:256" ht="16.2" thickBot="1" x14ac:dyDescent="0.4">
      <c r="A48" s="51"/>
      <c r="B48" s="49"/>
      <c r="C48" s="49"/>
      <c r="D48" s="49"/>
      <c r="E48" s="49"/>
      <c r="F48" s="49"/>
      <c r="G48" s="49" t="s">
        <v>54</v>
      </c>
      <c r="H48" s="49"/>
      <c r="I48" s="64" t="s">
        <v>22</v>
      </c>
      <c r="J48" s="92" t="str">
        <f>CONCATENATE(X47,"/ 2000")</f>
        <v>54.84/ 2000</v>
      </c>
      <c r="K48" s="89"/>
      <c r="L48" s="53"/>
      <c r="M48" s="66"/>
      <c r="N48" s="49"/>
      <c r="O48" s="49"/>
      <c r="P48" s="59"/>
      <c r="Q48" s="59"/>
      <c r="R48" s="49"/>
      <c r="S48" s="50"/>
      <c r="T48" s="60"/>
      <c r="U48" s="60"/>
      <c r="V48" s="57"/>
      <c r="W48" s="61"/>
      <c r="X48" s="61"/>
      <c r="Y48" s="53"/>
      <c r="Z48" s="50"/>
      <c r="AA48" s="51"/>
      <c r="AB48" s="62"/>
      <c r="AC48" s="63"/>
      <c r="AD48" s="49"/>
      <c r="AE48" s="49"/>
      <c r="AF48" s="49"/>
      <c r="AG48" s="52"/>
    </row>
    <row r="49" spans="1:33" ht="15" thickBot="1" x14ac:dyDescent="0.35">
      <c r="A49" s="51"/>
      <c r="B49" s="49"/>
      <c r="C49" s="49"/>
      <c r="D49" s="49"/>
      <c r="E49" s="49"/>
      <c r="F49" s="49"/>
      <c r="G49" s="49"/>
      <c r="H49" s="49"/>
      <c r="I49" s="64" t="s">
        <v>22</v>
      </c>
      <c r="J49" s="135">
        <f>X47*1000/2000</f>
        <v>27.42</v>
      </c>
      <c r="K49" s="136"/>
      <c r="L49" s="69"/>
      <c r="M49" s="66"/>
      <c r="N49" s="49"/>
      <c r="O49" s="49"/>
      <c r="P49" s="59"/>
      <c r="Q49" s="59"/>
      <c r="R49" s="49"/>
      <c r="S49" s="50"/>
      <c r="T49" s="60"/>
      <c r="U49" s="60"/>
      <c r="V49" s="57"/>
      <c r="W49" s="61"/>
      <c r="X49" s="61"/>
      <c r="Y49" s="53"/>
      <c r="Z49" s="50"/>
      <c r="AA49" s="51"/>
      <c r="AB49" s="62"/>
      <c r="AC49" s="63"/>
      <c r="AD49" s="49"/>
      <c r="AE49" s="49"/>
      <c r="AF49" s="49"/>
      <c r="AG49" s="52"/>
    </row>
    <row r="50" spans="1:33" ht="16.2" thickBot="1" x14ac:dyDescent="0.4">
      <c r="A50" s="51"/>
      <c r="B50" s="49"/>
      <c r="C50" s="49"/>
      <c r="D50" s="49"/>
      <c r="E50" s="49"/>
      <c r="F50" s="49"/>
      <c r="G50" s="49" t="s">
        <v>55</v>
      </c>
      <c r="H50" s="49"/>
      <c r="I50" s="64" t="s">
        <v>22</v>
      </c>
      <c r="J50" s="119">
        <v>14</v>
      </c>
      <c r="K50" s="120"/>
      <c r="L50" s="69"/>
      <c r="M50" s="66"/>
      <c r="N50" s="49"/>
      <c r="O50" s="49"/>
      <c r="P50" s="59"/>
      <c r="Q50" s="59"/>
      <c r="R50" s="49"/>
      <c r="S50" s="50"/>
      <c r="T50" s="60"/>
      <c r="U50" s="60"/>
      <c r="V50" s="57"/>
      <c r="W50" s="61"/>
      <c r="X50" s="61"/>
      <c r="Y50" s="53"/>
      <c r="Z50" s="50"/>
      <c r="AA50" s="51"/>
      <c r="AB50" s="62"/>
      <c r="AC50" s="63"/>
      <c r="AD50" s="49"/>
      <c r="AE50" s="49"/>
      <c r="AF50" s="49"/>
      <c r="AG50" s="52"/>
    </row>
    <row r="51" spans="1:33" x14ac:dyDescent="0.3">
      <c r="A51" s="51"/>
      <c r="B51" s="49"/>
      <c r="C51" s="49"/>
      <c r="D51" s="49"/>
      <c r="E51" s="49"/>
      <c r="F51" s="49"/>
      <c r="G51" s="49"/>
      <c r="H51" s="49"/>
      <c r="I51" s="49"/>
      <c r="J51" s="59"/>
      <c r="K51" s="65"/>
      <c r="L51" s="66"/>
      <c r="M51" s="66"/>
      <c r="N51" s="49"/>
      <c r="O51" s="49"/>
      <c r="P51" s="59"/>
      <c r="Q51" s="59"/>
      <c r="R51" s="49"/>
      <c r="S51" s="50"/>
      <c r="T51" s="60"/>
      <c r="U51" s="60"/>
      <c r="V51" s="57"/>
      <c r="W51" s="61"/>
      <c r="X51" s="61"/>
      <c r="Y51" s="53"/>
      <c r="Z51" s="50"/>
      <c r="AA51" s="51"/>
      <c r="AB51" s="62"/>
      <c r="AC51" s="63"/>
      <c r="AD51" s="49"/>
      <c r="AE51" s="49"/>
      <c r="AF51" s="49"/>
      <c r="AG51" s="52"/>
    </row>
    <row r="52" spans="1:33" ht="15.6" x14ac:dyDescent="0.35">
      <c r="A52" s="51"/>
      <c r="B52" s="49"/>
      <c r="C52" s="49"/>
      <c r="D52" s="49"/>
      <c r="E52" s="49"/>
      <c r="F52" s="49"/>
      <c r="G52" s="49" t="s">
        <v>56</v>
      </c>
      <c r="H52" s="49"/>
      <c r="I52" s="57" t="s">
        <v>22</v>
      </c>
      <c r="J52" s="49" t="s">
        <v>57</v>
      </c>
      <c r="K52" s="57"/>
      <c r="L52" s="66"/>
      <c r="M52" s="66"/>
      <c r="N52" s="49"/>
      <c r="O52" s="49"/>
      <c r="P52" s="59"/>
      <c r="Q52" s="59"/>
      <c r="R52" s="49"/>
      <c r="S52" s="50"/>
      <c r="T52" s="60"/>
      <c r="U52" s="60"/>
      <c r="V52" s="57"/>
      <c r="W52" s="61"/>
      <c r="X52" s="61"/>
      <c r="Y52" s="53"/>
      <c r="Z52" s="50"/>
      <c r="AA52" s="51"/>
      <c r="AB52" s="62"/>
      <c r="AC52" s="63"/>
      <c r="AD52" s="49"/>
      <c r="AE52" s="49"/>
      <c r="AF52" s="49"/>
      <c r="AG52" s="52"/>
    </row>
    <row r="53" spans="1:33" x14ac:dyDescent="0.3">
      <c r="A53" s="51"/>
      <c r="B53" s="49"/>
      <c r="C53" s="49"/>
      <c r="D53" s="49"/>
      <c r="E53" s="49"/>
      <c r="F53" s="49"/>
      <c r="G53" s="49"/>
      <c r="H53" s="49"/>
      <c r="I53" s="49"/>
      <c r="J53" s="49"/>
      <c r="K53" s="57"/>
      <c r="L53" s="66"/>
      <c r="M53" s="66"/>
      <c r="N53" s="49"/>
      <c r="O53" s="49"/>
      <c r="P53" s="59"/>
      <c r="Q53" s="59"/>
      <c r="R53" s="49"/>
      <c r="S53" s="50"/>
      <c r="T53" s="60"/>
      <c r="U53" s="60"/>
      <c r="V53" s="57"/>
      <c r="W53" s="61"/>
      <c r="X53" s="61"/>
      <c r="Y53" s="53"/>
      <c r="Z53" s="50"/>
      <c r="AA53" s="51"/>
      <c r="AB53" s="62"/>
      <c r="AC53" s="63"/>
      <c r="AD53" s="49"/>
      <c r="AE53" s="49"/>
      <c r="AF53" s="49"/>
      <c r="AG53" s="52"/>
    </row>
    <row r="54" spans="1:33" x14ac:dyDescent="0.3">
      <c r="A54" s="51"/>
      <c r="B54" s="49"/>
      <c r="C54" s="49"/>
      <c r="D54" s="49" t="s">
        <v>58</v>
      </c>
      <c r="E54" s="49"/>
      <c r="F54" s="49"/>
      <c r="G54" s="49"/>
      <c r="H54" s="49"/>
      <c r="I54" s="49"/>
      <c r="J54" s="49"/>
      <c r="K54" s="57"/>
      <c r="L54" s="66"/>
      <c r="M54" s="66"/>
      <c r="N54" s="49"/>
      <c r="O54" s="49"/>
      <c r="P54" s="59"/>
      <c r="Q54" s="59"/>
      <c r="R54" s="49"/>
      <c r="S54" s="50"/>
      <c r="T54" s="60"/>
      <c r="U54" s="60"/>
      <c r="V54" s="57"/>
      <c r="W54" s="61"/>
      <c r="X54" s="61"/>
      <c r="Y54" s="53"/>
      <c r="Z54" s="50"/>
      <c r="AA54" s="51"/>
      <c r="AB54" s="62"/>
      <c r="AC54" s="63"/>
      <c r="AD54" s="49"/>
      <c r="AE54" s="49"/>
      <c r="AF54" s="49"/>
      <c r="AG54" s="52"/>
    </row>
    <row r="55" spans="1:33" x14ac:dyDescent="0.3">
      <c r="A55" s="51"/>
      <c r="B55" s="49"/>
      <c r="C55" s="49"/>
      <c r="D55" s="49"/>
      <c r="E55" s="49"/>
      <c r="F55" s="49"/>
      <c r="G55" s="49"/>
      <c r="H55" s="49"/>
      <c r="I55" s="49"/>
      <c r="J55" s="49"/>
      <c r="K55" s="57"/>
      <c r="L55" s="66"/>
      <c r="M55" s="66"/>
      <c r="N55" s="49"/>
      <c r="O55" s="49"/>
      <c r="P55" s="59"/>
      <c r="Q55" s="59"/>
      <c r="R55" s="49"/>
      <c r="S55" s="50"/>
      <c r="T55" s="60"/>
      <c r="U55" s="60"/>
      <c r="V55" s="57"/>
      <c r="W55" s="61"/>
      <c r="X55" s="61"/>
      <c r="Y55" s="53"/>
      <c r="Z55" s="50"/>
      <c r="AA55" s="51"/>
      <c r="AB55" s="62"/>
      <c r="AC55" s="63"/>
      <c r="AD55" s="49"/>
      <c r="AE55" s="49"/>
      <c r="AF55" s="49"/>
      <c r="AG55" s="52"/>
    </row>
    <row r="56" spans="1:33" ht="15" thickBot="1" x14ac:dyDescent="0.35">
      <c r="A56" s="51"/>
      <c r="B56" s="49"/>
      <c r="C56" s="49" t="s">
        <v>59</v>
      </c>
      <c r="D56" s="49"/>
      <c r="E56" s="49"/>
      <c r="F56" s="49"/>
      <c r="G56" s="49"/>
      <c r="H56" s="49"/>
      <c r="I56" s="49"/>
      <c r="J56" s="49"/>
      <c r="K56" s="49"/>
      <c r="L56" s="66"/>
      <c r="M56" s="66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50"/>
      <c r="AA56" s="51"/>
      <c r="AB56" s="49"/>
      <c r="AC56" s="49"/>
      <c r="AD56" s="49"/>
      <c r="AE56" s="49"/>
      <c r="AF56" s="49"/>
      <c r="AG56" s="52"/>
    </row>
    <row r="57" spans="1:33" ht="15" thickBot="1" x14ac:dyDescent="0.35">
      <c r="A57" s="51"/>
      <c r="B57" s="49"/>
      <c r="C57" s="49" t="s">
        <v>60</v>
      </c>
      <c r="D57" s="49"/>
      <c r="E57" s="49"/>
      <c r="F57" s="49"/>
      <c r="G57" s="49"/>
      <c r="H57" s="49"/>
      <c r="I57" s="49"/>
      <c r="J57" s="68"/>
      <c r="K57" s="49" t="s">
        <v>22</v>
      </c>
      <c r="L57" s="119">
        <v>3.5</v>
      </c>
      <c r="M57" s="120"/>
      <c r="N57" s="53" t="s">
        <v>61</v>
      </c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50"/>
      <c r="AA57" s="51"/>
      <c r="AB57" s="49"/>
      <c r="AC57" s="49"/>
      <c r="AD57" s="49"/>
      <c r="AE57" s="49"/>
      <c r="AF57" s="49"/>
      <c r="AG57" s="52"/>
    </row>
    <row r="58" spans="1:33" ht="15" thickBot="1" x14ac:dyDescent="0.35">
      <c r="A58" s="51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59"/>
      <c r="M58" s="59"/>
      <c r="N58" s="49"/>
      <c r="O58" s="49"/>
      <c r="P58" s="49"/>
      <c r="Q58" s="66"/>
      <c r="R58" s="66"/>
      <c r="S58" s="49"/>
      <c r="T58" s="49"/>
      <c r="U58" s="49"/>
      <c r="V58" s="49"/>
      <c r="W58" s="49"/>
      <c r="X58" s="49"/>
      <c r="Y58" s="49"/>
      <c r="Z58" s="50"/>
      <c r="AA58" s="51"/>
      <c r="AB58" s="49"/>
      <c r="AC58" s="49"/>
      <c r="AD58" s="49"/>
      <c r="AE58" s="49"/>
      <c r="AF58" s="49"/>
      <c r="AG58" s="52"/>
    </row>
    <row r="59" spans="1:33" ht="15" thickBot="1" x14ac:dyDescent="0.35">
      <c r="A59" s="51"/>
      <c r="B59" s="49"/>
      <c r="C59" s="49" t="s">
        <v>62</v>
      </c>
      <c r="D59" s="49"/>
      <c r="E59" s="49"/>
      <c r="F59" s="49"/>
      <c r="G59" s="49"/>
      <c r="H59" s="49"/>
      <c r="I59" s="49"/>
      <c r="J59" s="49"/>
      <c r="K59" s="50" t="s">
        <v>22</v>
      </c>
      <c r="L59" s="137">
        <v>50</v>
      </c>
      <c r="M59" s="138"/>
      <c r="N59" s="53" t="s">
        <v>63</v>
      </c>
      <c r="O59" s="49"/>
      <c r="P59" s="49" t="s">
        <v>64</v>
      </c>
      <c r="Q59" s="49"/>
      <c r="R59" s="49"/>
      <c r="S59" s="49"/>
      <c r="T59" s="49"/>
      <c r="U59" s="68"/>
      <c r="V59" s="68"/>
      <c r="W59" s="68"/>
      <c r="X59" s="68"/>
      <c r="Y59" s="68"/>
      <c r="Z59" s="50"/>
      <c r="AA59" s="51"/>
      <c r="AB59" s="49"/>
      <c r="AC59" s="49"/>
      <c r="AD59" s="49"/>
      <c r="AE59" s="49"/>
      <c r="AF59" s="49"/>
      <c r="AG59" s="52"/>
    </row>
    <row r="60" spans="1:33" ht="16.2" thickBot="1" x14ac:dyDescent="0.4">
      <c r="A60" s="51"/>
      <c r="B60" s="49"/>
      <c r="C60" s="49" t="s">
        <v>65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66">
        <v>2</v>
      </c>
      <c r="R60" s="67" t="s">
        <v>27</v>
      </c>
      <c r="S60" s="139">
        <f>L57</f>
        <v>3.5</v>
      </c>
      <c r="T60" s="140"/>
      <c r="U60" s="67" t="s">
        <v>27</v>
      </c>
      <c r="V60" s="133">
        <f>L59/1000</f>
        <v>0.05</v>
      </c>
      <c r="W60" s="141"/>
      <c r="X60" s="49"/>
      <c r="Y60" s="49"/>
      <c r="Z60" s="50"/>
      <c r="AA60" s="51"/>
      <c r="AB60" s="49"/>
      <c r="AC60" s="49"/>
      <c r="AD60" s="49"/>
      <c r="AE60" s="49"/>
      <c r="AF60" s="49"/>
      <c r="AG60" s="52"/>
    </row>
    <row r="61" spans="1:33" ht="15" thickBot="1" x14ac:dyDescent="0.35">
      <c r="A61" s="51"/>
      <c r="B61" s="49"/>
      <c r="C61" s="49"/>
      <c r="D61" s="49"/>
      <c r="E61" s="49"/>
      <c r="F61" s="49"/>
      <c r="G61" s="49"/>
      <c r="H61" s="49"/>
      <c r="I61" s="49"/>
      <c r="J61" s="49"/>
      <c r="K61" s="68" t="s">
        <v>22</v>
      </c>
      <c r="L61" s="129">
        <f>Q60*S60*V60</f>
        <v>0.35000000000000003</v>
      </c>
      <c r="M61" s="130"/>
      <c r="N61" s="53" t="s">
        <v>66</v>
      </c>
      <c r="O61" s="49"/>
      <c r="P61" s="68"/>
      <c r="Q61" s="49"/>
      <c r="R61" s="49"/>
      <c r="S61" s="49"/>
      <c r="T61" s="49"/>
      <c r="U61" s="49"/>
      <c r="V61" s="49"/>
      <c r="W61" s="49"/>
      <c r="X61" s="49"/>
      <c r="Y61" s="49"/>
      <c r="Z61" s="50"/>
      <c r="AA61" s="51"/>
      <c r="AB61" s="49"/>
      <c r="AC61" s="49"/>
      <c r="AD61" s="49"/>
      <c r="AE61" s="49"/>
      <c r="AF61" s="49"/>
      <c r="AG61" s="52"/>
    </row>
    <row r="62" spans="1:33" ht="15" thickBot="1" x14ac:dyDescent="0.35">
      <c r="A62" s="5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66"/>
      <c r="M62" s="66"/>
      <c r="N62" s="49"/>
      <c r="O62" s="49"/>
      <c r="P62" s="49"/>
      <c r="Q62" s="49"/>
      <c r="R62" s="49"/>
      <c r="S62" s="49"/>
      <c r="T62" s="49"/>
      <c r="U62" s="49"/>
      <c r="V62" s="59"/>
      <c r="W62" s="59"/>
      <c r="X62" s="59"/>
      <c r="Y62" s="49"/>
      <c r="Z62" s="50"/>
      <c r="AA62" s="51"/>
      <c r="AB62" s="49"/>
      <c r="AC62" s="49"/>
      <c r="AD62" s="49"/>
      <c r="AE62" s="49"/>
      <c r="AF62" s="49"/>
      <c r="AG62" s="52"/>
    </row>
    <row r="63" spans="1:33" ht="16.2" thickBot="1" x14ac:dyDescent="0.4">
      <c r="A63" s="51"/>
      <c r="B63" s="49"/>
      <c r="C63" s="49"/>
      <c r="D63" s="49"/>
      <c r="E63" s="49"/>
      <c r="F63" s="49"/>
      <c r="G63" s="49" t="s">
        <v>56</v>
      </c>
      <c r="H63" s="49"/>
      <c r="I63" s="57"/>
      <c r="J63" s="87"/>
      <c r="K63" s="88" t="s">
        <v>22</v>
      </c>
      <c r="L63" s="131">
        <f>L61</f>
        <v>0.35000000000000003</v>
      </c>
      <c r="M63" s="132"/>
      <c r="N63" s="53"/>
      <c r="O63" s="49"/>
      <c r="P63" s="49"/>
      <c r="Q63" s="49"/>
      <c r="R63" s="49"/>
      <c r="S63" s="50"/>
      <c r="T63" s="60"/>
      <c r="U63" s="60"/>
      <c r="V63" s="57"/>
      <c r="W63" s="61"/>
      <c r="X63" s="61"/>
      <c r="Y63" s="53"/>
      <c r="Z63" s="50"/>
      <c r="AA63" s="51"/>
      <c r="AB63" s="62"/>
      <c r="AC63" s="63"/>
      <c r="AD63" s="49"/>
      <c r="AE63" s="49"/>
      <c r="AF63" s="49"/>
      <c r="AG63" s="52"/>
    </row>
    <row r="64" spans="1:33" x14ac:dyDescent="0.3">
      <c r="A64" s="51"/>
      <c r="B64" s="49"/>
      <c r="C64" s="49"/>
      <c r="D64" s="49"/>
      <c r="E64" s="49"/>
      <c r="F64" s="49"/>
      <c r="G64" s="49"/>
      <c r="H64" s="49"/>
      <c r="I64" s="49"/>
      <c r="J64" s="49"/>
      <c r="K64" s="57"/>
      <c r="L64" s="66"/>
      <c r="M64" s="66"/>
      <c r="N64" s="49"/>
      <c r="O64" s="49"/>
      <c r="P64" s="59"/>
      <c r="Q64" s="59"/>
      <c r="R64" s="49"/>
      <c r="S64" s="50"/>
      <c r="T64" s="60"/>
      <c r="U64" s="60"/>
      <c r="V64" s="57"/>
      <c r="W64" s="61"/>
      <c r="X64" s="61"/>
      <c r="Y64" s="53"/>
      <c r="Z64" s="50"/>
      <c r="AA64" s="51"/>
      <c r="AB64" s="62"/>
      <c r="AC64" s="63"/>
      <c r="AD64" s="49"/>
      <c r="AE64" s="49"/>
      <c r="AF64" s="49"/>
      <c r="AG64" s="52"/>
    </row>
    <row r="65" spans="1:33" ht="15.6" x14ac:dyDescent="0.35">
      <c r="A65" s="51"/>
      <c r="B65" s="49"/>
      <c r="C65" s="49" t="s">
        <v>67</v>
      </c>
      <c r="D65" s="49"/>
      <c r="E65" s="49"/>
      <c r="F65" s="49"/>
      <c r="G65" s="49"/>
      <c r="H65" s="49"/>
      <c r="I65" s="49"/>
      <c r="J65" s="49"/>
      <c r="K65" s="57" t="s">
        <v>22</v>
      </c>
      <c r="L65" s="66">
        <f>J49</f>
        <v>27.42</v>
      </c>
      <c r="M65" s="67" t="s">
        <v>27</v>
      </c>
      <c r="N65" s="49" t="str">
        <f>CONCATENATE("(",J50, " + ", L63,")")</f>
        <v>(14 + 0.35)</v>
      </c>
      <c r="O65" s="49"/>
      <c r="P65" s="59"/>
      <c r="Q65" s="59"/>
      <c r="R65" s="49"/>
      <c r="S65" s="50"/>
      <c r="T65" s="60"/>
      <c r="U65" s="60"/>
      <c r="V65" s="57"/>
      <c r="W65" s="61"/>
      <c r="X65" s="61"/>
      <c r="Y65" s="53"/>
      <c r="Z65" s="50"/>
      <c r="AA65" s="51"/>
      <c r="AB65" s="62"/>
      <c r="AC65" s="63"/>
      <c r="AD65" s="49"/>
      <c r="AE65" s="49"/>
      <c r="AF65" s="49"/>
      <c r="AG65" s="52"/>
    </row>
    <row r="66" spans="1:33" x14ac:dyDescent="0.3">
      <c r="A66" s="51"/>
      <c r="B66" s="49"/>
      <c r="C66" s="49"/>
      <c r="D66" s="49"/>
      <c r="E66" s="49"/>
      <c r="F66" s="49"/>
      <c r="G66" s="49"/>
      <c r="H66" s="49"/>
      <c r="I66" s="49"/>
      <c r="J66" s="49"/>
      <c r="K66" s="57" t="s">
        <v>22</v>
      </c>
      <c r="L66" s="66">
        <f>J49*(L63+J50)</f>
        <v>393.47700000000003</v>
      </c>
      <c r="M66" s="66"/>
      <c r="N66" s="49"/>
      <c r="O66" s="49"/>
      <c r="P66" s="59"/>
      <c r="Q66" s="59"/>
      <c r="R66" s="49"/>
      <c r="S66" s="50"/>
      <c r="T66" s="60"/>
      <c r="U66" s="60"/>
      <c r="V66" s="57"/>
      <c r="W66" s="61"/>
      <c r="X66" s="61"/>
      <c r="Y66" s="53"/>
      <c r="Z66" s="50"/>
      <c r="AA66" s="51"/>
      <c r="AB66" s="62"/>
      <c r="AC66" s="63"/>
      <c r="AD66" s="49"/>
      <c r="AE66" s="49"/>
      <c r="AF66" s="49"/>
      <c r="AG66" s="52"/>
    </row>
    <row r="67" spans="1:33" x14ac:dyDescent="0.3">
      <c r="A67" s="51"/>
      <c r="B67" s="49"/>
      <c r="C67" s="49" t="s">
        <v>68</v>
      </c>
      <c r="D67" s="49"/>
      <c r="E67" s="49"/>
      <c r="F67" s="49"/>
      <c r="G67" s="49"/>
      <c r="H67" s="49"/>
      <c r="I67" s="49"/>
      <c r="J67" s="49"/>
      <c r="K67" s="64"/>
      <c r="L67" s="68"/>
      <c r="M67" s="68"/>
      <c r="N67" s="53"/>
      <c r="O67" s="49"/>
      <c r="P67" s="59"/>
      <c r="Q67" s="59"/>
      <c r="R67" s="49"/>
      <c r="S67" s="50"/>
      <c r="T67" s="60"/>
      <c r="U67" s="60"/>
      <c r="V67" s="57"/>
      <c r="W67" s="61"/>
      <c r="X67" s="61"/>
      <c r="Y67" s="53"/>
      <c r="Z67" s="50"/>
      <c r="AA67" s="51"/>
      <c r="AB67" s="62"/>
      <c r="AC67" s="63"/>
      <c r="AD67" s="49"/>
      <c r="AE67" s="49"/>
      <c r="AF67" s="49"/>
      <c r="AG67" s="52"/>
    </row>
    <row r="68" spans="1:33" x14ac:dyDescent="0.3">
      <c r="A68" s="51"/>
      <c r="B68" s="49"/>
      <c r="C68" s="49"/>
      <c r="D68" s="49"/>
      <c r="E68" s="49"/>
      <c r="F68" s="49"/>
      <c r="G68" s="49"/>
      <c r="H68" s="49"/>
      <c r="I68" s="49"/>
      <c r="J68" s="49"/>
      <c r="K68" s="57" t="s">
        <v>22</v>
      </c>
      <c r="L68" s="66">
        <f>L66*1.2</f>
        <v>472.17240000000004</v>
      </c>
      <c r="M68" s="66"/>
      <c r="N68" s="49"/>
      <c r="O68" s="49"/>
      <c r="P68" s="59"/>
      <c r="Q68" s="59"/>
      <c r="R68" s="49"/>
      <c r="S68" s="50"/>
      <c r="T68" s="60"/>
      <c r="U68" s="60"/>
      <c r="V68" s="57"/>
      <c r="W68" s="61"/>
      <c r="X68" s="61"/>
      <c r="Y68" s="53"/>
      <c r="Z68" s="50"/>
      <c r="AA68" s="51"/>
      <c r="AB68" s="62"/>
      <c r="AC68" s="63"/>
      <c r="AD68" s="49"/>
      <c r="AE68" s="49"/>
      <c r="AF68" s="49"/>
      <c r="AG68" s="52"/>
    </row>
    <row r="69" spans="1:33" ht="15" thickBot="1" x14ac:dyDescent="0.35">
      <c r="A69" s="51"/>
      <c r="B69" s="49"/>
      <c r="C69" s="49"/>
      <c r="D69" s="49"/>
      <c r="E69" s="49"/>
      <c r="F69" s="49"/>
      <c r="G69" s="49"/>
      <c r="H69" s="49"/>
      <c r="I69" s="49"/>
      <c r="J69" s="49"/>
      <c r="K69" s="64"/>
      <c r="L69" s="68"/>
      <c r="M69" s="68"/>
      <c r="N69" s="53"/>
      <c r="O69" s="49"/>
      <c r="P69" s="59"/>
      <c r="Q69" s="59"/>
      <c r="R69" s="49"/>
      <c r="S69" s="50"/>
      <c r="T69" s="60"/>
      <c r="U69" s="60"/>
      <c r="V69" s="57"/>
      <c r="W69" s="61"/>
      <c r="X69" s="61"/>
      <c r="Y69" s="53"/>
      <c r="Z69" s="50"/>
      <c r="AA69" s="51"/>
      <c r="AB69" s="62"/>
      <c r="AC69" s="63"/>
      <c r="AD69" s="49"/>
      <c r="AE69" s="49"/>
      <c r="AF69" s="49"/>
      <c r="AG69" s="52"/>
    </row>
    <row r="70" spans="1:33" ht="15" thickBot="1" x14ac:dyDescent="0.35">
      <c r="A70" s="51"/>
      <c r="B70" s="49"/>
      <c r="C70" s="49"/>
      <c r="D70" s="49"/>
      <c r="E70" s="49"/>
      <c r="F70" s="49"/>
      <c r="G70" s="49"/>
      <c r="H70" s="49"/>
      <c r="I70" s="49" t="s">
        <v>69</v>
      </c>
      <c r="J70" s="49"/>
      <c r="K70" s="64" t="s">
        <v>22</v>
      </c>
      <c r="L70" s="119">
        <v>475</v>
      </c>
      <c r="M70" s="120"/>
      <c r="N70" s="53" t="s">
        <v>70</v>
      </c>
      <c r="O70" s="49"/>
      <c r="P70" s="59"/>
      <c r="Q70" s="59"/>
      <c r="R70" s="49"/>
      <c r="S70" s="50"/>
      <c r="T70" s="60"/>
      <c r="U70" s="60"/>
      <c r="V70" s="57"/>
      <c r="W70" s="61"/>
      <c r="X70" s="61"/>
      <c r="Y70" s="53"/>
      <c r="Z70" s="50"/>
      <c r="AA70" s="51"/>
      <c r="AB70" s="62"/>
      <c r="AC70" s="63"/>
      <c r="AD70" s="49"/>
      <c r="AE70" s="49"/>
      <c r="AF70" s="49"/>
      <c r="AG70" s="52"/>
    </row>
    <row r="71" spans="1:33" ht="15" thickBot="1" x14ac:dyDescent="0.35">
      <c r="A71" s="51"/>
      <c r="B71" s="49"/>
      <c r="C71" s="49"/>
      <c r="D71" s="49"/>
      <c r="E71" s="49"/>
      <c r="F71" s="49"/>
      <c r="G71" s="49"/>
      <c r="H71" s="49"/>
      <c r="I71" s="49"/>
      <c r="J71" s="49"/>
      <c r="K71" s="57"/>
      <c r="L71" s="58"/>
      <c r="M71" s="58"/>
      <c r="N71" s="49"/>
      <c r="O71" s="49"/>
      <c r="P71" s="59"/>
      <c r="Q71" s="59"/>
      <c r="R71" s="49"/>
      <c r="S71" s="50"/>
      <c r="T71" s="60"/>
      <c r="U71" s="60"/>
      <c r="V71" s="57"/>
      <c r="W71" s="61"/>
      <c r="X71" s="61"/>
      <c r="Y71" s="53"/>
      <c r="Z71" s="50"/>
      <c r="AA71" s="51"/>
      <c r="AB71" s="62"/>
      <c r="AC71" s="63"/>
      <c r="AD71" s="49"/>
      <c r="AE71" s="49"/>
      <c r="AF71" s="49"/>
      <c r="AG71" s="52"/>
    </row>
    <row r="72" spans="1:33" ht="15" thickBot="1" x14ac:dyDescent="0.35">
      <c r="A72" s="51"/>
      <c r="B72" s="49"/>
      <c r="C72" s="49"/>
      <c r="D72" s="49"/>
      <c r="E72" s="49"/>
      <c r="F72" s="49"/>
      <c r="G72" s="49"/>
      <c r="H72" s="50"/>
      <c r="I72" s="8" t="s">
        <v>71</v>
      </c>
      <c r="J72" s="9"/>
      <c r="K72" s="9"/>
      <c r="L72" s="9"/>
      <c r="M72" s="10" t="s">
        <v>72</v>
      </c>
      <c r="N72" s="53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50"/>
      <c r="AA72" s="51"/>
      <c r="AB72" s="49"/>
      <c r="AC72" s="49"/>
      <c r="AD72" s="49"/>
      <c r="AE72" s="49"/>
      <c r="AF72" s="49"/>
      <c r="AG72" s="52"/>
    </row>
    <row r="73" spans="1:33" x14ac:dyDescent="0.3">
      <c r="A73" s="51"/>
      <c r="B73" s="49"/>
      <c r="C73" s="49" t="s">
        <v>73</v>
      </c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50"/>
      <c r="AA73" s="51"/>
      <c r="AB73" s="49"/>
      <c r="AC73" s="49"/>
      <c r="AD73" s="49"/>
      <c r="AE73" s="49"/>
      <c r="AF73" s="49"/>
      <c r="AG73" s="52"/>
    </row>
    <row r="74" spans="1:33" ht="15" thickBot="1" x14ac:dyDescent="0.35">
      <c r="A74" s="51"/>
      <c r="B74" s="44"/>
      <c r="C74" s="44"/>
      <c r="D74" s="44"/>
      <c r="E74" s="44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44"/>
      <c r="X74" s="44"/>
      <c r="Y74" s="44"/>
      <c r="Z74" s="45"/>
      <c r="AA74" s="46"/>
      <c r="AB74" s="44"/>
      <c r="AC74" s="44"/>
      <c r="AD74" s="44"/>
      <c r="AE74" s="44"/>
      <c r="AF74" s="44"/>
      <c r="AG74" s="47"/>
    </row>
    <row r="75" spans="1:33" x14ac:dyDescent="0.3">
      <c r="A75" s="51"/>
      <c r="B75" s="44"/>
      <c r="C75" s="44"/>
      <c r="D75" s="44"/>
      <c r="E75" s="45"/>
      <c r="F75" s="11" t="s">
        <v>74</v>
      </c>
      <c r="G75" s="12"/>
      <c r="H75" s="12"/>
      <c r="I75" s="12"/>
      <c r="J75" s="12"/>
      <c r="K75" s="12"/>
      <c r="L75" s="12"/>
      <c r="M75" s="12"/>
      <c r="N75" s="13"/>
      <c r="O75" s="121" t="str">
        <f>J32</f>
        <v xml:space="preserve">4000/1 A </v>
      </c>
      <c r="P75" s="122"/>
      <c r="Q75" s="122"/>
      <c r="R75" s="122"/>
      <c r="S75" s="122"/>
      <c r="T75" s="123"/>
      <c r="U75" s="14"/>
      <c r="V75" s="15"/>
      <c r="W75" s="43"/>
      <c r="X75" s="44"/>
      <c r="Y75" s="44"/>
      <c r="Z75" s="45"/>
      <c r="AA75" s="46"/>
      <c r="AB75" s="44"/>
      <c r="AC75" s="44"/>
      <c r="AD75" s="44"/>
      <c r="AE75" s="44"/>
      <c r="AF75" s="44"/>
      <c r="AG75" s="47"/>
    </row>
    <row r="76" spans="1:33" x14ac:dyDescent="0.3">
      <c r="A76" s="51"/>
      <c r="B76" s="49"/>
      <c r="C76" s="54"/>
      <c r="D76" s="44"/>
      <c r="E76" s="55"/>
      <c r="F76" s="16" t="s">
        <v>75</v>
      </c>
      <c r="G76" s="17"/>
      <c r="H76" s="17"/>
      <c r="I76" s="17"/>
      <c r="J76" s="17"/>
      <c r="K76" s="17"/>
      <c r="L76" s="17"/>
      <c r="M76" s="17"/>
      <c r="N76" s="17" t="s">
        <v>76</v>
      </c>
      <c r="O76" s="124">
        <f>L70</f>
        <v>475</v>
      </c>
      <c r="P76" s="125"/>
      <c r="Q76" s="18" t="s">
        <v>70</v>
      </c>
      <c r="R76" s="19"/>
      <c r="S76" s="18"/>
      <c r="T76" s="18"/>
      <c r="U76" s="18"/>
      <c r="V76" s="20"/>
      <c r="W76" s="48"/>
      <c r="X76" s="49"/>
      <c r="Y76" s="49"/>
      <c r="Z76" s="50"/>
      <c r="AA76" s="51"/>
      <c r="AB76" s="49"/>
      <c r="AC76" s="49"/>
      <c r="AD76" s="49"/>
      <c r="AE76" s="49"/>
      <c r="AF76" s="49"/>
      <c r="AG76" s="52"/>
    </row>
    <row r="77" spans="1:33" x14ac:dyDescent="0.3">
      <c r="A77" s="51"/>
      <c r="B77" s="49"/>
      <c r="C77" s="54"/>
      <c r="D77" s="54"/>
      <c r="E77" s="55"/>
      <c r="F77" s="16" t="s">
        <v>77</v>
      </c>
      <c r="G77" s="17"/>
      <c r="H77" s="17"/>
      <c r="I77" s="17"/>
      <c r="J77" s="17"/>
      <c r="K77" s="17"/>
      <c r="L77" s="17"/>
      <c r="M77" s="21"/>
      <c r="N77" s="22" t="s">
        <v>22</v>
      </c>
      <c r="O77" s="17">
        <f>J50</f>
        <v>14</v>
      </c>
      <c r="P77" s="17" t="s">
        <v>78</v>
      </c>
      <c r="Q77" s="17"/>
      <c r="R77" s="17"/>
      <c r="S77" s="17"/>
      <c r="T77" s="17"/>
      <c r="U77" s="17"/>
      <c r="V77" s="20"/>
      <c r="W77" s="53"/>
      <c r="X77" s="49"/>
      <c r="Y77" s="49"/>
      <c r="Z77" s="50"/>
      <c r="AA77" s="51"/>
      <c r="AB77" s="49"/>
      <c r="AC77" s="49"/>
      <c r="AD77" s="49"/>
      <c r="AE77" s="49"/>
      <c r="AF77" s="49"/>
      <c r="AG77" s="52"/>
    </row>
    <row r="78" spans="1:33" x14ac:dyDescent="0.3">
      <c r="A78" s="51"/>
      <c r="B78" s="49"/>
      <c r="C78" s="54"/>
      <c r="D78" s="54"/>
      <c r="E78" s="55"/>
      <c r="F78" s="16" t="s">
        <v>79</v>
      </c>
      <c r="G78" s="23"/>
      <c r="H78" s="17"/>
      <c r="I78" s="17"/>
      <c r="J78" s="17"/>
      <c r="K78" s="17"/>
      <c r="L78" s="17"/>
      <c r="M78" s="17"/>
      <c r="N78" s="17"/>
      <c r="O78" s="17" t="str">
        <f>M72</f>
        <v>PX</v>
      </c>
      <c r="P78" s="17"/>
      <c r="Q78" s="17"/>
      <c r="R78" s="17"/>
      <c r="S78" s="17"/>
      <c r="T78" s="17"/>
      <c r="U78" s="17"/>
      <c r="V78" s="20"/>
      <c r="W78" s="53"/>
      <c r="X78" s="49"/>
      <c r="Y78" s="49"/>
      <c r="Z78" s="50"/>
      <c r="AA78" s="51"/>
      <c r="AB78" s="49"/>
      <c r="AC78" s="49"/>
      <c r="AD78" s="49"/>
      <c r="AE78" s="49"/>
      <c r="AF78" s="49"/>
      <c r="AG78" s="52"/>
    </row>
    <row r="79" spans="1:33" ht="15" thickBot="1" x14ac:dyDescent="0.35">
      <c r="A79" s="51"/>
      <c r="B79" s="49"/>
      <c r="C79" s="49"/>
      <c r="D79" s="49"/>
      <c r="E79" s="50"/>
      <c r="F79" s="24" t="s">
        <v>80</v>
      </c>
      <c r="G79" s="25"/>
      <c r="H79" s="25"/>
      <c r="I79" s="25"/>
      <c r="J79" s="25"/>
      <c r="K79" s="25"/>
      <c r="L79" s="25"/>
      <c r="M79" s="25"/>
      <c r="N79" s="25"/>
      <c r="O79" s="25" t="str">
        <f>C57</f>
        <v xml:space="preserve">6 sq.mm copper cable </v>
      </c>
      <c r="P79" s="25"/>
      <c r="Q79" s="25"/>
      <c r="R79" s="25"/>
      <c r="S79" s="25"/>
      <c r="T79" s="25"/>
      <c r="U79" s="25"/>
      <c r="V79" s="26"/>
      <c r="W79" s="53"/>
      <c r="X79" s="49"/>
      <c r="Y79" s="49"/>
      <c r="Z79" s="50"/>
      <c r="AA79" s="86"/>
      <c r="AB79" s="49"/>
      <c r="AC79" s="49"/>
      <c r="AD79" s="49"/>
      <c r="AE79" s="49"/>
      <c r="AF79" s="49"/>
      <c r="AG79" s="52"/>
    </row>
    <row r="80" spans="1:33" x14ac:dyDescent="0.3">
      <c r="A80" s="51"/>
      <c r="B80" s="49"/>
      <c r="C80" s="49"/>
      <c r="D80" s="49"/>
      <c r="E80" s="50"/>
      <c r="F80" s="98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3"/>
      <c r="W80" s="53"/>
      <c r="X80" s="49"/>
      <c r="Y80" s="49"/>
      <c r="Z80" s="50"/>
      <c r="AA80" s="51"/>
      <c r="AB80" s="49"/>
      <c r="AC80" s="49"/>
      <c r="AD80" s="49"/>
      <c r="AE80" s="49"/>
      <c r="AF80" s="49"/>
      <c r="AG80" s="52"/>
    </row>
    <row r="81" spans="1:33" x14ac:dyDescent="0.3">
      <c r="A81" s="51"/>
      <c r="B81" s="54" t="s">
        <v>81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50"/>
      <c r="AA81" s="51"/>
      <c r="AB81" s="49"/>
      <c r="AC81" s="49"/>
      <c r="AD81" s="49"/>
      <c r="AE81" s="49"/>
      <c r="AF81" s="49"/>
      <c r="AG81" s="52"/>
    </row>
    <row r="82" spans="1:33" x14ac:dyDescent="0.3">
      <c r="A82" s="51"/>
      <c r="B82" s="49"/>
      <c r="C82" s="54" t="s">
        <v>82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50"/>
      <c r="AA82" s="51"/>
      <c r="AB82" s="49"/>
      <c r="AC82" s="49"/>
      <c r="AD82" s="49"/>
      <c r="AE82" s="49"/>
      <c r="AF82" s="49"/>
      <c r="AG82" s="52"/>
    </row>
    <row r="83" spans="1:33" x14ac:dyDescent="0.3">
      <c r="A83" s="51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50"/>
      <c r="AA83" s="51"/>
      <c r="AB83" s="49"/>
      <c r="AC83" s="49"/>
      <c r="AD83" s="49"/>
      <c r="AE83" s="49"/>
      <c r="AF83" s="49"/>
      <c r="AG83" s="52"/>
    </row>
    <row r="84" spans="1:33" x14ac:dyDescent="0.3">
      <c r="A84" s="51"/>
      <c r="B84" s="49"/>
      <c r="C84" s="70" t="s">
        <v>83</v>
      </c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50"/>
      <c r="AA84" s="51"/>
      <c r="AB84" s="49"/>
      <c r="AC84" s="49"/>
      <c r="AD84" s="49"/>
      <c r="AE84" s="49"/>
      <c r="AF84" s="49"/>
      <c r="AG84" s="52"/>
    </row>
    <row r="85" spans="1:33" x14ac:dyDescent="0.3">
      <c r="A85" s="51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66"/>
      <c r="R85" s="66"/>
      <c r="S85" s="66"/>
      <c r="T85" s="66"/>
      <c r="U85" s="66"/>
      <c r="V85" s="66"/>
      <c r="W85" s="49"/>
      <c r="X85" s="49"/>
      <c r="Y85" s="49"/>
      <c r="Z85" s="50"/>
      <c r="AA85" s="51"/>
      <c r="AB85" s="49"/>
      <c r="AC85" s="49"/>
      <c r="AD85" s="49"/>
      <c r="AE85" s="49"/>
      <c r="AF85" s="49"/>
      <c r="AG85" s="52"/>
    </row>
    <row r="86" spans="1:33" x14ac:dyDescent="0.3">
      <c r="A86" s="51"/>
      <c r="B86" s="49"/>
      <c r="C86" s="49" t="s">
        <v>84</v>
      </c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57" t="s">
        <v>22</v>
      </c>
      <c r="P86" s="156">
        <v>3</v>
      </c>
      <c r="Q86" s="157"/>
      <c r="R86" s="49" t="s">
        <v>85</v>
      </c>
      <c r="S86" s="49"/>
      <c r="T86" s="49"/>
      <c r="U86" s="49"/>
      <c r="V86" s="49"/>
      <c r="W86" s="53"/>
      <c r="X86" s="49"/>
      <c r="Y86" s="49"/>
      <c r="Z86" s="50"/>
      <c r="AA86" s="51"/>
      <c r="AB86" s="49"/>
      <c r="AC86" s="49"/>
      <c r="AD86" s="49"/>
      <c r="AE86" s="49"/>
      <c r="AF86" s="49"/>
      <c r="AG86" s="52"/>
    </row>
    <row r="87" spans="1:33" x14ac:dyDescent="0.3">
      <c r="A87" s="51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50"/>
      <c r="Q87" s="49"/>
      <c r="R87" s="49"/>
      <c r="S87" s="49"/>
      <c r="T87" s="49"/>
      <c r="U87" s="49"/>
      <c r="V87" s="49"/>
      <c r="W87" s="53"/>
      <c r="X87" s="49"/>
      <c r="Y87" s="49"/>
      <c r="Z87" s="50"/>
      <c r="AA87" s="51"/>
      <c r="AB87" s="49"/>
      <c r="AC87" s="49"/>
      <c r="AD87" s="49"/>
      <c r="AE87" s="49"/>
      <c r="AF87" s="49"/>
      <c r="AG87" s="52"/>
    </row>
    <row r="88" spans="1:33" x14ac:dyDescent="0.3">
      <c r="A88" s="51"/>
      <c r="B88" s="49"/>
      <c r="C88" s="49" t="s">
        <v>86</v>
      </c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57" t="s">
        <v>22</v>
      </c>
      <c r="P88" s="49" t="s">
        <v>26</v>
      </c>
      <c r="Q88" s="49"/>
      <c r="R88" s="49"/>
      <c r="S88" s="49"/>
      <c r="T88" s="49"/>
      <c r="U88" s="49"/>
      <c r="V88" s="49"/>
      <c r="W88" s="53"/>
      <c r="X88" s="49"/>
      <c r="Y88" s="49"/>
      <c r="Z88" s="50"/>
      <c r="AA88" s="51"/>
      <c r="AB88" s="49"/>
      <c r="AC88" s="49"/>
      <c r="AD88" s="49"/>
      <c r="AE88" s="49"/>
      <c r="AF88" s="49"/>
      <c r="AG88" s="52"/>
    </row>
    <row r="89" spans="1:33" x14ac:dyDescent="0.3">
      <c r="A89" s="51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57" t="s">
        <v>22</v>
      </c>
      <c r="P89" s="144">
        <f>P86*1000/(SQRT(3)*0.48)</f>
        <v>3608.4391824351615</v>
      </c>
      <c r="Q89" s="144"/>
      <c r="R89" s="49" t="s">
        <v>87</v>
      </c>
      <c r="S89" s="49"/>
      <c r="T89" s="49"/>
      <c r="U89" s="49"/>
      <c r="V89" s="49"/>
      <c r="W89" s="53"/>
      <c r="X89" s="49"/>
      <c r="Y89" s="49"/>
      <c r="Z89" s="50"/>
      <c r="AA89" s="51"/>
      <c r="AB89" s="49"/>
      <c r="AC89" s="49"/>
      <c r="AD89" s="49"/>
      <c r="AE89" s="49"/>
      <c r="AF89" s="49"/>
      <c r="AG89" s="52"/>
    </row>
    <row r="90" spans="1:33" ht="15" thickBot="1" x14ac:dyDescent="0.35">
      <c r="A90" s="51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66"/>
      <c r="R90" s="66"/>
      <c r="S90" s="66"/>
      <c r="T90" s="66"/>
      <c r="U90" s="66"/>
      <c r="V90" s="66"/>
      <c r="W90" s="53"/>
      <c r="X90" s="49"/>
      <c r="Y90" s="49"/>
      <c r="Z90" s="50"/>
      <c r="AA90" s="51"/>
      <c r="AB90" s="133"/>
      <c r="AC90" s="134"/>
      <c r="AD90" s="141"/>
      <c r="AE90" s="49"/>
      <c r="AF90" s="49"/>
      <c r="AG90" s="52"/>
    </row>
    <row r="91" spans="1:33" ht="17.25" customHeight="1" thickBot="1" x14ac:dyDescent="0.35">
      <c r="A91" s="51"/>
      <c r="B91" s="49"/>
      <c r="C91" s="49" t="s">
        <v>88</v>
      </c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50" t="s">
        <v>22</v>
      </c>
      <c r="Q91" s="126" t="s">
        <v>89</v>
      </c>
      <c r="R91" s="127"/>
      <c r="S91" s="127"/>
      <c r="T91" s="127"/>
      <c r="U91" s="127"/>
      <c r="V91" s="128"/>
      <c r="W91" s="53"/>
      <c r="X91" s="49"/>
      <c r="Y91" s="49"/>
      <c r="Z91" s="50"/>
      <c r="AA91" s="51"/>
      <c r="AB91" s="49"/>
      <c r="AC91" s="49"/>
      <c r="AD91" s="49"/>
      <c r="AE91" s="49"/>
      <c r="AF91" s="49"/>
      <c r="AG91" s="52"/>
    </row>
    <row r="92" spans="1:33" x14ac:dyDescent="0.3">
      <c r="A92" s="51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50"/>
      <c r="AA92" s="51"/>
      <c r="AB92" s="49"/>
      <c r="AC92" s="49"/>
      <c r="AD92" s="49"/>
      <c r="AE92" s="49"/>
      <c r="AF92" s="49"/>
      <c r="AG92" s="52"/>
    </row>
    <row r="93" spans="1:33" x14ac:dyDescent="0.3">
      <c r="A93" s="51"/>
      <c r="B93" s="49"/>
      <c r="C93" s="49" t="s">
        <v>90</v>
      </c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50"/>
      <c r="AA93" s="51"/>
      <c r="AB93" s="49"/>
      <c r="AC93" s="49"/>
      <c r="AD93" s="49"/>
      <c r="AE93" s="49"/>
      <c r="AF93" s="49"/>
      <c r="AG93" s="52"/>
    </row>
    <row r="94" spans="1:33" x14ac:dyDescent="0.3">
      <c r="A94" s="51"/>
      <c r="B94" s="49"/>
      <c r="C94" s="70" t="s">
        <v>34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50"/>
      <c r="AA94" s="51"/>
      <c r="AB94" s="49"/>
      <c r="AC94" s="49"/>
      <c r="AD94" s="49"/>
      <c r="AE94" s="49"/>
      <c r="AF94" s="49"/>
      <c r="AG94" s="52"/>
    </row>
    <row r="95" spans="1:33" x14ac:dyDescent="0.3">
      <c r="A95" s="53"/>
      <c r="B95" s="49"/>
      <c r="C95" s="71"/>
      <c r="D95" s="49"/>
      <c r="E95" s="49"/>
      <c r="F95" s="49"/>
      <c r="G95" s="49"/>
      <c r="H95" s="49"/>
      <c r="I95" s="49"/>
      <c r="J95" s="58"/>
      <c r="K95" s="58"/>
      <c r="L95" s="58"/>
      <c r="M95" s="59"/>
      <c r="N95" s="59"/>
      <c r="O95" s="49"/>
      <c r="P95" s="49"/>
      <c r="Q95" s="49"/>
      <c r="R95" s="49"/>
      <c r="S95" s="49"/>
      <c r="T95" s="49"/>
      <c r="U95" s="49"/>
      <c r="V95" s="66"/>
      <c r="W95" s="66"/>
      <c r="X95" s="66"/>
      <c r="Y95" s="49"/>
      <c r="Z95" s="50"/>
      <c r="AA95" s="51"/>
      <c r="AB95" s="49"/>
      <c r="AC95" s="49"/>
      <c r="AD95" s="49"/>
      <c r="AE95" s="49"/>
      <c r="AF95" s="49"/>
      <c r="AG95" s="52"/>
    </row>
    <row r="96" spans="1:33" ht="15.6" x14ac:dyDescent="0.35">
      <c r="A96" s="53"/>
      <c r="B96" s="49"/>
      <c r="C96" s="72" t="s">
        <v>35</v>
      </c>
      <c r="D96" s="49"/>
      <c r="E96" s="49"/>
      <c r="F96" s="49"/>
      <c r="G96" s="49"/>
      <c r="H96" s="49"/>
      <c r="I96" s="49"/>
      <c r="J96" s="58"/>
      <c r="K96" s="58"/>
      <c r="L96" s="68" t="s">
        <v>36</v>
      </c>
      <c r="M96" s="73" t="s">
        <v>22</v>
      </c>
      <c r="N96" s="68" t="s">
        <v>37</v>
      </c>
      <c r="O96" s="59"/>
      <c r="P96" s="49"/>
      <c r="Q96" s="49"/>
      <c r="R96" s="49" t="s">
        <v>38</v>
      </c>
      <c r="S96" s="49"/>
      <c r="T96" s="49"/>
      <c r="U96" s="49"/>
      <c r="V96" s="66"/>
      <c r="W96" s="66"/>
      <c r="X96" s="66"/>
      <c r="Y96" s="49"/>
      <c r="Z96" s="50"/>
      <c r="AA96" s="51"/>
      <c r="AB96" s="49"/>
      <c r="AC96" s="49"/>
      <c r="AD96" s="49"/>
      <c r="AE96" s="49"/>
      <c r="AF96" s="49"/>
      <c r="AG96" s="52"/>
    </row>
    <row r="97" spans="1:33" x14ac:dyDescent="0.3">
      <c r="A97" s="53"/>
      <c r="B97" s="49"/>
      <c r="C97" s="71"/>
      <c r="D97" s="49"/>
      <c r="E97" s="49"/>
      <c r="F97" s="49"/>
      <c r="G97" s="49"/>
      <c r="H97" s="49"/>
      <c r="I97" s="49"/>
      <c r="J97" s="58"/>
      <c r="K97" s="58"/>
      <c r="L97" s="58"/>
      <c r="M97" s="59"/>
      <c r="N97" s="59"/>
      <c r="O97" s="49"/>
      <c r="P97" s="49"/>
      <c r="Q97" s="49"/>
      <c r="R97" s="49"/>
      <c r="S97" s="49"/>
      <c r="T97" s="49"/>
      <c r="U97" s="49"/>
      <c r="V97" s="66"/>
      <c r="W97" s="66"/>
      <c r="X97" s="66"/>
      <c r="Y97" s="49"/>
      <c r="Z97" s="50"/>
      <c r="AA97" s="51"/>
      <c r="AB97" s="49"/>
      <c r="AC97" s="49"/>
      <c r="AD97" s="49"/>
      <c r="AE97" s="49"/>
      <c r="AF97" s="49"/>
      <c r="AG97" s="52"/>
    </row>
    <row r="98" spans="1:33" x14ac:dyDescent="0.3">
      <c r="A98" s="53"/>
      <c r="B98" s="49"/>
      <c r="C98" s="68"/>
      <c r="D98" s="72" t="s">
        <v>39</v>
      </c>
      <c r="E98" s="49"/>
      <c r="F98" s="49"/>
      <c r="G98" s="49"/>
      <c r="H98" s="49"/>
      <c r="I98" s="49"/>
      <c r="J98" s="58"/>
      <c r="K98" s="58"/>
      <c r="L98" s="58"/>
      <c r="M98" s="59"/>
      <c r="N98" s="59"/>
      <c r="O98" s="49"/>
      <c r="P98" s="49"/>
      <c r="Q98" s="49"/>
      <c r="R98" s="49"/>
      <c r="S98" s="49"/>
      <c r="T98" s="49"/>
      <c r="U98" s="49"/>
      <c r="V98" s="66"/>
      <c r="W98" s="66"/>
      <c r="X98" s="66"/>
      <c r="Y98" s="49"/>
      <c r="Z98" s="50"/>
      <c r="AA98" s="51"/>
      <c r="AB98" s="49"/>
      <c r="AC98" s="49"/>
      <c r="AD98" s="49"/>
      <c r="AE98" s="49"/>
      <c r="AF98" s="49"/>
      <c r="AG98" s="52"/>
    </row>
    <row r="99" spans="1:33" x14ac:dyDescent="0.3">
      <c r="A99" s="53"/>
      <c r="B99" s="49"/>
      <c r="C99" s="72"/>
      <c r="D99" s="49"/>
      <c r="E99" s="49"/>
      <c r="F99" s="49"/>
      <c r="G99" s="49" t="s">
        <v>40</v>
      </c>
      <c r="H99" s="49"/>
      <c r="I99" s="57" t="s">
        <v>22</v>
      </c>
      <c r="J99" s="58" t="s">
        <v>41</v>
      </c>
      <c r="K99" s="58"/>
      <c r="L99" s="58"/>
      <c r="M99" s="59"/>
      <c r="N99" s="59"/>
      <c r="O99" s="49"/>
      <c r="P99" s="49"/>
      <c r="Q99" s="49"/>
      <c r="R99" s="49"/>
      <c r="S99" s="49"/>
      <c r="T99" s="49"/>
      <c r="U99" s="49"/>
      <c r="V99" s="66"/>
      <c r="W99" s="66"/>
      <c r="X99" s="66"/>
      <c r="Y99" s="49"/>
      <c r="Z99" s="50"/>
      <c r="AA99" s="51"/>
      <c r="AB99" s="49"/>
      <c r="AC99" s="49"/>
      <c r="AD99" s="49"/>
      <c r="AE99" s="49"/>
      <c r="AF99" s="49"/>
      <c r="AG99" s="52"/>
    </row>
    <row r="100" spans="1:33" x14ac:dyDescent="0.3">
      <c r="A100" s="53"/>
      <c r="B100" s="49"/>
      <c r="C100" s="72"/>
      <c r="D100" s="49"/>
      <c r="E100" s="49"/>
      <c r="F100" s="49"/>
      <c r="G100" s="49" t="s">
        <v>42</v>
      </c>
      <c r="H100" s="49"/>
      <c r="I100" s="57" t="s">
        <v>22</v>
      </c>
      <c r="J100" s="58" t="s">
        <v>43</v>
      </c>
      <c r="K100" s="58"/>
      <c r="L100" s="58"/>
      <c r="M100" s="59"/>
      <c r="N100" s="59"/>
      <c r="O100" s="49"/>
      <c r="P100" s="49"/>
      <c r="Q100" s="49"/>
      <c r="R100" s="49"/>
      <c r="S100" s="49"/>
      <c r="T100" s="49"/>
      <c r="U100" s="49"/>
      <c r="V100" s="66"/>
      <c r="W100" s="66"/>
      <c r="X100" s="66"/>
      <c r="Y100" s="49"/>
      <c r="Z100" s="50"/>
      <c r="AA100" s="51"/>
      <c r="AB100" s="49"/>
      <c r="AC100" s="49"/>
      <c r="AD100" s="49"/>
      <c r="AE100" s="49"/>
      <c r="AF100" s="49"/>
      <c r="AG100" s="52"/>
    </row>
    <row r="101" spans="1:33" x14ac:dyDescent="0.3">
      <c r="A101" s="53"/>
      <c r="B101" s="49"/>
      <c r="C101" s="72"/>
      <c r="D101" s="49"/>
      <c r="E101" s="49"/>
      <c r="F101" s="49"/>
      <c r="G101" s="49" t="s">
        <v>44</v>
      </c>
      <c r="H101" s="49"/>
      <c r="I101" s="57" t="s">
        <v>22</v>
      </c>
      <c r="J101" s="58" t="s">
        <v>45</v>
      </c>
      <c r="K101" s="58"/>
      <c r="L101" s="58"/>
      <c r="M101" s="59"/>
      <c r="N101" s="59"/>
      <c r="O101" s="49"/>
      <c r="P101" s="49"/>
      <c r="Q101" s="49"/>
      <c r="R101" s="49"/>
      <c r="S101" s="49"/>
      <c r="T101" s="49"/>
      <c r="U101" s="49"/>
      <c r="V101" s="66"/>
      <c r="W101" s="66"/>
      <c r="X101" s="66"/>
      <c r="Y101" s="49"/>
      <c r="Z101" s="50"/>
      <c r="AA101" s="51"/>
      <c r="AB101" s="49"/>
      <c r="AC101" s="49"/>
      <c r="AD101" s="49"/>
      <c r="AE101" s="49"/>
      <c r="AF101" s="49"/>
      <c r="AG101" s="52"/>
    </row>
    <row r="102" spans="1:33" x14ac:dyDescent="0.3">
      <c r="A102" s="53"/>
      <c r="B102" s="49"/>
      <c r="C102" s="72"/>
      <c r="D102" s="49"/>
      <c r="E102" s="49"/>
      <c r="F102" s="49"/>
      <c r="G102" s="49" t="s">
        <v>46</v>
      </c>
      <c r="H102" s="49"/>
      <c r="I102" s="57" t="s">
        <v>22</v>
      </c>
      <c r="J102" s="58" t="s">
        <v>47</v>
      </c>
      <c r="K102" s="58"/>
      <c r="L102" s="58"/>
      <c r="M102" s="59"/>
      <c r="N102" s="59"/>
      <c r="O102" s="49"/>
      <c r="P102" s="49"/>
      <c r="Q102" s="49"/>
      <c r="R102" s="49"/>
      <c r="S102" s="49"/>
      <c r="T102" s="49"/>
      <c r="U102" s="49"/>
      <c r="V102" s="66"/>
      <c r="W102" s="66"/>
      <c r="X102" s="66"/>
      <c r="Y102" s="49"/>
      <c r="Z102" s="50"/>
      <c r="AA102" s="51"/>
      <c r="AB102" s="49"/>
      <c r="AC102" s="49"/>
      <c r="AD102" s="49"/>
      <c r="AE102" s="49"/>
      <c r="AF102" s="49"/>
      <c r="AG102" s="52"/>
    </row>
    <row r="103" spans="1:33" x14ac:dyDescent="0.3">
      <c r="A103" s="53"/>
      <c r="B103" s="49"/>
      <c r="C103" s="72"/>
      <c r="D103" s="49"/>
      <c r="E103" s="49"/>
      <c r="F103" s="49"/>
      <c r="G103" s="49"/>
      <c r="H103" s="49"/>
      <c r="I103" s="57" t="s">
        <v>22</v>
      </c>
      <c r="J103" s="58" t="s">
        <v>48</v>
      </c>
      <c r="K103" s="58"/>
      <c r="L103" s="58"/>
      <c r="M103" s="59"/>
      <c r="N103" s="59"/>
      <c r="O103" s="49"/>
      <c r="P103" s="49"/>
      <c r="Q103" s="49"/>
      <c r="R103" s="49"/>
      <c r="S103" s="49"/>
      <c r="T103" s="49"/>
      <c r="U103" s="49"/>
      <c r="V103" s="66"/>
      <c r="W103" s="66"/>
      <c r="X103" s="66"/>
      <c r="Y103" s="49"/>
      <c r="Z103" s="50"/>
      <c r="AA103" s="51"/>
      <c r="AB103" s="49"/>
      <c r="AC103" s="49"/>
      <c r="AD103" s="49"/>
      <c r="AE103" s="49"/>
      <c r="AF103" s="49"/>
      <c r="AG103" s="52"/>
    </row>
    <row r="104" spans="1:33" x14ac:dyDescent="0.3">
      <c r="A104" s="53"/>
      <c r="B104" s="49"/>
      <c r="C104" s="72"/>
      <c r="D104" s="49"/>
      <c r="E104" s="49"/>
      <c r="F104" s="49"/>
      <c r="G104" s="49" t="s">
        <v>49</v>
      </c>
      <c r="H104" s="49"/>
      <c r="I104" s="57" t="s">
        <v>22</v>
      </c>
      <c r="J104" s="58" t="s">
        <v>50</v>
      </c>
      <c r="K104" s="58"/>
      <c r="L104" s="58"/>
      <c r="M104" s="58"/>
      <c r="N104" s="59"/>
      <c r="O104" s="49"/>
      <c r="P104" s="59"/>
      <c r="Q104" s="59"/>
      <c r="R104" s="49"/>
      <c r="S104" s="50"/>
      <c r="T104" s="49"/>
      <c r="U104" s="49"/>
      <c r="V104" s="66"/>
      <c r="W104" s="66"/>
      <c r="X104" s="66"/>
      <c r="Y104" s="53"/>
      <c r="Z104" s="50"/>
      <c r="AA104" s="51"/>
      <c r="AB104" s="50"/>
      <c r="AC104" s="53"/>
      <c r="AD104" s="49"/>
      <c r="AE104" s="49"/>
      <c r="AF104" s="49"/>
      <c r="AG104" s="52"/>
    </row>
    <row r="105" spans="1:33" x14ac:dyDescent="0.3">
      <c r="A105" s="51"/>
      <c r="B105" s="49"/>
      <c r="C105" s="49" t="s">
        <v>51</v>
      </c>
      <c r="D105" s="49"/>
      <c r="E105" s="49"/>
      <c r="F105" s="49"/>
      <c r="G105" s="49"/>
      <c r="H105" s="49"/>
      <c r="I105" s="49"/>
      <c r="J105" s="49"/>
      <c r="K105" s="57"/>
      <c r="L105" s="66"/>
      <c r="M105" s="66"/>
      <c r="N105" s="49"/>
      <c r="O105" s="49"/>
      <c r="P105" s="59"/>
      <c r="Q105" s="59"/>
      <c r="R105" s="49"/>
      <c r="S105" s="50"/>
      <c r="T105" s="60"/>
      <c r="U105" s="60"/>
      <c r="V105" s="57"/>
      <c r="W105" s="61"/>
      <c r="X105" s="61"/>
      <c r="Y105" s="53"/>
      <c r="Z105" s="50"/>
      <c r="AA105" s="51"/>
      <c r="AB105" s="62"/>
      <c r="AC105" s="63"/>
      <c r="AD105" s="49"/>
      <c r="AE105" s="49"/>
      <c r="AF105" s="49"/>
      <c r="AG105" s="52"/>
    </row>
    <row r="106" spans="1:33" x14ac:dyDescent="0.3">
      <c r="A106" s="51"/>
      <c r="B106" s="49"/>
      <c r="C106" s="49" t="s">
        <v>91</v>
      </c>
      <c r="D106" s="68"/>
      <c r="E106" s="68"/>
      <c r="F106" s="49"/>
      <c r="G106" s="49"/>
      <c r="H106" s="49"/>
      <c r="I106" s="50"/>
      <c r="J106" s="79"/>
      <c r="K106" s="90"/>
      <c r="L106" s="69"/>
      <c r="M106" s="66"/>
      <c r="N106" s="49"/>
      <c r="O106" s="49"/>
      <c r="P106" s="59"/>
      <c r="Q106" s="59"/>
      <c r="R106" s="49"/>
      <c r="S106" s="50"/>
      <c r="T106" s="60"/>
      <c r="U106" s="60"/>
      <c r="V106" s="57"/>
      <c r="W106" s="61"/>
      <c r="X106" s="133">
        <f>45.7*1.2</f>
        <v>54.84</v>
      </c>
      <c r="Y106" s="134"/>
      <c r="Z106" s="53" t="s">
        <v>53</v>
      </c>
      <c r="AA106" s="51"/>
      <c r="AB106" s="62"/>
      <c r="AC106" s="63"/>
      <c r="AD106" s="49"/>
      <c r="AE106" s="49"/>
      <c r="AF106" s="49"/>
      <c r="AG106" s="52"/>
    </row>
    <row r="107" spans="1:33" ht="16.2" thickBot="1" x14ac:dyDescent="0.4">
      <c r="A107" s="51"/>
      <c r="B107" s="49"/>
      <c r="C107" s="49"/>
      <c r="D107" s="49"/>
      <c r="E107" s="49"/>
      <c r="F107" s="49"/>
      <c r="G107" s="49" t="s">
        <v>54</v>
      </c>
      <c r="H107" s="49"/>
      <c r="I107" s="64" t="s">
        <v>22</v>
      </c>
      <c r="J107" s="92" t="str">
        <f>CONCATENATE(X106,"/ 2000")</f>
        <v>54.84/ 2000</v>
      </c>
      <c r="K107" s="89"/>
      <c r="L107" s="53"/>
      <c r="M107" s="66"/>
      <c r="N107" s="49"/>
      <c r="O107" s="49"/>
      <c r="P107" s="59"/>
      <c r="Q107" s="59"/>
      <c r="R107" s="49"/>
      <c r="S107" s="50"/>
      <c r="T107" s="60"/>
      <c r="U107" s="60"/>
      <c r="V107" s="57"/>
      <c r="W107" s="61"/>
      <c r="X107" s="61"/>
      <c r="Y107" s="53"/>
      <c r="Z107" s="50"/>
      <c r="AA107" s="51"/>
      <c r="AB107" s="62"/>
      <c r="AC107" s="63"/>
      <c r="AD107" s="49"/>
      <c r="AE107" s="49"/>
      <c r="AF107" s="49"/>
      <c r="AG107" s="52"/>
    </row>
    <row r="108" spans="1:33" ht="15" thickBot="1" x14ac:dyDescent="0.35">
      <c r="A108" s="51"/>
      <c r="B108" s="49"/>
      <c r="C108" s="49"/>
      <c r="D108" s="49"/>
      <c r="E108" s="49"/>
      <c r="F108" s="49"/>
      <c r="G108" s="49"/>
      <c r="H108" s="49"/>
      <c r="I108" s="64" t="s">
        <v>22</v>
      </c>
      <c r="J108" s="135">
        <f>X106*1000/2000</f>
        <v>27.42</v>
      </c>
      <c r="K108" s="136"/>
      <c r="L108" s="69"/>
      <c r="M108" s="66"/>
      <c r="N108" s="49"/>
      <c r="O108" s="49"/>
      <c r="P108" s="59"/>
      <c r="Q108" s="59"/>
      <c r="R108" s="49"/>
      <c r="S108" s="50"/>
      <c r="T108" s="60"/>
      <c r="U108" s="60"/>
      <c r="V108" s="57"/>
      <c r="W108" s="61"/>
      <c r="X108" s="61"/>
      <c r="Y108" s="53"/>
      <c r="Z108" s="50"/>
      <c r="AA108" s="51"/>
      <c r="AB108" s="62"/>
      <c r="AC108" s="63"/>
      <c r="AD108" s="49"/>
      <c r="AE108" s="49"/>
      <c r="AF108" s="49"/>
      <c r="AG108" s="52"/>
    </row>
    <row r="109" spans="1:33" ht="16.2" thickBot="1" x14ac:dyDescent="0.4">
      <c r="A109" s="51"/>
      <c r="B109" s="49"/>
      <c r="C109" s="49"/>
      <c r="D109" s="49"/>
      <c r="E109" s="49"/>
      <c r="F109" s="49"/>
      <c r="G109" s="49" t="s">
        <v>55</v>
      </c>
      <c r="H109" s="49"/>
      <c r="I109" s="64" t="s">
        <v>22</v>
      </c>
      <c r="J109" s="119">
        <v>14</v>
      </c>
      <c r="K109" s="120"/>
      <c r="L109" s="69"/>
      <c r="M109" s="66"/>
      <c r="N109" s="49"/>
      <c r="O109" s="49"/>
      <c r="P109" s="59"/>
      <c r="Q109" s="59"/>
      <c r="R109" s="49"/>
      <c r="S109" s="50"/>
      <c r="T109" s="60"/>
      <c r="U109" s="60"/>
      <c r="V109" s="57"/>
      <c r="W109" s="61"/>
      <c r="X109" s="61"/>
      <c r="Y109" s="53"/>
      <c r="Z109" s="50"/>
      <c r="AA109" s="51"/>
      <c r="AB109" s="62"/>
      <c r="AC109" s="63"/>
      <c r="AD109" s="49"/>
      <c r="AE109" s="49"/>
      <c r="AF109" s="49"/>
      <c r="AG109" s="52"/>
    </row>
    <row r="110" spans="1:33" x14ac:dyDescent="0.3">
      <c r="A110" s="51"/>
      <c r="B110" s="49"/>
      <c r="C110" s="49"/>
      <c r="D110" s="49"/>
      <c r="E110" s="49"/>
      <c r="F110" s="49"/>
      <c r="G110" s="49"/>
      <c r="H110" s="49"/>
      <c r="I110" s="49"/>
      <c r="J110" s="59"/>
      <c r="K110" s="65"/>
      <c r="L110" s="66"/>
      <c r="M110" s="66"/>
      <c r="N110" s="49"/>
      <c r="O110" s="49"/>
      <c r="P110" s="59"/>
      <c r="Q110" s="59"/>
      <c r="R110" s="49"/>
      <c r="S110" s="50"/>
      <c r="T110" s="60"/>
      <c r="U110" s="60"/>
      <c r="V110" s="57"/>
      <c r="W110" s="61"/>
      <c r="X110" s="61"/>
      <c r="Y110" s="53"/>
      <c r="Z110" s="50"/>
      <c r="AA110" s="51"/>
      <c r="AB110" s="62"/>
      <c r="AC110" s="63"/>
      <c r="AD110" s="49"/>
      <c r="AE110" s="49"/>
      <c r="AF110" s="49"/>
      <c r="AG110" s="52"/>
    </row>
    <row r="111" spans="1:33" ht="15.6" x14ac:dyDescent="0.35">
      <c r="A111" s="51"/>
      <c r="B111" s="49"/>
      <c r="C111" s="49"/>
      <c r="D111" s="49"/>
      <c r="E111" s="49"/>
      <c r="F111" s="49"/>
      <c r="G111" s="49" t="s">
        <v>56</v>
      </c>
      <c r="H111" s="49"/>
      <c r="I111" s="57" t="s">
        <v>22</v>
      </c>
      <c r="J111" s="49" t="s">
        <v>57</v>
      </c>
      <c r="K111" s="57"/>
      <c r="L111" s="66"/>
      <c r="M111" s="66"/>
      <c r="N111" s="49"/>
      <c r="O111" s="49"/>
      <c r="P111" s="59"/>
      <c r="Q111" s="59"/>
      <c r="R111" s="49"/>
      <c r="S111" s="50"/>
      <c r="T111" s="60"/>
      <c r="U111" s="60"/>
      <c r="V111" s="57"/>
      <c r="W111" s="61"/>
      <c r="X111" s="61"/>
      <c r="Y111" s="53"/>
      <c r="Z111" s="50"/>
      <c r="AA111" s="51"/>
      <c r="AB111" s="62"/>
      <c r="AC111" s="63"/>
      <c r="AD111" s="49"/>
      <c r="AE111" s="49"/>
      <c r="AF111" s="49"/>
      <c r="AG111" s="52"/>
    </row>
    <row r="112" spans="1:33" x14ac:dyDescent="0.3">
      <c r="A112" s="51"/>
      <c r="B112" s="49"/>
      <c r="C112" s="49"/>
      <c r="D112" s="49"/>
      <c r="E112" s="49"/>
      <c r="F112" s="49"/>
      <c r="G112" s="49"/>
      <c r="H112" s="49"/>
      <c r="I112" s="49"/>
      <c r="J112" s="49"/>
      <c r="K112" s="57"/>
      <c r="L112" s="66"/>
      <c r="M112" s="66"/>
      <c r="N112" s="49"/>
      <c r="O112" s="49"/>
      <c r="P112" s="59"/>
      <c r="Q112" s="59"/>
      <c r="R112" s="49"/>
      <c r="S112" s="50"/>
      <c r="T112" s="60"/>
      <c r="U112" s="60"/>
      <c r="V112" s="57"/>
      <c r="W112" s="61"/>
      <c r="X112" s="61"/>
      <c r="Y112" s="53"/>
      <c r="Z112" s="50"/>
      <c r="AA112" s="51"/>
      <c r="AB112" s="62"/>
      <c r="AC112" s="63"/>
      <c r="AD112" s="49"/>
      <c r="AE112" s="49"/>
      <c r="AF112" s="49"/>
      <c r="AG112" s="52"/>
    </row>
    <row r="113" spans="1:33" x14ac:dyDescent="0.3">
      <c r="A113" s="51"/>
      <c r="B113" s="49"/>
      <c r="C113" s="49"/>
      <c r="D113" s="49" t="s">
        <v>58</v>
      </c>
      <c r="E113" s="49"/>
      <c r="F113" s="49"/>
      <c r="G113" s="49"/>
      <c r="H113" s="49"/>
      <c r="I113" s="49"/>
      <c r="J113" s="49"/>
      <c r="K113" s="57"/>
      <c r="L113" s="66"/>
      <c r="M113" s="66"/>
      <c r="N113" s="49"/>
      <c r="O113" s="49"/>
      <c r="P113" s="59"/>
      <c r="Q113" s="59"/>
      <c r="R113" s="49"/>
      <c r="S113" s="50"/>
      <c r="T113" s="60"/>
      <c r="U113" s="60"/>
      <c r="V113" s="57"/>
      <c r="W113" s="61"/>
      <c r="X113" s="61"/>
      <c r="Y113" s="53"/>
      <c r="Z113" s="50"/>
      <c r="AA113" s="51"/>
      <c r="AB113" s="62"/>
      <c r="AC113" s="63"/>
      <c r="AD113" s="49"/>
      <c r="AE113" s="49"/>
      <c r="AF113" s="49"/>
      <c r="AG113" s="52"/>
    </row>
    <row r="114" spans="1:33" x14ac:dyDescent="0.3">
      <c r="A114" s="51"/>
      <c r="B114" s="49"/>
      <c r="C114" s="49"/>
      <c r="D114" s="49"/>
      <c r="E114" s="49"/>
      <c r="F114" s="49"/>
      <c r="G114" s="49"/>
      <c r="H114" s="49"/>
      <c r="I114" s="49"/>
      <c r="J114" s="49"/>
      <c r="K114" s="57"/>
      <c r="L114" s="66"/>
      <c r="M114" s="66"/>
      <c r="N114" s="49"/>
      <c r="O114" s="49"/>
      <c r="P114" s="59"/>
      <c r="Q114" s="59"/>
      <c r="R114" s="49"/>
      <c r="S114" s="50"/>
      <c r="T114" s="60"/>
      <c r="U114" s="60"/>
      <c r="V114" s="57"/>
      <c r="W114" s="61"/>
      <c r="X114" s="61"/>
      <c r="Y114" s="53"/>
      <c r="Z114" s="50"/>
      <c r="AA114" s="51"/>
      <c r="AB114" s="62"/>
      <c r="AC114" s="63"/>
      <c r="AD114" s="49"/>
      <c r="AE114" s="49"/>
      <c r="AF114" s="49"/>
      <c r="AG114" s="52"/>
    </row>
    <row r="115" spans="1:33" ht="15" thickBot="1" x14ac:dyDescent="0.35">
      <c r="A115" s="51"/>
      <c r="B115" s="49"/>
      <c r="C115" s="49" t="s">
        <v>59</v>
      </c>
      <c r="D115" s="49"/>
      <c r="E115" s="49"/>
      <c r="F115" s="49"/>
      <c r="G115" s="49"/>
      <c r="H115" s="49"/>
      <c r="I115" s="49"/>
      <c r="J115" s="49"/>
      <c r="K115" s="49"/>
      <c r="L115" s="66"/>
      <c r="M115" s="66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50"/>
      <c r="AA115" s="51"/>
      <c r="AB115" s="49"/>
      <c r="AC115" s="49"/>
      <c r="AD115" s="49"/>
      <c r="AE115" s="49"/>
      <c r="AF115" s="49"/>
      <c r="AG115" s="52"/>
    </row>
    <row r="116" spans="1:33" ht="15" thickBot="1" x14ac:dyDescent="0.35">
      <c r="A116" s="51"/>
      <c r="B116" s="49"/>
      <c r="C116" s="49" t="s">
        <v>60</v>
      </c>
      <c r="D116" s="49"/>
      <c r="E116" s="49"/>
      <c r="F116" s="49"/>
      <c r="G116" s="49"/>
      <c r="H116" s="49"/>
      <c r="I116" s="49"/>
      <c r="J116" s="68"/>
      <c r="K116" s="49" t="s">
        <v>22</v>
      </c>
      <c r="L116" s="119">
        <v>3.5</v>
      </c>
      <c r="M116" s="120"/>
      <c r="N116" s="53" t="s">
        <v>61</v>
      </c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50"/>
      <c r="AA116" s="51"/>
      <c r="AB116" s="49"/>
      <c r="AC116" s="49"/>
      <c r="AD116" s="49"/>
      <c r="AE116" s="49"/>
      <c r="AF116" s="49"/>
      <c r="AG116" s="52"/>
    </row>
    <row r="117" spans="1:33" ht="15" thickBot="1" x14ac:dyDescent="0.35">
      <c r="A117" s="51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59"/>
      <c r="M117" s="59"/>
      <c r="N117" s="49"/>
      <c r="O117" s="49"/>
      <c r="P117" s="49"/>
      <c r="Q117" s="66"/>
      <c r="R117" s="66"/>
      <c r="S117" s="49"/>
      <c r="T117" s="49"/>
      <c r="U117" s="49"/>
      <c r="V117" s="49"/>
      <c r="W117" s="49"/>
      <c r="X117" s="49"/>
      <c r="Y117" s="49"/>
      <c r="Z117" s="50"/>
      <c r="AA117" s="51"/>
      <c r="AB117" s="49"/>
      <c r="AC117" s="49"/>
      <c r="AD117" s="49"/>
      <c r="AE117" s="49"/>
      <c r="AF117" s="49"/>
      <c r="AG117" s="52"/>
    </row>
    <row r="118" spans="1:33" ht="15" thickBot="1" x14ac:dyDescent="0.35">
      <c r="A118" s="51"/>
      <c r="B118" s="49"/>
      <c r="C118" s="49" t="s">
        <v>62</v>
      </c>
      <c r="D118" s="49"/>
      <c r="E118" s="49"/>
      <c r="F118" s="49"/>
      <c r="G118" s="49"/>
      <c r="H118" s="49"/>
      <c r="I118" s="49"/>
      <c r="J118" s="49"/>
      <c r="K118" s="50" t="s">
        <v>22</v>
      </c>
      <c r="L118" s="137">
        <v>50</v>
      </c>
      <c r="M118" s="138"/>
      <c r="N118" s="53" t="s">
        <v>63</v>
      </c>
      <c r="O118" s="49"/>
      <c r="P118" s="49" t="s">
        <v>64</v>
      </c>
      <c r="Q118" s="49"/>
      <c r="R118" s="49"/>
      <c r="S118" s="49"/>
      <c r="T118" s="49"/>
      <c r="U118" s="68"/>
      <c r="V118" s="68"/>
      <c r="W118" s="68"/>
      <c r="X118" s="68"/>
      <c r="Y118" s="68"/>
      <c r="Z118" s="50"/>
      <c r="AA118" s="51"/>
      <c r="AB118" s="49"/>
      <c r="AC118" s="49"/>
      <c r="AD118" s="49"/>
      <c r="AE118" s="49"/>
      <c r="AF118" s="49"/>
      <c r="AG118" s="52"/>
    </row>
    <row r="119" spans="1:33" ht="16.2" thickBot="1" x14ac:dyDescent="0.4">
      <c r="A119" s="51"/>
      <c r="B119" s="49"/>
      <c r="C119" s="49" t="s">
        <v>65</v>
      </c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66">
        <v>2</v>
      </c>
      <c r="R119" s="67" t="s">
        <v>27</v>
      </c>
      <c r="S119" s="139">
        <f>L116</f>
        <v>3.5</v>
      </c>
      <c r="T119" s="140"/>
      <c r="U119" s="67" t="s">
        <v>27</v>
      </c>
      <c r="V119" s="133">
        <f>L118/1000</f>
        <v>0.05</v>
      </c>
      <c r="W119" s="141"/>
      <c r="X119" s="49"/>
      <c r="Y119" s="49"/>
      <c r="Z119" s="50"/>
      <c r="AA119" s="51"/>
      <c r="AB119" s="49"/>
      <c r="AC119" s="49"/>
      <c r="AD119" s="49"/>
      <c r="AE119" s="49"/>
      <c r="AF119" s="49"/>
      <c r="AG119" s="52"/>
    </row>
    <row r="120" spans="1:33" ht="15" thickBot="1" x14ac:dyDescent="0.35">
      <c r="A120" s="51"/>
      <c r="B120" s="49"/>
      <c r="C120" s="49"/>
      <c r="D120" s="49"/>
      <c r="E120" s="49"/>
      <c r="F120" s="49"/>
      <c r="G120" s="49"/>
      <c r="H120" s="49"/>
      <c r="I120" s="49"/>
      <c r="J120" s="49"/>
      <c r="K120" s="68" t="s">
        <v>22</v>
      </c>
      <c r="L120" s="129">
        <f>Q119*S119*V119</f>
        <v>0.35000000000000003</v>
      </c>
      <c r="M120" s="130"/>
      <c r="N120" s="53" t="s">
        <v>66</v>
      </c>
      <c r="O120" s="49"/>
      <c r="P120" s="68"/>
      <c r="Q120" s="49"/>
      <c r="R120" s="49"/>
      <c r="S120" s="49"/>
      <c r="T120" s="49"/>
      <c r="U120" s="49"/>
      <c r="V120" s="49"/>
      <c r="W120" s="49"/>
      <c r="X120" s="49"/>
      <c r="Y120" s="49"/>
      <c r="Z120" s="50"/>
      <c r="AA120" s="51"/>
      <c r="AB120" s="49"/>
      <c r="AC120" s="49"/>
      <c r="AD120" s="49"/>
      <c r="AE120" s="49"/>
      <c r="AF120" s="49"/>
      <c r="AG120" s="52"/>
    </row>
    <row r="121" spans="1:33" ht="15" thickBot="1" x14ac:dyDescent="0.35">
      <c r="A121" s="5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66"/>
      <c r="M121" s="66"/>
      <c r="N121" s="49"/>
      <c r="O121" s="49"/>
      <c r="P121" s="49"/>
      <c r="Q121" s="49"/>
      <c r="R121" s="49"/>
      <c r="S121" s="49"/>
      <c r="T121" s="49"/>
      <c r="U121" s="49"/>
      <c r="V121" s="59"/>
      <c r="W121" s="59"/>
      <c r="X121" s="59"/>
      <c r="Y121" s="49"/>
      <c r="Z121" s="50"/>
      <c r="AA121" s="51"/>
      <c r="AB121" s="49"/>
      <c r="AC121" s="49"/>
      <c r="AD121" s="49"/>
      <c r="AE121" s="49"/>
      <c r="AF121" s="49"/>
      <c r="AG121" s="52"/>
    </row>
    <row r="122" spans="1:33" ht="16.2" thickBot="1" x14ac:dyDescent="0.4">
      <c r="A122" s="51"/>
      <c r="B122" s="49"/>
      <c r="C122" s="49"/>
      <c r="D122" s="49"/>
      <c r="E122" s="49"/>
      <c r="F122" s="49"/>
      <c r="G122" s="49" t="s">
        <v>56</v>
      </c>
      <c r="H122" s="49"/>
      <c r="I122" s="57"/>
      <c r="J122" s="87"/>
      <c r="K122" s="88" t="s">
        <v>22</v>
      </c>
      <c r="L122" s="131">
        <f>L120</f>
        <v>0.35000000000000003</v>
      </c>
      <c r="M122" s="132"/>
      <c r="N122" s="53"/>
      <c r="O122" s="49"/>
      <c r="P122" s="49"/>
      <c r="Q122" s="49"/>
      <c r="R122" s="49"/>
      <c r="S122" s="50"/>
      <c r="T122" s="60"/>
      <c r="U122" s="60"/>
      <c r="V122" s="57"/>
      <c r="W122" s="61"/>
      <c r="X122" s="61"/>
      <c r="Y122" s="53"/>
      <c r="Z122" s="50"/>
      <c r="AA122" s="51"/>
      <c r="AB122" s="62"/>
      <c r="AC122" s="63"/>
      <c r="AD122" s="49"/>
      <c r="AE122" s="49"/>
      <c r="AF122" s="49"/>
      <c r="AG122" s="52"/>
    </row>
    <row r="123" spans="1:33" x14ac:dyDescent="0.3">
      <c r="A123" s="51"/>
      <c r="B123" s="49"/>
      <c r="C123" s="49"/>
      <c r="D123" s="49"/>
      <c r="E123" s="49"/>
      <c r="F123" s="49"/>
      <c r="G123" s="49"/>
      <c r="H123" s="49"/>
      <c r="I123" s="49"/>
      <c r="J123" s="49"/>
      <c r="K123" s="57"/>
      <c r="L123" s="66"/>
      <c r="M123" s="66"/>
      <c r="N123" s="49"/>
      <c r="O123" s="49"/>
      <c r="P123" s="59"/>
      <c r="Q123" s="59"/>
      <c r="R123" s="49"/>
      <c r="S123" s="50"/>
      <c r="T123" s="60"/>
      <c r="U123" s="60"/>
      <c r="V123" s="57"/>
      <c r="W123" s="61"/>
      <c r="X123" s="61"/>
      <c r="Y123" s="53"/>
      <c r="Z123" s="50"/>
      <c r="AA123" s="51"/>
      <c r="AB123" s="62"/>
      <c r="AC123" s="63"/>
      <c r="AD123" s="49"/>
      <c r="AE123" s="49"/>
      <c r="AF123" s="49"/>
      <c r="AG123" s="52"/>
    </row>
    <row r="124" spans="1:33" ht="15.6" x14ac:dyDescent="0.35">
      <c r="A124" s="51"/>
      <c r="B124" s="49"/>
      <c r="C124" s="49" t="s">
        <v>67</v>
      </c>
      <c r="D124" s="49"/>
      <c r="E124" s="49"/>
      <c r="F124" s="49"/>
      <c r="G124" s="49"/>
      <c r="H124" s="49"/>
      <c r="I124" s="49"/>
      <c r="J124" s="49"/>
      <c r="K124" s="57" t="s">
        <v>22</v>
      </c>
      <c r="L124" s="66">
        <f>J108</f>
        <v>27.42</v>
      </c>
      <c r="M124" s="67" t="s">
        <v>27</v>
      </c>
      <c r="N124" s="49" t="str">
        <f>CONCATENATE("(",J109, " + ", L122,")")</f>
        <v>(14 + 0.35)</v>
      </c>
      <c r="O124" s="49"/>
      <c r="P124" s="59"/>
      <c r="Q124" s="59"/>
      <c r="R124" s="49"/>
      <c r="S124" s="50"/>
      <c r="T124" s="60"/>
      <c r="U124" s="60"/>
      <c r="V124" s="57"/>
      <c r="W124" s="61"/>
      <c r="X124" s="61"/>
      <c r="Y124" s="53"/>
      <c r="Z124" s="50"/>
      <c r="AA124" s="51"/>
      <c r="AB124" s="62"/>
      <c r="AC124" s="63"/>
      <c r="AD124" s="49"/>
      <c r="AE124" s="49"/>
      <c r="AF124" s="49"/>
      <c r="AG124" s="52"/>
    </row>
    <row r="125" spans="1:33" x14ac:dyDescent="0.3">
      <c r="A125" s="51"/>
      <c r="B125" s="49"/>
      <c r="C125" s="49"/>
      <c r="D125" s="49"/>
      <c r="E125" s="49"/>
      <c r="F125" s="49"/>
      <c r="G125" s="49"/>
      <c r="H125" s="49"/>
      <c r="I125" s="49"/>
      <c r="J125" s="49"/>
      <c r="K125" s="57" t="s">
        <v>22</v>
      </c>
      <c r="L125" s="66">
        <f>J108*(L122+J109)</f>
        <v>393.47700000000003</v>
      </c>
      <c r="M125" s="66"/>
      <c r="N125" s="49"/>
      <c r="O125" s="49"/>
      <c r="P125" s="59"/>
      <c r="Q125" s="59"/>
      <c r="R125" s="49"/>
      <c r="S125" s="50"/>
      <c r="T125" s="60"/>
      <c r="U125" s="60"/>
      <c r="V125" s="57"/>
      <c r="W125" s="61"/>
      <c r="X125" s="61"/>
      <c r="Y125" s="53"/>
      <c r="Z125" s="50"/>
      <c r="AA125" s="51"/>
      <c r="AB125" s="62"/>
      <c r="AC125" s="63"/>
      <c r="AD125" s="49"/>
      <c r="AE125" s="49"/>
      <c r="AF125" s="49"/>
      <c r="AG125" s="52"/>
    </row>
    <row r="126" spans="1:33" x14ac:dyDescent="0.3">
      <c r="A126" s="51"/>
      <c r="B126" s="49"/>
      <c r="C126" s="49" t="s">
        <v>68</v>
      </c>
      <c r="D126" s="49"/>
      <c r="E126" s="49"/>
      <c r="F126" s="49"/>
      <c r="G126" s="49"/>
      <c r="H126" s="49"/>
      <c r="I126" s="49"/>
      <c r="J126" s="49"/>
      <c r="K126" s="64"/>
      <c r="L126" s="68"/>
      <c r="M126" s="68"/>
      <c r="N126" s="53"/>
      <c r="O126" s="49"/>
      <c r="P126" s="59"/>
      <c r="Q126" s="59"/>
      <c r="R126" s="49"/>
      <c r="S126" s="50"/>
      <c r="T126" s="60"/>
      <c r="U126" s="60"/>
      <c r="V126" s="57"/>
      <c r="W126" s="61"/>
      <c r="X126" s="61"/>
      <c r="Y126" s="53"/>
      <c r="Z126" s="50"/>
      <c r="AA126" s="51"/>
      <c r="AB126" s="62"/>
      <c r="AC126" s="63"/>
      <c r="AD126" s="49"/>
      <c r="AE126" s="49"/>
      <c r="AF126" s="49"/>
      <c r="AG126" s="52"/>
    </row>
    <row r="127" spans="1:33" x14ac:dyDescent="0.3">
      <c r="A127" s="51"/>
      <c r="B127" s="49"/>
      <c r="C127" s="49"/>
      <c r="D127" s="49"/>
      <c r="E127" s="49"/>
      <c r="F127" s="49"/>
      <c r="G127" s="49"/>
      <c r="H127" s="49"/>
      <c r="I127" s="49"/>
      <c r="J127" s="49"/>
      <c r="K127" s="57" t="s">
        <v>22</v>
      </c>
      <c r="L127" s="66">
        <f>L125*1.2</f>
        <v>472.17240000000004</v>
      </c>
      <c r="M127" s="66"/>
      <c r="N127" s="49"/>
      <c r="O127" s="49"/>
      <c r="P127" s="59"/>
      <c r="Q127" s="59"/>
      <c r="R127" s="49"/>
      <c r="S127" s="50"/>
      <c r="T127" s="60"/>
      <c r="U127" s="60"/>
      <c r="V127" s="57"/>
      <c r="W127" s="61"/>
      <c r="X127" s="61"/>
      <c r="Y127" s="53"/>
      <c r="Z127" s="50"/>
      <c r="AA127" s="51"/>
      <c r="AB127" s="62"/>
      <c r="AC127" s="63"/>
      <c r="AD127" s="49"/>
      <c r="AE127" s="49"/>
      <c r="AF127" s="49"/>
      <c r="AG127" s="52"/>
    </row>
    <row r="128" spans="1:33" ht="15" thickBot="1" x14ac:dyDescent="0.35">
      <c r="A128" s="51"/>
      <c r="B128" s="49"/>
      <c r="C128" s="49"/>
      <c r="D128" s="49"/>
      <c r="E128" s="49"/>
      <c r="F128" s="49"/>
      <c r="G128" s="49"/>
      <c r="H128" s="49"/>
      <c r="I128" s="49"/>
      <c r="J128" s="49"/>
      <c r="K128" s="64"/>
      <c r="L128" s="68"/>
      <c r="M128" s="68"/>
      <c r="N128" s="53"/>
      <c r="O128" s="49"/>
      <c r="P128" s="59"/>
      <c r="Q128" s="59"/>
      <c r="R128" s="49"/>
      <c r="S128" s="50"/>
      <c r="T128" s="60"/>
      <c r="U128" s="60"/>
      <c r="V128" s="57"/>
      <c r="W128" s="61"/>
      <c r="X128" s="61"/>
      <c r="Y128" s="53"/>
      <c r="Z128" s="50"/>
      <c r="AA128" s="51"/>
      <c r="AB128" s="62"/>
      <c r="AC128" s="63"/>
      <c r="AD128" s="49"/>
      <c r="AE128" s="49"/>
      <c r="AF128" s="49"/>
      <c r="AG128" s="52"/>
    </row>
    <row r="129" spans="1:33" ht="15" thickBot="1" x14ac:dyDescent="0.35">
      <c r="A129" s="51"/>
      <c r="B129" s="49"/>
      <c r="C129" s="49"/>
      <c r="D129" s="49"/>
      <c r="E129" s="49"/>
      <c r="F129" s="49"/>
      <c r="G129" s="49"/>
      <c r="H129" s="49"/>
      <c r="I129" s="49" t="s">
        <v>69</v>
      </c>
      <c r="J129" s="49"/>
      <c r="K129" s="64" t="s">
        <v>22</v>
      </c>
      <c r="L129" s="119">
        <v>475</v>
      </c>
      <c r="M129" s="120"/>
      <c r="N129" s="53" t="s">
        <v>70</v>
      </c>
      <c r="O129" s="49"/>
      <c r="P129" s="59"/>
      <c r="Q129" s="59"/>
      <c r="R129" s="49"/>
      <c r="S129" s="50"/>
      <c r="T129" s="60"/>
      <c r="U129" s="60"/>
      <c r="V129" s="57"/>
      <c r="W129" s="61"/>
      <c r="X129" s="61"/>
      <c r="Y129" s="53"/>
      <c r="Z129" s="50"/>
      <c r="AA129" s="51"/>
      <c r="AB129" s="62"/>
      <c r="AC129" s="63"/>
      <c r="AD129" s="49"/>
      <c r="AE129" s="49"/>
      <c r="AF129" s="49"/>
      <c r="AG129" s="52"/>
    </row>
    <row r="130" spans="1:33" ht="15" thickBot="1" x14ac:dyDescent="0.35">
      <c r="A130" s="51"/>
      <c r="B130" s="49"/>
      <c r="C130" s="49"/>
      <c r="D130" s="49"/>
      <c r="E130" s="49"/>
      <c r="F130" s="49"/>
      <c r="G130" s="49"/>
      <c r="H130" s="49"/>
      <c r="I130" s="49"/>
      <c r="J130" s="49"/>
      <c r="K130" s="57"/>
      <c r="L130" s="58"/>
      <c r="M130" s="58"/>
      <c r="N130" s="49"/>
      <c r="O130" s="49"/>
      <c r="P130" s="59"/>
      <c r="Q130" s="59"/>
      <c r="R130" s="49"/>
      <c r="S130" s="50"/>
      <c r="T130" s="60"/>
      <c r="U130" s="60"/>
      <c r="V130" s="57"/>
      <c r="W130" s="61"/>
      <c r="X130" s="61"/>
      <c r="Y130" s="53"/>
      <c r="Z130" s="50"/>
      <c r="AA130" s="51"/>
      <c r="AB130" s="62"/>
      <c r="AC130" s="63"/>
      <c r="AD130" s="49"/>
      <c r="AE130" s="49"/>
      <c r="AF130" s="49"/>
      <c r="AG130" s="52"/>
    </row>
    <row r="131" spans="1:33" ht="15" thickBot="1" x14ac:dyDescent="0.35">
      <c r="A131" s="51"/>
      <c r="B131" s="49"/>
      <c r="C131" s="49"/>
      <c r="D131" s="49"/>
      <c r="E131" s="49"/>
      <c r="F131" s="49"/>
      <c r="G131" s="49"/>
      <c r="H131" s="50"/>
      <c r="I131" s="8" t="s">
        <v>71</v>
      </c>
      <c r="J131" s="9"/>
      <c r="K131" s="9"/>
      <c r="L131" s="9"/>
      <c r="M131" s="10" t="s">
        <v>72</v>
      </c>
      <c r="N131" s="53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50"/>
      <c r="AA131" s="51"/>
      <c r="AB131" s="49"/>
      <c r="AC131" s="49"/>
      <c r="AD131" s="49"/>
      <c r="AE131" s="49"/>
      <c r="AF131" s="49"/>
      <c r="AG131" s="52"/>
    </row>
    <row r="132" spans="1:33" x14ac:dyDescent="0.3">
      <c r="A132" s="51"/>
      <c r="B132" s="49"/>
      <c r="C132" s="49" t="s">
        <v>73</v>
      </c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50"/>
      <c r="AA132" s="51"/>
      <c r="AB132" s="49"/>
      <c r="AC132" s="49"/>
      <c r="AD132" s="49"/>
      <c r="AE132" s="49"/>
      <c r="AF132" s="49"/>
      <c r="AG132" s="52"/>
    </row>
    <row r="133" spans="1:33" ht="15" thickBot="1" x14ac:dyDescent="0.35">
      <c r="A133" s="51"/>
      <c r="B133" s="44"/>
      <c r="C133" s="44"/>
      <c r="D133" s="44"/>
      <c r="E133" s="44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44"/>
      <c r="X133" s="44"/>
      <c r="Y133" s="44"/>
      <c r="Z133" s="45"/>
      <c r="AA133" s="46"/>
      <c r="AB133" s="44"/>
      <c r="AC133" s="44"/>
      <c r="AD133" s="44"/>
      <c r="AE133" s="44"/>
      <c r="AF133" s="44"/>
      <c r="AG133" s="47"/>
    </row>
    <row r="134" spans="1:33" x14ac:dyDescent="0.3">
      <c r="A134" s="51"/>
      <c r="B134" s="44"/>
      <c r="C134" s="44"/>
      <c r="D134" s="44"/>
      <c r="E134" s="45"/>
      <c r="F134" s="11" t="s">
        <v>74</v>
      </c>
      <c r="G134" s="12"/>
      <c r="H134" s="12"/>
      <c r="I134" s="12"/>
      <c r="J134" s="12"/>
      <c r="K134" s="12"/>
      <c r="L134" s="12"/>
      <c r="M134" s="12"/>
      <c r="N134" s="13"/>
      <c r="O134" s="121" t="str">
        <f>Q91</f>
        <v>4000 /1 Amp</v>
      </c>
      <c r="P134" s="122"/>
      <c r="Q134" s="122"/>
      <c r="R134" s="122"/>
      <c r="S134" s="122"/>
      <c r="T134" s="123"/>
      <c r="U134" s="14"/>
      <c r="V134" s="15"/>
      <c r="W134" s="43"/>
      <c r="X134" s="44"/>
      <c r="Y134" s="44"/>
      <c r="Z134" s="45"/>
      <c r="AA134" s="46"/>
      <c r="AB134" s="44"/>
      <c r="AC134" s="44"/>
      <c r="AD134" s="44"/>
      <c r="AE134" s="44"/>
      <c r="AF134" s="44"/>
      <c r="AG134" s="47"/>
    </row>
    <row r="135" spans="1:33" x14ac:dyDescent="0.3">
      <c r="A135" s="51"/>
      <c r="B135" s="49"/>
      <c r="C135" s="54"/>
      <c r="D135" s="44"/>
      <c r="E135" s="55"/>
      <c r="F135" s="16" t="s">
        <v>75</v>
      </c>
      <c r="G135" s="17"/>
      <c r="H135" s="17"/>
      <c r="I135" s="17"/>
      <c r="J135" s="17"/>
      <c r="K135" s="17"/>
      <c r="L135" s="17"/>
      <c r="M135" s="17"/>
      <c r="N135" s="17" t="s">
        <v>76</v>
      </c>
      <c r="O135" s="124">
        <f>L129</f>
        <v>475</v>
      </c>
      <c r="P135" s="125"/>
      <c r="Q135" s="18" t="s">
        <v>70</v>
      </c>
      <c r="R135" s="19"/>
      <c r="S135" s="18"/>
      <c r="T135" s="18"/>
      <c r="U135" s="18"/>
      <c r="V135" s="20"/>
      <c r="W135" s="48"/>
      <c r="X135" s="49"/>
      <c r="Y135" s="49"/>
      <c r="Z135" s="50"/>
      <c r="AA135" s="51"/>
      <c r="AB135" s="49"/>
      <c r="AC135" s="49"/>
      <c r="AD135" s="49"/>
      <c r="AE135" s="49"/>
      <c r="AF135" s="49"/>
      <c r="AG135" s="52"/>
    </row>
    <row r="136" spans="1:33" x14ac:dyDescent="0.3">
      <c r="A136" s="51"/>
      <c r="B136" s="49"/>
      <c r="C136" s="54"/>
      <c r="D136" s="54"/>
      <c r="E136" s="55"/>
      <c r="F136" s="16" t="s">
        <v>77</v>
      </c>
      <c r="G136" s="17"/>
      <c r="H136" s="17"/>
      <c r="I136" s="17"/>
      <c r="J136" s="17"/>
      <c r="K136" s="17"/>
      <c r="L136" s="17"/>
      <c r="M136" s="21"/>
      <c r="N136" s="22" t="s">
        <v>22</v>
      </c>
      <c r="O136" s="17">
        <f>J109</f>
        <v>14</v>
      </c>
      <c r="P136" s="17" t="s">
        <v>78</v>
      </c>
      <c r="Q136" s="17"/>
      <c r="R136" s="17"/>
      <c r="S136" s="17"/>
      <c r="T136" s="17"/>
      <c r="U136" s="17"/>
      <c r="V136" s="20"/>
      <c r="W136" s="53"/>
      <c r="X136" s="49"/>
      <c r="Y136" s="49"/>
      <c r="Z136" s="50"/>
      <c r="AA136" s="51"/>
      <c r="AB136" s="49"/>
      <c r="AC136" s="49"/>
      <c r="AD136" s="49"/>
      <c r="AE136" s="49"/>
      <c r="AF136" s="49"/>
      <c r="AG136" s="52"/>
    </row>
    <row r="137" spans="1:33" x14ac:dyDescent="0.3">
      <c r="A137" s="51"/>
      <c r="B137" s="49"/>
      <c r="C137" s="54"/>
      <c r="D137" s="54"/>
      <c r="E137" s="55"/>
      <c r="F137" s="16" t="s">
        <v>79</v>
      </c>
      <c r="G137" s="23"/>
      <c r="H137" s="17"/>
      <c r="I137" s="17"/>
      <c r="J137" s="17"/>
      <c r="K137" s="17"/>
      <c r="L137" s="17"/>
      <c r="M137" s="17"/>
      <c r="N137" s="17"/>
      <c r="O137" s="17" t="str">
        <f>M131</f>
        <v>PX</v>
      </c>
      <c r="P137" s="17"/>
      <c r="Q137" s="17"/>
      <c r="R137" s="17"/>
      <c r="S137" s="17"/>
      <c r="T137" s="17"/>
      <c r="U137" s="17"/>
      <c r="V137" s="20"/>
      <c r="W137" s="53"/>
      <c r="X137" s="49"/>
      <c r="Y137" s="49"/>
      <c r="Z137" s="50"/>
      <c r="AA137" s="51"/>
      <c r="AB137" s="49"/>
      <c r="AC137" s="49"/>
      <c r="AD137" s="49"/>
      <c r="AE137" s="49"/>
      <c r="AF137" s="49"/>
      <c r="AG137" s="52"/>
    </row>
    <row r="138" spans="1:33" ht="15" thickBot="1" x14ac:dyDescent="0.35">
      <c r="A138" s="51"/>
      <c r="B138" s="49"/>
      <c r="C138" s="49"/>
      <c r="D138" s="49"/>
      <c r="E138" s="50"/>
      <c r="F138" s="24" t="s">
        <v>80</v>
      </c>
      <c r="G138" s="25"/>
      <c r="H138" s="25"/>
      <c r="I138" s="25"/>
      <c r="J138" s="25"/>
      <c r="K138" s="25"/>
      <c r="L138" s="25"/>
      <c r="M138" s="25"/>
      <c r="N138" s="25"/>
      <c r="O138" s="25" t="str">
        <f>C116</f>
        <v xml:space="preserve">6 sq.mm copper cable </v>
      </c>
      <c r="P138" s="25"/>
      <c r="Q138" s="25"/>
      <c r="R138" s="25"/>
      <c r="S138" s="25"/>
      <c r="T138" s="25"/>
      <c r="U138" s="25"/>
      <c r="V138" s="26"/>
      <c r="W138" s="53"/>
      <c r="X138" s="49"/>
      <c r="Y138" s="49"/>
      <c r="Z138" s="50"/>
      <c r="AA138" s="86"/>
      <c r="AB138" s="49"/>
      <c r="AC138" s="49"/>
      <c r="AD138" s="49"/>
      <c r="AE138" s="49"/>
      <c r="AF138" s="49"/>
      <c r="AG138" s="52"/>
    </row>
    <row r="139" spans="1:33" x14ac:dyDescent="0.3">
      <c r="A139" s="51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50"/>
      <c r="AA139" s="51"/>
      <c r="AB139" s="49"/>
      <c r="AC139" s="49"/>
      <c r="AD139" s="49"/>
      <c r="AE139" s="49"/>
      <c r="AF139" s="49"/>
      <c r="AG139" s="52"/>
    </row>
    <row r="140" spans="1:33" x14ac:dyDescent="0.3">
      <c r="A140" s="77"/>
      <c r="B140" s="85" t="s">
        <v>92</v>
      </c>
      <c r="C140" s="59"/>
      <c r="D140" s="59"/>
      <c r="E140" s="59"/>
      <c r="F140" s="59"/>
      <c r="G140" s="59"/>
      <c r="H140" s="59"/>
      <c r="I140" s="59"/>
      <c r="J140" s="59"/>
      <c r="K140" s="59"/>
      <c r="L140" s="4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78"/>
      <c r="AA140" s="75"/>
      <c r="AB140" s="59"/>
      <c r="AC140" s="59"/>
      <c r="AD140" s="59"/>
      <c r="AE140" s="59"/>
      <c r="AF140" s="59"/>
      <c r="AG140" s="78"/>
    </row>
    <row r="141" spans="1:33" x14ac:dyDescent="0.3">
      <c r="A141" s="77"/>
      <c r="B141" s="85"/>
      <c r="C141" s="85" t="s">
        <v>82</v>
      </c>
      <c r="D141" s="59"/>
      <c r="E141" s="59"/>
      <c r="F141" s="59"/>
      <c r="G141" s="59"/>
      <c r="H141" s="59"/>
      <c r="I141" s="59"/>
      <c r="J141" s="59"/>
      <c r="K141" s="59"/>
      <c r="L141" s="4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78"/>
      <c r="AA141" s="75"/>
      <c r="AB141" s="59"/>
      <c r="AC141" s="59"/>
      <c r="AD141" s="59"/>
      <c r="AE141" s="59"/>
      <c r="AF141" s="59"/>
      <c r="AG141" s="78"/>
    </row>
    <row r="142" spans="1:33" ht="15" thickBot="1" x14ac:dyDescent="0.35">
      <c r="A142" s="51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52"/>
      <c r="AA142" s="53"/>
      <c r="AB142" s="49"/>
      <c r="AC142" s="49"/>
      <c r="AD142" s="49"/>
      <c r="AE142" s="49"/>
      <c r="AF142" s="49"/>
      <c r="AG142" s="52"/>
    </row>
    <row r="143" spans="1:33" ht="15" thickBot="1" x14ac:dyDescent="0.35">
      <c r="A143" s="51"/>
      <c r="B143" s="49"/>
      <c r="C143" s="49" t="s">
        <v>93</v>
      </c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119">
        <v>0.05</v>
      </c>
      <c r="P143" s="120"/>
      <c r="Q143" s="49"/>
      <c r="R143" s="49" t="s">
        <v>94</v>
      </c>
      <c r="S143" s="49"/>
      <c r="T143" s="49"/>
      <c r="U143" s="49"/>
      <c r="V143" s="49"/>
      <c r="W143" s="49"/>
      <c r="X143" s="49"/>
      <c r="Y143" s="49"/>
      <c r="Z143" s="52"/>
      <c r="AA143" s="53"/>
      <c r="AB143" s="49"/>
      <c r="AC143" s="49"/>
      <c r="AD143" s="49"/>
      <c r="AE143" s="49"/>
      <c r="AF143" s="49"/>
      <c r="AG143" s="52"/>
    </row>
    <row r="144" spans="1:33" ht="15" thickBot="1" x14ac:dyDescent="0.35">
      <c r="A144" s="51"/>
      <c r="B144" s="49"/>
      <c r="C144" s="49"/>
      <c r="D144" s="49"/>
      <c r="E144" s="49"/>
      <c r="F144" s="49"/>
      <c r="G144" s="49"/>
      <c r="H144" s="49"/>
      <c r="I144" s="49"/>
      <c r="J144" s="49"/>
      <c r="K144" s="49" t="s">
        <v>95</v>
      </c>
      <c r="L144" s="49"/>
      <c r="M144" s="49"/>
      <c r="N144" s="50"/>
      <c r="O144" s="145">
        <f>SUM(O143:P143)</f>
        <v>0.05</v>
      </c>
      <c r="P144" s="146"/>
      <c r="Q144" s="53"/>
      <c r="R144" s="49"/>
      <c r="S144" s="49"/>
      <c r="T144" s="49"/>
      <c r="U144" s="49"/>
      <c r="V144" s="49"/>
      <c r="W144" s="49"/>
      <c r="X144" s="49"/>
      <c r="Y144" s="49"/>
      <c r="Z144" s="52"/>
      <c r="AA144" s="53"/>
      <c r="AB144" s="49"/>
      <c r="AC144" s="49"/>
      <c r="AD144" s="49"/>
      <c r="AE144" s="49"/>
      <c r="AF144" s="49"/>
      <c r="AG144" s="52"/>
    </row>
    <row r="145" spans="1:33" x14ac:dyDescent="0.3">
      <c r="A145" s="51"/>
      <c r="B145" s="49"/>
      <c r="C145" s="49" t="s">
        <v>96</v>
      </c>
      <c r="D145" s="49"/>
      <c r="E145" s="49"/>
      <c r="F145" s="49"/>
      <c r="G145" s="49"/>
      <c r="H145" s="49"/>
      <c r="I145" s="49"/>
      <c r="J145" s="49"/>
      <c r="K145" s="49"/>
      <c r="L145" s="49"/>
      <c r="M145" s="49" t="s">
        <v>97</v>
      </c>
      <c r="N145" s="49"/>
      <c r="O145" s="59"/>
      <c r="P145" s="59"/>
      <c r="Q145" s="49"/>
      <c r="R145" s="49"/>
      <c r="S145" s="49"/>
      <c r="T145" s="49"/>
      <c r="U145" s="49"/>
      <c r="V145" s="49"/>
      <c r="W145" s="49"/>
      <c r="X145" s="49"/>
      <c r="Y145" s="49"/>
      <c r="Z145" s="52"/>
      <c r="AA145" s="53"/>
      <c r="AB145" s="49"/>
      <c r="AC145" s="49"/>
      <c r="AD145" s="49"/>
      <c r="AE145" s="49"/>
      <c r="AF145" s="49"/>
      <c r="AG145" s="52"/>
    </row>
    <row r="146" spans="1:33" x14ac:dyDescent="0.3">
      <c r="A146" s="51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59"/>
      <c r="P146" s="76"/>
      <c r="Q146" s="75"/>
      <c r="R146" s="59"/>
      <c r="S146" s="59"/>
      <c r="T146" s="59"/>
      <c r="U146" s="59"/>
      <c r="V146" s="76"/>
      <c r="W146" s="53"/>
      <c r="X146" s="49"/>
      <c r="Y146" s="49"/>
      <c r="Z146" s="52"/>
      <c r="AA146" s="53"/>
      <c r="AB146" s="49"/>
      <c r="AC146" s="49"/>
      <c r="AD146" s="49"/>
      <c r="AE146" s="49"/>
      <c r="AF146" s="49"/>
      <c r="AG146" s="52"/>
    </row>
    <row r="147" spans="1:33" x14ac:dyDescent="0.3">
      <c r="A147" s="51"/>
      <c r="B147" s="49"/>
      <c r="C147" s="49" t="s">
        <v>98</v>
      </c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59"/>
      <c r="P147" s="76"/>
      <c r="Q147" s="75" t="s">
        <v>99</v>
      </c>
      <c r="R147" s="59"/>
      <c r="S147" s="59"/>
      <c r="T147" s="59" t="s">
        <v>70</v>
      </c>
      <c r="U147" s="59"/>
      <c r="V147" s="76"/>
      <c r="W147" s="53"/>
      <c r="X147" s="49"/>
      <c r="Y147" s="49"/>
      <c r="Z147" s="52"/>
      <c r="AA147" s="53"/>
      <c r="AB147" s="49"/>
      <c r="AC147" s="49"/>
      <c r="AD147" s="49"/>
      <c r="AE147" s="49"/>
      <c r="AF147" s="49"/>
      <c r="AG147" s="52"/>
    </row>
    <row r="148" spans="1:33" x14ac:dyDescent="0.3">
      <c r="A148" s="51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65" t="s">
        <v>22</v>
      </c>
      <c r="P148" s="76"/>
      <c r="Q148" s="75" t="str">
        <f>CONCATENATE("1 x (14 + 30)")</f>
        <v>1 x (14 + 30)</v>
      </c>
      <c r="R148" s="59"/>
      <c r="S148" s="59"/>
      <c r="T148" s="59"/>
      <c r="U148" s="59"/>
      <c r="V148" s="76"/>
      <c r="W148" s="53"/>
      <c r="X148" s="49"/>
      <c r="Y148" s="49"/>
      <c r="Z148" s="52"/>
      <c r="AA148" s="53"/>
      <c r="AB148" s="49"/>
      <c r="AC148" s="49"/>
      <c r="AD148" s="49"/>
      <c r="AE148" s="49"/>
      <c r="AF148" s="49"/>
      <c r="AG148" s="52"/>
    </row>
    <row r="149" spans="1:33" x14ac:dyDescent="0.3">
      <c r="A149" s="51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65" t="s">
        <v>22</v>
      </c>
      <c r="P149" s="76" t="s">
        <v>100</v>
      </c>
      <c r="Q149" s="75"/>
      <c r="R149" s="59"/>
      <c r="S149" s="59"/>
      <c r="T149" s="59"/>
      <c r="U149" s="59"/>
      <c r="V149" s="76"/>
      <c r="W149" s="53"/>
      <c r="X149" s="49"/>
      <c r="Y149" s="49"/>
      <c r="Z149" s="52"/>
      <c r="AA149" s="53"/>
      <c r="AB149" s="49"/>
      <c r="AC149" s="49"/>
      <c r="AD149" s="49"/>
      <c r="AE149" s="49"/>
      <c r="AF149" s="49"/>
      <c r="AG149" s="52"/>
    </row>
    <row r="150" spans="1:33" x14ac:dyDescent="0.3">
      <c r="A150" s="51"/>
      <c r="B150" s="49"/>
      <c r="C150" s="49" t="s">
        <v>101</v>
      </c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59"/>
      <c r="P150" s="76"/>
      <c r="Q150" s="75"/>
      <c r="R150" s="59"/>
      <c r="S150" s="59"/>
      <c r="T150" s="59"/>
      <c r="U150" s="59"/>
      <c r="V150" s="76"/>
      <c r="W150" s="53"/>
      <c r="X150" s="49"/>
      <c r="Y150" s="49"/>
      <c r="Z150" s="52"/>
      <c r="AA150" s="53"/>
      <c r="AB150" s="49"/>
      <c r="AC150" s="49"/>
      <c r="AD150" s="49"/>
      <c r="AE150" s="49"/>
      <c r="AF150" s="49"/>
      <c r="AG150" s="52"/>
    </row>
    <row r="151" spans="1:33" x14ac:dyDescent="0.3">
      <c r="A151" s="51"/>
      <c r="B151" s="49"/>
      <c r="C151" s="58" t="s">
        <v>102</v>
      </c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 t="s">
        <v>103</v>
      </c>
      <c r="O151" s="59"/>
      <c r="P151" s="76"/>
      <c r="Q151" s="75"/>
      <c r="R151" s="59"/>
      <c r="S151" s="59"/>
      <c r="T151" s="59"/>
      <c r="U151" s="59"/>
      <c r="V151" s="76"/>
      <c r="W151" s="53"/>
      <c r="X151" s="49"/>
      <c r="Y151" s="49"/>
      <c r="Z151" s="52"/>
      <c r="AA151" s="53"/>
      <c r="AB151" s="49"/>
      <c r="AC151" s="49"/>
      <c r="AD151" s="49"/>
      <c r="AE151" s="49"/>
      <c r="AF151" s="49"/>
      <c r="AG151" s="52"/>
    </row>
    <row r="152" spans="1:33" x14ac:dyDescent="0.3">
      <c r="A152" s="51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57" t="s">
        <v>22</v>
      </c>
      <c r="O152" s="59">
        <f>37*5</f>
        <v>185</v>
      </c>
      <c r="P152" s="76" t="s">
        <v>70</v>
      </c>
      <c r="Q152" s="75"/>
      <c r="R152" s="59"/>
      <c r="S152" s="59"/>
      <c r="T152" s="59"/>
      <c r="U152" s="59"/>
      <c r="V152" s="76"/>
      <c r="W152" s="53"/>
      <c r="X152" s="49"/>
      <c r="Y152" s="49"/>
      <c r="Z152" s="52"/>
      <c r="AA152" s="53"/>
      <c r="AB152" s="49"/>
      <c r="AC152" s="49"/>
      <c r="AD152" s="49"/>
      <c r="AE152" s="49"/>
      <c r="AF152" s="49"/>
      <c r="AG152" s="52"/>
    </row>
    <row r="153" spans="1:33" x14ac:dyDescent="0.3">
      <c r="A153" s="51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59"/>
      <c r="P153" s="76"/>
      <c r="Q153" s="75"/>
      <c r="R153" s="59"/>
      <c r="S153" s="59"/>
      <c r="T153" s="59"/>
      <c r="U153" s="59"/>
      <c r="V153" s="76"/>
      <c r="W153" s="53"/>
      <c r="X153" s="49"/>
      <c r="Y153" s="49"/>
      <c r="Z153" s="52"/>
      <c r="AA153" s="53"/>
      <c r="AB153" s="49"/>
      <c r="AC153" s="49"/>
      <c r="AD153" s="49"/>
      <c r="AE153" s="49"/>
      <c r="AF153" s="49"/>
      <c r="AG153" s="52"/>
    </row>
    <row r="154" spans="1:33" x14ac:dyDescent="0.3">
      <c r="A154" s="51"/>
      <c r="B154" s="49"/>
      <c r="C154" s="49" t="s">
        <v>104</v>
      </c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59"/>
      <c r="P154" s="76"/>
      <c r="Q154" s="75"/>
      <c r="R154" s="59"/>
      <c r="S154" s="59"/>
      <c r="T154" s="59"/>
      <c r="U154" s="59"/>
      <c r="V154" s="76"/>
      <c r="W154" s="53"/>
      <c r="X154" s="49"/>
      <c r="Y154" s="49"/>
      <c r="Z154" s="52"/>
      <c r="AA154" s="53"/>
      <c r="AB154" s="49"/>
      <c r="AC154" s="49"/>
      <c r="AD154" s="49"/>
      <c r="AE154" s="49"/>
      <c r="AF154" s="49"/>
      <c r="AG154" s="52"/>
    </row>
    <row r="155" spans="1:33" x14ac:dyDescent="0.3">
      <c r="A155" s="51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57" t="s">
        <v>105</v>
      </c>
      <c r="O155" s="59" t="s">
        <v>106</v>
      </c>
      <c r="P155" s="76"/>
      <c r="Q155" s="75"/>
      <c r="R155" s="59"/>
      <c r="S155" s="59" t="s">
        <v>107</v>
      </c>
      <c r="T155" s="59"/>
      <c r="U155" s="59"/>
      <c r="V155" s="76"/>
      <c r="W155" s="53"/>
      <c r="X155" s="49"/>
      <c r="Y155" s="49"/>
      <c r="Z155" s="52"/>
      <c r="AA155" s="53"/>
      <c r="AB155" s="49"/>
      <c r="AC155" s="49"/>
      <c r="AD155" s="49"/>
      <c r="AE155" s="49"/>
      <c r="AF155" s="49"/>
      <c r="AG155" s="52"/>
    </row>
    <row r="156" spans="1:33" x14ac:dyDescent="0.3">
      <c r="A156" s="51"/>
      <c r="B156" s="49"/>
      <c r="C156" s="49"/>
      <c r="D156" s="49"/>
      <c r="E156" s="49"/>
      <c r="F156" s="49"/>
      <c r="G156" s="49"/>
      <c r="H156" s="49"/>
      <c r="I156" s="49"/>
      <c r="J156" s="49"/>
      <c r="K156" s="57"/>
      <c r="L156" s="49"/>
      <c r="M156" s="49"/>
      <c r="N156" s="49"/>
      <c r="O156" s="59"/>
      <c r="P156" s="76"/>
      <c r="Q156" s="75"/>
      <c r="R156" s="59"/>
      <c r="S156" s="59"/>
      <c r="T156" s="59"/>
      <c r="U156" s="59"/>
      <c r="V156" s="76"/>
      <c r="W156" s="53"/>
      <c r="X156" s="49"/>
      <c r="Y156" s="49"/>
      <c r="Z156" s="52"/>
      <c r="AA156" s="53"/>
      <c r="AB156" s="49"/>
      <c r="AC156" s="49"/>
      <c r="AD156" s="49"/>
      <c r="AE156" s="49"/>
      <c r="AF156" s="49"/>
      <c r="AG156" s="52"/>
    </row>
    <row r="157" spans="1:33" x14ac:dyDescent="0.3">
      <c r="A157" s="51"/>
      <c r="B157" s="49"/>
      <c r="C157" s="49"/>
      <c r="D157" s="49"/>
      <c r="E157" s="49"/>
      <c r="F157" s="49"/>
      <c r="G157" s="49"/>
      <c r="H157" s="49"/>
      <c r="I157" s="49"/>
      <c r="J157" s="49"/>
      <c r="K157" s="57"/>
      <c r="L157" s="49"/>
      <c r="M157" s="49" t="s">
        <v>108</v>
      </c>
      <c r="N157" s="57" t="s">
        <v>22</v>
      </c>
      <c r="O157" s="59">
        <f>185/14.05</f>
        <v>13.167259786476867</v>
      </c>
      <c r="P157" s="76"/>
      <c r="Q157" s="75"/>
      <c r="R157" s="59"/>
      <c r="S157" s="59"/>
      <c r="T157" s="59"/>
      <c r="U157" s="59"/>
      <c r="V157" s="76"/>
      <c r="W157" s="53"/>
      <c r="X157" s="49"/>
      <c r="Y157" s="49"/>
      <c r="Z157" s="52"/>
      <c r="AA157" s="53"/>
      <c r="AB157" s="49"/>
      <c r="AC157" s="49"/>
      <c r="AD157" s="49"/>
      <c r="AE157" s="49"/>
      <c r="AF157" s="49"/>
      <c r="AG157" s="52"/>
    </row>
    <row r="158" spans="1:33" ht="15" thickBot="1" x14ac:dyDescent="0.35">
      <c r="A158" s="51"/>
      <c r="B158" s="49"/>
      <c r="C158" s="49"/>
      <c r="D158" s="49"/>
      <c r="E158" s="49"/>
      <c r="F158" s="49"/>
      <c r="G158" s="49"/>
      <c r="H158" s="49"/>
      <c r="I158" s="49"/>
      <c r="J158" s="49"/>
      <c r="K158" s="57"/>
      <c r="L158" s="49"/>
      <c r="M158" s="49"/>
      <c r="N158" s="57"/>
      <c r="O158" s="59"/>
      <c r="P158" s="76"/>
      <c r="Q158" s="75"/>
      <c r="R158" s="59"/>
      <c r="S158" s="59"/>
      <c r="T158" s="59"/>
      <c r="U158" s="59"/>
      <c r="V158" s="76"/>
      <c r="W158" s="53"/>
      <c r="X158" s="49"/>
      <c r="Y158" s="49"/>
      <c r="Z158" s="52"/>
      <c r="AA158" s="53"/>
      <c r="AB158" s="49"/>
      <c r="AC158" s="49"/>
      <c r="AD158" s="49"/>
      <c r="AE158" s="49"/>
      <c r="AF158" s="49"/>
      <c r="AG158" s="52"/>
    </row>
    <row r="159" spans="1:33" x14ac:dyDescent="0.3">
      <c r="A159" s="51"/>
      <c r="B159" s="49"/>
      <c r="C159" s="49" t="s">
        <v>109</v>
      </c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50"/>
      <c r="Q159" s="147" t="s">
        <v>110</v>
      </c>
      <c r="R159" s="148"/>
      <c r="S159" s="148"/>
      <c r="T159" s="148"/>
      <c r="U159" s="148"/>
      <c r="V159" s="149"/>
      <c r="W159" s="53"/>
      <c r="X159" s="49"/>
      <c r="Y159" s="49"/>
      <c r="Z159" s="52"/>
      <c r="AA159" s="53"/>
      <c r="AB159" s="49"/>
      <c r="AC159" s="49"/>
      <c r="AD159" s="49"/>
      <c r="AE159" s="49"/>
      <c r="AF159" s="49"/>
      <c r="AG159" s="52"/>
    </row>
    <row r="160" spans="1:33" x14ac:dyDescent="0.3">
      <c r="A160" s="51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50"/>
      <c r="Q160" s="150" t="s">
        <v>111</v>
      </c>
      <c r="R160" s="151"/>
      <c r="S160" s="151"/>
      <c r="T160" s="151"/>
      <c r="U160" s="151"/>
      <c r="V160" s="152"/>
      <c r="W160" s="53"/>
      <c r="X160" s="49"/>
      <c r="Y160" s="49"/>
      <c r="Z160" s="52"/>
      <c r="AA160" s="53"/>
      <c r="AB160" s="49"/>
      <c r="AC160" s="49"/>
      <c r="AD160" s="49"/>
      <c r="AE160" s="49"/>
      <c r="AF160" s="49"/>
      <c r="AG160" s="52"/>
    </row>
    <row r="161" spans="1:33" x14ac:dyDescent="0.3">
      <c r="A161" s="5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50"/>
      <c r="Q161" s="150" t="s">
        <v>112</v>
      </c>
      <c r="R161" s="151"/>
      <c r="S161" s="151"/>
      <c r="T161" s="151"/>
      <c r="U161" s="151"/>
      <c r="V161" s="152"/>
      <c r="W161" s="53"/>
      <c r="X161" s="49"/>
      <c r="Y161" s="49"/>
      <c r="Z161" s="52"/>
      <c r="AA161" s="53"/>
      <c r="AB161" s="49"/>
      <c r="AC161" s="49"/>
      <c r="AD161" s="49"/>
      <c r="AE161" s="49"/>
      <c r="AF161" s="49"/>
      <c r="AG161" s="52"/>
    </row>
    <row r="162" spans="1:33" ht="15" thickBot="1" x14ac:dyDescent="0.35">
      <c r="A162" s="51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50"/>
      <c r="Q162" s="153" t="s">
        <v>113</v>
      </c>
      <c r="R162" s="154"/>
      <c r="S162" s="154"/>
      <c r="T162" s="154"/>
      <c r="U162" s="154"/>
      <c r="V162" s="155"/>
      <c r="W162" s="53"/>
      <c r="X162" s="49"/>
      <c r="Y162" s="49"/>
      <c r="Z162" s="52"/>
      <c r="AA162" s="53"/>
      <c r="AB162" s="49"/>
      <c r="AC162" s="49"/>
      <c r="AD162" s="49"/>
      <c r="AE162" s="49"/>
      <c r="AF162" s="49"/>
      <c r="AG162" s="52"/>
    </row>
    <row r="163" spans="1:33" x14ac:dyDescent="0.3">
      <c r="A163" s="51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52"/>
      <c r="AA163" s="53"/>
      <c r="AB163" s="49"/>
      <c r="AC163" s="49"/>
      <c r="AD163" s="49"/>
      <c r="AE163" s="49"/>
      <c r="AF163" s="49"/>
      <c r="AG163" s="52"/>
    </row>
    <row r="164" spans="1:33" x14ac:dyDescent="0.3">
      <c r="A164" s="51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52"/>
      <c r="AA164" s="53"/>
      <c r="AB164" s="49"/>
      <c r="AC164" s="49"/>
      <c r="AD164" s="49"/>
      <c r="AE164" s="49"/>
      <c r="AF164" s="49"/>
      <c r="AG164" s="52"/>
    </row>
    <row r="165" spans="1:33" x14ac:dyDescent="0.3">
      <c r="A165" s="51"/>
      <c r="B165" s="54" t="s">
        <v>114</v>
      </c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50"/>
      <c r="AA165" s="51"/>
      <c r="AB165" s="49"/>
      <c r="AC165" s="49"/>
      <c r="AD165" s="49"/>
      <c r="AE165" s="49"/>
      <c r="AF165" s="49"/>
      <c r="AG165" s="52"/>
    </row>
    <row r="166" spans="1:33" x14ac:dyDescent="0.3">
      <c r="A166" s="51"/>
      <c r="B166" s="49"/>
      <c r="C166" s="54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50"/>
      <c r="AA166" s="51"/>
      <c r="AB166" s="49"/>
      <c r="AC166" s="49"/>
      <c r="AD166" s="49"/>
      <c r="AE166" s="49"/>
      <c r="AF166" s="49"/>
      <c r="AG166" s="52"/>
    </row>
    <row r="167" spans="1:33" x14ac:dyDescent="0.3">
      <c r="A167" s="51"/>
      <c r="B167" s="49" t="s">
        <v>115</v>
      </c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 t="s">
        <v>22</v>
      </c>
      <c r="O167" s="49" t="s">
        <v>116</v>
      </c>
      <c r="P167" s="97"/>
      <c r="Q167" s="49"/>
      <c r="R167" s="49"/>
      <c r="S167" s="49"/>
      <c r="T167" s="49"/>
      <c r="U167" s="49"/>
      <c r="V167" s="49"/>
      <c r="W167" s="49"/>
      <c r="X167" s="49"/>
      <c r="Y167" s="49"/>
      <c r="Z167" s="50"/>
      <c r="AA167" s="51"/>
      <c r="AB167" s="49"/>
      <c r="AC167" s="49"/>
      <c r="AD167" s="49"/>
      <c r="AE167" s="49"/>
      <c r="AF167" s="49"/>
      <c r="AG167" s="52"/>
    </row>
    <row r="168" spans="1:33" x14ac:dyDescent="0.3">
      <c r="A168" s="51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68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50"/>
      <c r="AA168" s="51"/>
      <c r="AB168" s="49"/>
      <c r="AC168" s="49"/>
      <c r="AD168" s="49"/>
      <c r="AE168" s="49"/>
      <c r="AF168" s="49"/>
      <c r="AG168" s="52"/>
    </row>
    <row r="169" spans="1:33" x14ac:dyDescent="0.3">
      <c r="A169" s="51"/>
      <c r="B169" s="49" t="s">
        <v>117</v>
      </c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 t="s">
        <v>22</v>
      </c>
      <c r="O169" s="49" t="s">
        <v>118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50"/>
      <c r="AA169" s="51"/>
      <c r="AB169" s="49"/>
      <c r="AC169" s="49"/>
      <c r="AD169" s="49"/>
      <c r="AE169" s="49"/>
      <c r="AF169" s="49"/>
      <c r="AG169" s="52"/>
    </row>
    <row r="170" spans="1:33" x14ac:dyDescent="0.3">
      <c r="A170" s="51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50"/>
      <c r="AA170" s="51"/>
      <c r="AB170" s="49"/>
      <c r="AC170" s="49"/>
      <c r="AD170" s="49"/>
      <c r="AE170" s="49"/>
      <c r="AF170" s="49"/>
      <c r="AG170" s="52"/>
    </row>
    <row r="171" spans="1:33" ht="15" thickBot="1" x14ac:dyDescent="0.35">
      <c r="A171" s="51"/>
      <c r="B171" s="54" t="s">
        <v>119</v>
      </c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54" t="s">
        <v>120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50"/>
      <c r="AA171" s="51"/>
      <c r="AB171" s="49"/>
      <c r="AC171" s="49"/>
      <c r="AD171" s="49"/>
      <c r="AE171" s="49"/>
      <c r="AF171" s="49"/>
      <c r="AG171" s="52"/>
    </row>
    <row r="172" spans="1:33" ht="15" thickBot="1" x14ac:dyDescent="0.35">
      <c r="A172" s="51"/>
      <c r="B172" s="95" t="s">
        <v>93</v>
      </c>
      <c r="C172" s="49"/>
      <c r="D172" s="49"/>
      <c r="E172" s="49"/>
      <c r="F172" s="49"/>
      <c r="G172" s="49"/>
      <c r="H172" s="49"/>
      <c r="I172" s="68"/>
      <c r="J172" s="96"/>
      <c r="K172" s="49"/>
      <c r="L172" s="49"/>
      <c r="M172" s="49"/>
      <c r="N172" s="49"/>
      <c r="O172" s="119">
        <v>0.05</v>
      </c>
      <c r="P172" s="120"/>
      <c r="Q172" s="49" t="s">
        <v>121</v>
      </c>
      <c r="R172" s="49"/>
      <c r="S172" s="49"/>
      <c r="T172" s="49"/>
      <c r="U172" s="49"/>
      <c r="V172" s="49"/>
      <c r="W172" s="49"/>
      <c r="X172" s="49"/>
      <c r="Y172" s="49"/>
      <c r="Z172" s="50"/>
      <c r="AA172" s="51"/>
      <c r="AB172" s="49"/>
      <c r="AC172" s="49"/>
      <c r="AD172" s="49"/>
      <c r="AE172" s="49"/>
      <c r="AF172" s="49"/>
      <c r="AG172" s="52"/>
    </row>
    <row r="173" spans="1:33" ht="15" thickBot="1" x14ac:dyDescent="0.35">
      <c r="A173" s="51"/>
      <c r="B173" s="49" t="s">
        <v>122</v>
      </c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50"/>
      <c r="O173" s="119">
        <v>0.5</v>
      </c>
      <c r="P173" s="120"/>
      <c r="Q173" s="53" t="s">
        <v>123</v>
      </c>
      <c r="R173" s="49"/>
      <c r="S173" s="49"/>
      <c r="T173" s="49"/>
      <c r="U173" s="49"/>
      <c r="V173" s="49"/>
      <c r="W173" s="49"/>
      <c r="X173" s="49"/>
      <c r="Y173" s="49"/>
      <c r="Z173" s="50"/>
      <c r="AA173" s="51"/>
      <c r="AB173" s="49"/>
      <c r="AC173" s="49"/>
      <c r="AD173" s="49"/>
      <c r="AE173" s="49"/>
      <c r="AF173" s="49"/>
      <c r="AG173" s="52"/>
    </row>
    <row r="174" spans="1:33" ht="15" thickBot="1" x14ac:dyDescent="0.35">
      <c r="A174" s="51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50"/>
      <c r="O174" s="94"/>
      <c r="P174" s="94"/>
      <c r="Q174" s="53"/>
      <c r="R174" s="49"/>
      <c r="S174" s="49"/>
      <c r="T174" s="49"/>
      <c r="U174" s="49"/>
      <c r="V174" s="49"/>
      <c r="W174" s="49"/>
      <c r="X174" s="49"/>
      <c r="Y174" s="49"/>
      <c r="Z174" s="50"/>
      <c r="AA174" s="51"/>
      <c r="AB174" s="49"/>
      <c r="AC174" s="49"/>
      <c r="AD174" s="49"/>
      <c r="AE174" s="49"/>
      <c r="AF174" s="49"/>
      <c r="AG174" s="52"/>
    </row>
    <row r="175" spans="1:33" ht="15" thickBot="1" x14ac:dyDescent="0.35">
      <c r="A175" s="80"/>
      <c r="B175" s="66" t="s">
        <v>95</v>
      </c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79"/>
      <c r="O175" s="135">
        <f>SUM(O172:P173)</f>
        <v>0.55000000000000004</v>
      </c>
      <c r="P175" s="136"/>
      <c r="Q175" s="69"/>
      <c r="R175" s="66"/>
      <c r="S175" s="66"/>
      <c r="T175" s="66"/>
      <c r="U175" s="66"/>
      <c r="V175" s="66"/>
      <c r="W175" s="66"/>
      <c r="X175" s="66"/>
      <c r="Y175" s="66"/>
      <c r="Z175" s="79"/>
      <c r="AA175" s="80"/>
      <c r="AB175" s="66"/>
      <c r="AC175" s="66"/>
      <c r="AD175" s="66"/>
      <c r="AE175" s="66"/>
      <c r="AF175" s="66"/>
      <c r="AG175" s="81"/>
    </row>
    <row r="176" spans="1:33" ht="15" thickBot="1" x14ac:dyDescent="0.35">
      <c r="A176" s="51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66"/>
      <c r="N176" s="66"/>
      <c r="O176" s="58"/>
      <c r="P176" s="58"/>
      <c r="Q176" s="66"/>
      <c r="R176" s="66"/>
      <c r="S176" s="66"/>
      <c r="T176" s="66"/>
      <c r="U176" s="66"/>
      <c r="V176" s="66"/>
      <c r="W176" s="66"/>
      <c r="X176" s="66"/>
      <c r="Y176" s="66"/>
      <c r="Z176" s="79"/>
      <c r="AA176" s="51"/>
      <c r="AB176" s="49"/>
      <c r="AC176" s="49"/>
      <c r="AD176" s="49"/>
      <c r="AE176" s="49"/>
      <c r="AF176" s="49"/>
      <c r="AG176" s="52"/>
    </row>
    <row r="177" spans="1:33" x14ac:dyDescent="0.3">
      <c r="A177" s="51"/>
      <c r="B177" s="68"/>
      <c r="C177" s="49"/>
      <c r="D177" s="49"/>
      <c r="E177" s="49"/>
      <c r="F177" s="49" t="s">
        <v>124</v>
      </c>
      <c r="G177" s="49"/>
      <c r="H177" s="68"/>
      <c r="I177" s="49"/>
      <c r="J177" s="49"/>
      <c r="K177" s="49"/>
      <c r="L177" s="50" t="s">
        <v>22</v>
      </c>
      <c r="M177" s="27" t="s">
        <v>116</v>
      </c>
      <c r="N177" s="28"/>
      <c r="O177" s="29"/>
      <c r="P177" s="29"/>
      <c r="Q177" s="28" t="s">
        <v>70</v>
      </c>
      <c r="R177" s="28"/>
      <c r="S177" s="28"/>
      <c r="T177" s="28"/>
      <c r="U177" s="28"/>
      <c r="V177" s="28"/>
      <c r="W177" s="30"/>
      <c r="X177" s="51"/>
      <c r="Y177" s="49"/>
      <c r="Z177" s="49"/>
      <c r="AA177" s="51"/>
      <c r="AB177" s="49"/>
      <c r="AC177" s="49"/>
      <c r="AD177" s="49"/>
      <c r="AE177" s="49"/>
      <c r="AF177" s="49"/>
      <c r="AG177" s="52"/>
    </row>
    <row r="178" spans="1:33" x14ac:dyDescent="0.3">
      <c r="A178" s="51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31" t="str">
        <f>O169</f>
        <v>0.5 / 3P class</v>
      </c>
      <c r="N178" s="32"/>
      <c r="O178" s="33"/>
      <c r="P178" s="32"/>
      <c r="Q178" s="32"/>
      <c r="R178" s="32"/>
      <c r="S178" s="32"/>
      <c r="T178" s="32"/>
      <c r="U178" s="32"/>
      <c r="V178" s="32"/>
      <c r="W178" s="34"/>
      <c r="X178" s="51"/>
      <c r="Y178" s="49"/>
      <c r="Z178" s="49"/>
      <c r="AA178" s="51"/>
      <c r="AB178" s="49"/>
      <c r="AC178" s="49"/>
      <c r="AD178" s="49"/>
      <c r="AE178" s="49"/>
      <c r="AF178" s="49"/>
      <c r="AG178" s="52"/>
    </row>
    <row r="179" spans="1:33" ht="15" thickBot="1" x14ac:dyDescent="0.35">
      <c r="A179" s="51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35" t="s">
        <v>125</v>
      </c>
      <c r="N179" s="36"/>
      <c r="O179" s="36"/>
      <c r="P179" s="36"/>
      <c r="Q179" s="36"/>
      <c r="R179" s="36"/>
      <c r="S179" s="36"/>
      <c r="T179" s="36"/>
      <c r="U179" s="36"/>
      <c r="V179" s="36"/>
      <c r="W179" s="37"/>
      <c r="X179" s="51"/>
      <c r="Y179" s="49"/>
      <c r="Z179" s="49"/>
      <c r="AA179" s="51"/>
      <c r="AB179" s="49"/>
      <c r="AC179" s="49"/>
      <c r="AD179" s="49"/>
      <c r="AE179" s="49"/>
      <c r="AF179" s="49"/>
      <c r="AG179" s="52"/>
    </row>
    <row r="180" spans="1:33" x14ac:dyDescent="0.3">
      <c r="A180" s="51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52"/>
      <c r="AA180" s="53"/>
      <c r="AB180" s="49"/>
      <c r="AC180" s="49"/>
      <c r="AD180" s="49"/>
      <c r="AE180" s="49"/>
      <c r="AF180" s="49"/>
      <c r="AG180" s="52"/>
    </row>
    <row r="181" spans="1:33" x14ac:dyDescent="0.3">
      <c r="A181" s="51"/>
      <c r="B181" s="54" t="s">
        <v>126</v>
      </c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52"/>
      <c r="AA181" s="53"/>
      <c r="AB181" s="49"/>
      <c r="AC181" s="49"/>
      <c r="AD181" s="49"/>
      <c r="AE181" s="49"/>
      <c r="AF181" s="49"/>
      <c r="AG181" s="52"/>
    </row>
    <row r="182" spans="1:33" x14ac:dyDescent="0.3">
      <c r="A182" s="51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52"/>
      <c r="AA182" s="53"/>
      <c r="AB182" s="49"/>
      <c r="AC182" s="49"/>
      <c r="AD182" s="49"/>
      <c r="AE182" s="49"/>
      <c r="AF182" s="49"/>
      <c r="AG182" s="52"/>
    </row>
    <row r="183" spans="1:33" x14ac:dyDescent="0.3">
      <c r="A183" s="51"/>
      <c r="B183" s="54" t="s">
        <v>127</v>
      </c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50"/>
      <c r="AA183" s="51"/>
      <c r="AB183" s="49"/>
      <c r="AC183" s="49"/>
      <c r="AD183" s="49"/>
      <c r="AE183" s="49"/>
      <c r="AF183" s="49"/>
      <c r="AG183" s="52"/>
    </row>
    <row r="184" spans="1:33" x14ac:dyDescent="0.3">
      <c r="A184" s="51"/>
      <c r="B184" s="54"/>
      <c r="C184" s="93" t="s">
        <v>20</v>
      </c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50"/>
      <c r="AA184" s="51"/>
      <c r="AB184" s="49"/>
      <c r="AC184" s="49"/>
      <c r="AD184" s="49"/>
      <c r="AE184" s="49"/>
      <c r="AF184" s="49"/>
      <c r="AG184" s="52"/>
    </row>
    <row r="185" spans="1:33" x14ac:dyDescent="0.3">
      <c r="A185" s="51"/>
      <c r="B185" s="54"/>
      <c r="C185" s="93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50"/>
      <c r="Q185" s="53"/>
      <c r="R185" s="49"/>
      <c r="S185" s="49"/>
      <c r="T185" s="49"/>
      <c r="U185" s="49"/>
      <c r="V185" s="49"/>
      <c r="W185" s="53"/>
      <c r="X185" s="49"/>
      <c r="Y185" s="49"/>
      <c r="Z185" s="50"/>
      <c r="AA185" s="51"/>
      <c r="AB185" s="49"/>
      <c r="AC185" s="49"/>
      <c r="AD185" s="49"/>
      <c r="AE185" s="49"/>
      <c r="AF185" s="49"/>
      <c r="AG185" s="52"/>
    </row>
    <row r="186" spans="1:33" x14ac:dyDescent="0.3">
      <c r="A186" s="51"/>
      <c r="B186" s="49"/>
      <c r="C186" s="49"/>
      <c r="D186" s="49"/>
      <c r="E186" s="49" t="s">
        <v>128</v>
      </c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59"/>
      <c r="Q186" s="49"/>
      <c r="R186" s="49"/>
      <c r="S186" s="49"/>
      <c r="T186" s="49"/>
      <c r="U186" s="49"/>
      <c r="V186" s="49"/>
      <c r="W186" s="49"/>
      <c r="X186" s="49"/>
      <c r="Y186" s="49"/>
      <c r="Z186" s="50"/>
      <c r="AA186" s="51"/>
      <c r="AB186" s="49"/>
      <c r="AC186" s="49"/>
      <c r="AD186" s="49"/>
      <c r="AE186" s="49"/>
      <c r="AF186" s="49"/>
      <c r="AG186" s="52"/>
    </row>
    <row r="187" spans="1:33" x14ac:dyDescent="0.3">
      <c r="A187" s="51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59"/>
      <c r="Q187" s="49"/>
      <c r="R187" s="49"/>
      <c r="S187" s="49"/>
      <c r="T187" s="49"/>
      <c r="U187" s="49"/>
      <c r="V187" s="49"/>
      <c r="W187" s="49"/>
      <c r="X187" s="49"/>
      <c r="Y187" s="49"/>
      <c r="Z187" s="50"/>
      <c r="AA187" s="51"/>
      <c r="AB187" s="49"/>
      <c r="AC187" s="49"/>
      <c r="AD187" s="49"/>
      <c r="AE187" s="49"/>
      <c r="AF187" s="49"/>
      <c r="AG187" s="52"/>
    </row>
    <row r="188" spans="1:33" x14ac:dyDescent="0.3">
      <c r="A188" s="51"/>
      <c r="B188" s="54" t="s">
        <v>129</v>
      </c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50"/>
      <c r="AA188" s="51"/>
      <c r="AB188" s="49"/>
      <c r="AC188" s="49"/>
      <c r="AD188" s="49"/>
      <c r="AE188" s="49"/>
      <c r="AF188" s="49"/>
      <c r="AG188" s="52"/>
    </row>
    <row r="189" spans="1:33" x14ac:dyDescent="0.3">
      <c r="A189" s="51"/>
      <c r="B189" s="49"/>
      <c r="C189" s="54" t="s">
        <v>130</v>
      </c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50"/>
      <c r="AA189" s="51"/>
      <c r="AB189" s="49"/>
      <c r="AC189" s="49"/>
      <c r="AD189" s="49"/>
      <c r="AE189" s="49"/>
      <c r="AF189" s="49"/>
      <c r="AG189" s="52"/>
    </row>
    <row r="190" spans="1:33" x14ac:dyDescent="0.3">
      <c r="A190" s="51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66"/>
      <c r="R190" s="66"/>
      <c r="S190" s="66"/>
      <c r="T190" s="66"/>
      <c r="U190" s="66"/>
      <c r="V190" s="66"/>
      <c r="W190" s="49"/>
      <c r="X190" s="49"/>
      <c r="Y190" s="49"/>
      <c r="Z190" s="50"/>
      <c r="AA190" s="51"/>
      <c r="AB190" s="49"/>
      <c r="AC190" s="49"/>
      <c r="AD190" s="49"/>
      <c r="AE190" s="49"/>
      <c r="AF190" s="49"/>
      <c r="AG190" s="52"/>
    </row>
    <row r="191" spans="1:33" x14ac:dyDescent="0.3">
      <c r="A191" s="51"/>
      <c r="B191" s="49"/>
      <c r="C191" s="49" t="s">
        <v>131</v>
      </c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57" t="s">
        <v>22</v>
      </c>
      <c r="P191" s="142">
        <v>1.25</v>
      </c>
      <c r="Q191" s="143"/>
      <c r="R191" s="49" t="s">
        <v>85</v>
      </c>
      <c r="S191" s="49"/>
      <c r="T191" s="49"/>
      <c r="U191" s="49"/>
      <c r="V191" s="49"/>
      <c r="W191" s="53"/>
      <c r="X191" s="49"/>
      <c r="Y191" s="49"/>
      <c r="Z191" s="50"/>
      <c r="AA191" s="51"/>
      <c r="AB191" s="49"/>
      <c r="AC191" s="49"/>
      <c r="AD191" s="49"/>
      <c r="AE191" s="49"/>
      <c r="AF191" s="49"/>
      <c r="AG191" s="52"/>
    </row>
    <row r="192" spans="1:33" x14ac:dyDescent="0.3">
      <c r="A192" s="51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50"/>
      <c r="Q192" s="49"/>
      <c r="R192" s="49"/>
      <c r="S192" s="49"/>
      <c r="T192" s="49"/>
      <c r="U192" s="49"/>
      <c r="V192" s="49"/>
      <c r="W192" s="53"/>
      <c r="X192" s="49"/>
      <c r="Y192" s="49"/>
      <c r="Z192" s="50"/>
      <c r="AA192" s="51"/>
      <c r="AB192" s="49"/>
      <c r="AC192" s="49"/>
      <c r="AD192" s="49"/>
      <c r="AE192" s="49"/>
      <c r="AF192" s="49"/>
      <c r="AG192" s="52"/>
    </row>
    <row r="193" spans="1:33" x14ac:dyDescent="0.3">
      <c r="A193" s="51"/>
      <c r="B193" s="49"/>
      <c r="C193" s="49" t="s">
        <v>86</v>
      </c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57" t="s">
        <v>22</v>
      </c>
      <c r="P193" s="49" t="s">
        <v>26</v>
      </c>
      <c r="Q193" s="49"/>
      <c r="R193" s="49"/>
      <c r="S193" s="49"/>
      <c r="T193" s="49"/>
      <c r="U193" s="49"/>
      <c r="V193" s="49"/>
      <c r="W193" s="53"/>
      <c r="X193" s="49"/>
      <c r="Y193" s="49"/>
      <c r="Z193" s="50"/>
      <c r="AA193" s="51"/>
      <c r="AB193" s="49"/>
      <c r="AC193" s="49"/>
      <c r="AD193" s="49"/>
      <c r="AE193" s="49"/>
      <c r="AF193" s="49"/>
      <c r="AG193" s="52"/>
    </row>
    <row r="194" spans="1:33" x14ac:dyDescent="0.3">
      <c r="A194" s="51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57" t="s">
        <v>22</v>
      </c>
      <c r="P194" s="144">
        <f>P191*1000/(SQRT(3)*0.48)</f>
        <v>1503.5163260146505</v>
      </c>
      <c r="Q194" s="144"/>
      <c r="R194" s="49" t="s">
        <v>87</v>
      </c>
      <c r="S194" s="49"/>
      <c r="T194" s="49"/>
      <c r="U194" s="49"/>
      <c r="V194" s="49"/>
      <c r="W194" s="53"/>
      <c r="X194" s="49"/>
      <c r="Y194" s="49"/>
      <c r="Z194" s="50"/>
      <c r="AA194" s="51"/>
      <c r="AB194" s="49"/>
      <c r="AC194" s="49"/>
      <c r="AD194" s="49"/>
      <c r="AE194" s="49"/>
      <c r="AF194" s="49"/>
      <c r="AG194" s="52"/>
    </row>
    <row r="195" spans="1:33" ht="15" thickBot="1" x14ac:dyDescent="0.35">
      <c r="A195" s="51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66"/>
      <c r="R195" s="66"/>
      <c r="S195" s="66"/>
      <c r="T195" s="66"/>
      <c r="U195" s="66"/>
      <c r="V195" s="66"/>
      <c r="W195" s="53"/>
      <c r="X195" s="49"/>
      <c r="Y195" s="49"/>
      <c r="Z195" s="50"/>
      <c r="AA195" s="51"/>
      <c r="AB195" s="133"/>
      <c r="AC195" s="134"/>
      <c r="AD195" s="141"/>
      <c r="AE195" s="49"/>
      <c r="AF195" s="49"/>
      <c r="AG195" s="52"/>
    </row>
    <row r="196" spans="1:33" ht="17.25" customHeight="1" thickBot="1" x14ac:dyDescent="0.35">
      <c r="A196" s="51"/>
      <c r="B196" s="49"/>
      <c r="C196" s="49" t="s">
        <v>88</v>
      </c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50" t="s">
        <v>22</v>
      </c>
      <c r="Q196" s="126" t="s">
        <v>132</v>
      </c>
      <c r="R196" s="127"/>
      <c r="S196" s="127"/>
      <c r="T196" s="127"/>
      <c r="U196" s="127"/>
      <c r="V196" s="128"/>
      <c r="W196" s="53"/>
      <c r="X196" s="49"/>
      <c r="Y196" s="49"/>
      <c r="Z196" s="50"/>
      <c r="AA196" s="51"/>
      <c r="AB196" s="49"/>
      <c r="AC196" s="49"/>
      <c r="AD196" s="49"/>
      <c r="AE196" s="49"/>
      <c r="AF196" s="49"/>
      <c r="AG196" s="52"/>
    </row>
    <row r="197" spans="1:33" x14ac:dyDescent="0.3">
      <c r="A197" s="51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50"/>
      <c r="AA197" s="51"/>
      <c r="AB197" s="49"/>
      <c r="AC197" s="49"/>
      <c r="AD197" s="49"/>
      <c r="AE197" s="49"/>
      <c r="AF197" s="49"/>
      <c r="AG197" s="52"/>
    </row>
    <row r="198" spans="1:33" x14ac:dyDescent="0.3">
      <c r="A198" s="51"/>
      <c r="B198" s="49"/>
      <c r="C198" s="70" t="s">
        <v>34</v>
      </c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50"/>
      <c r="AA198" s="51"/>
      <c r="AB198" s="49"/>
      <c r="AC198" s="49"/>
      <c r="AD198" s="49"/>
      <c r="AE198" s="49"/>
      <c r="AF198" s="49"/>
      <c r="AG198" s="52"/>
    </row>
    <row r="199" spans="1:33" x14ac:dyDescent="0.3">
      <c r="A199" s="53"/>
      <c r="B199" s="49"/>
      <c r="C199" s="71"/>
      <c r="D199" s="49"/>
      <c r="E199" s="49"/>
      <c r="F199" s="49"/>
      <c r="G199" s="49"/>
      <c r="H199" s="49"/>
      <c r="I199" s="49"/>
      <c r="J199" s="58"/>
      <c r="K199" s="58"/>
      <c r="L199" s="58"/>
      <c r="M199" s="59"/>
      <c r="N199" s="59"/>
      <c r="O199" s="49"/>
      <c r="P199" s="49"/>
      <c r="Q199" s="49"/>
      <c r="R199" s="49"/>
      <c r="S199" s="49"/>
      <c r="T199" s="49"/>
      <c r="U199" s="49"/>
      <c r="V199" s="66"/>
      <c r="W199" s="66"/>
      <c r="X199" s="66"/>
      <c r="Y199" s="49"/>
      <c r="Z199" s="50"/>
      <c r="AA199" s="51"/>
      <c r="AB199" s="49"/>
      <c r="AC199" s="49"/>
      <c r="AD199" s="49"/>
      <c r="AE199" s="49"/>
      <c r="AF199" s="49"/>
      <c r="AG199" s="52"/>
    </row>
    <row r="200" spans="1:33" x14ac:dyDescent="0.3">
      <c r="A200" s="51"/>
      <c r="B200" s="49"/>
      <c r="C200" s="70" t="s">
        <v>34</v>
      </c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50"/>
      <c r="AA200" s="51"/>
      <c r="AB200" s="49"/>
      <c r="AC200" s="49"/>
      <c r="AD200" s="49"/>
      <c r="AE200" s="49"/>
      <c r="AF200" s="49"/>
      <c r="AG200" s="52"/>
    </row>
    <row r="201" spans="1:33" x14ac:dyDescent="0.3">
      <c r="A201" s="53"/>
      <c r="B201" s="49"/>
      <c r="C201" s="71"/>
      <c r="D201" s="49"/>
      <c r="E201" s="49"/>
      <c r="F201" s="49"/>
      <c r="G201" s="49"/>
      <c r="H201" s="49"/>
      <c r="I201" s="49"/>
      <c r="J201" s="58"/>
      <c r="K201" s="58"/>
      <c r="L201" s="58"/>
      <c r="M201" s="59"/>
      <c r="N201" s="59"/>
      <c r="O201" s="49"/>
      <c r="P201" s="49"/>
      <c r="Q201" s="49"/>
      <c r="R201" s="49"/>
      <c r="S201" s="49"/>
      <c r="T201" s="49"/>
      <c r="U201" s="49"/>
      <c r="V201" s="66"/>
      <c r="W201" s="66"/>
      <c r="X201" s="66"/>
      <c r="Y201" s="49"/>
      <c r="Z201" s="50"/>
      <c r="AA201" s="51"/>
      <c r="AB201" s="49"/>
      <c r="AC201" s="49"/>
      <c r="AD201" s="49"/>
      <c r="AE201" s="49"/>
      <c r="AF201" s="49"/>
      <c r="AG201" s="52"/>
    </row>
    <row r="202" spans="1:33" ht="15.6" x14ac:dyDescent="0.35">
      <c r="A202" s="53"/>
      <c r="B202" s="49"/>
      <c r="C202" s="72" t="s">
        <v>35</v>
      </c>
      <c r="D202" s="49"/>
      <c r="E202" s="49"/>
      <c r="F202" s="49"/>
      <c r="G202" s="49"/>
      <c r="H202" s="49"/>
      <c r="I202" s="49"/>
      <c r="J202" s="58"/>
      <c r="K202" s="58"/>
      <c r="L202" s="68" t="s">
        <v>36</v>
      </c>
      <c r="M202" s="73" t="s">
        <v>22</v>
      </c>
      <c r="N202" s="68" t="s">
        <v>37</v>
      </c>
      <c r="O202" s="59"/>
      <c r="P202" s="49"/>
      <c r="Q202" s="49"/>
      <c r="R202" s="49" t="s">
        <v>38</v>
      </c>
      <c r="S202" s="49"/>
      <c r="T202" s="49"/>
      <c r="U202" s="49"/>
      <c r="V202" s="66"/>
      <c r="W202" s="66"/>
      <c r="X202" s="66"/>
      <c r="Y202" s="49"/>
      <c r="Z202" s="50"/>
      <c r="AA202" s="51"/>
      <c r="AB202" s="49"/>
      <c r="AC202" s="49"/>
      <c r="AD202" s="49"/>
      <c r="AE202" s="49"/>
      <c r="AF202" s="49"/>
      <c r="AG202" s="52"/>
    </row>
    <row r="203" spans="1:33" x14ac:dyDescent="0.3">
      <c r="A203" s="53"/>
      <c r="B203" s="49"/>
      <c r="C203" s="71"/>
      <c r="D203" s="49"/>
      <c r="E203" s="49"/>
      <c r="F203" s="49"/>
      <c r="G203" s="49"/>
      <c r="H203" s="49"/>
      <c r="I203" s="49"/>
      <c r="J203" s="58"/>
      <c r="K203" s="58"/>
      <c r="L203" s="58"/>
      <c r="M203" s="59"/>
      <c r="N203" s="59"/>
      <c r="O203" s="49"/>
      <c r="P203" s="49"/>
      <c r="Q203" s="49"/>
      <c r="R203" s="49"/>
      <c r="S203" s="49"/>
      <c r="T203" s="49"/>
      <c r="U203" s="49"/>
      <c r="V203" s="66"/>
      <c r="W203" s="66"/>
      <c r="X203" s="66"/>
      <c r="Y203" s="49"/>
      <c r="Z203" s="50"/>
      <c r="AA203" s="51"/>
      <c r="AB203" s="49"/>
      <c r="AC203" s="49"/>
      <c r="AD203" s="49"/>
      <c r="AE203" s="49"/>
      <c r="AF203" s="49"/>
      <c r="AG203" s="52"/>
    </row>
    <row r="204" spans="1:33" x14ac:dyDescent="0.3">
      <c r="A204" s="53"/>
      <c r="B204" s="49"/>
      <c r="C204" s="68"/>
      <c r="D204" s="72" t="s">
        <v>39</v>
      </c>
      <c r="E204" s="49"/>
      <c r="F204" s="49"/>
      <c r="G204" s="49"/>
      <c r="H204" s="49"/>
      <c r="I204" s="49"/>
      <c r="J204" s="58"/>
      <c r="K204" s="58"/>
      <c r="L204" s="58"/>
      <c r="M204" s="59"/>
      <c r="N204" s="59"/>
      <c r="O204" s="49"/>
      <c r="P204" s="49"/>
      <c r="Q204" s="49"/>
      <c r="R204" s="49"/>
      <c r="S204" s="49"/>
      <c r="T204" s="49"/>
      <c r="U204" s="49"/>
      <c r="V204" s="66"/>
      <c r="W204" s="66"/>
      <c r="X204" s="66"/>
      <c r="Y204" s="49"/>
      <c r="Z204" s="50"/>
      <c r="AA204" s="51"/>
      <c r="AB204" s="49"/>
      <c r="AC204" s="49"/>
      <c r="AD204" s="49"/>
      <c r="AE204" s="49"/>
      <c r="AF204" s="49"/>
      <c r="AG204" s="52"/>
    </row>
    <row r="205" spans="1:33" x14ac:dyDescent="0.3">
      <c r="A205" s="53"/>
      <c r="B205" s="49"/>
      <c r="C205" s="72"/>
      <c r="D205" s="49"/>
      <c r="E205" s="49"/>
      <c r="F205" s="49"/>
      <c r="G205" s="49" t="s">
        <v>40</v>
      </c>
      <c r="H205" s="49"/>
      <c r="I205" s="57" t="s">
        <v>22</v>
      </c>
      <c r="J205" s="58" t="s">
        <v>41</v>
      </c>
      <c r="K205" s="58"/>
      <c r="L205" s="58"/>
      <c r="M205" s="59"/>
      <c r="N205" s="59"/>
      <c r="O205" s="49"/>
      <c r="P205" s="49"/>
      <c r="Q205" s="49"/>
      <c r="R205" s="49"/>
      <c r="S205" s="49"/>
      <c r="T205" s="49"/>
      <c r="U205" s="49"/>
      <c r="V205" s="66"/>
      <c r="W205" s="66"/>
      <c r="X205" s="66"/>
      <c r="Y205" s="49"/>
      <c r="Z205" s="50"/>
      <c r="AA205" s="51"/>
      <c r="AB205" s="49"/>
      <c r="AC205" s="49"/>
      <c r="AD205" s="49"/>
      <c r="AE205" s="49"/>
      <c r="AF205" s="49"/>
      <c r="AG205" s="52"/>
    </row>
    <row r="206" spans="1:33" x14ac:dyDescent="0.3">
      <c r="A206" s="53"/>
      <c r="B206" s="49"/>
      <c r="C206" s="72"/>
      <c r="D206" s="49"/>
      <c r="E206" s="49"/>
      <c r="F206" s="49"/>
      <c r="G206" s="49" t="s">
        <v>42</v>
      </c>
      <c r="H206" s="49"/>
      <c r="I206" s="57" t="s">
        <v>22</v>
      </c>
      <c r="J206" s="58" t="s">
        <v>43</v>
      </c>
      <c r="K206" s="58"/>
      <c r="L206" s="58"/>
      <c r="M206" s="59"/>
      <c r="N206" s="59"/>
      <c r="O206" s="49"/>
      <c r="P206" s="49"/>
      <c r="Q206" s="49"/>
      <c r="R206" s="49"/>
      <c r="S206" s="49"/>
      <c r="T206" s="49"/>
      <c r="U206" s="49"/>
      <c r="V206" s="66"/>
      <c r="W206" s="66"/>
      <c r="X206" s="66"/>
      <c r="Y206" s="49"/>
      <c r="Z206" s="50"/>
      <c r="AA206" s="51"/>
      <c r="AB206" s="49"/>
      <c r="AC206" s="49"/>
      <c r="AD206" s="49"/>
      <c r="AE206" s="49"/>
      <c r="AF206" s="49"/>
      <c r="AG206" s="52"/>
    </row>
    <row r="207" spans="1:33" x14ac:dyDescent="0.3">
      <c r="A207" s="53"/>
      <c r="B207" s="49"/>
      <c r="C207" s="72"/>
      <c r="D207" s="49"/>
      <c r="E207" s="49"/>
      <c r="F207" s="49"/>
      <c r="G207" s="49" t="s">
        <v>44</v>
      </c>
      <c r="H207" s="49"/>
      <c r="I207" s="57" t="s">
        <v>22</v>
      </c>
      <c r="J207" s="58" t="s">
        <v>45</v>
      </c>
      <c r="K207" s="58"/>
      <c r="L207" s="58"/>
      <c r="M207" s="59"/>
      <c r="N207" s="59"/>
      <c r="O207" s="49"/>
      <c r="P207" s="49"/>
      <c r="Q207" s="49"/>
      <c r="R207" s="49"/>
      <c r="S207" s="49"/>
      <c r="T207" s="49"/>
      <c r="U207" s="49"/>
      <c r="V207" s="66"/>
      <c r="W207" s="66"/>
      <c r="X207" s="66"/>
      <c r="Y207" s="49"/>
      <c r="Z207" s="50"/>
      <c r="AA207" s="51"/>
      <c r="AB207" s="49"/>
      <c r="AC207" s="49"/>
      <c r="AD207" s="49"/>
      <c r="AE207" s="49"/>
      <c r="AF207" s="49"/>
      <c r="AG207" s="52"/>
    </row>
    <row r="208" spans="1:33" x14ac:dyDescent="0.3">
      <c r="A208" s="53"/>
      <c r="B208" s="49"/>
      <c r="C208" s="72"/>
      <c r="D208" s="49"/>
      <c r="E208" s="49"/>
      <c r="F208" s="49"/>
      <c r="G208" s="49" t="s">
        <v>46</v>
      </c>
      <c r="H208" s="49"/>
      <c r="I208" s="57" t="s">
        <v>22</v>
      </c>
      <c r="J208" s="58" t="s">
        <v>47</v>
      </c>
      <c r="K208" s="58"/>
      <c r="L208" s="58"/>
      <c r="M208" s="59"/>
      <c r="N208" s="59"/>
      <c r="O208" s="49"/>
      <c r="P208" s="49"/>
      <c r="Q208" s="49"/>
      <c r="R208" s="49"/>
      <c r="S208" s="49"/>
      <c r="T208" s="49"/>
      <c r="U208" s="49"/>
      <c r="V208" s="66"/>
      <c r="W208" s="66"/>
      <c r="X208" s="66"/>
      <c r="Y208" s="49"/>
      <c r="Z208" s="50"/>
      <c r="AA208" s="51"/>
      <c r="AB208" s="49"/>
      <c r="AC208" s="49"/>
      <c r="AD208" s="49"/>
      <c r="AE208" s="49"/>
      <c r="AF208" s="49"/>
      <c r="AG208" s="52"/>
    </row>
    <row r="209" spans="1:33" x14ac:dyDescent="0.3">
      <c r="A209" s="53"/>
      <c r="B209" s="49"/>
      <c r="C209" s="72"/>
      <c r="D209" s="49"/>
      <c r="E209" s="49"/>
      <c r="F209" s="49"/>
      <c r="G209" s="49"/>
      <c r="H209" s="49"/>
      <c r="I209" s="57" t="s">
        <v>22</v>
      </c>
      <c r="J209" s="58" t="s">
        <v>48</v>
      </c>
      <c r="K209" s="58"/>
      <c r="L209" s="58"/>
      <c r="M209" s="59"/>
      <c r="N209" s="59"/>
      <c r="O209" s="49"/>
      <c r="P209" s="49"/>
      <c r="Q209" s="49"/>
      <c r="R209" s="49"/>
      <c r="S209" s="49"/>
      <c r="T209" s="49"/>
      <c r="U209" s="49"/>
      <c r="V209" s="66"/>
      <c r="W209" s="66"/>
      <c r="X209" s="66"/>
      <c r="Y209" s="49"/>
      <c r="Z209" s="50"/>
      <c r="AA209" s="51"/>
      <c r="AB209" s="49"/>
      <c r="AC209" s="49"/>
      <c r="AD209" s="49"/>
      <c r="AE209" s="49"/>
      <c r="AF209" s="49"/>
      <c r="AG209" s="52"/>
    </row>
    <row r="210" spans="1:33" x14ac:dyDescent="0.3">
      <c r="A210" s="53"/>
      <c r="B210" s="49"/>
      <c r="C210" s="72"/>
      <c r="D210" s="49"/>
      <c r="E210" s="49"/>
      <c r="F210" s="49"/>
      <c r="G210" s="49" t="s">
        <v>49</v>
      </c>
      <c r="H210" s="49"/>
      <c r="I210" s="57" t="s">
        <v>22</v>
      </c>
      <c r="J210" s="58" t="s">
        <v>50</v>
      </c>
      <c r="K210" s="58"/>
      <c r="L210" s="58"/>
      <c r="M210" s="58"/>
      <c r="N210" s="59"/>
      <c r="O210" s="49"/>
      <c r="P210" s="59"/>
      <c r="Q210" s="59"/>
      <c r="R210" s="49"/>
      <c r="S210" s="50"/>
      <c r="T210" s="49"/>
      <c r="U210" s="49"/>
      <c r="V210" s="66"/>
      <c r="W210" s="66"/>
      <c r="X210" s="66"/>
      <c r="Y210" s="53"/>
      <c r="Z210" s="50"/>
      <c r="AA210" s="51"/>
      <c r="AB210" s="50"/>
      <c r="AC210" s="53"/>
      <c r="AD210" s="49"/>
      <c r="AE210" s="49"/>
      <c r="AF210" s="49"/>
      <c r="AG210" s="52"/>
    </row>
    <row r="211" spans="1:33" x14ac:dyDescent="0.3">
      <c r="A211" s="51"/>
      <c r="B211" s="49"/>
      <c r="C211" s="49" t="s">
        <v>51</v>
      </c>
      <c r="D211" s="49"/>
      <c r="E211" s="49"/>
      <c r="F211" s="49"/>
      <c r="G211" s="49"/>
      <c r="H211" s="49"/>
      <c r="I211" s="49"/>
      <c r="J211" s="49"/>
      <c r="K211" s="57"/>
      <c r="L211" s="66"/>
      <c r="M211" s="66"/>
      <c r="N211" s="49"/>
      <c r="O211" s="49"/>
      <c r="P211" s="59"/>
      <c r="Q211" s="59"/>
      <c r="R211" s="49"/>
      <c r="S211" s="50"/>
      <c r="T211" s="60"/>
      <c r="U211" s="60"/>
      <c r="V211" s="57"/>
      <c r="W211" s="61"/>
      <c r="X211" s="61"/>
      <c r="Y211" s="53"/>
      <c r="Z211" s="50"/>
      <c r="AA211" s="51"/>
      <c r="AB211" s="62"/>
      <c r="AC211" s="63"/>
      <c r="AD211" s="49"/>
      <c r="AE211" s="49"/>
      <c r="AF211" s="49"/>
      <c r="AG211" s="52"/>
    </row>
    <row r="212" spans="1:33" x14ac:dyDescent="0.3">
      <c r="A212" s="51"/>
      <c r="B212" s="49"/>
      <c r="C212" s="49"/>
      <c r="D212" s="49"/>
      <c r="E212" s="49" t="s">
        <v>133</v>
      </c>
      <c r="F212" s="49"/>
      <c r="G212" s="49"/>
      <c r="H212" s="49"/>
      <c r="I212" s="50"/>
      <c r="J212" s="79"/>
      <c r="K212" s="90"/>
      <c r="L212" s="69"/>
      <c r="M212" s="66"/>
      <c r="N212" s="49"/>
      <c r="O212" s="49"/>
      <c r="P212" s="59"/>
      <c r="Q212" s="59"/>
      <c r="R212" s="49"/>
      <c r="S212" s="50"/>
      <c r="T212" s="60"/>
      <c r="U212" s="60"/>
      <c r="V212" s="57"/>
      <c r="W212" s="61"/>
      <c r="X212" s="133">
        <f>44*1.2</f>
        <v>52.8</v>
      </c>
      <c r="Y212" s="134"/>
      <c r="Z212" s="53" t="s">
        <v>53</v>
      </c>
      <c r="AA212" s="51"/>
      <c r="AB212" s="62"/>
      <c r="AC212" s="63"/>
      <c r="AD212" s="49"/>
      <c r="AE212" s="49"/>
      <c r="AF212" s="49"/>
      <c r="AG212" s="52"/>
    </row>
    <row r="213" spans="1:33" ht="16.2" thickBot="1" x14ac:dyDescent="0.4">
      <c r="A213" s="51"/>
      <c r="B213" s="49"/>
      <c r="C213" s="49"/>
      <c r="D213" s="49"/>
      <c r="E213" s="49"/>
      <c r="F213" s="49"/>
      <c r="G213" s="49" t="s">
        <v>54</v>
      </c>
      <c r="H213" s="49"/>
      <c r="I213" s="64" t="s">
        <v>22</v>
      </c>
      <c r="J213" s="92" t="str">
        <f>CONCATENATE(X212,"/ 2000")</f>
        <v>52.8/ 2000</v>
      </c>
      <c r="K213" s="89"/>
      <c r="L213" s="53"/>
      <c r="M213" s="66"/>
      <c r="N213" s="49"/>
      <c r="O213" s="49"/>
      <c r="P213" s="59"/>
      <c r="Q213" s="59"/>
      <c r="R213" s="49"/>
      <c r="S213" s="50"/>
      <c r="T213" s="60"/>
      <c r="U213" s="60"/>
      <c r="V213" s="57"/>
      <c r="W213" s="61"/>
      <c r="X213" s="61"/>
      <c r="Y213" s="53"/>
      <c r="Z213" s="50"/>
      <c r="AA213" s="51"/>
      <c r="AB213" s="62"/>
      <c r="AC213" s="63"/>
      <c r="AD213" s="49"/>
      <c r="AE213" s="49"/>
      <c r="AF213" s="49"/>
      <c r="AG213" s="52"/>
    </row>
    <row r="214" spans="1:33" ht="15" thickBot="1" x14ac:dyDescent="0.35">
      <c r="A214" s="51"/>
      <c r="B214" s="49"/>
      <c r="C214" s="49"/>
      <c r="D214" s="49"/>
      <c r="E214" s="49"/>
      <c r="F214" s="49"/>
      <c r="G214" s="49"/>
      <c r="H214" s="49"/>
      <c r="I214" s="64" t="s">
        <v>22</v>
      </c>
      <c r="J214" s="135">
        <f>X212*1000/2000</f>
        <v>26.4</v>
      </c>
      <c r="K214" s="136"/>
      <c r="L214" s="69"/>
      <c r="M214" s="66"/>
      <c r="N214" s="49"/>
      <c r="O214" s="49"/>
      <c r="P214" s="59"/>
      <c r="Q214" s="59"/>
      <c r="R214" s="49"/>
      <c r="S214" s="50"/>
      <c r="T214" s="60"/>
      <c r="U214" s="60"/>
      <c r="V214" s="57"/>
      <c r="W214" s="61"/>
      <c r="X214" s="61"/>
      <c r="Y214" s="53"/>
      <c r="Z214" s="50"/>
      <c r="AA214" s="51"/>
      <c r="AB214" s="62"/>
      <c r="AC214" s="63"/>
      <c r="AD214" s="49"/>
      <c r="AE214" s="49"/>
      <c r="AF214" s="49"/>
      <c r="AG214" s="52"/>
    </row>
    <row r="215" spans="1:33" ht="16.2" thickBot="1" x14ac:dyDescent="0.4">
      <c r="A215" s="51"/>
      <c r="B215" s="49"/>
      <c r="C215" s="49"/>
      <c r="D215" s="49"/>
      <c r="E215" s="49"/>
      <c r="F215" s="49"/>
      <c r="G215" s="49" t="s">
        <v>55</v>
      </c>
      <c r="H215" s="49"/>
      <c r="I215" s="64" t="s">
        <v>22</v>
      </c>
      <c r="J215" s="119">
        <v>7</v>
      </c>
      <c r="K215" s="120"/>
      <c r="L215" s="69"/>
      <c r="M215" s="66"/>
      <c r="N215" s="49"/>
      <c r="O215" s="49"/>
      <c r="P215" s="59"/>
      <c r="Q215" s="59"/>
      <c r="R215" s="49"/>
      <c r="S215" s="50"/>
      <c r="T215" s="60"/>
      <c r="U215" s="60"/>
      <c r="V215" s="57"/>
      <c r="W215" s="61"/>
      <c r="X215" s="61"/>
      <c r="Y215" s="53"/>
      <c r="Z215" s="50"/>
      <c r="AA215" s="51"/>
      <c r="AB215" s="62"/>
      <c r="AC215" s="63"/>
      <c r="AD215" s="49"/>
      <c r="AE215" s="49"/>
      <c r="AF215" s="49"/>
      <c r="AG215" s="52"/>
    </row>
    <row r="216" spans="1:33" x14ac:dyDescent="0.3">
      <c r="A216" s="51"/>
      <c r="B216" s="49"/>
      <c r="C216" s="49"/>
      <c r="D216" s="49"/>
      <c r="E216" s="49"/>
      <c r="F216" s="49"/>
      <c r="G216" s="49"/>
      <c r="H216" s="49"/>
      <c r="I216" s="49"/>
      <c r="J216" s="59"/>
      <c r="K216" s="65"/>
      <c r="L216" s="66"/>
      <c r="M216" s="66"/>
      <c r="N216" s="49"/>
      <c r="O216" s="49"/>
      <c r="P216" s="59"/>
      <c r="Q216" s="59"/>
      <c r="R216" s="49"/>
      <c r="S216" s="50"/>
      <c r="T216" s="60"/>
      <c r="U216" s="60"/>
      <c r="V216" s="57"/>
      <c r="W216" s="61"/>
      <c r="X216" s="61"/>
      <c r="Y216" s="53"/>
      <c r="Z216" s="50"/>
      <c r="AA216" s="51"/>
      <c r="AB216" s="62"/>
      <c r="AC216" s="63"/>
      <c r="AD216" s="49"/>
      <c r="AE216" s="49"/>
      <c r="AF216" s="49"/>
      <c r="AG216" s="52"/>
    </row>
    <row r="217" spans="1:33" ht="15.6" x14ac:dyDescent="0.35">
      <c r="A217" s="51"/>
      <c r="B217" s="49"/>
      <c r="C217" s="49"/>
      <c r="D217" s="49"/>
      <c r="E217" s="49"/>
      <c r="F217" s="49"/>
      <c r="G217" s="49" t="s">
        <v>56</v>
      </c>
      <c r="H217" s="49"/>
      <c r="I217" s="57" t="s">
        <v>22</v>
      </c>
      <c r="J217" s="49" t="s">
        <v>57</v>
      </c>
      <c r="K217" s="57"/>
      <c r="L217" s="66"/>
      <c r="M217" s="66"/>
      <c r="N217" s="49"/>
      <c r="O217" s="49"/>
      <c r="P217" s="59"/>
      <c r="Q217" s="59"/>
      <c r="R217" s="49"/>
      <c r="S217" s="50"/>
      <c r="T217" s="60"/>
      <c r="U217" s="60"/>
      <c r="V217" s="57"/>
      <c r="W217" s="61"/>
      <c r="X217" s="61"/>
      <c r="Y217" s="53"/>
      <c r="Z217" s="50"/>
      <c r="AA217" s="51"/>
      <c r="AB217" s="62"/>
      <c r="AC217" s="63"/>
      <c r="AD217" s="49"/>
      <c r="AE217" s="49"/>
      <c r="AF217" s="49"/>
      <c r="AG217" s="52"/>
    </row>
    <row r="218" spans="1:33" x14ac:dyDescent="0.3">
      <c r="A218" s="51"/>
      <c r="B218" s="49"/>
      <c r="C218" s="49"/>
      <c r="D218" s="49"/>
      <c r="E218" s="49"/>
      <c r="F218" s="49"/>
      <c r="G218" s="49"/>
      <c r="H218" s="49"/>
      <c r="I218" s="49"/>
      <c r="J218" s="49"/>
      <c r="K218" s="57"/>
      <c r="L218" s="66"/>
      <c r="M218" s="66"/>
      <c r="N218" s="49"/>
      <c r="O218" s="49"/>
      <c r="P218" s="59"/>
      <c r="Q218" s="59"/>
      <c r="R218" s="49"/>
      <c r="S218" s="50"/>
      <c r="T218" s="60"/>
      <c r="U218" s="60"/>
      <c r="V218" s="57"/>
      <c r="W218" s="61"/>
      <c r="X218" s="61"/>
      <c r="Y218" s="53"/>
      <c r="Z218" s="50"/>
      <c r="AA218" s="51"/>
      <c r="AB218" s="62"/>
      <c r="AC218" s="63"/>
      <c r="AD218" s="49"/>
      <c r="AE218" s="49"/>
      <c r="AF218" s="49"/>
      <c r="AG218" s="52"/>
    </row>
    <row r="219" spans="1:33" x14ac:dyDescent="0.3">
      <c r="A219" s="51"/>
      <c r="B219" s="49"/>
      <c r="C219" s="49"/>
      <c r="D219" s="49" t="s">
        <v>58</v>
      </c>
      <c r="E219" s="49"/>
      <c r="F219" s="49"/>
      <c r="G219" s="49"/>
      <c r="H219" s="49"/>
      <c r="I219" s="49"/>
      <c r="J219" s="49"/>
      <c r="K219" s="57"/>
      <c r="L219" s="66"/>
      <c r="M219" s="66"/>
      <c r="N219" s="49"/>
      <c r="O219" s="49"/>
      <c r="P219" s="59"/>
      <c r="Q219" s="59"/>
      <c r="R219" s="49"/>
      <c r="S219" s="50"/>
      <c r="T219" s="60"/>
      <c r="U219" s="60"/>
      <c r="V219" s="57"/>
      <c r="W219" s="61"/>
      <c r="X219" s="61"/>
      <c r="Y219" s="53"/>
      <c r="Z219" s="50"/>
      <c r="AA219" s="51"/>
      <c r="AB219" s="62"/>
      <c r="AC219" s="63"/>
      <c r="AD219" s="49"/>
      <c r="AE219" s="49"/>
      <c r="AF219" s="49"/>
      <c r="AG219" s="52"/>
    </row>
    <row r="220" spans="1:33" x14ac:dyDescent="0.3">
      <c r="A220" s="51"/>
      <c r="B220" s="49"/>
      <c r="C220" s="49"/>
      <c r="D220" s="49"/>
      <c r="E220" s="49"/>
      <c r="F220" s="49"/>
      <c r="G220" s="49"/>
      <c r="H220" s="49"/>
      <c r="I220" s="49"/>
      <c r="J220" s="49"/>
      <c r="K220" s="57"/>
      <c r="L220" s="66"/>
      <c r="M220" s="66"/>
      <c r="N220" s="49"/>
      <c r="O220" s="49"/>
      <c r="P220" s="59"/>
      <c r="Q220" s="59"/>
      <c r="R220" s="49"/>
      <c r="S220" s="50"/>
      <c r="T220" s="60"/>
      <c r="U220" s="60"/>
      <c r="V220" s="57"/>
      <c r="W220" s="61"/>
      <c r="X220" s="61"/>
      <c r="Y220" s="53"/>
      <c r="Z220" s="50"/>
      <c r="AA220" s="51"/>
      <c r="AB220" s="62"/>
      <c r="AC220" s="63"/>
      <c r="AD220" s="49"/>
      <c r="AE220" s="49"/>
      <c r="AF220" s="49"/>
      <c r="AG220" s="52"/>
    </row>
    <row r="221" spans="1:33" ht="15" thickBot="1" x14ac:dyDescent="0.35">
      <c r="A221" s="51"/>
      <c r="B221" s="49"/>
      <c r="C221" s="49" t="s">
        <v>59</v>
      </c>
      <c r="D221" s="49"/>
      <c r="E221" s="49"/>
      <c r="F221" s="49"/>
      <c r="G221" s="49"/>
      <c r="H221" s="49"/>
      <c r="I221" s="49"/>
      <c r="J221" s="49"/>
      <c r="K221" s="49"/>
      <c r="L221" s="66"/>
      <c r="M221" s="66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50"/>
      <c r="AA221" s="51"/>
      <c r="AB221" s="49"/>
      <c r="AC221" s="49"/>
      <c r="AD221" s="49"/>
      <c r="AE221" s="49"/>
      <c r="AF221" s="49"/>
      <c r="AG221" s="52"/>
    </row>
    <row r="222" spans="1:33" ht="15" thickBot="1" x14ac:dyDescent="0.35">
      <c r="A222" s="51"/>
      <c r="B222" s="49"/>
      <c r="C222" s="49" t="s">
        <v>60</v>
      </c>
      <c r="D222" s="49"/>
      <c r="E222" s="49"/>
      <c r="F222" s="49"/>
      <c r="G222" s="49"/>
      <c r="H222" s="49"/>
      <c r="I222" s="49"/>
      <c r="J222" s="68"/>
      <c r="K222" s="49" t="s">
        <v>22</v>
      </c>
      <c r="L222" s="119">
        <v>3.5</v>
      </c>
      <c r="M222" s="120"/>
      <c r="N222" s="53" t="s">
        <v>61</v>
      </c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50"/>
      <c r="AA222" s="51"/>
      <c r="AB222" s="49"/>
      <c r="AC222" s="49"/>
      <c r="AD222" s="49"/>
      <c r="AE222" s="49"/>
      <c r="AF222" s="49"/>
      <c r="AG222" s="52"/>
    </row>
    <row r="223" spans="1:33" ht="15" thickBot="1" x14ac:dyDescent="0.35">
      <c r="A223" s="51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59"/>
      <c r="M223" s="59"/>
      <c r="N223" s="49"/>
      <c r="O223" s="49"/>
      <c r="P223" s="49"/>
      <c r="Q223" s="66"/>
      <c r="R223" s="66"/>
      <c r="S223" s="49"/>
      <c r="T223" s="49"/>
      <c r="U223" s="49"/>
      <c r="V223" s="49"/>
      <c r="W223" s="49"/>
      <c r="X223" s="49"/>
      <c r="Y223" s="49"/>
      <c r="Z223" s="50"/>
      <c r="AA223" s="51"/>
      <c r="AB223" s="49"/>
      <c r="AC223" s="49"/>
      <c r="AD223" s="49"/>
      <c r="AE223" s="49"/>
      <c r="AF223" s="49"/>
      <c r="AG223" s="52"/>
    </row>
    <row r="224" spans="1:33" ht="15" thickBot="1" x14ac:dyDescent="0.35">
      <c r="A224" s="51"/>
      <c r="B224" s="49"/>
      <c r="C224" s="49" t="s">
        <v>62</v>
      </c>
      <c r="D224" s="49"/>
      <c r="E224" s="49"/>
      <c r="F224" s="49"/>
      <c r="G224" s="49"/>
      <c r="H224" s="49"/>
      <c r="I224" s="49"/>
      <c r="J224" s="49"/>
      <c r="K224" s="50" t="s">
        <v>22</v>
      </c>
      <c r="L224" s="137">
        <v>50</v>
      </c>
      <c r="M224" s="138"/>
      <c r="N224" s="53" t="s">
        <v>63</v>
      </c>
      <c r="O224" s="49"/>
      <c r="P224" s="49" t="s">
        <v>64</v>
      </c>
      <c r="Q224" s="49"/>
      <c r="R224" s="49"/>
      <c r="S224" s="49"/>
      <c r="T224" s="49"/>
      <c r="U224" s="68"/>
      <c r="V224" s="68"/>
      <c r="W224" s="68"/>
      <c r="X224" s="68"/>
      <c r="Y224" s="68"/>
      <c r="Z224" s="50"/>
      <c r="AA224" s="51"/>
      <c r="AB224" s="49"/>
      <c r="AC224" s="49"/>
      <c r="AD224" s="49"/>
      <c r="AE224" s="49"/>
      <c r="AF224" s="49"/>
      <c r="AG224" s="52"/>
    </row>
    <row r="225" spans="1:33" ht="16.2" thickBot="1" x14ac:dyDescent="0.4">
      <c r="A225" s="51"/>
      <c r="B225" s="49"/>
      <c r="C225" s="49" t="s">
        <v>65</v>
      </c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66">
        <v>2</v>
      </c>
      <c r="R225" s="67" t="s">
        <v>27</v>
      </c>
      <c r="S225" s="139">
        <f>L222</f>
        <v>3.5</v>
      </c>
      <c r="T225" s="140"/>
      <c r="U225" s="67" t="s">
        <v>27</v>
      </c>
      <c r="V225" s="133">
        <f>L224/1000</f>
        <v>0.05</v>
      </c>
      <c r="W225" s="141"/>
      <c r="X225" s="49"/>
      <c r="Y225" s="49"/>
      <c r="Z225" s="50"/>
      <c r="AA225" s="51"/>
      <c r="AB225" s="49"/>
      <c r="AC225" s="49"/>
      <c r="AD225" s="49"/>
      <c r="AE225" s="49"/>
      <c r="AF225" s="49"/>
      <c r="AG225" s="52"/>
    </row>
    <row r="226" spans="1:33" ht="15" thickBot="1" x14ac:dyDescent="0.35">
      <c r="A226" s="51"/>
      <c r="B226" s="49"/>
      <c r="C226" s="49"/>
      <c r="D226" s="49"/>
      <c r="E226" s="49"/>
      <c r="F226" s="49"/>
      <c r="G226" s="49"/>
      <c r="H226" s="49"/>
      <c r="I226" s="49"/>
      <c r="J226" s="49"/>
      <c r="K226" s="68" t="s">
        <v>22</v>
      </c>
      <c r="L226" s="129">
        <f>Q225*S225*V225</f>
        <v>0.35000000000000003</v>
      </c>
      <c r="M226" s="130"/>
      <c r="N226" s="53" t="s">
        <v>66</v>
      </c>
      <c r="O226" s="49"/>
      <c r="P226" s="68"/>
      <c r="Q226" s="49"/>
      <c r="R226" s="49"/>
      <c r="S226" s="49"/>
      <c r="T226" s="49"/>
      <c r="U226" s="49"/>
      <c r="V226" s="49"/>
      <c r="W226" s="49"/>
      <c r="X226" s="49"/>
      <c r="Y226" s="49"/>
      <c r="Z226" s="50"/>
      <c r="AA226" s="51"/>
      <c r="AB226" s="49"/>
      <c r="AC226" s="49"/>
      <c r="AD226" s="49"/>
      <c r="AE226" s="49"/>
      <c r="AF226" s="49"/>
      <c r="AG226" s="52"/>
    </row>
    <row r="227" spans="1:33" ht="15" thickBot="1" x14ac:dyDescent="0.35">
      <c r="A227" s="51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66"/>
      <c r="M227" s="66"/>
      <c r="N227" s="49"/>
      <c r="O227" s="49"/>
      <c r="P227" s="49"/>
      <c r="Q227" s="49"/>
      <c r="R227" s="49"/>
      <c r="S227" s="49"/>
      <c r="T227" s="49"/>
      <c r="U227" s="49"/>
      <c r="V227" s="59"/>
      <c r="W227" s="59"/>
      <c r="X227" s="59"/>
      <c r="Y227" s="49"/>
      <c r="Z227" s="50"/>
      <c r="AA227" s="51"/>
      <c r="AB227" s="49"/>
      <c r="AC227" s="49"/>
      <c r="AD227" s="49"/>
      <c r="AE227" s="49"/>
      <c r="AF227" s="49"/>
      <c r="AG227" s="52"/>
    </row>
    <row r="228" spans="1:33" ht="16.2" thickBot="1" x14ac:dyDescent="0.4">
      <c r="A228" s="51"/>
      <c r="B228" s="49"/>
      <c r="C228" s="49"/>
      <c r="D228" s="49"/>
      <c r="E228" s="49"/>
      <c r="F228" s="49"/>
      <c r="G228" s="49" t="s">
        <v>56</v>
      </c>
      <c r="H228" s="49"/>
      <c r="I228" s="57"/>
      <c r="J228" s="87"/>
      <c r="K228" s="88" t="s">
        <v>22</v>
      </c>
      <c r="L228" s="131">
        <f>L226</f>
        <v>0.35000000000000003</v>
      </c>
      <c r="M228" s="132"/>
      <c r="N228" s="53"/>
      <c r="O228" s="49"/>
      <c r="P228" s="49"/>
      <c r="Q228" s="49"/>
      <c r="R228" s="49"/>
      <c r="S228" s="50"/>
      <c r="T228" s="60"/>
      <c r="U228" s="60"/>
      <c r="V228" s="57"/>
      <c r="W228" s="61"/>
      <c r="X228" s="61"/>
      <c r="Y228" s="53"/>
      <c r="Z228" s="50"/>
      <c r="AA228" s="51"/>
      <c r="AB228" s="62"/>
      <c r="AC228" s="63"/>
      <c r="AD228" s="49"/>
      <c r="AE228" s="49"/>
      <c r="AF228" s="49"/>
      <c r="AG228" s="52"/>
    </row>
    <row r="229" spans="1:33" x14ac:dyDescent="0.3">
      <c r="A229" s="51"/>
      <c r="B229" s="49"/>
      <c r="C229" s="49"/>
      <c r="D229" s="49"/>
      <c r="E229" s="49"/>
      <c r="F229" s="49"/>
      <c r="G229" s="49"/>
      <c r="H229" s="49"/>
      <c r="I229" s="49"/>
      <c r="J229" s="49"/>
      <c r="K229" s="57"/>
      <c r="L229" s="66"/>
      <c r="M229" s="66"/>
      <c r="N229" s="49"/>
      <c r="O229" s="49"/>
      <c r="P229" s="59"/>
      <c r="Q229" s="59"/>
      <c r="R229" s="49"/>
      <c r="S229" s="50"/>
      <c r="T229" s="60"/>
      <c r="U229" s="60"/>
      <c r="V229" s="57"/>
      <c r="W229" s="61"/>
      <c r="X229" s="61"/>
      <c r="Y229" s="53"/>
      <c r="Z229" s="50"/>
      <c r="AA229" s="51"/>
      <c r="AB229" s="62"/>
      <c r="AC229" s="63"/>
      <c r="AD229" s="49"/>
      <c r="AE229" s="49"/>
      <c r="AF229" s="49"/>
      <c r="AG229" s="52"/>
    </row>
    <row r="230" spans="1:33" ht="15.6" x14ac:dyDescent="0.35">
      <c r="A230" s="51"/>
      <c r="B230" s="49"/>
      <c r="C230" s="49" t="s">
        <v>67</v>
      </c>
      <c r="D230" s="49"/>
      <c r="E230" s="49"/>
      <c r="F230" s="49"/>
      <c r="G230" s="49"/>
      <c r="H230" s="49"/>
      <c r="I230" s="49"/>
      <c r="J230" s="49"/>
      <c r="K230" s="57" t="s">
        <v>22</v>
      </c>
      <c r="L230" s="66">
        <f>J214</f>
        <v>26.4</v>
      </c>
      <c r="M230" s="67" t="s">
        <v>27</v>
      </c>
      <c r="N230" s="49" t="str">
        <f>CONCATENATE("(",J215, " + ", L228,")")</f>
        <v>(7 + 0.35)</v>
      </c>
      <c r="O230" s="49"/>
      <c r="P230" s="59"/>
      <c r="Q230" s="59"/>
      <c r="R230" s="49"/>
      <c r="S230" s="50"/>
      <c r="T230" s="60"/>
      <c r="U230" s="60"/>
      <c r="V230" s="57"/>
      <c r="W230" s="61"/>
      <c r="X230" s="61"/>
      <c r="Y230" s="53"/>
      <c r="Z230" s="50"/>
      <c r="AA230" s="51"/>
      <c r="AB230" s="62"/>
      <c r="AC230" s="63"/>
      <c r="AD230" s="49"/>
      <c r="AE230" s="49"/>
      <c r="AF230" s="49"/>
      <c r="AG230" s="52"/>
    </row>
    <row r="231" spans="1:33" x14ac:dyDescent="0.3">
      <c r="A231" s="51"/>
      <c r="B231" s="49"/>
      <c r="C231" s="49"/>
      <c r="D231" s="49"/>
      <c r="E231" s="49"/>
      <c r="F231" s="49"/>
      <c r="G231" s="49"/>
      <c r="H231" s="49"/>
      <c r="I231" s="49"/>
      <c r="J231" s="49"/>
      <c r="K231" s="57" t="s">
        <v>22</v>
      </c>
      <c r="L231" s="66">
        <f>J214*(L228+J215)</f>
        <v>194.04</v>
      </c>
      <c r="M231" s="66"/>
      <c r="N231" s="49"/>
      <c r="O231" s="49"/>
      <c r="P231" s="59"/>
      <c r="Q231" s="59"/>
      <c r="R231" s="49"/>
      <c r="S231" s="50"/>
      <c r="T231" s="60"/>
      <c r="U231" s="60"/>
      <c r="V231" s="57"/>
      <c r="W231" s="61"/>
      <c r="X231" s="61"/>
      <c r="Y231" s="53"/>
      <c r="Z231" s="50"/>
      <c r="AA231" s="51"/>
      <c r="AB231" s="62"/>
      <c r="AC231" s="63"/>
      <c r="AD231" s="49"/>
      <c r="AE231" s="49"/>
      <c r="AF231" s="49"/>
      <c r="AG231" s="52"/>
    </row>
    <row r="232" spans="1:33" x14ac:dyDescent="0.3">
      <c r="A232" s="51"/>
      <c r="B232" s="49"/>
      <c r="C232" s="49" t="s">
        <v>68</v>
      </c>
      <c r="D232" s="49"/>
      <c r="E232" s="49"/>
      <c r="F232" s="49"/>
      <c r="G232" s="49"/>
      <c r="H232" s="49"/>
      <c r="I232" s="49"/>
      <c r="J232" s="49"/>
      <c r="K232" s="64"/>
      <c r="L232" s="68"/>
      <c r="M232" s="68"/>
      <c r="N232" s="53"/>
      <c r="O232" s="49"/>
      <c r="P232" s="59"/>
      <c r="Q232" s="59"/>
      <c r="R232" s="49"/>
      <c r="S232" s="50"/>
      <c r="T232" s="60"/>
      <c r="U232" s="60"/>
      <c r="V232" s="57"/>
      <c r="W232" s="61"/>
      <c r="X232" s="61"/>
      <c r="Y232" s="53"/>
      <c r="Z232" s="50"/>
      <c r="AA232" s="51"/>
      <c r="AB232" s="62"/>
      <c r="AC232" s="63"/>
      <c r="AD232" s="49"/>
      <c r="AE232" s="49"/>
      <c r="AF232" s="49"/>
      <c r="AG232" s="52"/>
    </row>
    <row r="233" spans="1:33" x14ac:dyDescent="0.3">
      <c r="A233" s="51"/>
      <c r="B233" s="49"/>
      <c r="C233" s="49"/>
      <c r="D233" s="49"/>
      <c r="E233" s="49"/>
      <c r="F233" s="49"/>
      <c r="G233" s="49"/>
      <c r="H233" s="49"/>
      <c r="I233" s="49"/>
      <c r="J233" s="49"/>
      <c r="K233" s="57" t="s">
        <v>22</v>
      </c>
      <c r="L233" s="66">
        <f>L231*1.2</f>
        <v>232.84799999999998</v>
      </c>
      <c r="M233" s="66"/>
      <c r="N233" s="49"/>
      <c r="O233" s="49"/>
      <c r="P233" s="59"/>
      <c r="Q233" s="59"/>
      <c r="R233" s="49"/>
      <c r="S233" s="50"/>
      <c r="T233" s="60"/>
      <c r="U233" s="60"/>
      <c r="V233" s="57"/>
      <c r="W233" s="61"/>
      <c r="X233" s="61"/>
      <c r="Y233" s="53"/>
      <c r="Z233" s="50"/>
      <c r="AA233" s="51"/>
      <c r="AB233" s="62"/>
      <c r="AC233" s="63"/>
      <c r="AD233" s="49"/>
      <c r="AE233" s="49"/>
      <c r="AF233" s="49"/>
      <c r="AG233" s="52"/>
    </row>
    <row r="234" spans="1:33" ht="15" thickBot="1" x14ac:dyDescent="0.35">
      <c r="A234" s="51"/>
      <c r="B234" s="49"/>
      <c r="C234" s="49"/>
      <c r="D234" s="49"/>
      <c r="E234" s="49"/>
      <c r="F234" s="49"/>
      <c r="G234" s="49"/>
      <c r="H234" s="49"/>
      <c r="I234" s="49"/>
      <c r="J234" s="49"/>
      <c r="K234" s="64"/>
      <c r="L234" s="68"/>
      <c r="M234" s="68"/>
      <c r="N234" s="53"/>
      <c r="O234" s="49"/>
      <c r="P234" s="59"/>
      <c r="Q234" s="59"/>
      <c r="R234" s="49"/>
      <c r="S234" s="50"/>
      <c r="T234" s="60"/>
      <c r="U234" s="60"/>
      <c r="V234" s="57"/>
      <c r="W234" s="61"/>
      <c r="X234" s="61"/>
      <c r="Y234" s="53"/>
      <c r="Z234" s="50"/>
      <c r="AA234" s="51"/>
      <c r="AB234" s="62"/>
      <c r="AC234" s="63"/>
      <c r="AD234" s="49"/>
      <c r="AE234" s="49"/>
      <c r="AF234" s="49"/>
      <c r="AG234" s="52"/>
    </row>
    <row r="235" spans="1:33" ht="15" thickBot="1" x14ac:dyDescent="0.35">
      <c r="A235" s="51"/>
      <c r="B235" s="49"/>
      <c r="C235" s="49"/>
      <c r="D235" s="49"/>
      <c r="E235" s="49"/>
      <c r="F235" s="49"/>
      <c r="G235" s="49"/>
      <c r="H235" s="49"/>
      <c r="I235" s="49" t="s">
        <v>69</v>
      </c>
      <c r="J235" s="49"/>
      <c r="K235" s="64" t="s">
        <v>22</v>
      </c>
      <c r="L235" s="119">
        <v>250</v>
      </c>
      <c r="M235" s="120"/>
      <c r="N235" s="53" t="s">
        <v>70</v>
      </c>
      <c r="O235" s="49"/>
      <c r="P235" s="59"/>
      <c r="Q235" s="59"/>
      <c r="R235" s="49"/>
      <c r="S235" s="50"/>
      <c r="T235" s="60"/>
      <c r="U235" s="60"/>
      <c r="V235" s="57"/>
      <c r="W235" s="61"/>
      <c r="X235" s="61"/>
      <c r="Y235" s="53"/>
      <c r="Z235" s="50"/>
      <c r="AA235" s="51"/>
      <c r="AB235" s="62"/>
      <c r="AC235" s="63"/>
      <c r="AD235" s="49"/>
      <c r="AE235" s="49"/>
      <c r="AF235" s="49"/>
      <c r="AG235" s="52"/>
    </row>
    <row r="236" spans="1:33" ht="15" thickBot="1" x14ac:dyDescent="0.35">
      <c r="A236" s="51"/>
      <c r="B236" s="49"/>
      <c r="C236" s="49"/>
      <c r="D236" s="49"/>
      <c r="E236" s="49"/>
      <c r="F236" s="49"/>
      <c r="G236" s="49"/>
      <c r="H236" s="49"/>
      <c r="I236" s="49"/>
      <c r="J236" s="49"/>
      <c r="K236" s="57"/>
      <c r="L236" s="58"/>
      <c r="M236" s="58"/>
      <c r="N236" s="49"/>
      <c r="O236" s="49"/>
      <c r="P236" s="59"/>
      <c r="Q236" s="59"/>
      <c r="R236" s="49"/>
      <c r="S236" s="50"/>
      <c r="T236" s="60"/>
      <c r="U236" s="60"/>
      <c r="V236" s="57"/>
      <c r="W236" s="61"/>
      <c r="X236" s="61"/>
      <c r="Y236" s="53"/>
      <c r="Z236" s="50"/>
      <c r="AA236" s="51"/>
      <c r="AB236" s="62"/>
      <c r="AC236" s="63"/>
      <c r="AD236" s="49"/>
      <c r="AE236" s="49"/>
      <c r="AF236" s="49"/>
      <c r="AG236" s="52"/>
    </row>
    <row r="237" spans="1:33" ht="15" thickBot="1" x14ac:dyDescent="0.35">
      <c r="A237" s="51"/>
      <c r="B237" s="49"/>
      <c r="C237" s="49"/>
      <c r="D237" s="49"/>
      <c r="E237" s="49"/>
      <c r="F237" s="49"/>
      <c r="G237" s="49"/>
      <c r="H237" s="50"/>
      <c r="I237" s="8" t="s">
        <v>71</v>
      </c>
      <c r="J237" s="9"/>
      <c r="K237" s="9"/>
      <c r="L237" s="9"/>
      <c r="M237" s="10" t="s">
        <v>72</v>
      </c>
      <c r="N237" s="53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50"/>
      <c r="AA237" s="51"/>
      <c r="AB237" s="49"/>
      <c r="AC237" s="49"/>
      <c r="AD237" s="49"/>
      <c r="AE237" s="49"/>
      <c r="AF237" s="49"/>
      <c r="AG237" s="52"/>
    </row>
    <row r="238" spans="1:33" x14ac:dyDescent="0.3">
      <c r="A238" s="51"/>
      <c r="B238" s="49"/>
      <c r="C238" s="49"/>
      <c r="D238" s="49"/>
      <c r="E238" s="49"/>
      <c r="F238" s="49"/>
      <c r="G238" s="49"/>
      <c r="H238" s="49"/>
      <c r="I238" s="49"/>
      <c r="J238" s="66"/>
      <c r="K238" s="74"/>
      <c r="L238" s="66"/>
      <c r="M238" s="66"/>
      <c r="N238" s="49"/>
      <c r="O238" s="49"/>
      <c r="P238" s="59"/>
      <c r="Q238" s="59"/>
      <c r="R238" s="49"/>
      <c r="S238" s="50"/>
      <c r="T238" s="60"/>
      <c r="U238" s="60"/>
      <c r="V238" s="57"/>
      <c r="W238" s="61"/>
      <c r="X238" s="61"/>
      <c r="Y238" s="53"/>
      <c r="Z238" s="50"/>
      <c r="AA238" s="51"/>
      <c r="AB238" s="62"/>
      <c r="AC238" s="63"/>
      <c r="AD238" s="49"/>
      <c r="AE238" s="49"/>
      <c r="AF238" s="49"/>
      <c r="AG238" s="52"/>
    </row>
    <row r="239" spans="1:33" x14ac:dyDescent="0.3">
      <c r="A239" s="51"/>
      <c r="B239" s="49"/>
      <c r="C239" s="49" t="s">
        <v>73</v>
      </c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50"/>
      <c r="AA239" s="51"/>
      <c r="AB239" s="49"/>
      <c r="AC239" s="49"/>
      <c r="AD239" s="49"/>
      <c r="AE239" s="49"/>
      <c r="AF239" s="49"/>
      <c r="AG239" s="52"/>
    </row>
    <row r="240" spans="1:33" ht="15" thickBot="1" x14ac:dyDescent="0.35">
      <c r="A240" s="51"/>
      <c r="B240" s="44"/>
      <c r="C240" s="44"/>
      <c r="D240" s="44"/>
      <c r="E240" s="44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44"/>
      <c r="X240" s="44"/>
      <c r="Y240" s="44"/>
      <c r="Z240" s="45"/>
      <c r="AA240" s="46"/>
      <c r="AB240" s="44"/>
      <c r="AC240" s="44"/>
      <c r="AD240" s="44"/>
      <c r="AE240" s="44"/>
      <c r="AF240" s="44"/>
      <c r="AG240" s="47"/>
    </row>
    <row r="241" spans="1:33" x14ac:dyDescent="0.3">
      <c r="A241" s="51"/>
      <c r="B241" s="44"/>
      <c r="C241" s="44"/>
      <c r="D241" s="44"/>
      <c r="E241" s="45"/>
      <c r="F241" s="11" t="s">
        <v>74</v>
      </c>
      <c r="G241" s="12"/>
      <c r="H241" s="12"/>
      <c r="I241" s="12"/>
      <c r="J241" s="12"/>
      <c r="K241" s="12"/>
      <c r="L241" s="12"/>
      <c r="M241" s="12"/>
      <c r="N241" s="13"/>
      <c r="O241" s="121" t="str">
        <f>Q196</f>
        <v>2000 /1 Amp</v>
      </c>
      <c r="P241" s="122"/>
      <c r="Q241" s="122"/>
      <c r="R241" s="122"/>
      <c r="S241" s="122"/>
      <c r="T241" s="123"/>
      <c r="U241" s="14"/>
      <c r="V241" s="15"/>
      <c r="W241" s="43"/>
      <c r="X241" s="44"/>
      <c r="Y241" s="44"/>
      <c r="Z241" s="45"/>
      <c r="AA241" s="46"/>
      <c r="AB241" s="44"/>
      <c r="AC241" s="44"/>
      <c r="AD241" s="44"/>
      <c r="AE241" s="44"/>
      <c r="AF241" s="44"/>
      <c r="AG241" s="47"/>
    </row>
    <row r="242" spans="1:33" x14ac:dyDescent="0.3">
      <c r="A242" s="51"/>
      <c r="B242" s="49"/>
      <c r="C242" s="54"/>
      <c r="D242" s="44"/>
      <c r="E242" s="55"/>
      <c r="F242" s="16" t="s">
        <v>75</v>
      </c>
      <c r="G242" s="17"/>
      <c r="H242" s="17"/>
      <c r="I242" s="17"/>
      <c r="J242" s="17"/>
      <c r="K242" s="17"/>
      <c r="L242" s="17"/>
      <c r="M242" s="17"/>
      <c r="N242" s="17" t="s">
        <v>76</v>
      </c>
      <c r="O242" s="124">
        <f>L235</f>
        <v>250</v>
      </c>
      <c r="P242" s="125"/>
      <c r="Q242" s="18" t="s">
        <v>70</v>
      </c>
      <c r="R242" s="19"/>
      <c r="S242" s="18"/>
      <c r="T242" s="18"/>
      <c r="U242" s="18"/>
      <c r="V242" s="20"/>
      <c r="W242" s="48"/>
      <c r="X242" s="49"/>
      <c r="Y242" s="49"/>
      <c r="Z242" s="50"/>
      <c r="AA242" s="51"/>
      <c r="AB242" s="49"/>
      <c r="AC242" s="49"/>
      <c r="AD242" s="49"/>
      <c r="AE242" s="49"/>
      <c r="AF242" s="49"/>
      <c r="AG242" s="52"/>
    </row>
    <row r="243" spans="1:33" x14ac:dyDescent="0.3">
      <c r="A243" s="51"/>
      <c r="B243" s="49"/>
      <c r="C243" s="54"/>
      <c r="D243" s="54"/>
      <c r="E243" s="55"/>
      <c r="F243" s="16" t="s">
        <v>77</v>
      </c>
      <c r="G243" s="17"/>
      <c r="H243" s="17"/>
      <c r="I243" s="17"/>
      <c r="J243" s="17"/>
      <c r="K243" s="17"/>
      <c r="L243" s="17"/>
      <c r="M243" s="21"/>
      <c r="N243" s="22" t="s">
        <v>22</v>
      </c>
      <c r="O243" s="17">
        <f>J215</f>
        <v>7</v>
      </c>
      <c r="P243" s="17" t="s">
        <v>78</v>
      </c>
      <c r="Q243" s="17"/>
      <c r="R243" s="17"/>
      <c r="S243" s="17"/>
      <c r="T243" s="17"/>
      <c r="U243" s="17"/>
      <c r="V243" s="20"/>
      <c r="W243" s="53"/>
      <c r="X243" s="49"/>
      <c r="Y243" s="49"/>
      <c r="Z243" s="50"/>
      <c r="AA243" s="51"/>
      <c r="AB243" s="49"/>
      <c r="AC243" s="49"/>
      <c r="AD243" s="49"/>
      <c r="AE243" s="49"/>
      <c r="AF243" s="49"/>
      <c r="AG243" s="52"/>
    </row>
    <row r="244" spans="1:33" x14ac:dyDescent="0.3">
      <c r="A244" s="51"/>
      <c r="B244" s="49"/>
      <c r="C244" s="54"/>
      <c r="D244" s="54"/>
      <c r="E244" s="55"/>
      <c r="F244" s="16" t="s">
        <v>79</v>
      </c>
      <c r="G244" s="23"/>
      <c r="H244" s="17"/>
      <c r="I244" s="17"/>
      <c r="J244" s="17"/>
      <c r="K244" s="17"/>
      <c r="L244" s="17"/>
      <c r="M244" s="17"/>
      <c r="N244" s="17"/>
      <c r="O244" s="17" t="str">
        <f>M237</f>
        <v>PX</v>
      </c>
      <c r="P244" s="17"/>
      <c r="Q244" s="17"/>
      <c r="R244" s="17"/>
      <c r="S244" s="17"/>
      <c r="T244" s="17"/>
      <c r="U244" s="17"/>
      <c r="V244" s="20"/>
      <c r="W244" s="53"/>
      <c r="X244" s="49"/>
      <c r="Y244" s="49"/>
      <c r="Z244" s="50"/>
      <c r="AA244" s="51"/>
      <c r="AB244" s="49"/>
      <c r="AC244" s="49"/>
      <c r="AD244" s="49"/>
      <c r="AE244" s="49"/>
      <c r="AF244" s="49"/>
      <c r="AG244" s="52"/>
    </row>
    <row r="245" spans="1:33" ht="15" thickBot="1" x14ac:dyDescent="0.35">
      <c r="A245" s="51"/>
      <c r="B245" s="49"/>
      <c r="C245" s="49"/>
      <c r="D245" s="49"/>
      <c r="E245" s="50"/>
      <c r="F245" s="24" t="s">
        <v>80</v>
      </c>
      <c r="G245" s="25"/>
      <c r="H245" s="25"/>
      <c r="I245" s="25"/>
      <c r="J245" s="25"/>
      <c r="K245" s="25"/>
      <c r="L245" s="25"/>
      <c r="M245" s="25"/>
      <c r="N245" s="25"/>
      <c r="O245" s="25" t="str">
        <f>C222</f>
        <v xml:space="preserve">6 sq.mm copper cable </v>
      </c>
      <c r="P245" s="25"/>
      <c r="Q245" s="25"/>
      <c r="R245" s="25"/>
      <c r="S245" s="25"/>
      <c r="T245" s="25"/>
      <c r="U245" s="25"/>
      <c r="V245" s="26"/>
      <c r="W245" s="53"/>
      <c r="X245" s="49"/>
      <c r="Y245" s="49"/>
      <c r="Z245" s="50"/>
      <c r="AA245" s="86"/>
      <c r="AB245" s="49"/>
      <c r="AC245" s="49"/>
      <c r="AD245" s="49"/>
      <c r="AE245" s="49"/>
      <c r="AF245" s="49"/>
      <c r="AG245" s="52"/>
    </row>
    <row r="246" spans="1:33" x14ac:dyDescent="0.3">
      <c r="A246" s="51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50"/>
      <c r="AA246" s="51"/>
      <c r="AB246" s="49"/>
      <c r="AC246" s="49"/>
      <c r="AD246" s="49"/>
      <c r="AE246" s="49"/>
      <c r="AF246" s="49"/>
      <c r="AG246" s="52"/>
    </row>
    <row r="247" spans="1:33" x14ac:dyDescent="0.3">
      <c r="A247" s="51"/>
      <c r="B247" s="54" t="s">
        <v>134</v>
      </c>
      <c r="C247" s="54" t="s">
        <v>135</v>
      </c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68"/>
      <c r="T247" s="49"/>
      <c r="U247" s="68"/>
      <c r="V247" s="49"/>
      <c r="W247" s="49"/>
      <c r="X247" s="49"/>
      <c r="Y247" s="68"/>
      <c r="Z247" s="50"/>
      <c r="AA247" s="49"/>
      <c r="AB247" s="49"/>
      <c r="AC247" s="49"/>
      <c r="AD247" s="49"/>
      <c r="AE247" s="49"/>
      <c r="AF247" s="49"/>
      <c r="AG247" s="52"/>
    </row>
    <row r="248" spans="1:33" x14ac:dyDescent="0.3">
      <c r="A248" s="51"/>
      <c r="B248" s="54"/>
      <c r="C248" s="54" t="s">
        <v>136</v>
      </c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50"/>
      <c r="AA248" s="51"/>
      <c r="AB248" s="49"/>
      <c r="AC248" s="49"/>
      <c r="AD248" s="49"/>
      <c r="AE248" s="49"/>
      <c r="AF248" s="49"/>
      <c r="AG248" s="52"/>
    </row>
    <row r="249" spans="1:33" x14ac:dyDescent="0.3">
      <c r="A249" s="51"/>
      <c r="B249" s="54"/>
      <c r="C249" s="54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50"/>
      <c r="Q249" s="68"/>
      <c r="R249" s="68"/>
      <c r="S249" s="68"/>
      <c r="T249" s="68"/>
      <c r="U249" s="68"/>
      <c r="V249" s="68"/>
      <c r="W249" s="53"/>
      <c r="X249" s="49"/>
      <c r="Y249" s="49"/>
      <c r="Z249" s="50"/>
      <c r="AA249" s="51"/>
      <c r="AB249" s="49"/>
      <c r="AC249" s="49"/>
      <c r="AD249" s="49"/>
      <c r="AE249" s="49"/>
      <c r="AF249" s="49"/>
      <c r="AG249" s="52"/>
    </row>
    <row r="250" spans="1:33" x14ac:dyDescent="0.3">
      <c r="A250" s="51"/>
      <c r="B250" s="49"/>
      <c r="C250" s="49"/>
      <c r="D250" s="49"/>
      <c r="E250" s="49" t="s">
        <v>128</v>
      </c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50"/>
      <c r="AA250" s="51"/>
      <c r="AB250" s="49"/>
      <c r="AC250" s="49"/>
      <c r="AD250" s="49"/>
      <c r="AE250" s="49"/>
      <c r="AF250" s="49"/>
      <c r="AG250" s="52"/>
    </row>
    <row r="251" spans="1:33" x14ac:dyDescent="0.3">
      <c r="A251" s="51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50"/>
      <c r="AA251" s="51"/>
      <c r="AB251" s="49"/>
      <c r="AC251" s="49"/>
      <c r="AD251" s="49"/>
      <c r="AE251" s="49"/>
      <c r="AF251" s="49"/>
      <c r="AG251" s="52"/>
    </row>
    <row r="252" spans="1:33" x14ac:dyDescent="0.3">
      <c r="A252" s="51"/>
      <c r="B252" s="54" t="s">
        <v>137</v>
      </c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50"/>
      <c r="AA252" s="51"/>
      <c r="AB252" s="49"/>
      <c r="AC252" s="49"/>
      <c r="AD252" s="49"/>
      <c r="AE252" s="49"/>
      <c r="AF252" s="49"/>
      <c r="AG252" s="52"/>
    </row>
    <row r="253" spans="1:33" x14ac:dyDescent="0.3">
      <c r="A253" s="51"/>
      <c r="B253" s="49"/>
      <c r="C253" s="54" t="s">
        <v>138</v>
      </c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50"/>
      <c r="AA253" s="51"/>
      <c r="AB253" s="49"/>
      <c r="AC253" s="49"/>
      <c r="AD253" s="49"/>
      <c r="AE253" s="49"/>
      <c r="AF253" s="49"/>
      <c r="AG253" s="52"/>
    </row>
    <row r="254" spans="1:33" x14ac:dyDescent="0.3">
      <c r="A254" s="51"/>
      <c r="B254" s="49"/>
      <c r="C254" s="54"/>
      <c r="D254" s="49"/>
      <c r="E254" s="49"/>
      <c r="F254" s="49"/>
      <c r="G254" s="49"/>
      <c r="H254" s="49"/>
      <c r="I254" s="49"/>
      <c r="J254" s="49"/>
      <c r="K254" s="49"/>
      <c r="L254" s="49"/>
      <c r="M254" s="66"/>
      <c r="N254" s="66"/>
      <c r="O254" s="66"/>
      <c r="P254" s="58"/>
      <c r="Q254" s="66"/>
      <c r="R254" s="66"/>
      <c r="S254" s="66"/>
      <c r="T254" s="66"/>
      <c r="U254" s="66"/>
      <c r="V254" s="66"/>
      <c r="W254" s="66"/>
      <c r="X254" s="49"/>
      <c r="Y254" s="49"/>
      <c r="Z254" s="50"/>
      <c r="AA254" s="51"/>
      <c r="AB254" s="49"/>
      <c r="AC254" s="49"/>
      <c r="AD254" s="49"/>
      <c r="AE254" s="49"/>
      <c r="AF254" s="49"/>
      <c r="AG254" s="52"/>
    </row>
    <row r="255" spans="1:33" x14ac:dyDescent="0.3">
      <c r="A255" s="77"/>
      <c r="B255" s="59"/>
      <c r="C255" s="59"/>
      <c r="D255" s="59"/>
      <c r="E255" s="59" t="s">
        <v>139</v>
      </c>
      <c r="F255" s="59"/>
      <c r="G255" s="59"/>
      <c r="H255" s="59"/>
      <c r="I255" s="59"/>
      <c r="J255" s="59"/>
      <c r="K255" s="5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59"/>
      <c r="Y255" s="59"/>
      <c r="Z255" s="52"/>
      <c r="AA255" s="51"/>
      <c r="AB255" s="59"/>
      <c r="AC255" s="59"/>
      <c r="AD255" s="59"/>
      <c r="AE255" s="59"/>
      <c r="AF255" s="59"/>
      <c r="AG255" s="78"/>
    </row>
    <row r="256" spans="1:33" x14ac:dyDescent="0.3">
      <c r="A256" s="77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59"/>
      <c r="Y256" s="59"/>
      <c r="Z256" s="78"/>
      <c r="AA256" s="75"/>
      <c r="AB256" s="59"/>
      <c r="AC256" s="59"/>
      <c r="AD256" s="59"/>
      <c r="AE256" s="59"/>
      <c r="AF256" s="59"/>
      <c r="AG256" s="78"/>
    </row>
    <row r="257" spans="1:33" x14ac:dyDescent="0.3">
      <c r="A257" s="77"/>
      <c r="B257" s="85" t="s">
        <v>140</v>
      </c>
      <c r="C257" s="59"/>
      <c r="D257" s="59"/>
      <c r="E257" s="59"/>
      <c r="F257" s="59"/>
      <c r="G257" s="59"/>
      <c r="H257" s="59"/>
      <c r="I257" s="59"/>
      <c r="J257" s="59"/>
      <c r="K257" s="5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59"/>
      <c r="Y257" s="59"/>
      <c r="Z257" s="78"/>
      <c r="AA257" s="75"/>
      <c r="AB257" s="59"/>
      <c r="AC257" s="59"/>
      <c r="AD257" s="59"/>
      <c r="AE257" s="59"/>
      <c r="AF257" s="59"/>
      <c r="AG257" s="78"/>
    </row>
    <row r="258" spans="1:33" x14ac:dyDescent="0.3">
      <c r="A258" s="51"/>
      <c r="B258" s="49"/>
      <c r="C258" s="54" t="s">
        <v>141</v>
      </c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52"/>
      <c r="AA258" s="53"/>
      <c r="AB258" s="49"/>
      <c r="AC258" s="49"/>
      <c r="AD258" s="49"/>
      <c r="AE258" s="49"/>
      <c r="AF258" s="49"/>
      <c r="AG258" s="52"/>
    </row>
    <row r="259" spans="1:33" x14ac:dyDescent="0.3">
      <c r="A259" s="51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66"/>
      <c r="P259" s="66"/>
      <c r="Q259" s="49"/>
      <c r="R259" s="49"/>
      <c r="S259" s="49"/>
      <c r="T259" s="49"/>
      <c r="U259" s="49"/>
      <c r="V259" s="49"/>
      <c r="W259" s="49"/>
      <c r="X259" s="49"/>
      <c r="Y259" s="49"/>
      <c r="Z259" s="52"/>
      <c r="AA259" s="53"/>
      <c r="AB259" s="49"/>
      <c r="AC259" s="49"/>
      <c r="AD259" s="49"/>
      <c r="AE259" s="49"/>
      <c r="AF259" s="49"/>
      <c r="AG259" s="52"/>
    </row>
    <row r="260" spans="1:33" x14ac:dyDescent="0.3">
      <c r="A260" s="51"/>
      <c r="B260" s="49"/>
      <c r="C260" s="49"/>
      <c r="D260" s="59" t="s">
        <v>142</v>
      </c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59"/>
      <c r="R260" s="59"/>
      <c r="S260" s="59"/>
      <c r="T260" s="59"/>
      <c r="U260" s="59"/>
      <c r="V260" s="59"/>
      <c r="W260" s="49"/>
      <c r="X260" s="49"/>
      <c r="Y260" s="49"/>
      <c r="Z260" s="52"/>
      <c r="AA260" s="53"/>
      <c r="AB260" s="49"/>
      <c r="AC260" s="49"/>
      <c r="AD260" s="49"/>
      <c r="AE260" s="49"/>
      <c r="AF260" s="49"/>
      <c r="AG260" s="52"/>
    </row>
    <row r="261" spans="1:33" x14ac:dyDescent="0.3">
      <c r="A261" s="51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59"/>
      <c r="R261" s="59"/>
      <c r="S261" s="59"/>
      <c r="T261" s="59"/>
      <c r="U261" s="59"/>
      <c r="V261" s="59"/>
      <c r="W261" s="49"/>
      <c r="X261" s="49"/>
      <c r="Y261" s="49"/>
      <c r="Z261" s="52"/>
      <c r="AA261" s="53"/>
      <c r="AB261" s="49"/>
      <c r="AC261" s="49"/>
      <c r="AD261" s="49"/>
      <c r="AE261" s="49"/>
      <c r="AF261" s="49"/>
      <c r="AG261" s="52"/>
    </row>
    <row r="262" spans="1:33" x14ac:dyDescent="0.3">
      <c r="A262" s="51"/>
      <c r="B262" s="54" t="s">
        <v>143</v>
      </c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59"/>
      <c r="R262" s="59"/>
      <c r="S262" s="59"/>
      <c r="T262" s="59"/>
      <c r="U262" s="59"/>
      <c r="V262" s="59"/>
      <c r="W262" s="49"/>
      <c r="X262" s="49"/>
      <c r="Y262" s="49"/>
      <c r="Z262" s="52"/>
      <c r="AA262" s="53"/>
      <c r="AB262" s="49"/>
      <c r="AC262" s="49"/>
      <c r="AD262" s="49"/>
      <c r="AE262" s="49"/>
      <c r="AF262" s="49"/>
      <c r="AG262" s="52"/>
    </row>
    <row r="263" spans="1:33" x14ac:dyDescent="0.3">
      <c r="A263" s="51"/>
      <c r="B263" s="49" t="s">
        <v>144</v>
      </c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52"/>
      <c r="AA263" s="53"/>
      <c r="AB263" s="49"/>
      <c r="AC263" s="49"/>
      <c r="AD263" s="49"/>
      <c r="AE263" s="49"/>
      <c r="AF263" s="49"/>
      <c r="AG263" s="52"/>
    </row>
    <row r="264" spans="1:33" ht="15" thickBot="1" x14ac:dyDescent="0.35">
      <c r="A264" s="51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52"/>
      <c r="AA264" s="53"/>
      <c r="AB264" s="49"/>
      <c r="AC264" s="49"/>
      <c r="AD264" s="49"/>
      <c r="AE264" s="49"/>
      <c r="AF264" s="49"/>
      <c r="AG264" s="52"/>
    </row>
    <row r="265" spans="1:33" ht="17.25" customHeight="1" thickBot="1" x14ac:dyDescent="0.35">
      <c r="A265" s="51"/>
      <c r="B265" s="49"/>
      <c r="C265" s="49" t="s">
        <v>145</v>
      </c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50" t="s">
        <v>22</v>
      </c>
      <c r="Q265" s="126" t="s">
        <v>146</v>
      </c>
      <c r="R265" s="127"/>
      <c r="S265" s="127"/>
      <c r="T265" s="127"/>
      <c r="U265" s="127"/>
      <c r="V265" s="128"/>
      <c r="W265" s="53"/>
      <c r="X265" s="49"/>
      <c r="Y265" s="49"/>
      <c r="Z265" s="50"/>
      <c r="AA265" s="51"/>
      <c r="AB265" s="49"/>
      <c r="AC265" s="49"/>
      <c r="AD265" s="49"/>
      <c r="AE265" s="49"/>
      <c r="AF265" s="49"/>
      <c r="AG265" s="52"/>
    </row>
    <row r="266" spans="1:33" x14ac:dyDescent="0.3">
      <c r="A266" s="51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50"/>
      <c r="AA266" s="51"/>
      <c r="AB266" s="49"/>
      <c r="AC266" s="49"/>
      <c r="AD266" s="49"/>
      <c r="AE266" s="49"/>
      <c r="AF266" s="49"/>
      <c r="AG266" s="52"/>
    </row>
    <row r="267" spans="1:33" x14ac:dyDescent="0.3">
      <c r="A267" s="51"/>
      <c r="B267" s="49"/>
      <c r="C267" s="70" t="s">
        <v>34</v>
      </c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50"/>
      <c r="AA267" s="51"/>
      <c r="AB267" s="49"/>
      <c r="AC267" s="49"/>
      <c r="AD267" s="49"/>
      <c r="AE267" s="49"/>
      <c r="AF267" s="49"/>
      <c r="AG267" s="52"/>
    </row>
    <row r="268" spans="1:33" x14ac:dyDescent="0.3">
      <c r="A268" s="53"/>
      <c r="B268" s="49"/>
      <c r="C268" s="71"/>
      <c r="D268" s="49"/>
      <c r="E268" s="49"/>
      <c r="F268" s="49"/>
      <c r="G268" s="49"/>
      <c r="H268" s="49"/>
      <c r="I268" s="49"/>
      <c r="J268" s="58"/>
      <c r="K268" s="58"/>
      <c r="L268" s="58"/>
      <c r="M268" s="59"/>
      <c r="N268" s="59"/>
      <c r="O268" s="49"/>
      <c r="P268" s="49"/>
      <c r="Q268" s="49"/>
      <c r="R268" s="49"/>
      <c r="S268" s="49"/>
      <c r="T268" s="49"/>
      <c r="U268" s="49"/>
      <c r="V268" s="66"/>
      <c r="W268" s="66"/>
      <c r="X268" s="66"/>
      <c r="Y268" s="49"/>
      <c r="Z268" s="50"/>
      <c r="AA268" s="51"/>
      <c r="AB268" s="49"/>
      <c r="AC268" s="49"/>
      <c r="AD268" s="49"/>
      <c r="AE268" s="49"/>
      <c r="AF268" s="49"/>
      <c r="AG268" s="52"/>
    </row>
    <row r="269" spans="1:33" ht="15.6" x14ac:dyDescent="0.35">
      <c r="A269" s="53"/>
      <c r="B269" s="49"/>
      <c r="C269" s="72" t="s">
        <v>35</v>
      </c>
      <c r="D269" s="49"/>
      <c r="E269" s="49"/>
      <c r="F269" s="49"/>
      <c r="G269" s="49"/>
      <c r="H269" s="49"/>
      <c r="I269" s="49"/>
      <c r="J269" s="58"/>
      <c r="K269" s="58"/>
      <c r="L269" s="68" t="s">
        <v>36</v>
      </c>
      <c r="M269" s="73" t="s">
        <v>22</v>
      </c>
      <c r="N269" s="68" t="s">
        <v>37</v>
      </c>
      <c r="O269" s="59"/>
      <c r="P269" s="49"/>
      <c r="Q269" s="49"/>
      <c r="R269" s="49" t="s">
        <v>38</v>
      </c>
      <c r="S269" s="49"/>
      <c r="T269" s="49"/>
      <c r="U269" s="49"/>
      <c r="V269" s="66"/>
      <c r="W269" s="66"/>
      <c r="X269" s="66"/>
      <c r="Y269" s="49"/>
      <c r="Z269" s="50"/>
      <c r="AA269" s="51"/>
      <c r="AB269" s="49"/>
      <c r="AC269" s="49"/>
      <c r="AD269" s="49"/>
      <c r="AE269" s="49"/>
      <c r="AF269" s="49"/>
      <c r="AG269" s="52"/>
    </row>
    <row r="270" spans="1:33" x14ac:dyDescent="0.3">
      <c r="A270" s="53"/>
      <c r="B270" s="49"/>
      <c r="C270" s="71"/>
      <c r="D270" s="49"/>
      <c r="E270" s="49"/>
      <c r="F270" s="49"/>
      <c r="G270" s="49"/>
      <c r="H270" s="49"/>
      <c r="I270" s="49"/>
      <c r="J270" s="58"/>
      <c r="K270" s="58"/>
      <c r="L270" s="58"/>
      <c r="M270" s="59"/>
      <c r="N270" s="59"/>
      <c r="O270" s="49"/>
      <c r="P270" s="49"/>
      <c r="Q270" s="49"/>
      <c r="R270" s="49"/>
      <c r="S270" s="49"/>
      <c r="T270" s="49"/>
      <c r="U270" s="49"/>
      <c r="V270" s="66"/>
      <c r="W270" s="66"/>
      <c r="X270" s="66"/>
      <c r="Y270" s="49"/>
      <c r="Z270" s="50"/>
      <c r="AA270" s="51"/>
      <c r="AB270" s="49"/>
      <c r="AC270" s="49"/>
      <c r="AD270" s="49"/>
      <c r="AE270" s="49"/>
      <c r="AF270" s="49"/>
      <c r="AG270" s="52"/>
    </row>
    <row r="271" spans="1:33" x14ac:dyDescent="0.3">
      <c r="A271" s="53"/>
      <c r="B271" s="49"/>
      <c r="C271" s="68"/>
      <c r="D271" s="72" t="s">
        <v>39</v>
      </c>
      <c r="E271" s="49"/>
      <c r="F271" s="49"/>
      <c r="G271" s="49"/>
      <c r="H271" s="49"/>
      <c r="I271" s="49"/>
      <c r="J271" s="58"/>
      <c r="K271" s="58"/>
      <c r="L271" s="58"/>
      <c r="M271" s="59"/>
      <c r="N271" s="59"/>
      <c r="O271" s="49"/>
      <c r="P271" s="49"/>
      <c r="Q271" s="49"/>
      <c r="R271" s="49"/>
      <c r="S271" s="49"/>
      <c r="T271" s="49"/>
      <c r="U271" s="49"/>
      <c r="V271" s="66"/>
      <c r="W271" s="66"/>
      <c r="X271" s="66"/>
      <c r="Y271" s="49"/>
      <c r="Z271" s="50"/>
      <c r="AA271" s="51"/>
      <c r="AB271" s="49"/>
      <c r="AC271" s="49"/>
      <c r="AD271" s="49"/>
      <c r="AE271" s="49"/>
      <c r="AF271" s="49"/>
      <c r="AG271" s="52"/>
    </row>
    <row r="272" spans="1:33" x14ac:dyDescent="0.3">
      <c r="A272" s="53"/>
      <c r="B272" s="49"/>
      <c r="C272" s="72"/>
      <c r="D272" s="49"/>
      <c r="E272" s="49"/>
      <c r="F272" s="49"/>
      <c r="G272" s="49" t="s">
        <v>40</v>
      </c>
      <c r="H272" s="49"/>
      <c r="I272" s="57" t="s">
        <v>22</v>
      </c>
      <c r="J272" s="58" t="s">
        <v>41</v>
      </c>
      <c r="K272" s="58"/>
      <c r="L272" s="58"/>
      <c r="M272" s="59"/>
      <c r="N272" s="59"/>
      <c r="O272" s="49"/>
      <c r="P272" s="49"/>
      <c r="Q272" s="49"/>
      <c r="R272" s="49"/>
      <c r="S272" s="49"/>
      <c r="T272" s="49"/>
      <c r="U272" s="49"/>
      <c r="V272" s="66"/>
      <c r="W272" s="66"/>
      <c r="X272" s="66"/>
      <c r="Y272" s="49"/>
      <c r="Z272" s="50"/>
      <c r="AA272" s="51"/>
      <c r="AB272" s="49"/>
      <c r="AC272" s="49"/>
      <c r="AD272" s="49"/>
      <c r="AE272" s="49"/>
      <c r="AF272" s="49"/>
      <c r="AG272" s="52"/>
    </row>
    <row r="273" spans="1:33" x14ac:dyDescent="0.3">
      <c r="A273" s="53"/>
      <c r="B273" s="49"/>
      <c r="C273" s="72"/>
      <c r="D273" s="49"/>
      <c r="E273" s="49"/>
      <c r="F273" s="49"/>
      <c r="G273" s="49" t="s">
        <v>42</v>
      </c>
      <c r="H273" s="49"/>
      <c r="I273" s="57" t="s">
        <v>22</v>
      </c>
      <c r="J273" s="58" t="s">
        <v>43</v>
      </c>
      <c r="K273" s="58"/>
      <c r="L273" s="58"/>
      <c r="M273" s="59"/>
      <c r="N273" s="59"/>
      <c r="O273" s="49"/>
      <c r="P273" s="49"/>
      <c r="Q273" s="49"/>
      <c r="R273" s="49"/>
      <c r="S273" s="49"/>
      <c r="T273" s="49"/>
      <c r="U273" s="49"/>
      <c r="V273" s="66"/>
      <c r="W273" s="66"/>
      <c r="X273" s="66"/>
      <c r="Y273" s="49"/>
      <c r="Z273" s="50"/>
      <c r="AA273" s="51"/>
      <c r="AB273" s="49"/>
      <c r="AC273" s="49"/>
      <c r="AD273" s="49"/>
      <c r="AE273" s="49"/>
      <c r="AF273" s="49"/>
      <c r="AG273" s="52"/>
    </row>
    <row r="274" spans="1:33" x14ac:dyDescent="0.3">
      <c r="A274" s="53"/>
      <c r="B274" s="49"/>
      <c r="C274" s="72"/>
      <c r="D274" s="49"/>
      <c r="E274" s="49"/>
      <c r="F274" s="49"/>
      <c r="G274" s="49" t="s">
        <v>44</v>
      </c>
      <c r="H274" s="49"/>
      <c r="I274" s="57" t="s">
        <v>22</v>
      </c>
      <c r="J274" s="58" t="s">
        <v>45</v>
      </c>
      <c r="K274" s="58"/>
      <c r="L274" s="58"/>
      <c r="M274" s="59"/>
      <c r="N274" s="59"/>
      <c r="O274" s="49"/>
      <c r="P274" s="49"/>
      <c r="Q274" s="49"/>
      <c r="R274" s="49"/>
      <c r="S274" s="49"/>
      <c r="T274" s="49"/>
      <c r="U274" s="49"/>
      <c r="V274" s="66"/>
      <c r="W274" s="66"/>
      <c r="X274" s="66"/>
      <c r="Y274" s="49"/>
      <c r="Z274" s="50"/>
      <c r="AA274" s="51"/>
      <c r="AB274" s="49"/>
      <c r="AC274" s="49"/>
      <c r="AD274" s="49"/>
      <c r="AE274" s="49"/>
      <c r="AF274" s="49"/>
      <c r="AG274" s="52"/>
    </row>
    <row r="275" spans="1:33" x14ac:dyDescent="0.3">
      <c r="A275" s="53"/>
      <c r="B275" s="49"/>
      <c r="C275" s="72"/>
      <c r="D275" s="49"/>
      <c r="E275" s="49"/>
      <c r="F275" s="49"/>
      <c r="G275" s="49" t="s">
        <v>46</v>
      </c>
      <c r="H275" s="49"/>
      <c r="I275" s="57" t="s">
        <v>22</v>
      </c>
      <c r="J275" s="58" t="s">
        <v>47</v>
      </c>
      <c r="K275" s="58"/>
      <c r="L275" s="58"/>
      <c r="M275" s="59"/>
      <c r="N275" s="59"/>
      <c r="O275" s="49"/>
      <c r="P275" s="49"/>
      <c r="Q275" s="49"/>
      <c r="R275" s="49"/>
      <c r="S275" s="49"/>
      <c r="T275" s="49"/>
      <c r="U275" s="49"/>
      <c r="V275" s="66"/>
      <c r="W275" s="66"/>
      <c r="X275" s="66"/>
      <c r="Y275" s="49"/>
      <c r="Z275" s="50"/>
      <c r="AA275" s="51"/>
      <c r="AB275" s="49"/>
      <c r="AC275" s="49"/>
      <c r="AD275" s="49"/>
      <c r="AE275" s="49"/>
      <c r="AF275" s="49"/>
      <c r="AG275" s="52"/>
    </row>
    <row r="276" spans="1:33" x14ac:dyDescent="0.3">
      <c r="A276" s="53"/>
      <c r="B276" s="49"/>
      <c r="C276" s="72"/>
      <c r="D276" s="49"/>
      <c r="E276" s="49"/>
      <c r="F276" s="49"/>
      <c r="G276" s="49"/>
      <c r="H276" s="49"/>
      <c r="I276" s="57" t="s">
        <v>22</v>
      </c>
      <c r="J276" s="58" t="s">
        <v>48</v>
      </c>
      <c r="K276" s="58"/>
      <c r="L276" s="58"/>
      <c r="M276" s="59"/>
      <c r="N276" s="59"/>
      <c r="O276" s="49"/>
      <c r="P276" s="49"/>
      <c r="Q276" s="49"/>
      <c r="R276" s="49"/>
      <c r="S276" s="49"/>
      <c r="T276" s="49"/>
      <c r="U276" s="49"/>
      <c r="V276" s="66"/>
      <c r="W276" s="66"/>
      <c r="X276" s="66"/>
      <c r="Y276" s="49"/>
      <c r="Z276" s="50"/>
      <c r="AA276" s="51"/>
      <c r="AB276" s="49"/>
      <c r="AC276" s="49"/>
      <c r="AD276" s="49"/>
      <c r="AE276" s="49"/>
      <c r="AF276" s="49"/>
      <c r="AG276" s="52"/>
    </row>
    <row r="277" spans="1:33" x14ac:dyDescent="0.3">
      <c r="A277" s="53"/>
      <c r="B277" s="49"/>
      <c r="C277" s="72"/>
      <c r="D277" s="49"/>
      <c r="E277" s="49"/>
      <c r="F277" s="49"/>
      <c r="G277" s="49" t="s">
        <v>49</v>
      </c>
      <c r="H277" s="49"/>
      <c r="I277" s="57" t="s">
        <v>22</v>
      </c>
      <c r="J277" s="58" t="s">
        <v>50</v>
      </c>
      <c r="K277" s="58"/>
      <c r="L277" s="58"/>
      <c r="M277" s="58"/>
      <c r="N277" s="59"/>
      <c r="O277" s="49"/>
      <c r="P277" s="59"/>
      <c r="Q277" s="59"/>
      <c r="R277" s="49"/>
      <c r="S277" s="50"/>
      <c r="T277" s="49"/>
      <c r="U277" s="49"/>
      <c r="V277" s="66"/>
      <c r="W277" s="66"/>
      <c r="X277" s="66"/>
      <c r="Y277" s="53"/>
      <c r="Z277" s="50"/>
      <c r="AA277" s="51"/>
      <c r="AB277" s="50"/>
      <c r="AC277" s="53"/>
      <c r="AD277" s="49"/>
      <c r="AE277" s="49"/>
      <c r="AF277" s="49"/>
      <c r="AG277" s="52"/>
    </row>
    <row r="278" spans="1:33" x14ac:dyDescent="0.3">
      <c r="A278" s="51"/>
      <c r="B278" s="49"/>
      <c r="C278" s="49" t="s">
        <v>51</v>
      </c>
      <c r="D278" s="49"/>
      <c r="E278" s="49"/>
      <c r="F278" s="49"/>
      <c r="G278" s="49"/>
      <c r="H278" s="49"/>
      <c r="I278" s="49"/>
      <c r="J278" s="49"/>
      <c r="K278" s="57"/>
      <c r="L278" s="66"/>
      <c r="M278" s="66"/>
      <c r="N278" s="49"/>
      <c r="O278" s="49"/>
      <c r="P278" s="59"/>
      <c r="Q278" s="59"/>
      <c r="R278" s="49"/>
      <c r="S278" s="50"/>
      <c r="T278" s="60"/>
      <c r="U278" s="60"/>
      <c r="V278" s="57"/>
      <c r="W278" s="61"/>
      <c r="X278" s="61"/>
      <c r="Y278" s="53"/>
      <c r="Z278" s="50"/>
      <c r="AA278" s="51"/>
      <c r="AB278" s="62"/>
      <c r="AC278" s="63"/>
      <c r="AD278" s="49"/>
      <c r="AE278" s="49"/>
      <c r="AF278" s="49"/>
      <c r="AG278" s="52"/>
    </row>
    <row r="279" spans="1:33" ht="15" thickBot="1" x14ac:dyDescent="0.35">
      <c r="A279" s="51"/>
      <c r="B279" s="49"/>
      <c r="C279" s="49"/>
      <c r="D279" s="49"/>
      <c r="E279" s="49"/>
      <c r="F279" s="49"/>
      <c r="G279" s="49"/>
      <c r="H279" s="49"/>
      <c r="I279" s="49"/>
      <c r="J279" s="66"/>
      <c r="K279" s="74"/>
      <c r="L279" s="66"/>
      <c r="M279" s="66"/>
      <c r="N279" s="49"/>
      <c r="O279" s="49"/>
      <c r="P279" s="59"/>
      <c r="Q279" s="59"/>
      <c r="R279" s="49"/>
      <c r="S279" s="50"/>
      <c r="T279" s="60"/>
      <c r="U279" s="60"/>
      <c r="V279" s="57"/>
      <c r="W279" s="61"/>
      <c r="X279" s="61"/>
      <c r="Y279" s="53"/>
      <c r="Z279" s="50"/>
      <c r="AA279" s="51"/>
      <c r="AB279" s="62"/>
      <c r="AC279" s="63"/>
      <c r="AD279" s="49"/>
      <c r="AE279" s="49"/>
      <c r="AF279" s="49"/>
      <c r="AG279" s="52"/>
    </row>
    <row r="280" spans="1:33" ht="16.2" thickBot="1" x14ac:dyDescent="0.4">
      <c r="A280" s="51"/>
      <c r="B280" s="49"/>
      <c r="C280" s="49"/>
      <c r="D280" s="49"/>
      <c r="E280" s="49"/>
      <c r="F280" s="49"/>
      <c r="G280" s="49" t="s">
        <v>54</v>
      </c>
      <c r="H280" s="49"/>
      <c r="I280" s="64" t="s">
        <v>22</v>
      </c>
      <c r="J280" s="119">
        <v>20</v>
      </c>
      <c r="K280" s="120"/>
      <c r="L280" s="53"/>
      <c r="M280" s="66"/>
      <c r="N280" s="49"/>
      <c r="O280" s="49"/>
      <c r="P280" s="59"/>
      <c r="Q280" s="59"/>
      <c r="R280" s="49"/>
      <c r="S280" s="50"/>
      <c r="T280" s="60"/>
      <c r="U280" s="60"/>
      <c r="V280" s="57"/>
      <c r="W280" s="61"/>
      <c r="X280" s="61"/>
      <c r="Y280" s="53"/>
      <c r="Z280" s="50"/>
      <c r="AA280" s="51"/>
      <c r="AB280" s="62"/>
      <c r="AC280" s="63"/>
      <c r="AD280" s="49"/>
      <c r="AE280" s="49"/>
      <c r="AF280" s="49"/>
      <c r="AG280" s="52"/>
    </row>
    <row r="281" spans="1:33" ht="15" thickBot="1" x14ac:dyDescent="0.35">
      <c r="A281" s="51"/>
      <c r="B281" s="49"/>
      <c r="C281" s="49"/>
      <c r="D281" s="49"/>
      <c r="E281" s="49"/>
      <c r="F281" s="49"/>
      <c r="G281" s="49"/>
      <c r="H281" s="49"/>
      <c r="I281" s="57"/>
      <c r="J281" s="58"/>
      <c r="K281" s="58"/>
      <c r="L281" s="66"/>
      <c r="M281" s="66"/>
      <c r="N281" s="49"/>
      <c r="O281" s="49"/>
      <c r="P281" s="59"/>
      <c r="Q281" s="59"/>
      <c r="R281" s="49"/>
      <c r="S281" s="50"/>
      <c r="T281" s="60"/>
      <c r="U281" s="60"/>
      <c r="V281" s="57"/>
      <c r="W281" s="61"/>
      <c r="X281" s="61"/>
      <c r="Y281" s="53"/>
      <c r="Z281" s="50"/>
      <c r="AA281" s="51"/>
      <c r="AB281" s="62"/>
      <c r="AC281" s="63"/>
      <c r="AD281" s="49"/>
      <c r="AE281" s="49"/>
      <c r="AF281" s="49"/>
      <c r="AG281" s="52"/>
    </row>
    <row r="282" spans="1:33" ht="16.2" thickBot="1" x14ac:dyDescent="0.4">
      <c r="A282" s="51"/>
      <c r="B282" s="49"/>
      <c r="C282" s="49"/>
      <c r="D282" s="49"/>
      <c r="E282" s="49"/>
      <c r="F282" s="49"/>
      <c r="G282" s="49" t="s">
        <v>55</v>
      </c>
      <c r="H282" s="49"/>
      <c r="I282" s="64" t="s">
        <v>22</v>
      </c>
      <c r="J282" s="119">
        <v>3</v>
      </c>
      <c r="K282" s="120"/>
      <c r="L282" s="69"/>
      <c r="M282" s="66"/>
      <c r="N282" s="49"/>
      <c r="O282" s="49"/>
      <c r="P282" s="59"/>
      <c r="Q282" s="59"/>
      <c r="R282" s="49"/>
      <c r="S282" s="50"/>
      <c r="T282" s="60"/>
      <c r="U282" s="60"/>
      <c r="V282" s="57"/>
      <c r="W282" s="61"/>
      <c r="X282" s="61"/>
      <c r="Y282" s="53"/>
      <c r="Z282" s="50"/>
      <c r="AA282" s="51"/>
      <c r="AB282" s="62"/>
      <c r="AC282" s="63"/>
      <c r="AD282" s="49"/>
      <c r="AE282" s="49"/>
      <c r="AF282" s="49"/>
      <c r="AG282" s="52"/>
    </row>
    <row r="283" spans="1:33" x14ac:dyDescent="0.3">
      <c r="A283" s="51"/>
      <c r="B283" s="49"/>
      <c r="C283" s="49"/>
      <c r="D283" s="49"/>
      <c r="E283" s="49"/>
      <c r="F283" s="49"/>
      <c r="G283" s="49"/>
      <c r="H283" s="49"/>
      <c r="I283" s="49"/>
      <c r="J283" s="59"/>
      <c r="K283" s="65"/>
      <c r="L283" s="66"/>
      <c r="M283" s="66"/>
      <c r="N283" s="49"/>
      <c r="O283" s="49"/>
      <c r="P283" s="59"/>
      <c r="Q283" s="59"/>
      <c r="R283" s="49"/>
      <c r="S283" s="50"/>
      <c r="T283" s="60"/>
      <c r="U283" s="60"/>
      <c r="V283" s="57"/>
      <c r="W283" s="61"/>
      <c r="X283" s="61"/>
      <c r="Y283" s="53"/>
      <c r="Z283" s="50"/>
      <c r="AA283" s="51"/>
      <c r="AB283" s="62"/>
      <c r="AC283" s="63"/>
      <c r="AD283" s="49"/>
      <c r="AE283" s="49"/>
      <c r="AF283" s="49"/>
      <c r="AG283" s="52"/>
    </row>
    <row r="284" spans="1:33" ht="15.6" x14ac:dyDescent="0.35">
      <c r="A284" s="51"/>
      <c r="B284" s="49"/>
      <c r="C284" s="49"/>
      <c r="D284" s="49"/>
      <c r="E284" s="49"/>
      <c r="F284" s="49"/>
      <c r="G284" s="49" t="s">
        <v>56</v>
      </c>
      <c r="H284" s="49"/>
      <c r="I284" s="57" t="s">
        <v>22</v>
      </c>
      <c r="J284" s="49" t="s">
        <v>57</v>
      </c>
      <c r="K284" s="57"/>
      <c r="L284" s="66"/>
      <c r="M284" s="66"/>
      <c r="N284" s="49"/>
      <c r="O284" s="49"/>
      <c r="P284" s="59"/>
      <c r="Q284" s="59"/>
      <c r="R284" s="49"/>
      <c r="S284" s="50"/>
      <c r="T284" s="60"/>
      <c r="U284" s="60"/>
      <c r="V284" s="57"/>
      <c r="W284" s="61"/>
      <c r="X284" s="61"/>
      <c r="Y284" s="53"/>
      <c r="Z284" s="50"/>
      <c r="AA284" s="51"/>
      <c r="AB284" s="62"/>
      <c r="AC284" s="63"/>
      <c r="AD284" s="49"/>
      <c r="AE284" s="49"/>
      <c r="AF284" s="49"/>
      <c r="AG284" s="52"/>
    </row>
    <row r="285" spans="1:33" x14ac:dyDescent="0.3">
      <c r="A285" s="51"/>
      <c r="B285" s="49"/>
      <c r="C285" s="49"/>
      <c r="D285" s="49" t="s">
        <v>58</v>
      </c>
      <c r="E285" s="49"/>
      <c r="F285" s="49"/>
      <c r="G285" s="49"/>
      <c r="H285" s="49"/>
      <c r="I285" s="49"/>
      <c r="J285" s="49"/>
      <c r="K285" s="57"/>
      <c r="L285" s="66"/>
      <c r="M285" s="66"/>
      <c r="N285" s="49"/>
      <c r="O285" s="49"/>
      <c r="P285" s="59"/>
      <c r="Q285" s="59"/>
      <c r="R285" s="49"/>
      <c r="S285" s="50"/>
      <c r="T285" s="60"/>
      <c r="U285" s="60"/>
      <c r="V285" s="57"/>
      <c r="W285" s="61"/>
      <c r="X285" s="61"/>
      <c r="Y285" s="53"/>
      <c r="Z285" s="50"/>
      <c r="AA285" s="51"/>
      <c r="AB285" s="62"/>
      <c r="AC285" s="63"/>
      <c r="AD285" s="49"/>
      <c r="AE285" s="49"/>
      <c r="AF285" s="49"/>
      <c r="AG285" s="52"/>
    </row>
    <row r="286" spans="1:33" ht="15.6" x14ac:dyDescent="0.35">
      <c r="A286" s="51"/>
      <c r="B286" s="49"/>
      <c r="C286" s="49"/>
      <c r="D286" s="49" t="s">
        <v>147</v>
      </c>
      <c r="E286" s="49"/>
      <c r="F286" s="49"/>
      <c r="G286" s="49"/>
      <c r="H286" s="49"/>
      <c r="I286" s="49"/>
      <c r="J286" s="49"/>
      <c r="K286" s="57"/>
      <c r="L286" s="66"/>
      <c r="M286" s="66"/>
      <c r="N286" s="49"/>
      <c r="O286" s="49"/>
      <c r="P286" s="59"/>
      <c r="Q286" s="59"/>
      <c r="R286" s="49"/>
      <c r="S286" s="50"/>
      <c r="T286" s="60"/>
      <c r="U286" s="60"/>
      <c r="V286" s="57"/>
      <c r="W286" s="61"/>
      <c r="X286" s="61"/>
      <c r="Y286" s="53"/>
      <c r="Z286" s="50"/>
      <c r="AA286" s="51"/>
      <c r="AB286" s="62"/>
      <c r="AC286" s="63"/>
      <c r="AD286" s="49"/>
      <c r="AE286" s="49"/>
      <c r="AF286" s="49"/>
      <c r="AG286" s="52"/>
    </row>
    <row r="287" spans="1:33" ht="15.6" x14ac:dyDescent="0.35">
      <c r="A287" s="51"/>
      <c r="B287" s="49"/>
      <c r="C287" s="49" t="s">
        <v>67</v>
      </c>
      <c r="D287" s="49"/>
      <c r="E287" s="49"/>
      <c r="F287" s="49"/>
      <c r="G287" s="49"/>
      <c r="H287" s="49"/>
      <c r="I287" s="49"/>
      <c r="J287" s="49"/>
      <c r="K287" s="57" t="s">
        <v>22</v>
      </c>
      <c r="L287" s="66">
        <f>J280</f>
        <v>20</v>
      </c>
      <c r="M287" s="67" t="s">
        <v>27</v>
      </c>
      <c r="N287" s="49">
        <f>J282</f>
        <v>3</v>
      </c>
      <c r="O287" s="49"/>
      <c r="P287" s="59"/>
      <c r="Q287" s="59"/>
      <c r="R287" s="49"/>
      <c r="S287" s="50"/>
      <c r="T287" s="60"/>
      <c r="U287" s="60"/>
      <c r="V287" s="57"/>
      <c r="W287" s="61"/>
      <c r="X287" s="61"/>
      <c r="Y287" s="53"/>
      <c r="Z287" s="50"/>
      <c r="AA287" s="51"/>
      <c r="AB287" s="62"/>
      <c r="AC287" s="63"/>
      <c r="AD287" s="49"/>
      <c r="AE287" s="49"/>
      <c r="AF287" s="49"/>
      <c r="AG287" s="52"/>
    </row>
    <row r="288" spans="1:33" x14ac:dyDescent="0.3">
      <c r="A288" s="51"/>
      <c r="B288" s="49"/>
      <c r="C288" s="49"/>
      <c r="D288" s="49"/>
      <c r="E288" s="49"/>
      <c r="F288" s="49"/>
      <c r="G288" s="49"/>
      <c r="H288" s="49"/>
      <c r="I288" s="49"/>
      <c r="J288" s="49"/>
      <c r="K288" s="57" t="s">
        <v>22</v>
      </c>
      <c r="L288" s="66">
        <f>J280*(J282)</f>
        <v>60</v>
      </c>
      <c r="M288" s="66"/>
      <c r="N288" s="49"/>
      <c r="O288" s="49"/>
      <c r="P288" s="59"/>
      <c r="Q288" s="59"/>
      <c r="R288" s="49"/>
      <c r="S288" s="50"/>
      <c r="T288" s="60"/>
      <c r="U288" s="60"/>
      <c r="V288" s="57"/>
      <c r="W288" s="61"/>
      <c r="X288" s="61"/>
      <c r="Y288" s="53"/>
      <c r="Z288" s="50"/>
      <c r="AA288" s="51"/>
      <c r="AB288" s="62"/>
      <c r="AC288" s="63"/>
      <c r="AD288" s="49"/>
      <c r="AE288" s="49"/>
      <c r="AF288" s="49"/>
      <c r="AG288" s="52"/>
    </row>
    <row r="289" spans="1:33" x14ac:dyDescent="0.3">
      <c r="A289" s="51"/>
      <c r="B289" s="49"/>
      <c r="C289" s="49" t="s">
        <v>68</v>
      </c>
      <c r="D289" s="49"/>
      <c r="E289" s="49"/>
      <c r="F289" s="49"/>
      <c r="G289" s="49"/>
      <c r="H289" s="49"/>
      <c r="I289" s="49"/>
      <c r="J289" s="49"/>
      <c r="K289" s="64"/>
      <c r="L289" s="68"/>
      <c r="M289" s="68"/>
      <c r="N289" s="53"/>
      <c r="O289" s="49"/>
      <c r="P289" s="59"/>
      <c r="Q289" s="59"/>
      <c r="R289" s="49"/>
      <c r="S289" s="50"/>
      <c r="T289" s="60"/>
      <c r="U289" s="60"/>
      <c r="V289" s="57"/>
      <c r="W289" s="61"/>
      <c r="X289" s="61"/>
      <c r="Y289" s="53"/>
      <c r="Z289" s="50"/>
      <c r="AA289" s="51"/>
      <c r="AB289" s="62"/>
      <c r="AC289" s="63"/>
      <c r="AD289" s="49"/>
      <c r="AE289" s="49"/>
      <c r="AF289" s="49"/>
      <c r="AG289" s="52"/>
    </row>
    <row r="290" spans="1:33" x14ac:dyDescent="0.3">
      <c r="A290" s="51"/>
      <c r="B290" s="49"/>
      <c r="C290" s="49"/>
      <c r="D290" s="49"/>
      <c r="E290" s="49"/>
      <c r="F290" s="49"/>
      <c r="G290" s="49"/>
      <c r="H290" s="49"/>
      <c r="I290" s="49"/>
      <c r="J290" s="49"/>
      <c r="K290" s="64" t="s">
        <v>22</v>
      </c>
      <c r="L290" s="68">
        <f>L288*1.2</f>
        <v>72</v>
      </c>
      <c r="M290" s="68"/>
      <c r="N290" s="53"/>
      <c r="O290" s="49"/>
      <c r="P290" s="59"/>
      <c r="Q290" s="59"/>
      <c r="R290" s="49"/>
      <c r="S290" s="50"/>
      <c r="T290" s="60"/>
      <c r="U290" s="60"/>
      <c r="V290" s="57"/>
      <c r="W290" s="61"/>
      <c r="X290" s="61"/>
      <c r="Y290" s="53"/>
      <c r="Z290" s="50"/>
      <c r="AA290" s="51"/>
      <c r="AB290" s="62"/>
      <c r="AC290" s="63"/>
      <c r="AD290" s="49"/>
      <c r="AE290" s="49"/>
      <c r="AF290" s="49"/>
      <c r="AG290" s="52"/>
    </row>
    <row r="291" spans="1:33" ht="15" thickBot="1" x14ac:dyDescent="0.35">
      <c r="A291" s="51"/>
      <c r="B291" s="49"/>
      <c r="C291" s="49"/>
      <c r="D291" s="49"/>
      <c r="E291" s="49"/>
      <c r="F291" s="49"/>
      <c r="G291" s="49"/>
      <c r="H291" s="49"/>
      <c r="I291" s="49"/>
      <c r="J291" s="49"/>
      <c r="K291" s="57"/>
      <c r="L291" s="66"/>
      <c r="M291" s="66"/>
      <c r="N291" s="49"/>
      <c r="O291" s="49"/>
      <c r="P291" s="59"/>
      <c r="Q291" s="59"/>
      <c r="R291" s="49"/>
      <c r="S291" s="50"/>
      <c r="T291" s="60"/>
      <c r="U291" s="60"/>
      <c r="V291" s="57"/>
      <c r="W291" s="61"/>
      <c r="X291" s="61"/>
      <c r="Y291" s="53"/>
      <c r="Z291" s="50"/>
      <c r="AA291" s="51"/>
      <c r="AB291" s="62"/>
      <c r="AC291" s="63"/>
      <c r="AD291" s="49"/>
      <c r="AE291" s="49"/>
      <c r="AF291" s="49"/>
      <c r="AG291" s="52"/>
    </row>
    <row r="292" spans="1:33" ht="15" thickBot="1" x14ac:dyDescent="0.35">
      <c r="A292" s="51"/>
      <c r="B292" s="49"/>
      <c r="C292" s="49"/>
      <c r="D292" s="49"/>
      <c r="E292" s="49"/>
      <c r="F292" s="49"/>
      <c r="G292" s="49"/>
      <c r="H292" s="49"/>
      <c r="I292" s="49" t="s">
        <v>69</v>
      </c>
      <c r="J292" s="49"/>
      <c r="K292" s="64" t="s">
        <v>22</v>
      </c>
      <c r="L292" s="119">
        <v>100</v>
      </c>
      <c r="M292" s="120"/>
      <c r="N292" s="53" t="s">
        <v>70</v>
      </c>
      <c r="O292" s="49"/>
      <c r="P292" s="59"/>
      <c r="Q292" s="59"/>
      <c r="R292" s="49"/>
      <c r="S292" s="50"/>
      <c r="T292" s="60"/>
      <c r="U292" s="60"/>
      <c r="V292" s="57"/>
      <c r="W292" s="61"/>
      <c r="X292" s="61"/>
      <c r="Y292" s="53"/>
      <c r="Z292" s="50"/>
      <c r="AA292" s="51"/>
      <c r="AB292" s="62"/>
      <c r="AC292" s="63"/>
      <c r="AD292" s="49"/>
      <c r="AE292" s="49"/>
      <c r="AF292" s="49"/>
      <c r="AG292" s="52"/>
    </row>
    <row r="293" spans="1:33" ht="15" thickBot="1" x14ac:dyDescent="0.35">
      <c r="A293" s="51"/>
      <c r="B293" s="49"/>
      <c r="C293" s="49"/>
      <c r="D293" s="49"/>
      <c r="E293" s="49"/>
      <c r="F293" s="49"/>
      <c r="G293" s="49"/>
      <c r="H293" s="49"/>
      <c r="I293" s="49"/>
      <c r="J293" s="49"/>
      <c r="K293" s="57"/>
      <c r="L293" s="58"/>
      <c r="M293" s="58"/>
      <c r="N293" s="49"/>
      <c r="O293" s="49"/>
      <c r="P293" s="59"/>
      <c r="Q293" s="59"/>
      <c r="R293" s="49"/>
      <c r="S293" s="50"/>
      <c r="T293" s="60"/>
      <c r="U293" s="60"/>
      <c r="V293" s="57"/>
      <c r="W293" s="61"/>
      <c r="X293" s="61"/>
      <c r="Y293" s="53"/>
      <c r="Z293" s="50"/>
      <c r="AA293" s="51"/>
      <c r="AB293" s="62"/>
      <c r="AC293" s="63"/>
      <c r="AD293" s="49"/>
      <c r="AE293" s="49"/>
      <c r="AF293" s="49"/>
      <c r="AG293" s="52"/>
    </row>
    <row r="294" spans="1:33" ht="15" thickBot="1" x14ac:dyDescent="0.35">
      <c r="A294" s="51"/>
      <c r="B294" s="49"/>
      <c r="C294" s="49"/>
      <c r="D294" s="49"/>
      <c r="E294" s="49"/>
      <c r="F294" s="49"/>
      <c r="G294" s="49"/>
      <c r="H294" s="50"/>
      <c r="I294" s="8" t="s">
        <v>71</v>
      </c>
      <c r="J294" s="9"/>
      <c r="K294" s="9"/>
      <c r="L294" s="9"/>
      <c r="M294" s="10" t="s">
        <v>72</v>
      </c>
      <c r="N294" s="53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50"/>
      <c r="AA294" s="51"/>
      <c r="AB294" s="49"/>
      <c r="AC294" s="49"/>
      <c r="AD294" s="49"/>
      <c r="AE294" s="49"/>
      <c r="AF294" s="49"/>
      <c r="AG294" s="52"/>
    </row>
    <row r="295" spans="1:33" x14ac:dyDescent="0.3">
      <c r="A295" s="51"/>
      <c r="B295" s="49"/>
      <c r="C295" s="49" t="s">
        <v>73</v>
      </c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50"/>
      <c r="AA295" s="51"/>
      <c r="AB295" s="49"/>
      <c r="AC295" s="49"/>
      <c r="AD295" s="49"/>
      <c r="AE295" s="49"/>
      <c r="AF295" s="49"/>
      <c r="AG295" s="52"/>
    </row>
    <row r="296" spans="1:33" ht="15" thickBot="1" x14ac:dyDescent="0.35">
      <c r="A296" s="51"/>
      <c r="B296" s="44"/>
      <c r="C296" s="44"/>
      <c r="D296" s="44"/>
      <c r="E296" s="44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44"/>
      <c r="X296" s="44"/>
      <c r="Y296" s="44"/>
      <c r="Z296" s="45"/>
      <c r="AA296" s="46"/>
      <c r="AB296" s="44"/>
      <c r="AC296" s="44"/>
      <c r="AD296" s="44"/>
      <c r="AE296" s="44"/>
      <c r="AF296" s="44"/>
      <c r="AG296" s="47"/>
    </row>
    <row r="297" spans="1:33" x14ac:dyDescent="0.3">
      <c r="A297" s="51"/>
      <c r="B297" s="44"/>
      <c r="C297" s="44"/>
      <c r="D297" s="44"/>
      <c r="E297" s="45"/>
      <c r="F297" s="11" t="s">
        <v>74</v>
      </c>
      <c r="G297" s="12"/>
      <c r="H297" s="12"/>
      <c r="I297" s="12"/>
      <c r="J297" s="12"/>
      <c r="K297" s="12"/>
      <c r="L297" s="12"/>
      <c r="M297" s="12"/>
      <c r="N297" s="13"/>
      <c r="O297" s="121" t="str">
        <f>Q265</f>
        <v>800 /1 Amp</v>
      </c>
      <c r="P297" s="122"/>
      <c r="Q297" s="122"/>
      <c r="R297" s="122"/>
      <c r="S297" s="122"/>
      <c r="T297" s="123"/>
      <c r="U297" s="14"/>
      <c r="V297" s="15"/>
      <c r="W297" s="43"/>
      <c r="X297" s="44"/>
      <c r="Y297" s="44"/>
      <c r="Z297" s="45"/>
      <c r="AA297" s="46"/>
      <c r="AB297" s="44"/>
      <c r="AC297" s="44"/>
      <c r="AD297" s="44"/>
      <c r="AE297" s="44"/>
      <c r="AF297" s="44"/>
      <c r="AG297" s="47"/>
    </row>
    <row r="298" spans="1:33" x14ac:dyDescent="0.3">
      <c r="A298" s="51"/>
      <c r="B298" s="49"/>
      <c r="C298" s="54"/>
      <c r="D298" s="44"/>
      <c r="E298" s="55"/>
      <c r="F298" s="16" t="s">
        <v>75</v>
      </c>
      <c r="G298" s="17"/>
      <c r="H298" s="17"/>
      <c r="I298" s="17"/>
      <c r="J298" s="17"/>
      <c r="K298" s="17"/>
      <c r="L298" s="17"/>
      <c r="M298" s="17"/>
      <c r="N298" s="17" t="s">
        <v>76</v>
      </c>
      <c r="O298" s="124">
        <f>L292</f>
        <v>100</v>
      </c>
      <c r="P298" s="125"/>
      <c r="Q298" s="18" t="s">
        <v>70</v>
      </c>
      <c r="R298" s="19"/>
      <c r="S298" s="18"/>
      <c r="T298" s="18"/>
      <c r="U298" s="18"/>
      <c r="V298" s="20"/>
      <c r="W298" s="48"/>
      <c r="X298" s="49"/>
      <c r="Y298" s="49"/>
      <c r="Z298" s="50"/>
      <c r="AA298" s="51"/>
      <c r="AB298" s="49"/>
      <c r="AC298" s="49"/>
      <c r="AD298" s="49"/>
      <c r="AE298" s="49"/>
      <c r="AF298" s="49"/>
      <c r="AG298" s="52"/>
    </row>
    <row r="299" spans="1:33" x14ac:dyDescent="0.3">
      <c r="A299" s="51"/>
      <c r="B299" s="49"/>
      <c r="C299" s="54"/>
      <c r="D299" s="54"/>
      <c r="E299" s="55"/>
      <c r="F299" s="16" t="s">
        <v>77</v>
      </c>
      <c r="G299" s="17"/>
      <c r="H299" s="17"/>
      <c r="I299" s="17"/>
      <c r="J299" s="17"/>
      <c r="K299" s="17"/>
      <c r="L299" s="17"/>
      <c r="M299" s="21"/>
      <c r="N299" s="22" t="s">
        <v>22</v>
      </c>
      <c r="O299" s="17">
        <f>J282</f>
        <v>3</v>
      </c>
      <c r="P299" s="17" t="s">
        <v>78</v>
      </c>
      <c r="Q299" s="17"/>
      <c r="R299" s="17"/>
      <c r="S299" s="17"/>
      <c r="T299" s="17"/>
      <c r="U299" s="17"/>
      <c r="V299" s="20"/>
      <c r="W299" s="53"/>
      <c r="X299" s="49"/>
      <c r="Y299" s="49"/>
      <c r="Z299" s="50"/>
      <c r="AA299" s="51"/>
      <c r="AB299" s="49"/>
      <c r="AC299" s="49"/>
      <c r="AD299" s="49"/>
      <c r="AE299" s="49"/>
      <c r="AF299" s="49"/>
      <c r="AG299" s="52"/>
    </row>
    <row r="300" spans="1:33" ht="15" thickBot="1" x14ac:dyDescent="0.35">
      <c r="A300" s="51"/>
      <c r="B300" s="49"/>
      <c r="C300" s="54"/>
      <c r="D300" s="54"/>
      <c r="E300" s="55"/>
      <c r="F300" s="24" t="s">
        <v>79</v>
      </c>
      <c r="G300" s="38"/>
      <c r="H300" s="25"/>
      <c r="I300" s="25"/>
      <c r="J300" s="25"/>
      <c r="K300" s="25"/>
      <c r="L300" s="25"/>
      <c r="M300" s="25"/>
      <c r="N300" s="25"/>
      <c r="O300" s="25" t="str">
        <f>M294</f>
        <v>PX</v>
      </c>
      <c r="P300" s="25"/>
      <c r="Q300" s="25"/>
      <c r="R300" s="25"/>
      <c r="S300" s="25"/>
      <c r="T300" s="25"/>
      <c r="U300" s="25"/>
      <c r="V300" s="26"/>
      <c r="W300" s="53"/>
      <c r="X300" s="49"/>
      <c r="Y300" s="49"/>
      <c r="Z300" s="50"/>
      <c r="AA300" s="51"/>
      <c r="AB300" s="49"/>
      <c r="AC300" s="49"/>
      <c r="AD300" s="49"/>
      <c r="AE300" s="49"/>
      <c r="AF300" s="49"/>
      <c r="AG300" s="52"/>
    </row>
    <row r="301" spans="1:33" x14ac:dyDescent="0.3">
      <c r="A301" s="51"/>
      <c r="B301" s="49"/>
      <c r="C301" s="49"/>
      <c r="D301" s="49"/>
      <c r="E301" s="4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49"/>
      <c r="X301" s="49"/>
      <c r="Y301" s="49"/>
      <c r="Z301" s="52"/>
      <c r="AA301" s="53"/>
      <c r="AB301" s="49"/>
      <c r="AC301" s="49"/>
      <c r="AD301" s="49"/>
      <c r="AE301" s="49"/>
      <c r="AF301" s="49"/>
      <c r="AG301" s="52"/>
    </row>
    <row r="302" spans="1:33" x14ac:dyDescent="0.3">
      <c r="A302" s="51"/>
      <c r="B302" s="49" t="s">
        <v>148</v>
      </c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52"/>
      <c r="AA302" s="53"/>
      <c r="AB302" s="49"/>
      <c r="AC302" s="49"/>
      <c r="AD302" s="49"/>
      <c r="AE302" s="49"/>
      <c r="AF302" s="49"/>
      <c r="AG302" s="52"/>
    </row>
    <row r="303" spans="1:33" ht="15" thickBot="1" x14ac:dyDescent="0.35">
      <c r="A303" s="51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52"/>
      <c r="AA303" s="53"/>
      <c r="AB303" s="49"/>
      <c r="AC303" s="49"/>
      <c r="AD303" s="49"/>
      <c r="AE303" s="49"/>
      <c r="AF303" s="49"/>
      <c r="AG303" s="52"/>
    </row>
    <row r="304" spans="1:33" ht="17.25" customHeight="1" thickBot="1" x14ac:dyDescent="0.35">
      <c r="A304" s="51"/>
      <c r="B304" s="49"/>
      <c r="C304" s="49" t="s">
        <v>145</v>
      </c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50" t="s">
        <v>22</v>
      </c>
      <c r="Q304" s="126" t="s">
        <v>149</v>
      </c>
      <c r="R304" s="127"/>
      <c r="S304" s="127"/>
      <c r="T304" s="127"/>
      <c r="U304" s="127"/>
      <c r="V304" s="128"/>
      <c r="W304" s="53"/>
      <c r="X304" s="49"/>
      <c r="Y304" s="49"/>
      <c r="Z304" s="50"/>
      <c r="AA304" s="51"/>
      <c r="AB304" s="49"/>
      <c r="AC304" s="49"/>
      <c r="AD304" s="49"/>
      <c r="AE304" s="49"/>
      <c r="AF304" s="49"/>
      <c r="AG304" s="52"/>
    </row>
    <row r="305" spans="1:33" x14ac:dyDescent="0.3">
      <c r="A305" s="51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50"/>
      <c r="AA305" s="51"/>
      <c r="AB305" s="49"/>
      <c r="AC305" s="49"/>
      <c r="AD305" s="49"/>
      <c r="AE305" s="49"/>
      <c r="AF305" s="49"/>
      <c r="AG305" s="52"/>
    </row>
    <row r="306" spans="1:33" x14ac:dyDescent="0.3">
      <c r="A306" s="51"/>
      <c r="B306" s="49"/>
      <c r="C306" s="70" t="s">
        <v>34</v>
      </c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50"/>
      <c r="AA306" s="51"/>
      <c r="AB306" s="49"/>
      <c r="AC306" s="49"/>
      <c r="AD306" s="49"/>
      <c r="AE306" s="49"/>
      <c r="AF306" s="49"/>
      <c r="AG306" s="52"/>
    </row>
    <row r="307" spans="1:33" x14ac:dyDescent="0.3">
      <c r="A307" s="53"/>
      <c r="B307" s="49"/>
      <c r="C307" s="71"/>
      <c r="D307" s="49"/>
      <c r="E307" s="49"/>
      <c r="F307" s="49"/>
      <c r="G307" s="49"/>
      <c r="H307" s="49"/>
      <c r="I307" s="49"/>
      <c r="J307" s="58"/>
      <c r="K307" s="58"/>
      <c r="L307" s="58"/>
      <c r="M307" s="59"/>
      <c r="N307" s="59"/>
      <c r="O307" s="49"/>
      <c r="P307" s="49"/>
      <c r="Q307" s="49"/>
      <c r="R307" s="49"/>
      <c r="S307" s="49"/>
      <c r="T307" s="49"/>
      <c r="U307" s="49"/>
      <c r="V307" s="66"/>
      <c r="W307" s="66"/>
      <c r="X307" s="66"/>
      <c r="Y307" s="49"/>
      <c r="Z307" s="50"/>
      <c r="AA307" s="51"/>
      <c r="AB307" s="49"/>
      <c r="AC307" s="49"/>
      <c r="AD307" s="49"/>
      <c r="AE307" s="49"/>
      <c r="AF307" s="49"/>
      <c r="AG307" s="52"/>
    </row>
    <row r="308" spans="1:33" ht="15.6" x14ac:dyDescent="0.35">
      <c r="A308" s="53"/>
      <c r="B308" s="49"/>
      <c r="C308" s="72" t="s">
        <v>35</v>
      </c>
      <c r="D308" s="49"/>
      <c r="E308" s="49"/>
      <c r="F308" s="49"/>
      <c r="G308" s="49"/>
      <c r="H308" s="49"/>
      <c r="I308" s="49"/>
      <c r="J308" s="58"/>
      <c r="K308" s="58"/>
      <c r="L308" s="68" t="s">
        <v>36</v>
      </c>
      <c r="M308" s="73" t="s">
        <v>22</v>
      </c>
      <c r="N308" s="68" t="s">
        <v>37</v>
      </c>
      <c r="O308" s="59"/>
      <c r="P308" s="49"/>
      <c r="Q308" s="49"/>
      <c r="R308" s="49" t="s">
        <v>38</v>
      </c>
      <c r="S308" s="49"/>
      <c r="T308" s="49"/>
      <c r="U308" s="49"/>
      <c r="V308" s="66"/>
      <c r="W308" s="66"/>
      <c r="X308" s="66"/>
      <c r="Y308" s="49"/>
      <c r="Z308" s="50"/>
      <c r="AA308" s="51"/>
      <c r="AB308" s="49"/>
      <c r="AC308" s="49"/>
      <c r="AD308" s="49"/>
      <c r="AE308" s="49"/>
      <c r="AF308" s="49"/>
      <c r="AG308" s="52"/>
    </row>
    <row r="309" spans="1:33" x14ac:dyDescent="0.3">
      <c r="A309" s="53"/>
      <c r="B309" s="49"/>
      <c r="C309" s="71"/>
      <c r="D309" s="49"/>
      <c r="E309" s="49"/>
      <c r="F309" s="49"/>
      <c r="G309" s="49"/>
      <c r="H309" s="49"/>
      <c r="I309" s="49"/>
      <c r="J309" s="58"/>
      <c r="K309" s="58"/>
      <c r="L309" s="58"/>
      <c r="M309" s="59"/>
      <c r="N309" s="59"/>
      <c r="O309" s="49"/>
      <c r="P309" s="49"/>
      <c r="Q309" s="49"/>
      <c r="R309" s="49"/>
      <c r="S309" s="49"/>
      <c r="T309" s="49"/>
      <c r="U309" s="49"/>
      <c r="V309" s="66"/>
      <c r="W309" s="66"/>
      <c r="X309" s="66"/>
      <c r="Y309" s="49"/>
      <c r="Z309" s="50"/>
      <c r="AA309" s="51"/>
      <c r="AB309" s="49"/>
      <c r="AC309" s="49"/>
      <c r="AD309" s="49"/>
      <c r="AE309" s="49"/>
      <c r="AF309" s="49"/>
      <c r="AG309" s="52"/>
    </row>
    <row r="310" spans="1:33" x14ac:dyDescent="0.3">
      <c r="A310" s="53"/>
      <c r="B310" s="49"/>
      <c r="C310" s="68"/>
      <c r="D310" s="72" t="s">
        <v>39</v>
      </c>
      <c r="E310" s="49"/>
      <c r="F310" s="49"/>
      <c r="G310" s="49"/>
      <c r="H310" s="49"/>
      <c r="I310" s="49"/>
      <c r="J310" s="58"/>
      <c r="K310" s="58"/>
      <c r="L310" s="58"/>
      <c r="M310" s="59"/>
      <c r="N310" s="59"/>
      <c r="O310" s="49"/>
      <c r="P310" s="49"/>
      <c r="Q310" s="49"/>
      <c r="R310" s="49"/>
      <c r="S310" s="49"/>
      <c r="T310" s="49"/>
      <c r="U310" s="49"/>
      <c r="V310" s="66"/>
      <c r="W310" s="66"/>
      <c r="X310" s="66"/>
      <c r="Y310" s="49"/>
      <c r="Z310" s="50"/>
      <c r="AA310" s="51"/>
      <c r="AB310" s="49"/>
      <c r="AC310" s="49"/>
      <c r="AD310" s="49"/>
      <c r="AE310" s="49"/>
      <c r="AF310" s="49"/>
      <c r="AG310" s="52"/>
    </row>
    <row r="311" spans="1:33" x14ac:dyDescent="0.3">
      <c r="A311" s="53"/>
      <c r="B311" s="49"/>
      <c r="C311" s="72"/>
      <c r="D311" s="49"/>
      <c r="E311" s="49"/>
      <c r="F311" s="49"/>
      <c r="G311" s="49" t="s">
        <v>40</v>
      </c>
      <c r="H311" s="49"/>
      <c r="I311" s="57" t="s">
        <v>22</v>
      </c>
      <c r="J311" s="58" t="s">
        <v>41</v>
      </c>
      <c r="K311" s="58"/>
      <c r="L311" s="58"/>
      <c r="M311" s="59"/>
      <c r="N311" s="59"/>
      <c r="O311" s="49"/>
      <c r="P311" s="49"/>
      <c r="Q311" s="49"/>
      <c r="R311" s="49"/>
      <c r="S311" s="49"/>
      <c r="T311" s="49"/>
      <c r="U311" s="49"/>
      <c r="V311" s="66"/>
      <c r="W311" s="66"/>
      <c r="X311" s="66"/>
      <c r="Y311" s="49"/>
      <c r="Z311" s="50"/>
      <c r="AA311" s="51"/>
      <c r="AB311" s="49"/>
      <c r="AC311" s="49"/>
      <c r="AD311" s="49"/>
      <c r="AE311" s="49"/>
      <c r="AF311" s="49"/>
      <c r="AG311" s="52"/>
    </row>
    <row r="312" spans="1:33" x14ac:dyDescent="0.3">
      <c r="A312" s="53"/>
      <c r="B312" s="49"/>
      <c r="C312" s="72"/>
      <c r="D312" s="49"/>
      <c r="E312" s="49"/>
      <c r="F312" s="49"/>
      <c r="G312" s="49" t="s">
        <v>42</v>
      </c>
      <c r="H312" s="49"/>
      <c r="I312" s="57" t="s">
        <v>22</v>
      </c>
      <c r="J312" s="58" t="s">
        <v>43</v>
      </c>
      <c r="K312" s="58"/>
      <c r="L312" s="58"/>
      <c r="M312" s="59"/>
      <c r="N312" s="59"/>
      <c r="O312" s="49"/>
      <c r="P312" s="49"/>
      <c r="Q312" s="49"/>
      <c r="R312" s="49"/>
      <c r="S312" s="49"/>
      <c r="T312" s="49"/>
      <c r="U312" s="49"/>
      <c r="V312" s="66"/>
      <c r="W312" s="66"/>
      <c r="X312" s="66"/>
      <c r="Y312" s="49"/>
      <c r="Z312" s="50"/>
      <c r="AA312" s="51"/>
      <c r="AB312" s="49"/>
      <c r="AC312" s="49"/>
      <c r="AD312" s="49"/>
      <c r="AE312" s="49"/>
      <c r="AF312" s="49"/>
      <c r="AG312" s="52"/>
    </row>
    <row r="313" spans="1:33" x14ac:dyDescent="0.3">
      <c r="A313" s="53"/>
      <c r="B313" s="49"/>
      <c r="C313" s="72"/>
      <c r="D313" s="49"/>
      <c r="E313" s="49"/>
      <c r="F313" s="49"/>
      <c r="G313" s="49" t="s">
        <v>44</v>
      </c>
      <c r="H313" s="49"/>
      <c r="I313" s="57" t="s">
        <v>22</v>
      </c>
      <c r="J313" s="58" t="s">
        <v>45</v>
      </c>
      <c r="K313" s="58"/>
      <c r="L313" s="58"/>
      <c r="M313" s="59"/>
      <c r="N313" s="59"/>
      <c r="O313" s="49"/>
      <c r="P313" s="49"/>
      <c r="Q313" s="49"/>
      <c r="R313" s="49"/>
      <c r="S313" s="49"/>
      <c r="T313" s="49"/>
      <c r="U313" s="49"/>
      <c r="V313" s="66"/>
      <c r="W313" s="66"/>
      <c r="X313" s="66"/>
      <c r="Y313" s="49"/>
      <c r="Z313" s="50"/>
      <c r="AA313" s="51"/>
      <c r="AB313" s="49"/>
      <c r="AC313" s="49"/>
      <c r="AD313" s="49"/>
      <c r="AE313" s="49"/>
      <c r="AF313" s="49"/>
      <c r="AG313" s="52"/>
    </row>
    <row r="314" spans="1:33" x14ac:dyDescent="0.3">
      <c r="A314" s="53"/>
      <c r="B314" s="49"/>
      <c r="C314" s="72"/>
      <c r="D314" s="49"/>
      <c r="E314" s="49"/>
      <c r="F314" s="49"/>
      <c r="G314" s="49" t="s">
        <v>46</v>
      </c>
      <c r="H314" s="49"/>
      <c r="I314" s="57" t="s">
        <v>22</v>
      </c>
      <c r="J314" s="58" t="s">
        <v>47</v>
      </c>
      <c r="K314" s="58"/>
      <c r="L314" s="58"/>
      <c r="M314" s="59"/>
      <c r="N314" s="59"/>
      <c r="O314" s="49"/>
      <c r="P314" s="49"/>
      <c r="Q314" s="49"/>
      <c r="R314" s="49"/>
      <c r="S314" s="49"/>
      <c r="T314" s="49"/>
      <c r="U314" s="49"/>
      <c r="V314" s="66"/>
      <c r="W314" s="66"/>
      <c r="X314" s="66"/>
      <c r="Y314" s="49"/>
      <c r="Z314" s="50"/>
      <c r="AA314" s="51"/>
      <c r="AB314" s="49"/>
      <c r="AC314" s="49"/>
      <c r="AD314" s="49"/>
      <c r="AE314" s="49"/>
      <c r="AF314" s="49"/>
      <c r="AG314" s="52"/>
    </row>
    <row r="315" spans="1:33" x14ac:dyDescent="0.3">
      <c r="A315" s="53"/>
      <c r="B315" s="49"/>
      <c r="C315" s="72"/>
      <c r="D315" s="49"/>
      <c r="E315" s="49"/>
      <c r="F315" s="49"/>
      <c r="G315" s="49"/>
      <c r="H315" s="49"/>
      <c r="I315" s="57" t="s">
        <v>22</v>
      </c>
      <c r="J315" s="58" t="s">
        <v>48</v>
      </c>
      <c r="K315" s="58"/>
      <c r="L315" s="58"/>
      <c r="M315" s="59"/>
      <c r="N315" s="59"/>
      <c r="O315" s="49"/>
      <c r="P315" s="49"/>
      <c r="Q315" s="49"/>
      <c r="R315" s="49"/>
      <c r="S315" s="49"/>
      <c r="T315" s="49"/>
      <c r="U315" s="49"/>
      <c r="V315" s="66"/>
      <c r="W315" s="66"/>
      <c r="X315" s="66"/>
      <c r="Y315" s="49"/>
      <c r="Z315" s="50"/>
      <c r="AA315" s="51"/>
      <c r="AB315" s="49"/>
      <c r="AC315" s="49"/>
      <c r="AD315" s="49"/>
      <c r="AE315" s="49"/>
      <c r="AF315" s="49"/>
      <c r="AG315" s="52"/>
    </row>
    <row r="316" spans="1:33" x14ac:dyDescent="0.3">
      <c r="A316" s="53"/>
      <c r="B316" s="49"/>
      <c r="C316" s="72"/>
      <c r="D316" s="49"/>
      <c r="E316" s="49"/>
      <c r="F316" s="49"/>
      <c r="G316" s="49" t="s">
        <v>49</v>
      </c>
      <c r="H316" s="49"/>
      <c r="I316" s="57" t="s">
        <v>22</v>
      </c>
      <c r="J316" s="58" t="s">
        <v>50</v>
      </c>
      <c r="K316" s="58"/>
      <c r="L316" s="58"/>
      <c r="M316" s="58"/>
      <c r="N316" s="59"/>
      <c r="O316" s="49"/>
      <c r="P316" s="59"/>
      <c r="Q316" s="59"/>
      <c r="R316" s="49"/>
      <c r="S316" s="50"/>
      <c r="T316" s="49"/>
      <c r="U316" s="49"/>
      <c r="V316" s="66"/>
      <c r="W316" s="66"/>
      <c r="X316" s="66"/>
      <c r="Y316" s="53"/>
      <c r="Z316" s="50"/>
      <c r="AA316" s="51"/>
      <c r="AB316" s="50"/>
      <c r="AC316" s="53"/>
      <c r="AD316" s="49"/>
      <c r="AE316" s="49"/>
      <c r="AF316" s="49"/>
      <c r="AG316" s="52"/>
    </row>
    <row r="317" spans="1:33" x14ac:dyDescent="0.3">
      <c r="A317" s="51"/>
      <c r="B317" s="49"/>
      <c r="C317" s="49" t="s">
        <v>51</v>
      </c>
      <c r="D317" s="49"/>
      <c r="E317" s="49"/>
      <c r="F317" s="49"/>
      <c r="G317" s="49"/>
      <c r="H317" s="49"/>
      <c r="I317" s="49"/>
      <c r="J317" s="49"/>
      <c r="K317" s="57"/>
      <c r="L317" s="66"/>
      <c r="M317" s="66"/>
      <c r="N317" s="49"/>
      <c r="O317" s="49"/>
      <c r="P317" s="59"/>
      <c r="Q317" s="59"/>
      <c r="R317" s="49"/>
      <c r="S317" s="50"/>
      <c r="T317" s="60"/>
      <c r="U317" s="60"/>
      <c r="V317" s="57"/>
      <c r="W317" s="61"/>
      <c r="X317" s="61"/>
      <c r="Y317" s="53"/>
      <c r="Z317" s="50"/>
      <c r="AA317" s="51"/>
      <c r="AB317" s="62"/>
      <c r="AC317" s="63"/>
      <c r="AD317" s="49"/>
      <c r="AE317" s="49"/>
      <c r="AF317" s="49"/>
      <c r="AG317" s="52"/>
    </row>
    <row r="318" spans="1:33" ht="15" thickBot="1" x14ac:dyDescent="0.35">
      <c r="A318" s="51"/>
      <c r="B318" s="49"/>
      <c r="C318" s="49"/>
      <c r="D318" s="49"/>
      <c r="E318" s="49"/>
      <c r="F318" s="49"/>
      <c r="G318" s="49"/>
      <c r="H318" s="49"/>
      <c r="I318" s="49"/>
      <c r="J318" s="66"/>
      <c r="K318" s="74"/>
      <c r="L318" s="66"/>
      <c r="M318" s="66"/>
      <c r="N318" s="49"/>
      <c r="O318" s="49"/>
      <c r="P318" s="59"/>
      <c r="Q318" s="59"/>
      <c r="R318" s="49"/>
      <c r="S318" s="50"/>
      <c r="T318" s="60"/>
      <c r="U318" s="60"/>
      <c r="V318" s="57"/>
      <c r="W318" s="61"/>
      <c r="X318" s="61"/>
      <c r="Y318" s="53"/>
      <c r="Z318" s="50"/>
      <c r="AA318" s="51"/>
      <c r="AB318" s="62"/>
      <c r="AC318" s="63"/>
      <c r="AD318" s="49"/>
      <c r="AE318" s="49"/>
      <c r="AF318" s="49"/>
      <c r="AG318" s="52"/>
    </row>
    <row r="319" spans="1:33" ht="16.2" thickBot="1" x14ac:dyDescent="0.4">
      <c r="A319" s="51"/>
      <c r="B319" s="49"/>
      <c r="C319" s="49"/>
      <c r="D319" s="49"/>
      <c r="E319" s="49"/>
      <c r="F319" s="49"/>
      <c r="G319" s="49" t="s">
        <v>54</v>
      </c>
      <c r="H319" s="49"/>
      <c r="I319" s="64" t="s">
        <v>22</v>
      </c>
      <c r="J319" s="119">
        <v>20</v>
      </c>
      <c r="K319" s="120"/>
      <c r="L319" s="53"/>
      <c r="M319" s="66"/>
      <c r="N319" s="49"/>
      <c r="O319" s="49"/>
      <c r="P319" s="59"/>
      <c r="Q319" s="59"/>
      <c r="R319" s="49"/>
      <c r="S319" s="50"/>
      <c r="T319" s="60"/>
      <c r="U319" s="60"/>
      <c r="V319" s="57"/>
      <c r="W319" s="61"/>
      <c r="X319" s="61"/>
      <c r="Y319" s="53"/>
      <c r="Z319" s="50"/>
      <c r="AA319" s="51"/>
      <c r="AB319" s="62"/>
      <c r="AC319" s="63"/>
      <c r="AD319" s="49"/>
      <c r="AE319" s="49"/>
      <c r="AF319" s="49"/>
      <c r="AG319" s="52"/>
    </row>
    <row r="320" spans="1:33" ht="15" thickBot="1" x14ac:dyDescent="0.35">
      <c r="A320" s="51"/>
      <c r="B320" s="49"/>
      <c r="C320" s="49"/>
      <c r="D320" s="49"/>
      <c r="E320" s="49"/>
      <c r="F320" s="49"/>
      <c r="G320" s="49"/>
      <c r="H320" s="49"/>
      <c r="I320" s="57"/>
      <c r="J320" s="58"/>
      <c r="K320" s="58"/>
      <c r="L320" s="66"/>
      <c r="M320" s="66"/>
      <c r="N320" s="49"/>
      <c r="O320" s="49"/>
      <c r="P320" s="59"/>
      <c r="Q320" s="59"/>
      <c r="R320" s="49"/>
      <c r="S320" s="50"/>
      <c r="T320" s="60"/>
      <c r="U320" s="60"/>
      <c r="V320" s="57"/>
      <c r="W320" s="61"/>
      <c r="X320" s="61"/>
      <c r="Y320" s="53"/>
      <c r="Z320" s="50"/>
      <c r="AA320" s="51"/>
      <c r="AB320" s="62"/>
      <c r="AC320" s="63"/>
      <c r="AD320" s="49"/>
      <c r="AE320" s="49"/>
      <c r="AF320" s="49"/>
      <c r="AG320" s="52"/>
    </row>
    <row r="321" spans="1:33" ht="16.2" thickBot="1" x14ac:dyDescent="0.4">
      <c r="A321" s="51"/>
      <c r="B321" s="49"/>
      <c r="C321" s="49"/>
      <c r="D321" s="49"/>
      <c r="E321" s="49"/>
      <c r="F321" s="49"/>
      <c r="G321" s="49" t="s">
        <v>55</v>
      </c>
      <c r="H321" s="49"/>
      <c r="I321" s="64" t="s">
        <v>22</v>
      </c>
      <c r="J321" s="119">
        <v>3.5</v>
      </c>
      <c r="K321" s="120"/>
      <c r="L321" s="69"/>
      <c r="M321" s="66"/>
      <c r="N321" s="49"/>
      <c r="O321" s="49"/>
      <c r="P321" s="59"/>
      <c r="Q321" s="59"/>
      <c r="R321" s="49"/>
      <c r="S321" s="50"/>
      <c r="T321" s="60"/>
      <c r="U321" s="60"/>
      <c r="V321" s="57"/>
      <c r="W321" s="61"/>
      <c r="X321" s="61"/>
      <c r="Y321" s="53"/>
      <c r="Z321" s="50"/>
      <c r="AA321" s="51"/>
      <c r="AB321" s="62"/>
      <c r="AC321" s="63"/>
      <c r="AD321" s="49"/>
      <c r="AE321" s="49"/>
      <c r="AF321" s="49"/>
      <c r="AG321" s="52"/>
    </row>
    <row r="322" spans="1:33" x14ac:dyDescent="0.3">
      <c r="A322" s="51"/>
      <c r="B322" s="49"/>
      <c r="C322" s="49"/>
      <c r="D322" s="49"/>
      <c r="E322" s="49"/>
      <c r="F322" s="49"/>
      <c r="G322" s="49"/>
      <c r="H322" s="49"/>
      <c r="I322" s="49"/>
      <c r="J322" s="59"/>
      <c r="K322" s="65"/>
      <c r="L322" s="66"/>
      <c r="M322" s="66"/>
      <c r="N322" s="49"/>
      <c r="O322" s="49"/>
      <c r="P322" s="59"/>
      <c r="Q322" s="59"/>
      <c r="R322" s="49"/>
      <c r="S322" s="50"/>
      <c r="T322" s="60"/>
      <c r="U322" s="60"/>
      <c r="V322" s="57"/>
      <c r="W322" s="61"/>
      <c r="X322" s="61"/>
      <c r="Y322" s="53"/>
      <c r="Z322" s="50"/>
      <c r="AA322" s="51"/>
      <c r="AB322" s="62"/>
      <c r="AC322" s="63"/>
      <c r="AD322" s="49"/>
      <c r="AE322" s="49"/>
      <c r="AF322" s="49"/>
      <c r="AG322" s="52"/>
    </row>
    <row r="323" spans="1:33" ht="15.6" x14ac:dyDescent="0.35">
      <c r="A323" s="51"/>
      <c r="B323" s="49"/>
      <c r="C323" s="49"/>
      <c r="D323" s="49"/>
      <c r="E323" s="49"/>
      <c r="F323" s="49"/>
      <c r="G323" s="49" t="s">
        <v>56</v>
      </c>
      <c r="H323" s="49"/>
      <c r="I323" s="57" t="s">
        <v>22</v>
      </c>
      <c r="J323" s="49" t="s">
        <v>57</v>
      </c>
      <c r="K323" s="57"/>
      <c r="L323" s="66"/>
      <c r="M323" s="66"/>
      <c r="N323" s="49"/>
      <c r="O323" s="49"/>
      <c r="P323" s="59"/>
      <c r="Q323" s="59"/>
      <c r="R323" s="49"/>
      <c r="S323" s="50"/>
      <c r="T323" s="60"/>
      <c r="U323" s="60"/>
      <c r="V323" s="57"/>
      <c r="W323" s="61"/>
      <c r="X323" s="61"/>
      <c r="Y323" s="53"/>
      <c r="Z323" s="50"/>
      <c r="AA323" s="51"/>
      <c r="AB323" s="62"/>
      <c r="AC323" s="63"/>
      <c r="AD323" s="49"/>
      <c r="AE323" s="49"/>
      <c r="AF323" s="49"/>
      <c r="AG323" s="52"/>
    </row>
    <row r="324" spans="1:33" x14ac:dyDescent="0.3">
      <c r="A324" s="51"/>
      <c r="B324" s="49"/>
      <c r="C324" s="49"/>
      <c r="D324" s="49" t="s">
        <v>58</v>
      </c>
      <c r="E324" s="49"/>
      <c r="F324" s="49"/>
      <c r="G324" s="49"/>
      <c r="H324" s="49"/>
      <c r="I324" s="49"/>
      <c r="J324" s="49"/>
      <c r="K324" s="57"/>
      <c r="L324" s="66"/>
      <c r="M324" s="66"/>
      <c r="N324" s="49"/>
      <c r="O324" s="49"/>
      <c r="P324" s="59"/>
      <c r="Q324" s="59"/>
      <c r="R324" s="49"/>
      <c r="S324" s="50"/>
      <c r="T324" s="60"/>
      <c r="U324" s="60"/>
      <c r="V324" s="57"/>
      <c r="W324" s="61"/>
      <c r="X324" s="61"/>
      <c r="Y324" s="53"/>
      <c r="Z324" s="50"/>
      <c r="AA324" s="51"/>
      <c r="AB324" s="62"/>
      <c r="AC324" s="63"/>
      <c r="AD324" s="49"/>
      <c r="AE324" s="49"/>
      <c r="AF324" s="49"/>
      <c r="AG324" s="52"/>
    </row>
    <row r="325" spans="1:33" ht="15.6" x14ac:dyDescent="0.35">
      <c r="A325" s="51"/>
      <c r="B325" s="49"/>
      <c r="C325" s="49"/>
      <c r="D325" s="49" t="s">
        <v>147</v>
      </c>
      <c r="E325" s="49"/>
      <c r="F325" s="49"/>
      <c r="G325" s="49"/>
      <c r="H325" s="49"/>
      <c r="I325" s="49"/>
      <c r="J325" s="49"/>
      <c r="K325" s="57"/>
      <c r="L325" s="66"/>
      <c r="M325" s="66"/>
      <c r="N325" s="49"/>
      <c r="O325" s="49"/>
      <c r="P325" s="59"/>
      <c r="Q325" s="59"/>
      <c r="R325" s="49"/>
      <c r="S325" s="50"/>
      <c r="T325" s="60"/>
      <c r="U325" s="60"/>
      <c r="V325" s="57"/>
      <c r="W325" s="61"/>
      <c r="X325" s="61"/>
      <c r="Y325" s="53"/>
      <c r="Z325" s="50"/>
      <c r="AA325" s="51"/>
      <c r="AB325" s="62"/>
      <c r="AC325" s="63"/>
      <c r="AD325" s="49"/>
      <c r="AE325" s="49"/>
      <c r="AF325" s="49"/>
      <c r="AG325" s="52"/>
    </row>
    <row r="326" spans="1:33" x14ac:dyDescent="0.3">
      <c r="A326" s="51"/>
      <c r="B326" s="49"/>
      <c r="C326" s="49"/>
      <c r="D326" s="49"/>
      <c r="E326" s="49"/>
      <c r="F326" s="49"/>
      <c r="G326" s="49"/>
      <c r="H326" s="49"/>
      <c r="I326" s="49"/>
      <c r="J326" s="49"/>
      <c r="K326" s="57"/>
      <c r="L326" s="66"/>
      <c r="M326" s="66"/>
      <c r="N326" s="49"/>
      <c r="O326" s="49"/>
      <c r="P326" s="59"/>
      <c r="Q326" s="59"/>
      <c r="R326" s="49"/>
      <c r="S326" s="50"/>
      <c r="T326" s="60"/>
      <c r="U326" s="60"/>
      <c r="V326" s="57"/>
      <c r="W326" s="61"/>
      <c r="X326" s="61"/>
      <c r="Y326" s="53"/>
      <c r="Z326" s="50"/>
      <c r="AA326" s="51"/>
      <c r="AB326" s="62"/>
      <c r="AC326" s="63"/>
      <c r="AD326" s="49"/>
      <c r="AE326" s="49"/>
      <c r="AF326" s="49"/>
      <c r="AG326" s="52"/>
    </row>
    <row r="327" spans="1:33" ht="15.6" x14ac:dyDescent="0.35">
      <c r="A327" s="51"/>
      <c r="B327" s="49"/>
      <c r="C327" s="49" t="s">
        <v>67</v>
      </c>
      <c r="D327" s="49"/>
      <c r="E327" s="49"/>
      <c r="F327" s="49"/>
      <c r="G327" s="49"/>
      <c r="H327" s="49"/>
      <c r="I327" s="49"/>
      <c r="J327" s="49"/>
      <c r="K327" s="57" t="s">
        <v>22</v>
      </c>
      <c r="L327" s="66">
        <f>J319</f>
        <v>20</v>
      </c>
      <c r="M327" s="67" t="s">
        <v>27</v>
      </c>
      <c r="N327" s="84">
        <v>3.5</v>
      </c>
      <c r="O327" s="49"/>
      <c r="P327" s="59"/>
      <c r="Q327" s="59"/>
      <c r="R327" s="49"/>
      <c r="S327" s="50"/>
      <c r="T327" s="60"/>
      <c r="U327" s="60"/>
      <c r="V327" s="57"/>
      <c r="W327" s="61"/>
      <c r="X327" s="61"/>
      <c r="Y327" s="53"/>
      <c r="Z327" s="50"/>
      <c r="AA327" s="51"/>
      <c r="AB327" s="62"/>
      <c r="AC327" s="63"/>
      <c r="AD327" s="49"/>
      <c r="AE327" s="49"/>
      <c r="AF327" s="49"/>
      <c r="AG327" s="52"/>
    </row>
    <row r="328" spans="1:33" x14ac:dyDescent="0.3">
      <c r="A328" s="51"/>
      <c r="B328" s="49"/>
      <c r="C328" s="49"/>
      <c r="D328" s="49"/>
      <c r="E328" s="49"/>
      <c r="F328" s="49"/>
      <c r="G328" s="49"/>
      <c r="H328" s="49"/>
      <c r="I328" s="49"/>
      <c r="J328" s="49"/>
      <c r="K328" s="57" t="s">
        <v>22</v>
      </c>
      <c r="L328" s="66">
        <f>J319*(J321)</f>
        <v>70</v>
      </c>
      <c r="M328" s="66"/>
      <c r="N328" s="49"/>
      <c r="O328" s="49"/>
      <c r="P328" s="59"/>
      <c r="Q328" s="59"/>
      <c r="R328" s="49"/>
      <c r="S328" s="50"/>
      <c r="T328" s="60"/>
      <c r="U328" s="60"/>
      <c r="V328" s="57"/>
      <c r="W328" s="61"/>
      <c r="X328" s="61"/>
      <c r="Y328" s="53"/>
      <c r="Z328" s="50"/>
      <c r="AA328" s="51"/>
      <c r="AB328" s="62"/>
      <c r="AC328" s="63"/>
      <c r="AD328" s="49"/>
      <c r="AE328" s="49"/>
      <c r="AF328" s="49"/>
      <c r="AG328" s="52"/>
    </row>
    <row r="329" spans="1:33" x14ac:dyDescent="0.3">
      <c r="A329" s="51"/>
      <c r="B329" s="49"/>
      <c r="C329" s="49" t="s">
        <v>68</v>
      </c>
      <c r="D329" s="49"/>
      <c r="E329" s="49"/>
      <c r="F329" s="49"/>
      <c r="G329" s="49"/>
      <c r="H329" s="49"/>
      <c r="I329" s="49"/>
      <c r="J329" s="49"/>
      <c r="K329" s="64"/>
      <c r="L329" s="68"/>
      <c r="M329" s="68"/>
      <c r="N329" s="53"/>
      <c r="O329" s="49"/>
      <c r="P329" s="59"/>
      <c r="Q329" s="59"/>
      <c r="R329" s="49"/>
      <c r="S329" s="50"/>
      <c r="T329" s="60"/>
      <c r="U329" s="60"/>
      <c r="V329" s="57"/>
      <c r="W329" s="61"/>
      <c r="X329" s="61"/>
      <c r="Y329" s="53"/>
      <c r="Z329" s="50"/>
      <c r="AA329" s="51"/>
      <c r="AB329" s="62"/>
      <c r="AC329" s="63"/>
      <c r="AD329" s="49"/>
      <c r="AE329" s="49"/>
      <c r="AF329" s="49"/>
      <c r="AG329" s="52"/>
    </row>
    <row r="330" spans="1:33" x14ac:dyDescent="0.3">
      <c r="A330" s="51"/>
      <c r="B330" s="49"/>
      <c r="C330" s="49"/>
      <c r="D330" s="49"/>
      <c r="E330" s="49"/>
      <c r="F330" s="49"/>
      <c r="G330" s="49"/>
      <c r="H330" s="49"/>
      <c r="I330" s="49"/>
      <c r="J330" s="49"/>
      <c r="K330" s="64" t="s">
        <v>22</v>
      </c>
      <c r="L330" s="68">
        <f>L328*1.2</f>
        <v>84</v>
      </c>
      <c r="M330" s="68"/>
      <c r="N330" s="53"/>
      <c r="O330" s="49"/>
      <c r="P330" s="59"/>
      <c r="Q330" s="59"/>
      <c r="R330" s="49"/>
      <c r="S330" s="50"/>
      <c r="T330" s="60"/>
      <c r="U330" s="60"/>
      <c r="V330" s="57"/>
      <c r="W330" s="61"/>
      <c r="X330" s="61"/>
      <c r="Y330" s="53"/>
      <c r="Z330" s="50"/>
      <c r="AA330" s="51"/>
      <c r="AB330" s="62"/>
      <c r="AC330" s="63"/>
      <c r="AD330" s="49"/>
      <c r="AE330" s="49"/>
      <c r="AF330" s="49"/>
      <c r="AG330" s="52"/>
    </row>
    <row r="331" spans="1:33" ht="15" thickBot="1" x14ac:dyDescent="0.35">
      <c r="A331" s="51"/>
      <c r="B331" s="49"/>
      <c r="C331" s="49"/>
      <c r="D331" s="49"/>
      <c r="E331" s="49"/>
      <c r="F331" s="49"/>
      <c r="G331" s="49"/>
      <c r="H331" s="49"/>
      <c r="I331" s="49"/>
      <c r="J331" s="49"/>
      <c r="K331" s="57"/>
      <c r="L331" s="66"/>
      <c r="M331" s="66"/>
      <c r="N331" s="49"/>
      <c r="O331" s="49"/>
      <c r="P331" s="59"/>
      <c r="Q331" s="59"/>
      <c r="R331" s="49"/>
      <c r="S331" s="50"/>
      <c r="T331" s="60"/>
      <c r="U331" s="60"/>
      <c r="V331" s="57"/>
      <c r="W331" s="61"/>
      <c r="X331" s="61"/>
      <c r="Y331" s="53"/>
      <c r="Z331" s="50"/>
      <c r="AA331" s="51"/>
      <c r="AB331" s="62"/>
      <c r="AC331" s="63"/>
      <c r="AD331" s="49"/>
      <c r="AE331" s="49"/>
      <c r="AF331" s="49"/>
      <c r="AG331" s="52"/>
    </row>
    <row r="332" spans="1:33" ht="15" thickBot="1" x14ac:dyDescent="0.35">
      <c r="A332" s="51"/>
      <c r="B332" s="49"/>
      <c r="C332" s="49"/>
      <c r="D332" s="49"/>
      <c r="E332" s="49"/>
      <c r="F332" s="49"/>
      <c r="G332" s="49"/>
      <c r="H332" s="49"/>
      <c r="I332" s="49" t="s">
        <v>69</v>
      </c>
      <c r="J332" s="49"/>
      <c r="K332" s="64" t="s">
        <v>22</v>
      </c>
      <c r="L332" s="119">
        <v>100</v>
      </c>
      <c r="M332" s="120"/>
      <c r="N332" s="53" t="s">
        <v>70</v>
      </c>
      <c r="O332" s="49"/>
      <c r="P332" s="59"/>
      <c r="Q332" s="59"/>
      <c r="R332" s="49"/>
      <c r="S332" s="50"/>
      <c r="T332" s="60"/>
      <c r="U332" s="60"/>
      <c r="V332" s="57"/>
      <c r="W332" s="61"/>
      <c r="X332" s="61"/>
      <c r="Y332" s="53"/>
      <c r="Z332" s="50"/>
      <c r="AA332" s="51"/>
      <c r="AB332" s="62"/>
      <c r="AC332" s="63"/>
      <c r="AD332" s="49"/>
      <c r="AE332" s="49"/>
      <c r="AF332" s="49"/>
      <c r="AG332" s="52"/>
    </row>
    <row r="333" spans="1:33" ht="15" thickBot="1" x14ac:dyDescent="0.35">
      <c r="A333" s="51"/>
      <c r="B333" s="49"/>
      <c r="C333" s="49"/>
      <c r="D333" s="49"/>
      <c r="E333" s="49"/>
      <c r="F333" s="49"/>
      <c r="G333" s="49"/>
      <c r="H333" s="49"/>
      <c r="I333" s="49"/>
      <c r="J333" s="49"/>
      <c r="K333" s="57"/>
      <c r="L333" s="58"/>
      <c r="M333" s="58"/>
      <c r="N333" s="49"/>
      <c r="O333" s="49"/>
      <c r="P333" s="59"/>
      <c r="Q333" s="59"/>
      <c r="R333" s="49"/>
      <c r="S333" s="50"/>
      <c r="T333" s="60"/>
      <c r="U333" s="60"/>
      <c r="V333" s="57"/>
      <c r="W333" s="61"/>
      <c r="X333" s="61"/>
      <c r="Y333" s="53"/>
      <c r="Z333" s="50"/>
      <c r="AA333" s="51"/>
      <c r="AB333" s="62"/>
      <c r="AC333" s="63"/>
      <c r="AD333" s="49"/>
      <c r="AE333" s="49"/>
      <c r="AF333" s="49"/>
      <c r="AG333" s="52"/>
    </row>
    <row r="334" spans="1:33" ht="15" thickBot="1" x14ac:dyDescent="0.35">
      <c r="A334" s="51"/>
      <c r="B334" s="49"/>
      <c r="C334" s="49"/>
      <c r="D334" s="49"/>
      <c r="E334" s="49"/>
      <c r="F334" s="49"/>
      <c r="G334" s="49"/>
      <c r="H334" s="50"/>
      <c r="I334" s="8" t="s">
        <v>71</v>
      </c>
      <c r="J334" s="9"/>
      <c r="K334" s="9"/>
      <c r="L334" s="9"/>
      <c r="M334" s="10" t="s">
        <v>72</v>
      </c>
      <c r="N334" s="53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50"/>
      <c r="AA334" s="51"/>
      <c r="AB334" s="49"/>
      <c r="AC334" s="49"/>
      <c r="AD334" s="49"/>
      <c r="AE334" s="49"/>
      <c r="AF334" s="49"/>
      <c r="AG334" s="52"/>
    </row>
    <row r="335" spans="1:33" x14ac:dyDescent="0.3">
      <c r="A335" s="51"/>
      <c r="B335" s="49"/>
      <c r="C335" s="49" t="s">
        <v>73</v>
      </c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50"/>
      <c r="AA335" s="51"/>
      <c r="AB335" s="49"/>
      <c r="AC335" s="49"/>
      <c r="AD335" s="49"/>
      <c r="AE335" s="49"/>
      <c r="AF335" s="49"/>
      <c r="AG335" s="52"/>
    </row>
    <row r="336" spans="1:33" ht="15" thickBot="1" x14ac:dyDescent="0.35">
      <c r="A336" s="51"/>
      <c r="B336" s="44"/>
      <c r="C336" s="44"/>
      <c r="D336" s="44"/>
      <c r="E336" s="44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44"/>
      <c r="X336" s="44"/>
      <c r="Y336" s="44"/>
      <c r="Z336" s="45"/>
      <c r="AA336" s="46"/>
      <c r="AB336" s="44"/>
      <c r="AC336" s="44"/>
      <c r="AD336" s="44"/>
      <c r="AE336" s="44"/>
      <c r="AF336" s="44"/>
      <c r="AG336" s="47"/>
    </row>
    <row r="337" spans="1:33" x14ac:dyDescent="0.3">
      <c r="A337" s="51"/>
      <c r="B337" s="44"/>
      <c r="C337" s="44"/>
      <c r="D337" s="44"/>
      <c r="E337" s="45"/>
      <c r="F337" s="11" t="s">
        <v>74</v>
      </c>
      <c r="G337" s="12"/>
      <c r="H337" s="12"/>
      <c r="I337" s="12"/>
      <c r="J337" s="12"/>
      <c r="K337" s="12"/>
      <c r="L337" s="12"/>
      <c r="M337" s="12"/>
      <c r="N337" s="13"/>
      <c r="O337" s="121" t="str">
        <f>Q304</f>
        <v>1000 /1 Amp</v>
      </c>
      <c r="P337" s="122"/>
      <c r="Q337" s="122"/>
      <c r="R337" s="122"/>
      <c r="S337" s="122"/>
      <c r="T337" s="123"/>
      <c r="U337" s="14"/>
      <c r="V337" s="15"/>
      <c r="W337" s="43"/>
      <c r="X337" s="44"/>
      <c r="Y337" s="44"/>
      <c r="Z337" s="45"/>
      <c r="AA337" s="46"/>
      <c r="AB337" s="44"/>
      <c r="AC337" s="44"/>
      <c r="AD337" s="44"/>
      <c r="AE337" s="44"/>
      <c r="AF337" s="44"/>
      <c r="AG337" s="47"/>
    </row>
    <row r="338" spans="1:33" x14ac:dyDescent="0.3">
      <c r="A338" s="51"/>
      <c r="B338" s="49"/>
      <c r="C338" s="54"/>
      <c r="D338" s="44"/>
      <c r="E338" s="55"/>
      <c r="F338" s="16" t="s">
        <v>75</v>
      </c>
      <c r="G338" s="17"/>
      <c r="H338" s="17"/>
      <c r="I338" s="17"/>
      <c r="J338" s="17"/>
      <c r="K338" s="17"/>
      <c r="L338" s="17"/>
      <c r="M338" s="17"/>
      <c r="N338" s="17" t="s">
        <v>76</v>
      </c>
      <c r="O338" s="124">
        <f>L332</f>
        <v>100</v>
      </c>
      <c r="P338" s="125"/>
      <c r="Q338" s="18" t="s">
        <v>70</v>
      </c>
      <c r="R338" s="19"/>
      <c r="S338" s="18"/>
      <c r="T338" s="18"/>
      <c r="U338" s="18"/>
      <c r="V338" s="20"/>
      <c r="W338" s="48"/>
      <c r="X338" s="49"/>
      <c r="Y338" s="49"/>
      <c r="Z338" s="50"/>
      <c r="AA338" s="51"/>
      <c r="AB338" s="49"/>
      <c r="AC338" s="49"/>
      <c r="AD338" s="49"/>
      <c r="AE338" s="49"/>
      <c r="AF338" s="49"/>
      <c r="AG338" s="52"/>
    </row>
    <row r="339" spans="1:33" x14ac:dyDescent="0.3">
      <c r="A339" s="51"/>
      <c r="B339" s="49"/>
      <c r="C339" s="54"/>
      <c r="D339" s="54"/>
      <c r="E339" s="55"/>
      <c r="F339" s="16" t="s">
        <v>77</v>
      </c>
      <c r="G339" s="17"/>
      <c r="H339" s="17"/>
      <c r="I339" s="17"/>
      <c r="J339" s="17"/>
      <c r="K339" s="17"/>
      <c r="L339" s="17"/>
      <c r="M339" s="21"/>
      <c r="N339" s="22" t="s">
        <v>22</v>
      </c>
      <c r="O339" s="17">
        <f>J321</f>
        <v>3.5</v>
      </c>
      <c r="P339" s="17" t="s">
        <v>78</v>
      </c>
      <c r="Q339" s="17"/>
      <c r="R339" s="17"/>
      <c r="S339" s="17"/>
      <c r="T339" s="17"/>
      <c r="U339" s="17"/>
      <c r="V339" s="20"/>
      <c r="W339" s="53"/>
      <c r="X339" s="49"/>
      <c r="Y339" s="49"/>
      <c r="Z339" s="50"/>
      <c r="AA339" s="51"/>
      <c r="AB339" s="49"/>
      <c r="AC339" s="49"/>
      <c r="AD339" s="49"/>
      <c r="AE339" s="49"/>
      <c r="AF339" s="49"/>
      <c r="AG339" s="52"/>
    </row>
    <row r="340" spans="1:33" ht="15" thickBot="1" x14ac:dyDescent="0.35">
      <c r="A340" s="51"/>
      <c r="B340" s="49"/>
      <c r="C340" s="54"/>
      <c r="D340" s="54"/>
      <c r="E340" s="55"/>
      <c r="F340" s="24" t="s">
        <v>79</v>
      </c>
      <c r="G340" s="38"/>
      <c r="H340" s="25"/>
      <c r="I340" s="25"/>
      <c r="J340" s="25"/>
      <c r="K340" s="25"/>
      <c r="L340" s="25"/>
      <c r="M340" s="25"/>
      <c r="N340" s="25"/>
      <c r="O340" s="25" t="str">
        <f>M334</f>
        <v>PX</v>
      </c>
      <c r="P340" s="25"/>
      <c r="Q340" s="25"/>
      <c r="R340" s="25"/>
      <c r="S340" s="25"/>
      <c r="T340" s="25"/>
      <c r="U340" s="25"/>
      <c r="V340" s="26"/>
      <c r="W340" s="53"/>
      <c r="X340" s="49"/>
      <c r="Y340" s="49"/>
      <c r="Z340" s="50"/>
      <c r="AA340" s="51"/>
      <c r="AB340" s="49"/>
      <c r="AC340" s="49"/>
      <c r="AD340" s="49"/>
      <c r="AE340" s="49"/>
      <c r="AF340" s="49"/>
      <c r="AG340" s="52"/>
    </row>
    <row r="341" spans="1:33" x14ac:dyDescent="0.3">
      <c r="A341" s="51"/>
      <c r="B341" s="49"/>
      <c r="C341" s="49"/>
      <c r="D341" s="49"/>
      <c r="E341" s="4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49"/>
      <c r="X341" s="49"/>
      <c r="Y341" s="49"/>
      <c r="Z341" s="52"/>
      <c r="AA341" s="53"/>
      <c r="AB341" s="49"/>
      <c r="AC341" s="49"/>
      <c r="AD341" s="49"/>
      <c r="AE341" s="49"/>
      <c r="AF341" s="49"/>
      <c r="AG341" s="52"/>
    </row>
    <row r="342" spans="1:33" x14ac:dyDescent="0.3">
      <c r="A342" s="51"/>
      <c r="B342" s="49" t="s">
        <v>150</v>
      </c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52"/>
      <c r="AA342" s="53"/>
      <c r="AB342" s="49"/>
      <c r="AC342" s="49"/>
      <c r="AD342" s="49"/>
      <c r="AE342" s="49"/>
      <c r="AF342" s="49"/>
      <c r="AG342" s="52"/>
    </row>
    <row r="343" spans="1:33" ht="15" thickBot="1" x14ac:dyDescent="0.35">
      <c r="A343" s="51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52"/>
      <c r="AA343" s="53"/>
      <c r="AB343" s="49"/>
      <c r="AC343" s="49"/>
      <c r="AD343" s="49"/>
      <c r="AE343" s="49"/>
      <c r="AF343" s="49"/>
      <c r="AG343" s="52"/>
    </row>
    <row r="344" spans="1:33" ht="17.25" customHeight="1" thickBot="1" x14ac:dyDescent="0.35">
      <c r="A344" s="51"/>
      <c r="B344" s="49"/>
      <c r="C344" s="49" t="s">
        <v>145</v>
      </c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50" t="s">
        <v>22</v>
      </c>
      <c r="Q344" s="126" t="s">
        <v>132</v>
      </c>
      <c r="R344" s="127"/>
      <c r="S344" s="127"/>
      <c r="T344" s="127"/>
      <c r="U344" s="127"/>
      <c r="V344" s="128"/>
      <c r="W344" s="53"/>
      <c r="X344" s="49"/>
      <c r="Y344" s="49"/>
      <c r="Z344" s="50"/>
      <c r="AA344" s="51"/>
      <c r="AB344" s="49"/>
      <c r="AC344" s="49"/>
      <c r="AD344" s="49"/>
      <c r="AE344" s="49"/>
      <c r="AF344" s="49"/>
      <c r="AG344" s="52"/>
    </row>
    <row r="345" spans="1:33" x14ac:dyDescent="0.3">
      <c r="A345" s="51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50"/>
      <c r="AA345" s="51"/>
      <c r="AB345" s="49"/>
      <c r="AC345" s="49"/>
      <c r="AD345" s="49"/>
      <c r="AE345" s="49"/>
      <c r="AF345" s="49"/>
      <c r="AG345" s="52"/>
    </row>
    <row r="346" spans="1:33" x14ac:dyDescent="0.3">
      <c r="A346" s="51"/>
      <c r="B346" s="49"/>
      <c r="C346" s="70" t="s">
        <v>34</v>
      </c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50"/>
      <c r="AA346" s="51"/>
      <c r="AB346" s="49"/>
      <c r="AC346" s="49"/>
      <c r="AD346" s="49"/>
      <c r="AE346" s="49"/>
      <c r="AF346" s="49"/>
      <c r="AG346" s="52"/>
    </row>
    <row r="347" spans="1:33" x14ac:dyDescent="0.3">
      <c r="A347" s="53"/>
      <c r="B347" s="49"/>
      <c r="C347" s="71"/>
      <c r="D347" s="49"/>
      <c r="E347" s="49"/>
      <c r="F347" s="49"/>
      <c r="G347" s="49"/>
      <c r="H347" s="49"/>
      <c r="I347" s="49"/>
      <c r="J347" s="58"/>
      <c r="K347" s="58"/>
      <c r="L347" s="58"/>
      <c r="M347" s="59"/>
      <c r="N347" s="59"/>
      <c r="O347" s="49"/>
      <c r="P347" s="49"/>
      <c r="Q347" s="49"/>
      <c r="R347" s="49"/>
      <c r="S347" s="49"/>
      <c r="T347" s="49"/>
      <c r="U347" s="49"/>
      <c r="V347" s="66"/>
      <c r="W347" s="66"/>
      <c r="X347" s="66"/>
      <c r="Y347" s="49"/>
      <c r="Z347" s="50"/>
      <c r="AA347" s="51"/>
      <c r="AB347" s="49"/>
      <c r="AC347" s="49"/>
      <c r="AD347" s="49"/>
      <c r="AE347" s="49"/>
      <c r="AF347" s="49"/>
      <c r="AG347" s="52"/>
    </row>
    <row r="348" spans="1:33" ht="15.6" x14ac:dyDescent="0.35">
      <c r="A348" s="53"/>
      <c r="B348" s="49"/>
      <c r="C348" s="72" t="s">
        <v>35</v>
      </c>
      <c r="D348" s="49"/>
      <c r="E348" s="49"/>
      <c r="F348" s="49"/>
      <c r="G348" s="49"/>
      <c r="H348" s="49"/>
      <c r="I348" s="49"/>
      <c r="J348" s="58"/>
      <c r="K348" s="58"/>
      <c r="L348" s="68" t="s">
        <v>36</v>
      </c>
      <c r="M348" s="73" t="s">
        <v>22</v>
      </c>
      <c r="N348" s="68" t="s">
        <v>37</v>
      </c>
      <c r="O348" s="59"/>
      <c r="P348" s="49"/>
      <c r="Q348" s="49"/>
      <c r="R348" s="49" t="s">
        <v>38</v>
      </c>
      <c r="S348" s="49"/>
      <c r="T348" s="49"/>
      <c r="U348" s="49"/>
      <c r="V348" s="66"/>
      <c r="W348" s="66"/>
      <c r="X348" s="66"/>
      <c r="Y348" s="49"/>
      <c r="Z348" s="50"/>
      <c r="AA348" s="51"/>
      <c r="AB348" s="49"/>
      <c r="AC348" s="49"/>
      <c r="AD348" s="49"/>
      <c r="AE348" s="49"/>
      <c r="AF348" s="49"/>
      <c r="AG348" s="52"/>
    </row>
    <row r="349" spans="1:33" x14ac:dyDescent="0.3">
      <c r="A349" s="53"/>
      <c r="B349" s="49"/>
      <c r="C349" s="71"/>
      <c r="D349" s="49"/>
      <c r="E349" s="49"/>
      <c r="F349" s="49"/>
      <c r="G349" s="49"/>
      <c r="H349" s="49"/>
      <c r="I349" s="49"/>
      <c r="J349" s="58"/>
      <c r="K349" s="58"/>
      <c r="L349" s="58"/>
      <c r="M349" s="59"/>
      <c r="N349" s="59"/>
      <c r="O349" s="49"/>
      <c r="P349" s="49"/>
      <c r="Q349" s="49"/>
      <c r="R349" s="49"/>
      <c r="S349" s="49"/>
      <c r="T349" s="49"/>
      <c r="U349" s="49"/>
      <c r="V349" s="66"/>
      <c r="W349" s="66"/>
      <c r="X349" s="66"/>
      <c r="Y349" s="49"/>
      <c r="Z349" s="50"/>
      <c r="AA349" s="51"/>
      <c r="AB349" s="49"/>
      <c r="AC349" s="49"/>
      <c r="AD349" s="49"/>
      <c r="AE349" s="49"/>
      <c r="AF349" s="49"/>
      <c r="AG349" s="52"/>
    </row>
    <row r="350" spans="1:33" x14ac:dyDescent="0.3">
      <c r="A350" s="53"/>
      <c r="B350" s="49"/>
      <c r="C350" s="68"/>
      <c r="D350" s="72" t="s">
        <v>39</v>
      </c>
      <c r="E350" s="49"/>
      <c r="F350" s="49"/>
      <c r="G350" s="49"/>
      <c r="H350" s="49"/>
      <c r="I350" s="49"/>
      <c r="J350" s="58"/>
      <c r="K350" s="58"/>
      <c r="L350" s="58"/>
      <c r="M350" s="59"/>
      <c r="N350" s="59"/>
      <c r="O350" s="49"/>
      <c r="P350" s="49"/>
      <c r="Q350" s="49"/>
      <c r="R350" s="49"/>
      <c r="S350" s="49"/>
      <c r="T350" s="49"/>
      <c r="U350" s="49"/>
      <c r="V350" s="66"/>
      <c r="W350" s="66"/>
      <c r="X350" s="66"/>
      <c r="Y350" s="49"/>
      <c r="Z350" s="50"/>
      <c r="AA350" s="51"/>
      <c r="AB350" s="49"/>
      <c r="AC350" s="49"/>
      <c r="AD350" s="49"/>
      <c r="AE350" s="49"/>
      <c r="AF350" s="49"/>
      <c r="AG350" s="52"/>
    </row>
    <row r="351" spans="1:33" x14ac:dyDescent="0.3">
      <c r="A351" s="53"/>
      <c r="B351" s="49"/>
      <c r="C351" s="72"/>
      <c r="D351" s="49"/>
      <c r="E351" s="49"/>
      <c r="F351" s="49"/>
      <c r="G351" s="49" t="s">
        <v>40</v>
      </c>
      <c r="H351" s="49"/>
      <c r="I351" s="57" t="s">
        <v>22</v>
      </c>
      <c r="J351" s="58" t="s">
        <v>41</v>
      </c>
      <c r="K351" s="58"/>
      <c r="L351" s="58"/>
      <c r="M351" s="59"/>
      <c r="N351" s="59"/>
      <c r="O351" s="49"/>
      <c r="P351" s="49"/>
      <c r="Q351" s="49"/>
      <c r="R351" s="49"/>
      <c r="S351" s="49"/>
      <c r="T351" s="49"/>
      <c r="U351" s="49"/>
      <c r="V351" s="66"/>
      <c r="W351" s="66"/>
      <c r="X351" s="66"/>
      <c r="Y351" s="49"/>
      <c r="Z351" s="50"/>
      <c r="AA351" s="51"/>
      <c r="AB351" s="49"/>
      <c r="AC351" s="49"/>
      <c r="AD351" s="49"/>
      <c r="AE351" s="49"/>
      <c r="AF351" s="49"/>
      <c r="AG351" s="52"/>
    </row>
    <row r="352" spans="1:33" x14ac:dyDescent="0.3">
      <c r="A352" s="53"/>
      <c r="B352" s="49"/>
      <c r="C352" s="72"/>
      <c r="D352" s="49"/>
      <c r="E352" s="49"/>
      <c r="F352" s="49"/>
      <c r="G352" s="49" t="s">
        <v>42</v>
      </c>
      <c r="H352" s="49"/>
      <c r="I352" s="57" t="s">
        <v>22</v>
      </c>
      <c r="J352" s="58" t="s">
        <v>43</v>
      </c>
      <c r="K352" s="58"/>
      <c r="L352" s="58"/>
      <c r="M352" s="59"/>
      <c r="N352" s="59"/>
      <c r="O352" s="49"/>
      <c r="P352" s="49"/>
      <c r="Q352" s="49"/>
      <c r="R352" s="49"/>
      <c r="S352" s="49"/>
      <c r="T352" s="49"/>
      <c r="U352" s="49"/>
      <c r="V352" s="66"/>
      <c r="W352" s="66"/>
      <c r="X352" s="66"/>
      <c r="Y352" s="49"/>
      <c r="Z352" s="50"/>
      <c r="AA352" s="51"/>
      <c r="AB352" s="49"/>
      <c r="AC352" s="49"/>
      <c r="AD352" s="49"/>
      <c r="AE352" s="49"/>
      <c r="AF352" s="49"/>
      <c r="AG352" s="52"/>
    </row>
    <row r="353" spans="1:33" x14ac:dyDescent="0.3">
      <c r="A353" s="53"/>
      <c r="B353" s="49"/>
      <c r="C353" s="72"/>
      <c r="D353" s="49"/>
      <c r="E353" s="49"/>
      <c r="F353" s="49"/>
      <c r="G353" s="49" t="s">
        <v>44</v>
      </c>
      <c r="H353" s="49"/>
      <c r="I353" s="57" t="s">
        <v>22</v>
      </c>
      <c r="J353" s="58" t="s">
        <v>45</v>
      </c>
      <c r="K353" s="58"/>
      <c r="L353" s="58"/>
      <c r="M353" s="59"/>
      <c r="N353" s="59"/>
      <c r="O353" s="49"/>
      <c r="P353" s="49"/>
      <c r="Q353" s="49"/>
      <c r="R353" s="49"/>
      <c r="S353" s="49"/>
      <c r="T353" s="49"/>
      <c r="U353" s="49"/>
      <c r="V353" s="66"/>
      <c r="W353" s="66"/>
      <c r="X353" s="66"/>
      <c r="Y353" s="49"/>
      <c r="Z353" s="50"/>
      <c r="AA353" s="51"/>
      <c r="AB353" s="49"/>
      <c r="AC353" s="49"/>
      <c r="AD353" s="49"/>
      <c r="AE353" s="49"/>
      <c r="AF353" s="49"/>
      <c r="AG353" s="52"/>
    </row>
    <row r="354" spans="1:33" x14ac:dyDescent="0.3">
      <c r="A354" s="53"/>
      <c r="B354" s="49"/>
      <c r="C354" s="72"/>
      <c r="D354" s="49"/>
      <c r="E354" s="49"/>
      <c r="F354" s="49"/>
      <c r="G354" s="49" t="s">
        <v>46</v>
      </c>
      <c r="H354" s="49"/>
      <c r="I354" s="57" t="s">
        <v>22</v>
      </c>
      <c r="J354" s="58" t="s">
        <v>47</v>
      </c>
      <c r="K354" s="58"/>
      <c r="L354" s="58"/>
      <c r="M354" s="59"/>
      <c r="N354" s="59"/>
      <c r="O354" s="49"/>
      <c r="P354" s="49"/>
      <c r="Q354" s="49"/>
      <c r="R354" s="49"/>
      <c r="S354" s="49"/>
      <c r="T354" s="49"/>
      <c r="U354" s="49"/>
      <c r="V354" s="66"/>
      <c r="W354" s="66"/>
      <c r="X354" s="66"/>
      <c r="Y354" s="49"/>
      <c r="Z354" s="50"/>
      <c r="AA354" s="51"/>
      <c r="AB354" s="49"/>
      <c r="AC354" s="49"/>
      <c r="AD354" s="49"/>
      <c r="AE354" s="49"/>
      <c r="AF354" s="49"/>
      <c r="AG354" s="52"/>
    </row>
    <row r="355" spans="1:33" x14ac:dyDescent="0.3">
      <c r="A355" s="53"/>
      <c r="B355" s="49"/>
      <c r="C355" s="72"/>
      <c r="D355" s="49"/>
      <c r="E355" s="49"/>
      <c r="F355" s="49"/>
      <c r="G355" s="49"/>
      <c r="H355" s="49"/>
      <c r="I355" s="57" t="s">
        <v>22</v>
      </c>
      <c r="J355" s="58" t="s">
        <v>48</v>
      </c>
      <c r="K355" s="58"/>
      <c r="L355" s="58"/>
      <c r="M355" s="59"/>
      <c r="N355" s="59"/>
      <c r="O355" s="49"/>
      <c r="P355" s="49"/>
      <c r="Q355" s="49"/>
      <c r="R355" s="49"/>
      <c r="S355" s="49"/>
      <c r="T355" s="49"/>
      <c r="U355" s="49"/>
      <c r="V355" s="66"/>
      <c r="W355" s="66"/>
      <c r="X355" s="66"/>
      <c r="Y355" s="49"/>
      <c r="Z355" s="50"/>
      <c r="AA355" s="51"/>
      <c r="AB355" s="49"/>
      <c r="AC355" s="49"/>
      <c r="AD355" s="49"/>
      <c r="AE355" s="49"/>
      <c r="AF355" s="49"/>
      <c r="AG355" s="52"/>
    </row>
    <row r="356" spans="1:33" x14ac:dyDescent="0.3">
      <c r="A356" s="53"/>
      <c r="B356" s="49"/>
      <c r="C356" s="72"/>
      <c r="D356" s="49"/>
      <c r="E356" s="49"/>
      <c r="F356" s="49"/>
      <c r="G356" s="49" t="s">
        <v>49</v>
      </c>
      <c r="H356" s="49"/>
      <c r="I356" s="57" t="s">
        <v>22</v>
      </c>
      <c r="J356" s="58" t="s">
        <v>50</v>
      </c>
      <c r="K356" s="58"/>
      <c r="L356" s="58"/>
      <c r="M356" s="58"/>
      <c r="N356" s="59"/>
      <c r="O356" s="49"/>
      <c r="P356" s="59"/>
      <c r="Q356" s="59"/>
      <c r="R356" s="49"/>
      <c r="S356" s="50"/>
      <c r="T356" s="49"/>
      <c r="U356" s="49"/>
      <c r="V356" s="66"/>
      <c r="W356" s="66"/>
      <c r="X356" s="66"/>
      <c r="Y356" s="53"/>
      <c r="Z356" s="50"/>
      <c r="AA356" s="51"/>
      <c r="AB356" s="50"/>
      <c r="AC356" s="53"/>
      <c r="AD356" s="49"/>
      <c r="AE356" s="49"/>
      <c r="AF356" s="49"/>
      <c r="AG356" s="52"/>
    </row>
    <row r="357" spans="1:33" x14ac:dyDescent="0.3">
      <c r="A357" s="51"/>
      <c r="B357" s="49"/>
      <c r="C357" s="49" t="s">
        <v>51</v>
      </c>
      <c r="D357" s="49"/>
      <c r="E357" s="49"/>
      <c r="F357" s="49"/>
      <c r="G357" s="49"/>
      <c r="H357" s="49"/>
      <c r="I357" s="49"/>
      <c r="J357" s="49"/>
      <c r="K357" s="57"/>
      <c r="L357" s="66"/>
      <c r="M357" s="66"/>
      <c r="N357" s="49"/>
      <c r="O357" s="49"/>
      <c r="P357" s="59"/>
      <c r="Q357" s="59"/>
      <c r="R357" s="49"/>
      <c r="S357" s="50"/>
      <c r="T357" s="60"/>
      <c r="U357" s="60"/>
      <c r="V357" s="57"/>
      <c r="W357" s="61"/>
      <c r="X357" s="61"/>
      <c r="Y357" s="53"/>
      <c r="Z357" s="50"/>
      <c r="AA357" s="51"/>
      <c r="AB357" s="62"/>
      <c r="AC357" s="63"/>
      <c r="AD357" s="49"/>
      <c r="AE357" s="49"/>
      <c r="AF357" s="49"/>
      <c r="AG357" s="52"/>
    </row>
    <row r="358" spans="1:33" ht="15" thickBot="1" x14ac:dyDescent="0.35">
      <c r="A358" s="51"/>
      <c r="B358" s="49"/>
      <c r="C358" s="49"/>
      <c r="D358" s="49"/>
      <c r="E358" s="49"/>
      <c r="F358" s="49"/>
      <c r="G358" s="49"/>
      <c r="H358" s="49"/>
      <c r="I358" s="49"/>
      <c r="J358" s="66"/>
      <c r="K358" s="74"/>
      <c r="L358" s="66"/>
      <c r="M358" s="66"/>
      <c r="N358" s="49"/>
      <c r="O358" s="49"/>
      <c r="P358" s="59"/>
      <c r="Q358" s="59"/>
      <c r="R358" s="49"/>
      <c r="S358" s="50"/>
      <c r="T358" s="60"/>
      <c r="U358" s="60"/>
      <c r="V358" s="57"/>
      <c r="W358" s="61"/>
      <c r="X358" s="61"/>
      <c r="Y358" s="53"/>
      <c r="Z358" s="50"/>
      <c r="AA358" s="51"/>
      <c r="AB358" s="62"/>
      <c r="AC358" s="63"/>
      <c r="AD358" s="49"/>
      <c r="AE358" s="49"/>
      <c r="AF358" s="49"/>
      <c r="AG358" s="52"/>
    </row>
    <row r="359" spans="1:33" ht="16.2" thickBot="1" x14ac:dyDescent="0.4">
      <c r="A359" s="51"/>
      <c r="B359" s="49"/>
      <c r="C359" s="49"/>
      <c r="D359" s="49"/>
      <c r="E359" s="49"/>
      <c r="F359" s="49"/>
      <c r="G359" s="49" t="s">
        <v>54</v>
      </c>
      <c r="H359" s="49"/>
      <c r="I359" s="64" t="s">
        <v>22</v>
      </c>
      <c r="J359" s="119">
        <v>20</v>
      </c>
      <c r="K359" s="120"/>
      <c r="L359" s="53"/>
      <c r="M359" s="66"/>
      <c r="N359" s="49"/>
      <c r="O359" s="49"/>
      <c r="P359" s="59"/>
      <c r="Q359" s="59"/>
      <c r="R359" s="49"/>
      <c r="S359" s="50"/>
      <c r="T359" s="60"/>
      <c r="U359" s="60"/>
      <c r="V359" s="57"/>
      <c r="W359" s="61"/>
      <c r="X359" s="61"/>
      <c r="Y359" s="53"/>
      <c r="Z359" s="50"/>
      <c r="AA359" s="51"/>
      <c r="AB359" s="62"/>
      <c r="AC359" s="63"/>
      <c r="AD359" s="49"/>
      <c r="AE359" s="49"/>
      <c r="AF359" s="49"/>
      <c r="AG359" s="52"/>
    </row>
    <row r="360" spans="1:33" ht="15" thickBot="1" x14ac:dyDescent="0.35">
      <c r="A360" s="51"/>
      <c r="B360" s="49"/>
      <c r="C360" s="49"/>
      <c r="D360" s="49"/>
      <c r="E360" s="49"/>
      <c r="F360" s="49"/>
      <c r="G360" s="49"/>
      <c r="H360" s="49"/>
      <c r="I360" s="57"/>
      <c r="J360" s="58"/>
      <c r="K360" s="58"/>
      <c r="L360" s="66"/>
      <c r="M360" s="66"/>
      <c r="N360" s="49"/>
      <c r="O360" s="49"/>
      <c r="P360" s="59"/>
      <c r="Q360" s="59"/>
      <c r="R360" s="49"/>
      <c r="S360" s="50"/>
      <c r="T360" s="60"/>
      <c r="U360" s="60"/>
      <c r="V360" s="57"/>
      <c r="W360" s="61"/>
      <c r="X360" s="61"/>
      <c r="Y360" s="53"/>
      <c r="Z360" s="50"/>
      <c r="AA360" s="51"/>
      <c r="AB360" s="62"/>
      <c r="AC360" s="63"/>
      <c r="AD360" s="49"/>
      <c r="AE360" s="49"/>
      <c r="AF360" s="49"/>
      <c r="AG360" s="52"/>
    </row>
    <row r="361" spans="1:33" ht="16.2" thickBot="1" x14ac:dyDescent="0.4">
      <c r="A361" s="51"/>
      <c r="B361" s="49"/>
      <c r="C361" s="49"/>
      <c r="D361" s="49"/>
      <c r="E361" s="49"/>
      <c r="F361" s="49"/>
      <c r="G361" s="49" t="s">
        <v>55</v>
      </c>
      <c r="H361" s="49"/>
      <c r="I361" s="64" t="s">
        <v>22</v>
      </c>
      <c r="J361" s="119">
        <v>7</v>
      </c>
      <c r="K361" s="120"/>
      <c r="L361" s="69"/>
      <c r="M361" s="66"/>
      <c r="N361" s="49"/>
      <c r="O361" s="49"/>
      <c r="P361" s="59"/>
      <c r="Q361" s="59"/>
      <c r="R361" s="49"/>
      <c r="S361" s="50"/>
      <c r="T361" s="60"/>
      <c r="U361" s="60"/>
      <c r="V361" s="57"/>
      <c r="W361" s="61"/>
      <c r="X361" s="61"/>
      <c r="Y361" s="53"/>
      <c r="Z361" s="50"/>
      <c r="AA361" s="51"/>
      <c r="AB361" s="62"/>
      <c r="AC361" s="63"/>
      <c r="AD361" s="49"/>
      <c r="AE361" s="49"/>
      <c r="AF361" s="49"/>
      <c r="AG361" s="52"/>
    </row>
    <row r="362" spans="1:33" x14ac:dyDescent="0.3">
      <c r="A362" s="51"/>
      <c r="B362" s="49"/>
      <c r="C362" s="49"/>
      <c r="D362" s="49"/>
      <c r="E362" s="49"/>
      <c r="F362" s="49"/>
      <c r="G362" s="49"/>
      <c r="H362" s="49"/>
      <c r="I362" s="49"/>
      <c r="J362" s="59"/>
      <c r="K362" s="65"/>
      <c r="L362" s="66"/>
      <c r="M362" s="66"/>
      <c r="N362" s="49"/>
      <c r="O362" s="49"/>
      <c r="P362" s="59"/>
      <c r="Q362" s="59"/>
      <c r="R362" s="49"/>
      <c r="S362" s="50"/>
      <c r="T362" s="60"/>
      <c r="U362" s="60"/>
      <c r="V362" s="57"/>
      <c r="W362" s="61"/>
      <c r="X362" s="61"/>
      <c r="Y362" s="53"/>
      <c r="Z362" s="50"/>
      <c r="AA362" s="51"/>
      <c r="AB362" s="62"/>
      <c r="AC362" s="63"/>
      <c r="AD362" s="49"/>
      <c r="AE362" s="49"/>
      <c r="AF362" s="49"/>
      <c r="AG362" s="52"/>
    </row>
    <row r="363" spans="1:33" ht="15.6" x14ac:dyDescent="0.35">
      <c r="A363" s="51"/>
      <c r="B363" s="49"/>
      <c r="C363" s="49"/>
      <c r="D363" s="49"/>
      <c r="E363" s="49"/>
      <c r="F363" s="49"/>
      <c r="G363" s="49" t="s">
        <v>56</v>
      </c>
      <c r="H363" s="49"/>
      <c r="I363" s="57" t="s">
        <v>22</v>
      </c>
      <c r="J363" s="49" t="s">
        <v>57</v>
      </c>
      <c r="K363" s="57"/>
      <c r="L363" s="66"/>
      <c r="M363" s="66"/>
      <c r="N363" s="49"/>
      <c r="O363" s="49"/>
      <c r="P363" s="59"/>
      <c r="Q363" s="59"/>
      <c r="R363" s="49"/>
      <c r="S363" s="50"/>
      <c r="T363" s="60"/>
      <c r="U363" s="60"/>
      <c r="V363" s="57"/>
      <c r="W363" s="61"/>
      <c r="X363" s="61"/>
      <c r="Y363" s="53"/>
      <c r="Z363" s="50"/>
      <c r="AA363" s="51"/>
      <c r="AB363" s="62"/>
      <c r="AC363" s="63"/>
      <c r="AD363" s="49"/>
      <c r="AE363" s="49"/>
      <c r="AF363" s="49"/>
      <c r="AG363" s="52"/>
    </row>
    <row r="364" spans="1:33" x14ac:dyDescent="0.3">
      <c r="A364" s="51"/>
      <c r="B364" s="49"/>
      <c r="C364" s="49"/>
      <c r="D364" s="49" t="s">
        <v>58</v>
      </c>
      <c r="E364" s="49"/>
      <c r="F364" s="49"/>
      <c r="G364" s="49"/>
      <c r="H364" s="49"/>
      <c r="I364" s="49"/>
      <c r="J364" s="49"/>
      <c r="K364" s="57"/>
      <c r="L364" s="66"/>
      <c r="M364" s="66"/>
      <c r="N364" s="49"/>
      <c r="O364" s="49"/>
      <c r="P364" s="59"/>
      <c r="Q364" s="59"/>
      <c r="R364" s="49"/>
      <c r="S364" s="50"/>
      <c r="T364" s="60"/>
      <c r="U364" s="60"/>
      <c r="V364" s="57"/>
      <c r="W364" s="61"/>
      <c r="X364" s="61"/>
      <c r="Y364" s="53"/>
      <c r="Z364" s="50"/>
      <c r="AA364" s="51"/>
      <c r="AB364" s="62"/>
      <c r="AC364" s="63"/>
      <c r="AD364" s="49"/>
      <c r="AE364" s="49"/>
      <c r="AF364" s="49"/>
      <c r="AG364" s="52"/>
    </row>
    <row r="365" spans="1:33" x14ac:dyDescent="0.3">
      <c r="A365" s="51"/>
      <c r="B365" s="49"/>
      <c r="C365" s="49"/>
      <c r="D365" s="49"/>
      <c r="E365" s="49"/>
      <c r="F365" s="49"/>
      <c r="G365" s="49"/>
      <c r="H365" s="49"/>
      <c r="I365" s="49"/>
      <c r="J365" s="49"/>
      <c r="K365" s="57"/>
      <c r="L365" s="66"/>
      <c r="M365" s="66"/>
      <c r="N365" s="49"/>
      <c r="O365" s="49"/>
      <c r="P365" s="59"/>
      <c r="Q365" s="59"/>
      <c r="R365" s="49"/>
      <c r="S365" s="50"/>
      <c r="T365" s="60"/>
      <c r="U365" s="60"/>
      <c r="V365" s="57"/>
      <c r="W365" s="61"/>
      <c r="X365" s="61"/>
      <c r="Y365" s="53"/>
      <c r="Z365" s="50"/>
      <c r="AA365" s="51"/>
      <c r="AB365" s="62"/>
      <c r="AC365" s="63"/>
      <c r="AD365" s="49"/>
      <c r="AE365" s="49"/>
      <c r="AF365" s="49"/>
      <c r="AG365" s="52"/>
    </row>
    <row r="366" spans="1:33" ht="15.6" x14ac:dyDescent="0.35">
      <c r="A366" s="51"/>
      <c r="B366" s="49"/>
      <c r="C366" s="49"/>
      <c r="D366" s="49" t="s">
        <v>147</v>
      </c>
      <c r="E366" s="49"/>
      <c r="F366" s="49"/>
      <c r="G366" s="49"/>
      <c r="H366" s="49"/>
      <c r="I366" s="49"/>
      <c r="J366" s="49"/>
      <c r="K366" s="57"/>
      <c r="L366" s="66"/>
      <c r="M366" s="66"/>
      <c r="N366" s="49"/>
      <c r="O366" s="49"/>
      <c r="P366" s="59"/>
      <c r="Q366" s="59"/>
      <c r="R366" s="49"/>
      <c r="S366" s="50"/>
      <c r="T366" s="60"/>
      <c r="U366" s="60"/>
      <c r="V366" s="57"/>
      <c r="W366" s="61"/>
      <c r="X366" s="61"/>
      <c r="Y366" s="53"/>
      <c r="Z366" s="50"/>
      <c r="AA366" s="51"/>
      <c r="AB366" s="62"/>
      <c r="AC366" s="63"/>
      <c r="AD366" s="49"/>
      <c r="AE366" s="49"/>
      <c r="AF366" s="49"/>
      <c r="AG366" s="52"/>
    </row>
    <row r="367" spans="1:33" x14ac:dyDescent="0.3">
      <c r="A367" s="51"/>
      <c r="B367" s="49"/>
      <c r="C367" s="49"/>
      <c r="D367" s="49"/>
      <c r="E367" s="49"/>
      <c r="F367" s="49"/>
      <c r="G367" s="49"/>
      <c r="H367" s="49"/>
      <c r="I367" s="49"/>
      <c r="J367" s="49"/>
      <c r="K367" s="57"/>
      <c r="L367" s="66"/>
      <c r="M367" s="66"/>
      <c r="N367" s="49"/>
      <c r="O367" s="49"/>
      <c r="P367" s="59"/>
      <c r="Q367" s="59"/>
      <c r="R367" s="49"/>
      <c r="S367" s="50"/>
      <c r="T367" s="60"/>
      <c r="U367" s="60"/>
      <c r="V367" s="57"/>
      <c r="W367" s="61"/>
      <c r="X367" s="61"/>
      <c r="Y367" s="53"/>
      <c r="Z367" s="50"/>
      <c r="AA367" s="51"/>
      <c r="AB367" s="62"/>
      <c r="AC367" s="63"/>
      <c r="AD367" s="49"/>
      <c r="AE367" s="49"/>
      <c r="AF367" s="49"/>
      <c r="AG367" s="52"/>
    </row>
    <row r="368" spans="1:33" ht="15.6" x14ac:dyDescent="0.35">
      <c r="A368" s="51"/>
      <c r="B368" s="49"/>
      <c r="C368" s="49" t="s">
        <v>67</v>
      </c>
      <c r="D368" s="49"/>
      <c r="E368" s="49"/>
      <c r="F368" s="49"/>
      <c r="G368" s="49"/>
      <c r="H368" s="49"/>
      <c r="I368" s="49"/>
      <c r="J368" s="49"/>
      <c r="K368" s="57" t="s">
        <v>22</v>
      </c>
      <c r="L368" s="66">
        <f>J359</f>
        <v>20</v>
      </c>
      <c r="M368" s="67" t="s">
        <v>27</v>
      </c>
      <c r="N368" s="49">
        <f>J361</f>
        <v>7</v>
      </c>
      <c r="O368" s="49"/>
      <c r="P368" s="59"/>
      <c r="Q368" s="59"/>
      <c r="R368" s="49"/>
      <c r="S368" s="50"/>
      <c r="T368" s="60"/>
      <c r="U368" s="60"/>
      <c r="V368" s="57"/>
      <c r="W368" s="61"/>
      <c r="X368" s="61"/>
      <c r="Y368" s="53"/>
      <c r="Z368" s="50"/>
      <c r="AA368" s="51"/>
      <c r="AB368" s="62"/>
      <c r="AC368" s="63"/>
      <c r="AD368" s="49"/>
      <c r="AE368" s="49"/>
      <c r="AF368" s="49"/>
      <c r="AG368" s="52"/>
    </row>
    <row r="369" spans="1:33" x14ac:dyDescent="0.3">
      <c r="A369" s="51"/>
      <c r="B369" s="49"/>
      <c r="C369" s="49"/>
      <c r="D369" s="49"/>
      <c r="E369" s="49"/>
      <c r="F369" s="49"/>
      <c r="G369" s="49"/>
      <c r="H369" s="49"/>
      <c r="I369" s="49"/>
      <c r="J369" s="49"/>
      <c r="K369" s="57" t="s">
        <v>22</v>
      </c>
      <c r="L369" s="66">
        <f>J359*(J361)</f>
        <v>140</v>
      </c>
      <c r="M369" s="66"/>
      <c r="N369" s="49"/>
      <c r="O369" s="49"/>
      <c r="P369" s="59"/>
      <c r="Q369" s="59"/>
      <c r="R369" s="49"/>
      <c r="S369" s="50"/>
      <c r="T369" s="60"/>
      <c r="U369" s="60"/>
      <c r="V369" s="57"/>
      <c r="W369" s="61"/>
      <c r="X369" s="61"/>
      <c r="Y369" s="53"/>
      <c r="Z369" s="50"/>
      <c r="AA369" s="51"/>
      <c r="AB369" s="62"/>
      <c r="AC369" s="63"/>
      <c r="AD369" s="49"/>
      <c r="AE369" s="49"/>
      <c r="AF369" s="49"/>
      <c r="AG369" s="52"/>
    </row>
    <row r="370" spans="1:33" x14ac:dyDescent="0.3">
      <c r="A370" s="51"/>
      <c r="B370" s="49"/>
      <c r="C370" s="49" t="s">
        <v>68</v>
      </c>
      <c r="D370" s="49"/>
      <c r="E370" s="49"/>
      <c r="F370" s="49"/>
      <c r="G370" s="49"/>
      <c r="H370" s="49"/>
      <c r="I370" s="49"/>
      <c r="J370" s="49"/>
      <c r="K370" s="64"/>
      <c r="L370" s="68"/>
      <c r="M370" s="68"/>
      <c r="N370" s="53"/>
      <c r="O370" s="49"/>
      <c r="P370" s="59"/>
      <c r="Q370" s="59"/>
      <c r="R370" s="49"/>
      <c r="S370" s="50"/>
      <c r="T370" s="60"/>
      <c r="U370" s="60"/>
      <c r="V370" s="57"/>
      <c r="W370" s="61"/>
      <c r="X370" s="61"/>
      <c r="Y370" s="53"/>
      <c r="Z370" s="50"/>
      <c r="AA370" s="51"/>
      <c r="AB370" s="62"/>
      <c r="AC370" s="63"/>
      <c r="AD370" s="49"/>
      <c r="AE370" s="49"/>
      <c r="AF370" s="49"/>
      <c r="AG370" s="52"/>
    </row>
    <row r="371" spans="1:33" x14ac:dyDescent="0.3">
      <c r="A371" s="51"/>
      <c r="B371" s="49"/>
      <c r="C371" s="49"/>
      <c r="D371" s="49"/>
      <c r="E371" s="49"/>
      <c r="F371" s="49"/>
      <c r="G371" s="49"/>
      <c r="H371" s="49"/>
      <c r="I371" s="49"/>
      <c r="J371" s="49"/>
      <c r="K371" s="64" t="s">
        <v>22</v>
      </c>
      <c r="L371" s="68">
        <f>L369*1.2</f>
        <v>168</v>
      </c>
      <c r="M371" s="68"/>
      <c r="N371" s="53"/>
      <c r="O371" s="49"/>
      <c r="P371" s="59"/>
      <c r="Q371" s="59"/>
      <c r="R371" s="49"/>
      <c r="S371" s="50"/>
      <c r="T371" s="60"/>
      <c r="U371" s="60"/>
      <c r="V371" s="57"/>
      <c r="W371" s="61"/>
      <c r="X371" s="61"/>
      <c r="Y371" s="53"/>
      <c r="Z371" s="50"/>
      <c r="AA371" s="51"/>
      <c r="AB371" s="62"/>
      <c r="AC371" s="63"/>
      <c r="AD371" s="49"/>
      <c r="AE371" s="49"/>
      <c r="AF371" s="49"/>
      <c r="AG371" s="52"/>
    </row>
    <row r="372" spans="1:33" ht="15" thickBot="1" x14ac:dyDescent="0.35">
      <c r="A372" s="51"/>
      <c r="B372" s="49"/>
      <c r="C372" s="49"/>
      <c r="D372" s="49"/>
      <c r="E372" s="49"/>
      <c r="F372" s="49"/>
      <c r="G372" s="49"/>
      <c r="H372" s="49"/>
      <c r="I372" s="49"/>
      <c r="J372" s="49"/>
      <c r="K372" s="57"/>
      <c r="L372" s="66"/>
      <c r="M372" s="66"/>
      <c r="N372" s="49"/>
      <c r="O372" s="49"/>
      <c r="P372" s="59"/>
      <c r="Q372" s="59"/>
      <c r="R372" s="49"/>
      <c r="S372" s="50"/>
      <c r="T372" s="60"/>
      <c r="U372" s="60"/>
      <c r="V372" s="57"/>
      <c r="W372" s="61"/>
      <c r="X372" s="61"/>
      <c r="Y372" s="53"/>
      <c r="Z372" s="50"/>
      <c r="AA372" s="51"/>
      <c r="AB372" s="62"/>
      <c r="AC372" s="63"/>
      <c r="AD372" s="49"/>
      <c r="AE372" s="49"/>
      <c r="AF372" s="49"/>
      <c r="AG372" s="52"/>
    </row>
    <row r="373" spans="1:33" ht="15" thickBot="1" x14ac:dyDescent="0.35">
      <c r="A373" s="51"/>
      <c r="B373" s="49"/>
      <c r="C373" s="49"/>
      <c r="D373" s="49"/>
      <c r="E373" s="49"/>
      <c r="F373" s="49"/>
      <c r="G373" s="49"/>
      <c r="H373" s="49"/>
      <c r="I373" s="49" t="s">
        <v>69</v>
      </c>
      <c r="J373" s="49"/>
      <c r="K373" s="64" t="s">
        <v>22</v>
      </c>
      <c r="L373" s="119">
        <v>175</v>
      </c>
      <c r="M373" s="120"/>
      <c r="N373" s="53" t="s">
        <v>70</v>
      </c>
      <c r="O373" s="49"/>
      <c r="P373" s="59"/>
      <c r="Q373" s="59"/>
      <c r="R373" s="49"/>
      <c r="S373" s="50"/>
      <c r="T373" s="60"/>
      <c r="U373" s="60"/>
      <c r="V373" s="57"/>
      <c r="W373" s="61"/>
      <c r="X373" s="61"/>
      <c r="Y373" s="53"/>
      <c r="Z373" s="50"/>
      <c r="AA373" s="51"/>
      <c r="AB373" s="62"/>
      <c r="AC373" s="63"/>
      <c r="AD373" s="49"/>
      <c r="AE373" s="49"/>
      <c r="AF373" s="49"/>
      <c r="AG373" s="52"/>
    </row>
    <row r="374" spans="1:33" ht="15" thickBot="1" x14ac:dyDescent="0.35">
      <c r="A374" s="51"/>
      <c r="B374" s="49"/>
      <c r="C374" s="49"/>
      <c r="D374" s="49"/>
      <c r="E374" s="49"/>
      <c r="F374" s="49"/>
      <c r="G374" s="49"/>
      <c r="H374" s="49"/>
      <c r="I374" s="49"/>
      <c r="J374" s="49"/>
      <c r="K374" s="57"/>
      <c r="L374" s="58"/>
      <c r="M374" s="58"/>
      <c r="N374" s="49"/>
      <c r="O374" s="49"/>
      <c r="P374" s="59"/>
      <c r="Q374" s="59"/>
      <c r="R374" s="49"/>
      <c r="S374" s="50"/>
      <c r="T374" s="60"/>
      <c r="U374" s="60"/>
      <c r="V374" s="57"/>
      <c r="W374" s="61"/>
      <c r="X374" s="61"/>
      <c r="Y374" s="53"/>
      <c r="Z374" s="50"/>
      <c r="AA374" s="51"/>
      <c r="AB374" s="62"/>
      <c r="AC374" s="63"/>
      <c r="AD374" s="49"/>
      <c r="AE374" s="49"/>
      <c r="AF374" s="49"/>
      <c r="AG374" s="52"/>
    </row>
    <row r="375" spans="1:33" ht="15" thickBot="1" x14ac:dyDescent="0.35">
      <c r="A375" s="51"/>
      <c r="B375" s="49"/>
      <c r="C375" s="49"/>
      <c r="D375" s="49"/>
      <c r="E375" s="49"/>
      <c r="F375" s="49"/>
      <c r="G375" s="49"/>
      <c r="H375" s="50"/>
      <c r="I375" s="8" t="s">
        <v>71</v>
      </c>
      <c r="J375" s="9"/>
      <c r="K375" s="9"/>
      <c r="L375" s="9"/>
      <c r="M375" s="10" t="s">
        <v>72</v>
      </c>
      <c r="N375" s="53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50"/>
      <c r="AA375" s="51"/>
      <c r="AB375" s="49"/>
      <c r="AC375" s="49"/>
      <c r="AD375" s="49"/>
      <c r="AE375" s="49"/>
      <c r="AF375" s="49"/>
      <c r="AG375" s="52"/>
    </row>
    <row r="376" spans="1:33" x14ac:dyDescent="0.3">
      <c r="A376" s="51"/>
      <c r="B376" s="49"/>
      <c r="C376" s="49" t="s">
        <v>73</v>
      </c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50"/>
      <c r="AA376" s="51"/>
      <c r="AB376" s="49"/>
      <c r="AC376" s="49"/>
      <c r="AD376" s="49"/>
      <c r="AE376" s="49"/>
      <c r="AF376" s="49"/>
      <c r="AG376" s="52"/>
    </row>
    <row r="377" spans="1:33" ht="15" thickBot="1" x14ac:dyDescent="0.35">
      <c r="A377" s="51"/>
      <c r="B377" s="44"/>
      <c r="C377" s="44"/>
      <c r="D377" s="44"/>
      <c r="E377" s="44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44"/>
      <c r="X377" s="44"/>
      <c r="Y377" s="44"/>
      <c r="Z377" s="45"/>
      <c r="AA377" s="46"/>
      <c r="AB377" s="44"/>
      <c r="AC377" s="44"/>
      <c r="AD377" s="44"/>
      <c r="AE377" s="44"/>
      <c r="AF377" s="44"/>
      <c r="AG377" s="47"/>
    </row>
    <row r="378" spans="1:33" x14ac:dyDescent="0.3">
      <c r="A378" s="51"/>
      <c r="B378" s="44"/>
      <c r="C378" s="44"/>
      <c r="D378" s="44"/>
      <c r="E378" s="45"/>
      <c r="F378" s="11" t="s">
        <v>74</v>
      </c>
      <c r="G378" s="12"/>
      <c r="H378" s="12"/>
      <c r="I378" s="12"/>
      <c r="J378" s="12"/>
      <c r="K378" s="12"/>
      <c r="L378" s="12"/>
      <c r="M378" s="12"/>
      <c r="N378" s="13"/>
      <c r="O378" s="121" t="str">
        <f>Q344</f>
        <v>2000 /1 Amp</v>
      </c>
      <c r="P378" s="122"/>
      <c r="Q378" s="122"/>
      <c r="R378" s="122"/>
      <c r="S378" s="122"/>
      <c r="T378" s="123"/>
      <c r="U378" s="14"/>
      <c r="V378" s="15"/>
      <c r="W378" s="43"/>
      <c r="X378" s="44"/>
      <c r="Y378" s="44"/>
      <c r="Z378" s="45"/>
      <c r="AA378" s="46"/>
      <c r="AB378" s="44"/>
      <c r="AC378" s="44"/>
      <c r="AD378" s="44"/>
      <c r="AE378" s="44"/>
      <c r="AF378" s="44"/>
      <c r="AG378" s="47"/>
    </row>
    <row r="379" spans="1:33" x14ac:dyDescent="0.3">
      <c r="A379" s="51"/>
      <c r="B379" s="49"/>
      <c r="C379" s="54"/>
      <c r="D379" s="44"/>
      <c r="E379" s="55"/>
      <c r="F379" s="16" t="s">
        <v>75</v>
      </c>
      <c r="G379" s="17"/>
      <c r="H379" s="17"/>
      <c r="I379" s="17"/>
      <c r="J379" s="17"/>
      <c r="K379" s="17"/>
      <c r="L379" s="17"/>
      <c r="M379" s="17"/>
      <c r="N379" s="17" t="s">
        <v>76</v>
      </c>
      <c r="O379" s="124">
        <f>L373</f>
        <v>175</v>
      </c>
      <c r="P379" s="125"/>
      <c r="Q379" s="18" t="s">
        <v>70</v>
      </c>
      <c r="R379" s="19"/>
      <c r="S379" s="18"/>
      <c r="T379" s="18"/>
      <c r="U379" s="18"/>
      <c r="V379" s="20"/>
      <c r="W379" s="48"/>
      <c r="X379" s="49"/>
      <c r="Y379" s="49"/>
      <c r="Z379" s="50"/>
      <c r="AA379" s="51"/>
      <c r="AB379" s="49"/>
      <c r="AC379" s="49"/>
      <c r="AD379" s="49"/>
      <c r="AE379" s="49"/>
      <c r="AF379" s="49"/>
      <c r="AG379" s="52"/>
    </row>
    <row r="380" spans="1:33" x14ac:dyDescent="0.3">
      <c r="A380" s="51"/>
      <c r="B380" s="49"/>
      <c r="C380" s="54"/>
      <c r="D380" s="54"/>
      <c r="E380" s="55"/>
      <c r="F380" s="16" t="s">
        <v>77</v>
      </c>
      <c r="G380" s="17"/>
      <c r="H380" s="17"/>
      <c r="I380" s="17"/>
      <c r="J380" s="17"/>
      <c r="K380" s="17"/>
      <c r="L380" s="17"/>
      <c r="M380" s="21"/>
      <c r="N380" s="22" t="s">
        <v>22</v>
      </c>
      <c r="O380" s="17">
        <f>J361</f>
        <v>7</v>
      </c>
      <c r="P380" s="17" t="s">
        <v>78</v>
      </c>
      <c r="Q380" s="17"/>
      <c r="R380" s="17"/>
      <c r="S380" s="17"/>
      <c r="T380" s="17"/>
      <c r="U380" s="17"/>
      <c r="V380" s="20"/>
      <c r="W380" s="53"/>
      <c r="X380" s="49"/>
      <c r="Y380" s="49"/>
      <c r="Z380" s="50"/>
      <c r="AA380" s="51"/>
      <c r="AB380" s="49"/>
      <c r="AC380" s="49"/>
      <c r="AD380" s="49"/>
      <c r="AE380" s="49"/>
      <c r="AF380" s="49"/>
      <c r="AG380" s="52"/>
    </row>
    <row r="381" spans="1:33" ht="12.75" customHeight="1" x14ac:dyDescent="0.3">
      <c r="A381" s="80"/>
      <c r="B381" s="66"/>
      <c r="C381" s="82"/>
      <c r="D381" s="82"/>
      <c r="E381" s="83"/>
      <c r="F381" s="39" t="s">
        <v>79</v>
      </c>
      <c r="G381" s="40"/>
      <c r="H381" s="41"/>
      <c r="I381" s="41"/>
      <c r="J381" s="41"/>
      <c r="K381" s="41"/>
      <c r="L381" s="41"/>
      <c r="M381" s="41"/>
      <c r="N381" s="41"/>
      <c r="O381" s="41" t="str">
        <f>M375</f>
        <v>PX</v>
      </c>
      <c r="P381" s="41"/>
      <c r="Q381" s="41"/>
      <c r="R381" s="41"/>
      <c r="S381" s="41"/>
      <c r="T381" s="41"/>
      <c r="U381" s="41"/>
      <c r="V381" s="42"/>
      <c r="W381" s="69"/>
      <c r="X381" s="66"/>
      <c r="Y381" s="66"/>
      <c r="Z381" s="79"/>
      <c r="AA381" s="80"/>
      <c r="AB381" s="66"/>
      <c r="AC381" s="66"/>
      <c r="AD381" s="66"/>
      <c r="AE381" s="66"/>
      <c r="AF381" s="66"/>
      <c r="AG381" s="81"/>
    </row>
    <row r="382" spans="1:33" s="4" customFormat="1" x14ac:dyDescent="0.3">
      <c r="A382" s="51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</row>
    <row r="383" spans="1:33" s="4" customFormat="1" x14ac:dyDescent="0.3">
      <c r="A383" s="51"/>
      <c r="B383" s="49" t="s">
        <v>151</v>
      </c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</row>
    <row r="384" spans="1:33" ht="15" thickBot="1" x14ac:dyDescent="0.35">
      <c r="A384" s="77"/>
      <c r="B384" s="59"/>
      <c r="C384" s="59" t="s">
        <v>152</v>
      </c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76"/>
      <c r="Q384" s="68"/>
      <c r="R384" s="68"/>
      <c r="S384" s="68"/>
      <c r="T384" s="68"/>
      <c r="U384" s="68"/>
      <c r="V384" s="68"/>
      <c r="W384" s="75"/>
      <c r="X384" s="59"/>
      <c r="Y384" s="59"/>
      <c r="Z384" s="76"/>
      <c r="AA384" s="75"/>
      <c r="AB384" s="59"/>
      <c r="AC384" s="59"/>
      <c r="AD384" s="59"/>
      <c r="AE384" s="59"/>
      <c r="AF384" s="59"/>
      <c r="AG384" s="76"/>
    </row>
    <row r="385" spans="1:33" ht="17.25" customHeight="1" thickBot="1" x14ac:dyDescent="0.35">
      <c r="A385" s="77"/>
      <c r="B385" s="59"/>
      <c r="C385" s="59" t="s">
        <v>145</v>
      </c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76" t="s">
        <v>22</v>
      </c>
      <c r="Q385" s="126" t="s">
        <v>89</v>
      </c>
      <c r="R385" s="127"/>
      <c r="S385" s="127"/>
      <c r="T385" s="127"/>
      <c r="U385" s="127"/>
      <c r="V385" s="128"/>
      <c r="W385" s="75"/>
      <c r="X385" s="59"/>
      <c r="Y385" s="59"/>
      <c r="Z385" s="76"/>
      <c r="AA385" s="77"/>
      <c r="AB385" s="59"/>
      <c r="AC385" s="59"/>
      <c r="AD385" s="59"/>
      <c r="AE385" s="59"/>
      <c r="AF385" s="59"/>
      <c r="AG385" s="78"/>
    </row>
    <row r="386" spans="1:33" x14ac:dyDescent="0.3">
      <c r="A386" s="51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50"/>
      <c r="AA386" s="51"/>
      <c r="AB386" s="49"/>
      <c r="AC386" s="49"/>
      <c r="AD386" s="49"/>
      <c r="AE386" s="49"/>
      <c r="AF386" s="49"/>
      <c r="AG386" s="52"/>
    </row>
    <row r="387" spans="1:33" x14ac:dyDescent="0.3">
      <c r="A387" s="51"/>
      <c r="B387" s="49"/>
      <c r="C387" s="70" t="s">
        <v>34</v>
      </c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50"/>
      <c r="AA387" s="51"/>
      <c r="AB387" s="49"/>
      <c r="AC387" s="49"/>
      <c r="AD387" s="49"/>
      <c r="AE387" s="49"/>
      <c r="AF387" s="49"/>
      <c r="AG387" s="52"/>
    </row>
    <row r="388" spans="1:33" x14ac:dyDescent="0.3">
      <c r="A388" s="53"/>
      <c r="B388" s="49"/>
      <c r="C388" s="71"/>
      <c r="D388" s="49"/>
      <c r="E388" s="49"/>
      <c r="F388" s="49"/>
      <c r="G388" s="49"/>
      <c r="H388" s="49"/>
      <c r="I388" s="49"/>
      <c r="J388" s="58"/>
      <c r="K388" s="58"/>
      <c r="L388" s="58"/>
      <c r="M388" s="59"/>
      <c r="N388" s="59"/>
      <c r="O388" s="49"/>
      <c r="P388" s="49"/>
      <c r="Q388" s="49"/>
      <c r="R388" s="49"/>
      <c r="S388" s="49"/>
      <c r="T388" s="49"/>
      <c r="U388" s="49"/>
      <c r="V388" s="66"/>
      <c r="W388" s="66"/>
      <c r="X388" s="66"/>
      <c r="Y388" s="49"/>
      <c r="Z388" s="50"/>
      <c r="AA388" s="51"/>
      <c r="AB388" s="49"/>
      <c r="AC388" s="49"/>
      <c r="AD388" s="49"/>
      <c r="AE388" s="49"/>
      <c r="AF388" s="49"/>
      <c r="AG388" s="52"/>
    </row>
    <row r="389" spans="1:33" ht="15.6" x14ac:dyDescent="0.35">
      <c r="A389" s="53"/>
      <c r="B389" s="49"/>
      <c r="C389" s="72" t="s">
        <v>35</v>
      </c>
      <c r="D389" s="49"/>
      <c r="E389" s="49"/>
      <c r="F389" s="49"/>
      <c r="G389" s="49"/>
      <c r="H389" s="49"/>
      <c r="I389" s="49"/>
      <c r="J389" s="58"/>
      <c r="K389" s="58"/>
      <c r="L389" s="68" t="s">
        <v>36</v>
      </c>
      <c r="M389" s="73" t="s">
        <v>22</v>
      </c>
      <c r="N389" s="68" t="s">
        <v>37</v>
      </c>
      <c r="O389" s="59"/>
      <c r="P389" s="49"/>
      <c r="Q389" s="49"/>
      <c r="R389" s="49" t="s">
        <v>38</v>
      </c>
      <c r="S389" s="49"/>
      <c r="T389" s="49"/>
      <c r="U389" s="49"/>
      <c r="V389" s="66"/>
      <c r="W389" s="66"/>
      <c r="X389" s="66"/>
      <c r="Y389" s="49"/>
      <c r="Z389" s="50"/>
      <c r="AA389" s="51"/>
      <c r="AB389" s="49"/>
      <c r="AC389" s="49"/>
      <c r="AD389" s="49"/>
      <c r="AE389" s="49"/>
      <c r="AF389" s="49"/>
      <c r="AG389" s="52"/>
    </row>
    <row r="390" spans="1:33" x14ac:dyDescent="0.3">
      <c r="A390" s="53"/>
      <c r="B390" s="49"/>
      <c r="C390" s="71"/>
      <c r="D390" s="49"/>
      <c r="E390" s="49"/>
      <c r="F390" s="49"/>
      <c r="G390" s="49"/>
      <c r="H390" s="49"/>
      <c r="I390" s="49"/>
      <c r="J390" s="58"/>
      <c r="K390" s="58"/>
      <c r="L390" s="58"/>
      <c r="M390" s="59"/>
      <c r="N390" s="59"/>
      <c r="O390" s="49"/>
      <c r="P390" s="49"/>
      <c r="Q390" s="49"/>
      <c r="R390" s="49"/>
      <c r="S390" s="49"/>
      <c r="T390" s="49"/>
      <c r="U390" s="49"/>
      <c r="V390" s="66"/>
      <c r="W390" s="66"/>
      <c r="X390" s="66"/>
      <c r="Y390" s="49"/>
      <c r="Z390" s="50"/>
      <c r="AA390" s="51"/>
      <c r="AB390" s="49"/>
      <c r="AC390" s="49"/>
      <c r="AD390" s="49"/>
      <c r="AE390" s="49"/>
      <c r="AF390" s="49"/>
      <c r="AG390" s="52"/>
    </row>
    <row r="391" spans="1:33" x14ac:dyDescent="0.3">
      <c r="A391" s="53"/>
      <c r="B391" s="49"/>
      <c r="C391" s="68"/>
      <c r="D391" s="72" t="s">
        <v>39</v>
      </c>
      <c r="E391" s="49"/>
      <c r="F391" s="49"/>
      <c r="G391" s="49"/>
      <c r="H391" s="49"/>
      <c r="I391" s="49"/>
      <c r="J391" s="58"/>
      <c r="K391" s="58"/>
      <c r="L391" s="58"/>
      <c r="M391" s="59"/>
      <c r="N391" s="59"/>
      <c r="O391" s="49"/>
      <c r="P391" s="49"/>
      <c r="Q391" s="49"/>
      <c r="R391" s="49"/>
      <c r="S391" s="49"/>
      <c r="T391" s="49"/>
      <c r="U391" s="49"/>
      <c r="V391" s="66"/>
      <c r="W391" s="66"/>
      <c r="X391" s="66"/>
      <c r="Y391" s="49"/>
      <c r="Z391" s="50"/>
      <c r="AA391" s="51"/>
      <c r="AB391" s="49"/>
      <c r="AC391" s="49"/>
      <c r="AD391" s="49"/>
      <c r="AE391" s="49"/>
      <c r="AF391" s="49"/>
      <c r="AG391" s="52"/>
    </row>
    <row r="392" spans="1:33" x14ac:dyDescent="0.3">
      <c r="A392" s="53"/>
      <c r="B392" s="49"/>
      <c r="C392" s="72"/>
      <c r="D392" s="49"/>
      <c r="E392" s="49"/>
      <c r="F392" s="49"/>
      <c r="G392" s="49" t="s">
        <v>40</v>
      </c>
      <c r="H392" s="49"/>
      <c r="I392" s="57" t="s">
        <v>22</v>
      </c>
      <c r="J392" s="58" t="s">
        <v>41</v>
      </c>
      <c r="K392" s="58"/>
      <c r="L392" s="58"/>
      <c r="M392" s="59"/>
      <c r="N392" s="59"/>
      <c r="O392" s="49"/>
      <c r="P392" s="49"/>
      <c r="Q392" s="49"/>
      <c r="R392" s="49"/>
      <c r="S392" s="49"/>
      <c r="T392" s="49"/>
      <c r="U392" s="49"/>
      <c r="V392" s="66"/>
      <c r="W392" s="66"/>
      <c r="X392" s="66"/>
      <c r="Y392" s="49"/>
      <c r="Z392" s="50"/>
      <c r="AA392" s="51"/>
      <c r="AB392" s="49"/>
      <c r="AC392" s="49"/>
      <c r="AD392" s="49"/>
      <c r="AE392" s="49"/>
      <c r="AF392" s="49"/>
      <c r="AG392" s="52"/>
    </row>
    <row r="393" spans="1:33" x14ac:dyDescent="0.3">
      <c r="A393" s="53"/>
      <c r="B393" s="49"/>
      <c r="C393" s="72"/>
      <c r="D393" s="49"/>
      <c r="E393" s="49"/>
      <c r="F393" s="49"/>
      <c r="G393" s="49" t="s">
        <v>42</v>
      </c>
      <c r="H393" s="49"/>
      <c r="I393" s="57" t="s">
        <v>22</v>
      </c>
      <c r="J393" s="58" t="s">
        <v>43</v>
      </c>
      <c r="K393" s="58"/>
      <c r="L393" s="58"/>
      <c r="M393" s="59"/>
      <c r="N393" s="59"/>
      <c r="O393" s="49"/>
      <c r="P393" s="49"/>
      <c r="Q393" s="49"/>
      <c r="R393" s="49"/>
      <c r="S393" s="49"/>
      <c r="T393" s="49"/>
      <c r="U393" s="49"/>
      <c r="V393" s="66"/>
      <c r="W393" s="66"/>
      <c r="X393" s="66"/>
      <c r="Y393" s="49"/>
      <c r="Z393" s="50"/>
      <c r="AA393" s="51"/>
      <c r="AB393" s="49"/>
      <c r="AC393" s="49"/>
      <c r="AD393" s="49"/>
      <c r="AE393" s="49"/>
      <c r="AF393" s="49"/>
      <c r="AG393" s="52"/>
    </row>
    <row r="394" spans="1:33" x14ac:dyDescent="0.3">
      <c r="A394" s="53"/>
      <c r="B394" s="49"/>
      <c r="C394" s="72"/>
      <c r="D394" s="49"/>
      <c r="E394" s="49"/>
      <c r="F394" s="49"/>
      <c r="G394" s="49" t="s">
        <v>44</v>
      </c>
      <c r="H394" s="49"/>
      <c r="I394" s="57" t="s">
        <v>22</v>
      </c>
      <c r="J394" s="58" t="s">
        <v>45</v>
      </c>
      <c r="K394" s="58"/>
      <c r="L394" s="58"/>
      <c r="M394" s="59"/>
      <c r="N394" s="59"/>
      <c r="O394" s="49"/>
      <c r="P394" s="49"/>
      <c r="Q394" s="49"/>
      <c r="R394" s="49"/>
      <c r="S394" s="49"/>
      <c r="T394" s="49"/>
      <c r="U394" s="49"/>
      <c r="V394" s="66"/>
      <c r="W394" s="66"/>
      <c r="X394" s="66"/>
      <c r="Y394" s="49"/>
      <c r="Z394" s="50"/>
      <c r="AA394" s="51"/>
      <c r="AB394" s="49"/>
      <c r="AC394" s="49"/>
      <c r="AD394" s="49"/>
      <c r="AE394" s="49"/>
      <c r="AF394" s="49"/>
      <c r="AG394" s="52"/>
    </row>
    <row r="395" spans="1:33" x14ac:dyDescent="0.3">
      <c r="A395" s="53"/>
      <c r="B395" s="49"/>
      <c r="C395" s="72"/>
      <c r="D395" s="49"/>
      <c r="E395" s="49"/>
      <c r="F395" s="49"/>
      <c r="G395" s="49" t="s">
        <v>46</v>
      </c>
      <c r="H395" s="49"/>
      <c r="I395" s="57" t="s">
        <v>22</v>
      </c>
      <c r="J395" s="58" t="s">
        <v>47</v>
      </c>
      <c r="K395" s="58"/>
      <c r="L395" s="58"/>
      <c r="M395" s="59"/>
      <c r="N395" s="59"/>
      <c r="O395" s="49"/>
      <c r="P395" s="49"/>
      <c r="Q395" s="49"/>
      <c r="R395" s="49"/>
      <c r="S395" s="49"/>
      <c r="T395" s="49"/>
      <c r="U395" s="49"/>
      <c r="V395" s="66"/>
      <c r="W395" s="66"/>
      <c r="X395" s="66"/>
      <c r="Y395" s="49"/>
      <c r="Z395" s="50"/>
      <c r="AA395" s="51"/>
      <c r="AB395" s="49"/>
      <c r="AC395" s="49"/>
      <c r="AD395" s="49"/>
      <c r="AE395" s="49"/>
      <c r="AF395" s="49"/>
      <c r="AG395" s="52"/>
    </row>
    <row r="396" spans="1:33" x14ac:dyDescent="0.3">
      <c r="A396" s="53"/>
      <c r="B396" s="49"/>
      <c r="C396" s="72"/>
      <c r="D396" s="49"/>
      <c r="E396" s="49"/>
      <c r="F396" s="49"/>
      <c r="G396" s="49"/>
      <c r="H396" s="49"/>
      <c r="I396" s="57" t="s">
        <v>22</v>
      </c>
      <c r="J396" s="58" t="s">
        <v>48</v>
      </c>
      <c r="K396" s="58"/>
      <c r="L396" s="58"/>
      <c r="M396" s="59"/>
      <c r="N396" s="59"/>
      <c r="O396" s="49"/>
      <c r="P396" s="49"/>
      <c r="Q396" s="49"/>
      <c r="R396" s="49"/>
      <c r="S396" s="49"/>
      <c r="T396" s="49"/>
      <c r="U396" s="49"/>
      <c r="V396" s="66"/>
      <c r="W396" s="66"/>
      <c r="X396" s="66"/>
      <c r="Y396" s="49"/>
      <c r="Z396" s="50"/>
      <c r="AA396" s="51"/>
      <c r="AB396" s="49"/>
      <c r="AC396" s="49"/>
      <c r="AD396" s="49"/>
      <c r="AE396" s="49"/>
      <c r="AF396" s="49"/>
      <c r="AG396" s="52"/>
    </row>
    <row r="397" spans="1:33" x14ac:dyDescent="0.3">
      <c r="A397" s="53"/>
      <c r="B397" s="49"/>
      <c r="C397" s="72"/>
      <c r="D397" s="49"/>
      <c r="E397" s="49"/>
      <c r="F397" s="49"/>
      <c r="G397" s="49" t="s">
        <v>49</v>
      </c>
      <c r="H397" s="49"/>
      <c r="I397" s="57" t="s">
        <v>22</v>
      </c>
      <c r="J397" s="58" t="s">
        <v>50</v>
      </c>
      <c r="K397" s="58"/>
      <c r="L397" s="58"/>
      <c r="M397" s="58"/>
      <c r="N397" s="59"/>
      <c r="O397" s="49"/>
      <c r="P397" s="59"/>
      <c r="Q397" s="59"/>
      <c r="R397" s="49"/>
      <c r="S397" s="50"/>
      <c r="T397" s="49"/>
      <c r="U397" s="49"/>
      <c r="V397" s="66"/>
      <c r="W397" s="66"/>
      <c r="X397" s="66"/>
      <c r="Y397" s="53"/>
      <c r="Z397" s="50"/>
      <c r="AA397" s="51"/>
      <c r="AB397" s="50"/>
      <c r="AC397" s="53"/>
      <c r="AD397" s="49"/>
      <c r="AE397" s="49"/>
      <c r="AF397" s="49"/>
      <c r="AG397" s="52"/>
    </row>
    <row r="398" spans="1:33" x14ac:dyDescent="0.3">
      <c r="A398" s="51"/>
      <c r="B398" s="49"/>
      <c r="C398" s="49" t="s">
        <v>51</v>
      </c>
      <c r="D398" s="49"/>
      <c r="E398" s="49"/>
      <c r="F398" s="49"/>
      <c r="G398" s="49"/>
      <c r="H398" s="49"/>
      <c r="I398" s="49"/>
      <c r="J398" s="49"/>
      <c r="K398" s="57"/>
      <c r="L398" s="66"/>
      <c r="M398" s="66"/>
      <c r="N398" s="49"/>
      <c r="O398" s="49"/>
      <c r="P398" s="59"/>
      <c r="Q398" s="59"/>
      <c r="R398" s="49"/>
      <c r="S398" s="50"/>
      <c r="T398" s="60"/>
      <c r="U398" s="60"/>
      <c r="V398" s="57"/>
      <c r="W398" s="61"/>
      <c r="X398" s="61"/>
      <c r="Y398" s="53"/>
      <c r="Z398" s="50"/>
      <c r="AA398" s="51"/>
      <c r="AB398" s="62"/>
      <c r="AC398" s="63"/>
      <c r="AD398" s="49"/>
      <c r="AE398" s="49"/>
      <c r="AF398" s="49"/>
      <c r="AG398" s="52"/>
    </row>
    <row r="399" spans="1:33" ht="15" thickBot="1" x14ac:dyDescent="0.35">
      <c r="A399" s="51"/>
      <c r="B399" s="49"/>
      <c r="C399" s="49"/>
      <c r="D399" s="49"/>
      <c r="E399" s="49"/>
      <c r="F399" s="49"/>
      <c r="G399" s="49"/>
      <c r="H399" s="49"/>
      <c r="I399" s="49"/>
      <c r="J399" s="66"/>
      <c r="K399" s="74"/>
      <c r="L399" s="66"/>
      <c r="M399" s="66"/>
      <c r="N399" s="49"/>
      <c r="O399" s="49"/>
      <c r="P399" s="59"/>
      <c r="Q399" s="59"/>
      <c r="R399" s="49"/>
      <c r="S399" s="50"/>
      <c r="T399" s="60"/>
      <c r="U399" s="60"/>
      <c r="V399" s="57"/>
      <c r="W399" s="61"/>
      <c r="X399" s="61"/>
      <c r="Y399" s="53"/>
      <c r="Z399" s="50"/>
      <c r="AA399" s="51"/>
      <c r="AB399" s="62"/>
      <c r="AC399" s="63"/>
      <c r="AD399" s="49"/>
      <c r="AE399" s="49"/>
      <c r="AF399" s="49"/>
      <c r="AG399" s="52"/>
    </row>
    <row r="400" spans="1:33" ht="16.2" thickBot="1" x14ac:dyDescent="0.4">
      <c r="A400" s="51"/>
      <c r="B400" s="49"/>
      <c r="C400" s="49"/>
      <c r="D400" s="49"/>
      <c r="E400" s="49"/>
      <c r="F400" s="49"/>
      <c r="G400" s="49" t="s">
        <v>54</v>
      </c>
      <c r="H400" s="49"/>
      <c r="I400" s="64" t="s">
        <v>22</v>
      </c>
      <c r="J400" s="119">
        <v>20</v>
      </c>
      <c r="K400" s="120"/>
      <c r="L400" s="53"/>
      <c r="M400" s="66"/>
      <c r="N400" s="49"/>
      <c r="O400" s="49"/>
      <c r="P400" s="59"/>
      <c r="Q400" s="59"/>
      <c r="R400" s="49"/>
      <c r="S400" s="50"/>
      <c r="T400" s="60"/>
      <c r="U400" s="60"/>
      <c r="V400" s="57"/>
      <c r="W400" s="61"/>
      <c r="X400" s="61"/>
      <c r="Y400" s="53"/>
      <c r="Z400" s="50"/>
      <c r="AA400" s="51"/>
      <c r="AB400" s="62"/>
      <c r="AC400" s="63"/>
      <c r="AD400" s="49"/>
      <c r="AE400" s="49"/>
      <c r="AF400" s="49"/>
      <c r="AG400" s="52"/>
    </row>
    <row r="401" spans="1:33" ht="15" thickBot="1" x14ac:dyDescent="0.35">
      <c r="A401" s="51"/>
      <c r="B401" s="49"/>
      <c r="C401" s="49"/>
      <c r="D401" s="49"/>
      <c r="E401" s="49"/>
      <c r="F401" s="49"/>
      <c r="G401" s="49"/>
      <c r="H401" s="49"/>
      <c r="I401" s="57"/>
      <c r="J401" s="58"/>
      <c r="K401" s="58"/>
      <c r="L401" s="66"/>
      <c r="M401" s="66"/>
      <c r="N401" s="49"/>
      <c r="O401" s="49"/>
      <c r="P401" s="59"/>
      <c r="Q401" s="59"/>
      <c r="R401" s="49"/>
      <c r="S401" s="50"/>
      <c r="T401" s="60"/>
      <c r="U401" s="60"/>
      <c r="V401" s="57"/>
      <c r="W401" s="61"/>
      <c r="X401" s="61"/>
      <c r="Y401" s="53"/>
      <c r="Z401" s="50"/>
      <c r="AA401" s="51"/>
      <c r="AB401" s="62"/>
      <c r="AC401" s="63"/>
      <c r="AD401" s="49"/>
      <c r="AE401" s="49"/>
      <c r="AF401" s="49"/>
      <c r="AG401" s="52"/>
    </row>
    <row r="402" spans="1:33" ht="16.2" thickBot="1" x14ac:dyDescent="0.4">
      <c r="A402" s="51"/>
      <c r="B402" s="49"/>
      <c r="C402" s="49"/>
      <c r="D402" s="49"/>
      <c r="E402" s="49"/>
      <c r="F402" s="49"/>
      <c r="G402" s="49" t="s">
        <v>55</v>
      </c>
      <c r="H402" s="49"/>
      <c r="I402" s="64" t="s">
        <v>22</v>
      </c>
      <c r="J402" s="119">
        <v>14</v>
      </c>
      <c r="K402" s="120"/>
      <c r="L402" s="69"/>
      <c r="M402" s="66"/>
      <c r="N402" s="49"/>
      <c r="O402" s="49"/>
      <c r="P402" s="59"/>
      <c r="Q402" s="59"/>
      <c r="R402" s="49"/>
      <c r="S402" s="50"/>
      <c r="T402" s="60"/>
      <c r="U402" s="60"/>
      <c r="V402" s="57"/>
      <c r="W402" s="61"/>
      <c r="X402" s="61"/>
      <c r="Y402" s="53"/>
      <c r="Z402" s="50"/>
      <c r="AA402" s="51"/>
      <c r="AB402" s="62"/>
      <c r="AC402" s="63"/>
      <c r="AD402" s="49"/>
      <c r="AE402" s="49"/>
      <c r="AF402" s="49"/>
      <c r="AG402" s="52"/>
    </row>
    <row r="403" spans="1:33" x14ac:dyDescent="0.3">
      <c r="A403" s="51"/>
      <c r="B403" s="49"/>
      <c r="C403" s="49"/>
      <c r="D403" s="49"/>
      <c r="E403" s="49"/>
      <c r="F403" s="49"/>
      <c r="G403" s="49"/>
      <c r="H403" s="49"/>
      <c r="I403" s="49"/>
      <c r="J403" s="59"/>
      <c r="K403" s="65"/>
      <c r="L403" s="66"/>
      <c r="M403" s="66"/>
      <c r="N403" s="49"/>
      <c r="O403" s="49"/>
      <c r="P403" s="59"/>
      <c r="Q403" s="59"/>
      <c r="R403" s="49"/>
      <c r="S403" s="50"/>
      <c r="T403" s="60"/>
      <c r="U403" s="60"/>
      <c r="V403" s="57"/>
      <c r="W403" s="61"/>
      <c r="X403" s="61"/>
      <c r="Y403" s="53"/>
      <c r="Z403" s="50"/>
      <c r="AA403" s="51"/>
      <c r="AB403" s="62"/>
      <c r="AC403" s="63"/>
      <c r="AD403" s="49"/>
      <c r="AE403" s="49"/>
      <c r="AF403" s="49"/>
      <c r="AG403" s="52"/>
    </row>
    <row r="404" spans="1:33" ht="15.6" x14ac:dyDescent="0.35">
      <c r="A404" s="51"/>
      <c r="B404" s="49"/>
      <c r="C404" s="49"/>
      <c r="D404" s="49"/>
      <c r="E404" s="49"/>
      <c r="F404" s="49"/>
      <c r="G404" s="49" t="s">
        <v>56</v>
      </c>
      <c r="H404" s="49"/>
      <c r="I404" s="57" t="s">
        <v>22</v>
      </c>
      <c r="J404" s="49" t="s">
        <v>57</v>
      </c>
      <c r="K404" s="57"/>
      <c r="L404" s="66"/>
      <c r="M404" s="66"/>
      <c r="N404" s="49"/>
      <c r="O404" s="49"/>
      <c r="P404" s="59"/>
      <c r="Q404" s="59"/>
      <c r="R404" s="49"/>
      <c r="S404" s="50"/>
      <c r="T404" s="60"/>
      <c r="U404" s="60"/>
      <c r="V404" s="57"/>
      <c r="W404" s="61"/>
      <c r="X404" s="61"/>
      <c r="Y404" s="53"/>
      <c r="Z404" s="50"/>
      <c r="AA404" s="51"/>
      <c r="AB404" s="62"/>
      <c r="AC404" s="63"/>
      <c r="AD404" s="49"/>
      <c r="AE404" s="49"/>
      <c r="AF404" s="49"/>
      <c r="AG404" s="52"/>
    </row>
    <row r="405" spans="1:33" x14ac:dyDescent="0.3">
      <c r="A405" s="51"/>
      <c r="B405" s="49"/>
      <c r="C405" s="49"/>
      <c r="D405" s="49" t="s">
        <v>153</v>
      </c>
      <c r="E405" s="49"/>
      <c r="F405" s="49"/>
      <c r="G405" s="49"/>
      <c r="H405" s="49"/>
      <c r="I405" s="49"/>
      <c r="J405" s="49"/>
      <c r="K405" s="57"/>
      <c r="L405" s="66"/>
      <c r="M405" s="66"/>
      <c r="N405" s="49"/>
      <c r="O405" s="49"/>
      <c r="P405" s="59"/>
      <c r="Q405" s="59"/>
      <c r="R405" s="49"/>
      <c r="S405" s="50"/>
      <c r="T405" s="60"/>
      <c r="U405" s="60"/>
      <c r="V405" s="57"/>
      <c r="W405" s="61"/>
      <c r="X405" s="61"/>
      <c r="Y405" s="53"/>
      <c r="Z405" s="50"/>
      <c r="AA405" s="51"/>
      <c r="AB405" s="62"/>
      <c r="AC405" s="63"/>
      <c r="AD405" s="49"/>
      <c r="AE405" s="49"/>
      <c r="AF405" s="49"/>
      <c r="AG405" s="52"/>
    </row>
    <row r="406" spans="1:33" x14ac:dyDescent="0.3">
      <c r="A406" s="51"/>
      <c r="B406" s="49"/>
      <c r="C406" s="49"/>
      <c r="D406" s="49"/>
      <c r="E406" s="49"/>
      <c r="F406" s="49"/>
      <c r="G406" s="49"/>
      <c r="H406" s="49"/>
      <c r="I406" s="49"/>
      <c r="J406" s="49"/>
      <c r="K406" s="57"/>
      <c r="L406" s="66"/>
      <c r="M406" s="66"/>
      <c r="N406" s="49"/>
      <c r="O406" s="49"/>
      <c r="P406" s="59"/>
      <c r="Q406" s="59"/>
      <c r="R406" s="49"/>
      <c r="S406" s="50"/>
      <c r="T406" s="60"/>
      <c r="U406" s="60"/>
      <c r="V406" s="57"/>
      <c r="W406" s="61"/>
      <c r="X406" s="61"/>
      <c r="Y406" s="53"/>
      <c r="Z406" s="50"/>
      <c r="AA406" s="51"/>
      <c r="AB406" s="62"/>
      <c r="AC406" s="63"/>
      <c r="AD406" s="49"/>
      <c r="AE406" s="49"/>
      <c r="AF406" s="49"/>
      <c r="AG406" s="52"/>
    </row>
    <row r="407" spans="1:33" ht="15.6" x14ac:dyDescent="0.35">
      <c r="A407" s="51"/>
      <c r="B407" s="49"/>
      <c r="C407" s="49"/>
      <c r="D407" s="49" t="s">
        <v>147</v>
      </c>
      <c r="E407" s="49"/>
      <c r="F407" s="49"/>
      <c r="G407" s="49"/>
      <c r="H407" s="49"/>
      <c r="I407" s="49"/>
      <c r="J407" s="49"/>
      <c r="K407" s="57"/>
      <c r="L407" s="66"/>
      <c r="M407" s="66"/>
      <c r="N407" s="49"/>
      <c r="O407" s="49"/>
      <c r="P407" s="59"/>
      <c r="Q407" s="59"/>
      <c r="R407" s="49"/>
      <c r="S407" s="50"/>
      <c r="T407" s="60"/>
      <c r="U407" s="60"/>
      <c r="V407" s="57"/>
      <c r="W407" s="61"/>
      <c r="X407" s="61"/>
      <c r="Y407" s="53"/>
      <c r="Z407" s="50"/>
      <c r="AA407" s="51"/>
      <c r="AB407" s="62"/>
      <c r="AC407" s="63"/>
      <c r="AD407" s="49"/>
      <c r="AE407" s="49"/>
      <c r="AF407" s="49"/>
      <c r="AG407" s="52"/>
    </row>
    <row r="408" spans="1:33" x14ac:dyDescent="0.3">
      <c r="A408" s="51"/>
      <c r="B408" s="49"/>
      <c r="C408" s="49"/>
      <c r="D408" s="49"/>
      <c r="E408" s="49"/>
      <c r="F408" s="49"/>
      <c r="G408" s="49"/>
      <c r="H408" s="49"/>
      <c r="I408" s="49"/>
      <c r="J408" s="49"/>
      <c r="K408" s="57"/>
      <c r="L408" s="66"/>
      <c r="M408" s="66"/>
      <c r="N408" s="49"/>
      <c r="O408" s="49"/>
      <c r="P408" s="59"/>
      <c r="Q408" s="59"/>
      <c r="R408" s="49"/>
      <c r="S408" s="50"/>
      <c r="T408" s="60"/>
      <c r="U408" s="60"/>
      <c r="V408" s="57"/>
      <c r="W408" s="61"/>
      <c r="X408" s="61"/>
      <c r="Y408" s="53"/>
      <c r="Z408" s="50"/>
      <c r="AA408" s="51"/>
      <c r="AB408" s="62"/>
      <c r="AC408" s="63"/>
      <c r="AD408" s="49"/>
      <c r="AE408" s="49"/>
      <c r="AF408" s="49"/>
      <c r="AG408" s="52"/>
    </row>
    <row r="409" spans="1:33" ht="15.6" x14ac:dyDescent="0.35">
      <c r="A409" s="51"/>
      <c r="B409" s="49"/>
      <c r="C409" s="49" t="s">
        <v>67</v>
      </c>
      <c r="D409" s="49"/>
      <c r="E409" s="49"/>
      <c r="F409" s="49"/>
      <c r="G409" s="49"/>
      <c r="H409" s="49"/>
      <c r="I409" s="49"/>
      <c r="J409" s="49"/>
      <c r="K409" s="57" t="s">
        <v>22</v>
      </c>
      <c r="L409" s="66">
        <f>J400</f>
        <v>20</v>
      </c>
      <c r="M409" s="67" t="s">
        <v>27</v>
      </c>
      <c r="N409" s="49">
        <f>J402</f>
        <v>14</v>
      </c>
      <c r="O409" s="49"/>
      <c r="P409" s="59"/>
      <c r="Q409" s="59"/>
      <c r="R409" s="49"/>
      <c r="S409" s="50"/>
      <c r="T409" s="60"/>
      <c r="U409" s="60"/>
      <c r="V409" s="57"/>
      <c r="W409" s="61"/>
      <c r="X409" s="61"/>
      <c r="Y409" s="53"/>
      <c r="Z409" s="50"/>
      <c r="AA409" s="51"/>
      <c r="AB409" s="62"/>
      <c r="AC409" s="63"/>
      <c r="AD409" s="49"/>
      <c r="AE409" s="49"/>
      <c r="AF409" s="49"/>
      <c r="AG409" s="52"/>
    </row>
    <row r="410" spans="1:33" x14ac:dyDescent="0.3">
      <c r="A410" s="51"/>
      <c r="B410" s="49"/>
      <c r="C410" s="49"/>
      <c r="D410" s="49"/>
      <c r="E410" s="49"/>
      <c r="F410" s="49"/>
      <c r="G410" s="49"/>
      <c r="H410" s="49"/>
      <c r="I410" s="49"/>
      <c r="J410" s="49"/>
      <c r="K410" s="57" t="s">
        <v>22</v>
      </c>
      <c r="L410" s="66">
        <f>J400*(J402)</f>
        <v>280</v>
      </c>
      <c r="M410" s="66"/>
      <c r="N410" s="49"/>
      <c r="O410" s="49"/>
      <c r="P410" s="59"/>
      <c r="Q410" s="59"/>
      <c r="R410" s="49"/>
      <c r="S410" s="50"/>
      <c r="T410" s="60"/>
      <c r="U410" s="60"/>
      <c r="V410" s="57"/>
      <c r="W410" s="61"/>
      <c r="X410" s="61"/>
      <c r="Y410" s="53"/>
      <c r="Z410" s="50"/>
      <c r="AA410" s="51"/>
      <c r="AB410" s="62"/>
      <c r="AC410" s="63"/>
      <c r="AD410" s="49"/>
      <c r="AE410" s="49"/>
      <c r="AF410" s="49"/>
      <c r="AG410" s="52"/>
    </row>
    <row r="411" spans="1:33" x14ac:dyDescent="0.3">
      <c r="A411" s="51"/>
      <c r="B411" s="49"/>
      <c r="C411" s="49" t="s">
        <v>68</v>
      </c>
      <c r="D411" s="49"/>
      <c r="E411" s="49"/>
      <c r="F411" s="49"/>
      <c r="G411" s="49"/>
      <c r="H411" s="49"/>
      <c r="I411" s="49"/>
      <c r="J411" s="49"/>
      <c r="K411" s="64"/>
      <c r="L411" s="68"/>
      <c r="M411" s="68"/>
      <c r="N411" s="53"/>
      <c r="O411" s="49"/>
      <c r="P411" s="59"/>
      <c r="Q411" s="59"/>
      <c r="R411" s="49"/>
      <c r="S411" s="50"/>
      <c r="T411" s="60"/>
      <c r="U411" s="60"/>
      <c r="V411" s="57"/>
      <c r="W411" s="61"/>
      <c r="X411" s="61"/>
      <c r="Y411" s="53"/>
      <c r="Z411" s="50"/>
      <c r="AA411" s="51"/>
      <c r="AB411" s="62"/>
      <c r="AC411" s="63"/>
      <c r="AD411" s="49"/>
      <c r="AE411" s="49"/>
      <c r="AF411" s="49"/>
      <c r="AG411" s="52"/>
    </row>
    <row r="412" spans="1:33" x14ac:dyDescent="0.3">
      <c r="A412" s="51"/>
      <c r="B412" s="49"/>
      <c r="C412" s="49"/>
      <c r="D412" s="49"/>
      <c r="E412" s="49"/>
      <c r="F412" s="49"/>
      <c r="G412" s="49"/>
      <c r="H412" s="49"/>
      <c r="I412" s="49"/>
      <c r="J412" s="49"/>
      <c r="K412" s="64" t="s">
        <v>22</v>
      </c>
      <c r="L412" s="68">
        <f>L410*1.2</f>
        <v>336</v>
      </c>
      <c r="M412" s="68"/>
      <c r="N412" s="53"/>
      <c r="O412" s="49"/>
      <c r="P412" s="59"/>
      <c r="Q412" s="59"/>
      <c r="R412" s="49"/>
      <c r="S412" s="50"/>
      <c r="T412" s="60"/>
      <c r="U412" s="60"/>
      <c r="V412" s="57"/>
      <c r="W412" s="61"/>
      <c r="X412" s="61"/>
      <c r="Y412" s="53"/>
      <c r="Z412" s="50"/>
      <c r="AA412" s="51"/>
      <c r="AB412" s="62"/>
      <c r="AC412" s="63"/>
      <c r="AD412" s="49"/>
      <c r="AE412" s="49"/>
      <c r="AF412" s="49"/>
      <c r="AG412" s="52"/>
    </row>
    <row r="413" spans="1:33" ht="15" thickBot="1" x14ac:dyDescent="0.35">
      <c r="A413" s="51"/>
      <c r="B413" s="49"/>
      <c r="C413" s="49"/>
      <c r="D413" s="49"/>
      <c r="E413" s="49"/>
      <c r="F413" s="49"/>
      <c r="G413" s="49"/>
      <c r="H413" s="49"/>
      <c r="I413" s="49"/>
      <c r="J413" s="49"/>
      <c r="K413" s="57"/>
      <c r="L413" s="66"/>
      <c r="M413" s="66"/>
      <c r="N413" s="49"/>
      <c r="O413" s="49"/>
      <c r="P413" s="59"/>
      <c r="Q413" s="59"/>
      <c r="R413" s="49"/>
      <c r="S413" s="50"/>
      <c r="T413" s="60"/>
      <c r="U413" s="60"/>
      <c r="V413" s="57"/>
      <c r="W413" s="61"/>
      <c r="X413" s="61"/>
      <c r="Y413" s="53"/>
      <c r="Z413" s="50"/>
      <c r="AA413" s="51"/>
      <c r="AB413" s="62"/>
      <c r="AC413" s="63"/>
      <c r="AD413" s="49"/>
      <c r="AE413" s="49"/>
      <c r="AF413" s="49"/>
      <c r="AG413" s="52"/>
    </row>
    <row r="414" spans="1:33" ht="15" thickBot="1" x14ac:dyDescent="0.35">
      <c r="A414" s="51"/>
      <c r="B414" s="49"/>
      <c r="C414" s="49"/>
      <c r="D414" s="49"/>
      <c r="E414" s="49"/>
      <c r="F414" s="49"/>
      <c r="G414" s="49"/>
      <c r="H414" s="49"/>
      <c r="I414" s="49" t="s">
        <v>69</v>
      </c>
      <c r="J414" s="49"/>
      <c r="K414" s="64" t="s">
        <v>22</v>
      </c>
      <c r="L414" s="119">
        <v>350</v>
      </c>
      <c r="M414" s="120"/>
      <c r="N414" s="53" t="s">
        <v>70</v>
      </c>
      <c r="O414" s="49"/>
      <c r="P414" s="59"/>
      <c r="Q414" s="59"/>
      <c r="R414" s="49"/>
      <c r="S414" s="50"/>
      <c r="T414" s="60"/>
      <c r="U414" s="60"/>
      <c r="V414" s="57"/>
      <c r="W414" s="61"/>
      <c r="X414" s="61"/>
      <c r="Y414" s="53"/>
      <c r="Z414" s="50"/>
      <c r="AA414" s="51"/>
      <c r="AB414" s="62"/>
      <c r="AC414" s="63"/>
      <c r="AD414" s="49"/>
      <c r="AE414" s="49"/>
      <c r="AF414" s="49"/>
      <c r="AG414" s="52"/>
    </row>
    <row r="415" spans="1:33" ht="15" thickBot="1" x14ac:dyDescent="0.35">
      <c r="A415" s="51"/>
      <c r="B415" s="49"/>
      <c r="C415" s="49"/>
      <c r="D415" s="49"/>
      <c r="E415" s="49"/>
      <c r="F415" s="49"/>
      <c r="G415" s="49"/>
      <c r="H415" s="49"/>
      <c r="I415" s="49"/>
      <c r="J415" s="49"/>
      <c r="K415" s="57"/>
      <c r="L415" s="58"/>
      <c r="M415" s="58"/>
      <c r="N415" s="49"/>
      <c r="O415" s="49"/>
      <c r="P415" s="59"/>
      <c r="Q415" s="59"/>
      <c r="R415" s="49"/>
      <c r="S415" s="50"/>
      <c r="T415" s="60"/>
      <c r="U415" s="60"/>
      <c r="V415" s="57"/>
      <c r="W415" s="61"/>
      <c r="X415" s="61"/>
      <c r="Y415" s="53"/>
      <c r="Z415" s="50"/>
      <c r="AA415" s="51"/>
      <c r="AB415" s="62"/>
      <c r="AC415" s="63"/>
      <c r="AD415" s="49"/>
      <c r="AE415" s="49"/>
      <c r="AF415" s="49"/>
      <c r="AG415" s="52"/>
    </row>
    <row r="416" spans="1:33" ht="15" thickBot="1" x14ac:dyDescent="0.35">
      <c r="A416" s="51"/>
      <c r="B416" s="49"/>
      <c r="C416" s="49"/>
      <c r="D416" s="49"/>
      <c r="E416" s="49"/>
      <c r="F416" s="49"/>
      <c r="G416" s="49"/>
      <c r="H416" s="50"/>
      <c r="I416" s="8" t="s">
        <v>71</v>
      </c>
      <c r="J416" s="9"/>
      <c r="K416" s="9"/>
      <c r="L416" s="9"/>
      <c r="M416" s="10" t="s">
        <v>72</v>
      </c>
      <c r="N416" s="53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50"/>
      <c r="AA416" s="51"/>
      <c r="AB416" s="49"/>
      <c r="AC416" s="49"/>
      <c r="AD416" s="49"/>
      <c r="AE416" s="49"/>
      <c r="AF416" s="49"/>
      <c r="AG416" s="52"/>
    </row>
    <row r="417" spans="1:33" x14ac:dyDescent="0.3">
      <c r="A417" s="51"/>
      <c r="B417" s="49"/>
      <c r="C417" s="49" t="s">
        <v>73</v>
      </c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50"/>
      <c r="AA417" s="51"/>
      <c r="AB417" s="49"/>
      <c r="AC417" s="49"/>
      <c r="AD417" s="49"/>
      <c r="AE417" s="49"/>
      <c r="AF417" s="49"/>
      <c r="AG417" s="52"/>
    </row>
    <row r="418" spans="1:33" ht="15" thickBot="1" x14ac:dyDescent="0.35">
      <c r="A418" s="51"/>
      <c r="B418" s="44"/>
      <c r="C418" s="44"/>
      <c r="D418" s="44"/>
      <c r="E418" s="44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44"/>
      <c r="X418" s="44"/>
      <c r="Y418" s="44"/>
      <c r="Z418" s="45"/>
      <c r="AA418" s="46"/>
      <c r="AB418" s="44"/>
      <c r="AC418" s="44"/>
      <c r="AD418" s="44"/>
      <c r="AE418" s="44"/>
      <c r="AF418" s="44"/>
      <c r="AG418" s="47"/>
    </row>
    <row r="419" spans="1:33" x14ac:dyDescent="0.3">
      <c r="A419" s="51"/>
      <c r="B419" s="44"/>
      <c r="C419" s="44"/>
      <c r="D419" s="44"/>
      <c r="E419" s="45"/>
      <c r="F419" s="11" t="s">
        <v>74</v>
      </c>
      <c r="G419" s="12"/>
      <c r="H419" s="12"/>
      <c r="I419" s="12"/>
      <c r="J419" s="12"/>
      <c r="K419" s="12"/>
      <c r="L419" s="12"/>
      <c r="M419" s="12"/>
      <c r="N419" s="13"/>
      <c r="O419" s="121" t="str">
        <f>Q385</f>
        <v>4000 /1 Amp</v>
      </c>
      <c r="P419" s="122"/>
      <c r="Q419" s="122"/>
      <c r="R419" s="122"/>
      <c r="S419" s="122"/>
      <c r="T419" s="123"/>
      <c r="U419" s="14"/>
      <c r="V419" s="15"/>
      <c r="W419" s="43"/>
      <c r="X419" s="44"/>
      <c r="Y419" s="44"/>
      <c r="Z419" s="45"/>
      <c r="AA419" s="46"/>
      <c r="AB419" s="44"/>
      <c r="AC419" s="44"/>
      <c r="AD419" s="44"/>
      <c r="AE419" s="44"/>
      <c r="AF419" s="44"/>
      <c r="AG419" s="47"/>
    </row>
    <row r="420" spans="1:33" x14ac:dyDescent="0.3">
      <c r="A420" s="51"/>
      <c r="B420" s="49"/>
      <c r="C420" s="54"/>
      <c r="D420" s="44"/>
      <c r="E420" s="55"/>
      <c r="F420" s="16" t="s">
        <v>75</v>
      </c>
      <c r="G420" s="17"/>
      <c r="H420" s="17"/>
      <c r="I420" s="17"/>
      <c r="J420" s="17"/>
      <c r="K420" s="17"/>
      <c r="L420" s="17"/>
      <c r="M420" s="17"/>
      <c r="N420" s="17" t="s">
        <v>76</v>
      </c>
      <c r="O420" s="124">
        <f>L414</f>
        <v>350</v>
      </c>
      <c r="P420" s="125"/>
      <c r="Q420" s="18" t="s">
        <v>70</v>
      </c>
      <c r="R420" s="19"/>
      <c r="S420" s="18"/>
      <c r="T420" s="18"/>
      <c r="U420" s="18"/>
      <c r="V420" s="20"/>
      <c r="W420" s="48"/>
      <c r="X420" s="49"/>
      <c r="Y420" s="49"/>
      <c r="Z420" s="50"/>
      <c r="AA420" s="51"/>
      <c r="AB420" s="49"/>
      <c r="AC420" s="49"/>
      <c r="AD420" s="49"/>
      <c r="AE420" s="49"/>
      <c r="AF420" s="49"/>
      <c r="AG420" s="52"/>
    </row>
    <row r="421" spans="1:33" x14ac:dyDescent="0.3">
      <c r="A421" s="51"/>
      <c r="B421" s="49"/>
      <c r="C421" s="54"/>
      <c r="D421" s="54"/>
      <c r="E421" s="55"/>
      <c r="F421" s="16" t="s">
        <v>77</v>
      </c>
      <c r="G421" s="17"/>
      <c r="H421" s="17"/>
      <c r="I421" s="17"/>
      <c r="J421" s="17"/>
      <c r="K421" s="17"/>
      <c r="L421" s="17"/>
      <c r="M421" s="21"/>
      <c r="N421" s="22" t="s">
        <v>22</v>
      </c>
      <c r="O421" s="17">
        <f>J402</f>
        <v>14</v>
      </c>
      <c r="P421" s="17" t="s">
        <v>78</v>
      </c>
      <c r="Q421" s="17"/>
      <c r="R421" s="17"/>
      <c r="S421" s="17"/>
      <c r="T421" s="17"/>
      <c r="U421" s="17"/>
      <c r="V421" s="20"/>
      <c r="W421" s="53"/>
      <c r="X421" s="49"/>
      <c r="Y421" s="49"/>
      <c r="Z421" s="50"/>
      <c r="AA421" s="51"/>
      <c r="AB421" s="49"/>
      <c r="AC421" s="49"/>
      <c r="AD421" s="49"/>
      <c r="AE421" s="49"/>
      <c r="AF421" s="49"/>
      <c r="AG421" s="52"/>
    </row>
    <row r="422" spans="1:33" ht="15" thickBot="1" x14ac:dyDescent="0.35">
      <c r="A422" s="51"/>
      <c r="B422" s="49"/>
      <c r="C422" s="54"/>
      <c r="D422" s="54"/>
      <c r="E422" s="55"/>
      <c r="F422" s="24" t="s">
        <v>79</v>
      </c>
      <c r="G422" s="38"/>
      <c r="H422" s="25"/>
      <c r="I422" s="25"/>
      <c r="J422" s="25"/>
      <c r="K422" s="25"/>
      <c r="L422" s="25"/>
      <c r="M422" s="25"/>
      <c r="N422" s="25"/>
      <c r="O422" s="25" t="str">
        <f>M416</f>
        <v>PX</v>
      </c>
      <c r="P422" s="25"/>
      <c r="Q422" s="25"/>
      <c r="R422" s="25"/>
      <c r="S422" s="25"/>
      <c r="T422" s="25"/>
      <c r="U422" s="25"/>
      <c r="V422" s="26"/>
      <c r="W422" s="53"/>
      <c r="X422" s="49"/>
      <c r="Y422" s="49"/>
      <c r="Z422" s="50"/>
      <c r="AA422" s="51"/>
      <c r="AB422" s="49"/>
      <c r="AC422" s="49"/>
      <c r="AD422" s="49"/>
      <c r="AE422" s="49"/>
      <c r="AF422" s="49"/>
      <c r="AG422" s="52"/>
    </row>
    <row r="423" spans="1:33" x14ac:dyDescent="0.3">
      <c r="AA423"/>
      <c r="AG423"/>
    </row>
    <row r="424" spans="1:33" x14ac:dyDescent="0.3">
      <c r="AA424"/>
      <c r="AG424"/>
    </row>
    <row r="425" spans="1:33" x14ac:dyDescent="0.3">
      <c r="AA425"/>
      <c r="AG425"/>
    </row>
    <row r="426" spans="1:33" x14ac:dyDescent="0.3">
      <c r="AA426"/>
      <c r="AG426"/>
    </row>
    <row r="427" spans="1:33" x14ac:dyDescent="0.3">
      <c r="AA427"/>
      <c r="AG427"/>
    </row>
    <row r="428" spans="1:33" x14ac:dyDescent="0.3">
      <c r="AA428"/>
      <c r="AG428"/>
    </row>
    <row r="429" spans="1:33" x14ac:dyDescent="0.3">
      <c r="AA429"/>
      <c r="AG429"/>
    </row>
    <row r="430" spans="1:33" x14ac:dyDescent="0.3">
      <c r="AA430"/>
      <c r="AG430"/>
    </row>
    <row r="431" spans="1:33" x14ac:dyDescent="0.3">
      <c r="AA431"/>
      <c r="AG431"/>
    </row>
    <row r="432" spans="1:33" x14ac:dyDescent="0.3">
      <c r="AA432"/>
      <c r="AG432"/>
    </row>
    <row r="433" spans="27:33" x14ac:dyDescent="0.3">
      <c r="AA433"/>
      <c r="AG433"/>
    </row>
    <row r="434" spans="27:33" x14ac:dyDescent="0.3">
      <c r="AA434"/>
      <c r="AG434"/>
    </row>
    <row r="435" spans="27:33" x14ac:dyDescent="0.3">
      <c r="AA435"/>
      <c r="AG435"/>
    </row>
    <row r="436" spans="27:33" x14ac:dyDescent="0.3">
      <c r="AA436"/>
      <c r="AG436"/>
    </row>
    <row r="437" spans="27:33" x14ac:dyDescent="0.3">
      <c r="AA437"/>
      <c r="AG437"/>
    </row>
    <row r="438" spans="27:33" x14ac:dyDescent="0.3">
      <c r="AA438"/>
      <c r="AG438"/>
    </row>
    <row r="439" spans="27:33" x14ac:dyDescent="0.3">
      <c r="AA439"/>
      <c r="AG439"/>
    </row>
    <row r="440" spans="27:33" x14ac:dyDescent="0.3">
      <c r="AA440"/>
      <c r="AG440"/>
    </row>
    <row r="441" spans="27:33" x14ac:dyDescent="0.3">
      <c r="AA441"/>
      <c r="AG441"/>
    </row>
    <row r="442" spans="27:33" x14ac:dyDescent="0.3">
      <c r="AA442"/>
      <c r="AG442"/>
    </row>
    <row r="443" spans="27:33" x14ac:dyDescent="0.3">
      <c r="AA443"/>
      <c r="AG443"/>
    </row>
    <row r="444" spans="27:33" x14ac:dyDescent="0.3">
      <c r="AA444"/>
      <c r="AG444"/>
    </row>
    <row r="445" spans="27:33" x14ac:dyDescent="0.3">
      <c r="AA445"/>
      <c r="AG445"/>
    </row>
    <row r="446" spans="27:33" x14ac:dyDescent="0.3">
      <c r="AA446"/>
      <c r="AG446"/>
    </row>
    <row r="447" spans="27:33" x14ac:dyDescent="0.3">
      <c r="AA447"/>
      <c r="AG447"/>
    </row>
    <row r="448" spans="27:33" x14ac:dyDescent="0.3">
      <c r="AA448"/>
      <c r="AG448"/>
    </row>
    <row r="449" spans="27:33" x14ac:dyDescent="0.3">
      <c r="AA449"/>
      <c r="AG449"/>
    </row>
    <row r="450" spans="27:33" x14ac:dyDescent="0.3">
      <c r="AA450"/>
      <c r="AG450"/>
    </row>
    <row r="451" spans="27:33" x14ac:dyDescent="0.3">
      <c r="AA451"/>
      <c r="AG451"/>
    </row>
    <row r="452" spans="27:33" x14ac:dyDescent="0.3">
      <c r="AA452"/>
      <c r="AG452"/>
    </row>
    <row r="453" spans="27:33" x14ac:dyDescent="0.3">
      <c r="AA453"/>
      <c r="AG453"/>
    </row>
    <row r="454" spans="27:33" x14ac:dyDescent="0.3">
      <c r="AA454"/>
      <c r="AG454"/>
    </row>
    <row r="455" spans="27:33" x14ac:dyDescent="0.3">
      <c r="AA455"/>
      <c r="AG455"/>
    </row>
    <row r="456" spans="27:33" x14ac:dyDescent="0.3">
      <c r="AA456"/>
      <c r="AG456"/>
    </row>
    <row r="457" spans="27:33" x14ac:dyDescent="0.3">
      <c r="AA457"/>
      <c r="AG457"/>
    </row>
    <row r="458" spans="27:33" x14ac:dyDescent="0.3">
      <c r="AA458"/>
      <c r="AG458"/>
    </row>
    <row r="459" spans="27:33" x14ac:dyDescent="0.3">
      <c r="AA459"/>
      <c r="AG459"/>
    </row>
    <row r="460" spans="27:33" x14ac:dyDescent="0.3">
      <c r="AA460"/>
      <c r="AG460"/>
    </row>
    <row r="461" spans="27:33" x14ac:dyDescent="0.3">
      <c r="AA461"/>
      <c r="AG461"/>
    </row>
    <row r="462" spans="27:33" x14ac:dyDescent="0.3">
      <c r="AA462"/>
      <c r="AG462"/>
    </row>
    <row r="463" spans="27:33" x14ac:dyDescent="0.3">
      <c r="AA463"/>
      <c r="AG463"/>
    </row>
    <row r="464" spans="27:33" x14ac:dyDescent="0.3">
      <c r="AA464"/>
      <c r="AG464"/>
    </row>
    <row r="465" spans="27:33" x14ac:dyDescent="0.3">
      <c r="AA465"/>
      <c r="AG465"/>
    </row>
    <row r="466" spans="27:33" x14ac:dyDescent="0.3">
      <c r="AA466"/>
      <c r="AG466"/>
    </row>
    <row r="467" spans="27:33" x14ac:dyDescent="0.3">
      <c r="AA467"/>
      <c r="AG467"/>
    </row>
    <row r="468" spans="27:33" x14ac:dyDescent="0.3">
      <c r="AA468"/>
      <c r="AG468"/>
    </row>
    <row r="469" spans="27:33" x14ac:dyDescent="0.3">
      <c r="AA469"/>
      <c r="AG469"/>
    </row>
    <row r="470" spans="27:33" x14ac:dyDescent="0.3">
      <c r="AA470"/>
      <c r="AG470"/>
    </row>
    <row r="471" spans="27:33" x14ac:dyDescent="0.3">
      <c r="AA471"/>
      <c r="AG471"/>
    </row>
    <row r="472" spans="27:33" x14ac:dyDescent="0.3">
      <c r="AA472"/>
      <c r="AG472"/>
    </row>
    <row r="473" spans="27:33" x14ac:dyDescent="0.3">
      <c r="AA473"/>
      <c r="AG473"/>
    </row>
    <row r="474" spans="27:33" x14ac:dyDescent="0.3">
      <c r="AA474"/>
      <c r="AG474"/>
    </row>
    <row r="475" spans="27:33" x14ac:dyDescent="0.3">
      <c r="AA475"/>
      <c r="AG475"/>
    </row>
    <row r="476" spans="27:33" x14ac:dyDescent="0.3">
      <c r="AA476"/>
      <c r="AG476"/>
    </row>
    <row r="477" spans="27:33" x14ac:dyDescent="0.3">
      <c r="AA477"/>
      <c r="AG477"/>
    </row>
    <row r="478" spans="27:33" x14ac:dyDescent="0.3">
      <c r="AA478"/>
      <c r="AG478"/>
    </row>
    <row r="479" spans="27:33" x14ac:dyDescent="0.3">
      <c r="AA479"/>
      <c r="AG479"/>
    </row>
    <row r="480" spans="27:33" x14ac:dyDescent="0.3">
      <c r="AA480"/>
      <c r="AG480"/>
    </row>
    <row r="481" spans="27:33" x14ac:dyDescent="0.3">
      <c r="AA481"/>
      <c r="AG481"/>
    </row>
    <row r="482" spans="27:33" x14ac:dyDescent="0.3">
      <c r="AA482"/>
      <c r="AG482"/>
    </row>
    <row r="483" spans="27:33" x14ac:dyDescent="0.3">
      <c r="AA483"/>
      <c r="AG483"/>
    </row>
    <row r="484" spans="27:33" x14ac:dyDescent="0.3">
      <c r="AA484"/>
      <c r="AG484"/>
    </row>
    <row r="485" spans="27:33" x14ac:dyDescent="0.3">
      <c r="AA485"/>
      <c r="AG485"/>
    </row>
    <row r="486" spans="27:33" x14ac:dyDescent="0.3">
      <c r="AA486"/>
      <c r="AG486"/>
    </row>
    <row r="487" spans="27:33" x14ac:dyDescent="0.3">
      <c r="AA487"/>
      <c r="AG487"/>
    </row>
    <row r="488" spans="27:33" x14ac:dyDescent="0.3">
      <c r="AA488"/>
      <c r="AG488"/>
    </row>
    <row r="489" spans="27:33" x14ac:dyDescent="0.3">
      <c r="AA489"/>
      <c r="AG489"/>
    </row>
    <row r="490" spans="27:33" x14ac:dyDescent="0.3">
      <c r="AA490"/>
      <c r="AG490"/>
    </row>
    <row r="491" spans="27:33" x14ac:dyDescent="0.3">
      <c r="AA491"/>
      <c r="AG491"/>
    </row>
    <row r="492" spans="27:33" x14ac:dyDescent="0.3">
      <c r="AA492"/>
      <c r="AG492"/>
    </row>
    <row r="493" spans="27:33" x14ac:dyDescent="0.3">
      <c r="AA493"/>
      <c r="AG493"/>
    </row>
    <row r="494" spans="27:33" x14ac:dyDescent="0.3">
      <c r="AA494"/>
      <c r="AG494"/>
    </row>
    <row r="495" spans="27:33" x14ac:dyDescent="0.3">
      <c r="AA495"/>
      <c r="AG495"/>
    </row>
    <row r="496" spans="27:33" x14ac:dyDescent="0.3">
      <c r="AA496"/>
      <c r="AG496"/>
    </row>
    <row r="497" spans="27:33" x14ac:dyDescent="0.3">
      <c r="AA497"/>
      <c r="AG497"/>
    </row>
    <row r="498" spans="27:33" x14ac:dyDescent="0.3">
      <c r="AA498"/>
      <c r="AG498"/>
    </row>
    <row r="499" spans="27:33" x14ac:dyDescent="0.3">
      <c r="AA499"/>
      <c r="AG499"/>
    </row>
    <row r="500" spans="27:33" x14ac:dyDescent="0.3">
      <c r="AA500"/>
      <c r="AG500"/>
    </row>
    <row r="501" spans="27:33" x14ac:dyDescent="0.3">
      <c r="AA501"/>
      <c r="AG501"/>
    </row>
    <row r="502" spans="27:33" x14ac:dyDescent="0.3">
      <c r="AA502"/>
      <c r="AG502"/>
    </row>
    <row r="503" spans="27:33" x14ac:dyDescent="0.3">
      <c r="AA503"/>
      <c r="AG503"/>
    </row>
    <row r="504" spans="27:33" x14ac:dyDescent="0.3">
      <c r="AA504"/>
      <c r="AG504"/>
    </row>
    <row r="505" spans="27:33" x14ac:dyDescent="0.3">
      <c r="AA505"/>
      <c r="AG505"/>
    </row>
    <row r="506" spans="27:33" x14ac:dyDescent="0.3">
      <c r="AA506"/>
      <c r="AG506"/>
    </row>
    <row r="507" spans="27:33" x14ac:dyDescent="0.3">
      <c r="AA507"/>
      <c r="AG507"/>
    </row>
    <row r="508" spans="27:33" x14ac:dyDescent="0.3">
      <c r="AA508"/>
      <c r="AG508"/>
    </row>
    <row r="509" spans="27:33" x14ac:dyDescent="0.3">
      <c r="AA509"/>
      <c r="AG509"/>
    </row>
    <row r="510" spans="27:33" x14ac:dyDescent="0.3">
      <c r="AA510"/>
      <c r="AG510"/>
    </row>
    <row r="511" spans="27:33" x14ac:dyDescent="0.3">
      <c r="AA511"/>
      <c r="AG511"/>
    </row>
    <row r="512" spans="27:33" x14ac:dyDescent="0.3">
      <c r="AA512"/>
      <c r="AG512"/>
    </row>
    <row r="513" spans="27:33" x14ac:dyDescent="0.3">
      <c r="AA513"/>
      <c r="AG513"/>
    </row>
    <row r="514" spans="27:33" x14ac:dyDescent="0.3">
      <c r="AA514"/>
      <c r="AG514"/>
    </row>
    <row r="515" spans="27:33" x14ac:dyDescent="0.3">
      <c r="AA515"/>
      <c r="AG515"/>
    </row>
    <row r="516" spans="27:33" x14ac:dyDescent="0.3">
      <c r="AA516"/>
      <c r="AG516"/>
    </row>
    <row r="517" spans="27:33" x14ac:dyDescent="0.3">
      <c r="AA517"/>
      <c r="AG517"/>
    </row>
    <row r="518" spans="27:33" x14ac:dyDescent="0.3">
      <c r="AA518"/>
      <c r="AG518"/>
    </row>
    <row r="519" spans="27:33" x14ac:dyDescent="0.3">
      <c r="AA519"/>
      <c r="AG519"/>
    </row>
    <row r="520" spans="27:33" x14ac:dyDescent="0.3">
      <c r="AA520"/>
      <c r="AG520"/>
    </row>
    <row r="521" spans="27:33" x14ac:dyDescent="0.3">
      <c r="AA521"/>
      <c r="AG521"/>
    </row>
    <row r="522" spans="27:33" x14ac:dyDescent="0.3">
      <c r="AA522"/>
      <c r="AG522"/>
    </row>
    <row r="523" spans="27:33" x14ac:dyDescent="0.3">
      <c r="AA523"/>
      <c r="AG523"/>
    </row>
    <row r="524" spans="27:33" x14ac:dyDescent="0.3">
      <c r="AA524"/>
      <c r="AG524"/>
    </row>
    <row r="525" spans="27:33" x14ac:dyDescent="0.3">
      <c r="AA525"/>
      <c r="AG525"/>
    </row>
    <row r="526" spans="27:33" x14ac:dyDescent="0.3">
      <c r="AA526"/>
      <c r="AG526"/>
    </row>
    <row r="527" spans="27:33" x14ac:dyDescent="0.3">
      <c r="AA527"/>
      <c r="AG527"/>
    </row>
    <row r="528" spans="27:33" x14ac:dyDescent="0.3">
      <c r="AA528"/>
      <c r="AG528"/>
    </row>
    <row r="529" spans="27:33" x14ac:dyDescent="0.3">
      <c r="AA529"/>
      <c r="AG529"/>
    </row>
    <row r="530" spans="27:33" x14ac:dyDescent="0.3">
      <c r="AA530"/>
      <c r="AG530"/>
    </row>
    <row r="531" spans="27:33" x14ac:dyDescent="0.3">
      <c r="AA531"/>
      <c r="AG531"/>
    </row>
    <row r="532" spans="27:33" x14ac:dyDescent="0.3">
      <c r="AA532"/>
      <c r="AG532"/>
    </row>
    <row r="533" spans="27:33" x14ac:dyDescent="0.3">
      <c r="AA533"/>
      <c r="AG533"/>
    </row>
    <row r="534" spans="27:33" x14ac:dyDescent="0.3">
      <c r="AA534"/>
      <c r="AG534"/>
    </row>
    <row r="535" spans="27:33" x14ac:dyDescent="0.3">
      <c r="AA535"/>
      <c r="AG535"/>
    </row>
    <row r="536" spans="27:33" x14ac:dyDescent="0.3">
      <c r="AA536"/>
      <c r="AG536"/>
    </row>
    <row r="537" spans="27:33" x14ac:dyDescent="0.3">
      <c r="AA537"/>
      <c r="AG537"/>
    </row>
    <row r="538" spans="27:33" x14ac:dyDescent="0.3">
      <c r="AA538"/>
      <c r="AG538"/>
    </row>
    <row r="539" spans="27:33" x14ac:dyDescent="0.3">
      <c r="AA539"/>
      <c r="AG539"/>
    </row>
    <row r="540" spans="27:33" x14ac:dyDescent="0.3">
      <c r="AA540"/>
      <c r="AG540"/>
    </row>
    <row r="541" spans="27:33" x14ac:dyDescent="0.3">
      <c r="AA541"/>
      <c r="AG541"/>
    </row>
    <row r="542" spans="27:33" x14ac:dyDescent="0.3">
      <c r="AA542"/>
      <c r="AG542"/>
    </row>
    <row r="543" spans="27:33" x14ac:dyDescent="0.3">
      <c r="AA543"/>
      <c r="AG543"/>
    </row>
    <row r="544" spans="27:33" x14ac:dyDescent="0.3">
      <c r="AA544"/>
      <c r="AG544"/>
    </row>
    <row r="545" spans="27:33" x14ac:dyDescent="0.3">
      <c r="AA545"/>
      <c r="AG545"/>
    </row>
    <row r="546" spans="27:33" x14ac:dyDescent="0.3">
      <c r="AA546"/>
      <c r="AG546"/>
    </row>
    <row r="547" spans="27:33" x14ac:dyDescent="0.3">
      <c r="AA547"/>
      <c r="AG547"/>
    </row>
    <row r="548" spans="27:33" x14ac:dyDescent="0.3">
      <c r="AA548"/>
      <c r="AG548"/>
    </row>
    <row r="549" spans="27:33" x14ac:dyDescent="0.3">
      <c r="AA549"/>
      <c r="AG549"/>
    </row>
    <row r="550" spans="27:33" x14ac:dyDescent="0.3">
      <c r="AA550"/>
      <c r="AG550"/>
    </row>
    <row r="551" spans="27:33" x14ac:dyDescent="0.3">
      <c r="AA551"/>
      <c r="AG551"/>
    </row>
    <row r="552" spans="27:33" x14ac:dyDescent="0.3">
      <c r="AA552"/>
      <c r="AG552"/>
    </row>
    <row r="553" spans="27:33" x14ac:dyDescent="0.3">
      <c r="AA553"/>
      <c r="AG553"/>
    </row>
    <row r="554" spans="27:33" x14ac:dyDescent="0.3">
      <c r="AA554"/>
      <c r="AG554"/>
    </row>
    <row r="555" spans="27:33" x14ac:dyDescent="0.3">
      <c r="AA555"/>
      <c r="AG555"/>
    </row>
    <row r="556" spans="27:33" x14ac:dyDescent="0.3">
      <c r="AA556"/>
      <c r="AG556"/>
    </row>
    <row r="557" spans="27:33" x14ac:dyDescent="0.3">
      <c r="AA557"/>
      <c r="AG557"/>
    </row>
    <row r="558" spans="27:33" x14ac:dyDescent="0.3">
      <c r="AA558"/>
      <c r="AG558"/>
    </row>
    <row r="559" spans="27:33" x14ac:dyDescent="0.3">
      <c r="AA559"/>
      <c r="AG559"/>
    </row>
    <row r="560" spans="27:33" x14ac:dyDescent="0.3">
      <c r="AA560"/>
      <c r="AG560"/>
    </row>
    <row r="561" spans="27:33" x14ac:dyDescent="0.3">
      <c r="AA561"/>
      <c r="AG561"/>
    </row>
    <row r="562" spans="27:33" x14ac:dyDescent="0.3">
      <c r="AA562"/>
      <c r="AG562"/>
    </row>
    <row r="563" spans="27:33" x14ac:dyDescent="0.3">
      <c r="AA563"/>
      <c r="AG563"/>
    </row>
    <row r="564" spans="27:33" x14ac:dyDescent="0.3">
      <c r="AA564"/>
      <c r="AG564"/>
    </row>
    <row r="565" spans="27:33" x14ac:dyDescent="0.3">
      <c r="AA565"/>
      <c r="AG565"/>
    </row>
    <row r="566" spans="27:33" x14ac:dyDescent="0.3">
      <c r="AA566"/>
      <c r="AG566"/>
    </row>
    <row r="567" spans="27:33" x14ac:dyDescent="0.3">
      <c r="AA567"/>
      <c r="AG567"/>
    </row>
    <row r="568" spans="27:33" x14ac:dyDescent="0.3">
      <c r="AA568"/>
      <c r="AG568"/>
    </row>
    <row r="569" spans="27:33" x14ac:dyDescent="0.3">
      <c r="AA569"/>
      <c r="AG569"/>
    </row>
    <row r="570" spans="27:33" x14ac:dyDescent="0.3">
      <c r="AA570"/>
      <c r="AG570"/>
    </row>
    <row r="571" spans="27:33" x14ac:dyDescent="0.3">
      <c r="AA571"/>
      <c r="AG571"/>
    </row>
    <row r="572" spans="27:33" x14ac:dyDescent="0.3">
      <c r="AA572"/>
      <c r="AG572"/>
    </row>
    <row r="573" spans="27:33" x14ac:dyDescent="0.3">
      <c r="AA573"/>
      <c r="AG573"/>
    </row>
    <row r="574" spans="27:33" x14ac:dyDescent="0.3">
      <c r="AA574"/>
      <c r="AG574"/>
    </row>
    <row r="575" spans="27:33" x14ac:dyDescent="0.3">
      <c r="AA575"/>
      <c r="AG575"/>
    </row>
    <row r="576" spans="27:33" x14ac:dyDescent="0.3">
      <c r="AA576"/>
      <c r="AG576"/>
    </row>
    <row r="577" spans="27:33" x14ac:dyDescent="0.3">
      <c r="AA577"/>
      <c r="AG577"/>
    </row>
    <row r="578" spans="27:33" x14ac:dyDescent="0.3">
      <c r="AA578"/>
      <c r="AG578"/>
    </row>
    <row r="579" spans="27:33" x14ac:dyDescent="0.3">
      <c r="AA579"/>
      <c r="AG579"/>
    </row>
    <row r="580" spans="27:33" x14ac:dyDescent="0.3">
      <c r="AA580"/>
      <c r="AG580"/>
    </row>
    <row r="581" spans="27:33" x14ac:dyDescent="0.3">
      <c r="AA581"/>
      <c r="AG581"/>
    </row>
    <row r="582" spans="27:33" x14ac:dyDescent="0.3">
      <c r="AA582"/>
      <c r="AG582"/>
    </row>
    <row r="583" spans="27:33" x14ac:dyDescent="0.3">
      <c r="AA583"/>
      <c r="AG583"/>
    </row>
    <row r="584" spans="27:33" x14ac:dyDescent="0.3">
      <c r="AA584"/>
      <c r="AG584"/>
    </row>
    <row r="585" spans="27:33" x14ac:dyDescent="0.3">
      <c r="AA585"/>
      <c r="AG585"/>
    </row>
    <row r="586" spans="27:33" x14ac:dyDescent="0.3">
      <c r="AA586"/>
      <c r="AG586"/>
    </row>
    <row r="587" spans="27:33" x14ac:dyDescent="0.3">
      <c r="AA587"/>
      <c r="AG587"/>
    </row>
    <row r="588" spans="27:33" x14ac:dyDescent="0.3">
      <c r="AA588"/>
      <c r="AG588"/>
    </row>
    <row r="589" spans="27:33" x14ac:dyDescent="0.3">
      <c r="AA589"/>
      <c r="AG589"/>
    </row>
    <row r="590" spans="27:33" x14ac:dyDescent="0.3">
      <c r="AA590"/>
      <c r="AG590"/>
    </row>
    <row r="591" spans="27:33" x14ac:dyDescent="0.3">
      <c r="AA591"/>
      <c r="AG591"/>
    </row>
    <row r="592" spans="27:33" x14ac:dyDescent="0.3">
      <c r="AA592"/>
      <c r="AG592"/>
    </row>
    <row r="593" spans="27:33" x14ac:dyDescent="0.3">
      <c r="AA593"/>
      <c r="AG593"/>
    </row>
    <row r="594" spans="27:33" x14ac:dyDescent="0.3">
      <c r="AA594"/>
      <c r="AG594"/>
    </row>
    <row r="595" spans="27:33" x14ac:dyDescent="0.3">
      <c r="AA595"/>
      <c r="AG595"/>
    </row>
    <row r="596" spans="27:33" x14ac:dyDescent="0.3">
      <c r="AA596"/>
      <c r="AG596"/>
    </row>
    <row r="597" spans="27:33" x14ac:dyDescent="0.3">
      <c r="AA597"/>
      <c r="AG597"/>
    </row>
    <row r="598" spans="27:33" x14ac:dyDescent="0.3">
      <c r="AA598"/>
      <c r="AG598"/>
    </row>
    <row r="599" spans="27:33" x14ac:dyDescent="0.3">
      <c r="AA599"/>
      <c r="AG599"/>
    </row>
    <row r="600" spans="27:33" x14ac:dyDescent="0.3">
      <c r="AA600"/>
      <c r="AG600"/>
    </row>
    <row r="601" spans="27:33" x14ac:dyDescent="0.3">
      <c r="AA601"/>
      <c r="AG601"/>
    </row>
    <row r="602" spans="27:33" x14ac:dyDescent="0.3">
      <c r="AA602"/>
      <c r="AG602"/>
    </row>
    <row r="603" spans="27:33" x14ac:dyDescent="0.3">
      <c r="AA603"/>
      <c r="AG603"/>
    </row>
    <row r="604" spans="27:33" x14ac:dyDescent="0.3">
      <c r="AA604"/>
      <c r="AG604"/>
    </row>
    <row r="605" spans="27:33" x14ac:dyDescent="0.3">
      <c r="AA605"/>
      <c r="AG605"/>
    </row>
    <row r="606" spans="27:33" x14ac:dyDescent="0.3">
      <c r="AA606"/>
      <c r="AG606"/>
    </row>
    <row r="607" spans="27:33" x14ac:dyDescent="0.3">
      <c r="AA607"/>
      <c r="AG607"/>
    </row>
    <row r="608" spans="27:33" x14ac:dyDescent="0.3">
      <c r="AA608"/>
      <c r="AG608"/>
    </row>
    <row r="609" spans="27:33" x14ac:dyDescent="0.3">
      <c r="AA609"/>
      <c r="AG609"/>
    </row>
    <row r="610" spans="27:33" x14ac:dyDescent="0.3">
      <c r="AA610"/>
      <c r="AG610"/>
    </row>
    <row r="611" spans="27:33" x14ac:dyDescent="0.3">
      <c r="AA611"/>
      <c r="AG611"/>
    </row>
    <row r="612" spans="27:33" x14ac:dyDescent="0.3">
      <c r="AA612"/>
      <c r="AG612"/>
    </row>
    <row r="613" spans="27:33" x14ac:dyDescent="0.3">
      <c r="AA613"/>
      <c r="AG613"/>
    </row>
    <row r="614" spans="27:33" x14ac:dyDescent="0.3">
      <c r="AA614"/>
      <c r="AG614"/>
    </row>
    <row r="615" spans="27:33" x14ac:dyDescent="0.3">
      <c r="AA615"/>
      <c r="AG615"/>
    </row>
    <row r="616" spans="27:33" x14ac:dyDescent="0.3">
      <c r="AA616"/>
      <c r="AG616"/>
    </row>
    <row r="617" spans="27:33" x14ac:dyDescent="0.3">
      <c r="AA617"/>
      <c r="AG617"/>
    </row>
    <row r="618" spans="27:33" x14ac:dyDescent="0.3">
      <c r="AA618"/>
      <c r="AG618"/>
    </row>
    <row r="619" spans="27:33" x14ac:dyDescent="0.3">
      <c r="AA619"/>
      <c r="AG619"/>
    </row>
    <row r="620" spans="27:33" x14ac:dyDescent="0.3">
      <c r="AA620"/>
      <c r="AG620"/>
    </row>
    <row r="621" spans="27:33" x14ac:dyDescent="0.3">
      <c r="AA621"/>
      <c r="AG621"/>
    </row>
    <row r="622" spans="27:33" x14ac:dyDescent="0.3">
      <c r="AA622"/>
      <c r="AG622"/>
    </row>
    <row r="623" spans="27:33" x14ac:dyDescent="0.3">
      <c r="AA623"/>
      <c r="AG623"/>
    </row>
    <row r="624" spans="27:33" x14ac:dyDescent="0.3">
      <c r="AA624"/>
      <c r="AG624"/>
    </row>
    <row r="625" spans="27:33" x14ac:dyDescent="0.3">
      <c r="AA625"/>
      <c r="AG625"/>
    </row>
    <row r="626" spans="27:33" x14ac:dyDescent="0.3">
      <c r="AA626"/>
      <c r="AG626"/>
    </row>
    <row r="627" spans="27:33" x14ac:dyDescent="0.3">
      <c r="AA627"/>
      <c r="AG627"/>
    </row>
    <row r="628" spans="27:33" x14ac:dyDescent="0.3">
      <c r="AA628"/>
      <c r="AG628"/>
    </row>
    <row r="629" spans="27:33" x14ac:dyDescent="0.3">
      <c r="AA629"/>
      <c r="AG629"/>
    </row>
    <row r="630" spans="27:33" x14ac:dyDescent="0.3">
      <c r="AA630"/>
      <c r="AG630"/>
    </row>
    <row r="631" spans="27:33" x14ac:dyDescent="0.3">
      <c r="AA631"/>
      <c r="AG631"/>
    </row>
    <row r="632" spans="27:33" x14ac:dyDescent="0.3">
      <c r="AA632"/>
      <c r="AG632"/>
    </row>
    <row r="633" spans="27:33" x14ac:dyDescent="0.3">
      <c r="AA633"/>
      <c r="AG633"/>
    </row>
    <row r="634" spans="27:33" x14ac:dyDescent="0.3">
      <c r="AA634"/>
      <c r="AG634"/>
    </row>
    <row r="635" spans="27:33" x14ac:dyDescent="0.3">
      <c r="AA635"/>
      <c r="AG635"/>
    </row>
    <row r="636" spans="27:33" x14ac:dyDescent="0.3">
      <c r="AA636"/>
      <c r="AG636"/>
    </row>
    <row r="637" spans="27:33" x14ac:dyDescent="0.3">
      <c r="AA637"/>
      <c r="AG637"/>
    </row>
    <row r="638" spans="27:33" x14ac:dyDescent="0.3">
      <c r="AA638"/>
      <c r="AG638"/>
    </row>
    <row r="639" spans="27:33" x14ac:dyDescent="0.3">
      <c r="AA639"/>
      <c r="AG639"/>
    </row>
    <row r="640" spans="27:33" x14ac:dyDescent="0.3">
      <c r="AA640"/>
      <c r="AG640"/>
    </row>
    <row r="641" spans="27:33" x14ac:dyDescent="0.3">
      <c r="AA641"/>
      <c r="AG641"/>
    </row>
    <row r="642" spans="27:33" x14ac:dyDescent="0.3">
      <c r="AA642"/>
      <c r="AG642"/>
    </row>
    <row r="643" spans="27:33" x14ac:dyDescent="0.3">
      <c r="AA643"/>
      <c r="AG643"/>
    </row>
    <row r="644" spans="27:33" x14ac:dyDescent="0.3">
      <c r="AA644"/>
      <c r="AG644"/>
    </row>
    <row r="645" spans="27:33" x14ac:dyDescent="0.3">
      <c r="AA645"/>
      <c r="AG645"/>
    </row>
    <row r="646" spans="27:33" x14ac:dyDescent="0.3">
      <c r="AA646"/>
      <c r="AG646"/>
    </row>
    <row r="647" spans="27:33" x14ac:dyDescent="0.3">
      <c r="AA647"/>
      <c r="AG647"/>
    </row>
    <row r="648" spans="27:33" x14ac:dyDescent="0.3">
      <c r="AA648"/>
      <c r="AG648"/>
    </row>
    <row r="649" spans="27:33" x14ac:dyDescent="0.3">
      <c r="AA649"/>
      <c r="AG649"/>
    </row>
    <row r="650" spans="27:33" x14ac:dyDescent="0.3">
      <c r="AA650"/>
      <c r="AG650"/>
    </row>
    <row r="651" spans="27:33" x14ac:dyDescent="0.3">
      <c r="AA651"/>
      <c r="AG651"/>
    </row>
    <row r="652" spans="27:33" x14ac:dyDescent="0.3">
      <c r="AA652"/>
      <c r="AG652"/>
    </row>
    <row r="653" spans="27:33" x14ac:dyDescent="0.3">
      <c r="AA653"/>
      <c r="AG653"/>
    </row>
    <row r="654" spans="27:33" x14ac:dyDescent="0.3">
      <c r="AA654"/>
      <c r="AG654"/>
    </row>
    <row r="655" spans="27:33" x14ac:dyDescent="0.3">
      <c r="AA655"/>
      <c r="AG655"/>
    </row>
    <row r="656" spans="27:33" x14ac:dyDescent="0.3">
      <c r="AA656"/>
      <c r="AG656"/>
    </row>
    <row r="657" spans="27:33" x14ac:dyDescent="0.3">
      <c r="AA657"/>
      <c r="AG657"/>
    </row>
    <row r="658" spans="27:33" x14ac:dyDescent="0.3">
      <c r="AA658"/>
      <c r="AG658"/>
    </row>
    <row r="659" spans="27:33" x14ac:dyDescent="0.3">
      <c r="AA659"/>
      <c r="AG659"/>
    </row>
    <row r="660" spans="27:33" x14ac:dyDescent="0.3">
      <c r="AA660"/>
      <c r="AG660"/>
    </row>
    <row r="661" spans="27:33" x14ac:dyDescent="0.3">
      <c r="AA661"/>
      <c r="AG661"/>
    </row>
    <row r="662" spans="27:33" x14ac:dyDescent="0.3">
      <c r="AA662"/>
      <c r="AG662"/>
    </row>
    <row r="663" spans="27:33" x14ac:dyDescent="0.3">
      <c r="AA663"/>
      <c r="AG663"/>
    </row>
    <row r="664" spans="27:33" x14ac:dyDescent="0.3">
      <c r="AA664"/>
      <c r="AG664"/>
    </row>
    <row r="665" spans="27:33" x14ac:dyDescent="0.3">
      <c r="AA665"/>
      <c r="AG665"/>
    </row>
    <row r="666" spans="27:33" x14ac:dyDescent="0.3">
      <c r="AA666"/>
      <c r="AG666"/>
    </row>
    <row r="667" spans="27:33" x14ac:dyDescent="0.3">
      <c r="AA667"/>
      <c r="AG667"/>
    </row>
    <row r="668" spans="27:33" x14ac:dyDescent="0.3">
      <c r="AA668"/>
      <c r="AG668"/>
    </row>
    <row r="669" spans="27:33" x14ac:dyDescent="0.3">
      <c r="AA669"/>
      <c r="AG669"/>
    </row>
    <row r="670" spans="27:33" x14ac:dyDescent="0.3">
      <c r="AA670"/>
      <c r="AG670"/>
    </row>
    <row r="671" spans="27:33" x14ac:dyDescent="0.3">
      <c r="AA671"/>
      <c r="AG671"/>
    </row>
    <row r="672" spans="27:33" x14ac:dyDescent="0.3">
      <c r="AA672"/>
      <c r="AG672"/>
    </row>
    <row r="673" spans="27:33" x14ac:dyDescent="0.3">
      <c r="AA673"/>
      <c r="AG673"/>
    </row>
    <row r="674" spans="27:33" x14ac:dyDescent="0.3">
      <c r="AA674"/>
      <c r="AG674"/>
    </row>
    <row r="675" spans="27:33" x14ac:dyDescent="0.3">
      <c r="AA675"/>
      <c r="AG675"/>
    </row>
    <row r="676" spans="27:33" x14ac:dyDescent="0.3">
      <c r="AA676"/>
      <c r="AG676"/>
    </row>
    <row r="677" spans="27:33" x14ac:dyDescent="0.3">
      <c r="AA677"/>
      <c r="AG677"/>
    </row>
    <row r="678" spans="27:33" x14ac:dyDescent="0.3">
      <c r="AA678"/>
      <c r="AG678"/>
    </row>
    <row r="679" spans="27:33" x14ac:dyDescent="0.3">
      <c r="AA679"/>
      <c r="AG679"/>
    </row>
    <row r="680" spans="27:33" x14ac:dyDescent="0.3">
      <c r="AA680"/>
      <c r="AG680"/>
    </row>
    <row r="681" spans="27:33" x14ac:dyDescent="0.3">
      <c r="AA681"/>
      <c r="AG681"/>
    </row>
    <row r="682" spans="27:33" x14ac:dyDescent="0.3">
      <c r="AA682"/>
      <c r="AG682"/>
    </row>
    <row r="683" spans="27:33" x14ac:dyDescent="0.3">
      <c r="AA683"/>
      <c r="AG683"/>
    </row>
    <row r="684" spans="27:33" x14ac:dyDescent="0.3">
      <c r="AA684"/>
      <c r="AG684"/>
    </row>
    <row r="685" spans="27:33" x14ac:dyDescent="0.3">
      <c r="AA685"/>
      <c r="AG685"/>
    </row>
    <row r="686" spans="27:33" x14ac:dyDescent="0.3">
      <c r="AA686"/>
      <c r="AG686"/>
    </row>
    <row r="687" spans="27:33" x14ac:dyDescent="0.3">
      <c r="AA687"/>
      <c r="AG687"/>
    </row>
    <row r="688" spans="27:33" x14ac:dyDescent="0.3">
      <c r="AA688"/>
      <c r="AG688"/>
    </row>
    <row r="689" spans="27:33" x14ac:dyDescent="0.3">
      <c r="AA689"/>
      <c r="AG689"/>
    </row>
    <row r="690" spans="27:33" x14ac:dyDescent="0.3">
      <c r="AA690"/>
      <c r="AG690"/>
    </row>
    <row r="691" spans="27:33" x14ac:dyDescent="0.3">
      <c r="AA691"/>
      <c r="AG691"/>
    </row>
    <row r="692" spans="27:33" x14ac:dyDescent="0.3">
      <c r="AA692"/>
      <c r="AG692"/>
    </row>
    <row r="693" spans="27:33" x14ac:dyDescent="0.3">
      <c r="AA693"/>
      <c r="AG693"/>
    </row>
    <row r="694" spans="27:33" x14ac:dyDescent="0.3">
      <c r="AA694"/>
      <c r="AG694"/>
    </row>
    <row r="695" spans="27:33" x14ac:dyDescent="0.3">
      <c r="AA695"/>
      <c r="AG695"/>
    </row>
    <row r="696" spans="27:33" x14ac:dyDescent="0.3">
      <c r="AA696"/>
      <c r="AG696"/>
    </row>
    <row r="697" spans="27:33" x14ac:dyDescent="0.3">
      <c r="AA697"/>
      <c r="AG697"/>
    </row>
    <row r="698" spans="27:33" x14ac:dyDescent="0.3">
      <c r="AA698"/>
      <c r="AG698"/>
    </row>
    <row r="699" spans="27:33" x14ac:dyDescent="0.3">
      <c r="AA699"/>
      <c r="AG699"/>
    </row>
    <row r="700" spans="27:33" x14ac:dyDescent="0.3">
      <c r="AA700"/>
      <c r="AG700"/>
    </row>
    <row r="701" spans="27:33" x14ac:dyDescent="0.3">
      <c r="AA701"/>
      <c r="AG701"/>
    </row>
    <row r="702" spans="27:33" x14ac:dyDescent="0.3">
      <c r="AA702"/>
      <c r="AG702"/>
    </row>
    <row r="703" spans="27:33" x14ac:dyDescent="0.3">
      <c r="AA703"/>
      <c r="AG703"/>
    </row>
    <row r="704" spans="27:33" x14ac:dyDescent="0.3">
      <c r="AA704"/>
      <c r="AG704"/>
    </row>
    <row r="705" spans="27:33" x14ac:dyDescent="0.3">
      <c r="AA705"/>
      <c r="AG705"/>
    </row>
    <row r="706" spans="27:33" x14ac:dyDescent="0.3">
      <c r="AA706"/>
      <c r="AG706"/>
    </row>
    <row r="707" spans="27:33" x14ac:dyDescent="0.3">
      <c r="AA707"/>
      <c r="AG707"/>
    </row>
    <row r="708" spans="27:33" x14ac:dyDescent="0.3">
      <c r="AA708"/>
      <c r="AG708"/>
    </row>
    <row r="709" spans="27:33" x14ac:dyDescent="0.3">
      <c r="AA709"/>
      <c r="AG709"/>
    </row>
    <row r="710" spans="27:33" x14ac:dyDescent="0.3">
      <c r="AA710"/>
      <c r="AG710"/>
    </row>
    <row r="711" spans="27:33" x14ac:dyDescent="0.3">
      <c r="AA711"/>
      <c r="AG711"/>
    </row>
    <row r="712" spans="27:33" x14ac:dyDescent="0.3">
      <c r="AA712"/>
      <c r="AG712"/>
    </row>
    <row r="713" spans="27:33" x14ac:dyDescent="0.3">
      <c r="AA713"/>
      <c r="AG713"/>
    </row>
    <row r="714" spans="27:33" x14ac:dyDescent="0.3">
      <c r="AA714"/>
      <c r="AG714"/>
    </row>
    <row r="715" spans="27:33" x14ac:dyDescent="0.3">
      <c r="AA715"/>
      <c r="AG715"/>
    </row>
    <row r="716" spans="27:33" x14ac:dyDescent="0.3">
      <c r="AA716"/>
      <c r="AG716"/>
    </row>
    <row r="717" spans="27:33" x14ac:dyDescent="0.3">
      <c r="AA717"/>
      <c r="AG717"/>
    </row>
    <row r="718" spans="27:33" x14ac:dyDescent="0.3">
      <c r="AA718"/>
      <c r="AG718"/>
    </row>
    <row r="719" spans="27:33" x14ac:dyDescent="0.3">
      <c r="AA719"/>
      <c r="AG719"/>
    </row>
    <row r="720" spans="27:33" x14ac:dyDescent="0.3">
      <c r="AA720"/>
      <c r="AG720"/>
    </row>
    <row r="721" spans="27:33" x14ac:dyDescent="0.3">
      <c r="AA721"/>
      <c r="AG721"/>
    </row>
    <row r="722" spans="27:33" x14ac:dyDescent="0.3">
      <c r="AA722"/>
      <c r="AG722"/>
    </row>
    <row r="723" spans="27:33" x14ac:dyDescent="0.3">
      <c r="AA723"/>
      <c r="AG723"/>
    </row>
    <row r="724" spans="27:33" x14ac:dyDescent="0.3">
      <c r="AA724"/>
      <c r="AG724"/>
    </row>
    <row r="725" spans="27:33" x14ac:dyDescent="0.3">
      <c r="AA725"/>
      <c r="AG725"/>
    </row>
    <row r="726" spans="27:33" x14ac:dyDescent="0.3">
      <c r="AA726"/>
      <c r="AG726"/>
    </row>
    <row r="727" spans="27:33" x14ac:dyDescent="0.3">
      <c r="AA727"/>
      <c r="AG727"/>
    </row>
    <row r="728" spans="27:33" x14ac:dyDescent="0.3">
      <c r="AA728"/>
      <c r="AG728"/>
    </row>
    <row r="729" spans="27:33" x14ac:dyDescent="0.3">
      <c r="AA729"/>
      <c r="AG729"/>
    </row>
    <row r="730" spans="27:33" x14ac:dyDescent="0.3">
      <c r="AA730"/>
      <c r="AG730"/>
    </row>
    <row r="731" spans="27:33" x14ac:dyDescent="0.3">
      <c r="AA731"/>
      <c r="AG731"/>
    </row>
    <row r="732" spans="27:33" x14ac:dyDescent="0.3">
      <c r="AA732"/>
      <c r="AG732"/>
    </row>
    <row r="733" spans="27:33" x14ac:dyDescent="0.3">
      <c r="AA733"/>
      <c r="AG733"/>
    </row>
    <row r="734" spans="27:33" x14ac:dyDescent="0.3">
      <c r="AA734"/>
      <c r="AG734"/>
    </row>
    <row r="735" spans="27:33" x14ac:dyDescent="0.3">
      <c r="AA735"/>
      <c r="AG735"/>
    </row>
    <row r="736" spans="27:33" x14ac:dyDescent="0.3">
      <c r="AA736"/>
      <c r="AG736"/>
    </row>
    <row r="737" spans="27:33" x14ac:dyDescent="0.3">
      <c r="AA737"/>
      <c r="AG737"/>
    </row>
    <row r="738" spans="27:33" x14ac:dyDescent="0.3">
      <c r="AA738"/>
      <c r="AG738"/>
    </row>
    <row r="739" spans="27:33" x14ac:dyDescent="0.3">
      <c r="AA739"/>
      <c r="AG739"/>
    </row>
    <row r="740" spans="27:33" x14ac:dyDescent="0.3">
      <c r="AA740"/>
      <c r="AG740"/>
    </row>
    <row r="741" spans="27:33" x14ac:dyDescent="0.3">
      <c r="AA741"/>
      <c r="AG741"/>
    </row>
    <row r="742" spans="27:33" x14ac:dyDescent="0.3">
      <c r="AA742"/>
      <c r="AG742"/>
    </row>
    <row r="743" spans="27:33" x14ac:dyDescent="0.3">
      <c r="AA743"/>
      <c r="AG743"/>
    </row>
    <row r="744" spans="27:33" x14ac:dyDescent="0.3">
      <c r="AA744"/>
      <c r="AG744"/>
    </row>
    <row r="745" spans="27:33" x14ac:dyDescent="0.3">
      <c r="AA745"/>
      <c r="AG745"/>
    </row>
    <row r="746" spans="27:33" x14ac:dyDescent="0.3">
      <c r="AA746"/>
      <c r="AG746"/>
    </row>
    <row r="747" spans="27:33" x14ac:dyDescent="0.3">
      <c r="AA747"/>
      <c r="AG747"/>
    </row>
    <row r="748" spans="27:33" x14ac:dyDescent="0.3">
      <c r="AA748"/>
      <c r="AG748"/>
    </row>
    <row r="749" spans="27:33" x14ac:dyDescent="0.3">
      <c r="AA749"/>
      <c r="AG749"/>
    </row>
    <row r="750" spans="27:33" x14ac:dyDescent="0.3">
      <c r="AA750"/>
      <c r="AG750"/>
    </row>
    <row r="751" spans="27:33" x14ac:dyDescent="0.3">
      <c r="AA751"/>
      <c r="AG751"/>
    </row>
    <row r="752" spans="27:33" x14ac:dyDescent="0.3">
      <c r="AA752"/>
      <c r="AG752"/>
    </row>
    <row r="753" spans="27:33" x14ac:dyDescent="0.3">
      <c r="AA753"/>
      <c r="AG753"/>
    </row>
    <row r="754" spans="27:33" x14ac:dyDescent="0.3">
      <c r="AA754"/>
      <c r="AG754"/>
    </row>
    <row r="755" spans="27:33" x14ac:dyDescent="0.3">
      <c r="AA755"/>
      <c r="AG755"/>
    </row>
    <row r="756" spans="27:33" x14ac:dyDescent="0.3">
      <c r="AA756"/>
      <c r="AG756"/>
    </row>
    <row r="757" spans="27:33" x14ac:dyDescent="0.3">
      <c r="AA757"/>
      <c r="AG757"/>
    </row>
    <row r="758" spans="27:33" x14ac:dyDescent="0.3">
      <c r="AA758"/>
      <c r="AG758"/>
    </row>
    <row r="759" spans="27:33" x14ac:dyDescent="0.3">
      <c r="AA759"/>
      <c r="AG759"/>
    </row>
    <row r="760" spans="27:33" x14ac:dyDescent="0.3">
      <c r="AA760"/>
      <c r="AG760"/>
    </row>
    <row r="761" spans="27:33" x14ac:dyDescent="0.3">
      <c r="AA761"/>
      <c r="AG761"/>
    </row>
    <row r="762" spans="27:33" x14ac:dyDescent="0.3">
      <c r="AA762"/>
      <c r="AG762"/>
    </row>
    <row r="763" spans="27:33" x14ac:dyDescent="0.3">
      <c r="AA763"/>
      <c r="AG763"/>
    </row>
    <row r="764" spans="27:33" x14ac:dyDescent="0.3">
      <c r="AA764"/>
      <c r="AG764"/>
    </row>
    <row r="765" spans="27:33" x14ac:dyDescent="0.3">
      <c r="AA765"/>
      <c r="AG765"/>
    </row>
    <row r="766" spans="27:33" x14ac:dyDescent="0.3">
      <c r="AA766"/>
      <c r="AG766"/>
    </row>
    <row r="767" spans="27:33" x14ac:dyDescent="0.3">
      <c r="AA767"/>
      <c r="AG767"/>
    </row>
    <row r="768" spans="27:33" x14ac:dyDescent="0.3">
      <c r="AA768"/>
      <c r="AG768"/>
    </row>
    <row r="769" spans="27:33" x14ac:dyDescent="0.3">
      <c r="AA769"/>
      <c r="AG769"/>
    </row>
    <row r="770" spans="27:33" x14ac:dyDescent="0.3">
      <c r="AA770"/>
      <c r="AG770"/>
    </row>
    <row r="771" spans="27:33" x14ac:dyDescent="0.3">
      <c r="AA771"/>
      <c r="AG771"/>
    </row>
    <row r="772" spans="27:33" x14ac:dyDescent="0.3">
      <c r="AA772"/>
      <c r="AG772"/>
    </row>
    <row r="773" spans="27:33" x14ac:dyDescent="0.3">
      <c r="AA773"/>
      <c r="AG773"/>
    </row>
    <row r="774" spans="27:33" x14ac:dyDescent="0.3">
      <c r="AA774"/>
      <c r="AG774"/>
    </row>
    <row r="775" spans="27:33" x14ac:dyDescent="0.3">
      <c r="AA775"/>
      <c r="AG775"/>
    </row>
    <row r="776" spans="27:33" x14ac:dyDescent="0.3">
      <c r="AA776"/>
      <c r="AG776"/>
    </row>
    <row r="777" spans="27:33" x14ac:dyDescent="0.3">
      <c r="AA777"/>
      <c r="AG777"/>
    </row>
    <row r="778" spans="27:33" x14ac:dyDescent="0.3">
      <c r="AA778"/>
      <c r="AG778"/>
    </row>
    <row r="779" spans="27:33" x14ac:dyDescent="0.3">
      <c r="AA779"/>
      <c r="AG779"/>
    </row>
    <row r="780" spans="27:33" x14ac:dyDescent="0.3">
      <c r="AA780"/>
      <c r="AG780"/>
    </row>
    <row r="781" spans="27:33" x14ac:dyDescent="0.3">
      <c r="AA781"/>
      <c r="AG781"/>
    </row>
    <row r="782" spans="27:33" x14ac:dyDescent="0.3">
      <c r="AA782"/>
      <c r="AG782"/>
    </row>
    <row r="783" spans="27:33" x14ac:dyDescent="0.3">
      <c r="AA783"/>
      <c r="AG783"/>
    </row>
    <row r="784" spans="27:33" x14ac:dyDescent="0.3">
      <c r="AA784"/>
      <c r="AG784"/>
    </row>
    <row r="785" spans="27:33" x14ac:dyDescent="0.3">
      <c r="AA785"/>
      <c r="AG785"/>
    </row>
    <row r="786" spans="27:33" x14ac:dyDescent="0.3">
      <c r="AA786"/>
      <c r="AG786"/>
    </row>
    <row r="787" spans="27:33" x14ac:dyDescent="0.3">
      <c r="AA787"/>
      <c r="AG787"/>
    </row>
    <row r="788" spans="27:33" x14ac:dyDescent="0.3">
      <c r="AA788"/>
      <c r="AG788"/>
    </row>
    <row r="789" spans="27:33" x14ac:dyDescent="0.3">
      <c r="AA789"/>
      <c r="AG789"/>
    </row>
    <row r="790" spans="27:33" x14ac:dyDescent="0.3">
      <c r="AA790"/>
      <c r="AG790"/>
    </row>
    <row r="791" spans="27:33" x14ac:dyDescent="0.3">
      <c r="AA791"/>
      <c r="AG791"/>
    </row>
    <row r="792" spans="27:33" x14ac:dyDescent="0.3">
      <c r="AA792"/>
      <c r="AG792"/>
    </row>
    <row r="793" spans="27:33" x14ac:dyDescent="0.3">
      <c r="AA793"/>
      <c r="AG793"/>
    </row>
    <row r="794" spans="27:33" x14ac:dyDescent="0.3">
      <c r="AA794"/>
      <c r="AG794"/>
    </row>
    <row r="795" spans="27:33" x14ac:dyDescent="0.3">
      <c r="AA795"/>
      <c r="AG795"/>
    </row>
    <row r="796" spans="27:33" x14ac:dyDescent="0.3">
      <c r="AA796"/>
      <c r="AG796"/>
    </row>
    <row r="797" spans="27:33" x14ac:dyDescent="0.3">
      <c r="AA797"/>
      <c r="AG797"/>
    </row>
    <row r="798" spans="27:33" x14ac:dyDescent="0.3">
      <c r="AA798"/>
      <c r="AG798"/>
    </row>
    <row r="799" spans="27:33" x14ac:dyDescent="0.3">
      <c r="AA799"/>
      <c r="AG799"/>
    </row>
    <row r="800" spans="27:33" x14ac:dyDescent="0.3">
      <c r="AA800"/>
      <c r="AG800"/>
    </row>
    <row r="801" spans="27:33" x14ac:dyDescent="0.3">
      <c r="AA801"/>
      <c r="AG801"/>
    </row>
    <row r="802" spans="27:33" x14ac:dyDescent="0.3">
      <c r="AA802"/>
      <c r="AG802"/>
    </row>
    <row r="803" spans="27:33" x14ac:dyDescent="0.3">
      <c r="AA803"/>
      <c r="AG803"/>
    </row>
    <row r="804" spans="27:33" x14ac:dyDescent="0.3">
      <c r="AA804"/>
      <c r="AG804"/>
    </row>
    <row r="805" spans="27:33" x14ac:dyDescent="0.3">
      <c r="AA805"/>
      <c r="AG805"/>
    </row>
    <row r="806" spans="27:33" x14ac:dyDescent="0.3">
      <c r="AA806"/>
      <c r="AG806"/>
    </row>
    <row r="807" spans="27:33" x14ac:dyDescent="0.3">
      <c r="AA807"/>
      <c r="AG807"/>
    </row>
    <row r="808" spans="27:33" x14ac:dyDescent="0.3">
      <c r="AA808"/>
      <c r="AG808"/>
    </row>
    <row r="809" spans="27:33" x14ac:dyDescent="0.3">
      <c r="AA809"/>
      <c r="AG809"/>
    </row>
    <row r="810" spans="27:33" x14ac:dyDescent="0.3">
      <c r="AA810"/>
      <c r="AG810"/>
    </row>
    <row r="811" spans="27:33" x14ac:dyDescent="0.3">
      <c r="AA811"/>
      <c r="AG811"/>
    </row>
    <row r="812" spans="27:33" x14ac:dyDescent="0.3">
      <c r="AA812"/>
      <c r="AG812"/>
    </row>
    <row r="813" spans="27:33" x14ac:dyDescent="0.3">
      <c r="AA813"/>
      <c r="AG813"/>
    </row>
    <row r="814" spans="27:33" x14ac:dyDescent="0.3">
      <c r="AA814"/>
      <c r="AG814"/>
    </row>
    <row r="815" spans="27:33" x14ac:dyDescent="0.3">
      <c r="AA815"/>
      <c r="AG815"/>
    </row>
    <row r="816" spans="27:33" x14ac:dyDescent="0.3">
      <c r="AA816"/>
      <c r="AG816"/>
    </row>
    <row r="817" spans="27:33" x14ac:dyDescent="0.3">
      <c r="AA817"/>
      <c r="AG817"/>
    </row>
    <row r="818" spans="27:33" x14ac:dyDescent="0.3">
      <c r="AA818"/>
      <c r="AG818"/>
    </row>
    <row r="819" spans="27:33" x14ac:dyDescent="0.3">
      <c r="AA819"/>
      <c r="AG819"/>
    </row>
    <row r="820" spans="27:33" x14ac:dyDescent="0.3">
      <c r="AA820"/>
      <c r="AG820"/>
    </row>
    <row r="821" spans="27:33" x14ac:dyDescent="0.3">
      <c r="AA821"/>
      <c r="AG821"/>
    </row>
    <row r="822" spans="27:33" x14ac:dyDescent="0.3">
      <c r="AA822"/>
      <c r="AG822"/>
    </row>
    <row r="823" spans="27:33" x14ac:dyDescent="0.3">
      <c r="AA823"/>
      <c r="AG823"/>
    </row>
    <row r="824" spans="27:33" x14ac:dyDescent="0.3">
      <c r="AA824"/>
      <c r="AG824"/>
    </row>
    <row r="825" spans="27:33" x14ac:dyDescent="0.3">
      <c r="AA825"/>
      <c r="AG825"/>
    </row>
    <row r="826" spans="27:33" x14ac:dyDescent="0.3">
      <c r="AA826"/>
      <c r="AG826"/>
    </row>
    <row r="827" spans="27:33" x14ac:dyDescent="0.3">
      <c r="AA827"/>
      <c r="AG827"/>
    </row>
    <row r="828" spans="27:33" x14ac:dyDescent="0.3">
      <c r="AA828"/>
      <c r="AG828"/>
    </row>
    <row r="829" spans="27:33" x14ac:dyDescent="0.3">
      <c r="AA829"/>
      <c r="AG829"/>
    </row>
    <row r="830" spans="27:33" x14ac:dyDescent="0.3">
      <c r="AA830"/>
      <c r="AG830"/>
    </row>
    <row r="831" spans="27:33" x14ac:dyDescent="0.3">
      <c r="AA831"/>
      <c r="AG831"/>
    </row>
    <row r="832" spans="27:33" x14ac:dyDescent="0.3">
      <c r="AA832"/>
      <c r="AG832"/>
    </row>
    <row r="833" spans="27:33" x14ac:dyDescent="0.3">
      <c r="AA833"/>
      <c r="AG833"/>
    </row>
    <row r="834" spans="27:33" x14ac:dyDescent="0.3">
      <c r="AA834"/>
      <c r="AG834"/>
    </row>
    <row r="835" spans="27:33" x14ac:dyDescent="0.3">
      <c r="AA835"/>
      <c r="AG835"/>
    </row>
    <row r="836" spans="27:33" x14ac:dyDescent="0.3">
      <c r="AA836"/>
      <c r="AG836"/>
    </row>
    <row r="837" spans="27:33" x14ac:dyDescent="0.3">
      <c r="AA837"/>
      <c r="AG837"/>
    </row>
    <row r="838" spans="27:33" x14ac:dyDescent="0.3">
      <c r="AA838"/>
      <c r="AG838"/>
    </row>
    <row r="839" spans="27:33" x14ac:dyDescent="0.3">
      <c r="AA839"/>
      <c r="AG839"/>
    </row>
    <row r="840" spans="27:33" x14ac:dyDescent="0.3">
      <c r="AA840"/>
      <c r="AG840"/>
    </row>
    <row r="841" spans="27:33" x14ac:dyDescent="0.3">
      <c r="AA841"/>
      <c r="AG841"/>
    </row>
    <row r="842" spans="27:33" x14ac:dyDescent="0.3">
      <c r="AA842"/>
      <c r="AG842"/>
    </row>
    <row r="843" spans="27:33" x14ac:dyDescent="0.3">
      <c r="AA843"/>
      <c r="AG843"/>
    </row>
    <row r="844" spans="27:33" x14ac:dyDescent="0.3">
      <c r="AA844"/>
      <c r="AG844"/>
    </row>
    <row r="845" spans="27:33" x14ac:dyDescent="0.3">
      <c r="AA845"/>
      <c r="AG845"/>
    </row>
    <row r="846" spans="27:33" x14ac:dyDescent="0.3">
      <c r="AA846"/>
      <c r="AG846"/>
    </row>
    <row r="847" spans="27:33" x14ac:dyDescent="0.3">
      <c r="AA847"/>
      <c r="AG847"/>
    </row>
    <row r="848" spans="27:33" x14ac:dyDescent="0.3">
      <c r="AA848"/>
      <c r="AG848"/>
    </row>
    <row r="849" spans="27:33" x14ac:dyDescent="0.3">
      <c r="AA849"/>
      <c r="AG849"/>
    </row>
    <row r="850" spans="27:33" x14ac:dyDescent="0.3">
      <c r="AA850"/>
      <c r="AG850"/>
    </row>
    <row r="851" spans="27:33" x14ac:dyDescent="0.3">
      <c r="AA851"/>
      <c r="AG851"/>
    </row>
    <row r="852" spans="27:33" x14ac:dyDescent="0.3">
      <c r="AA852"/>
      <c r="AG852"/>
    </row>
    <row r="853" spans="27:33" x14ac:dyDescent="0.3">
      <c r="AA853"/>
      <c r="AG853"/>
    </row>
    <row r="854" spans="27:33" x14ac:dyDescent="0.3">
      <c r="AA854"/>
      <c r="AG854"/>
    </row>
    <row r="855" spans="27:33" x14ac:dyDescent="0.3">
      <c r="AA855"/>
      <c r="AG855"/>
    </row>
    <row r="856" spans="27:33" x14ac:dyDescent="0.3">
      <c r="AA856"/>
      <c r="AG856"/>
    </row>
    <row r="857" spans="27:33" x14ac:dyDescent="0.3">
      <c r="AA857"/>
      <c r="AG857"/>
    </row>
    <row r="858" spans="27:33" x14ac:dyDescent="0.3">
      <c r="AA858"/>
      <c r="AG858"/>
    </row>
    <row r="859" spans="27:33" x14ac:dyDescent="0.3">
      <c r="AA859"/>
      <c r="AG859"/>
    </row>
    <row r="860" spans="27:33" x14ac:dyDescent="0.3">
      <c r="AA860"/>
      <c r="AG860"/>
    </row>
    <row r="861" spans="27:33" x14ac:dyDescent="0.3">
      <c r="AA861"/>
      <c r="AG861"/>
    </row>
    <row r="862" spans="27:33" x14ac:dyDescent="0.3">
      <c r="AA862"/>
      <c r="AG862"/>
    </row>
    <row r="863" spans="27:33" x14ac:dyDescent="0.3">
      <c r="AA863"/>
      <c r="AG863"/>
    </row>
    <row r="864" spans="27:33" x14ac:dyDescent="0.3">
      <c r="AA864"/>
      <c r="AG864"/>
    </row>
    <row r="865" spans="27:33" x14ac:dyDescent="0.3">
      <c r="AA865"/>
      <c r="AG865"/>
    </row>
    <row r="866" spans="27:33" x14ac:dyDescent="0.3">
      <c r="AA866"/>
      <c r="AG866"/>
    </row>
    <row r="867" spans="27:33" x14ac:dyDescent="0.3">
      <c r="AA867"/>
      <c r="AG867"/>
    </row>
    <row r="868" spans="27:33" x14ac:dyDescent="0.3">
      <c r="AA868"/>
      <c r="AG868"/>
    </row>
    <row r="869" spans="27:33" x14ac:dyDescent="0.3">
      <c r="AA869"/>
      <c r="AG869"/>
    </row>
    <row r="870" spans="27:33" x14ac:dyDescent="0.3">
      <c r="AA870"/>
      <c r="AG870"/>
    </row>
    <row r="871" spans="27:33" x14ac:dyDescent="0.3">
      <c r="AA871"/>
      <c r="AG871"/>
    </row>
    <row r="872" spans="27:33" x14ac:dyDescent="0.3">
      <c r="AA872"/>
      <c r="AG872"/>
    </row>
    <row r="873" spans="27:33" x14ac:dyDescent="0.3">
      <c r="AA873"/>
      <c r="AG873"/>
    </row>
    <row r="874" spans="27:33" x14ac:dyDescent="0.3">
      <c r="AA874"/>
      <c r="AG874"/>
    </row>
    <row r="875" spans="27:33" x14ac:dyDescent="0.3">
      <c r="AA875"/>
      <c r="AG875"/>
    </row>
    <row r="876" spans="27:33" x14ac:dyDescent="0.3">
      <c r="AA876"/>
      <c r="AG876"/>
    </row>
    <row r="877" spans="27:33" x14ac:dyDescent="0.3">
      <c r="AA877"/>
      <c r="AG877"/>
    </row>
    <row r="878" spans="27:33" x14ac:dyDescent="0.3">
      <c r="AA878"/>
      <c r="AG878"/>
    </row>
    <row r="879" spans="27:33" x14ac:dyDescent="0.3">
      <c r="AA879"/>
      <c r="AG879"/>
    </row>
    <row r="880" spans="27:33" x14ac:dyDescent="0.3">
      <c r="AA880"/>
      <c r="AG880"/>
    </row>
    <row r="881" spans="27:33" x14ac:dyDescent="0.3">
      <c r="AA881"/>
      <c r="AG881"/>
    </row>
    <row r="882" spans="27:33" x14ac:dyDescent="0.3">
      <c r="AA882"/>
      <c r="AG882"/>
    </row>
    <row r="883" spans="27:33" x14ac:dyDescent="0.3">
      <c r="AA883"/>
      <c r="AG883"/>
    </row>
    <row r="884" spans="27:33" x14ac:dyDescent="0.3">
      <c r="AA884"/>
      <c r="AG884"/>
    </row>
    <row r="885" spans="27:33" x14ac:dyDescent="0.3">
      <c r="AA885"/>
      <c r="AG885"/>
    </row>
    <row r="886" spans="27:33" x14ac:dyDescent="0.3">
      <c r="AA886"/>
      <c r="AG886"/>
    </row>
    <row r="887" spans="27:33" x14ac:dyDescent="0.3">
      <c r="AA887"/>
      <c r="AG887"/>
    </row>
    <row r="888" spans="27:33" x14ac:dyDescent="0.3">
      <c r="AA888"/>
      <c r="AG888"/>
    </row>
    <row r="889" spans="27:33" x14ac:dyDescent="0.3">
      <c r="AA889"/>
      <c r="AG889"/>
    </row>
    <row r="890" spans="27:33" x14ac:dyDescent="0.3">
      <c r="AA890"/>
      <c r="AG890"/>
    </row>
    <row r="891" spans="27:33" x14ac:dyDescent="0.3">
      <c r="AA891"/>
      <c r="AG891"/>
    </row>
    <row r="892" spans="27:33" x14ac:dyDescent="0.3">
      <c r="AA892"/>
      <c r="AG892"/>
    </row>
    <row r="893" spans="27:33" x14ac:dyDescent="0.3">
      <c r="AA893"/>
      <c r="AG893"/>
    </row>
    <row r="894" spans="27:33" x14ac:dyDescent="0.3">
      <c r="AA894"/>
      <c r="AG894"/>
    </row>
    <row r="895" spans="27:33" x14ac:dyDescent="0.3">
      <c r="AA895"/>
      <c r="AG895"/>
    </row>
    <row r="896" spans="27:33" x14ac:dyDescent="0.3">
      <c r="AA896"/>
      <c r="AG896"/>
    </row>
    <row r="897" spans="27:33" x14ac:dyDescent="0.3">
      <c r="AA897"/>
      <c r="AG897"/>
    </row>
    <row r="898" spans="27:33" x14ac:dyDescent="0.3">
      <c r="AA898"/>
      <c r="AG898"/>
    </row>
    <row r="899" spans="27:33" x14ac:dyDescent="0.3">
      <c r="AA899"/>
      <c r="AG899"/>
    </row>
    <row r="900" spans="27:33" x14ac:dyDescent="0.3">
      <c r="AA900"/>
      <c r="AG900"/>
    </row>
    <row r="901" spans="27:33" x14ac:dyDescent="0.3">
      <c r="AA901"/>
      <c r="AG901"/>
    </row>
    <row r="902" spans="27:33" x14ac:dyDescent="0.3">
      <c r="AA902"/>
      <c r="AG902"/>
    </row>
    <row r="903" spans="27:33" x14ac:dyDescent="0.3">
      <c r="AA903"/>
      <c r="AG903"/>
    </row>
    <row r="904" spans="27:33" x14ac:dyDescent="0.3">
      <c r="AA904"/>
      <c r="AG904"/>
    </row>
    <row r="905" spans="27:33" x14ac:dyDescent="0.3">
      <c r="AA905"/>
      <c r="AG905"/>
    </row>
    <row r="906" spans="27:33" x14ac:dyDescent="0.3">
      <c r="AA906"/>
      <c r="AG906"/>
    </row>
    <row r="907" spans="27:33" x14ac:dyDescent="0.3">
      <c r="AA907"/>
      <c r="AG907"/>
    </row>
    <row r="908" spans="27:33" x14ac:dyDescent="0.3">
      <c r="AA908"/>
      <c r="AG908"/>
    </row>
    <row r="909" spans="27:33" x14ac:dyDescent="0.3">
      <c r="AA909"/>
      <c r="AG909"/>
    </row>
    <row r="910" spans="27:33" x14ac:dyDescent="0.3">
      <c r="AA910"/>
      <c r="AG910"/>
    </row>
    <row r="911" spans="27:33" x14ac:dyDescent="0.3">
      <c r="AA911"/>
      <c r="AG911"/>
    </row>
    <row r="912" spans="27:33" x14ac:dyDescent="0.3">
      <c r="AA912"/>
      <c r="AG912"/>
    </row>
    <row r="913" spans="27:33" x14ac:dyDescent="0.3">
      <c r="AA913"/>
      <c r="AG913"/>
    </row>
    <row r="914" spans="27:33" x14ac:dyDescent="0.3">
      <c r="AA914"/>
      <c r="AG914"/>
    </row>
    <row r="915" spans="27:33" x14ac:dyDescent="0.3">
      <c r="AA915"/>
      <c r="AG915"/>
    </row>
    <row r="916" spans="27:33" x14ac:dyDescent="0.3">
      <c r="AA916"/>
      <c r="AG916"/>
    </row>
    <row r="917" spans="27:33" x14ac:dyDescent="0.3">
      <c r="AA917"/>
      <c r="AG917"/>
    </row>
    <row r="918" spans="27:33" x14ac:dyDescent="0.3">
      <c r="AA918"/>
      <c r="AG918"/>
    </row>
    <row r="919" spans="27:33" x14ac:dyDescent="0.3">
      <c r="AA919"/>
      <c r="AG919"/>
    </row>
    <row r="920" spans="27:33" x14ac:dyDescent="0.3">
      <c r="AA920"/>
      <c r="AG920"/>
    </row>
    <row r="921" spans="27:33" x14ac:dyDescent="0.3">
      <c r="AA921"/>
      <c r="AG921"/>
    </row>
    <row r="922" spans="27:33" x14ac:dyDescent="0.3">
      <c r="AA922"/>
      <c r="AG922"/>
    </row>
    <row r="923" spans="27:33" x14ac:dyDescent="0.3">
      <c r="AA923"/>
      <c r="AG923"/>
    </row>
    <row r="924" spans="27:33" x14ac:dyDescent="0.3">
      <c r="AA924"/>
      <c r="AG924"/>
    </row>
    <row r="925" spans="27:33" x14ac:dyDescent="0.3">
      <c r="AA925"/>
      <c r="AG925"/>
    </row>
    <row r="926" spans="27:33" x14ac:dyDescent="0.3">
      <c r="AA926"/>
      <c r="AG926"/>
    </row>
    <row r="927" spans="27:33" x14ac:dyDescent="0.3">
      <c r="AA927"/>
      <c r="AG927"/>
    </row>
    <row r="928" spans="27:33" x14ac:dyDescent="0.3">
      <c r="AA928"/>
      <c r="AG928"/>
    </row>
    <row r="929" spans="27:33" x14ac:dyDescent="0.3">
      <c r="AA929"/>
      <c r="AG929"/>
    </row>
    <row r="930" spans="27:33" x14ac:dyDescent="0.3">
      <c r="AA930"/>
      <c r="AG930"/>
    </row>
    <row r="931" spans="27:33" x14ac:dyDescent="0.3">
      <c r="AA931"/>
      <c r="AG931"/>
    </row>
    <row r="932" spans="27:33" x14ac:dyDescent="0.3">
      <c r="AA932"/>
      <c r="AG932"/>
    </row>
    <row r="933" spans="27:33" x14ac:dyDescent="0.3">
      <c r="AA933"/>
      <c r="AG933"/>
    </row>
    <row r="934" spans="27:33" x14ac:dyDescent="0.3">
      <c r="AA934"/>
      <c r="AG934"/>
    </row>
    <row r="935" spans="27:33" x14ac:dyDescent="0.3">
      <c r="AA935"/>
      <c r="AG935"/>
    </row>
    <row r="936" spans="27:33" x14ac:dyDescent="0.3">
      <c r="AA936"/>
      <c r="AG936"/>
    </row>
    <row r="937" spans="27:33" x14ac:dyDescent="0.3">
      <c r="AA937"/>
      <c r="AG937"/>
    </row>
    <row r="938" spans="27:33" x14ac:dyDescent="0.3">
      <c r="AA938"/>
      <c r="AG938"/>
    </row>
    <row r="939" spans="27:33" x14ac:dyDescent="0.3">
      <c r="AA939"/>
      <c r="AG939"/>
    </row>
    <row r="940" spans="27:33" x14ac:dyDescent="0.3">
      <c r="AA940"/>
      <c r="AG940"/>
    </row>
    <row r="941" spans="27:33" x14ac:dyDescent="0.3">
      <c r="AA941"/>
      <c r="AG941"/>
    </row>
    <row r="942" spans="27:33" x14ac:dyDescent="0.3">
      <c r="AA942"/>
      <c r="AG942"/>
    </row>
    <row r="943" spans="27:33" x14ac:dyDescent="0.3">
      <c r="AA943"/>
      <c r="AG943"/>
    </row>
    <row r="944" spans="27:33" x14ac:dyDescent="0.3">
      <c r="AA944"/>
      <c r="AG944"/>
    </row>
    <row r="945" spans="27:33" x14ac:dyDescent="0.3">
      <c r="AA945"/>
      <c r="AG945"/>
    </row>
    <row r="946" spans="27:33" x14ac:dyDescent="0.3">
      <c r="AA946"/>
      <c r="AG946"/>
    </row>
    <row r="947" spans="27:33" x14ac:dyDescent="0.3">
      <c r="AA947"/>
      <c r="AG947"/>
    </row>
    <row r="948" spans="27:33" x14ac:dyDescent="0.3">
      <c r="AA948"/>
      <c r="AG948"/>
    </row>
    <row r="949" spans="27:33" x14ac:dyDescent="0.3">
      <c r="AA949"/>
      <c r="AG949"/>
    </row>
    <row r="950" spans="27:33" x14ac:dyDescent="0.3">
      <c r="AA950"/>
      <c r="AG950"/>
    </row>
    <row r="951" spans="27:33" x14ac:dyDescent="0.3">
      <c r="AA951"/>
      <c r="AG951"/>
    </row>
    <row r="952" spans="27:33" x14ac:dyDescent="0.3">
      <c r="AA952"/>
      <c r="AG952"/>
    </row>
    <row r="953" spans="27:33" x14ac:dyDescent="0.3">
      <c r="AA953"/>
      <c r="AG953"/>
    </row>
    <row r="954" spans="27:33" x14ac:dyDescent="0.3">
      <c r="AA954"/>
      <c r="AG954"/>
    </row>
    <row r="955" spans="27:33" x14ac:dyDescent="0.3">
      <c r="AA955"/>
      <c r="AG955"/>
    </row>
    <row r="956" spans="27:33" x14ac:dyDescent="0.3">
      <c r="AA956"/>
      <c r="AG956"/>
    </row>
    <row r="957" spans="27:33" x14ac:dyDescent="0.3">
      <c r="AA957"/>
      <c r="AG957"/>
    </row>
    <row r="958" spans="27:33" x14ac:dyDescent="0.3">
      <c r="AA958"/>
      <c r="AG958"/>
    </row>
    <row r="959" spans="27:33" x14ac:dyDescent="0.3">
      <c r="AA959"/>
      <c r="AG959"/>
    </row>
    <row r="960" spans="27:33" x14ac:dyDescent="0.3">
      <c r="AA960"/>
      <c r="AG960"/>
    </row>
    <row r="961" spans="27:33" x14ac:dyDescent="0.3">
      <c r="AA961"/>
      <c r="AG961"/>
    </row>
    <row r="962" spans="27:33" x14ac:dyDescent="0.3">
      <c r="AA962"/>
      <c r="AG962"/>
    </row>
    <row r="963" spans="27:33" x14ac:dyDescent="0.3">
      <c r="AA963"/>
      <c r="AG963"/>
    </row>
    <row r="964" spans="27:33" x14ac:dyDescent="0.3">
      <c r="AA964"/>
      <c r="AG964"/>
    </row>
    <row r="965" spans="27:33" x14ac:dyDescent="0.3">
      <c r="AA965"/>
      <c r="AG965"/>
    </row>
    <row r="966" spans="27:33" x14ac:dyDescent="0.3">
      <c r="AA966"/>
      <c r="AG966"/>
    </row>
    <row r="967" spans="27:33" x14ac:dyDescent="0.3">
      <c r="AA967"/>
      <c r="AG967"/>
    </row>
    <row r="968" spans="27:33" x14ac:dyDescent="0.3">
      <c r="AA968"/>
      <c r="AG968"/>
    </row>
    <row r="969" spans="27:33" x14ac:dyDescent="0.3">
      <c r="AA969"/>
      <c r="AG969"/>
    </row>
    <row r="970" spans="27:33" x14ac:dyDescent="0.3">
      <c r="AA970"/>
      <c r="AG970"/>
    </row>
    <row r="971" spans="27:33" x14ac:dyDescent="0.3">
      <c r="AA971"/>
      <c r="AG971"/>
    </row>
    <row r="972" spans="27:33" x14ac:dyDescent="0.3">
      <c r="AA972"/>
      <c r="AG972"/>
    </row>
    <row r="973" spans="27:33" x14ac:dyDescent="0.3">
      <c r="AA973"/>
      <c r="AG973"/>
    </row>
    <row r="974" spans="27:33" x14ac:dyDescent="0.3">
      <c r="AA974"/>
      <c r="AG974"/>
    </row>
    <row r="975" spans="27:33" x14ac:dyDescent="0.3">
      <c r="AA975"/>
      <c r="AG975"/>
    </row>
    <row r="976" spans="27:33" x14ac:dyDescent="0.3">
      <c r="AA976"/>
      <c r="AG976"/>
    </row>
    <row r="977" spans="27:33" x14ac:dyDescent="0.3">
      <c r="AA977"/>
      <c r="AG977"/>
    </row>
    <row r="978" spans="27:33" x14ac:dyDescent="0.3">
      <c r="AA978"/>
      <c r="AG978"/>
    </row>
    <row r="979" spans="27:33" x14ac:dyDescent="0.3">
      <c r="AA979"/>
      <c r="AG979"/>
    </row>
    <row r="980" spans="27:33" x14ac:dyDescent="0.3">
      <c r="AA980"/>
      <c r="AG980"/>
    </row>
    <row r="981" spans="27:33" x14ac:dyDescent="0.3">
      <c r="AA981"/>
      <c r="AG981"/>
    </row>
    <row r="982" spans="27:33" x14ac:dyDescent="0.3">
      <c r="AA982"/>
      <c r="AG982"/>
    </row>
    <row r="983" spans="27:33" x14ac:dyDescent="0.3">
      <c r="AA983"/>
      <c r="AG983"/>
    </row>
    <row r="984" spans="27:33" x14ac:dyDescent="0.3">
      <c r="AA984"/>
      <c r="AG984"/>
    </row>
    <row r="985" spans="27:33" x14ac:dyDescent="0.3">
      <c r="AA985"/>
      <c r="AG985"/>
    </row>
    <row r="986" spans="27:33" x14ac:dyDescent="0.3">
      <c r="AA986"/>
      <c r="AG986"/>
    </row>
    <row r="987" spans="27:33" x14ac:dyDescent="0.3">
      <c r="AA987"/>
      <c r="AG987"/>
    </row>
    <row r="988" spans="27:33" x14ac:dyDescent="0.3">
      <c r="AA988"/>
      <c r="AG988"/>
    </row>
    <row r="989" spans="27:33" x14ac:dyDescent="0.3">
      <c r="AA989"/>
      <c r="AG989"/>
    </row>
    <row r="990" spans="27:33" x14ac:dyDescent="0.3">
      <c r="AA990"/>
      <c r="AG990"/>
    </row>
    <row r="991" spans="27:33" x14ac:dyDescent="0.3">
      <c r="AA991"/>
      <c r="AG991"/>
    </row>
    <row r="992" spans="27:33" x14ac:dyDescent="0.3">
      <c r="AA992"/>
      <c r="AG992"/>
    </row>
    <row r="993" spans="27:33" x14ac:dyDescent="0.3">
      <c r="AA993"/>
      <c r="AG993"/>
    </row>
    <row r="994" spans="27:33" x14ac:dyDescent="0.3">
      <c r="AA994"/>
      <c r="AG994"/>
    </row>
    <row r="995" spans="27:33" x14ac:dyDescent="0.3">
      <c r="AA995"/>
      <c r="AG995"/>
    </row>
    <row r="996" spans="27:33" x14ac:dyDescent="0.3">
      <c r="AA996"/>
      <c r="AG996"/>
    </row>
    <row r="997" spans="27:33" x14ac:dyDescent="0.3">
      <c r="AA997"/>
      <c r="AG997"/>
    </row>
    <row r="998" spans="27:33" x14ac:dyDescent="0.3">
      <c r="AA998"/>
      <c r="AG998"/>
    </row>
    <row r="999" spans="27:33" x14ac:dyDescent="0.3">
      <c r="AA999"/>
      <c r="AG999"/>
    </row>
    <row r="1000" spans="27:33" x14ac:dyDescent="0.3">
      <c r="AA1000"/>
      <c r="AG1000"/>
    </row>
    <row r="1001" spans="27:33" x14ac:dyDescent="0.3">
      <c r="AA1001"/>
      <c r="AG1001"/>
    </row>
    <row r="1002" spans="27:33" x14ac:dyDescent="0.3">
      <c r="AA1002"/>
      <c r="AG1002"/>
    </row>
    <row r="1003" spans="27:33" x14ac:dyDescent="0.3">
      <c r="AA1003"/>
      <c r="AG1003"/>
    </row>
    <row r="1004" spans="27:33" x14ac:dyDescent="0.3">
      <c r="AA1004"/>
      <c r="AG1004"/>
    </row>
    <row r="1005" spans="27:33" x14ac:dyDescent="0.3">
      <c r="AA1005"/>
      <c r="AG1005"/>
    </row>
    <row r="1006" spans="27:33" x14ac:dyDescent="0.3">
      <c r="AA1006"/>
      <c r="AG1006"/>
    </row>
    <row r="1007" spans="27:33" x14ac:dyDescent="0.3">
      <c r="AA1007"/>
      <c r="AG1007"/>
    </row>
    <row r="1008" spans="27:33" x14ac:dyDescent="0.3">
      <c r="AA1008"/>
      <c r="AG1008"/>
    </row>
    <row r="1009" spans="27:33" x14ac:dyDescent="0.3">
      <c r="AA1009"/>
      <c r="AG1009"/>
    </row>
    <row r="1010" spans="27:33" x14ac:dyDescent="0.3">
      <c r="AA1010"/>
      <c r="AG1010"/>
    </row>
    <row r="1011" spans="27:33" x14ac:dyDescent="0.3">
      <c r="AA1011"/>
      <c r="AG1011"/>
    </row>
    <row r="1012" spans="27:33" x14ac:dyDescent="0.3">
      <c r="AA1012"/>
      <c r="AG1012"/>
    </row>
    <row r="1013" spans="27:33" x14ac:dyDescent="0.3">
      <c r="AA1013"/>
      <c r="AG1013"/>
    </row>
    <row r="1014" spans="27:33" x14ac:dyDescent="0.3">
      <c r="AA1014"/>
      <c r="AG1014"/>
    </row>
    <row r="1015" spans="27:33" x14ac:dyDescent="0.3">
      <c r="AA1015"/>
      <c r="AG1015"/>
    </row>
    <row r="1016" spans="27:33" x14ac:dyDescent="0.3">
      <c r="AA1016"/>
      <c r="AG1016"/>
    </row>
    <row r="1017" spans="27:33" x14ac:dyDescent="0.3">
      <c r="AA1017"/>
      <c r="AG1017"/>
    </row>
    <row r="1018" spans="27:33" x14ac:dyDescent="0.3">
      <c r="AA1018"/>
      <c r="AG1018"/>
    </row>
    <row r="1019" spans="27:33" x14ac:dyDescent="0.3">
      <c r="AA1019"/>
      <c r="AG1019"/>
    </row>
    <row r="1020" spans="27:33" x14ac:dyDescent="0.3">
      <c r="AA1020"/>
      <c r="AG1020"/>
    </row>
    <row r="1021" spans="27:33" x14ac:dyDescent="0.3">
      <c r="AA1021"/>
      <c r="AG1021"/>
    </row>
    <row r="1022" spans="27:33" x14ac:dyDescent="0.3">
      <c r="AA1022"/>
      <c r="AG1022"/>
    </row>
    <row r="1023" spans="27:33" x14ac:dyDescent="0.3">
      <c r="AA1023"/>
      <c r="AG1023"/>
    </row>
    <row r="1024" spans="27:33" x14ac:dyDescent="0.3">
      <c r="AA1024"/>
      <c r="AG1024"/>
    </row>
    <row r="1025" spans="27:33" x14ac:dyDescent="0.3">
      <c r="AA1025"/>
      <c r="AG1025"/>
    </row>
    <row r="1026" spans="27:33" x14ac:dyDescent="0.3">
      <c r="AA1026"/>
      <c r="AG1026"/>
    </row>
    <row r="1027" spans="27:33" x14ac:dyDescent="0.3">
      <c r="AA1027"/>
      <c r="AG1027"/>
    </row>
    <row r="1028" spans="27:33" x14ac:dyDescent="0.3">
      <c r="AA1028"/>
      <c r="AG1028"/>
    </row>
    <row r="1029" spans="27:33" x14ac:dyDescent="0.3">
      <c r="AA1029"/>
      <c r="AG1029"/>
    </row>
    <row r="1030" spans="27:33" x14ac:dyDescent="0.3">
      <c r="AA1030"/>
      <c r="AG1030"/>
    </row>
    <row r="1031" spans="27:33" x14ac:dyDescent="0.3">
      <c r="AA1031"/>
      <c r="AG1031"/>
    </row>
    <row r="1032" spans="27:33" x14ac:dyDescent="0.3">
      <c r="AA1032"/>
      <c r="AG1032"/>
    </row>
    <row r="1033" spans="27:33" x14ac:dyDescent="0.3">
      <c r="AA1033"/>
      <c r="AG1033"/>
    </row>
    <row r="1034" spans="27:33" x14ac:dyDescent="0.3">
      <c r="AA1034"/>
      <c r="AG1034"/>
    </row>
    <row r="1035" spans="27:33" x14ac:dyDescent="0.3">
      <c r="AA1035"/>
      <c r="AG1035"/>
    </row>
    <row r="1036" spans="27:33" x14ac:dyDescent="0.3">
      <c r="AA1036"/>
      <c r="AG1036"/>
    </row>
    <row r="1037" spans="27:33" x14ac:dyDescent="0.3">
      <c r="AA1037"/>
      <c r="AG1037"/>
    </row>
    <row r="1038" spans="27:33" x14ac:dyDescent="0.3">
      <c r="AA1038"/>
      <c r="AG1038"/>
    </row>
    <row r="1039" spans="27:33" x14ac:dyDescent="0.3">
      <c r="AA1039"/>
      <c r="AG1039"/>
    </row>
    <row r="1040" spans="27:33" x14ac:dyDescent="0.3">
      <c r="AA1040"/>
      <c r="AG1040"/>
    </row>
    <row r="1041" spans="27:33" x14ac:dyDescent="0.3">
      <c r="AA1041"/>
      <c r="AG1041"/>
    </row>
    <row r="1042" spans="27:33" x14ac:dyDescent="0.3">
      <c r="AA1042"/>
      <c r="AG1042"/>
    </row>
    <row r="1043" spans="27:33" x14ac:dyDescent="0.3">
      <c r="AA1043"/>
      <c r="AG1043"/>
    </row>
    <row r="1044" spans="27:33" x14ac:dyDescent="0.3">
      <c r="AA1044"/>
      <c r="AG1044"/>
    </row>
    <row r="1045" spans="27:33" x14ac:dyDescent="0.3">
      <c r="AA1045"/>
      <c r="AG1045"/>
    </row>
    <row r="1046" spans="27:33" x14ac:dyDescent="0.3">
      <c r="AA1046"/>
      <c r="AG1046"/>
    </row>
    <row r="1047" spans="27:33" x14ac:dyDescent="0.3">
      <c r="AA1047"/>
      <c r="AG1047"/>
    </row>
    <row r="1048" spans="27:33" x14ac:dyDescent="0.3">
      <c r="AA1048"/>
      <c r="AG1048"/>
    </row>
    <row r="1049" spans="27:33" x14ac:dyDescent="0.3">
      <c r="AA1049"/>
      <c r="AG1049"/>
    </row>
    <row r="1050" spans="27:33" x14ac:dyDescent="0.3">
      <c r="AA1050"/>
      <c r="AG1050"/>
    </row>
    <row r="1051" spans="27:33" x14ac:dyDescent="0.3">
      <c r="AA1051"/>
      <c r="AG1051"/>
    </row>
    <row r="1052" spans="27:33" x14ac:dyDescent="0.3">
      <c r="AA1052"/>
      <c r="AG1052"/>
    </row>
    <row r="1053" spans="27:33" x14ac:dyDescent="0.3">
      <c r="AA1053"/>
      <c r="AG1053"/>
    </row>
    <row r="1054" spans="27:33" x14ac:dyDescent="0.3">
      <c r="AA1054"/>
      <c r="AG1054"/>
    </row>
    <row r="1055" spans="27:33" x14ac:dyDescent="0.3">
      <c r="AA1055"/>
      <c r="AG1055"/>
    </row>
    <row r="1056" spans="27:33" x14ac:dyDescent="0.3">
      <c r="AA1056"/>
      <c r="AG1056"/>
    </row>
    <row r="1057" spans="27:33" x14ac:dyDescent="0.3">
      <c r="AA1057"/>
      <c r="AG1057"/>
    </row>
    <row r="1058" spans="27:33" x14ac:dyDescent="0.3">
      <c r="AA1058"/>
      <c r="AG1058"/>
    </row>
    <row r="1059" spans="27:33" x14ac:dyDescent="0.3">
      <c r="AA1059"/>
      <c r="AG1059"/>
    </row>
    <row r="1060" spans="27:33" x14ac:dyDescent="0.3">
      <c r="AA1060"/>
      <c r="AG1060"/>
    </row>
    <row r="1061" spans="27:33" x14ac:dyDescent="0.3">
      <c r="AA1061"/>
      <c r="AG1061"/>
    </row>
    <row r="1062" spans="27:33" x14ac:dyDescent="0.3">
      <c r="AA1062"/>
      <c r="AG1062"/>
    </row>
    <row r="1063" spans="27:33" x14ac:dyDescent="0.3">
      <c r="AA1063"/>
      <c r="AG1063"/>
    </row>
    <row r="1064" spans="27:33" x14ac:dyDescent="0.3">
      <c r="AA1064"/>
      <c r="AG1064"/>
    </row>
    <row r="1065" spans="27:33" x14ac:dyDescent="0.3">
      <c r="AA1065"/>
      <c r="AG1065"/>
    </row>
    <row r="1066" spans="27:33" x14ac:dyDescent="0.3">
      <c r="AA1066"/>
      <c r="AG1066"/>
    </row>
    <row r="1067" spans="27:33" x14ac:dyDescent="0.3">
      <c r="AA1067"/>
      <c r="AG1067"/>
    </row>
    <row r="1068" spans="27:33" x14ac:dyDescent="0.3">
      <c r="AA1068"/>
      <c r="AG1068"/>
    </row>
    <row r="1069" spans="27:33" x14ac:dyDescent="0.3">
      <c r="AA1069"/>
      <c r="AG1069"/>
    </row>
    <row r="1070" spans="27:33" x14ac:dyDescent="0.3">
      <c r="AA1070"/>
      <c r="AG1070"/>
    </row>
    <row r="1071" spans="27:33" x14ac:dyDescent="0.3">
      <c r="AA1071"/>
      <c r="AG1071"/>
    </row>
    <row r="1072" spans="27:33" x14ac:dyDescent="0.3">
      <c r="AA1072"/>
      <c r="AG1072"/>
    </row>
    <row r="1073" spans="27:33" x14ac:dyDescent="0.3">
      <c r="AA1073"/>
      <c r="AG1073"/>
    </row>
    <row r="1074" spans="27:33" x14ac:dyDescent="0.3">
      <c r="AA1074"/>
      <c r="AG1074"/>
    </row>
    <row r="1075" spans="27:33" x14ac:dyDescent="0.3">
      <c r="AA1075"/>
      <c r="AG1075"/>
    </row>
    <row r="1076" spans="27:33" x14ac:dyDescent="0.3">
      <c r="AA1076"/>
      <c r="AG1076"/>
    </row>
    <row r="1077" spans="27:33" x14ac:dyDescent="0.3">
      <c r="AA1077"/>
      <c r="AG1077"/>
    </row>
    <row r="1078" spans="27:33" x14ac:dyDescent="0.3">
      <c r="AA1078"/>
      <c r="AG1078"/>
    </row>
    <row r="1079" spans="27:33" x14ac:dyDescent="0.3">
      <c r="AA1079"/>
      <c r="AG1079"/>
    </row>
    <row r="1080" spans="27:33" x14ac:dyDescent="0.3">
      <c r="AA1080"/>
      <c r="AG1080"/>
    </row>
    <row r="1081" spans="27:33" x14ac:dyDescent="0.3">
      <c r="AA1081"/>
      <c r="AG1081"/>
    </row>
    <row r="1082" spans="27:33" x14ac:dyDescent="0.3">
      <c r="AA1082"/>
      <c r="AG1082"/>
    </row>
    <row r="1083" spans="27:33" x14ac:dyDescent="0.3">
      <c r="AA1083"/>
      <c r="AG1083"/>
    </row>
    <row r="1084" spans="27:33" x14ac:dyDescent="0.3">
      <c r="AA1084"/>
      <c r="AG1084"/>
    </row>
    <row r="1085" spans="27:33" x14ac:dyDescent="0.3">
      <c r="AA1085"/>
      <c r="AG1085"/>
    </row>
    <row r="1086" spans="27:33" x14ac:dyDescent="0.3">
      <c r="AA1086"/>
      <c r="AG1086"/>
    </row>
    <row r="1087" spans="27:33" x14ac:dyDescent="0.3">
      <c r="AA1087"/>
      <c r="AG1087"/>
    </row>
    <row r="1088" spans="27:33" x14ac:dyDescent="0.3">
      <c r="AA1088"/>
      <c r="AG1088"/>
    </row>
    <row r="1089" spans="27:33" x14ac:dyDescent="0.3">
      <c r="AA1089"/>
      <c r="AG1089"/>
    </row>
    <row r="1090" spans="27:33" x14ac:dyDescent="0.3">
      <c r="AA1090"/>
      <c r="AG1090"/>
    </row>
    <row r="1091" spans="27:33" x14ac:dyDescent="0.3">
      <c r="AA1091"/>
      <c r="AG1091"/>
    </row>
    <row r="1092" spans="27:33" x14ac:dyDescent="0.3">
      <c r="AA1092"/>
      <c r="AG1092"/>
    </row>
    <row r="1093" spans="27:33" x14ac:dyDescent="0.3">
      <c r="AA1093"/>
      <c r="AG1093"/>
    </row>
    <row r="1094" spans="27:33" x14ac:dyDescent="0.3">
      <c r="AA1094"/>
      <c r="AG1094"/>
    </row>
    <row r="1095" spans="27:33" x14ac:dyDescent="0.3">
      <c r="AA1095"/>
      <c r="AG1095"/>
    </row>
    <row r="1096" spans="27:33" x14ac:dyDescent="0.3">
      <c r="AA1096"/>
      <c r="AG1096"/>
    </row>
    <row r="1097" spans="27:33" x14ac:dyDescent="0.3">
      <c r="AA1097"/>
      <c r="AG1097"/>
    </row>
    <row r="1098" spans="27:33" x14ac:dyDescent="0.3">
      <c r="AA1098"/>
      <c r="AG1098"/>
    </row>
    <row r="1099" spans="27:33" x14ac:dyDescent="0.3">
      <c r="AA1099"/>
      <c r="AG1099"/>
    </row>
    <row r="1100" spans="27:33" x14ac:dyDescent="0.3">
      <c r="AA1100"/>
      <c r="AG1100"/>
    </row>
    <row r="1101" spans="27:33" x14ac:dyDescent="0.3">
      <c r="AA1101"/>
      <c r="AG1101"/>
    </row>
    <row r="1102" spans="27:33" x14ac:dyDescent="0.3">
      <c r="AA1102"/>
      <c r="AG1102"/>
    </row>
    <row r="1103" spans="27:33" x14ac:dyDescent="0.3">
      <c r="AA1103"/>
      <c r="AG1103"/>
    </row>
    <row r="1104" spans="27:33" x14ac:dyDescent="0.3">
      <c r="AA1104"/>
      <c r="AG1104"/>
    </row>
    <row r="1105" spans="27:33" x14ac:dyDescent="0.3">
      <c r="AA1105"/>
      <c r="AG1105"/>
    </row>
    <row r="1106" spans="27:33" x14ac:dyDescent="0.3">
      <c r="AA1106"/>
      <c r="AG1106"/>
    </row>
    <row r="1107" spans="27:33" x14ac:dyDescent="0.3">
      <c r="AA1107"/>
      <c r="AG1107"/>
    </row>
    <row r="1108" spans="27:33" x14ac:dyDescent="0.3">
      <c r="AA1108"/>
      <c r="AG1108"/>
    </row>
    <row r="1109" spans="27:33" x14ac:dyDescent="0.3">
      <c r="AA1109"/>
      <c r="AG1109"/>
    </row>
    <row r="1110" spans="27:33" x14ac:dyDescent="0.3">
      <c r="AA1110"/>
      <c r="AG1110"/>
    </row>
    <row r="1111" spans="27:33" x14ac:dyDescent="0.3">
      <c r="AA1111"/>
      <c r="AG1111"/>
    </row>
    <row r="1112" spans="27:33" x14ac:dyDescent="0.3">
      <c r="AA1112"/>
      <c r="AG1112"/>
    </row>
    <row r="1113" spans="27:33" x14ac:dyDescent="0.3">
      <c r="AA1113"/>
      <c r="AG1113"/>
    </row>
    <row r="1114" spans="27:33" x14ac:dyDescent="0.3">
      <c r="AA1114"/>
      <c r="AG1114"/>
    </row>
    <row r="1115" spans="27:33" x14ac:dyDescent="0.3">
      <c r="AA1115"/>
      <c r="AG1115"/>
    </row>
    <row r="1116" spans="27:33" x14ac:dyDescent="0.3">
      <c r="AA1116"/>
      <c r="AG1116"/>
    </row>
    <row r="1117" spans="27:33" x14ac:dyDescent="0.3">
      <c r="AA1117"/>
      <c r="AG1117"/>
    </row>
    <row r="1118" spans="27:33" x14ac:dyDescent="0.3">
      <c r="AA1118"/>
      <c r="AG1118"/>
    </row>
    <row r="1119" spans="27:33" x14ac:dyDescent="0.3">
      <c r="AA1119"/>
      <c r="AG1119"/>
    </row>
    <row r="1120" spans="27:33" x14ac:dyDescent="0.3">
      <c r="AA1120"/>
      <c r="AG1120"/>
    </row>
    <row r="1121" spans="27:33" x14ac:dyDescent="0.3">
      <c r="AA1121"/>
      <c r="AG1121"/>
    </row>
    <row r="1122" spans="27:33" x14ac:dyDescent="0.3">
      <c r="AA1122"/>
      <c r="AG1122"/>
    </row>
    <row r="1123" spans="27:33" x14ac:dyDescent="0.3">
      <c r="AA1123"/>
      <c r="AG1123"/>
    </row>
    <row r="1124" spans="27:33" x14ac:dyDescent="0.3">
      <c r="AA1124"/>
      <c r="AG1124"/>
    </row>
    <row r="1125" spans="27:33" x14ac:dyDescent="0.3">
      <c r="AA1125"/>
      <c r="AG1125"/>
    </row>
    <row r="1126" spans="27:33" x14ac:dyDescent="0.3">
      <c r="AA1126"/>
      <c r="AG1126"/>
    </row>
    <row r="1127" spans="27:33" x14ac:dyDescent="0.3">
      <c r="AA1127"/>
      <c r="AG1127"/>
    </row>
    <row r="1128" spans="27:33" x14ac:dyDescent="0.3">
      <c r="AA1128"/>
      <c r="AG1128"/>
    </row>
    <row r="1129" spans="27:33" x14ac:dyDescent="0.3">
      <c r="AA1129"/>
      <c r="AG1129"/>
    </row>
    <row r="1130" spans="27:33" x14ac:dyDescent="0.3">
      <c r="AA1130"/>
      <c r="AG1130"/>
    </row>
    <row r="1131" spans="27:33" x14ac:dyDescent="0.3">
      <c r="AA1131"/>
      <c r="AG1131"/>
    </row>
    <row r="1132" spans="27:33" x14ac:dyDescent="0.3">
      <c r="AA1132"/>
      <c r="AG1132"/>
    </row>
    <row r="1133" spans="27:33" x14ac:dyDescent="0.3">
      <c r="AA1133"/>
      <c r="AG1133"/>
    </row>
    <row r="1134" spans="27:33" x14ac:dyDescent="0.3">
      <c r="AA1134"/>
      <c r="AG1134"/>
    </row>
    <row r="1135" spans="27:33" x14ac:dyDescent="0.3">
      <c r="AA1135"/>
      <c r="AG1135"/>
    </row>
    <row r="1136" spans="27:33" x14ac:dyDescent="0.3">
      <c r="AA1136"/>
      <c r="AG1136"/>
    </row>
    <row r="1137" spans="27:33" x14ac:dyDescent="0.3">
      <c r="AA1137"/>
      <c r="AG1137"/>
    </row>
    <row r="1138" spans="27:33" x14ac:dyDescent="0.3">
      <c r="AA1138"/>
      <c r="AG1138"/>
    </row>
    <row r="1139" spans="27:33" x14ac:dyDescent="0.3">
      <c r="AA1139"/>
      <c r="AG1139"/>
    </row>
    <row r="1140" spans="27:33" x14ac:dyDescent="0.3">
      <c r="AA1140"/>
      <c r="AG1140"/>
    </row>
    <row r="1141" spans="27:33" x14ac:dyDescent="0.3">
      <c r="AA1141"/>
      <c r="AG1141"/>
    </row>
    <row r="1142" spans="27:33" x14ac:dyDescent="0.3">
      <c r="AA1142"/>
      <c r="AG1142"/>
    </row>
    <row r="1143" spans="27:33" x14ac:dyDescent="0.3">
      <c r="AA1143"/>
      <c r="AG1143"/>
    </row>
    <row r="1144" spans="27:33" x14ac:dyDescent="0.3">
      <c r="AA1144"/>
      <c r="AG1144"/>
    </row>
    <row r="1145" spans="27:33" x14ac:dyDescent="0.3">
      <c r="AA1145"/>
      <c r="AG1145"/>
    </row>
    <row r="1146" spans="27:33" x14ac:dyDescent="0.3">
      <c r="AA1146"/>
      <c r="AG1146"/>
    </row>
    <row r="1147" spans="27:33" x14ac:dyDescent="0.3">
      <c r="AA1147"/>
      <c r="AG1147"/>
    </row>
    <row r="1148" spans="27:33" x14ac:dyDescent="0.3">
      <c r="AA1148"/>
      <c r="AG1148"/>
    </row>
    <row r="1149" spans="27:33" x14ac:dyDescent="0.3">
      <c r="AA1149"/>
      <c r="AG1149"/>
    </row>
    <row r="1150" spans="27:33" x14ac:dyDescent="0.3">
      <c r="AA1150"/>
      <c r="AG1150"/>
    </row>
    <row r="1151" spans="27:33" x14ac:dyDescent="0.3">
      <c r="AA1151"/>
      <c r="AG1151"/>
    </row>
    <row r="1152" spans="27:33" x14ac:dyDescent="0.3">
      <c r="AA1152"/>
      <c r="AG1152"/>
    </row>
    <row r="1153" spans="27:33" x14ac:dyDescent="0.3">
      <c r="AA1153"/>
      <c r="AG1153"/>
    </row>
    <row r="1154" spans="27:33" x14ac:dyDescent="0.3">
      <c r="AA1154"/>
      <c r="AG1154"/>
    </row>
    <row r="1155" spans="27:33" x14ac:dyDescent="0.3">
      <c r="AA1155"/>
      <c r="AG1155"/>
    </row>
    <row r="1156" spans="27:33" x14ac:dyDescent="0.3">
      <c r="AA1156"/>
      <c r="AG1156"/>
    </row>
    <row r="1157" spans="27:33" x14ac:dyDescent="0.3">
      <c r="AA1157"/>
      <c r="AG1157"/>
    </row>
    <row r="1158" spans="27:33" x14ac:dyDescent="0.3">
      <c r="AA1158"/>
      <c r="AG1158"/>
    </row>
    <row r="1159" spans="27:33" x14ac:dyDescent="0.3">
      <c r="AA1159"/>
      <c r="AG1159"/>
    </row>
    <row r="1160" spans="27:33" x14ac:dyDescent="0.3">
      <c r="AA1160"/>
      <c r="AG1160"/>
    </row>
    <row r="1161" spans="27:33" x14ac:dyDescent="0.3">
      <c r="AA1161"/>
      <c r="AG1161"/>
    </row>
    <row r="1162" spans="27:33" x14ac:dyDescent="0.3">
      <c r="AA1162"/>
      <c r="AG1162"/>
    </row>
    <row r="1163" spans="27:33" x14ac:dyDescent="0.3">
      <c r="AA1163"/>
      <c r="AG1163"/>
    </row>
    <row r="1164" spans="27:33" x14ac:dyDescent="0.3">
      <c r="AA1164"/>
      <c r="AG1164"/>
    </row>
    <row r="1165" spans="27:33" x14ac:dyDescent="0.3">
      <c r="AA1165"/>
      <c r="AG1165"/>
    </row>
    <row r="1166" spans="27:33" x14ac:dyDescent="0.3">
      <c r="AA1166"/>
      <c r="AG1166"/>
    </row>
    <row r="1167" spans="27:33" x14ac:dyDescent="0.3">
      <c r="AA1167"/>
      <c r="AG1167"/>
    </row>
    <row r="1168" spans="27:33" x14ac:dyDescent="0.3">
      <c r="AA1168"/>
      <c r="AG1168"/>
    </row>
    <row r="1169" spans="27:33" x14ac:dyDescent="0.3">
      <c r="AA1169"/>
      <c r="AG1169"/>
    </row>
    <row r="1170" spans="27:33" x14ac:dyDescent="0.3">
      <c r="AA1170"/>
      <c r="AG1170"/>
    </row>
    <row r="1171" spans="27:33" x14ac:dyDescent="0.3">
      <c r="AA1171"/>
      <c r="AG1171"/>
    </row>
    <row r="1172" spans="27:33" x14ac:dyDescent="0.3">
      <c r="AA1172"/>
      <c r="AG1172"/>
    </row>
    <row r="1173" spans="27:33" x14ac:dyDescent="0.3">
      <c r="AA1173"/>
      <c r="AG1173"/>
    </row>
    <row r="1174" spans="27:33" x14ac:dyDescent="0.3">
      <c r="AA1174"/>
      <c r="AG1174"/>
    </row>
    <row r="1175" spans="27:33" x14ac:dyDescent="0.3">
      <c r="AA1175"/>
      <c r="AG1175"/>
    </row>
    <row r="1176" spans="27:33" x14ac:dyDescent="0.3">
      <c r="AA1176"/>
      <c r="AG1176"/>
    </row>
    <row r="1177" spans="27:33" x14ac:dyDescent="0.3">
      <c r="AA1177"/>
      <c r="AG1177"/>
    </row>
    <row r="1178" spans="27:33" x14ac:dyDescent="0.3">
      <c r="AA1178"/>
      <c r="AG1178"/>
    </row>
    <row r="1179" spans="27:33" x14ac:dyDescent="0.3">
      <c r="AA1179"/>
      <c r="AG1179"/>
    </row>
    <row r="1180" spans="27:33" x14ac:dyDescent="0.3">
      <c r="AA1180"/>
      <c r="AG1180"/>
    </row>
    <row r="1181" spans="27:33" x14ac:dyDescent="0.3">
      <c r="AA1181"/>
      <c r="AG1181"/>
    </row>
    <row r="1182" spans="27:33" x14ac:dyDescent="0.3">
      <c r="AA1182"/>
      <c r="AG1182"/>
    </row>
    <row r="1183" spans="27:33" x14ac:dyDescent="0.3">
      <c r="AA1183"/>
      <c r="AG1183"/>
    </row>
    <row r="1184" spans="27:33" x14ac:dyDescent="0.3">
      <c r="AA1184"/>
      <c r="AG1184"/>
    </row>
    <row r="1185" spans="27:33" x14ac:dyDescent="0.3">
      <c r="AA1185"/>
      <c r="AG1185"/>
    </row>
    <row r="1186" spans="27:33" x14ac:dyDescent="0.3">
      <c r="AA1186"/>
      <c r="AG1186"/>
    </row>
    <row r="1187" spans="27:33" x14ac:dyDescent="0.3">
      <c r="AA1187"/>
      <c r="AG1187"/>
    </row>
    <row r="1188" spans="27:33" x14ac:dyDescent="0.3">
      <c r="AA1188"/>
      <c r="AG1188"/>
    </row>
    <row r="1189" spans="27:33" x14ac:dyDescent="0.3">
      <c r="AA1189"/>
      <c r="AG1189"/>
    </row>
    <row r="1190" spans="27:33" x14ac:dyDescent="0.3">
      <c r="AA1190"/>
      <c r="AG1190"/>
    </row>
    <row r="1191" spans="27:33" x14ac:dyDescent="0.3">
      <c r="AA1191"/>
      <c r="AG1191"/>
    </row>
    <row r="1192" spans="27:33" x14ac:dyDescent="0.3">
      <c r="AA1192"/>
      <c r="AG1192"/>
    </row>
    <row r="1193" spans="27:33" x14ac:dyDescent="0.3">
      <c r="AA1193"/>
      <c r="AG1193"/>
    </row>
    <row r="1194" spans="27:33" x14ac:dyDescent="0.3">
      <c r="AA1194"/>
      <c r="AG1194"/>
    </row>
    <row r="1195" spans="27:33" x14ac:dyDescent="0.3">
      <c r="AA1195"/>
      <c r="AG1195"/>
    </row>
    <row r="1196" spans="27:33" x14ac:dyDescent="0.3">
      <c r="AA1196"/>
      <c r="AG1196"/>
    </row>
    <row r="1197" spans="27:33" x14ac:dyDescent="0.3">
      <c r="AA1197"/>
      <c r="AG1197"/>
    </row>
    <row r="1198" spans="27:33" x14ac:dyDescent="0.3">
      <c r="AA1198"/>
      <c r="AG1198"/>
    </row>
    <row r="1199" spans="27:33" x14ac:dyDescent="0.3">
      <c r="AA1199"/>
      <c r="AG1199"/>
    </row>
    <row r="1200" spans="27:33" x14ac:dyDescent="0.3">
      <c r="AA1200"/>
      <c r="AG1200"/>
    </row>
    <row r="1201" spans="27:33" x14ac:dyDescent="0.3">
      <c r="AA1201"/>
      <c r="AG1201"/>
    </row>
    <row r="1202" spans="27:33" x14ac:dyDescent="0.3">
      <c r="AA1202"/>
      <c r="AG1202"/>
    </row>
    <row r="1203" spans="27:33" x14ac:dyDescent="0.3">
      <c r="AA1203"/>
      <c r="AG1203"/>
    </row>
    <row r="1204" spans="27:33" x14ac:dyDescent="0.3">
      <c r="AA1204"/>
      <c r="AG1204"/>
    </row>
    <row r="1205" spans="27:33" x14ac:dyDescent="0.3">
      <c r="AA1205"/>
      <c r="AG1205"/>
    </row>
    <row r="1206" spans="27:33" x14ac:dyDescent="0.3">
      <c r="AA1206"/>
      <c r="AG1206"/>
    </row>
    <row r="1207" spans="27:33" x14ac:dyDescent="0.3">
      <c r="AA1207"/>
      <c r="AG1207"/>
    </row>
    <row r="1208" spans="27:33" x14ac:dyDescent="0.3">
      <c r="AA1208"/>
      <c r="AG1208"/>
    </row>
    <row r="1209" spans="27:33" x14ac:dyDescent="0.3">
      <c r="AA1209"/>
      <c r="AG1209"/>
    </row>
    <row r="1210" spans="27:33" x14ac:dyDescent="0.3">
      <c r="AA1210"/>
      <c r="AG1210"/>
    </row>
    <row r="1211" spans="27:33" x14ac:dyDescent="0.3">
      <c r="AA1211"/>
      <c r="AG1211"/>
    </row>
    <row r="1212" spans="27:33" x14ac:dyDescent="0.3">
      <c r="AA1212"/>
      <c r="AG1212"/>
    </row>
    <row r="1213" spans="27:33" x14ac:dyDescent="0.3">
      <c r="AA1213"/>
      <c r="AG1213"/>
    </row>
    <row r="1214" spans="27:33" x14ac:dyDescent="0.3">
      <c r="AA1214"/>
      <c r="AG1214"/>
    </row>
    <row r="1215" spans="27:33" x14ac:dyDescent="0.3">
      <c r="AA1215"/>
      <c r="AG1215"/>
    </row>
    <row r="1216" spans="27:33" x14ac:dyDescent="0.3">
      <c r="AA1216"/>
      <c r="AG1216"/>
    </row>
    <row r="1217" spans="27:33" x14ac:dyDescent="0.3">
      <c r="AA1217"/>
      <c r="AG1217"/>
    </row>
    <row r="1218" spans="27:33" x14ac:dyDescent="0.3">
      <c r="AA1218"/>
      <c r="AG1218"/>
    </row>
    <row r="1219" spans="27:33" x14ac:dyDescent="0.3">
      <c r="AA1219"/>
      <c r="AG1219"/>
    </row>
    <row r="1220" spans="27:33" x14ac:dyDescent="0.3">
      <c r="AA1220"/>
      <c r="AG1220"/>
    </row>
    <row r="1221" spans="27:33" x14ac:dyDescent="0.3">
      <c r="AA1221"/>
      <c r="AG1221"/>
    </row>
    <row r="1222" spans="27:33" x14ac:dyDescent="0.3">
      <c r="AA1222"/>
      <c r="AG1222"/>
    </row>
    <row r="1223" spans="27:33" x14ac:dyDescent="0.3">
      <c r="AA1223"/>
      <c r="AG1223"/>
    </row>
    <row r="1224" spans="27:33" x14ac:dyDescent="0.3">
      <c r="AA1224"/>
      <c r="AG1224"/>
    </row>
    <row r="1225" spans="27:33" x14ac:dyDescent="0.3">
      <c r="AA1225"/>
      <c r="AG1225"/>
    </row>
    <row r="1226" spans="27:33" x14ac:dyDescent="0.3">
      <c r="AA1226"/>
      <c r="AG1226"/>
    </row>
    <row r="1227" spans="27:33" x14ac:dyDescent="0.3">
      <c r="AA1227"/>
      <c r="AG1227"/>
    </row>
    <row r="1228" spans="27:33" x14ac:dyDescent="0.3">
      <c r="AA1228"/>
      <c r="AG1228"/>
    </row>
    <row r="1229" spans="27:33" x14ac:dyDescent="0.3">
      <c r="AA1229"/>
      <c r="AG1229"/>
    </row>
    <row r="1230" spans="27:33" x14ac:dyDescent="0.3">
      <c r="AA1230"/>
      <c r="AG1230"/>
    </row>
    <row r="1231" spans="27:33" x14ac:dyDescent="0.3">
      <c r="AA1231"/>
      <c r="AG1231"/>
    </row>
    <row r="1232" spans="27:33" x14ac:dyDescent="0.3">
      <c r="AA1232"/>
      <c r="AG1232"/>
    </row>
    <row r="1233" spans="27:33" x14ac:dyDescent="0.3">
      <c r="AA1233"/>
      <c r="AG1233"/>
    </row>
    <row r="1234" spans="27:33" x14ac:dyDescent="0.3">
      <c r="AA1234"/>
      <c r="AG1234"/>
    </row>
    <row r="1235" spans="27:33" x14ac:dyDescent="0.3">
      <c r="AA1235"/>
      <c r="AG1235"/>
    </row>
    <row r="1236" spans="27:33" x14ac:dyDescent="0.3">
      <c r="AA1236"/>
      <c r="AG1236"/>
    </row>
    <row r="1237" spans="27:33" x14ac:dyDescent="0.3">
      <c r="AA1237"/>
      <c r="AG1237"/>
    </row>
    <row r="1238" spans="27:33" x14ac:dyDescent="0.3">
      <c r="AA1238"/>
      <c r="AG1238"/>
    </row>
    <row r="1239" spans="27:33" x14ac:dyDescent="0.3">
      <c r="AA1239"/>
      <c r="AG1239"/>
    </row>
    <row r="1240" spans="27:33" x14ac:dyDescent="0.3">
      <c r="AA1240"/>
      <c r="AG1240"/>
    </row>
    <row r="1241" spans="27:33" x14ac:dyDescent="0.3">
      <c r="AA1241"/>
      <c r="AG1241"/>
    </row>
    <row r="1242" spans="27:33" x14ac:dyDescent="0.3">
      <c r="AA1242"/>
      <c r="AG1242"/>
    </row>
    <row r="1243" spans="27:33" x14ac:dyDescent="0.3">
      <c r="AA1243"/>
      <c r="AG1243"/>
    </row>
    <row r="1244" spans="27:33" x14ac:dyDescent="0.3">
      <c r="AA1244"/>
      <c r="AG1244"/>
    </row>
    <row r="1245" spans="27:33" x14ac:dyDescent="0.3">
      <c r="AA1245"/>
      <c r="AG1245"/>
    </row>
    <row r="1246" spans="27:33" x14ac:dyDescent="0.3">
      <c r="AA1246"/>
      <c r="AG1246"/>
    </row>
    <row r="1247" spans="27:33" x14ac:dyDescent="0.3">
      <c r="AA1247"/>
      <c r="AG1247"/>
    </row>
    <row r="1248" spans="27:33" x14ac:dyDescent="0.3">
      <c r="AA1248"/>
      <c r="AG1248"/>
    </row>
    <row r="1249" spans="27:33" x14ac:dyDescent="0.3">
      <c r="AA1249"/>
      <c r="AG1249"/>
    </row>
    <row r="1250" spans="27:33" x14ac:dyDescent="0.3">
      <c r="AA1250"/>
      <c r="AG1250"/>
    </row>
    <row r="1251" spans="27:33" x14ac:dyDescent="0.3">
      <c r="AA1251"/>
      <c r="AG1251"/>
    </row>
    <row r="1252" spans="27:33" x14ac:dyDescent="0.3">
      <c r="AA1252"/>
      <c r="AG1252"/>
    </row>
    <row r="1253" spans="27:33" x14ac:dyDescent="0.3">
      <c r="AA1253"/>
      <c r="AG1253"/>
    </row>
    <row r="1254" spans="27:33" x14ac:dyDescent="0.3">
      <c r="AA1254"/>
      <c r="AG1254"/>
    </row>
    <row r="1255" spans="27:33" x14ac:dyDescent="0.3">
      <c r="AA1255"/>
      <c r="AG1255"/>
    </row>
    <row r="1256" spans="27:33" x14ac:dyDescent="0.3">
      <c r="AA1256"/>
      <c r="AG1256"/>
    </row>
    <row r="1257" spans="27:33" x14ac:dyDescent="0.3">
      <c r="AA1257"/>
      <c r="AG1257"/>
    </row>
    <row r="1258" spans="27:33" x14ac:dyDescent="0.3">
      <c r="AA1258"/>
      <c r="AG1258"/>
    </row>
    <row r="1259" spans="27:33" x14ac:dyDescent="0.3">
      <c r="AA1259"/>
      <c r="AG1259"/>
    </row>
    <row r="1260" spans="27:33" x14ac:dyDescent="0.3">
      <c r="AA1260"/>
      <c r="AG1260"/>
    </row>
    <row r="1261" spans="27:33" x14ac:dyDescent="0.3">
      <c r="AA1261"/>
      <c r="AG1261"/>
    </row>
    <row r="1262" spans="27:33" x14ac:dyDescent="0.3">
      <c r="AA1262"/>
      <c r="AG1262"/>
    </row>
    <row r="1263" spans="27:33" x14ac:dyDescent="0.3">
      <c r="AA1263"/>
      <c r="AG1263"/>
    </row>
    <row r="1264" spans="27:33" x14ac:dyDescent="0.3">
      <c r="AA1264"/>
      <c r="AG1264"/>
    </row>
    <row r="1265" spans="27:33" x14ac:dyDescent="0.3">
      <c r="AA1265"/>
      <c r="AG1265"/>
    </row>
    <row r="1266" spans="27:33" x14ac:dyDescent="0.3">
      <c r="AA1266"/>
      <c r="AG1266"/>
    </row>
    <row r="1267" spans="27:33" x14ac:dyDescent="0.3">
      <c r="AA1267"/>
      <c r="AG1267"/>
    </row>
    <row r="1268" spans="27:33" x14ac:dyDescent="0.3">
      <c r="AA1268"/>
      <c r="AG1268"/>
    </row>
    <row r="1269" spans="27:33" x14ac:dyDescent="0.3">
      <c r="AA1269"/>
      <c r="AG1269"/>
    </row>
    <row r="1270" spans="27:33" x14ac:dyDescent="0.3">
      <c r="AA1270"/>
      <c r="AG1270"/>
    </row>
    <row r="1271" spans="27:33" x14ac:dyDescent="0.3">
      <c r="AA1271"/>
      <c r="AG1271"/>
    </row>
    <row r="1272" spans="27:33" x14ac:dyDescent="0.3">
      <c r="AA1272"/>
      <c r="AG1272"/>
    </row>
    <row r="1273" spans="27:33" x14ac:dyDescent="0.3">
      <c r="AA1273"/>
      <c r="AG1273"/>
    </row>
    <row r="1274" spans="27:33" x14ac:dyDescent="0.3">
      <c r="AA1274"/>
      <c r="AG1274"/>
    </row>
    <row r="1275" spans="27:33" x14ac:dyDescent="0.3">
      <c r="AA1275"/>
      <c r="AG1275"/>
    </row>
    <row r="1276" spans="27:33" x14ac:dyDescent="0.3">
      <c r="AA1276"/>
      <c r="AG1276"/>
    </row>
    <row r="1277" spans="27:33" x14ac:dyDescent="0.3">
      <c r="AA1277"/>
      <c r="AG1277"/>
    </row>
    <row r="1278" spans="27:33" x14ac:dyDescent="0.3">
      <c r="AA1278"/>
      <c r="AG1278"/>
    </row>
    <row r="1279" spans="27:33" x14ac:dyDescent="0.3">
      <c r="AA1279"/>
      <c r="AG1279"/>
    </row>
    <row r="1280" spans="27:33" x14ac:dyDescent="0.3">
      <c r="AA1280"/>
      <c r="AG1280"/>
    </row>
    <row r="1281" spans="27:33" x14ac:dyDescent="0.3">
      <c r="AA1281"/>
      <c r="AG1281"/>
    </row>
    <row r="1282" spans="27:33" x14ac:dyDescent="0.3">
      <c r="AA1282"/>
      <c r="AG1282"/>
    </row>
    <row r="1283" spans="27:33" x14ac:dyDescent="0.3">
      <c r="AA1283"/>
      <c r="AG1283"/>
    </row>
    <row r="1284" spans="27:33" x14ac:dyDescent="0.3">
      <c r="AA1284"/>
      <c r="AG1284"/>
    </row>
    <row r="1285" spans="27:33" x14ac:dyDescent="0.3">
      <c r="AA1285"/>
      <c r="AG1285"/>
    </row>
    <row r="1286" spans="27:33" x14ac:dyDescent="0.3">
      <c r="AA1286"/>
      <c r="AG1286"/>
    </row>
    <row r="1287" spans="27:33" x14ac:dyDescent="0.3">
      <c r="AA1287"/>
      <c r="AG1287"/>
    </row>
    <row r="1288" spans="27:33" x14ac:dyDescent="0.3">
      <c r="AA1288"/>
      <c r="AG1288"/>
    </row>
    <row r="1289" spans="27:33" x14ac:dyDescent="0.3">
      <c r="AA1289"/>
      <c r="AG1289"/>
    </row>
    <row r="1290" spans="27:33" x14ac:dyDescent="0.3">
      <c r="AA1290"/>
      <c r="AG1290"/>
    </row>
    <row r="1291" spans="27:33" x14ac:dyDescent="0.3">
      <c r="AA1291"/>
      <c r="AG1291"/>
    </row>
    <row r="1292" spans="27:33" x14ac:dyDescent="0.3">
      <c r="AA1292"/>
      <c r="AG1292"/>
    </row>
    <row r="1293" spans="27:33" x14ac:dyDescent="0.3">
      <c r="AA1293"/>
      <c r="AG1293"/>
    </row>
    <row r="1294" spans="27:33" x14ac:dyDescent="0.3">
      <c r="AA1294"/>
      <c r="AG1294"/>
    </row>
    <row r="1295" spans="27:33" x14ac:dyDescent="0.3">
      <c r="AA1295"/>
      <c r="AG1295"/>
    </row>
    <row r="1296" spans="27:33" x14ac:dyDescent="0.3">
      <c r="AA1296"/>
      <c r="AG1296"/>
    </row>
    <row r="1297" spans="27:33" x14ac:dyDescent="0.3">
      <c r="AA1297"/>
      <c r="AG1297"/>
    </row>
    <row r="1298" spans="27:33" x14ac:dyDescent="0.3">
      <c r="AA1298"/>
      <c r="AG1298"/>
    </row>
    <row r="1299" spans="27:33" x14ac:dyDescent="0.3">
      <c r="AA1299"/>
      <c r="AG1299"/>
    </row>
    <row r="1300" spans="27:33" x14ac:dyDescent="0.3">
      <c r="AA1300"/>
      <c r="AG1300"/>
    </row>
    <row r="1301" spans="27:33" x14ac:dyDescent="0.3">
      <c r="AA1301"/>
      <c r="AG1301"/>
    </row>
    <row r="1302" spans="27:33" x14ac:dyDescent="0.3">
      <c r="AA1302"/>
      <c r="AG1302"/>
    </row>
    <row r="1303" spans="27:33" x14ac:dyDescent="0.3">
      <c r="AA1303"/>
      <c r="AG1303"/>
    </row>
    <row r="1304" spans="27:33" x14ac:dyDescent="0.3">
      <c r="AA1304"/>
      <c r="AG1304"/>
    </row>
    <row r="1305" spans="27:33" x14ac:dyDescent="0.3">
      <c r="AA1305"/>
      <c r="AG1305"/>
    </row>
    <row r="1306" spans="27:33" x14ac:dyDescent="0.3">
      <c r="AA1306"/>
      <c r="AG1306"/>
    </row>
    <row r="1307" spans="27:33" x14ac:dyDescent="0.3">
      <c r="AA1307"/>
      <c r="AG1307"/>
    </row>
    <row r="1308" spans="27:33" x14ac:dyDescent="0.3">
      <c r="AA1308"/>
      <c r="AG1308"/>
    </row>
    <row r="1309" spans="27:33" x14ac:dyDescent="0.3">
      <c r="AA1309"/>
      <c r="AG1309"/>
    </row>
    <row r="1310" spans="27:33" x14ac:dyDescent="0.3">
      <c r="AA1310"/>
      <c r="AG1310"/>
    </row>
    <row r="1311" spans="27:33" x14ac:dyDescent="0.3">
      <c r="AA1311"/>
      <c r="AG1311"/>
    </row>
    <row r="1312" spans="27:33" x14ac:dyDescent="0.3">
      <c r="AA1312"/>
      <c r="AG1312"/>
    </row>
    <row r="1313" spans="27:33" x14ac:dyDescent="0.3">
      <c r="AA1313"/>
      <c r="AG1313"/>
    </row>
    <row r="1314" spans="27:33" x14ac:dyDescent="0.3">
      <c r="AA1314"/>
      <c r="AG1314"/>
    </row>
    <row r="1315" spans="27:33" x14ac:dyDescent="0.3">
      <c r="AA1315"/>
      <c r="AG1315"/>
    </row>
    <row r="1316" spans="27:33" x14ac:dyDescent="0.3">
      <c r="AA1316"/>
      <c r="AG1316"/>
    </row>
    <row r="1317" spans="27:33" x14ac:dyDescent="0.3">
      <c r="AA1317"/>
      <c r="AG1317"/>
    </row>
    <row r="1318" spans="27:33" x14ac:dyDescent="0.3">
      <c r="AA1318"/>
      <c r="AG1318"/>
    </row>
    <row r="1319" spans="27:33" x14ac:dyDescent="0.3">
      <c r="AA1319"/>
      <c r="AG1319"/>
    </row>
    <row r="1320" spans="27:33" x14ac:dyDescent="0.3">
      <c r="AA1320"/>
      <c r="AG1320"/>
    </row>
    <row r="1321" spans="27:33" x14ac:dyDescent="0.3">
      <c r="AA1321"/>
      <c r="AG1321"/>
    </row>
    <row r="1322" spans="27:33" x14ac:dyDescent="0.3">
      <c r="AA1322"/>
      <c r="AG1322"/>
    </row>
    <row r="1323" spans="27:33" x14ac:dyDescent="0.3">
      <c r="AA1323"/>
      <c r="AG1323"/>
    </row>
    <row r="1324" spans="27:33" x14ac:dyDescent="0.3">
      <c r="AA1324"/>
      <c r="AG1324"/>
    </row>
    <row r="1325" spans="27:33" x14ac:dyDescent="0.3">
      <c r="AA1325"/>
      <c r="AG1325"/>
    </row>
    <row r="1326" spans="27:33" x14ac:dyDescent="0.3">
      <c r="AA1326"/>
      <c r="AG1326"/>
    </row>
    <row r="1327" spans="27:33" x14ac:dyDescent="0.3">
      <c r="AA1327"/>
      <c r="AG1327"/>
    </row>
    <row r="1328" spans="27:33" x14ac:dyDescent="0.3">
      <c r="AA1328"/>
      <c r="AG1328"/>
    </row>
    <row r="1329" spans="27:33" x14ac:dyDescent="0.3">
      <c r="AA1329"/>
      <c r="AG1329"/>
    </row>
    <row r="1330" spans="27:33" x14ac:dyDescent="0.3">
      <c r="AA1330"/>
      <c r="AG1330"/>
    </row>
    <row r="1331" spans="27:33" x14ac:dyDescent="0.3">
      <c r="AA1331"/>
      <c r="AG1331"/>
    </row>
    <row r="1332" spans="27:33" x14ac:dyDescent="0.3">
      <c r="AA1332"/>
      <c r="AG1332"/>
    </row>
    <row r="1333" spans="27:33" x14ac:dyDescent="0.3">
      <c r="AA1333"/>
      <c r="AG1333"/>
    </row>
    <row r="1334" spans="27:33" x14ac:dyDescent="0.3">
      <c r="AA1334"/>
      <c r="AG1334"/>
    </row>
    <row r="1335" spans="27:33" x14ac:dyDescent="0.3">
      <c r="AA1335"/>
      <c r="AG1335"/>
    </row>
    <row r="1336" spans="27:33" x14ac:dyDescent="0.3">
      <c r="AA1336"/>
      <c r="AG1336"/>
    </row>
    <row r="1337" spans="27:33" x14ac:dyDescent="0.3">
      <c r="AA1337"/>
      <c r="AG1337"/>
    </row>
    <row r="1338" spans="27:33" x14ac:dyDescent="0.3">
      <c r="AA1338"/>
      <c r="AG1338"/>
    </row>
    <row r="1339" spans="27:33" x14ac:dyDescent="0.3">
      <c r="AA1339"/>
      <c r="AG1339"/>
    </row>
    <row r="1340" spans="27:33" x14ac:dyDescent="0.3">
      <c r="AA1340"/>
      <c r="AG1340"/>
    </row>
    <row r="1341" spans="27:33" x14ac:dyDescent="0.3">
      <c r="AA1341"/>
      <c r="AG1341"/>
    </row>
    <row r="1342" spans="27:33" x14ac:dyDescent="0.3">
      <c r="AA1342"/>
      <c r="AG1342"/>
    </row>
    <row r="1343" spans="27:33" x14ac:dyDescent="0.3">
      <c r="AA1343"/>
      <c r="AG1343"/>
    </row>
    <row r="1344" spans="27:33" x14ac:dyDescent="0.3">
      <c r="AA1344"/>
      <c r="AG1344"/>
    </row>
    <row r="1345" spans="27:33" x14ac:dyDescent="0.3">
      <c r="AA1345"/>
      <c r="AG1345"/>
    </row>
    <row r="1346" spans="27:33" x14ac:dyDescent="0.3">
      <c r="AA1346"/>
      <c r="AG1346"/>
    </row>
    <row r="1347" spans="27:33" x14ac:dyDescent="0.3">
      <c r="AA1347"/>
      <c r="AG1347"/>
    </row>
    <row r="1348" spans="27:33" x14ac:dyDescent="0.3">
      <c r="AA1348"/>
      <c r="AG1348"/>
    </row>
    <row r="1349" spans="27:33" x14ac:dyDescent="0.3">
      <c r="AA1349"/>
      <c r="AG1349"/>
    </row>
    <row r="1350" spans="27:33" x14ac:dyDescent="0.3">
      <c r="AA1350"/>
      <c r="AG1350"/>
    </row>
    <row r="1351" spans="27:33" x14ac:dyDescent="0.3">
      <c r="AA1351"/>
      <c r="AG1351"/>
    </row>
    <row r="1352" spans="27:33" x14ac:dyDescent="0.3">
      <c r="AA1352"/>
      <c r="AG1352"/>
    </row>
    <row r="1353" spans="27:33" x14ac:dyDescent="0.3">
      <c r="AA1353"/>
      <c r="AG1353"/>
    </row>
    <row r="1354" spans="27:33" x14ac:dyDescent="0.3">
      <c r="AA1354"/>
      <c r="AG1354"/>
    </row>
    <row r="1355" spans="27:33" x14ac:dyDescent="0.3">
      <c r="AA1355"/>
      <c r="AG1355"/>
    </row>
    <row r="1356" spans="27:33" x14ac:dyDescent="0.3">
      <c r="AA1356"/>
      <c r="AG1356"/>
    </row>
    <row r="1357" spans="27:33" x14ac:dyDescent="0.3">
      <c r="AA1357"/>
      <c r="AG1357"/>
    </row>
    <row r="1358" spans="27:33" x14ac:dyDescent="0.3">
      <c r="AA1358"/>
      <c r="AG1358"/>
    </row>
    <row r="1359" spans="27:33" x14ac:dyDescent="0.3">
      <c r="AA1359"/>
      <c r="AG1359"/>
    </row>
    <row r="1360" spans="27:33" x14ac:dyDescent="0.3">
      <c r="AA1360"/>
      <c r="AG1360"/>
    </row>
    <row r="1361" spans="27:33" x14ac:dyDescent="0.3">
      <c r="AA1361"/>
      <c r="AG1361"/>
    </row>
    <row r="1362" spans="27:33" x14ac:dyDescent="0.3">
      <c r="AA1362"/>
      <c r="AG1362"/>
    </row>
    <row r="1363" spans="27:33" x14ac:dyDescent="0.3">
      <c r="AA1363"/>
      <c r="AG1363"/>
    </row>
    <row r="1364" spans="27:33" x14ac:dyDescent="0.3">
      <c r="AA1364"/>
      <c r="AG1364"/>
    </row>
    <row r="1365" spans="27:33" x14ac:dyDescent="0.3">
      <c r="AA1365"/>
      <c r="AG1365"/>
    </row>
    <row r="1366" spans="27:33" x14ac:dyDescent="0.3">
      <c r="AA1366"/>
      <c r="AG1366"/>
    </row>
    <row r="1367" spans="27:33" x14ac:dyDescent="0.3">
      <c r="AA1367"/>
      <c r="AG1367"/>
    </row>
    <row r="1368" spans="27:33" x14ac:dyDescent="0.3">
      <c r="AA1368"/>
      <c r="AG1368"/>
    </row>
    <row r="1369" spans="27:33" x14ac:dyDescent="0.3">
      <c r="AA1369"/>
      <c r="AG1369"/>
    </row>
    <row r="1370" spans="27:33" x14ac:dyDescent="0.3">
      <c r="AA1370"/>
      <c r="AG1370"/>
    </row>
    <row r="1371" spans="27:33" x14ac:dyDescent="0.3">
      <c r="AA1371"/>
      <c r="AG1371"/>
    </row>
    <row r="1372" spans="27:33" x14ac:dyDescent="0.3">
      <c r="AA1372"/>
      <c r="AG1372"/>
    </row>
    <row r="1373" spans="27:33" x14ac:dyDescent="0.3">
      <c r="AA1373"/>
      <c r="AG1373"/>
    </row>
    <row r="1374" spans="27:33" x14ac:dyDescent="0.3">
      <c r="AA1374"/>
      <c r="AG1374"/>
    </row>
    <row r="1375" spans="27:33" x14ac:dyDescent="0.3">
      <c r="AA1375"/>
      <c r="AG1375"/>
    </row>
    <row r="1376" spans="27:33" x14ac:dyDescent="0.3">
      <c r="AA1376"/>
      <c r="AG1376"/>
    </row>
    <row r="1377" spans="27:33" x14ac:dyDescent="0.3">
      <c r="AA1377"/>
      <c r="AG1377"/>
    </row>
    <row r="1378" spans="27:33" x14ac:dyDescent="0.3">
      <c r="AA1378"/>
      <c r="AG1378"/>
    </row>
    <row r="1379" spans="27:33" x14ac:dyDescent="0.3">
      <c r="AA1379"/>
      <c r="AG1379"/>
    </row>
    <row r="1380" spans="27:33" x14ac:dyDescent="0.3">
      <c r="AA1380"/>
      <c r="AG1380"/>
    </row>
    <row r="1381" spans="27:33" x14ac:dyDescent="0.3">
      <c r="AA1381"/>
      <c r="AG1381"/>
    </row>
    <row r="1382" spans="27:33" x14ac:dyDescent="0.3">
      <c r="AA1382"/>
      <c r="AG1382"/>
    </row>
    <row r="1383" spans="27:33" x14ac:dyDescent="0.3">
      <c r="AA1383"/>
      <c r="AG1383"/>
    </row>
    <row r="1384" spans="27:33" x14ac:dyDescent="0.3">
      <c r="AA1384"/>
      <c r="AG1384"/>
    </row>
    <row r="1385" spans="27:33" x14ac:dyDescent="0.3">
      <c r="AA1385"/>
      <c r="AG1385"/>
    </row>
    <row r="1386" spans="27:33" x14ac:dyDescent="0.3">
      <c r="AA1386"/>
      <c r="AG1386"/>
    </row>
    <row r="1387" spans="27:33" x14ac:dyDescent="0.3">
      <c r="AA1387"/>
      <c r="AG1387"/>
    </row>
    <row r="1388" spans="27:33" x14ac:dyDescent="0.3">
      <c r="AA1388"/>
      <c r="AG1388"/>
    </row>
    <row r="1389" spans="27:33" x14ac:dyDescent="0.3">
      <c r="AA1389"/>
      <c r="AG1389"/>
    </row>
    <row r="1390" spans="27:33" x14ac:dyDescent="0.3">
      <c r="AA1390"/>
      <c r="AG1390"/>
    </row>
    <row r="1391" spans="27:33" x14ac:dyDescent="0.3">
      <c r="AA1391"/>
      <c r="AG1391"/>
    </row>
    <row r="1392" spans="27:33" x14ac:dyDescent="0.3">
      <c r="AA1392"/>
      <c r="AG1392"/>
    </row>
    <row r="1393" spans="27:33" x14ac:dyDescent="0.3">
      <c r="AA1393"/>
      <c r="AG1393"/>
    </row>
    <row r="1394" spans="27:33" x14ac:dyDescent="0.3">
      <c r="AA1394"/>
      <c r="AG1394"/>
    </row>
    <row r="1395" spans="27:33" x14ac:dyDescent="0.3">
      <c r="AA1395"/>
      <c r="AG1395"/>
    </row>
    <row r="1396" spans="27:33" x14ac:dyDescent="0.3">
      <c r="AA1396"/>
      <c r="AG1396"/>
    </row>
    <row r="1397" spans="27:33" x14ac:dyDescent="0.3">
      <c r="AA1397"/>
      <c r="AG1397"/>
    </row>
    <row r="1398" spans="27:33" x14ac:dyDescent="0.3">
      <c r="AA1398"/>
      <c r="AG1398"/>
    </row>
    <row r="1399" spans="27:33" x14ac:dyDescent="0.3">
      <c r="AA1399"/>
      <c r="AG1399"/>
    </row>
    <row r="1400" spans="27:33" x14ac:dyDescent="0.3">
      <c r="AA1400"/>
      <c r="AG1400"/>
    </row>
    <row r="1401" spans="27:33" x14ac:dyDescent="0.3">
      <c r="AA1401"/>
      <c r="AG1401"/>
    </row>
    <row r="1402" spans="27:33" x14ac:dyDescent="0.3">
      <c r="AA1402"/>
      <c r="AG1402"/>
    </row>
    <row r="1403" spans="27:33" x14ac:dyDescent="0.3">
      <c r="AA1403"/>
      <c r="AG1403"/>
    </row>
    <row r="1404" spans="27:33" x14ac:dyDescent="0.3">
      <c r="AA1404"/>
      <c r="AG1404"/>
    </row>
    <row r="1405" spans="27:33" x14ac:dyDescent="0.3">
      <c r="AA1405"/>
      <c r="AG1405"/>
    </row>
    <row r="1406" spans="27:33" x14ac:dyDescent="0.3">
      <c r="AA1406"/>
      <c r="AG1406"/>
    </row>
    <row r="1407" spans="27:33" x14ac:dyDescent="0.3">
      <c r="AA1407"/>
      <c r="AG1407"/>
    </row>
    <row r="1408" spans="27:33" x14ac:dyDescent="0.3">
      <c r="AA1408"/>
      <c r="AG1408"/>
    </row>
    <row r="1409" spans="27:33" x14ac:dyDescent="0.3">
      <c r="AA1409"/>
      <c r="AG1409"/>
    </row>
    <row r="1410" spans="27:33" x14ac:dyDescent="0.3">
      <c r="AA1410"/>
      <c r="AG1410"/>
    </row>
    <row r="1411" spans="27:33" x14ac:dyDescent="0.3">
      <c r="AA1411"/>
      <c r="AG1411"/>
    </row>
    <row r="1412" spans="27:33" x14ac:dyDescent="0.3">
      <c r="AA1412"/>
      <c r="AG1412"/>
    </row>
    <row r="1413" spans="27:33" x14ac:dyDescent="0.3">
      <c r="AA1413"/>
      <c r="AG1413"/>
    </row>
    <row r="1414" spans="27:33" x14ac:dyDescent="0.3">
      <c r="AA1414"/>
      <c r="AG1414"/>
    </row>
    <row r="1415" spans="27:33" x14ac:dyDescent="0.3">
      <c r="AA1415"/>
      <c r="AG1415"/>
    </row>
    <row r="1416" spans="27:33" x14ac:dyDescent="0.3">
      <c r="AA1416"/>
      <c r="AG1416"/>
    </row>
    <row r="1417" spans="27:33" x14ac:dyDescent="0.3">
      <c r="AA1417"/>
      <c r="AG1417"/>
    </row>
    <row r="1418" spans="27:33" x14ac:dyDescent="0.3">
      <c r="AA1418"/>
      <c r="AG1418"/>
    </row>
    <row r="1419" spans="27:33" x14ac:dyDescent="0.3">
      <c r="AA1419"/>
      <c r="AG1419"/>
    </row>
    <row r="1420" spans="27:33" x14ac:dyDescent="0.3">
      <c r="AA1420"/>
      <c r="AG1420"/>
    </row>
    <row r="1421" spans="27:33" x14ac:dyDescent="0.3">
      <c r="AA1421"/>
      <c r="AG1421"/>
    </row>
    <row r="1422" spans="27:33" x14ac:dyDescent="0.3">
      <c r="AA1422"/>
      <c r="AG1422"/>
    </row>
    <row r="1423" spans="27:33" x14ac:dyDescent="0.3">
      <c r="AA1423"/>
      <c r="AG1423"/>
    </row>
    <row r="1424" spans="27:33" x14ac:dyDescent="0.3">
      <c r="AA1424"/>
      <c r="AG1424"/>
    </row>
    <row r="1425" spans="27:33" x14ac:dyDescent="0.3">
      <c r="AA1425"/>
      <c r="AG1425"/>
    </row>
    <row r="1426" spans="27:33" x14ac:dyDescent="0.3">
      <c r="AA1426"/>
      <c r="AG1426"/>
    </row>
    <row r="1427" spans="27:33" x14ac:dyDescent="0.3">
      <c r="AA1427"/>
      <c r="AG1427"/>
    </row>
    <row r="1428" spans="27:33" x14ac:dyDescent="0.3">
      <c r="AA1428"/>
      <c r="AG1428"/>
    </row>
    <row r="1429" spans="27:33" x14ac:dyDescent="0.3">
      <c r="AA1429"/>
      <c r="AG1429"/>
    </row>
    <row r="1430" spans="27:33" x14ac:dyDescent="0.3">
      <c r="AA1430"/>
      <c r="AG1430"/>
    </row>
    <row r="1431" spans="27:33" x14ac:dyDescent="0.3">
      <c r="AA1431"/>
      <c r="AG1431"/>
    </row>
    <row r="1432" spans="27:33" x14ac:dyDescent="0.3">
      <c r="AA1432"/>
      <c r="AG1432"/>
    </row>
    <row r="1433" spans="27:33" x14ac:dyDescent="0.3">
      <c r="AA1433"/>
      <c r="AG1433"/>
    </row>
    <row r="1434" spans="27:33" x14ac:dyDescent="0.3">
      <c r="AA1434"/>
      <c r="AG1434"/>
    </row>
    <row r="1435" spans="27:33" x14ac:dyDescent="0.3">
      <c r="AA1435"/>
      <c r="AG1435"/>
    </row>
    <row r="1436" spans="27:33" x14ac:dyDescent="0.3">
      <c r="AA1436"/>
      <c r="AG1436"/>
    </row>
    <row r="1437" spans="27:33" x14ac:dyDescent="0.3">
      <c r="AA1437"/>
      <c r="AG1437"/>
    </row>
    <row r="1438" spans="27:33" x14ac:dyDescent="0.3">
      <c r="AA1438"/>
      <c r="AG1438"/>
    </row>
    <row r="1439" spans="27:33" x14ac:dyDescent="0.3">
      <c r="AA1439"/>
      <c r="AG1439"/>
    </row>
    <row r="1440" spans="27:33" x14ac:dyDescent="0.3">
      <c r="AA1440"/>
      <c r="AG1440"/>
    </row>
    <row r="1441" spans="27:33" x14ac:dyDescent="0.3">
      <c r="AA1441"/>
      <c r="AG1441"/>
    </row>
    <row r="1442" spans="27:33" x14ac:dyDescent="0.3">
      <c r="AA1442"/>
      <c r="AG1442"/>
    </row>
    <row r="1443" spans="27:33" x14ac:dyDescent="0.3">
      <c r="AA1443"/>
      <c r="AG1443"/>
    </row>
    <row r="1444" spans="27:33" x14ac:dyDescent="0.3">
      <c r="AA1444"/>
      <c r="AG1444"/>
    </row>
    <row r="1445" spans="27:33" x14ac:dyDescent="0.3">
      <c r="AA1445"/>
      <c r="AG1445"/>
    </row>
    <row r="1446" spans="27:33" x14ac:dyDescent="0.3">
      <c r="AA1446"/>
      <c r="AG1446"/>
    </row>
    <row r="1447" spans="27:33" x14ac:dyDescent="0.3">
      <c r="AA1447"/>
      <c r="AG1447"/>
    </row>
    <row r="1448" spans="27:33" x14ac:dyDescent="0.3">
      <c r="AA1448"/>
      <c r="AG1448"/>
    </row>
    <row r="1449" spans="27:33" x14ac:dyDescent="0.3">
      <c r="AA1449"/>
      <c r="AG1449"/>
    </row>
    <row r="1450" spans="27:33" x14ac:dyDescent="0.3">
      <c r="AA1450"/>
      <c r="AG1450"/>
    </row>
    <row r="1451" spans="27:33" x14ac:dyDescent="0.3">
      <c r="AA1451"/>
      <c r="AG1451"/>
    </row>
    <row r="1452" spans="27:33" x14ac:dyDescent="0.3">
      <c r="AA1452"/>
      <c r="AG1452"/>
    </row>
    <row r="1453" spans="27:33" x14ac:dyDescent="0.3">
      <c r="AA1453"/>
      <c r="AG1453"/>
    </row>
    <row r="1454" spans="27:33" x14ac:dyDescent="0.3">
      <c r="AA1454"/>
      <c r="AG1454"/>
    </row>
    <row r="1455" spans="27:33" x14ac:dyDescent="0.3">
      <c r="AA1455"/>
      <c r="AG1455"/>
    </row>
    <row r="1456" spans="27:33" x14ac:dyDescent="0.3">
      <c r="AA1456"/>
      <c r="AG1456"/>
    </row>
    <row r="1457" spans="27:33" x14ac:dyDescent="0.3">
      <c r="AA1457"/>
      <c r="AG1457"/>
    </row>
    <row r="1458" spans="27:33" x14ac:dyDescent="0.3">
      <c r="AA1458"/>
      <c r="AG1458"/>
    </row>
    <row r="1459" spans="27:33" x14ac:dyDescent="0.3">
      <c r="AA1459"/>
      <c r="AG1459"/>
    </row>
    <row r="1460" spans="27:33" x14ac:dyDescent="0.3">
      <c r="AA1460"/>
      <c r="AG1460"/>
    </row>
    <row r="1461" spans="27:33" x14ac:dyDescent="0.3">
      <c r="AA1461"/>
      <c r="AG1461"/>
    </row>
    <row r="1462" spans="27:33" x14ac:dyDescent="0.3">
      <c r="AA1462"/>
      <c r="AG1462"/>
    </row>
    <row r="1463" spans="27:33" x14ac:dyDescent="0.3">
      <c r="AA1463"/>
      <c r="AG1463"/>
    </row>
    <row r="1464" spans="27:33" x14ac:dyDescent="0.3">
      <c r="AA1464"/>
      <c r="AG1464"/>
    </row>
    <row r="1465" spans="27:33" x14ac:dyDescent="0.3">
      <c r="AA1465"/>
      <c r="AG1465"/>
    </row>
    <row r="1466" spans="27:33" x14ac:dyDescent="0.3">
      <c r="AA1466"/>
      <c r="AG1466"/>
    </row>
    <row r="1467" spans="27:33" x14ac:dyDescent="0.3">
      <c r="AA1467"/>
      <c r="AG1467"/>
    </row>
    <row r="1468" spans="27:33" x14ac:dyDescent="0.3">
      <c r="AA1468"/>
      <c r="AG1468"/>
    </row>
    <row r="1469" spans="27:33" x14ac:dyDescent="0.3">
      <c r="AA1469"/>
      <c r="AG1469"/>
    </row>
    <row r="1470" spans="27:33" x14ac:dyDescent="0.3">
      <c r="AA1470"/>
      <c r="AG1470"/>
    </row>
    <row r="1471" spans="27:33" x14ac:dyDescent="0.3">
      <c r="AA1471"/>
      <c r="AG1471"/>
    </row>
    <row r="1472" spans="27:33" x14ac:dyDescent="0.3">
      <c r="AA1472"/>
      <c r="AG1472"/>
    </row>
    <row r="1473" spans="27:33" x14ac:dyDescent="0.3">
      <c r="AA1473"/>
      <c r="AG1473"/>
    </row>
    <row r="1474" spans="27:33" x14ac:dyDescent="0.3">
      <c r="AA1474"/>
      <c r="AG1474"/>
    </row>
    <row r="1475" spans="27:33" x14ac:dyDescent="0.3">
      <c r="AA1475"/>
      <c r="AG1475"/>
    </row>
    <row r="1476" spans="27:33" x14ac:dyDescent="0.3">
      <c r="AA1476"/>
      <c r="AG1476"/>
    </row>
    <row r="1477" spans="27:33" x14ac:dyDescent="0.3">
      <c r="AA1477"/>
      <c r="AG1477"/>
    </row>
    <row r="1478" spans="27:33" x14ac:dyDescent="0.3">
      <c r="AA1478"/>
      <c r="AG1478"/>
    </row>
    <row r="1479" spans="27:33" x14ac:dyDescent="0.3">
      <c r="AA1479"/>
      <c r="AG1479"/>
    </row>
    <row r="1480" spans="27:33" x14ac:dyDescent="0.3">
      <c r="AA1480"/>
      <c r="AG1480"/>
    </row>
    <row r="1481" spans="27:33" x14ac:dyDescent="0.3">
      <c r="AA1481"/>
      <c r="AG1481"/>
    </row>
    <row r="1482" spans="27:33" x14ac:dyDescent="0.3">
      <c r="AA1482"/>
      <c r="AG1482"/>
    </row>
    <row r="1483" spans="27:33" x14ac:dyDescent="0.3">
      <c r="AA1483"/>
      <c r="AG1483"/>
    </row>
    <row r="1484" spans="27:33" x14ac:dyDescent="0.3">
      <c r="AA1484"/>
      <c r="AG1484"/>
    </row>
    <row r="1485" spans="27:33" x14ac:dyDescent="0.3">
      <c r="AA1485"/>
      <c r="AG1485"/>
    </row>
    <row r="1486" spans="27:33" x14ac:dyDescent="0.3">
      <c r="AA1486"/>
      <c r="AG1486"/>
    </row>
    <row r="1487" spans="27:33" x14ac:dyDescent="0.3">
      <c r="AA1487"/>
      <c r="AG1487"/>
    </row>
    <row r="1488" spans="27:33" x14ac:dyDescent="0.3">
      <c r="AA1488"/>
      <c r="AG1488"/>
    </row>
    <row r="1489" spans="27:33" x14ac:dyDescent="0.3">
      <c r="AA1489"/>
      <c r="AG1489"/>
    </row>
    <row r="1490" spans="27:33" x14ac:dyDescent="0.3">
      <c r="AA1490"/>
      <c r="AG1490"/>
    </row>
    <row r="1491" spans="27:33" x14ac:dyDescent="0.3">
      <c r="AA1491"/>
      <c r="AG1491"/>
    </row>
    <row r="1492" spans="27:33" x14ac:dyDescent="0.3">
      <c r="AA1492"/>
      <c r="AG1492"/>
    </row>
    <row r="1493" spans="27:33" x14ac:dyDescent="0.3">
      <c r="AA1493"/>
      <c r="AG1493"/>
    </row>
    <row r="1494" spans="27:33" x14ac:dyDescent="0.3">
      <c r="AA1494"/>
      <c r="AG1494"/>
    </row>
    <row r="1495" spans="27:33" x14ac:dyDescent="0.3">
      <c r="AA1495"/>
      <c r="AG1495"/>
    </row>
    <row r="1496" spans="27:33" x14ac:dyDescent="0.3">
      <c r="AA1496"/>
      <c r="AG1496"/>
    </row>
    <row r="1497" spans="27:33" x14ac:dyDescent="0.3">
      <c r="AA1497"/>
      <c r="AG1497"/>
    </row>
    <row r="1498" spans="27:33" x14ac:dyDescent="0.3">
      <c r="AA1498"/>
      <c r="AG1498"/>
    </row>
    <row r="1499" spans="27:33" x14ac:dyDescent="0.3">
      <c r="AA1499"/>
      <c r="AG1499"/>
    </row>
    <row r="1500" spans="27:33" x14ac:dyDescent="0.3">
      <c r="AA1500"/>
      <c r="AG1500"/>
    </row>
    <row r="1501" spans="27:33" x14ac:dyDescent="0.3">
      <c r="AA1501"/>
      <c r="AG1501"/>
    </row>
    <row r="1502" spans="27:33" x14ac:dyDescent="0.3">
      <c r="AA1502"/>
      <c r="AG1502"/>
    </row>
    <row r="1503" spans="27:33" x14ac:dyDescent="0.3">
      <c r="AA1503"/>
      <c r="AG1503"/>
    </row>
    <row r="1504" spans="27:33" x14ac:dyDescent="0.3">
      <c r="AA1504"/>
      <c r="AG1504"/>
    </row>
    <row r="1505" spans="27:33" x14ac:dyDescent="0.3">
      <c r="AA1505"/>
      <c r="AG1505"/>
    </row>
    <row r="1506" spans="27:33" x14ac:dyDescent="0.3">
      <c r="AA1506"/>
      <c r="AG1506"/>
    </row>
    <row r="1507" spans="27:33" x14ac:dyDescent="0.3">
      <c r="AA1507"/>
      <c r="AG1507"/>
    </row>
    <row r="1508" spans="27:33" x14ac:dyDescent="0.3">
      <c r="AA1508"/>
      <c r="AG1508"/>
    </row>
    <row r="1509" spans="27:33" x14ac:dyDescent="0.3">
      <c r="AA1509"/>
      <c r="AG1509"/>
    </row>
    <row r="1510" spans="27:33" x14ac:dyDescent="0.3">
      <c r="AA1510"/>
      <c r="AG1510"/>
    </row>
    <row r="1511" spans="27:33" x14ac:dyDescent="0.3">
      <c r="AA1511"/>
      <c r="AG1511"/>
    </row>
    <row r="1512" spans="27:33" x14ac:dyDescent="0.3">
      <c r="AA1512"/>
      <c r="AG1512"/>
    </row>
    <row r="1513" spans="27:33" x14ac:dyDescent="0.3">
      <c r="AA1513"/>
      <c r="AG1513"/>
    </row>
    <row r="1514" spans="27:33" x14ac:dyDescent="0.3">
      <c r="AA1514"/>
      <c r="AG1514"/>
    </row>
    <row r="1515" spans="27:33" x14ac:dyDescent="0.3">
      <c r="AA1515"/>
      <c r="AG1515"/>
    </row>
    <row r="1516" spans="27:33" x14ac:dyDescent="0.3">
      <c r="AA1516"/>
      <c r="AG1516"/>
    </row>
    <row r="1517" spans="27:33" x14ac:dyDescent="0.3">
      <c r="AA1517"/>
      <c r="AG1517"/>
    </row>
    <row r="1518" spans="27:33" x14ac:dyDescent="0.3">
      <c r="AA1518"/>
      <c r="AG1518"/>
    </row>
    <row r="1519" spans="27:33" x14ac:dyDescent="0.3">
      <c r="AA1519"/>
      <c r="AG1519"/>
    </row>
    <row r="1520" spans="27:33" x14ac:dyDescent="0.3">
      <c r="AA1520"/>
      <c r="AG1520"/>
    </row>
    <row r="1521" spans="27:33" x14ac:dyDescent="0.3">
      <c r="AA1521"/>
      <c r="AG1521"/>
    </row>
    <row r="1522" spans="27:33" x14ac:dyDescent="0.3">
      <c r="AA1522"/>
      <c r="AG1522"/>
    </row>
    <row r="1523" spans="27:33" x14ac:dyDescent="0.3">
      <c r="AA1523"/>
      <c r="AG1523"/>
    </row>
    <row r="1524" spans="27:33" x14ac:dyDescent="0.3">
      <c r="AA1524"/>
      <c r="AG1524"/>
    </row>
    <row r="1525" spans="27:33" x14ac:dyDescent="0.3">
      <c r="AA1525"/>
      <c r="AG1525"/>
    </row>
    <row r="1526" spans="27:33" x14ac:dyDescent="0.3">
      <c r="AA1526"/>
      <c r="AG1526"/>
    </row>
    <row r="1527" spans="27:33" x14ac:dyDescent="0.3">
      <c r="AA1527"/>
      <c r="AG1527"/>
    </row>
    <row r="1528" spans="27:33" x14ac:dyDescent="0.3">
      <c r="AA1528"/>
      <c r="AG1528"/>
    </row>
    <row r="1529" spans="27:33" x14ac:dyDescent="0.3">
      <c r="AA1529"/>
      <c r="AG1529"/>
    </row>
    <row r="1530" spans="27:33" x14ac:dyDescent="0.3">
      <c r="AA1530"/>
      <c r="AG1530"/>
    </row>
    <row r="1531" spans="27:33" x14ac:dyDescent="0.3">
      <c r="AA1531"/>
      <c r="AG1531"/>
    </row>
    <row r="1532" spans="27:33" x14ac:dyDescent="0.3">
      <c r="AA1532"/>
      <c r="AG1532"/>
    </row>
    <row r="1533" spans="27:33" x14ac:dyDescent="0.3">
      <c r="AA1533"/>
      <c r="AG1533"/>
    </row>
    <row r="1534" spans="27:33" x14ac:dyDescent="0.3">
      <c r="AA1534"/>
      <c r="AG1534"/>
    </row>
    <row r="1535" spans="27:33" x14ac:dyDescent="0.3">
      <c r="AA1535"/>
      <c r="AG1535"/>
    </row>
    <row r="1536" spans="27:33" x14ac:dyDescent="0.3">
      <c r="AA1536"/>
      <c r="AG1536"/>
    </row>
    <row r="1537" spans="27:33" x14ac:dyDescent="0.3">
      <c r="AA1537"/>
      <c r="AG1537"/>
    </row>
    <row r="1538" spans="27:33" x14ac:dyDescent="0.3">
      <c r="AA1538"/>
      <c r="AG1538"/>
    </row>
    <row r="1539" spans="27:33" x14ac:dyDescent="0.3">
      <c r="AA1539"/>
      <c r="AG1539"/>
    </row>
    <row r="1540" spans="27:33" x14ac:dyDescent="0.3">
      <c r="AA1540"/>
      <c r="AG1540"/>
    </row>
    <row r="1541" spans="27:33" x14ac:dyDescent="0.3">
      <c r="AA1541"/>
      <c r="AG1541"/>
    </row>
    <row r="1542" spans="27:33" x14ac:dyDescent="0.3">
      <c r="AA1542"/>
      <c r="AG1542"/>
    </row>
    <row r="1543" spans="27:33" x14ac:dyDescent="0.3">
      <c r="AA1543"/>
      <c r="AG1543"/>
    </row>
    <row r="1544" spans="27:33" x14ac:dyDescent="0.3">
      <c r="AA1544"/>
      <c r="AG1544"/>
    </row>
    <row r="1545" spans="27:33" x14ac:dyDescent="0.3">
      <c r="AA1545"/>
      <c r="AG1545"/>
    </row>
    <row r="1546" spans="27:33" x14ac:dyDescent="0.3">
      <c r="AA1546"/>
      <c r="AG1546"/>
    </row>
    <row r="1547" spans="27:33" x14ac:dyDescent="0.3">
      <c r="AA1547"/>
      <c r="AG1547"/>
    </row>
    <row r="1548" spans="27:33" x14ac:dyDescent="0.3">
      <c r="AA1548"/>
      <c r="AG1548"/>
    </row>
    <row r="1549" spans="27:33" x14ac:dyDescent="0.3">
      <c r="AA1549"/>
      <c r="AG1549"/>
    </row>
    <row r="1550" spans="27:33" x14ac:dyDescent="0.3">
      <c r="AA1550"/>
      <c r="AG1550"/>
    </row>
    <row r="1551" spans="27:33" x14ac:dyDescent="0.3">
      <c r="AA1551"/>
      <c r="AG1551"/>
    </row>
    <row r="1552" spans="27:33" x14ac:dyDescent="0.3">
      <c r="AA1552"/>
      <c r="AG1552"/>
    </row>
    <row r="1553" spans="27:33" x14ac:dyDescent="0.3">
      <c r="AA1553"/>
      <c r="AG1553"/>
    </row>
    <row r="1554" spans="27:33" x14ac:dyDescent="0.3">
      <c r="AA1554"/>
      <c r="AG1554"/>
    </row>
    <row r="1555" spans="27:33" x14ac:dyDescent="0.3">
      <c r="AA1555"/>
      <c r="AG1555"/>
    </row>
    <row r="1556" spans="27:33" x14ac:dyDescent="0.3">
      <c r="AA1556"/>
      <c r="AG1556"/>
    </row>
    <row r="1557" spans="27:33" x14ac:dyDescent="0.3">
      <c r="AA1557"/>
      <c r="AG1557"/>
    </row>
    <row r="1558" spans="27:33" x14ac:dyDescent="0.3">
      <c r="AA1558"/>
      <c r="AG1558"/>
    </row>
    <row r="1559" spans="27:33" x14ac:dyDescent="0.3">
      <c r="AA1559"/>
      <c r="AG1559"/>
    </row>
    <row r="1560" spans="27:33" x14ac:dyDescent="0.3">
      <c r="AA1560"/>
      <c r="AG1560"/>
    </row>
    <row r="1561" spans="27:33" x14ac:dyDescent="0.3">
      <c r="AA1561"/>
      <c r="AG1561"/>
    </row>
    <row r="1562" spans="27:33" x14ac:dyDescent="0.3">
      <c r="AA1562"/>
      <c r="AG1562"/>
    </row>
    <row r="1563" spans="27:33" x14ac:dyDescent="0.3">
      <c r="AA1563"/>
      <c r="AG1563"/>
    </row>
    <row r="1564" spans="27:33" x14ac:dyDescent="0.3">
      <c r="AA1564"/>
      <c r="AG1564"/>
    </row>
    <row r="1565" spans="27:33" x14ac:dyDescent="0.3">
      <c r="AA1565"/>
      <c r="AG1565"/>
    </row>
    <row r="1566" spans="27:33" x14ac:dyDescent="0.3">
      <c r="AA1566"/>
      <c r="AG1566"/>
    </row>
    <row r="1567" spans="27:33" x14ac:dyDescent="0.3">
      <c r="AA1567"/>
      <c r="AG1567"/>
    </row>
    <row r="1568" spans="27:33" x14ac:dyDescent="0.3">
      <c r="AA1568"/>
      <c r="AG1568"/>
    </row>
    <row r="1569" spans="27:33" x14ac:dyDescent="0.3">
      <c r="AA1569"/>
      <c r="AG1569"/>
    </row>
    <row r="1570" spans="27:33" x14ac:dyDescent="0.3">
      <c r="AA1570"/>
      <c r="AG1570"/>
    </row>
    <row r="1571" spans="27:33" x14ac:dyDescent="0.3">
      <c r="AA1571"/>
      <c r="AG1571"/>
    </row>
    <row r="1572" spans="27:33" x14ac:dyDescent="0.3">
      <c r="AA1572"/>
      <c r="AG1572"/>
    </row>
    <row r="1573" spans="27:33" x14ac:dyDescent="0.3">
      <c r="AA1573"/>
      <c r="AG1573"/>
    </row>
    <row r="1574" spans="27:33" x14ac:dyDescent="0.3">
      <c r="AA1574"/>
      <c r="AG1574"/>
    </row>
    <row r="1575" spans="27:33" x14ac:dyDescent="0.3">
      <c r="AA1575"/>
      <c r="AG1575"/>
    </row>
    <row r="1576" spans="27:33" x14ac:dyDescent="0.3">
      <c r="AA1576"/>
      <c r="AG1576"/>
    </row>
    <row r="1577" spans="27:33" x14ac:dyDescent="0.3">
      <c r="AA1577"/>
      <c r="AG1577"/>
    </row>
    <row r="1578" spans="27:33" x14ac:dyDescent="0.3">
      <c r="AA1578"/>
      <c r="AG1578"/>
    </row>
    <row r="1579" spans="27:33" x14ac:dyDescent="0.3">
      <c r="AA1579"/>
      <c r="AG1579"/>
    </row>
    <row r="1580" spans="27:33" x14ac:dyDescent="0.3">
      <c r="AA1580"/>
      <c r="AG1580"/>
    </row>
    <row r="1581" spans="27:33" x14ac:dyDescent="0.3">
      <c r="AA1581"/>
      <c r="AG1581"/>
    </row>
    <row r="1582" spans="27:33" x14ac:dyDescent="0.3">
      <c r="AA1582"/>
      <c r="AG1582"/>
    </row>
    <row r="1583" spans="27:33" x14ac:dyDescent="0.3">
      <c r="AA1583"/>
      <c r="AG1583"/>
    </row>
    <row r="1584" spans="27:33" x14ac:dyDescent="0.3">
      <c r="AA1584"/>
      <c r="AG1584"/>
    </row>
    <row r="1585" spans="27:33" x14ac:dyDescent="0.3">
      <c r="AA1585"/>
      <c r="AG1585"/>
    </row>
    <row r="1586" spans="27:33" x14ac:dyDescent="0.3">
      <c r="AA1586"/>
      <c r="AG1586"/>
    </row>
    <row r="1587" spans="27:33" x14ac:dyDescent="0.3">
      <c r="AA1587"/>
      <c r="AG1587"/>
    </row>
    <row r="1588" spans="27:33" x14ac:dyDescent="0.3">
      <c r="AA1588"/>
      <c r="AG1588"/>
    </row>
    <row r="1589" spans="27:33" x14ac:dyDescent="0.3">
      <c r="AA1589"/>
      <c r="AG1589"/>
    </row>
    <row r="1590" spans="27:33" x14ac:dyDescent="0.3">
      <c r="AA1590"/>
      <c r="AG1590"/>
    </row>
    <row r="1591" spans="27:33" x14ac:dyDescent="0.3">
      <c r="AA1591"/>
      <c r="AG1591"/>
    </row>
    <row r="1592" spans="27:33" x14ac:dyDescent="0.3">
      <c r="AA1592"/>
      <c r="AG1592"/>
    </row>
    <row r="1593" spans="27:33" x14ac:dyDescent="0.3">
      <c r="AA1593"/>
      <c r="AG1593"/>
    </row>
    <row r="1594" spans="27:33" x14ac:dyDescent="0.3">
      <c r="AA1594"/>
      <c r="AG1594"/>
    </row>
    <row r="1595" spans="27:33" x14ac:dyDescent="0.3">
      <c r="AA1595"/>
      <c r="AG1595"/>
    </row>
    <row r="1596" spans="27:33" x14ac:dyDescent="0.3">
      <c r="AA1596"/>
      <c r="AG1596"/>
    </row>
    <row r="1597" spans="27:33" x14ac:dyDescent="0.3">
      <c r="AA1597"/>
      <c r="AG1597"/>
    </row>
    <row r="1598" spans="27:33" x14ac:dyDescent="0.3">
      <c r="AA1598"/>
      <c r="AG1598"/>
    </row>
    <row r="1599" spans="27:33" x14ac:dyDescent="0.3">
      <c r="AA1599"/>
      <c r="AG1599"/>
    </row>
    <row r="1600" spans="27:33" x14ac:dyDescent="0.3">
      <c r="AA1600"/>
      <c r="AG1600"/>
    </row>
    <row r="1601" spans="27:33" x14ac:dyDescent="0.3">
      <c r="AA1601"/>
      <c r="AG1601"/>
    </row>
    <row r="1602" spans="27:33" x14ac:dyDescent="0.3">
      <c r="AA1602"/>
      <c r="AG1602"/>
    </row>
    <row r="1603" spans="27:33" x14ac:dyDescent="0.3">
      <c r="AA1603"/>
      <c r="AG1603"/>
    </row>
    <row r="1604" spans="27:33" x14ac:dyDescent="0.3">
      <c r="AA1604"/>
      <c r="AG1604"/>
    </row>
    <row r="1605" spans="27:33" x14ac:dyDescent="0.3">
      <c r="AA1605"/>
      <c r="AG1605"/>
    </row>
    <row r="1606" spans="27:33" x14ac:dyDescent="0.3">
      <c r="AA1606"/>
      <c r="AG1606"/>
    </row>
    <row r="1607" spans="27:33" x14ac:dyDescent="0.3">
      <c r="AA1607"/>
      <c r="AG1607"/>
    </row>
    <row r="1608" spans="27:33" x14ac:dyDescent="0.3">
      <c r="AA1608"/>
      <c r="AG1608"/>
    </row>
    <row r="1609" spans="27:33" x14ac:dyDescent="0.3">
      <c r="AA1609"/>
      <c r="AG1609"/>
    </row>
    <row r="1610" spans="27:33" x14ac:dyDescent="0.3">
      <c r="AA1610"/>
      <c r="AG1610"/>
    </row>
    <row r="1611" spans="27:33" x14ac:dyDescent="0.3">
      <c r="AA1611"/>
      <c r="AG1611"/>
    </row>
    <row r="1612" spans="27:33" x14ac:dyDescent="0.3">
      <c r="AA1612"/>
      <c r="AG1612"/>
    </row>
    <row r="1613" spans="27:33" x14ac:dyDescent="0.3">
      <c r="AA1613"/>
      <c r="AG1613"/>
    </row>
    <row r="1614" spans="27:33" x14ac:dyDescent="0.3">
      <c r="AA1614"/>
      <c r="AG1614"/>
    </row>
    <row r="1615" spans="27:33" x14ac:dyDescent="0.3">
      <c r="AA1615"/>
      <c r="AG1615"/>
    </row>
    <row r="1616" spans="27:33" x14ac:dyDescent="0.3">
      <c r="AA1616"/>
      <c r="AG1616"/>
    </row>
    <row r="1617" spans="27:33" x14ac:dyDescent="0.3">
      <c r="AA1617"/>
      <c r="AG1617"/>
    </row>
    <row r="1618" spans="27:33" x14ac:dyDescent="0.3">
      <c r="AA1618"/>
      <c r="AG1618"/>
    </row>
    <row r="1619" spans="27:33" x14ac:dyDescent="0.3">
      <c r="AA1619"/>
      <c r="AG1619"/>
    </row>
    <row r="1620" spans="27:33" x14ac:dyDescent="0.3">
      <c r="AA1620"/>
      <c r="AG1620"/>
    </row>
    <row r="1621" spans="27:33" x14ac:dyDescent="0.3">
      <c r="AA1621"/>
      <c r="AG1621"/>
    </row>
    <row r="1622" spans="27:33" x14ac:dyDescent="0.3">
      <c r="AA1622"/>
      <c r="AG1622"/>
    </row>
    <row r="1623" spans="27:33" x14ac:dyDescent="0.3">
      <c r="AA1623"/>
      <c r="AG1623"/>
    </row>
    <row r="1624" spans="27:33" x14ac:dyDescent="0.3">
      <c r="AA1624"/>
      <c r="AG1624"/>
    </row>
    <row r="1625" spans="27:33" x14ac:dyDescent="0.3">
      <c r="AA1625"/>
      <c r="AG1625"/>
    </row>
    <row r="1626" spans="27:33" x14ac:dyDescent="0.3">
      <c r="AA1626"/>
      <c r="AG1626"/>
    </row>
    <row r="1627" spans="27:33" x14ac:dyDescent="0.3">
      <c r="AA1627"/>
      <c r="AG1627"/>
    </row>
    <row r="1628" spans="27:33" x14ac:dyDescent="0.3">
      <c r="AA1628"/>
      <c r="AG1628"/>
    </row>
    <row r="1629" spans="27:33" x14ac:dyDescent="0.3">
      <c r="AA1629"/>
      <c r="AG1629"/>
    </row>
    <row r="1630" spans="27:33" x14ac:dyDescent="0.3">
      <c r="AA1630"/>
      <c r="AG1630"/>
    </row>
    <row r="1631" spans="27:33" x14ac:dyDescent="0.3">
      <c r="AA1631"/>
      <c r="AG1631"/>
    </row>
    <row r="1632" spans="27:33" x14ac:dyDescent="0.3">
      <c r="AA1632"/>
      <c r="AG1632"/>
    </row>
    <row r="1633" spans="27:33" x14ac:dyDescent="0.3">
      <c r="AA1633"/>
      <c r="AG1633"/>
    </row>
    <row r="1634" spans="27:33" x14ac:dyDescent="0.3">
      <c r="AA1634"/>
      <c r="AG1634"/>
    </row>
    <row r="1635" spans="27:33" x14ac:dyDescent="0.3">
      <c r="AA1635"/>
      <c r="AG1635"/>
    </row>
    <row r="1636" spans="27:33" x14ac:dyDescent="0.3">
      <c r="AA1636"/>
      <c r="AG1636"/>
    </row>
    <row r="1637" spans="27:33" x14ac:dyDescent="0.3">
      <c r="AA1637"/>
      <c r="AG1637"/>
    </row>
    <row r="1638" spans="27:33" x14ac:dyDescent="0.3">
      <c r="AA1638"/>
      <c r="AG1638"/>
    </row>
    <row r="1639" spans="27:33" x14ac:dyDescent="0.3">
      <c r="AA1639"/>
      <c r="AG1639"/>
    </row>
    <row r="1640" spans="27:33" x14ac:dyDescent="0.3">
      <c r="AA1640"/>
      <c r="AG1640"/>
    </row>
    <row r="1641" spans="27:33" x14ac:dyDescent="0.3">
      <c r="AA1641"/>
      <c r="AG1641"/>
    </row>
    <row r="1642" spans="27:33" x14ac:dyDescent="0.3">
      <c r="AA1642"/>
      <c r="AG1642"/>
    </row>
    <row r="1643" spans="27:33" x14ac:dyDescent="0.3">
      <c r="AA1643"/>
      <c r="AG1643"/>
    </row>
    <row r="1644" spans="27:33" x14ac:dyDescent="0.3">
      <c r="AA1644"/>
      <c r="AG1644"/>
    </row>
    <row r="1645" spans="27:33" x14ac:dyDescent="0.3">
      <c r="AA1645"/>
      <c r="AG1645"/>
    </row>
    <row r="1646" spans="27:33" x14ac:dyDescent="0.3">
      <c r="AA1646"/>
      <c r="AG1646"/>
    </row>
    <row r="1647" spans="27:33" x14ac:dyDescent="0.3">
      <c r="AA1647"/>
      <c r="AG1647"/>
    </row>
    <row r="1648" spans="27:33" x14ac:dyDescent="0.3">
      <c r="AA1648"/>
      <c r="AG1648"/>
    </row>
    <row r="1649" spans="27:33" x14ac:dyDescent="0.3">
      <c r="AA1649"/>
      <c r="AG1649"/>
    </row>
    <row r="1650" spans="27:33" x14ac:dyDescent="0.3">
      <c r="AA1650"/>
      <c r="AG1650"/>
    </row>
    <row r="1651" spans="27:33" x14ac:dyDescent="0.3">
      <c r="AA1651"/>
      <c r="AG1651"/>
    </row>
    <row r="1652" spans="27:33" x14ac:dyDescent="0.3">
      <c r="AA1652"/>
      <c r="AG1652"/>
    </row>
    <row r="1653" spans="27:33" x14ac:dyDescent="0.3">
      <c r="AA1653"/>
      <c r="AG1653"/>
    </row>
    <row r="1654" spans="27:33" x14ac:dyDescent="0.3">
      <c r="AA1654"/>
      <c r="AG1654"/>
    </row>
    <row r="1655" spans="27:33" x14ac:dyDescent="0.3">
      <c r="AA1655"/>
      <c r="AG1655"/>
    </row>
    <row r="1656" spans="27:33" x14ac:dyDescent="0.3">
      <c r="AA1656"/>
      <c r="AG1656"/>
    </row>
    <row r="1657" spans="27:33" x14ac:dyDescent="0.3">
      <c r="AA1657"/>
      <c r="AG1657"/>
    </row>
    <row r="1658" spans="27:33" x14ac:dyDescent="0.3">
      <c r="AA1658"/>
      <c r="AG1658"/>
    </row>
    <row r="1659" spans="27:33" x14ac:dyDescent="0.3">
      <c r="AA1659"/>
      <c r="AG1659"/>
    </row>
    <row r="1660" spans="27:33" x14ac:dyDescent="0.3">
      <c r="AA1660"/>
      <c r="AG1660"/>
    </row>
    <row r="1661" spans="27:33" x14ac:dyDescent="0.3">
      <c r="AA1661"/>
      <c r="AG1661"/>
    </row>
    <row r="1662" spans="27:33" x14ac:dyDescent="0.3">
      <c r="AA1662"/>
      <c r="AG1662"/>
    </row>
    <row r="1663" spans="27:33" x14ac:dyDescent="0.3">
      <c r="AA1663"/>
      <c r="AG1663"/>
    </row>
    <row r="1664" spans="27:33" x14ac:dyDescent="0.3">
      <c r="AA1664"/>
      <c r="AG1664"/>
    </row>
    <row r="1665" spans="27:33" x14ac:dyDescent="0.3">
      <c r="AA1665"/>
      <c r="AG1665"/>
    </row>
    <row r="1666" spans="27:33" x14ac:dyDescent="0.3">
      <c r="AA1666"/>
      <c r="AG1666"/>
    </row>
    <row r="1667" spans="27:33" x14ac:dyDescent="0.3">
      <c r="AA1667"/>
      <c r="AG1667"/>
    </row>
    <row r="1668" spans="27:33" x14ac:dyDescent="0.3">
      <c r="AA1668"/>
      <c r="AG1668"/>
    </row>
    <row r="1669" spans="27:33" x14ac:dyDescent="0.3">
      <c r="AA1669"/>
      <c r="AG1669"/>
    </row>
    <row r="1670" spans="27:33" x14ac:dyDescent="0.3">
      <c r="AA1670"/>
      <c r="AG1670"/>
    </row>
    <row r="1671" spans="27:33" x14ac:dyDescent="0.3">
      <c r="AA1671"/>
      <c r="AG1671"/>
    </row>
    <row r="1672" spans="27:33" x14ac:dyDescent="0.3">
      <c r="AA1672"/>
      <c r="AG1672"/>
    </row>
    <row r="1673" spans="27:33" x14ac:dyDescent="0.3">
      <c r="AA1673"/>
      <c r="AG1673"/>
    </row>
    <row r="1674" spans="27:33" x14ac:dyDescent="0.3">
      <c r="AA1674"/>
      <c r="AG1674"/>
    </row>
    <row r="1675" spans="27:33" x14ac:dyDescent="0.3">
      <c r="AA1675"/>
      <c r="AG1675"/>
    </row>
    <row r="1676" spans="27:33" x14ac:dyDescent="0.3">
      <c r="AA1676"/>
      <c r="AG1676"/>
    </row>
    <row r="1677" spans="27:33" x14ac:dyDescent="0.3">
      <c r="AA1677"/>
      <c r="AG1677"/>
    </row>
    <row r="1678" spans="27:33" x14ac:dyDescent="0.3">
      <c r="AA1678"/>
      <c r="AG1678"/>
    </row>
    <row r="1679" spans="27:33" x14ac:dyDescent="0.3">
      <c r="AA1679"/>
      <c r="AG1679"/>
    </row>
    <row r="1680" spans="27:33" x14ac:dyDescent="0.3">
      <c r="AA1680"/>
      <c r="AG1680"/>
    </row>
    <row r="1681" spans="27:33" x14ac:dyDescent="0.3">
      <c r="AA1681"/>
      <c r="AG1681"/>
    </row>
    <row r="1682" spans="27:33" x14ac:dyDescent="0.3">
      <c r="AA1682"/>
      <c r="AG1682"/>
    </row>
    <row r="1683" spans="27:33" x14ac:dyDescent="0.3">
      <c r="AA1683"/>
      <c r="AG1683"/>
    </row>
    <row r="1684" spans="27:33" x14ac:dyDescent="0.3">
      <c r="AA1684"/>
      <c r="AG1684"/>
    </row>
    <row r="1685" spans="27:33" x14ac:dyDescent="0.3">
      <c r="AA1685"/>
      <c r="AG1685"/>
    </row>
    <row r="1686" spans="27:33" x14ac:dyDescent="0.3">
      <c r="AA1686"/>
      <c r="AG1686"/>
    </row>
    <row r="1687" spans="27:33" x14ac:dyDescent="0.3">
      <c r="AA1687"/>
      <c r="AG1687"/>
    </row>
    <row r="1688" spans="27:33" x14ac:dyDescent="0.3">
      <c r="AA1688"/>
      <c r="AG1688"/>
    </row>
    <row r="1689" spans="27:33" x14ac:dyDescent="0.3">
      <c r="AA1689"/>
      <c r="AG1689"/>
    </row>
    <row r="1690" spans="27:33" x14ac:dyDescent="0.3">
      <c r="AA1690"/>
      <c r="AG1690"/>
    </row>
    <row r="1691" spans="27:33" x14ac:dyDescent="0.3">
      <c r="AA1691"/>
      <c r="AG1691"/>
    </row>
    <row r="1692" spans="27:33" x14ac:dyDescent="0.3">
      <c r="AA1692"/>
      <c r="AG1692"/>
    </row>
    <row r="1693" spans="27:33" x14ac:dyDescent="0.3">
      <c r="AA1693"/>
      <c r="AG1693"/>
    </row>
    <row r="1694" spans="27:33" x14ac:dyDescent="0.3">
      <c r="AA1694"/>
      <c r="AG1694"/>
    </row>
    <row r="1695" spans="27:33" x14ac:dyDescent="0.3">
      <c r="AA1695"/>
      <c r="AG1695"/>
    </row>
    <row r="1696" spans="27:33" x14ac:dyDescent="0.3">
      <c r="AA1696"/>
      <c r="AG1696"/>
    </row>
    <row r="1697" spans="27:33" x14ac:dyDescent="0.3">
      <c r="AA1697"/>
      <c r="AG1697"/>
    </row>
    <row r="1698" spans="27:33" x14ac:dyDescent="0.3">
      <c r="AA1698"/>
      <c r="AG1698"/>
    </row>
    <row r="1699" spans="27:33" x14ac:dyDescent="0.3">
      <c r="AA1699"/>
      <c r="AG1699"/>
    </row>
    <row r="1700" spans="27:33" x14ac:dyDescent="0.3">
      <c r="AA1700"/>
      <c r="AG1700"/>
    </row>
    <row r="1701" spans="27:33" x14ac:dyDescent="0.3">
      <c r="AA1701"/>
      <c r="AG1701"/>
    </row>
    <row r="1702" spans="27:33" x14ac:dyDescent="0.3">
      <c r="AA1702"/>
      <c r="AG1702"/>
    </row>
    <row r="1703" spans="27:33" x14ac:dyDescent="0.3">
      <c r="AA1703"/>
      <c r="AG1703"/>
    </row>
    <row r="1704" spans="27:33" x14ac:dyDescent="0.3">
      <c r="AA1704"/>
      <c r="AG1704"/>
    </row>
    <row r="1705" spans="27:33" x14ac:dyDescent="0.3">
      <c r="AA1705"/>
      <c r="AG1705"/>
    </row>
    <row r="1706" spans="27:33" x14ac:dyDescent="0.3">
      <c r="AA1706"/>
      <c r="AG1706"/>
    </row>
    <row r="1707" spans="27:33" x14ac:dyDescent="0.3">
      <c r="AA1707"/>
      <c r="AG1707"/>
    </row>
    <row r="1708" spans="27:33" x14ac:dyDescent="0.3">
      <c r="AA1708"/>
      <c r="AG1708"/>
    </row>
    <row r="1709" spans="27:33" x14ac:dyDescent="0.3">
      <c r="AA1709"/>
      <c r="AG1709"/>
    </row>
    <row r="1710" spans="27:33" x14ac:dyDescent="0.3">
      <c r="AA1710"/>
      <c r="AG1710"/>
    </row>
    <row r="1711" spans="27:33" x14ac:dyDescent="0.3">
      <c r="AA1711"/>
      <c r="AG1711"/>
    </row>
    <row r="1712" spans="27:33" x14ac:dyDescent="0.3">
      <c r="AA1712"/>
      <c r="AG1712"/>
    </row>
    <row r="1713" spans="27:33" x14ac:dyDescent="0.3">
      <c r="AA1713"/>
      <c r="AG1713"/>
    </row>
    <row r="1714" spans="27:33" x14ac:dyDescent="0.3">
      <c r="AA1714"/>
      <c r="AG1714"/>
    </row>
    <row r="1715" spans="27:33" x14ac:dyDescent="0.3">
      <c r="AA1715"/>
      <c r="AG1715"/>
    </row>
    <row r="1716" spans="27:33" x14ac:dyDescent="0.3">
      <c r="AA1716"/>
      <c r="AG1716"/>
    </row>
    <row r="1717" spans="27:33" x14ac:dyDescent="0.3">
      <c r="AA1717"/>
      <c r="AG1717"/>
    </row>
    <row r="1718" spans="27:33" x14ac:dyDescent="0.3">
      <c r="AA1718"/>
      <c r="AG1718"/>
    </row>
    <row r="1719" spans="27:33" x14ac:dyDescent="0.3">
      <c r="AA1719"/>
      <c r="AG1719"/>
    </row>
    <row r="1720" spans="27:33" x14ac:dyDescent="0.3">
      <c r="AA1720"/>
      <c r="AG1720"/>
    </row>
    <row r="1721" spans="27:33" x14ac:dyDescent="0.3">
      <c r="AA1721"/>
      <c r="AG1721"/>
    </row>
    <row r="1722" spans="27:33" x14ac:dyDescent="0.3">
      <c r="AA1722"/>
      <c r="AG1722"/>
    </row>
    <row r="1723" spans="27:33" x14ac:dyDescent="0.3">
      <c r="AA1723"/>
      <c r="AG1723"/>
    </row>
    <row r="1724" spans="27:33" x14ac:dyDescent="0.3">
      <c r="AA1724"/>
      <c r="AG1724"/>
    </row>
    <row r="1725" spans="27:33" x14ac:dyDescent="0.3">
      <c r="AA1725"/>
      <c r="AG1725"/>
    </row>
    <row r="1726" spans="27:33" x14ac:dyDescent="0.3">
      <c r="AA1726"/>
      <c r="AG1726"/>
    </row>
    <row r="1727" spans="27:33" x14ac:dyDescent="0.3">
      <c r="AA1727"/>
      <c r="AG1727"/>
    </row>
    <row r="1728" spans="27:33" x14ac:dyDescent="0.3">
      <c r="AA1728"/>
      <c r="AG1728"/>
    </row>
    <row r="1729" spans="27:33" x14ac:dyDescent="0.3">
      <c r="AA1729"/>
      <c r="AG1729"/>
    </row>
    <row r="1730" spans="27:33" x14ac:dyDescent="0.3">
      <c r="AA1730"/>
      <c r="AG1730"/>
    </row>
    <row r="1731" spans="27:33" x14ac:dyDescent="0.3">
      <c r="AA1731"/>
      <c r="AG1731"/>
    </row>
    <row r="1732" spans="27:33" x14ac:dyDescent="0.3">
      <c r="AA1732"/>
      <c r="AG1732"/>
    </row>
    <row r="1733" spans="27:33" x14ac:dyDescent="0.3">
      <c r="AA1733"/>
      <c r="AG1733"/>
    </row>
    <row r="1734" spans="27:33" x14ac:dyDescent="0.3">
      <c r="AA1734"/>
      <c r="AG1734"/>
    </row>
    <row r="1735" spans="27:33" x14ac:dyDescent="0.3">
      <c r="AA1735"/>
      <c r="AG1735"/>
    </row>
    <row r="1736" spans="27:33" x14ac:dyDescent="0.3">
      <c r="AA1736"/>
      <c r="AG1736"/>
    </row>
    <row r="1737" spans="27:33" x14ac:dyDescent="0.3">
      <c r="AA1737"/>
      <c r="AG1737"/>
    </row>
    <row r="1738" spans="27:33" x14ac:dyDescent="0.3">
      <c r="AA1738"/>
      <c r="AG1738"/>
    </row>
    <row r="1739" spans="27:33" x14ac:dyDescent="0.3">
      <c r="AA1739"/>
      <c r="AG1739"/>
    </row>
    <row r="1740" spans="27:33" x14ac:dyDescent="0.3">
      <c r="AA1740"/>
      <c r="AG1740"/>
    </row>
    <row r="1741" spans="27:33" x14ac:dyDescent="0.3">
      <c r="AA1741"/>
      <c r="AG1741"/>
    </row>
    <row r="1742" spans="27:33" x14ac:dyDescent="0.3">
      <c r="AA1742"/>
      <c r="AG1742"/>
    </row>
    <row r="1743" spans="27:33" x14ac:dyDescent="0.3">
      <c r="AA1743"/>
      <c r="AG1743"/>
    </row>
    <row r="1744" spans="27:33" x14ac:dyDescent="0.3">
      <c r="AA1744"/>
      <c r="AG1744"/>
    </row>
    <row r="1745" spans="27:33" x14ac:dyDescent="0.3">
      <c r="AA1745"/>
      <c r="AG1745"/>
    </row>
    <row r="1746" spans="27:33" x14ac:dyDescent="0.3">
      <c r="AA1746"/>
      <c r="AG1746"/>
    </row>
    <row r="1747" spans="27:33" x14ac:dyDescent="0.3">
      <c r="AA1747"/>
      <c r="AG1747"/>
    </row>
    <row r="1748" spans="27:33" x14ac:dyDescent="0.3">
      <c r="AA1748"/>
      <c r="AG1748"/>
    </row>
    <row r="1749" spans="27:33" x14ac:dyDescent="0.3">
      <c r="AA1749"/>
      <c r="AG1749"/>
    </row>
    <row r="1750" spans="27:33" x14ac:dyDescent="0.3">
      <c r="AA1750"/>
      <c r="AG1750"/>
    </row>
    <row r="1751" spans="27:33" x14ac:dyDescent="0.3">
      <c r="AA1751"/>
      <c r="AG1751"/>
    </row>
    <row r="1752" spans="27:33" x14ac:dyDescent="0.3">
      <c r="AA1752"/>
      <c r="AG1752"/>
    </row>
    <row r="1753" spans="27:33" x14ac:dyDescent="0.3">
      <c r="AA1753"/>
      <c r="AG1753"/>
    </row>
    <row r="1754" spans="27:33" x14ac:dyDescent="0.3">
      <c r="AA1754"/>
      <c r="AG1754"/>
    </row>
    <row r="1755" spans="27:33" x14ac:dyDescent="0.3">
      <c r="AA1755"/>
      <c r="AG1755"/>
    </row>
    <row r="1756" spans="27:33" x14ac:dyDescent="0.3">
      <c r="AA1756"/>
      <c r="AG1756"/>
    </row>
    <row r="1757" spans="27:33" x14ac:dyDescent="0.3">
      <c r="AA1757"/>
      <c r="AG1757"/>
    </row>
    <row r="1758" spans="27:33" x14ac:dyDescent="0.3">
      <c r="AA1758"/>
      <c r="AG1758"/>
    </row>
    <row r="1759" spans="27:33" x14ac:dyDescent="0.3">
      <c r="AA1759"/>
      <c r="AG1759"/>
    </row>
    <row r="1760" spans="27:33" x14ac:dyDescent="0.3">
      <c r="AA1760"/>
      <c r="AG1760"/>
    </row>
    <row r="1761" spans="27:33" x14ac:dyDescent="0.3">
      <c r="AA1761"/>
      <c r="AG1761"/>
    </row>
    <row r="1762" spans="27:33" x14ac:dyDescent="0.3">
      <c r="AA1762"/>
      <c r="AG1762"/>
    </row>
    <row r="1763" spans="27:33" x14ac:dyDescent="0.3">
      <c r="AA1763"/>
      <c r="AG1763"/>
    </row>
    <row r="1764" spans="27:33" x14ac:dyDescent="0.3">
      <c r="AA1764"/>
      <c r="AG1764"/>
    </row>
    <row r="1765" spans="27:33" x14ac:dyDescent="0.3">
      <c r="AA1765"/>
      <c r="AG1765"/>
    </row>
    <row r="1766" spans="27:33" x14ac:dyDescent="0.3">
      <c r="AA1766"/>
      <c r="AG1766"/>
    </row>
    <row r="1767" spans="27:33" x14ac:dyDescent="0.3">
      <c r="AA1767"/>
      <c r="AG1767"/>
    </row>
    <row r="1768" spans="27:33" x14ac:dyDescent="0.3">
      <c r="AA1768"/>
      <c r="AG1768"/>
    </row>
    <row r="1769" spans="27:33" x14ac:dyDescent="0.3">
      <c r="AA1769"/>
      <c r="AG1769"/>
    </row>
    <row r="1770" spans="27:33" x14ac:dyDescent="0.3">
      <c r="AA1770"/>
      <c r="AG1770"/>
    </row>
    <row r="1771" spans="27:33" x14ac:dyDescent="0.3">
      <c r="AA1771"/>
      <c r="AG1771"/>
    </row>
    <row r="1772" spans="27:33" x14ac:dyDescent="0.3">
      <c r="AA1772"/>
      <c r="AG1772"/>
    </row>
    <row r="1773" spans="27:33" x14ac:dyDescent="0.3">
      <c r="AA1773"/>
      <c r="AG1773"/>
    </row>
    <row r="1774" spans="27:33" x14ac:dyDescent="0.3">
      <c r="AA1774"/>
      <c r="AG1774"/>
    </row>
    <row r="1775" spans="27:33" x14ac:dyDescent="0.3">
      <c r="AA1775"/>
      <c r="AG1775"/>
    </row>
    <row r="1776" spans="27:33" x14ac:dyDescent="0.3">
      <c r="AA1776"/>
      <c r="AG1776"/>
    </row>
    <row r="1777" spans="27:33" x14ac:dyDescent="0.3">
      <c r="AA1777"/>
      <c r="AG1777"/>
    </row>
    <row r="1778" spans="27:33" x14ac:dyDescent="0.3">
      <c r="AA1778"/>
      <c r="AG1778"/>
    </row>
    <row r="1779" spans="27:33" x14ac:dyDescent="0.3">
      <c r="AA1779"/>
      <c r="AG1779"/>
    </row>
    <row r="1780" spans="27:33" x14ac:dyDescent="0.3">
      <c r="AA1780"/>
      <c r="AG1780"/>
    </row>
    <row r="1781" spans="27:33" x14ac:dyDescent="0.3">
      <c r="AA1781"/>
      <c r="AG1781"/>
    </row>
    <row r="1782" spans="27:33" x14ac:dyDescent="0.3">
      <c r="AA1782"/>
      <c r="AG1782"/>
    </row>
    <row r="1783" spans="27:33" x14ac:dyDescent="0.3">
      <c r="AA1783"/>
      <c r="AG1783"/>
    </row>
    <row r="1784" spans="27:33" x14ac:dyDescent="0.3">
      <c r="AA1784"/>
      <c r="AG1784"/>
    </row>
    <row r="1785" spans="27:33" x14ac:dyDescent="0.3">
      <c r="AA1785"/>
      <c r="AG1785"/>
    </row>
    <row r="1786" spans="27:33" x14ac:dyDescent="0.3">
      <c r="AA1786"/>
      <c r="AG1786"/>
    </row>
    <row r="1787" spans="27:33" x14ac:dyDescent="0.3">
      <c r="AA1787"/>
      <c r="AG1787"/>
    </row>
    <row r="1788" spans="27:33" x14ac:dyDescent="0.3">
      <c r="AA1788"/>
      <c r="AG1788"/>
    </row>
    <row r="1789" spans="27:33" x14ac:dyDescent="0.3">
      <c r="AA1789"/>
      <c r="AG1789"/>
    </row>
    <row r="1790" spans="27:33" x14ac:dyDescent="0.3">
      <c r="AA1790"/>
      <c r="AG1790"/>
    </row>
    <row r="1791" spans="27:33" x14ac:dyDescent="0.3">
      <c r="AA1791"/>
      <c r="AG1791"/>
    </row>
    <row r="1792" spans="27:33" x14ac:dyDescent="0.3">
      <c r="AA1792"/>
      <c r="AG1792"/>
    </row>
    <row r="1793" spans="27:33" x14ac:dyDescent="0.3">
      <c r="AA1793"/>
      <c r="AG1793"/>
    </row>
    <row r="1794" spans="27:33" x14ac:dyDescent="0.3">
      <c r="AA1794"/>
      <c r="AG1794"/>
    </row>
    <row r="1795" spans="27:33" x14ac:dyDescent="0.3">
      <c r="AA1795"/>
      <c r="AG1795"/>
    </row>
    <row r="1796" spans="27:33" x14ac:dyDescent="0.3">
      <c r="AA1796"/>
      <c r="AG1796"/>
    </row>
    <row r="1797" spans="27:33" x14ac:dyDescent="0.3">
      <c r="AA1797"/>
      <c r="AG1797"/>
    </row>
    <row r="1798" spans="27:33" x14ac:dyDescent="0.3">
      <c r="AA1798"/>
      <c r="AG1798"/>
    </row>
    <row r="1799" spans="27:33" x14ac:dyDescent="0.3">
      <c r="AA1799"/>
      <c r="AG1799"/>
    </row>
    <row r="1800" spans="27:33" x14ac:dyDescent="0.3">
      <c r="AA1800"/>
      <c r="AG1800"/>
    </row>
    <row r="1801" spans="27:33" x14ac:dyDescent="0.3">
      <c r="AA1801"/>
      <c r="AG1801"/>
    </row>
    <row r="1802" spans="27:33" x14ac:dyDescent="0.3">
      <c r="AA1802"/>
      <c r="AG1802"/>
    </row>
    <row r="1803" spans="27:33" x14ac:dyDescent="0.3">
      <c r="AA1803"/>
      <c r="AG1803"/>
    </row>
    <row r="1804" spans="27:33" x14ac:dyDescent="0.3">
      <c r="AA1804"/>
      <c r="AG1804"/>
    </row>
    <row r="1805" spans="27:33" x14ac:dyDescent="0.3">
      <c r="AA1805"/>
      <c r="AG1805"/>
    </row>
    <row r="1806" spans="27:33" x14ac:dyDescent="0.3">
      <c r="AA1806"/>
      <c r="AG1806"/>
    </row>
    <row r="1807" spans="27:33" x14ac:dyDescent="0.3">
      <c r="AA1807"/>
      <c r="AG1807"/>
    </row>
    <row r="1808" spans="27:33" x14ac:dyDescent="0.3">
      <c r="AA1808"/>
      <c r="AG1808"/>
    </row>
    <row r="1809" spans="27:33" x14ac:dyDescent="0.3">
      <c r="AA1809"/>
      <c r="AG1809"/>
    </row>
    <row r="1810" spans="27:33" x14ac:dyDescent="0.3">
      <c r="AA1810"/>
      <c r="AG1810"/>
    </row>
    <row r="1811" spans="27:33" x14ac:dyDescent="0.3">
      <c r="AA1811"/>
      <c r="AG1811"/>
    </row>
    <row r="1812" spans="27:33" x14ac:dyDescent="0.3">
      <c r="AA1812"/>
      <c r="AG1812"/>
    </row>
    <row r="1813" spans="27:33" x14ac:dyDescent="0.3">
      <c r="AA1813"/>
      <c r="AG1813"/>
    </row>
    <row r="1814" spans="27:33" x14ac:dyDescent="0.3">
      <c r="AA1814"/>
      <c r="AG1814"/>
    </row>
    <row r="1815" spans="27:33" x14ac:dyDescent="0.3">
      <c r="AA1815"/>
      <c r="AG1815"/>
    </row>
    <row r="1816" spans="27:33" x14ac:dyDescent="0.3">
      <c r="AA1816"/>
      <c r="AG1816"/>
    </row>
    <row r="1817" spans="27:33" x14ac:dyDescent="0.3">
      <c r="AA1817"/>
      <c r="AG1817"/>
    </row>
    <row r="1818" spans="27:33" x14ac:dyDescent="0.3">
      <c r="AA1818"/>
      <c r="AG1818"/>
    </row>
    <row r="1819" spans="27:33" x14ac:dyDescent="0.3">
      <c r="AA1819"/>
      <c r="AG1819"/>
    </row>
    <row r="1820" spans="27:33" x14ac:dyDescent="0.3">
      <c r="AA1820"/>
      <c r="AG1820"/>
    </row>
    <row r="1821" spans="27:33" x14ac:dyDescent="0.3">
      <c r="AA1821"/>
      <c r="AG1821"/>
    </row>
    <row r="1822" spans="27:33" x14ac:dyDescent="0.3">
      <c r="AA1822"/>
      <c r="AG1822"/>
    </row>
    <row r="1823" spans="27:33" x14ac:dyDescent="0.3">
      <c r="AA1823"/>
      <c r="AG1823"/>
    </row>
    <row r="1824" spans="27:33" x14ac:dyDescent="0.3">
      <c r="AA1824"/>
      <c r="AG1824"/>
    </row>
    <row r="1825" spans="27:33" x14ac:dyDescent="0.3">
      <c r="AA1825"/>
      <c r="AG1825"/>
    </row>
    <row r="1826" spans="27:33" x14ac:dyDescent="0.3">
      <c r="AA1826"/>
      <c r="AG1826"/>
    </row>
    <row r="1827" spans="27:33" x14ac:dyDescent="0.3">
      <c r="AA1827"/>
      <c r="AG1827"/>
    </row>
    <row r="1828" spans="27:33" x14ac:dyDescent="0.3">
      <c r="AA1828"/>
      <c r="AG1828"/>
    </row>
    <row r="1829" spans="27:33" x14ac:dyDescent="0.3">
      <c r="AA1829"/>
      <c r="AG1829"/>
    </row>
    <row r="1830" spans="27:33" x14ac:dyDescent="0.3">
      <c r="AA1830"/>
      <c r="AG1830"/>
    </row>
    <row r="1831" spans="27:33" x14ac:dyDescent="0.3">
      <c r="AA1831"/>
      <c r="AG1831"/>
    </row>
    <row r="1832" spans="27:33" x14ac:dyDescent="0.3">
      <c r="AA1832"/>
      <c r="AG1832"/>
    </row>
    <row r="1833" spans="27:33" x14ac:dyDescent="0.3">
      <c r="AA1833"/>
      <c r="AG1833"/>
    </row>
    <row r="1834" spans="27:33" x14ac:dyDescent="0.3">
      <c r="AA1834"/>
      <c r="AG1834"/>
    </row>
    <row r="1835" spans="27:33" x14ac:dyDescent="0.3">
      <c r="AA1835"/>
      <c r="AG1835"/>
    </row>
    <row r="1836" spans="27:33" x14ac:dyDescent="0.3">
      <c r="AA1836"/>
      <c r="AG1836"/>
    </row>
    <row r="1837" spans="27:33" x14ac:dyDescent="0.3">
      <c r="AA1837"/>
      <c r="AG1837"/>
    </row>
    <row r="1838" spans="27:33" x14ac:dyDescent="0.3">
      <c r="AA1838"/>
      <c r="AG1838"/>
    </row>
    <row r="1839" spans="27:33" x14ac:dyDescent="0.3">
      <c r="AA1839"/>
      <c r="AG1839"/>
    </row>
    <row r="1840" spans="27:33" x14ac:dyDescent="0.3">
      <c r="AA1840"/>
      <c r="AG1840"/>
    </row>
    <row r="1841" spans="27:33" x14ac:dyDescent="0.3">
      <c r="AA1841"/>
      <c r="AG1841"/>
    </row>
    <row r="1842" spans="27:33" x14ac:dyDescent="0.3">
      <c r="AA1842"/>
      <c r="AG1842"/>
    </row>
    <row r="1843" spans="27:33" x14ac:dyDescent="0.3">
      <c r="AA1843"/>
      <c r="AG1843"/>
    </row>
    <row r="1844" spans="27:33" x14ac:dyDescent="0.3">
      <c r="AA1844"/>
      <c r="AG1844"/>
    </row>
    <row r="1845" spans="27:33" x14ac:dyDescent="0.3">
      <c r="AA1845"/>
      <c r="AG1845"/>
    </row>
    <row r="1846" spans="27:33" x14ac:dyDescent="0.3">
      <c r="AA1846"/>
      <c r="AG1846"/>
    </row>
    <row r="1847" spans="27:33" x14ac:dyDescent="0.3">
      <c r="AA1847"/>
      <c r="AG1847"/>
    </row>
    <row r="1848" spans="27:33" x14ac:dyDescent="0.3">
      <c r="AA1848"/>
      <c r="AG1848"/>
    </row>
    <row r="1849" spans="27:33" x14ac:dyDescent="0.3">
      <c r="AA1849"/>
      <c r="AG1849"/>
    </row>
    <row r="1850" spans="27:33" x14ac:dyDescent="0.3">
      <c r="AA1850"/>
      <c r="AG1850"/>
    </row>
    <row r="1851" spans="27:33" x14ac:dyDescent="0.3">
      <c r="AA1851"/>
      <c r="AG1851"/>
    </row>
    <row r="1852" spans="27:33" x14ac:dyDescent="0.3">
      <c r="AA1852"/>
      <c r="AG1852"/>
    </row>
    <row r="1853" spans="27:33" x14ac:dyDescent="0.3">
      <c r="AA1853"/>
      <c r="AG1853"/>
    </row>
    <row r="1854" spans="27:33" x14ac:dyDescent="0.3">
      <c r="AA1854"/>
      <c r="AG1854"/>
    </row>
    <row r="1855" spans="27:33" x14ac:dyDescent="0.3">
      <c r="AA1855"/>
      <c r="AG1855"/>
    </row>
    <row r="1856" spans="27:33" x14ac:dyDescent="0.3">
      <c r="AA1856"/>
      <c r="AG1856"/>
    </row>
    <row r="1857" spans="27:33" x14ac:dyDescent="0.3">
      <c r="AA1857"/>
      <c r="AG1857"/>
    </row>
    <row r="1858" spans="27:33" x14ac:dyDescent="0.3">
      <c r="AA1858"/>
      <c r="AG1858"/>
    </row>
    <row r="1859" spans="27:33" x14ac:dyDescent="0.3">
      <c r="AA1859"/>
      <c r="AG1859"/>
    </row>
    <row r="1860" spans="27:33" x14ac:dyDescent="0.3">
      <c r="AA1860"/>
      <c r="AG1860"/>
    </row>
    <row r="1861" spans="27:33" x14ac:dyDescent="0.3">
      <c r="AA1861"/>
      <c r="AG1861"/>
    </row>
    <row r="1862" spans="27:33" x14ac:dyDescent="0.3">
      <c r="AA1862"/>
      <c r="AG1862"/>
    </row>
    <row r="1863" spans="27:33" x14ac:dyDescent="0.3">
      <c r="AA1863"/>
      <c r="AG1863"/>
    </row>
    <row r="1864" spans="27:33" x14ac:dyDescent="0.3">
      <c r="AA1864"/>
      <c r="AG1864"/>
    </row>
    <row r="1865" spans="27:33" x14ac:dyDescent="0.3">
      <c r="AA1865"/>
      <c r="AG1865"/>
    </row>
    <row r="1866" spans="27:33" x14ac:dyDescent="0.3">
      <c r="AA1866"/>
      <c r="AG1866"/>
    </row>
    <row r="1867" spans="27:33" x14ac:dyDescent="0.3">
      <c r="AA1867"/>
      <c r="AG1867"/>
    </row>
    <row r="1868" spans="27:33" x14ac:dyDescent="0.3">
      <c r="AA1868"/>
      <c r="AG1868"/>
    </row>
    <row r="1869" spans="27:33" x14ac:dyDescent="0.3">
      <c r="AA1869"/>
      <c r="AG1869"/>
    </row>
    <row r="1870" spans="27:33" x14ac:dyDescent="0.3">
      <c r="AA1870"/>
      <c r="AG1870"/>
    </row>
    <row r="1871" spans="27:33" x14ac:dyDescent="0.3">
      <c r="AA1871"/>
      <c r="AG1871"/>
    </row>
    <row r="1872" spans="27:33" x14ac:dyDescent="0.3">
      <c r="AA1872"/>
      <c r="AG1872"/>
    </row>
    <row r="1873" spans="27:33" x14ac:dyDescent="0.3">
      <c r="AA1873"/>
      <c r="AG1873"/>
    </row>
    <row r="1874" spans="27:33" x14ac:dyDescent="0.3">
      <c r="AA1874"/>
      <c r="AG1874"/>
    </row>
    <row r="1875" spans="27:33" x14ac:dyDescent="0.3">
      <c r="AA1875"/>
      <c r="AG1875"/>
    </row>
    <row r="1876" spans="27:33" x14ac:dyDescent="0.3">
      <c r="AA1876"/>
      <c r="AG1876"/>
    </row>
    <row r="1877" spans="27:33" x14ac:dyDescent="0.3">
      <c r="AA1877"/>
      <c r="AG1877"/>
    </row>
    <row r="1878" spans="27:33" x14ac:dyDescent="0.3">
      <c r="AA1878"/>
      <c r="AG1878"/>
    </row>
    <row r="1879" spans="27:33" x14ac:dyDescent="0.3">
      <c r="AA1879"/>
      <c r="AG1879"/>
    </row>
    <row r="1880" spans="27:33" x14ac:dyDescent="0.3">
      <c r="AA1880"/>
      <c r="AG1880"/>
    </row>
    <row r="1881" spans="27:33" x14ac:dyDescent="0.3">
      <c r="AA1881"/>
      <c r="AG1881"/>
    </row>
    <row r="1882" spans="27:33" x14ac:dyDescent="0.3">
      <c r="AA1882"/>
      <c r="AG1882"/>
    </row>
    <row r="1883" spans="27:33" x14ac:dyDescent="0.3">
      <c r="AA1883"/>
      <c r="AG1883"/>
    </row>
    <row r="1884" spans="27:33" x14ac:dyDescent="0.3">
      <c r="AA1884"/>
      <c r="AG1884"/>
    </row>
    <row r="1885" spans="27:33" x14ac:dyDescent="0.3">
      <c r="AA1885"/>
      <c r="AG1885"/>
    </row>
    <row r="1886" spans="27:33" x14ac:dyDescent="0.3">
      <c r="AA1886"/>
      <c r="AG1886"/>
    </row>
    <row r="1887" spans="27:33" x14ac:dyDescent="0.3">
      <c r="AA1887"/>
      <c r="AG1887"/>
    </row>
    <row r="1888" spans="27:33" x14ac:dyDescent="0.3">
      <c r="AA1888"/>
      <c r="AG1888"/>
    </row>
    <row r="1889" spans="27:33" x14ac:dyDescent="0.3">
      <c r="AA1889"/>
      <c r="AG1889"/>
    </row>
    <row r="1890" spans="27:33" x14ac:dyDescent="0.3">
      <c r="AA1890"/>
      <c r="AG1890"/>
    </row>
    <row r="1891" spans="27:33" x14ac:dyDescent="0.3">
      <c r="AA1891"/>
      <c r="AG1891"/>
    </row>
    <row r="1892" spans="27:33" x14ac:dyDescent="0.3">
      <c r="AA1892"/>
      <c r="AG1892"/>
    </row>
    <row r="1893" spans="27:33" x14ac:dyDescent="0.3">
      <c r="AA1893"/>
      <c r="AG1893"/>
    </row>
    <row r="1894" spans="27:33" x14ac:dyDescent="0.3">
      <c r="AA1894"/>
      <c r="AG1894"/>
    </row>
    <row r="1895" spans="27:33" x14ac:dyDescent="0.3">
      <c r="AA1895"/>
      <c r="AG1895"/>
    </row>
    <row r="1896" spans="27:33" x14ac:dyDescent="0.3">
      <c r="AA1896"/>
      <c r="AG1896"/>
    </row>
    <row r="1897" spans="27:33" x14ac:dyDescent="0.3">
      <c r="AA1897"/>
      <c r="AG1897"/>
    </row>
    <row r="1898" spans="27:33" x14ac:dyDescent="0.3">
      <c r="AA1898"/>
      <c r="AG1898"/>
    </row>
    <row r="1899" spans="27:33" x14ac:dyDescent="0.3">
      <c r="AA1899"/>
      <c r="AG1899"/>
    </row>
    <row r="1900" spans="27:33" x14ac:dyDescent="0.3">
      <c r="AA1900"/>
      <c r="AG1900"/>
    </row>
    <row r="1901" spans="27:33" x14ac:dyDescent="0.3">
      <c r="AA1901"/>
      <c r="AG1901"/>
    </row>
    <row r="1902" spans="27:33" x14ac:dyDescent="0.3">
      <c r="AA1902"/>
      <c r="AG1902"/>
    </row>
    <row r="1903" spans="27:33" x14ac:dyDescent="0.3">
      <c r="AA1903"/>
      <c r="AG1903"/>
    </row>
    <row r="1904" spans="27:33" x14ac:dyDescent="0.3">
      <c r="AA1904"/>
      <c r="AG1904"/>
    </row>
    <row r="1905" spans="27:33" x14ac:dyDescent="0.3">
      <c r="AA1905"/>
      <c r="AG1905"/>
    </row>
    <row r="1906" spans="27:33" x14ac:dyDescent="0.3">
      <c r="AA1906"/>
      <c r="AG1906"/>
    </row>
    <row r="1907" spans="27:33" x14ac:dyDescent="0.3">
      <c r="AA1907"/>
      <c r="AG1907"/>
    </row>
    <row r="1908" spans="27:33" x14ac:dyDescent="0.3">
      <c r="AA1908"/>
      <c r="AG1908"/>
    </row>
    <row r="1909" spans="27:33" x14ac:dyDescent="0.3">
      <c r="AA1909"/>
      <c r="AG1909"/>
    </row>
    <row r="1910" spans="27:33" x14ac:dyDescent="0.3">
      <c r="AA1910"/>
      <c r="AG1910"/>
    </row>
    <row r="1911" spans="27:33" x14ac:dyDescent="0.3">
      <c r="AA1911"/>
      <c r="AG1911"/>
    </row>
    <row r="1912" spans="27:33" x14ac:dyDescent="0.3">
      <c r="AA1912"/>
      <c r="AG1912"/>
    </row>
    <row r="1913" spans="27:33" x14ac:dyDescent="0.3">
      <c r="AA1913"/>
      <c r="AG1913"/>
    </row>
    <row r="1914" spans="27:33" x14ac:dyDescent="0.3">
      <c r="AA1914"/>
      <c r="AG1914"/>
    </row>
    <row r="1915" spans="27:33" x14ac:dyDescent="0.3">
      <c r="AA1915"/>
      <c r="AG1915"/>
    </row>
    <row r="1916" spans="27:33" x14ac:dyDescent="0.3">
      <c r="AA1916"/>
      <c r="AG1916"/>
    </row>
    <row r="1917" spans="27:33" x14ac:dyDescent="0.3">
      <c r="AA1917"/>
      <c r="AG1917"/>
    </row>
    <row r="1918" spans="27:33" x14ac:dyDescent="0.3">
      <c r="AA1918"/>
      <c r="AG1918"/>
    </row>
    <row r="1919" spans="27:33" x14ac:dyDescent="0.3">
      <c r="AA1919"/>
      <c r="AG1919"/>
    </row>
    <row r="1920" spans="27:33" x14ac:dyDescent="0.3">
      <c r="AA1920"/>
      <c r="AG1920"/>
    </row>
    <row r="1921" spans="27:33" x14ac:dyDescent="0.3">
      <c r="AA1921"/>
      <c r="AG1921"/>
    </row>
    <row r="1922" spans="27:33" x14ac:dyDescent="0.3">
      <c r="AA1922"/>
      <c r="AG1922"/>
    </row>
    <row r="1923" spans="27:33" x14ac:dyDescent="0.3">
      <c r="AA1923"/>
      <c r="AG1923"/>
    </row>
    <row r="1924" spans="27:33" x14ac:dyDescent="0.3">
      <c r="AA1924"/>
      <c r="AG1924"/>
    </row>
    <row r="1925" spans="27:33" x14ac:dyDescent="0.3">
      <c r="AA1925"/>
      <c r="AG1925"/>
    </row>
    <row r="1926" spans="27:33" x14ac:dyDescent="0.3">
      <c r="AA1926"/>
      <c r="AG1926"/>
    </row>
    <row r="1927" spans="27:33" x14ac:dyDescent="0.3">
      <c r="AA1927"/>
      <c r="AG1927"/>
    </row>
    <row r="1928" spans="27:33" x14ac:dyDescent="0.3">
      <c r="AA1928"/>
      <c r="AG1928"/>
    </row>
    <row r="1929" spans="27:33" x14ac:dyDescent="0.3">
      <c r="AA1929"/>
      <c r="AG1929"/>
    </row>
    <row r="1930" spans="27:33" x14ac:dyDescent="0.3">
      <c r="AA1930"/>
      <c r="AG1930"/>
    </row>
    <row r="1931" spans="27:33" x14ac:dyDescent="0.3">
      <c r="AA1931"/>
      <c r="AG1931"/>
    </row>
    <row r="1932" spans="27:33" x14ac:dyDescent="0.3">
      <c r="AA1932"/>
      <c r="AG1932"/>
    </row>
    <row r="1933" spans="27:33" x14ac:dyDescent="0.3">
      <c r="AA1933"/>
      <c r="AG1933"/>
    </row>
    <row r="1934" spans="27:33" x14ac:dyDescent="0.3">
      <c r="AA1934"/>
      <c r="AG1934"/>
    </row>
    <row r="1935" spans="27:33" x14ac:dyDescent="0.3">
      <c r="AA1935"/>
      <c r="AG1935"/>
    </row>
    <row r="1936" spans="27:33" x14ac:dyDescent="0.3">
      <c r="AA1936"/>
      <c r="AG1936"/>
    </row>
    <row r="1937" spans="27:33" x14ac:dyDescent="0.3">
      <c r="AA1937"/>
      <c r="AG1937"/>
    </row>
    <row r="1938" spans="27:33" x14ac:dyDescent="0.3">
      <c r="AA1938"/>
      <c r="AG1938"/>
    </row>
    <row r="1939" spans="27:33" x14ac:dyDescent="0.3">
      <c r="AA1939"/>
      <c r="AG1939"/>
    </row>
    <row r="1940" spans="27:33" x14ac:dyDescent="0.3">
      <c r="AA1940"/>
      <c r="AG1940"/>
    </row>
    <row r="1941" spans="27:33" x14ac:dyDescent="0.3">
      <c r="AA1941"/>
      <c r="AG1941"/>
    </row>
    <row r="1942" spans="27:33" x14ac:dyDescent="0.3">
      <c r="AA1942"/>
      <c r="AG1942"/>
    </row>
    <row r="1943" spans="27:33" x14ac:dyDescent="0.3">
      <c r="AA1943"/>
      <c r="AG1943"/>
    </row>
    <row r="1944" spans="27:33" x14ac:dyDescent="0.3">
      <c r="AA1944"/>
      <c r="AG1944"/>
    </row>
    <row r="1945" spans="27:33" x14ac:dyDescent="0.3">
      <c r="AA1945"/>
      <c r="AG1945"/>
    </row>
    <row r="1946" spans="27:33" x14ac:dyDescent="0.3">
      <c r="AA1946"/>
      <c r="AG1946"/>
    </row>
    <row r="1947" spans="27:33" x14ac:dyDescent="0.3">
      <c r="AA1947"/>
      <c r="AG1947"/>
    </row>
    <row r="1948" spans="27:33" x14ac:dyDescent="0.3">
      <c r="AA1948"/>
      <c r="AG1948"/>
    </row>
    <row r="1949" spans="27:33" x14ac:dyDescent="0.3">
      <c r="AA1949"/>
      <c r="AG1949"/>
    </row>
    <row r="1950" spans="27:33" x14ac:dyDescent="0.3">
      <c r="AA1950"/>
      <c r="AG1950"/>
    </row>
    <row r="1951" spans="27:33" x14ac:dyDescent="0.3">
      <c r="AA1951"/>
      <c r="AG1951"/>
    </row>
    <row r="1952" spans="27:33" x14ac:dyDescent="0.3">
      <c r="AA1952"/>
      <c r="AG1952"/>
    </row>
    <row r="1953" spans="27:33" x14ac:dyDescent="0.3">
      <c r="AA1953"/>
      <c r="AG1953"/>
    </row>
    <row r="1954" spans="27:33" x14ac:dyDescent="0.3">
      <c r="AA1954"/>
      <c r="AG1954"/>
    </row>
    <row r="1955" spans="27:33" x14ac:dyDescent="0.3">
      <c r="AA1955"/>
      <c r="AG1955"/>
    </row>
    <row r="1956" spans="27:33" x14ac:dyDescent="0.3">
      <c r="AA1956"/>
      <c r="AG1956"/>
    </row>
    <row r="1957" spans="27:33" x14ac:dyDescent="0.3">
      <c r="AA1957"/>
      <c r="AG1957"/>
    </row>
    <row r="1958" spans="27:33" x14ac:dyDescent="0.3">
      <c r="AA1958"/>
      <c r="AG1958"/>
    </row>
    <row r="1959" spans="27:33" x14ac:dyDescent="0.3">
      <c r="AA1959"/>
      <c r="AG1959"/>
    </row>
    <row r="1960" spans="27:33" x14ac:dyDescent="0.3">
      <c r="AA1960"/>
      <c r="AG1960"/>
    </row>
    <row r="1961" spans="27:33" x14ac:dyDescent="0.3">
      <c r="AA1961"/>
      <c r="AG1961"/>
    </row>
    <row r="1962" spans="27:33" x14ac:dyDescent="0.3">
      <c r="AA1962"/>
      <c r="AG1962"/>
    </row>
    <row r="1963" spans="27:33" x14ac:dyDescent="0.3">
      <c r="AA1963"/>
      <c r="AG1963"/>
    </row>
    <row r="1964" spans="27:33" x14ac:dyDescent="0.3">
      <c r="AA1964"/>
      <c r="AG1964"/>
    </row>
    <row r="1965" spans="27:33" x14ac:dyDescent="0.3">
      <c r="AA1965"/>
      <c r="AG1965"/>
    </row>
    <row r="1966" spans="27:33" x14ac:dyDescent="0.3">
      <c r="AA1966"/>
      <c r="AG1966"/>
    </row>
    <row r="1967" spans="27:33" x14ac:dyDescent="0.3">
      <c r="AA1967"/>
      <c r="AG1967"/>
    </row>
    <row r="1968" spans="27:33" x14ac:dyDescent="0.3">
      <c r="AA1968"/>
      <c r="AG1968"/>
    </row>
    <row r="1969" spans="27:33" x14ac:dyDescent="0.3">
      <c r="AA1969"/>
      <c r="AG1969"/>
    </row>
    <row r="1970" spans="27:33" x14ac:dyDescent="0.3">
      <c r="AA1970"/>
      <c r="AG1970"/>
    </row>
    <row r="1971" spans="27:33" x14ac:dyDescent="0.3">
      <c r="AA1971"/>
      <c r="AG1971"/>
    </row>
    <row r="1972" spans="27:33" x14ac:dyDescent="0.3">
      <c r="AA1972"/>
      <c r="AG1972"/>
    </row>
    <row r="1973" spans="27:33" x14ac:dyDescent="0.3">
      <c r="AA1973"/>
      <c r="AG1973"/>
    </row>
    <row r="1974" spans="27:33" x14ac:dyDescent="0.3">
      <c r="AA1974"/>
      <c r="AG1974"/>
    </row>
    <row r="1975" spans="27:33" x14ac:dyDescent="0.3">
      <c r="AA1975"/>
      <c r="AG1975"/>
    </row>
    <row r="1976" spans="27:33" x14ac:dyDescent="0.3">
      <c r="AA1976"/>
      <c r="AG1976"/>
    </row>
    <row r="1977" spans="27:33" x14ac:dyDescent="0.3">
      <c r="AA1977"/>
      <c r="AG1977"/>
    </row>
    <row r="1978" spans="27:33" x14ac:dyDescent="0.3">
      <c r="AA1978"/>
      <c r="AG1978"/>
    </row>
    <row r="1979" spans="27:33" x14ac:dyDescent="0.3">
      <c r="AA1979"/>
      <c r="AG1979"/>
    </row>
    <row r="1980" spans="27:33" x14ac:dyDescent="0.3">
      <c r="AA1980"/>
      <c r="AG1980"/>
    </row>
    <row r="1981" spans="27:33" x14ac:dyDescent="0.3">
      <c r="AA1981"/>
      <c r="AG1981"/>
    </row>
    <row r="1982" spans="27:33" x14ac:dyDescent="0.3">
      <c r="AA1982"/>
      <c r="AG1982"/>
    </row>
    <row r="1983" spans="27:33" x14ac:dyDescent="0.3">
      <c r="AA1983"/>
      <c r="AG1983"/>
    </row>
    <row r="1984" spans="27:33" x14ac:dyDescent="0.3">
      <c r="AA1984"/>
      <c r="AG1984"/>
    </row>
    <row r="1985" spans="27:33" x14ac:dyDescent="0.3">
      <c r="AA1985"/>
      <c r="AG1985"/>
    </row>
    <row r="1986" spans="27:33" x14ac:dyDescent="0.3">
      <c r="AA1986"/>
      <c r="AG1986"/>
    </row>
    <row r="1987" spans="27:33" x14ac:dyDescent="0.3">
      <c r="AA1987"/>
      <c r="AG1987"/>
    </row>
    <row r="1988" spans="27:33" x14ac:dyDescent="0.3">
      <c r="AA1988"/>
      <c r="AG1988"/>
    </row>
    <row r="1989" spans="27:33" x14ac:dyDescent="0.3">
      <c r="AA1989"/>
      <c r="AG1989"/>
    </row>
    <row r="1990" spans="27:33" x14ac:dyDescent="0.3">
      <c r="AA1990"/>
      <c r="AG1990"/>
    </row>
    <row r="1991" spans="27:33" x14ac:dyDescent="0.3">
      <c r="AA1991"/>
      <c r="AG1991"/>
    </row>
    <row r="1992" spans="27:33" x14ac:dyDescent="0.3">
      <c r="AA1992"/>
      <c r="AG1992"/>
    </row>
    <row r="1993" spans="27:33" x14ac:dyDescent="0.3">
      <c r="AA1993"/>
      <c r="AG1993"/>
    </row>
    <row r="1994" spans="27:33" x14ac:dyDescent="0.3">
      <c r="AA1994"/>
      <c r="AG1994"/>
    </row>
    <row r="1995" spans="27:33" x14ac:dyDescent="0.3">
      <c r="AA1995"/>
      <c r="AG1995"/>
    </row>
    <row r="1996" spans="27:33" x14ac:dyDescent="0.3">
      <c r="AA1996"/>
      <c r="AG1996"/>
    </row>
    <row r="1997" spans="27:33" x14ac:dyDescent="0.3">
      <c r="AA1997"/>
      <c r="AG1997"/>
    </row>
    <row r="1998" spans="27:33" x14ac:dyDescent="0.3">
      <c r="AA1998"/>
      <c r="AG1998"/>
    </row>
    <row r="1999" spans="27:33" x14ac:dyDescent="0.3">
      <c r="AA1999"/>
      <c r="AG1999"/>
    </row>
    <row r="2000" spans="27:33" x14ac:dyDescent="0.3">
      <c r="AA2000"/>
      <c r="AG2000"/>
    </row>
    <row r="2001" spans="27:33" x14ac:dyDescent="0.3">
      <c r="AA2001"/>
      <c r="AG2001"/>
    </row>
    <row r="2002" spans="27:33" x14ac:dyDescent="0.3">
      <c r="AA2002"/>
      <c r="AG2002"/>
    </row>
    <row r="2003" spans="27:33" x14ac:dyDescent="0.3">
      <c r="AA2003"/>
      <c r="AG2003"/>
    </row>
    <row r="2004" spans="27:33" x14ac:dyDescent="0.3">
      <c r="AA2004"/>
      <c r="AG2004"/>
    </row>
    <row r="2005" spans="27:33" x14ac:dyDescent="0.3">
      <c r="AA2005"/>
      <c r="AG2005"/>
    </row>
    <row r="2006" spans="27:33" x14ac:dyDescent="0.3">
      <c r="AA2006"/>
      <c r="AG2006"/>
    </row>
    <row r="2007" spans="27:33" x14ac:dyDescent="0.3">
      <c r="AA2007"/>
      <c r="AG2007"/>
    </row>
    <row r="2008" spans="27:33" x14ac:dyDescent="0.3">
      <c r="AA2008"/>
      <c r="AG2008"/>
    </row>
    <row r="2009" spans="27:33" x14ac:dyDescent="0.3">
      <c r="AA2009"/>
      <c r="AG2009"/>
    </row>
    <row r="2010" spans="27:33" x14ac:dyDescent="0.3">
      <c r="AA2010"/>
      <c r="AG2010"/>
    </row>
    <row r="2011" spans="27:33" x14ac:dyDescent="0.3">
      <c r="AA2011"/>
      <c r="AG2011"/>
    </row>
    <row r="2012" spans="27:33" x14ac:dyDescent="0.3">
      <c r="AA2012"/>
      <c r="AG2012"/>
    </row>
    <row r="2013" spans="27:33" x14ac:dyDescent="0.3">
      <c r="AA2013"/>
      <c r="AG2013"/>
    </row>
    <row r="2014" spans="27:33" x14ac:dyDescent="0.3">
      <c r="AA2014"/>
      <c r="AG2014"/>
    </row>
    <row r="2015" spans="27:33" x14ac:dyDescent="0.3">
      <c r="AA2015"/>
      <c r="AG2015"/>
    </row>
    <row r="2016" spans="27:33" x14ac:dyDescent="0.3">
      <c r="AA2016"/>
      <c r="AG2016"/>
    </row>
    <row r="2017" spans="27:33" x14ac:dyDescent="0.3">
      <c r="AA2017"/>
      <c r="AG2017"/>
    </row>
    <row r="2018" spans="27:33" x14ac:dyDescent="0.3">
      <c r="AA2018"/>
      <c r="AG2018"/>
    </row>
    <row r="2019" spans="27:33" x14ac:dyDescent="0.3">
      <c r="AA2019"/>
      <c r="AG2019"/>
    </row>
    <row r="2020" spans="27:33" x14ac:dyDescent="0.3">
      <c r="AA2020"/>
      <c r="AG2020"/>
    </row>
    <row r="2021" spans="27:33" x14ac:dyDescent="0.3">
      <c r="AA2021"/>
      <c r="AG2021"/>
    </row>
    <row r="2022" spans="27:33" x14ac:dyDescent="0.3">
      <c r="AA2022"/>
      <c r="AG2022"/>
    </row>
    <row r="2023" spans="27:33" x14ac:dyDescent="0.3">
      <c r="AA2023"/>
      <c r="AG2023"/>
    </row>
    <row r="2024" spans="27:33" x14ac:dyDescent="0.3">
      <c r="AA2024"/>
      <c r="AG2024"/>
    </row>
    <row r="2025" spans="27:33" x14ac:dyDescent="0.3">
      <c r="AA2025"/>
      <c r="AG2025"/>
    </row>
    <row r="2026" spans="27:33" x14ac:dyDescent="0.3">
      <c r="AA2026"/>
      <c r="AG2026"/>
    </row>
    <row r="2027" spans="27:33" x14ac:dyDescent="0.3">
      <c r="AA2027"/>
      <c r="AG2027"/>
    </row>
    <row r="2028" spans="27:33" x14ac:dyDescent="0.3">
      <c r="AA2028"/>
      <c r="AG2028"/>
    </row>
    <row r="2029" spans="27:33" x14ac:dyDescent="0.3">
      <c r="AA2029"/>
      <c r="AG2029"/>
    </row>
    <row r="2030" spans="27:33" x14ac:dyDescent="0.3">
      <c r="AA2030"/>
      <c r="AG2030"/>
    </row>
    <row r="2031" spans="27:33" x14ac:dyDescent="0.3">
      <c r="AA2031"/>
      <c r="AG2031"/>
    </row>
    <row r="2032" spans="27:33" x14ac:dyDescent="0.3">
      <c r="AA2032"/>
      <c r="AG2032"/>
    </row>
    <row r="2033" spans="27:33" x14ac:dyDescent="0.3">
      <c r="AA2033"/>
      <c r="AG2033"/>
    </row>
    <row r="2034" spans="27:33" x14ac:dyDescent="0.3">
      <c r="AA2034"/>
      <c r="AG2034"/>
    </row>
    <row r="2035" spans="27:33" x14ac:dyDescent="0.3">
      <c r="AA2035"/>
      <c r="AG2035"/>
    </row>
    <row r="2036" spans="27:33" x14ac:dyDescent="0.3">
      <c r="AA2036"/>
      <c r="AG2036"/>
    </row>
    <row r="2037" spans="27:33" x14ac:dyDescent="0.3">
      <c r="AA2037"/>
      <c r="AG2037"/>
    </row>
    <row r="2038" spans="27:33" x14ac:dyDescent="0.3">
      <c r="AA2038"/>
      <c r="AG2038"/>
    </row>
    <row r="2039" spans="27:33" x14ac:dyDescent="0.3">
      <c r="AA2039"/>
      <c r="AG2039"/>
    </row>
    <row r="2040" spans="27:33" x14ac:dyDescent="0.3">
      <c r="AA2040"/>
      <c r="AG2040"/>
    </row>
    <row r="2041" spans="27:33" x14ac:dyDescent="0.3">
      <c r="AA2041"/>
      <c r="AG2041"/>
    </row>
    <row r="2042" spans="27:33" x14ac:dyDescent="0.3">
      <c r="AA2042"/>
      <c r="AG2042"/>
    </row>
    <row r="2043" spans="27:33" x14ac:dyDescent="0.3">
      <c r="AA2043"/>
      <c r="AG2043"/>
    </row>
    <row r="2044" spans="27:33" x14ac:dyDescent="0.3">
      <c r="AA2044"/>
      <c r="AG2044"/>
    </row>
    <row r="2045" spans="27:33" x14ac:dyDescent="0.3">
      <c r="AA2045"/>
      <c r="AG2045"/>
    </row>
    <row r="2046" spans="27:33" x14ac:dyDescent="0.3">
      <c r="AA2046"/>
      <c r="AG2046"/>
    </row>
    <row r="2047" spans="27:33" x14ac:dyDescent="0.3">
      <c r="AA2047"/>
      <c r="AG2047"/>
    </row>
    <row r="2048" spans="27:33" x14ac:dyDescent="0.3">
      <c r="AA2048"/>
      <c r="AG2048"/>
    </row>
    <row r="2049" spans="27:33" x14ac:dyDescent="0.3">
      <c r="AA2049"/>
      <c r="AG2049"/>
    </row>
    <row r="2050" spans="27:33" x14ac:dyDescent="0.3">
      <c r="AA2050"/>
      <c r="AG2050"/>
    </row>
    <row r="2051" spans="27:33" x14ac:dyDescent="0.3">
      <c r="AA2051"/>
      <c r="AG2051"/>
    </row>
    <row r="2052" spans="27:33" x14ac:dyDescent="0.3">
      <c r="AA2052"/>
      <c r="AG2052"/>
    </row>
    <row r="2053" spans="27:33" x14ac:dyDescent="0.3">
      <c r="AA2053"/>
      <c r="AG2053"/>
    </row>
    <row r="2054" spans="27:33" x14ac:dyDescent="0.3">
      <c r="AA2054"/>
      <c r="AG2054"/>
    </row>
    <row r="2055" spans="27:33" x14ac:dyDescent="0.3">
      <c r="AA2055"/>
      <c r="AG2055"/>
    </row>
    <row r="2056" spans="27:33" x14ac:dyDescent="0.3">
      <c r="AA2056"/>
      <c r="AG2056"/>
    </row>
    <row r="2057" spans="27:33" x14ac:dyDescent="0.3">
      <c r="AA2057"/>
      <c r="AG2057"/>
    </row>
    <row r="2058" spans="27:33" x14ac:dyDescent="0.3">
      <c r="AA2058"/>
      <c r="AG2058"/>
    </row>
    <row r="2059" spans="27:33" x14ac:dyDescent="0.3">
      <c r="AA2059"/>
      <c r="AG2059"/>
    </row>
    <row r="2060" spans="27:33" x14ac:dyDescent="0.3">
      <c r="AA2060"/>
      <c r="AG2060"/>
    </row>
    <row r="2061" spans="27:33" x14ac:dyDescent="0.3">
      <c r="AA2061"/>
      <c r="AG2061"/>
    </row>
    <row r="2062" spans="27:33" x14ac:dyDescent="0.3">
      <c r="AA2062"/>
      <c r="AG2062"/>
    </row>
    <row r="2063" spans="27:33" x14ac:dyDescent="0.3">
      <c r="AA2063"/>
      <c r="AG2063"/>
    </row>
    <row r="2064" spans="27:33" x14ac:dyDescent="0.3">
      <c r="AA2064"/>
      <c r="AG2064"/>
    </row>
    <row r="2065" spans="27:33" x14ac:dyDescent="0.3">
      <c r="AA2065"/>
      <c r="AG2065"/>
    </row>
    <row r="2066" spans="27:33" x14ac:dyDescent="0.3">
      <c r="AA2066"/>
      <c r="AG2066"/>
    </row>
    <row r="2067" spans="27:33" x14ac:dyDescent="0.3">
      <c r="AA2067"/>
      <c r="AG2067"/>
    </row>
    <row r="2068" spans="27:33" x14ac:dyDescent="0.3">
      <c r="AA2068"/>
      <c r="AG2068"/>
    </row>
    <row r="2069" spans="27:33" x14ac:dyDescent="0.3">
      <c r="AA2069"/>
      <c r="AG2069"/>
    </row>
    <row r="2070" spans="27:33" x14ac:dyDescent="0.3">
      <c r="AA2070"/>
      <c r="AG2070"/>
    </row>
    <row r="2071" spans="27:33" x14ac:dyDescent="0.3">
      <c r="AA2071"/>
      <c r="AG2071"/>
    </row>
    <row r="2072" spans="27:33" x14ac:dyDescent="0.3">
      <c r="AA2072"/>
      <c r="AG2072"/>
    </row>
    <row r="2073" spans="27:33" x14ac:dyDescent="0.3">
      <c r="AA2073"/>
      <c r="AG2073"/>
    </row>
    <row r="2074" spans="27:33" x14ac:dyDescent="0.3">
      <c r="AA2074"/>
      <c r="AG2074"/>
    </row>
    <row r="2075" spans="27:33" x14ac:dyDescent="0.3">
      <c r="AA2075"/>
      <c r="AG2075"/>
    </row>
    <row r="2076" spans="27:33" x14ac:dyDescent="0.3">
      <c r="AA2076"/>
      <c r="AG2076"/>
    </row>
    <row r="2077" spans="27:33" x14ac:dyDescent="0.3">
      <c r="AA2077"/>
      <c r="AG2077"/>
    </row>
    <row r="2078" spans="27:33" x14ac:dyDescent="0.3">
      <c r="AA2078"/>
      <c r="AG2078"/>
    </row>
    <row r="2079" spans="27:33" x14ac:dyDescent="0.3">
      <c r="AA2079"/>
      <c r="AG2079"/>
    </row>
    <row r="2080" spans="27:33" x14ac:dyDescent="0.3">
      <c r="AA2080"/>
      <c r="AG2080"/>
    </row>
    <row r="2081" spans="27:33" x14ac:dyDescent="0.3">
      <c r="AA2081"/>
      <c r="AG2081"/>
    </row>
    <row r="2082" spans="27:33" x14ac:dyDescent="0.3">
      <c r="AA2082"/>
      <c r="AG2082"/>
    </row>
    <row r="2083" spans="27:33" x14ac:dyDescent="0.3">
      <c r="AA2083"/>
      <c r="AG2083"/>
    </row>
    <row r="2084" spans="27:33" x14ac:dyDescent="0.3">
      <c r="AA2084"/>
      <c r="AG2084"/>
    </row>
    <row r="2085" spans="27:33" x14ac:dyDescent="0.3">
      <c r="AA2085"/>
      <c r="AG2085"/>
    </row>
    <row r="2086" spans="27:33" x14ac:dyDescent="0.3">
      <c r="AA2086"/>
      <c r="AG2086"/>
    </row>
    <row r="2087" spans="27:33" x14ac:dyDescent="0.3">
      <c r="AA2087"/>
      <c r="AG2087"/>
    </row>
    <row r="2088" spans="27:33" x14ac:dyDescent="0.3">
      <c r="AA2088"/>
      <c r="AG2088"/>
    </row>
    <row r="2089" spans="27:33" x14ac:dyDescent="0.3">
      <c r="AA2089"/>
      <c r="AG2089"/>
    </row>
    <row r="2090" spans="27:33" x14ac:dyDescent="0.3">
      <c r="AA2090"/>
      <c r="AG2090"/>
    </row>
    <row r="2091" spans="27:33" x14ac:dyDescent="0.3">
      <c r="AA2091"/>
      <c r="AG2091"/>
    </row>
    <row r="2092" spans="27:33" x14ac:dyDescent="0.3">
      <c r="AA2092"/>
      <c r="AG2092"/>
    </row>
    <row r="2093" spans="27:33" x14ac:dyDescent="0.3">
      <c r="AA2093"/>
      <c r="AG2093"/>
    </row>
    <row r="2094" spans="27:33" x14ac:dyDescent="0.3">
      <c r="AA2094"/>
      <c r="AG2094"/>
    </row>
    <row r="2095" spans="27:33" x14ac:dyDescent="0.3">
      <c r="AA2095"/>
      <c r="AG2095"/>
    </row>
    <row r="2096" spans="27:33" x14ac:dyDescent="0.3">
      <c r="AA2096"/>
      <c r="AG2096"/>
    </row>
    <row r="2097" spans="27:33" x14ac:dyDescent="0.3">
      <c r="AA2097"/>
      <c r="AG2097"/>
    </row>
    <row r="2098" spans="27:33" x14ac:dyDescent="0.3">
      <c r="AA2098"/>
      <c r="AG2098"/>
    </row>
    <row r="2099" spans="27:33" x14ac:dyDescent="0.3">
      <c r="AA2099"/>
      <c r="AG2099"/>
    </row>
    <row r="2100" spans="27:33" x14ac:dyDescent="0.3">
      <c r="AA2100"/>
      <c r="AG2100"/>
    </row>
    <row r="2101" spans="27:33" x14ac:dyDescent="0.3">
      <c r="AA2101"/>
      <c r="AG2101"/>
    </row>
    <row r="2102" spans="27:33" x14ac:dyDescent="0.3">
      <c r="AA2102"/>
      <c r="AG2102"/>
    </row>
    <row r="2103" spans="27:33" x14ac:dyDescent="0.3">
      <c r="AA2103"/>
      <c r="AG2103"/>
    </row>
    <row r="2104" spans="27:33" x14ac:dyDescent="0.3">
      <c r="AA2104"/>
      <c r="AG2104"/>
    </row>
    <row r="2105" spans="27:33" x14ac:dyDescent="0.3">
      <c r="AA2105"/>
      <c r="AG2105"/>
    </row>
    <row r="2106" spans="27:33" x14ac:dyDescent="0.3">
      <c r="AA2106"/>
      <c r="AG2106"/>
    </row>
    <row r="2107" spans="27:33" x14ac:dyDescent="0.3">
      <c r="AA2107"/>
      <c r="AG2107"/>
    </row>
    <row r="2108" spans="27:33" x14ac:dyDescent="0.3">
      <c r="AA2108"/>
      <c r="AG2108"/>
    </row>
    <row r="2109" spans="27:33" x14ac:dyDescent="0.3">
      <c r="AA2109"/>
      <c r="AG2109"/>
    </row>
    <row r="2110" spans="27:33" x14ac:dyDescent="0.3">
      <c r="AA2110"/>
      <c r="AG2110"/>
    </row>
    <row r="2111" spans="27:33" x14ac:dyDescent="0.3">
      <c r="AA2111"/>
      <c r="AG2111"/>
    </row>
    <row r="2112" spans="27:33" x14ac:dyDescent="0.3">
      <c r="AA2112"/>
      <c r="AG2112"/>
    </row>
    <row r="2113" spans="27:33" x14ac:dyDescent="0.3">
      <c r="AA2113"/>
      <c r="AG2113"/>
    </row>
    <row r="2114" spans="27:33" x14ac:dyDescent="0.3">
      <c r="AA2114"/>
      <c r="AG2114"/>
    </row>
    <row r="2115" spans="27:33" x14ac:dyDescent="0.3">
      <c r="AA2115"/>
      <c r="AG2115"/>
    </row>
    <row r="2116" spans="27:33" x14ac:dyDescent="0.3">
      <c r="AA2116"/>
      <c r="AG2116"/>
    </row>
    <row r="2117" spans="27:33" x14ac:dyDescent="0.3">
      <c r="AA2117"/>
      <c r="AG2117"/>
    </row>
    <row r="2118" spans="27:33" x14ac:dyDescent="0.3">
      <c r="AA2118"/>
      <c r="AG2118"/>
    </row>
    <row r="2119" spans="27:33" x14ac:dyDescent="0.3">
      <c r="AA2119"/>
      <c r="AG2119"/>
    </row>
    <row r="2120" spans="27:33" x14ac:dyDescent="0.3">
      <c r="AA2120"/>
      <c r="AG2120"/>
    </row>
    <row r="2121" spans="27:33" x14ac:dyDescent="0.3">
      <c r="AA2121"/>
      <c r="AG2121"/>
    </row>
    <row r="2122" spans="27:33" x14ac:dyDescent="0.3">
      <c r="AA2122"/>
      <c r="AG2122"/>
    </row>
    <row r="2123" spans="27:33" x14ac:dyDescent="0.3">
      <c r="AA2123"/>
      <c r="AG2123"/>
    </row>
    <row r="2124" spans="27:33" x14ac:dyDescent="0.3">
      <c r="AA2124"/>
      <c r="AG2124"/>
    </row>
    <row r="2125" spans="27:33" x14ac:dyDescent="0.3">
      <c r="AA2125"/>
      <c r="AG2125"/>
    </row>
    <row r="2126" spans="27:33" x14ac:dyDescent="0.3">
      <c r="AA2126"/>
      <c r="AG2126"/>
    </row>
    <row r="2127" spans="27:33" x14ac:dyDescent="0.3">
      <c r="AA2127"/>
      <c r="AG2127"/>
    </row>
    <row r="2128" spans="27:33" x14ac:dyDescent="0.3">
      <c r="AA2128"/>
      <c r="AG2128"/>
    </row>
    <row r="2129" spans="27:33" x14ac:dyDescent="0.3">
      <c r="AA2129"/>
      <c r="AG2129"/>
    </row>
    <row r="2130" spans="27:33" x14ac:dyDescent="0.3">
      <c r="AA2130"/>
      <c r="AG2130"/>
    </row>
    <row r="2131" spans="27:33" x14ac:dyDescent="0.3">
      <c r="AA2131"/>
      <c r="AG2131"/>
    </row>
    <row r="2132" spans="27:33" x14ac:dyDescent="0.3">
      <c r="AA2132"/>
      <c r="AG2132"/>
    </row>
    <row r="2133" spans="27:33" x14ac:dyDescent="0.3">
      <c r="AA2133"/>
      <c r="AG2133"/>
    </row>
    <row r="2134" spans="27:33" x14ac:dyDescent="0.3">
      <c r="AA2134"/>
      <c r="AG2134"/>
    </row>
    <row r="2135" spans="27:33" x14ac:dyDescent="0.3">
      <c r="AA2135"/>
      <c r="AG2135"/>
    </row>
    <row r="2136" spans="27:33" x14ac:dyDescent="0.3">
      <c r="AA2136"/>
      <c r="AG2136"/>
    </row>
    <row r="2137" spans="27:33" x14ac:dyDescent="0.3">
      <c r="AA2137"/>
      <c r="AG2137"/>
    </row>
    <row r="2138" spans="27:33" x14ac:dyDescent="0.3">
      <c r="AA2138"/>
      <c r="AG2138"/>
    </row>
    <row r="2139" spans="27:33" x14ac:dyDescent="0.3">
      <c r="AA2139"/>
      <c r="AG2139"/>
    </row>
    <row r="2140" spans="27:33" x14ac:dyDescent="0.3">
      <c r="AA2140"/>
      <c r="AG2140"/>
    </row>
    <row r="2141" spans="27:33" x14ac:dyDescent="0.3">
      <c r="AA2141"/>
      <c r="AG2141"/>
    </row>
    <row r="2142" spans="27:33" x14ac:dyDescent="0.3">
      <c r="AA2142"/>
      <c r="AG2142"/>
    </row>
    <row r="2143" spans="27:33" x14ac:dyDescent="0.3">
      <c r="AA2143"/>
      <c r="AG2143"/>
    </row>
    <row r="2144" spans="27:33" x14ac:dyDescent="0.3">
      <c r="AA2144"/>
      <c r="AG2144"/>
    </row>
    <row r="2145" spans="27:33" x14ac:dyDescent="0.3">
      <c r="AA2145"/>
      <c r="AG2145"/>
    </row>
    <row r="2146" spans="27:33" x14ac:dyDescent="0.3">
      <c r="AA2146"/>
      <c r="AG2146"/>
    </row>
    <row r="2147" spans="27:33" x14ac:dyDescent="0.3">
      <c r="AA2147"/>
      <c r="AG2147"/>
    </row>
    <row r="2148" spans="27:33" x14ac:dyDescent="0.3">
      <c r="AA2148"/>
      <c r="AG2148"/>
    </row>
    <row r="2149" spans="27:33" x14ac:dyDescent="0.3">
      <c r="AA2149"/>
      <c r="AG2149"/>
    </row>
    <row r="2150" spans="27:33" x14ac:dyDescent="0.3">
      <c r="AA2150"/>
      <c r="AG2150"/>
    </row>
    <row r="2151" spans="27:33" x14ac:dyDescent="0.3">
      <c r="AA2151"/>
      <c r="AG2151"/>
    </row>
    <row r="2152" spans="27:33" x14ac:dyDescent="0.3">
      <c r="AA2152"/>
      <c r="AG2152"/>
    </row>
    <row r="2153" spans="27:33" x14ac:dyDescent="0.3">
      <c r="AA2153"/>
      <c r="AG2153"/>
    </row>
    <row r="2154" spans="27:33" x14ac:dyDescent="0.3">
      <c r="AA2154"/>
      <c r="AG2154"/>
    </row>
    <row r="2155" spans="27:33" x14ac:dyDescent="0.3">
      <c r="AA2155"/>
      <c r="AG2155"/>
    </row>
    <row r="2156" spans="27:33" x14ac:dyDescent="0.3">
      <c r="AA2156"/>
      <c r="AG2156"/>
    </row>
    <row r="2157" spans="27:33" x14ac:dyDescent="0.3">
      <c r="AA2157"/>
      <c r="AG2157"/>
    </row>
    <row r="2158" spans="27:33" x14ac:dyDescent="0.3">
      <c r="AA2158"/>
      <c r="AG2158"/>
    </row>
    <row r="2159" spans="27:33" x14ac:dyDescent="0.3">
      <c r="AA2159"/>
      <c r="AG2159"/>
    </row>
    <row r="2160" spans="27:33" x14ac:dyDescent="0.3">
      <c r="AA2160"/>
      <c r="AG2160"/>
    </row>
    <row r="2161" spans="27:33" x14ac:dyDescent="0.3">
      <c r="AA2161"/>
      <c r="AG2161"/>
    </row>
    <row r="2162" spans="27:33" x14ac:dyDescent="0.3">
      <c r="AA2162"/>
      <c r="AG2162"/>
    </row>
    <row r="2163" spans="27:33" x14ac:dyDescent="0.3">
      <c r="AA2163"/>
      <c r="AG2163"/>
    </row>
    <row r="2164" spans="27:33" x14ac:dyDescent="0.3">
      <c r="AA2164"/>
      <c r="AG2164"/>
    </row>
    <row r="2165" spans="27:33" x14ac:dyDescent="0.3">
      <c r="AA2165"/>
      <c r="AG2165"/>
    </row>
    <row r="2166" spans="27:33" x14ac:dyDescent="0.3">
      <c r="AA2166"/>
      <c r="AG2166"/>
    </row>
    <row r="2167" spans="27:33" x14ac:dyDescent="0.3">
      <c r="AA2167"/>
      <c r="AG2167"/>
    </row>
    <row r="2168" spans="27:33" x14ac:dyDescent="0.3">
      <c r="AA2168"/>
      <c r="AG2168"/>
    </row>
    <row r="2169" spans="27:33" x14ac:dyDescent="0.3">
      <c r="AA2169"/>
      <c r="AG2169"/>
    </row>
    <row r="2170" spans="27:33" x14ac:dyDescent="0.3">
      <c r="AA2170"/>
      <c r="AG2170"/>
    </row>
    <row r="2171" spans="27:33" x14ac:dyDescent="0.3">
      <c r="AA2171"/>
      <c r="AG2171"/>
    </row>
    <row r="2172" spans="27:33" x14ac:dyDescent="0.3">
      <c r="AA2172"/>
      <c r="AG2172"/>
    </row>
    <row r="2173" spans="27:33" x14ac:dyDescent="0.3">
      <c r="AA2173"/>
      <c r="AG2173"/>
    </row>
    <row r="2174" spans="27:33" x14ac:dyDescent="0.3">
      <c r="AA2174"/>
      <c r="AG2174"/>
    </row>
    <row r="2175" spans="27:33" x14ac:dyDescent="0.3">
      <c r="AA2175"/>
      <c r="AG2175"/>
    </row>
    <row r="2176" spans="27:33" x14ac:dyDescent="0.3">
      <c r="AA2176"/>
      <c r="AG2176"/>
    </row>
    <row r="2177" spans="27:33" x14ac:dyDescent="0.3">
      <c r="AA2177"/>
      <c r="AG2177"/>
    </row>
    <row r="2178" spans="27:33" x14ac:dyDescent="0.3">
      <c r="AA2178"/>
      <c r="AG2178"/>
    </row>
    <row r="2179" spans="27:33" x14ac:dyDescent="0.3">
      <c r="AA2179"/>
      <c r="AG2179"/>
    </row>
    <row r="2180" spans="27:33" x14ac:dyDescent="0.3">
      <c r="AA2180"/>
      <c r="AG2180"/>
    </row>
    <row r="2181" spans="27:33" x14ac:dyDescent="0.3">
      <c r="AA2181"/>
      <c r="AG2181"/>
    </row>
    <row r="2182" spans="27:33" x14ac:dyDescent="0.3">
      <c r="AA2182"/>
      <c r="AG2182"/>
    </row>
    <row r="2183" spans="27:33" x14ac:dyDescent="0.3">
      <c r="AA2183"/>
      <c r="AG2183"/>
    </row>
    <row r="2184" spans="27:33" x14ac:dyDescent="0.3">
      <c r="AA2184"/>
      <c r="AG2184"/>
    </row>
    <row r="2185" spans="27:33" x14ac:dyDescent="0.3">
      <c r="AA2185"/>
      <c r="AG2185"/>
    </row>
    <row r="2186" spans="27:33" x14ac:dyDescent="0.3">
      <c r="AA2186"/>
      <c r="AG2186"/>
    </row>
    <row r="2187" spans="27:33" x14ac:dyDescent="0.3">
      <c r="AA2187"/>
      <c r="AG2187"/>
    </row>
    <row r="2188" spans="27:33" x14ac:dyDescent="0.3">
      <c r="AA2188"/>
      <c r="AG2188"/>
    </row>
    <row r="2189" spans="27:33" x14ac:dyDescent="0.3">
      <c r="AA2189"/>
      <c r="AG2189"/>
    </row>
    <row r="2190" spans="27:33" x14ac:dyDescent="0.3">
      <c r="AA2190"/>
      <c r="AG2190"/>
    </row>
    <row r="2191" spans="27:33" x14ac:dyDescent="0.3">
      <c r="AA2191"/>
      <c r="AG2191"/>
    </row>
    <row r="2192" spans="27:33" x14ac:dyDescent="0.3">
      <c r="AA2192"/>
      <c r="AG2192"/>
    </row>
    <row r="2193" spans="27:33" x14ac:dyDescent="0.3">
      <c r="AA2193"/>
      <c r="AG2193"/>
    </row>
    <row r="2194" spans="27:33" x14ac:dyDescent="0.3">
      <c r="AA2194"/>
      <c r="AG2194"/>
    </row>
    <row r="2195" spans="27:33" x14ac:dyDescent="0.3">
      <c r="AA2195"/>
      <c r="AG2195"/>
    </row>
    <row r="2196" spans="27:33" x14ac:dyDescent="0.3">
      <c r="AA2196"/>
      <c r="AG2196"/>
    </row>
    <row r="2197" spans="27:33" x14ac:dyDescent="0.3">
      <c r="AA2197"/>
      <c r="AG2197"/>
    </row>
    <row r="2198" spans="27:33" x14ac:dyDescent="0.3">
      <c r="AA2198"/>
      <c r="AG2198"/>
    </row>
    <row r="2199" spans="27:33" x14ac:dyDescent="0.3">
      <c r="AA2199"/>
      <c r="AG2199"/>
    </row>
    <row r="2200" spans="27:33" x14ac:dyDescent="0.3">
      <c r="AA2200"/>
      <c r="AG2200"/>
    </row>
    <row r="2201" spans="27:33" x14ac:dyDescent="0.3">
      <c r="AA2201"/>
      <c r="AG2201"/>
    </row>
    <row r="2202" spans="27:33" x14ac:dyDescent="0.3">
      <c r="AA2202"/>
      <c r="AG2202"/>
    </row>
    <row r="2203" spans="27:33" x14ac:dyDescent="0.3">
      <c r="AA2203"/>
      <c r="AG2203"/>
    </row>
    <row r="2204" spans="27:33" x14ac:dyDescent="0.3">
      <c r="AA2204"/>
      <c r="AG2204"/>
    </row>
    <row r="2205" spans="27:33" x14ac:dyDescent="0.3">
      <c r="AA2205"/>
      <c r="AG2205"/>
    </row>
    <row r="2206" spans="27:33" x14ac:dyDescent="0.3">
      <c r="AA2206"/>
      <c r="AG2206"/>
    </row>
    <row r="2207" spans="27:33" x14ac:dyDescent="0.3">
      <c r="AA2207"/>
      <c r="AG2207"/>
    </row>
    <row r="2208" spans="27:33" x14ac:dyDescent="0.3">
      <c r="AA2208"/>
      <c r="AG2208"/>
    </row>
    <row r="2209" spans="27:33" x14ac:dyDescent="0.3">
      <c r="AA2209"/>
      <c r="AG2209"/>
    </row>
    <row r="2210" spans="27:33" x14ac:dyDescent="0.3">
      <c r="AA2210"/>
      <c r="AG2210"/>
    </row>
    <row r="2211" spans="27:33" x14ac:dyDescent="0.3">
      <c r="AA2211"/>
      <c r="AG2211"/>
    </row>
    <row r="2212" spans="27:33" x14ac:dyDescent="0.3">
      <c r="AA2212"/>
      <c r="AG2212"/>
    </row>
    <row r="2213" spans="27:33" x14ac:dyDescent="0.3">
      <c r="AA2213"/>
      <c r="AG2213"/>
    </row>
    <row r="2214" spans="27:33" x14ac:dyDescent="0.3">
      <c r="AA2214"/>
      <c r="AG2214"/>
    </row>
    <row r="2215" spans="27:33" x14ac:dyDescent="0.3">
      <c r="AA2215"/>
      <c r="AG2215"/>
    </row>
    <row r="2216" spans="27:33" x14ac:dyDescent="0.3">
      <c r="AA2216"/>
      <c r="AG2216"/>
    </row>
    <row r="2217" spans="27:33" x14ac:dyDescent="0.3">
      <c r="AA2217"/>
      <c r="AG2217"/>
    </row>
    <row r="2218" spans="27:33" x14ac:dyDescent="0.3">
      <c r="AA2218"/>
      <c r="AG2218"/>
    </row>
    <row r="2219" spans="27:33" x14ac:dyDescent="0.3">
      <c r="AA2219"/>
      <c r="AG2219"/>
    </row>
    <row r="2220" spans="27:33" x14ac:dyDescent="0.3">
      <c r="AA2220"/>
      <c r="AG2220"/>
    </row>
    <row r="2221" spans="27:33" x14ac:dyDescent="0.3">
      <c r="AA2221"/>
      <c r="AG2221"/>
    </row>
    <row r="2222" spans="27:33" x14ac:dyDescent="0.3">
      <c r="AA2222"/>
      <c r="AG2222"/>
    </row>
    <row r="2223" spans="27:33" x14ac:dyDescent="0.3">
      <c r="AA2223"/>
      <c r="AG2223"/>
    </row>
    <row r="2224" spans="27:33" x14ac:dyDescent="0.3">
      <c r="AA2224"/>
      <c r="AG2224"/>
    </row>
    <row r="2225" spans="27:33" x14ac:dyDescent="0.3">
      <c r="AA2225"/>
      <c r="AG2225"/>
    </row>
    <row r="2226" spans="27:33" x14ac:dyDescent="0.3">
      <c r="AA2226"/>
      <c r="AG2226"/>
    </row>
    <row r="2227" spans="27:33" x14ac:dyDescent="0.3">
      <c r="AA2227"/>
      <c r="AG2227"/>
    </row>
    <row r="2228" spans="27:33" x14ac:dyDescent="0.3">
      <c r="AA2228"/>
      <c r="AG2228"/>
    </row>
    <row r="2229" spans="27:33" x14ac:dyDescent="0.3">
      <c r="AA2229"/>
      <c r="AG2229"/>
    </row>
    <row r="2230" spans="27:33" x14ac:dyDescent="0.3">
      <c r="AA2230"/>
      <c r="AG2230"/>
    </row>
    <row r="2231" spans="27:33" x14ac:dyDescent="0.3">
      <c r="AA2231"/>
      <c r="AG2231"/>
    </row>
    <row r="2232" spans="27:33" x14ac:dyDescent="0.3">
      <c r="AA2232"/>
      <c r="AG2232"/>
    </row>
    <row r="2233" spans="27:33" x14ac:dyDescent="0.3">
      <c r="AA2233"/>
      <c r="AG2233"/>
    </row>
    <row r="2234" spans="27:33" x14ac:dyDescent="0.3">
      <c r="AA2234"/>
      <c r="AG2234"/>
    </row>
    <row r="2235" spans="27:33" x14ac:dyDescent="0.3">
      <c r="AA2235"/>
      <c r="AG2235"/>
    </row>
    <row r="2236" spans="27:33" x14ac:dyDescent="0.3">
      <c r="AA2236"/>
      <c r="AG2236"/>
    </row>
    <row r="2237" spans="27:33" x14ac:dyDescent="0.3">
      <c r="AA2237"/>
      <c r="AG2237"/>
    </row>
    <row r="2238" spans="27:33" x14ac:dyDescent="0.3">
      <c r="AA2238"/>
      <c r="AG2238"/>
    </row>
    <row r="2239" spans="27:33" x14ac:dyDescent="0.3">
      <c r="AA2239"/>
      <c r="AG2239"/>
    </row>
    <row r="2240" spans="27:33" x14ac:dyDescent="0.3">
      <c r="AA2240"/>
      <c r="AG2240"/>
    </row>
    <row r="2241" spans="27:33" x14ac:dyDescent="0.3">
      <c r="AA2241"/>
      <c r="AG2241"/>
    </row>
    <row r="2242" spans="27:33" x14ac:dyDescent="0.3">
      <c r="AA2242"/>
      <c r="AG2242"/>
    </row>
    <row r="2243" spans="27:33" x14ac:dyDescent="0.3">
      <c r="AA2243"/>
      <c r="AG2243"/>
    </row>
    <row r="2244" spans="27:33" x14ac:dyDescent="0.3">
      <c r="AA2244"/>
      <c r="AG2244"/>
    </row>
    <row r="2245" spans="27:33" x14ac:dyDescent="0.3">
      <c r="AA2245"/>
      <c r="AG2245"/>
    </row>
    <row r="2246" spans="27:33" x14ac:dyDescent="0.3">
      <c r="AA2246"/>
      <c r="AG2246"/>
    </row>
    <row r="2247" spans="27:33" x14ac:dyDescent="0.3">
      <c r="AA2247"/>
      <c r="AG2247"/>
    </row>
    <row r="2248" spans="27:33" x14ac:dyDescent="0.3">
      <c r="AA2248"/>
      <c r="AG2248"/>
    </row>
    <row r="2249" spans="27:33" x14ac:dyDescent="0.3">
      <c r="AA2249"/>
      <c r="AG2249"/>
    </row>
    <row r="2250" spans="27:33" x14ac:dyDescent="0.3">
      <c r="AA2250"/>
      <c r="AG2250"/>
    </row>
    <row r="2251" spans="27:33" x14ac:dyDescent="0.3">
      <c r="AA2251"/>
      <c r="AG2251"/>
    </row>
    <row r="2252" spans="27:33" x14ac:dyDescent="0.3">
      <c r="AA2252"/>
      <c r="AG2252"/>
    </row>
    <row r="2253" spans="27:33" x14ac:dyDescent="0.3">
      <c r="AA2253"/>
      <c r="AG2253"/>
    </row>
    <row r="2254" spans="27:33" x14ac:dyDescent="0.3">
      <c r="AA2254"/>
      <c r="AG2254"/>
    </row>
    <row r="2255" spans="27:33" x14ac:dyDescent="0.3">
      <c r="AA2255"/>
      <c r="AG2255"/>
    </row>
    <row r="2256" spans="27:33" x14ac:dyDescent="0.3">
      <c r="AA2256"/>
      <c r="AG2256"/>
    </row>
    <row r="2257" spans="27:33" x14ac:dyDescent="0.3">
      <c r="AA2257"/>
      <c r="AG2257"/>
    </row>
    <row r="2258" spans="27:33" x14ac:dyDescent="0.3">
      <c r="AA2258"/>
      <c r="AG2258"/>
    </row>
    <row r="2259" spans="27:33" x14ac:dyDescent="0.3">
      <c r="AA2259"/>
      <c r="AG2259"/>
    </row>
    <row r="2260" spans="27:33" x14ac:dyDescent="0.3">
      <c r="AA2260"/>
      <c r="AG2260"/>
    </row>
    <row r="2261" spans="27:33" x14ac:dyDescent="0.3">
      <c r="AA2261"/>
      <c r="AG2261"/>
    </row>
    <row r="2262" spans="27:33" x14ac:dyDescent="0.3">
      <c r="AA2262"/>
      <c r="AG2262"/>
    </row>
    <row r="2263" spans="27:33" x14ac:dyDescent="0.3">
      <c r="AA2263"/>
      <c r="AG2263"/>
    </row>
    <row r="2264" spans="27:33" x14ac:dyDescent="0.3">
      <c r="AA2264"/>
      <c r="AG2264"/>
    </row>
    <row r="2265" spans="27:33" x14ac:dyDescent="0.3">
      <c r="AA2265"/>
      <c r="AG2265"/>
    </row>
    <row r="2266" spans="27:33" x14ac:dyDescent="0.3">
      <c r="AA2266"/>
      <c r="AG2266"/>
    </row>
    <row r="2267" spans="27:33" x14ac:dyDescent="0.3">
      <c r="AA2267"/>
      <c r="AG2267"/>
    </row>
    <row r="2268" spans="27:33" x14ac:dyDescent="0.3">
      <c r="AA2268"/>
      <c r="AG2268"/>
    </row>
    <row r="2269" spans="27:33" x14ac:dyDescent="0.3">
      <c r="AA2269"/>
      <c r="AG2269"/>
    </row>
    <row r="2270" spans="27:33" x14ac:dyDescent="0.3">
      <c r="AA2270"/>
      <c r="AG2270"/>
    </row>
    <row r="2271" spans="27:33" x14ac:dyDescent="0.3">
      <c r="AA2271"/>
      <c r="AG2271"/>
    </row>
    <row r="2272" spans="27:33" x14ac:dyDescent="0.3">
      <c r="AA2272"/>
      <c r="AG2272"/>
    </row>
    <row r="2273" spans="27:33" x14ac:dyDescent="0.3">
      <c r="AA2273"/>
      <c r="AG2273"/>
    </row>
    <row r="2274" spans="27:33" x14ac:dyDescent="0.3">
      <c r="AA2274"/>
      <c r="AG2274"/>
    </row>
    <row r="2275" spans="27:33" x14ac:dyDescent="0.3">
      <c r="AA2275"/>
      <c r="AG2275"/>
    </row>
    <row r="2276" spans="27:33" x14ac:dyDescent="0.3">
      <c r="AA2276"/>
      <c r="AG2276"/>
    </row>
    <row r="2277" spans="27:33" x14ac:dyDescent="0.3">
      <c r="AA2277"/>
      <c r="AG2277"/>
    </row>
    <row r="2278" spans="27:33" x14ac:dyDescent="0.3">
      <c r="AA2278"/>
      <c r="AG2278"/>
    </row>
    <row r="2279" spans="27:33" x14ac:dyDescent="0.3">
      <c r="AA2279"/>
      <c r="AG2279"/>
    </row>
    <row r="2280" spans="27:33" x14ac:dyDescent="0.3">
      <c r="AA2280"/>
      <c r="AG2280"/>
    </row>
    <row r="2281" spans="27:33" x14ac:dyDescent="0.3">
      <c r="AA2281"/>
      <c r="AG2281"/>
    </row>
    <row r="2282" spans="27:33" x14ac:dyDescent="0.3">
      <c r="AA2282"/>
      <c r="AG2282"/>
    </row>
    <row r="2283" spans="27:33" x14ac:dyDescent="0.3">
      <c r="AA2283"/>
      <c r="AG2283"/>
    </row>
    <row r="2284" spans="27:33" x14ac:dyDescent="0.3">
      <c r="AA2284"/>
      <c r="AG2284"/>
    </row>
    <row r="2285" spans="27:33" x14ac:dyDescent="0.3">
      <c r="AA2285"/>
      <c r="AG2285"/>
    </row>
    <row r="2286" spans="27:33" x14ac:dyDescent="0.3">
      <c r="AA2286"/>
      <c r="AG2286"/>
    </row>
    <row r="2287" spans="27:33" x14ac:dyDescent="0.3">
      <c r="AA2287"/>
      <c r="AG2287"/>
    </row>
    <row r="2288" spans="27:33" x14ac:dyDescent="0.3">
      <c r="AA2288"/>
      <c r="AG2288"/>
    </row>
    <row r="2289" spans="27:33" x14ac:dyDescent="0.3">
      <c r="AA2289"/>
      <c r="AG2289"/>
    </row>
    <row r="2290" spans="27:33" x14ac:dyDescent="0.3">
      <c r="AA2290"/>
      <c r="AG2290"/>
    </row>
    <row r="2291" spans="27:33" x14ac:dyDescent="0.3">
      <c r="AA2291"/>
      <c r="AG2291"/>
    </row>
    <row r="2292" spans="27:33" x14ac:dyDescent="0.3">
      <c r="AA2292"/>
      <c r="AG2292"/>
    </row>
    <row r="2293" spans="27:33" x14ac:dyDescent="0.3">
      <c r="AA2293"/>
      <c r="AG2293"/>
    </row>
    <row r="2294" spans="27:33" x14ac:dyDescent="0.3">
      <c r="AA2294"/>
      <c r="AG2294"/>
    </row>
    <row r="2295" spans="27:33" x14ac:dyDescent="0.3">
      <c r="AA2295"/>
      <c r="AG2295"/>
    </row>
    <row r="2296" spans="27:33" x14ac:dyDescent="0.3">
      <c r="AA2296"/>
      <c r="AG2296"/>
    </row>
    <row r="2297" spans="27:33" x14ac:dyDescent="0.3">
      <c r="AA2297"/>
      <c r="AG2297"/>
    </row>
    <row r="2298" spans="27:33" x14ac:dyDescent="0.3">
      <c r="AA2298"/>
      <c r="AG2298"/>
    </row>
    <row r="2299" spans="27:33" x14ac:dyDescent="0.3">
      <c r="AA2299"/>
      <c r="AG2299"/>
    </row>
    <row r="2300" spans="27:33" x14ac:dyDescent="0.3">
      <c r="AA2300"/>
      <c r="AG2300"/>
    </row>
    <row r="2301" spans="27:33" x14ac:dyDescent="0.3">
      <c r="AA2301"/>
      <c r="AG2301"/>
    </row>
    <row r="2302" spans="27:33" x14ac:dyDescent="0.3">
      <c r="AA2302"/>
      <c r="AG2302"/>
    </row>
    <row r="2303" spans="27:33" x14ac:dyDescent="0.3">
      <c r="AA2303"/>
      <c r="AG2303"/>
    </row>
    <row r="2304" spans="27:33" x14ac:dyDescent="0.3">
      <c r="AA2304"/>
      <c r="AG2304"/>
    </row>
    <row r="2305" spans="27:33" x14ac:dyDescent="0.3">
      <c r="AA2305"/>
      <c r="AG2305"/>
    </row>
    <row r="2306" spans="27:33" x14ac:dyDescent="0.3">
      <c r="AA2306"/>
      <c r="AG2306"/>
    </row>
    <row r="2307" spans="27:33" x14ac:dyDescent="0.3">
      <c r="AA2307"/>
      <c r="AG2307"/>
    </row>
    <row r="2308" spans="27:33" x14ac:dyDescent="0.3">
      <c r="AA2308"/>
      <c r="AG2308"/>
    </row>
    <row r="2309" spans="27:33" x14ac:dyDescent="0.3">
      <c r="AA2309"/>
      <c r="AG2309"/>
    </row>
    <row r="2310" spans="27:33" x14ac:dyDescent="0.3">
      <c r="AA2310"/>
      <c r="AG2310"/>
    </row>
    <row r="2311" spans="27:33" x14ac:dyDescent="0.3">
      <c r="AA2311"/>
      <c r="AG2311"/>
    </row>
    <row r="2312" spans="27:33" x14ac:dyDescent="0.3">
      <c r="AA2312"/>
      <c r="AG2312"/>
    </row>
    <row r="2313" spans="27:33" x14ac:dyDescent="0.3">
      <c r="AA2313"/>
      <c r="AG2313"/>
    </row>
    <row r="2314" spans="27:33" x14ac:dyDescent="0.3">
      <c r="AA2314"/>
      <c r="AG2314"/>
    </row>
    <row r="2315" spans="27:33" x14ac:dyDescent="0.3">
      <c r="AA2315"/>
      <c r="AG2315"/>
    </row>
    <row r="2316" spans="27:33" x14ac:dyDescent="0.3">
      <c r="AA2316"/>
      <c r="AG2316"/>
    </row>
    <row r="2317" spans="27:33" x14ac:dyDescent="0.3">
      <c r="AA2317"/>
      <c r="AG2317"/>
    </row>
    <row r="2318" spans="27:33" x14ac:dyDescent="0.3">
      <c r="AA2318"/>
      <c r="AG2318"/>
    </row>
    <row r="2319" spans="27:33" x14ac:dyDescent="0.3">
      <c r="AA2319"/>
      <c r="AG2319"/>
    </row>
    <row r="2320" spans="27:33" x14ac:dyDescent="0.3">
      <c r="AA2320"/>
      <c r="AG2320"/>
    </row>
    <row r="2321" spans="27:33" x14ac:dyDescent="0.3">
      <c r="AA2321"/>
      <c r="AG2321"/>
    </row>
    <row r="2322" spans="27:33" x14ac:dyDescent="0.3">
      <c r="AA2322"/>
      <c r="AG2322"/>
    </row>
    <row r="2323" spans="27:33" x14ac:dyDescent="0.3">
      <c r="AA2323"/>
      <c r="AG2323"/>
    </row>
    <row r="2324" spans="27:33" x14ac:dyDescent="0.3">
      <c r="AA2324"/>
      <c r="AG2324"/>
    </row>
    <row r="2325" spans="27:33" x14ac:dyDescent="0.3">
      <c r="AA2325"/>
      <c r="AG2325"/>
    </row>
    <row r="2326" spans="27:33" x14ac:dyDescent="0.3">
      <c r="AA2326"/>
      <c r="AG2326"/>
    </row>
    <row r="2327" spans="27:33" x14ac:dyDescent="0.3">
      <c r="AA2327"/>
      <c r="AG2327"/>
    </row>
    <row r="2328" spans="27:33" x14ac:dyDescent="0.3">
      <c r="AA2328"/>
      <c r="AG2328"/>
    </row>
    <row r="2329" spans="27:33" x14ac:dyDescent="0.3">
      <c r="AA2329"/>
      <c r="AG2329"/>
    </row>
    <row r="2330" spans="27:33" x14ac:dyDescent="0.3">
      <c r="AA2330"/>
      <c r="AG2330"/>
    </row>
    <row r="2331" spans="27:33" x14ac:dyDescent="0.3">
      <c r="AA2331"/>
      <c r="AG2331"/>
    </row>
    <row r="2332" spans="27:33" x14ac:dyDescent="0.3">
      <c r="AA2332"/>
      <c r="AG2332"/>
    </row>
    <row r="2333" spans="27:33" x14ac:dyDescent="0.3">
      <c r="AA2333"/>
      <c r="AG2333"/>
    </row>
    <row r="2334" spans="27:33" x14ac:dyDescent="0.3">
      <c r="AA2334"/>
      <c r="AG2334"/>
    </row>
    <row r="2335" spans="27:33" x14ac:dyDescent="0.3">
      <c r="AA2335"/>
      <c r="AG2335"/>
    </row>
    <row r="2336" spans="27:33" x14ac:dyDescent="0.3">
      <c r="AA2336"/>
      <c r="AG2336"/>
    </row>
    <row r="2337" spans="27:33" x14ac:dyDescent="0.3">
      <c r="AA2337"/>
      <c r="AG2337"/>
    </row>
    <row r="2338" spans="27:33" x14ac:dyDescent="0.3">
      <c r="AA2338"/>
      <c r="AG2338"/>
    </row>
    <row r="2339" spans="27:33" x14ac:dyDescent="0.3">
      <c r="AA2339"/>
      <c r="AG2339"/>
    </row>
    <row r="2340" spans="27:33" x14ac:dyDescent="0.3">
      <c r="AA2340"/>
      <c r="AG2340"/>
    </row>
    <row r="2341" spans="27:33" x14ac:dyDescent="0.3">
      <c r="AA2341"/>
      <c r="AG2341"/>
    </row>
    <row r="2342" spans="27:33" x14ac:dyDescent="0.3">
      <c r="AA2342"/>
      <c r="AG2342"/>
    </row>
    <row r="2343" spans="27:33" x14ac:dyDescent="0.3">
      <c r="AA2343"/>
      <c r="AG2343"/>
    </row>
    <row r="2344" spans="27:33" x14ac:dyDescent="0.3">
      <c r="AA2344"/>
      <c r="AG2344"/>
    </row>
    <row r="2345" spans="27:33" x14ac:dyDescent="0.3">
      <c r="AA2345"/>
      <c r="AG2345"/>
    </row>
    <row r="2346" spans="27:33" x14ac:dyDescent="0.3">
      <c r="AA2346"/>
      <c r="AG2346"/>
    </row>
    <row r="2347" spans="27:33" x14ac:dyDescent="0.3">
      <c r="AA2347"/>
      <c r="AG2347"/>
    </row>
    <row r="2348" spans="27:33" x14ac:dyDescent="0.3">
      <c r="AA2348"/>
      <c r="AG2348"/>
    </row>
    <row r="2349" spans="27:33" x14ac:dyDescent="0.3">
      <c r="AA2349"/>
      <c r="AG2349"/>
    </row>
    <row r="2350" spans="27:33" x14ac:dyDescent="0.3">
      <c r="AA2350"/>
      <c r="AG2350"/>
    </row>
    <row r="2351" spans="27:33" x14ac:dyDescent="0.3">
      <c r="AA2351"/>
      <c r="AG2351"/>
    </row>
    <row r="2352" spans="27:33" x14ac:dyDescent="0.3">
      <c r="AA2352"/>
      <c r="AG2352"/>
    </row>
    <row r="2353" spans="27:33" x14ac:dyDescent="0.3">
      <c r="AA2353"/>
      <c r="AG2353"/>
    </row>
    <row r="2354" spans="27:33" x14ac:dyDescent="0.3">
      <c r="AA2354"/>
      <c r="AG2354"/>
    </row>
    <row r="2355" spans="27:33" x14ac:dyDescent="0.3">
      <c r="AA2355"/>
      <c r="AG2355"/>
    </row>
    <row r="2356" spans="27:33" x14ac:dyDescent="0.3">
      <c r="AA2356"/>
      <c r="AG2356"/>
    </row>
    <row r="2357" spans="27:33" x14ac:dyDescent="0.3">
      <c r="AA2357"/>
      <c r="AG2357"/>
    </row>
    <row r="2358" spans="27:33" x14ac:dyDescent="0.3">
      <c r="AA2358"/>
      <c r="AG2358"/>
    </row>
    <row r="2359" spans="27:33" x14ac:dyDescent="0.3">
      <c r="AA2359"/>
      <c r="AG2359"/>
    </row>
    <row r="2360" spans="27:33" x14ac:dyDescent="0.3">
      <c r="AA2360"/>
      <c r="AG2360"/>
    </row>
    <row r="2361" spans="27:33" x14ac:dyDescent="0.3">
      <c r="AA2361"/>
      <c r="AG2361"/>
    </row>
    <row r="2362" spans="27:33" x14ac:dyDescent="0.3">
      <c r="AA2362"/>
      <c r="AG2362"/>
    </row>
    <row r="2363" spans="27:33" x14ac:dyDescent="0.3">
      <c r="AA2363"/>
      <c r="AG2363"/>
    </row>
    <row r="2364" spans="27:33" x14ac:dyDescent="0.3">
      <c r="AA2364"/>
      <c r="AG2364"/>
    </row>
    <row r="2365" spans="27:33" x14ac:dyDescent="0.3">
      <c r="AA2365"/>
      <c r="AG2365"/>
    </row>
    <row r="2366" spans="27:33" x14ac:dyDescent="0.3">
      <c r="AA2366"/>
      <c r="AG2366"/>
    </row>
    <row r="2367" spans="27:33" x14ac:dyDescent="0.3">
      <c r="AA2367"/>
      <c r="AG2367"/>
    </row>
    <row r="2368" spans="27:33" x14ac:dyDescent="0.3">
      <c r="AA2368"/>
      <c r="AG2368"/>
    </row>
    <row r="2369" spans="27:33" x14ac:dyDescent="0.3">
      <c r="AA2369"/>
      <c r="AG2369"/>
    </row>
    <row r="2370" spans="27:33" x14ac:dyDescent="0.3">
      <c r="AA2370"/>
      <c r="AG2370"/>
    </row>
    <row r="2371" spans="27:33" x14ac:dyDescent="0.3">
      <c r="AA2371"/>
      <c r="AG2371"/>
    </row>
    <row r="2372" spans="27:33" x14ac:dyDescent="0.3">
      <c r="AA2372"/>
      <c r="AG2372"/>
    </row>
    <row r="2373" spans="27:33" x14ac:dyDescent="0.3">
      <c r="AA2373"/>
      <c r="AG2373"/>
    </row>
    <row r="2374" spans="27:33" x14ac:dyDescent="0.3">
      <c r="AA2374"/>
      <c r="AG2374"/>
    </row>
    <row r="2375" spans="27:33" x14ac:dyDescent="0.3">
      <c r="AA2375"/>
      <c r="AG2375"/>
    </row>
    <row r="2376" spans="27:33" x14ac:dyDescent="0.3">
      <c r="AA2376"/>
      <c r="AG2376"/>
    </row>
    <row r="2377" spans="27:33" x14ac:dyDescent="0.3">
      <c r="AA2377"/>
      <c r="AG2377"/>
    </row>
    <row r="2378" spans="27:33" x14ac:dyDescent="0.3">
      <c r="AA2378"/>
      <c r="AG2378"/>
    </row>
    <row r="2379" spans="27:33" x14ac:dyDescent="0.3">
      <c r="AA2379"/>
      <c r="AG2379"/>
    </row>
    <row r="2380" spans="27:33" x14ac:dyDescent="0.3">
      <c r="AA2380"/>
      <c r="AG2380"/>
    </row>
    <row r="2381" spans="27:33" x14ac:dyDescent="0.3">
      <c r="AA2381"/>
      <c r="AG2381"/>
    </row>
    <row r="2382" spans="27:33" x14ac:dyDescent="0.3">
      <c r="AA2382"/>
      <c r="AG2382"/>
    </row>
    <row r="2383" spans="27:33" x14ac:dyDescent="0.3">
      <c r="AA2383"/>
      <c r="AG2383"/>
    </row>
    <row r="2384" spans="27:33" x14ac:dyDescent="0.3">
      <c r="AA2384"/>
      <c r="AG2384"/>
    </row>
    <row r="2385" spans="27:33" x14ac:dyDescent="0.3">
      <c r="AA2385"/>
      <c r="AG2385"/>
    </row>
    <row r="2386" spans="27:33" x14ac:dyDescent="0.3">
      <c r="AA2386"/>
      <c r="AG2386"/>
    </row>
    <row r="2387" spans="27:33" x14ac:dyDescent="0.3">
      <c r="AA2387"/>
      <c r="AG2387"/>
    </row>
    <row r="2388" spans="27:33" x14ac:dyDescent="0.3">
      <c r="AA2388"/>
      <c r="AG2388"/>
    </row>
    <row r="2389" spans="27:33" x14ac:dyDescent="0.3">
      <c r="AA2389"/>
      <c r="AG2389"/>
    </row>
    <row r="2390" spans="27:33" x14ac:dyDescent="0.3">
      <c r="AA2390"/>
      <c r="AG2390"/>
    </row>
    <row r="2391" spans="27:33" x14ac:dyDescent="0.3">
      <c r="AA2391"/>
      <c r="AG2391"/>
    </row>
    <row r="2392" spans="27:33" x14ac:dyDescent="0.3">
      <c r="AA2392"/>
      <c r="AG2392"/>
    </row>
    <row r="2393" spans="27:33" x14ac:dyDescent="0.3">
      <c r="AA2393"/>
      <c r="AG2393"/>
    </row>
    <row r="2394" spans="27:33" x14ac:dyDescent="0.3">
      <c r="AA2394"/>
      <c r="AG2394"/>
    </row>
    <row r="2395" spans="27:33" x14ac:dyDescent="0.3">
      <c r="AA2395"/>
      <c r="AG2395"/>
    </row>
    <row r="2396" spans="27:33" x14ac:dyDescent="0.3">
      <c r="AA2396"/>
      <c r="AG2396"/>
    </row>
    <row r="2397" spans="27:33" x14ac:dyDescent="0.3">
      <c r="AA2397"/>
      <c r="AG2397"/>
    </row>
    <row r="2398" spans="27:33" x14ac:dyDescent="0.3">
      <c r="AA2398"/>
      <c r="AG2398"/>
    </row>
    <row r="2399" spans="27:33" x14ac:dyDescent="0.3">
      <c r="AA2399"/>
      <c r="AG2399"/>
    </row>
    <row r="2400" spans="27:33" x14ac:dyDescent="0.3">
      <c r="AA2400"/>
      <c r="AG2400"/>
    </row>
    <row r="2401" spans="27:33" x14ac:dyDescent="0.3">
      <c r="AA2401"/>
      <c r="AG2401"/>
    </row>
    <row r="2402" spans="27:33" x14ac:dyDescent="0.3">
      <c r="AA2402"/>
      <c r="AG2402"/>
    </row>
    <row r="2403" spans="27:33" x14ac:dyDescent="0.3">
      <c r="AA2403"/>
      <c r="AG2403"/>
    </row>
    <row r="2404" spans="27:33" x14ac:dyDescent="0.3">
      <c r="AA2404"/>
      <c r="AG2404"/>
    </row>
    <row r="2405" spans="27:33" x14ac:dyDescent="0.3">
      <c r="AA2405"/>
      <c r="AG2405"/>
    </row>
    <row r="2406" spans="27:33" x14ac:dyDescent="0.3">
      <c r="AA2406"/>
      <c r="AG2406"/>
    </row>
    <row r="2407" spans="27:33" x14ac:dyDescent="0.3">
      <c r="AA2407"/>
      <c r="AG2407"/>
    </row>
    <row r="2408" spans="27:33" x14ac:dyDescent="0.3">
      <c r="AA2408"/>
      <c r="AG2408"/>
    </row>
    <row r="2409" spans="27:33" x14ac:dyDescent="0.3">
      <c r="AA2409"/>
      <c r="AG2409"/>
    </row>
    <row r="2410" spans="27:33" x14ac:dyDescent="0.3">
      <c r="AA2410"/>
      <c r="AG2410"/>
    </row>
    <row r="2411" spans="27:33" x14ac:dyDescent="0.3">
      <c r="AA2411"/>
      <c r="AG2411"/>
    </row>
    <row r="2412" spans="27:33" x14ac:dyDescent="0.3">
      <c r="AA2412"/>
      <c r="AG2412"/>
    </row>
    <row r="2413" spans="27:33" x14ac:dyDescent="0.3">
      <c r="AA2413"/>
      <c r="AG2413"/>
    </row>
    <row r="2414" spans="27:33" x14ac:dyDescent="0.3">
      <c r="AA2414"/>
      <c r="AG2414"/>
    </row>
    <row r="2415" spans="27:33" x14ac:dyDescent="0.3">
      <c r="AA2415"/>
      <c r="AG2415"/>
    </row>
    <row r="2416" spans="27:33" x14ac:dyDescent="0.3">
      <c r="AA2416"/>
      <c r="AG2416"/>
    </row>
    <row r="2417" spans="27:33" x14ac:dyDescent="0.3">
      <c r="AA2417"/>
      <c r="AG2417"/>
    </row>
    <row r="2418" spans="27:33" x14ac:dyDescent="0.3">
      <c r="AA2418"/>
      <c r="AG2418"/>
    </row>
    <row r="2419" spans="27:33" x14ac:dyDescent="0.3">
      <c r="AA2419"/>
      <c r="AG2419"/>
    </row>
    <row r="2420" spans="27:33" x14ac:dyDescent="0.3">
      <c r="AA2420"/>
      <c r="AG2420"/>
    </row>
    <row r="2421" spans="27:33" x14ac:dyDescent="0.3">
      <c r="AA2421"/>
      <c r="AG2421"/>
    </row>
    <row r="2422" spans="27:33" x14ac:dyDescent="0.3">
      <c r="AA2422"/>
      <c r="AG2422"/>
    </row>
    <row r="2423" spans="27:33" x14ac:dyDescent="0.3">
      <c r="AA2423"/>
      <c r="AG2423"/>
    </row>
    <row r="2424" spans="27:33" x14ac:dyDescent="0.3">
      <c r="AA2424"/>
      <c r="AG2424"/>
    </row>
    <row r="2425" spans="27:33" x14ac:dyDescent="0.3">
      <c r="AA2425"/>
      <c r="AG2425"/>
    </row>
    <row r="2426" spans="27:33" x14ac:dyDescent="0.3">
      <c r="AA2426"/>
      <c r="AG2426"/>
    </row>
    <row r="2427" spans="27:33" x14ac:dyDescent="0.3">
      <c r="AA2427"/>
      <c r="AG2427"/>
    </row>
    <row r="2428" spans="27:33" x14ac:dyDescent="0.3">
      <c r="AA2428"/>
      <c r="AG2428"/>
    </row>
    <row r="2429" spans="27:33" x14ac:dyDescent="0.3">
      <c r="AA2429"/>
      <c r="AG2429"/>
    </row>
    <row r="2430" spans="27:33" x14ac:dyDescent="0.3">
      <c r="AA2430"/>
      <c r="AG2430"/>
    </row>
    <row r="2431" spans="27:33" x14ac:dyDescent="0.3">
      <c r="AA2431"/>
      <c r="AG2431"/>
    </row>
    <row r="2432" spans="27:33" x14ac:dyDescent="0.3">
      <c r="AA2432"/>
      <c r="AG2432"/>
    </row>
    <row r="2433" spans="27:33" x14ac:dyDescent="0.3">
      <c r="AA2433"/>
      <c r="AG2433"/>
    </row>
    <row r="2434" spans="27:33" x14ac:dyDescent="0.3">
      <c r="AA2434"/>
      <c r="AG2434"/>
    </row>
    <row r="2435" spans="27:33" x14ac:dyDescent="0.3">
      <c r="AA2435"/>
      <c r="AG2435"/>
    </row>
    <row r="2436" spans="27:33" x14ac:dyDescent="0.3">
      <c r="AA2436"/>
      <c r="AG2436"/>
    </row>
    <row r="2437" spans="27:33" x14ac:dyDescent="0.3">
      <c r="AA2437"/>
      <c r="AG2437"/>
    </row>
    <row r="2438" spans="27:33" x14ac:dyDescent="0.3">
      <c r="AA2438"/>
      <c r="AG2438"/>
    </row>
    <row r="2439" spans="27:33" x14ac:dyDescent="0.3">
      <c r="AA2439"/>
      <c r="AG2439"/>
    </row>
    <row r="2440" spans="27:33" x14ac:dyDescent="0.3">
      <c r="AA2440"/>
      <c r="AG2440"/>
    </row>
    <row r="2441" spans="27:33" x14ac:dyDescent="0.3">
      <c r="AA2441"/>
      <c r="AG2441"/>
    </row>
    <row r="2442" spans="27:33" x14ac:dyDescent="0.3">
      <c r="AA2442"/>
      <c r="AG2442"/>
    </row>
    <row r="2443" spans="27:33" x14ac:dyDescent="0.3">
      <c r="AA2443"/>
      <c r="AG2443"/>
    </row>
    <row r="2444" spans="27:33" x14ac:dyDescent="0.3">
      <c r="AA2444"/>
      <c r="AG2444"/>
    </row>
    <row r="2445" spans="27:33" x14ac:dyDescent="0.3">
      <c r="AA2445"/>
      <c r="AG2445"/>
    </row>
    <row r="2446" spans="27:33" x14ac:dyDescent="0.3">
      <c r="AA2446"/>
      <c r="AG2446"/>
    </row>
    <row r="2447" spans="27:33" x14ac:dyDescent="0.3">
      <c r="AA2447"/>
      <c r="AG2447"/>
    </row>
    <row r="2448" spans="27:33" x14ac:dyDescent="0.3">
      <c r="AA2448"/>
      <c r="AG2448"/>
    </row>
    <row r="2449" spans="27:33" x14ac:dyDescent="0.3">
      <c r="AA2449"/>
      <c r="AG2449"/>
    </row>
    <row r="2450" spans="27:33" x14ac:dyDescent="0.3">
      <c r="AA2450"/>
      <c r="AG2450"/>
    </row>
    <row r="2451" spans="27:33" x14ac:dyDescent="0.3">
      <c r="AA2451"/>
      <c r="AG2451"/>
    </row>
    <row r="2452" spans="27:33" x14ac:dyDescent="0.3">
      <c r="AA2452"/>
      <c r="AG2452"/>
    </row>
    <row r="2453" spans="27:33" x14ac:dyDescent="0.3">
      <c r="AA2453"/>
      <c r="AG2453"/>
    </row>
    <row r="2454" spans="27:33" x14ac:dyDescent="0.3">
      <c r="AA2454"/>
      <c r="AG2454"/>
    </row>
    <row r="2455" spans="27:33" x14ac:dyDescent="0.3">
      <c r="AA2455"/>
      <c r="AG2455"/>
    </row>
    <row r="2456" spans="27:33" x14ac:dyDescent="0.3">
      <c r="AA2456"/>
      <c r="AG2456"/>
    </row>
    <row r="2457" spans="27:33" x14ac:dyDescent="0.3">
      <c r="AA2457"/>
      <c r="AG2457"/>
    </row>
    <row r="2458" spans="27:33" x14ac:dyDescent="0.3">
      <c r="AA2458"/>
      <c r="AG2458"/>
    </row>
    <row r="2459" spans="27:33" x14ac:dyDescent="0.3">
      <c r="AA2459"/>
      <c r="AG2459"/>
    </row>
    <row r="2460" spans="27:33" x14ac:dyDescent="0.3">
      <c r="AA2460"/>
      <c r="AG2460"/>
    </row>
    <row r="2461" spans="27:33" x14ac:dyDescent="0.3">
      <c r="AA2461"/>
      <c r="AG2461"/>
    </row>
    <row r="2462" spans="27:33" x14ac:dyDescent="0.3">
      <c r="AA2462"/>
      <c r="AG2462"/>
    </row>
    <row r="2463" spans="27:33" x14ac:dyDescent="0.3">
      <c r="AA2463"/>
      <c r="AG2463"/>
    </row>
    <row r="2464" spans="27:33" x14ac:dyDescent="0.3">
      <c r="AA2464"/>
      <c r="AG2464"/>
    </row>
    <row r="2465" spans="27:33" x14ac:dyDescent="0.3">
      <c r="AA2465"/>
      <c r="AG2465"/>
    </row>
    <row r="2466" spans="27:33" x14ac:dyDescent="0.3">
      <c r="AA2466"/>
      <c r="AG2466"/>
    </row>
    <row r="2467" spans="27:33" x14ac:dyDescent="0.3">
      <c r="AA2467"/>
      <c r="AG2467"/>
    </row>
    <row r="2468" spans="27:33" x14ac:dyDescent="0.3">
      <c r="AA2468"/>
      <c r="AG2468"/>
    </row>
    <row r="2469" spans="27:33" x14ac:dyDescent="0.3">
      <c r="AA2469"/>
      <c r="AG2469"/>
    </row>
    <row r="2470" spans="27:33" x14ac:dyDescent="0.3">
      <c r="AA2470"/>
      <c r="AG2470"/>
    </row>
    <row r="2471" spans="27:33" x14ac:dyDescent="0.3">
      <c r="AA2471"/>
      <c r="AG2471"/>
    </row>
    <row r="2472" spans="27:33" x14ac:dyDescent="0.3">
      <c r="AA2472"/>
      <c r="AG2472"/>
    </row>
    <row r="2473" spans="27:33" x14ac:dyDescent="0.3">
      <c r="AA2473"/>
      <c r="AG2473"/>
    </row>
    <row r="2474" spans="27:33" x14ac:dyDescent="0.3">
      <c r="AA2474"/>
      <c r="AG2474"/>
    </row>
    <row r="2475" spans="27:33" x14ac:dyDescent="0.3">
      <c r="AA2475"/>
      <c r="AG2475"/>
    </row>
    <row r="2476" spans="27:33" x14ac:dyDescent="0.3">
      <c r="AA2476"/>
      <c r="AG2476"/>
    </row>
    <row r="2477" spans="27:33" x14ac:dyDescent="0.3">
      <c r="AA2477"/>
      <c r="AG2477"/>
    </row>
    <row r="2478" spans="27:33" x14ac:dyDescent="0.3">
      <c r="AA2478"/>
      <c r="AG2478"/>
    </row>
    <row r="2479" spans="27:33" x14ac:dyDescent="0.3">
      <c r="AA2479"/>
      <c r="AG2479"/>
    </row>
    <row r="2480" spans="27:33" x14ac:dyDescent="0.3">
      <c r="AA2480"/>
      <c r="AG2480"/>
    </row>
    <row r="2481" spans="27:33" x14ac:dyDescent="0.3">
      <c r="AA2481"/>
      <c r="AG2481"/>
    </row>
    <row r="2482" spans="27:33" x14ac:dyDescent="0.3">
      <c r="AA2482"/>
      <c r="AG2482"/>
    </row>
    <row r="2483" spans="27:33" x14ac:dyDescent="0.3">
      <c r="AA2483"/>
      <c r="AG2483"/>
    </row>
    <row r="2484" spans="27:33" x14ac:dyDescent="0.3">
      <c r="AA2484"/>
      <c r="AG2484"/>
    </row>
    <row r="2485" spans="27:33" x14ac:dyDescent="0.3">
      <c r="AA2485"/>
      <c r="AG2485"/>
    </row>
    <row r="2486" spans="27:33" x14ac:dyDescent="0.3">
      <c r="AA2486"/>
      <c r="AG2486"/>
    </row>
    <row r="2487" spans="27:33" x14ac:dyDescent="0.3">
      <c r="AA2487"/>
      <c r="AG2487"/>
    </row>
    <row r="2488" spans="27:33" x14ac:dyDescent="0.3">
      <c r="AA2488"/>
      <c r="AG2488"/>
    </row>
    <row r="2489" spans="27:33" x14ac:dyDescent="0.3">
      <c r="AA2489"/>
      <c r="AG2489"/>
    </row>
    <row r="2490" spans="27:33" x14ac:dyDescent="0.3">
      <c r="AA2490"/>
      <c r="AG2490"/>
    </row>
    <row r="2491" spans="27:33" x14ac:dyDescent="0.3">
      <c r="AA2491"/>
      <c r="AG2491"/>
    </row>
    <row r="2492" spans="27:33" x14ac:dyDescent="0.3">
      <c r="AA2492"/>
      <c r="AG2492"/>
    </row>
    <row r="2493" spans="27:33" x14ac:dyDescent="0.3">
      <c r="AA2493"/>
      <c r="AG2493"/>
    </row>
    <row r="2494" spans="27:33" x14ac:dyDescent="0.3">
      <c r="AA2494"/>
      <c r="AG2494"/>
    </row>
    <row r="2495" spans="27:33" x14ac:dyDescent="0.3">
      <c r="AA2495"/>
      <c r="AG2495"/>
    </row>
    <row r="2496" spans="27:33" x14ac:dyDescent="0.3">
      <c r="AA2496"/>
      <c r="AG2496"/>
    </row>
    <row r="2497" spans="27:33" x14ac:dyDescent="0.3">
      <c r="AA2497"/>
      <c r="AG2497"/>
    </row>
    <row r="2498" spans="27:33" x14ac:dyDescent="0.3">
      <c r="AA2498"/>
      <c r="AG2498"/>
    </row>
    <row r="2499" spans="27:33" x14ac:dyDescent="0.3">
      <c r="AA2499"/>
      <c r="AG2499"/>
    </row>
    <row r="2500" spans="27:33" x14ac:dyDescent="0.3">
      <c r="AA2500"/>
      <c r="AG2500"/>
    </row>
    <row r="2501" spans="27:33" x14ac:dyDescent="0.3">
      <c r="AA2501"/>
      <c r="AG2501"/>
    </row>
    <row r="2502" spans="27:33" x14ac:dyDescent="0.3">
      <c r="AA2502"/>
      <c r="AG2502"/>
    </row>
    <row r="2503" spans="27:33" x14ac:dyDescent="0.3">
      <c r="AA2503"/>
      <c r="AG2503"/>
    </row>
    <row r="2504" spans="27:33" x14ac:dyDescent="0.3">
      <c r="AA2504"/>
      <c r="AG2504"/>
    </row>
    <row r="2505" spans="27:33" x14ac:dyDescent="0.3">
      <c r="AA2505"/>
      <c r="AG2505"/>
    </row>
    <row r="2506" spans="27:33" x14ac:dyDescent="0.3">
      <c r="AA2506"/>
      <c r="AG2506"/>
    </row>
    <row r="2507" spans="27:33" x14ac:dyDescent="0.3">
      <c r="AA2507"/>
      <c r="AG2507"/>
    </row>
    <row r="2508" spans="27:33" x14ac:dyDescent="0.3">
      <c r="AA2508"/>
      <c r="AG2508"/>
    </row>
    <row r="2509" spans="27:33" x14ac:dyDescent="0.3">
      <c r="AA2509"/>
      <c r="AG2509"/>
    </row>
    <row r="2510" spans="27:33" x14ac:dyDescent="0.3">
      <c r="AA2510"/>
      <c r="AG2510"/>
    </row>
    <row r="2511" spans="27:33" x14ac:dyDescent="0.3">
      <c r="AA2511"/>
      <c r="AG2511"/>
    </row>
    <row r="2512" spans="27:33" x14ac:dyDescent="0.3">
      <c r="AA2512"/>
      <c r="AG2512"/>
    </row>
    <row r="2513" spans="27:33" x14ac:dyDescent="0.3">
      <c r="AA2513"/>
      <c r="AG2513"/>
    </row>
    <row r="2514" spans="27:33" x14ac:dyDescent="0.3">
      <c r="AA2514"/>
      <c r="AG2514"/>
    </row>
    <row r="2515" spans="27:33" x14ac:dyDescent="0.3">
      <c r="AA2515"/>
      <c r="AG2515"/>
    </row>
    <row r="2516" spans="27:33" x14ac:dyDescent="0.3">
      <c r="AA2516"/>
      <c r="AG2516"/>
    </row>
    <row r="2517" spans="27:33" x14ac:dyDescent="0.3">
      <c r="AA2517"/>
      <c r="AG2517"/>
    </row>
    <row r="2518" spans="27:33" x14ac:dyDescent="0.3">
      <c r="AA2518"/>
      <c r="AG2518"/>
    </row>
    <row r="2519" spans="27:33" x14ac:dyDescent="0.3">
      <c r="AA2519"/>
      <c r="AG2519"/>
    </row>
    <row r="2520" spans="27:33" x14ac:dyDescent="0.3">
      <c r="AA2520"/>
      <c r="AG2520"/>
    </row>
    <row r="2521" spans="27:33" x14ac:dyDescent="0.3">
      <c r="AA2521"/>
      <c r="AG2521"/>
    </row>
    <row r="2522" spans="27:33" x14ac:dyDescent="0.3">
      <c r="AA2522"/>
      <c r="AG2522"/>
    </row>
    <row r="2523" spans="27:33" x14ac:dyDescent="0.3">
      <c r="AA2523"/>
      <c r="AG2523"/>
    </row>
    <row r="2524" spans="27:33" x14ac:dyDescent="0.3">
      <c r="AA2524"/>
      <c r="AG2524"/>
    </row>
    <row r="2525" spans="27:33" x14ac:dyDescent="0.3">
      <c r="AA2525"/>
      <c r="AG2525"/>
    </row>
    <row r="2526" spans="27:33" x14ac:dyDescent="0.3">
      <c r="AA2526"/>
      <c r="AG2526"/>
    </row>
    <row r="2527" spans="27:33" x14ac:dyDescent="0.3">
      <c r="AA2527"/>
      <c r="AG2527"/>
    </row>
    <row r="2528" spans="27:33" x14ac:dyDescent="0.3">
      <c r="AA2528"/>
      <c r="AG2528"/>
    </row>
    <row r="2529" spans="27:33" x14ac:dyDescent="0.3">
      <c r="AA2529"/>
      <c r="AG2529"/>
    </row>
    <row r="2530" spans="27:33" x14ac:dyDescent="0.3">
      <c r="AA2530"/>
      <c r="AG2530"/>
    </row>
    <row r="2531" spans="27:33" x14ac:dyDescent="0.3">
      <c r="AA2531"/>
      <c r="AG2531"/>
    </row>
    <row r="2532" spans="27:33" x14ac:dyDescent="0.3">
      <c r="AA2532"/>
      <c r="AG2532"/>
    </row>
    <row r="2533" spans="27:33" x14ac:dyDescent="0.3">
      <c r="AA2533"/>
      <c r="AG2533"/>
    </row>
    <row r="2534" spans="27:33" x14ac:dyDescent="0.3">
      <c r="AA2534"/>
      <c r="AG2534"/>
    </row>
    <row r="2535" spans="27:33" x14ac:dyDescent="0.3">
      <c r="AA2535"/>
      <c r="AG2535"/>
    </row>
    <row r="2536" spans="27:33" x14ac:dyDescent="0.3">
      <c r="AA2536"/>
      <c r="AG2536"/>
    </row>
    <row r="2537" spans="27:33" x14ac:dyDescent="0.3">
      <c r="AA2537"/>
      <c r="AG2537"/>
    </row>
    <row r="2538" spans="27:33" x14ac:dyDescent="0.3">
      <c r="AA2538"/>
      <c r="AG2538"/>
    </row>
    <row r="2539" spans="27:33" x14ac:dyDescent="0.3">
      <c r="AA2539"/>
      <c r="AG2539"/>
    </row>
    <row r="2540" spans="27:33" x14ac:dyDescent="0.3">
      <c r="AA2540"/>
      <c r="AG2540"/>
    </row>
    <row r="2541" spans="27:33" x14ac:dyDescent="0.3">
      <c r="AA2541"/>
      <c r="AG2541"/>
    </row>
    <row r="2542" spans="27:33" x14ac:dyDescent="0.3">
      <c r="AA2542"/>
      <c r="AG2542"/>
    </row>
    <row r="2543" spans="27:33" x14ac:dyDescent="0.3">
      <c r="AA2543"/>
      <c r="AG2543"/>
    </row>
    <row r="2544" spans="27:33" x14ac:dyDescent="0.3">
      <c r="AA2544"/>
      <c r="AG2544"/>
    </row>
    <row r="2545" spans="27:33" x14ac:dyDescent="0.3">
      <c r="AA2545"/>
      <c r="AG2545"/>
    </row>
    <row r="2546" spans="27:33" x14ac:dyDescent="0.3">
      <c r="AA2546"/>
      <c r="AG2546"/>
    </row>
    <row r="2547" spans="27:33" x14ac:dyDescent="0.3">
      <c r="AA2547"/>
      <c r="AG2547"/>
    </row>
    <row r="2548" spans="27:33" x14ac:dyDescent="0.3">
      <c r="AA2548"/>
      <c r="AG2548"/>
    </row>
    <row r="2549" spans="27:33" x14ac:dyDescent="0.3">
      <c r="AA2549"/>
      <c r="AG2549"/>
    </row>
    <row r="2550" spans="27:33" x14ac:dyDescent="0.3">
      <c r="AA2550"/>
      <c r="AG2550"/>
    </row>
    <row r="2551" spans="27:33" x14ac:dyDescent="0.3">
      <c r="AA2551"/>
      <c r="AG2551"/>
    </row>
    <row r="2552" spans="27:33" x14ac:dyDescent="0.3">
      <c r="AA2552"/>
      <c r="AG2552"/>
    </row>
    <row r="2553" spans="27:33" x14ac:dyDescent="0.3">
      <c r="AA2553"/>
      <c r="AG2553"/>
    </row>
    <row r="2554" spans="27:33" x14ac:dyDescent="0.3">
      <c r="AA2554"/>
      <c r="AG2554"/>
    </row>
    <row r="2555" spans="27:33" x14ac:dyDescent="0.3">
      <c r="AA2555"/>
      <c r="AG2555"/>
    </row>
    <row r="2556" spans="27:33" x14ac:dyDescent="0.3">
      <c r="AA2556"/>
      <c r="AG2556"/>
    </row>
    <row r="2557" spans="27:33" x14ac:dyDescent="0.3">
      <c r="AA2557"/>
      <c r="AG2557"/>
    </row>
    <row r="2558" spans="27:33" x14ac:dyDescent="0.3">
      <c r="AA2558"/>
      <c r="AG2558"/>
    </row>
    <row r="2559" spans="27:33" x14ac:dyDescent="0.3">
      <c r="AA2559"/>
      <c r="AG2559"/>
    </row>
    <row r="2560" spans="27:33" x14ac:dyDescent="0.3">
      <c r="AA2560"/>
      <c r="AG2560"/>
    </row>
    <row r="2561" spans="27:33" x14ac:dyDescent="0.3">
      <c r="AA2561"/>
      <c r="AG2561"/>
    </row>
    <row r="2562" spans="27:33" x14ac:dyDescent="0.3">
      <c r="AA2562"/>
      <c r="AG2562"/>
    </row>
    <row r="2563" spans="27:33" x14ac:dyDescent="0.3">
      <c r="AA2563"/>
      <c r="AG2563"/>
    </row>
    <row r="2564" spans="27:33" x14ac:dyDescent="0.3">
      <c r="AA2564"/>
      <c r="AG2564"/>
    </row>
    <row r="2565" spans="27:33" x14ac:dyDescent="0.3">
      <c r="AA2565"/>
      <c r="AG2565"/>
    </row>
    <row r="2566" spans="27:33" x14ac:dyDescent="0.3">
      <c r="AA2566"/>
      <c r="AG2566"/>
    </row>
    <row r="2567" spans="27:33" x14ac:dyDescent="0.3">
      <c r="AA2567"/>
      <c r="AG2567"/>
    </row>
    <row r="2568" spans="27:33" x14ac:dyDescent="0.3">
      <c r="AA2568"/>
      <c r="AG2568"/>
    </row>
    <row r="2569" spans="27:33" x14ac:dyDescent="0.3">
      <c r="AA2569"/>
      <c r="AG2569"/>
    </row>
    <row r="2570" spans="27:33" x14ac:dyDescent="0.3">
      <c r="AA2570"/>
      <c r="AG2570"/>
    </row>
    <row r="2571" spans="27:33" x14ac:dyDescent="0.3">
      <c r="AA2571"/>
      <c r="AG2571"/>
    </row>
    <row r="2572" spans="27:33" x14ac:dyDescent="0.3">
      <c r="AA2572"/>
      <c r="AG2572"/>
    </row>
    <row r="2573" spans="27:33" x14ac:dyDescent="0.3">
      <c r="AA2573"/>
      <c r="AG2573"/>
    </row>
    <row r="2574" spans="27:33" x14ac:dyDescent="0.3">
      <c r="AA2574"/>
      <c r="AG2574"/>
    </row>
    <row r="2575" spans="27:33" x14ac:dyDescent="0.3">
      <c r="AA2575"/>
      <c r="AG2575"/>
    </row>
    <row r="2576" spans="27:33" x14ac:dyDescent="0.3">
      <c r="AA2576"/>
      <c r="AG2576"/>
    </row>
    <row r="2577" spans="27:33" x14ac:dyDescent="0.3">
      <c r="AA2577"/>
      <c r="AG2577"/>
    </row>
    <row r="2578" spans="27:33" x14ac:dyDescent="0.3">
      <c r="AA2578"/>
      <c r="AG2578"/>
    </row>
    <row r="2579" spans="27:33" x14ac:dyDescent="0.3">
      <c r="AA2579"/>
      <c r="AG2579"/>
    </row>
    <row r="2580" spans="27:33" x14ac:dyDescent="0.3">
      <c r="AA2580"/>
      <c r="AG2580"/>
    </row>
    <row r="2581" spans="27:33" x14ac:dyDescent="0.3">
      <c r="AA2581"/>
      <c r="AG2581"/>
    </row>
    <row r="2582" spans="27:33" x14ac:dyDescent="0.3">
      <c r="AA2582"/>
      <c r="AG2582"/>
    </row>
    <row r="2583" spans="27:33" x14ac:dyDescent="0.3">
      <c r="AA2583"/>
      <c r="AG2583"/>
    </row>
    <row r="2584" spans="27:33" x14ac:dyDescent="0.3">
      <c r="AA2584"/>
      <c r="AG2584"/>
    </row>
    <row r="2585" spans="27:33" x14ac:dyDescent="0.3">
      <c r="AA2585"/>
      <c r="AG2585"/>
    </row>
    <row r="2586" spans="27:33" x14ac:dyDescent="0.3">
      <c r="AA2586"/>
      <c r="AG2586"/>
    </row>
    <row r="2587" spans="27:33" x14ac:dyDescent="0.3">
      <c r="AA2587"/>
      <c r="AG2587"/>
    </row>
    <row r="2588" spans="27:33" x14ac:dyDescent="0.3">
      <c r="AA2588"/>
      <c r="AG2588"/>
    </row>
    <row r="2589" spans="27:33" x14ac:dyDescent="0.3">
      <c r="AA2589"/>
      <c r="AG2589"/>
    </row>
    <row r="2590" spans="27:33" x14ac:dyDescent="0.3">
      <c r="AA2590"/>
      <c r="AG2590"/>
    </row>
    <row r="2591" spans="27:33" x14ac:dyDescent="0.3">
      <c r="AA2591"/>
      <c r="AG2591"/>
    </row>
    <row r="2592" spans="27:33" x14ac:dyDescent="0.3">
      <c r="AA2592"/>
      <c r="AG2592"/>
    </row>
    <row r="2593" spans="27:33" x14ac:dyDescent="0.3">
      <c r="AA2593"/>
      <c r="AG2593"/>
    </row>
    <row r="2594" spans="27:33" x14ac:dyDescent="0.3">
      <c r="AA2594"/>
      <c r="AG2594"/>
    </row>
    <row r="2595" spans="27:33" x14ac:dyDescent="0.3">
      <c r="AA2595"/>
      <c r="AG2595"/>
    </row>
    <row r="2596" spans="27:33" x14ac:dyDescent="0.3">
      <c r="AA2596"/>
      <c r="AG2596"/>
    </row>
    <row r="2597" spans="27:33" x14ac:dyDescent="0.3">
      <c r="AA2597"/>
      <c r="AG2597"/>
    </row>
    <row r="2598" spans="27:33" x14ac:dyDescent="0.3">
      <c r="AA2598"/>
      <c r="AG2598"/>
    </row>
    <row r="2599" spans="27:33" x14ac:dyDescent="0.3">
      <c r="AA2599"/>
      <c r="AG2599"/>
    </row>
    <row r="2600" spans="27:33" x14ac:dyDescent="0.3">
      <c r="AA2600"/>
      <c r="AG2600"/>
    </row>
    <row r="2601" spans="27:33" x14ac:dyDescent="0.3">
      <c r="AA2601"/>
      <c r="AG2601"/>
    </row>
    <row r="2602" spans="27:33" x14ac:dyDescent="0.3">
      <c r="AA2602"/>
      <c r="AG2602"/>
    </row>
    <row r="2603" spans="27:33" x14ac:dyDescent="0.3">
      <c r="AA2603"/>
      <c r="AG2603"/>
    </row>
    <row r="2604" spans="27:33" x14ac:dyDescent="0.3">
      <c r="AA2604"/>
      <c r="AG2604"/>
    </row>
    <row r="2605" spans="27:33" x14ac:dyDescent="0.3">
      <c r="AA2605"/>
      <c r="AG2605"/>
    </row>
    <row r="2606" spans="27:33" x14ac:dyDescent="0.3">
      <c r="AA2606"/>
      <c r="AG2606"/>
    </row>
    <row r="2607" spans="27:33" x14ac:dyDescent="0.3">
      <c r="AA2607"/>
      <c r="AG2607"/>
    </row>
    <row r="2608" spans="27:33" x14ac:dyDescent="0.3">
      <c r="AA2608"/>
      <c r="AG2608"/>
    </row>
    <row r="2609" spans="27:33" x14ac:dyDescent="0.3">
      <c r="AA2609"/>
      <c r="AG2609"/>
    </row>
    <row r="2610" spans="27:33" x14ac:dyDescent="0.3">
      <c r="AA2610"/>
      <c r="AG2610"/>
    </row>
    <row r="2611" spans="27:33" x14ac:dyDescent="0.3">
      <c r="AA2611"/>
      <c r="AG2611"/>
    </row>
    <row r="2612" spans="27:33" x14ac:dyDescent="0.3">
      <c r="AA2612"/>
      <c r="AG2612"/>
    </row>
    <row r="2613" spans="27:33" x14ac:dyDescent="0.3">
      <c r="AA2613"/>
      <c r="AG2613"/>
    </row>
    <row r="2614" spans="27:33" x14ac:dyDescent="0.3">
      <c r="AA2614"/>
      <c r="AG2614"/>
    </row>
    <row r="2615" spans="27:33" x14ac:dyDescent="0.3">
      <c r="AA2615"/>
      <c r="AG2615"/>
    </row>
    <row r="2616" spans="27:33" x14ac:dyDescent="0.3">
      <c r="AA2616"/>
      <c r="AG2616"/>
    </row>
    <row r="2617" spans="27:33" x14ac:dyDescent="0.3">
      <c r="AA2617"/>
      <c r="AG2617"/>
    </row>
    <row r="2618" spans="27:33" x14ac:dyDescent="0.3">
      <c r="AA2618"/>
      <c r="AG2618"/>
    </row>
    <row r="2619" spans="27:33" x14ac:dyDescent="0.3">
      <c r="AA2619"/>
      <c r="AG2619"/>
    </row>
    <row r="2620" spans="27:33" x14ac:dyDescent="0.3">
      <c r="AA2620"/>
      <c r="AG2620"/>
    </row>
    <row r="2621" spans="27:33" x14ac:dyDescent="0.3">
      <c r="AA2621"/>
      <c r="AG2621"/>
    </row>
    <row r="2622" spans="27:33" x14ac:dyDescent="0.3">
      <c r="AA2622"/>
      <c r="AG2622"/>
    </row>
    <row r="2623" spans="27:33" x14ac:dyDescent="0.3">
      <c r="AA2623"/>
      <c r="AG2623"/>
    </row>
    <row r="2624" spans="27:33" x14ac:dyDescent="0.3">
      <c r="AA2624"/>
      <c r="AG2624"/>
    </row>
    <row r="2625" spans="27:33" x14ac:dyDescent="0.3">
      <c r="AA2625"/>
      <c r="AG2625"/>
    </row>
    <row r="2626" spans="27:33" x14ac:dyDescent="0.3">
      <c r="AA2626"/>
      <c r="AG2626"/>
    </row>
    <row r="2627" spans="27:33" x14ac:dyDescent="0.3">
      <c r="AA2627"/>
      <c r="AG2627"/>
    </row>
    <row r="2628" spans="27:33" x14ac:dyDescent="0.3">
      <c r="AA2628"/>
      <c r="AG2628"/>
    </row>
    <row r="2629" spans="27:33" x14ac:dyDescent="0.3">
      <c r="AA2629"/>
      <c r="AG2629"/>
    </row>
    <row r="2630" spans="27:33" x14ac:dyDescent="0.3">
      <c r="AA2630"/>
      <c r="AG2630"/>
    </row>
    <row r="2631" spans="27:33" x14ac:dyDescent="0.3">
      <c r="AA2631"/>
      <c r="AG2631"/>
    </row>
    <row r="2632" spans="27:33" x14ac:dyDescent="0.3">
      <c r="AA2632"/>
      <c r="AG2632"/>
    </row>
    <row r="2633" spans="27:33" x14ac:dyDescent="0.3">
      <c r="AA2633"/>
      <c r="AG2633"/>
    </row>
    <row r="2634" spans="27:33" x14ac:dyDescent="0.3">
      <c r="AA2634"/>
      <c r="AG2634"/>
    </row>
    <row r="2635" spans="27:33" x14ac:dyDescent="0.3">
      <c r="AA2635"/>
      <c r="AG2635"/>
    </row>
    <row r="2636" spans="27:33" x14ac:dyDescent="0.3">
      <c r="AA2636"/>
      <c r="AG2636"/>
    </row>
    <row r="2637" spans="27:33" x14ac:dyDescent="0.3">
      <c r="AA2637"/>
      <c r="AG2637"/>
    </row>
    <row r="2638" spans="27:33" x14ac:dyDescent="0.3">
      <c r="AA2638"/>
      <c r="AG2638"/>
    </row>
    <row r="2639" spans="27:33" x14ac:dyDescent="0.3">
      <c r="AA2639"/>
      <c r="AG2639"/>
    </row>
    <row r="2640" spans="27:33" x14ac:dyDescent="0.3">
      <c r="AA2640"/>
      <c r="AG2640"/>
    </row>
    <row r="2641" spans="27:33" x14ac:dyDescent="0.3">
      <c r="AA2641"/>
      <c r="AG2641"/>
    </row>
    <row r="2642" spans="27:33" x14ac:dyDescent="0.3">
      <c r="AA2642"/>
      <c r="AG2642"/>
    </row>
    <row r="2643" spans="27:33" x14ac:dyDescent="0.3">
      <c r="AA2643"/>
      <c r="AG2643"/>
    </row>
    <row r="2644" spans="27:33" x14ac:dyDescent="0.3">
      <c r="AA2644"/>
      <c r="AG2644"/>
    </row>
    <row r="2645" spans="27:33" x14ac:dyDescent="0.3">
      <c r="AA2645"/>
      <c r="AG2645"/>
    </row>
    <row r="2646" spans="27:33" x14ac:dyDescent="0.3">
      <c r="AA2646"/>
      <c r="AG2646"/>
    </row>
    <row r="2647" spans="27:33" x14ac:dyDescent="0.3">
      <c r="AA2647"/>
      <c r="AG2647"/>
    </row>
    <row r="2648" spans="27:33" x14ac:dyDescent="0.3">
      <c r="AA2648"/>
      <c r="AG2648"/>
    </row>
    <row r="2649" spans="27:33" x14ac:dyDescent="0.3">
      <c r="AA2649"/>
      <c r="AG2649"/>
    </row>
    <row r="2650" spans="27:33" x14ac:dyDescent="0.3">
      <c r="AA2650"/>
      <c r="AG2650"/>
    </row>
    <row r="2651" spans="27:33" x14ac:dyDescent="0.3">
      <c r="AA2651"/>
      <c r="AG2651"/>
    </row>
    <row r="2652" spans="27:33" x14ac:dyDescent="0.3">
      <c r="AA2652"/>
      <c r="AG2652"/>
    </row>
    <row r="2653" spans="27:33" x14ac:dyDescent="0.3">
      <c r="AA2653"/>
      <c r="AG2653"/>
    </row>
    <row r="2654" spans="27:33" x14ac:dyDescent="0.3">
      <c r="AA2654"/>
      <c r="AG2654"/>
    </row>
    <row r="2655" spans="27:33" x14ac:dyDescent="0.3">
      <c r="AA2655"/>
      <c r="AG2655"/>
    </row>
    <row r="2656" spans="27:33" x14ac:dyDescent="0.3">
      <c r="AA2656"/>
      <c r="AG2656"/>
    </row>
    <row r="2657" spans="27:33" x14ac:dyDescent="0.3">
      <c r="AA2657"/>
      <c r="AG2657"/>
    </row>
    <row r="2658" spans="27:33" x14ac:dyDescent="0.3">
      <c r="AA2658"/>
      <c r="AG2658"/>
    </row>
    <row r="2659" spans="27:33" x14ac:dyDescent="0.3">
      <c r="AA2659"/>
      <c r="AG2659"/>
    </row>
    <row r="2660" spans="27:33" x14ac:dyDescent="0.3">
      <c r="AA2660"/>
      <c r="AG2660"/>
    </row>
    <row r="2661" spans="27:33" x14ac:dyDescent="0.3">
      <c r="AA2661"/>
      <c r="AG2661"/>
    </row>
    <row r="2662" spans="27:33" x14ac:dyDescent="0.3">
      <c r="AA2662"/>
      <c r="AG2662"/>
    </row>
    <row r="2663" spans="27:33" x14ac:dyDescent="0.3">
      <c r="AA2663"/>
      <c r="AG2663"/>
    </row>
    <row r="2664" spans="27:33" x14ac:dyDescent="0.3">
      <c r="AA2664"/>
      <c r="AG2664"/>
    </row>
    <row r="2665" spans="27:33" x14ac:dyDescent="0.3">
      <c r="AA2665"/>
      <c r="AG2665"/>
    </row>
    <row r="2666" spans="27:33" x14ac:dyDescent="0.3">
      <c r="AA2666"/>
      <c r="AG2666"/>
    </row>
    <row r="2667" spans="27:33" x14ac:dyDescent="0.3">
      <c r="AA2667"/>
      <c r="AG2667"/>
    </row>
    <row r="2668" spans="27:33" x14ac:dyDescent="0.3">
      <c r="AA2668"/>
      <c r="AG2668"/>
    </row>
    <row r="2669" spans="27:33" x14ac:dyDescent="0.3">
      <c r="AA2669"/>
      <c r="AG2669"/>
    </row>
    <row r="2670" spans="27:33" x14ac:dyDescent="0.3">
      <c r="AA2670"/>
      <c r="AG2670"/>
    </row>
    <row r="2671" spans="27:33" x14ac:dyDescent="0.3">
      <c r="AA2671"/>
      <c r="AG2671"/>
    </row>
    <row r="2672" spans="27:33" x14ac:dyDescent="0.3">
      <c r="AA2672"/>
      <c r="AG2672"/>
    </row>
    <row r="2673" spans="27:33" x14ac:dyDescent="0.3">
      <c r="AA2673"/>
      <c r="AG2673"/>
    </row>
    <row r="2674" spans="27:33" x14ac:dyDescent="0.3">
      <c r="AA2674"/>
      <c r="AG2674"/>
    </row>
    <row r="2675" spans="27:33" x14ac:dyDescent="0.3">
      <c r="AA2675"/>
      <c r="AG2675"/>
    </row>
    <row r="2676" spans="27:33" x14ac:dyDescent="0.3">
      <c r="AA2676"/>
      <c r="AG2676"/>
    </row>
    <row r="2677" spans="27:33" x14ac:dyDescent="0.3">
      <c r="AA2677"/>
      <c r="AG2677"/>
    </row>
    <row r="2678" spans="27:33" x14ac:dyDescent="0.3">
      <c r="AA2678"/>
      <c r="AG2678"/>
    </row>
    <row r="2679" spans="27:33" x14ac:dyDescent="0.3">
      <c r="AA2679"/>
      <c r="AG2679"/>
    </row>
    <row r="2680" spans="27:33" x14ac:dyDescent="0.3">
      <c r="AA2680"/>
      <c r="AG2680"/>
    </row>
    <row r="2681" spans="27:33" x14ac:dyDescent="0.3">
      <c r="AA2681"/>
      <c r="AG2681"/>
    </row>
    <row r="2682" spans="27:33" x14ac:dyDescent="0.3">
      <c r="AA2682"/>
      <c r="AG2682"/>
    </row>
    <row r="2683" spans="27:33" x14ac:dyDescent="0.3">
      <c r="AA2683"/>
      <c r="AG2683"/>
    </row>
    <row r="2684" spans="27:33" x14ac:dyDescent="0.3">
      <c r="AA2684"/>
      <c r="AG2684"/>
    </row>
    <row r="2685" spans="27:33" x14ac:dyDescent="0.3">
      <c r="AA2685"/>
      <c r="AG2685"/>
    </row>
    <row r="2686" spans="27:33" x14ac:dyDescent="0.3">
      <c r="AA2686"/>
      <c r="AG2686"/>
    </row>
    <row r="2687" spans="27:33" x14ac:dyDescent="0.3">
      <c r="AA2687"/>
      <c r="AG2687"/>
    </row>
    <row r="2688" spans="27:33" x14ac:dyDescent="0.3">
      <c r="AA2688"/>
      <c r="AG2688"/>
    </row>
    <row r="2689" spans="27:33" x14ac:dyDescent="0.3">
      <c r="AA2689"/>
      <c r="AG2689"/>
    </row>
    <row r="2690" spans="27:33" x14ac:dyDescent="0.3">
      <c r="AA2690"/>
      <c r="AG2690"/>
    </row>
    <row r="2691" spans="27:33" x14ac:dyDescent="0.3">
      <c r="AA2691"/>
      <c r="AG2691"/>
    </row>
    <row r="2692" spans="27:33" x14ac:dyDescent="0.3">
      <c r="AA2692"/>
      <c r="AG2692"/>
    </row>
    <row r="2693" spans="27:33" x14ac:dyDescent="0.3">
      <c r="AA2693"/>
      <c r="AG2693"/>
    </row>
    <row r="2694" spans="27:33" x14ac:dyDescent="0.3">
      <c r="AA2694"/>
      <c r="AG2694"/>
    </row>
    <row r="2695" spans="27:33" x14ac:dyDescent="0.3">
      <c r="AA2695"/>
      <c r="AG2695"/>
    </row>
    <row r="2696" spans="27:33" x14ac:dyDescent="0.3">
      <c r="AA2696"/>
      <c r="AG2696"/>
    </row>
    <row r="2697" spans="27:33" x14ac:dyDescent="0.3">
      <c r="AA2697"/>
      <c r="AG2697"/>
    </row>
    <row r="2698" spans="27:33" x14ac:dyDescent="0.3">
      <c r="AA2698"/>
      <c r="AG2698"/>
    </row>
    <row r="2699" spans="27:33" x14ac:dyDescent="0.3">
      <c r="AA2699"/>
      <c r="AG2699"/>
    </row>
    <row r="2700" spans="27:33" x14ac:dyDescent="0.3">
      <c r="AA2700"/>
      <c r="AG2700"/>
    </row>
    <row r="2701" spans="27:33" x14ac:dyDescent="0.3">
      <c r="AA2701"/>
      <c r="AG2701"/>
    </row>
    <row r="2702" spans="27:33" x14ac:dyDescent="0.3">
      <c r="AA2702"/>
      <c r="AG2702"/>
    </row>
    <row r="2703" spans="27:33" x14ac:dyDescent="0.3">
      <c r="AA2703"/>
      <c r="AG2703"/>
    </row>
    <row r="2704" spans="27:33" x14ac:dyDescent="0.3">
      <c r="AA2704"/>
      <c r="AG2704"/>
    </row>
    <row r="2705" spans="27:33" x14ac:dyDescent="0.3">
      <c r="AA2705"/>
      <c r="AG2705"/>
    </row>
    <row r="2706" spans="27:33" x14ac:dyDescent="0.3">
      <c r="AA2706"/>
      <c r="AG2706"/>
    </row>
    <row r="2707" spans="27:33" x14ac:dyDescent="0.3">
      <c r="AA2707"/>
      <c r="AG2707"/>
    </row>
    <row r="2708" spans="27:33" x14ac:dyDescent="0.3">
      <c r="AA2708"/>
      <c r="AG2708"/>
    </row>
    <row r="2709" spans="27:33" x14ac:dyDescent="0.3">
      <c r="AA2709"/>
      <c r="AG2709"/>
    </row>
    <row r="2710" spans="27:33" x14ac:dyDescent="0.3">
      <c r="AA2710"/>
      <c r="AG2710"/>
    </row>
    <row r="2711" spans="27:33" x14ac:dyDescent="0.3">
      <c r="AA2711"/>
      <c r="AG2711"/>
    </row>
    <row r="2712" spans="27:33" x14ac:dyDescent="0.3">
      <c r="AA2712"/>
      <c r="AG2712"/>
    </row>
    <row r="2713" spans="27:33" x14ac:dyDescent="0.3">
      <c r="AA2713"/>
      <c r="AG2713"/>
    </row>
    <row r="2714" spans="27:33" x14ac:dyDescent="0.3">
      <c r="AA2714"/>
      <c r="AG2714"/>
    </row>
    <row r="2715" spans="27:33" x14ac:dyDescent="0.3">
      <c r="AA2715"/>
      <c r="AG2715"/>
    </row>
    <row r="2716" spans="27:33" x14ac:dyDescent="0.3">
      <c r="AA2716"/>
      <c r="AG2716"/>
    </row>
    <row r="2717" spans="27:33" x14ac:dyDescent="0.3">
      <c r="AA2717"/>
      <c r="AG2717"/>
    </row>
    <row r="2718" spans="27:33" x14ac:dyDescent="0.3">
      <c r="AA2718"/>
      <c r="AG2718"/>
    </row>
    <row r="2719" spans="27:33" x14ac:dyDescent="0.3">
      <c r="AA2719"/>
      <c r="AG2719"/>
    </row>
    <row r="2720" spans="27:33" x14ac:dyDescent="0.3">
      <c r="AA2720"/>
      <c r="AG2720"/>
    </row>
    <row r="2721" spans="27:33" x14ac:dyDescent="0.3">
      <c r="AA2721"/>
      <c r="AG2721"/>
    </row>
    <row r="2722" spans="27:33" x14ac:dyDescent="0.3">
      <c r="AA2722"/>
      <c r="AG2722"/>
    </row>
    <row r="2723" spans="27:33" x14ac:dyDescent="0.3">
      <c r="AA2723"/>
      <c r="AG2723"/>
    </row>
    <row r="2724" spans="27:33" x14ac:dyDescent="0.3">
      <c r="AA2724"/>
      <c r="AG2724"/>
    </row>
    <row r="2725" spans="27:33" x14ac:dyDescent="0.3">
      <c r="AA2725"/>
      <c r="AG2725"/>
    </row>
    <row r="2726" spans="27:33" x14ac:dyDescent="0.3">
      <c r="AA2726"/>
      <c r="AG2726"/>
    </row>
    <row r="2727" spans="27:33" x14ac:dyDescent="0.3">
      <c r="AA2727"/>
      <c r="AG2727"/>
    </row>
    <row r="2728" spans="27:33" x14ac:dyDescent="0.3">
      <c r="AA2728"/>
      <c r="AG2728"/>
    </row>
    <row r="2729" spans="27:33" x14ac:dyDescent="0.3">
      <c r="AA2729"/>
      <c r="AG2729"/>
    </row>
    <row r="2730" spans="27:33" x14ac:dyDescent="0.3">
      <c r="AA2730"/>
      <c r="AG2730"/>
    </row>
    <row r="2731" spans="27:33" x14ac:dyDescent="0.3">
      <c r="AA2731"/>
      <c r="AG2731"/>
    </row>
    <row r="2732" spans="27:33" x14ac:dyDescent="0.3">
      <c r="AA2732"/>
      <c r="AG2732"/>
    </row>
    <row r="2733" spans="27:33" x14ac:dyDescent="0.3">
      <c r="AA2733"/>
      <c r="AG2733"/>
    </row>
    <row r="2734" spans="27:33" x14ac:dyDescent="0.3">
      <c r="AA2734"/>
      <c r="AG2734"/>
    </row>
    <row r="2735" spans="27:33" x14ac:dyDescent="0.3">
      <c r="AA2735"/>
      <c r="AG2735"/>
    </row>
    <row r="2736" spans="27:33" x14ac:dyDescent="0.3">
      <c r="AA2736"/>
      <c r="AG2736"/>
    </row>
    <row r="2737" spans="27:33" x14ac:dyDescent="0.3">
      <c r="AA2737"/>
      <c r="AG2737"/>
    </row>
    <row r="2738" spans="27:33" x14ac:dyDescent="0.3">
      <c r="AA2738"/>
      <c r="AG2738"/>
    </row>
    <row r="2739" spans="27:33" x14ac:dyDescent="0.3">
      <c r="AA2739"/>
      <c r="AG2739"/>
    </row>
    <row r="2740" spans="27:33" x14ac:dyDescent="0.3">
      <c r="AA2740"/>
      <c r="AG2740"/>
    </row>
    <row r="2741" spans="27:33" x14ac:dyDescent="0.3">
      <c r="AA2741"/>
      <c r="AG2741"/>
    </row>
    <row r="2742" spans="27:33" x14ac:dyDescent="0.3">
      <c r="AA2742"/>
      <c r="AG2742"/>
    </row>
    <row r="2743" spans="27:33" x14ac:dyDescent="0.3">
      <c r="AA2743"/>
      <c r="AG2743"/>
    </row>
    <row r="2744" spans="27:33" x14ac:dyDescent="0.3">
      <c r="AA2744"/>
      <c r="AG2744"/>
    </row>
    <row r="2745" spans="27:33" x14ac:dyDescent="0.3">
      <c r="AA2745"/>
      <c r="AG2745"/>
    </row>
    <row r="2746" spans="27:33" x14ac:dyDescent="0.3">
      <c r="AA2746"/>
      <c r="AG2746"/>
    </row>
    <row r="2747" spans="27:33" x14ac:dyDescent="0.3">
      <c r="AA2747"/>
      <c r="AG2747"/>
    </row>
    <row r="2748" spans="27:33" x14ac:dyDescent="0.3">
      <c r="AA2748"/>
      <c r="AG2748"/>
    </row>
    <row r="2749" spans="27:33" x14ac:dyDescent="0.3">
      <c r="AA2749"/>
      <c r="AG2749"/>
    </row>
    <row r="2750" spans="27:33" x14ac:dyDescent="0.3">
      <c r="AA2750"/>
      <c r="AG2750"/>
    </row>
    <row r="2751" spans="27:33" x14ac:dyDescent="0.3">
      <c r="AA2751"/>
      <c r="AG2751"/>
    </row>
    <row r="2752" spans="27:33" x14ac:dyDescent="0.3">
      <c r="AA2752"/>
      <c r="AG2752"/>
    </row>
    <row r="2753" spans="27:33" x14ac:dyDescent="0.3">
      <c r="AA2753"/>
      <c r="AG2753"/>
    </row>
    <row r="2754" spans="27:33" x14ac:dyDescent="0.3">
      <c r="AA2754"/>
      <c r="AG2754"/>
    </row>
    <row r="2755" spans="27:33" x14ac:dyDescent="0.3">
      <c r="AA2755"/>
      <c r="AG2755"/>
    </row>
    <row r="2756" spans="27:33" x14ac:dyDescent="0.3">
      <c r="AA2756"/>
      <c r="AG2756"/>
    </row>
    <row r="2757" spans="27:33" x14ac:dyDescent="0.3">
      <c r="AA2757"/>
      <c r="AG2757"/>
    </row>
    <row r="2758" spans="27:33" x14ac:dyDescent="0.3">
      <c r="AA2758"/>
      <c r="AG2758"/>
    </row>
    <row r="2759" spans="27:33" x14ac:dyDescent="0.3">
      <c r="AA2759"/>
      <c r="AG2759"/>
    </row>
    <row r="2760" spans="27:33" x14ac:dyDescent="0.3">
      <c r="AA2760"/>
      <c r="AG2760"/>
    </row>
    <row r="2761" spans="27:33" x14ac:dyDescent="0.3">
      <c r="AA2761"/>
      <c r="AG2761"/>
    </row>
    <row r="2762" spans="27:33" x14ac:dyDescent="0.3">
      <c r="AA2762"/>
      <c r="AG2762"/>
    </row>
    <row r="2763" spans="27:33" x14ac:dyDescent="0.3">
      <c r="AA2763"/>
      <c r="AG2763"/>
    </row>
    <row r="2764" spans="27:33" x14ac:dyDescent="0.3">
      <c r="AA2764"/>
      <c r="AG2764"/>
    </row>
    <row r="2765" spans="27:33" x14ac:dyDescent="0.3">
      <c r="AA2765"/>
      <c r="AG2765"/>
    </row>
    <row r="2766" spans="27:33" x14ac:dyDescent="0.3">
      <c r="AA2766"/>
      <c r="AG2766"/>
    </row>
    <row r="2767" spans="27:33" x14ac:dyDescent="0.3">
      <c r="AA2767"/>
      <c r="AG2767"/>
    </row>
    <row r="2768" spans="27:33" x14ac:dyDescent="0.3">
      <c r="AA2768"/>
      <c r="AG2768"/>
    </row>
    <row r="2769" spans="27:33" x14ac:dyDescent="0.3">
      <c r="AA2769"/>
      <c r="AG2769"/>
    </row>
    <row r="2770" spans="27:33" x14ac:dyDescent="0.3">
      <c r="AA2770"/>
      <c r="AG2770"/>
    </row>
    <row r="2771" spans="27:33" x14ac:dyDescent="0.3">
      <c r="AA2771"/>
      <c r="AG2771"/>
    </row>
    <row r="2772" spans="27:33" x14ac:dyDescent="0.3">
      <c r="AA2772"/>
      <c r="AG2772"/>
    </row>
    <row r="2773" spans="27:33" x14ac:dyDescent="0.3">
      <c r="AA2773"/>
      <c r="AG2773"/>
    </row>
    <row r="2774" spans="27:33" x14ac:dyDescent="0.3">
      <c r="AA2774"/>
      <c r="AG2774"/>
    </row>
    <row r="2775" spans="27:33" x14ac:dyDescent="0.3">
      <c r="AA2775"/>
      <c r="AG2775"/>
    </row>
    <row r="2776" spans="27:33" x14ac:dyDescent="0.3">
      <c r="AA2776"/>
      <c r="AG2776"/>
    </row>
    <row r="2777" spans="27:33" x14ac:dyDescent="0.3">
      <c r="AA2777"/>
      <c r="AG2777"/>
    </row>
    <row r="2778" spans="27:33" x14ac:dyDescent="0.3">
      <c r="AA2778"/>
      <c r="AG2778"/>
    </row>
    <row r="2779" spans="27:33" x14ac:dyDescent="0.3">
      <c r="AA2779"/>
      <c r="AG2779"/>
    </row>
    <row r="2780" spans="27:33" x14ac:dyDescent="0.3">
      <c r="AA2780"/>
      <c r="AG2780"/>
    </row>
    <row r="2781" spans="27:33" x14ac:dyDescent="0.3">
      <c r="AA2781"/>
      <c r="AG2781"/>
    </row>
    <row r="2782" spans="27:33" x14ac:dyDescent="0.3">
      <c r="AA2782"/>
      <c r="AG2782"/>
    </row>
    <row r="2783" spans="27:33" x14ac:dyDescent="0.3">
      <c r="AA2783"/>
      <c r="AG2783"/>
    </row>
    <row r="2784" spans="27:33" x14ac:dyDescent="0.3">
      <c r="AA2784"/>
      <c r="AG2784"/>
    </row>
    <row r="2785" spans="27:33" x14ac:dyDescent="0.3">
      <c r="AA2785"/>
      <c r="AG2785"/>
    </row>
    <row r="2786" spans="27:33" x14ac:dyDescent="0.3">
      <c r="AA2786"/>
      <c r="AG2786"/>
    </row>
    <row r="2787" spans="27:33" x14ac:dyDescent="0.3">
      <c r="AA2787"/>
      <c r="AG2787"/>
    </row>
    <row r="2788" spans="27:33" x14ac:dyDescent="0.3">
      <c r="AA2788"/>
      <c r="AG2788"/>
    </row>
    <row r="2789" spans="27:33" x14ac:dyDescent="0.3">
      <c r="AA2789"/>
      <c r="AG2789"/>
    </row>
    <row r="2790" spans="27:33" x14ac:dyDescent="0.3">
      <c r="AA2790"/>
      <c r="AG2790"/>
    </row>
    <row r="2791" spans="27:33" x14ac:dyDescent="0.3">
      <c r="AA2791"/>
      <c r="AG2791"/>
    </row>
    <row r="2792" spans="27:33" x14ac:dyDescent="0.3">
      <c r="AA2792"/>
      <c r="AG2792"/>
    </row>
    <row r="2793" spans="27:33" x14ac:dyDescent="0.3">
      <c r="AA2793"/>
      <c r="AG2793"/>
    </row>
    <row r="2794" spans="27:33" x14ac:dyDescent="0.3">
      <c r="AA2794"/>
      <c r="AG2794"/>
    </row>
    <row r="2795" spans="27:33" x14ac:dyDescent="0.3">
      <c r="AA2795"/>
      <c r="AG2795"/>
    </row>
    <row r="2796" spans="27:33" x14ac:dyDescent="0.3">
      <c r="AA2796"/>
      <c r="AG2796"/>
    </row>
    <row r="2797" spans="27:33" x14ac:dyDescent="0.3">
      <c r="AA2797"/>
      <c r="AG2797"/>
    </row>
    <row r="2798" spans="27:33" x14ac:dyDescent="0.3">
      <c r="AA2798"/>
      <c r="AG2798"/>
    </row>
    <row r="2799" spans="27:33" x14ac:dyDescent="0.3">
      <c r="AA2799"/>
      <c r="AG2799"/>
    </row>
    <row r="2800" spans="27:33" x14ac:dyDescent="0.3">
      <c r="AA2800"/>
      <c r="AG2800"/>
    </row>
    <row r="2801" spans="27:33" x14ac:dyDescent="0.3">
      <c r="AA2801"/>
      <c r="AG2801"/>
    </row>
    <row r="2802" spans="27:33" x14ac:dyDescent="0.3">
      <c r="AA2802"/>
      <c r="AG2802"/>
    </row>
    <row r="2803" spans="27:33" x14ac:dyDescent="0.3">
      <c r="AA2803"/>
      <c r="AG2803"/>
    </row>
    <row r="2804" spans="27:33" x14ac:dyDescent="0.3">
      <c r="AA2804"/>
      <c r="AG2804"/>
    </row>
    <row r="2805" spans="27:33" x14ac:dyDescent="0.3">
      <c r="AA2805"/>
      <c r="AG2805"/>
    </row>
    <row r="2806" spans="27:33" x14ac:dyDescent="0.3">
      <c r="AA2806"/>
      <c r="AG2806"/>
    </row>
    <row r="2807" spans="27:33" x14ac:dyDescent="0.3">
      <c r="AA2807"/>
      <c r="AG2807"/>
    </row>
    <row r="2808" spans="27:33" x14ac:dyDescent="0.3">
      <c r="AA2808"/>
      <c r="AG2808"/>
    </row>
    <row r="2809" spans="27:33" x14ac:dyDescent="0.3">
      <c r="AA2809"/>
      <c r="AG2809"/>
    </row>
    <row r="2810" spans="27:33" x14ac:dyDescent="0.3">
      <c r="AA2810"/>
      <c r="AG2810"/>
    </row>
    <row r="2811" spans="27:33" x14ac:dyDescent="0.3">
      <c r="AA2811"/>
      <c r="AG2811"/>
    </row>
    <row r="2812" spans="27:33" x14ac:dyDescent="0.3">
      <c r="AA2812"/>
      <c r="AG2812"/>
    </row>
    <row r="2813" spans="27:33" x14ac:dyDescent="0.3">
      <c r="AA2813"/>
      <c r="AG2813"/>
    </row>
    <row r="2814" spans="27:33" x14ac:dyDescent="0.3">
      <c r="AA2814"/>
      <c r="AG2814"/>
    </row>
    <row r="2815" spans="27:33" x14ac:dyDescent="0.3">
      <c r="AA2815"/>
      <c r="AG2815"/>
    </row>
    <row r="2816" spans="27:33" x14ac:dyDescent="0.3">
      <c r="AA2816"/>
      <c r="AG2816"/>
    </row>
    <row r="2817" spans="27:33" x14ac:dyDescent="0.3">
      <c r="AA2817"/>
      <c r="AG2817"/>
    </row>
    <row r="2818" spans="27:33" x14ac:dyDescent="0.3">
      <c r="AA2818"/>
      <c r="AG2818"/>
    </row>
    <row r="2819" spans="27:33" x14ac:dyDescent="0.3">
      <c r="AA2819"/>
      <c r="AG2819"/>
    </row>
    <row r="2820" spans="27:33" x14ac:dyDescent="0.3">
      <c r="AA2820"/>
      <c r="AG2820"/>
    </row>
    <row r="2821" spans="27:33" x14ac:dyDescent="0.3">
      <c r="AA2821"/>
      <c r="AG2821"/>
    </row>
    <row r="2822" spans="27:33" x14ac:dyDescent="0.3">
      <c r="AA2822"/>
      <c r="AG2822"/>
    </row>
    <row r="2823" spans="27:33" x14ac:dyDescent="0.3">
      <c r="AA2823"/>
      <c r="AG2823"/>
    </row>
    <row r="2824" spans="27:33" x14ac:dyDescent="0.3">
      <c r="AA2824"/>
      <c r="AG2824"/>
    </row>
    <row r="2825" spans="27:33" x14ac:dyDescent="0.3">
      <c r="AA2825"/>
      <c r="AG2825"/>
    </row>
    <row r="2826" spans="27:33" x14ac:dyDescent="0.3">
      <c r="AA2826"/>
      <c r="AG2826"/>
    </row>
    <row r="2827" spans="27:33" x14ac:dyDescent="0.3">
      <c r="AA2827"/>
      <c r="AG2827"/>
    </row>
    <row r="2828" spans="27:33" x14ac:dyDescent="0.3">
      <c r="AA2828"/>
      <c r="AG2828"/>
    </row>
    <row r="2829" spans="27:33" x14ac:dyDescent="0.3">
      <c r="AA2829"/>
      <c r="AG2829"/>
    </row>
  </sheetData>
  <mergeCells count="85">
    <mergeCell ref="V29:W29"/>
    <mergeCell ref="Y29:Z29"/>
    <mergeCell ref="L57:M57"/>
    <mergeCell ref="H1:U1"/>
    <mergeCell ref="C2:E2"/>
    <mergeCell ref="C4:E4"/>
    <mergeCell ref="S29:T29"/>
    <mergeCell ref="Q30:T30"/>
    <mergeCell ref="J32:L32"/>
    <mergeCell ref="X47:Y47"/>
    <mergeCell ref="J49:K49"/>
    <mergeCell ref="J50:K50"/>
    <mergeCell ref="L70:M70"/>
    <mergeCell ref="O75:T75"/>
    <mergeCell ref="O76:P76"/>
    <mergeCell ref="P86:Q86"/>
    <mergeCell ref="P89:Q89"/>
    <mergeCell ref="L59:M59"/>
    <mergeCell ref="S60:T60"/>
    <mergeCell ref="V60:W60"/>
    <mergeCell ref="L61:M61"/>
    <mergeCell ref="L63:M63"/>
    <mergeCell ref="AB90:AD90"/>
    <mergeCell ref="O143:P143"/>
    <mergeCell ref="X106:Y106"/>
    <mergeCell ref="J108:K108"/>
    <mergeCell ref="J109:K109"/>
    <mergeCell ref="L116:M116"/>
    <mergeCell ref="L118:M118"/>
    <mergeCell ref="S119:T119"/>
    <mergeCell ref="V119:W119"/>
    <mergeCell ref="L120:M120"/>
    <mergeCell ref="L122:M122"/>
    <mergeCell ref="L129:M129"/>
    <mergeCell ref="O134:T134"/>
    <mergeCell ref="O135:P135"/>
    <mergeCell ref="Q91:V91"/>
    <mergeCell ref="AB195:AD195"/>
    <mergeCell ref="Q196:V196"/>
    <mergeCell ref="O144:P144"/>
    <mergeCell ref="Q159:V159"/>
    <mergeCell ref="Q160:V160"/>
    <mergeCell ref="Q161:V161"/>
    <mergeCell ref="Q162:V162"/>
    <mergeCell ref="O172:P172"/>
    <mergeCell ref="S225:T225"/>
    <mergeCell ref="V225:W225"/>
    <mergeCell ref="O173:P173"/>
    <mergeCell ref="O175:P175"/>
    <mergeCell ref="P191:Q191"/>
    <mergeCell ref="P194:Q194"/>
    <mergeCell ref="X212:Y212"/>
    <mergeCell ref="J214:K214"/>
    <mergeCell ref="J215:K215"/>
    <mergeCell ref="L222:M222"/>
    <mergeCell ref="L224:M224"/>
    <mergeCell ref="Q304:V304"/>
    <mergeCell ref="L226:M226"/>
    <mergeCell ref="L228:M228"/>
    <mergeCell ref="L235:M235"/>
    <mergeCell ref="O241:T241"/>
    <mergeCell ref="O242:P242"/>
    <mergeCell ref="Q265:V265"/>
    <mergeCell ref="J280:K280"/>
    <mergeCell ref="J282:K282"/>
    <mergeCell ref="L292:M292"/>
    <mergeCell ref="O297:T297"/>
    <mergeCell ref="O298:P298"/>
    <mergeCell ref="Q385:V385"/>
    <mergeCell ref="J319:K319"/>
    <mergeCell ref="J321:K321"/>
    <mergeCell ref="L332:M332"/>
    <mergeCell ref="O337:T337"/>
    <mergeCell ref="O338:P338"/>
    <mergeCell ref="Q344:V344"/>
    <mergeCell ref="J359:K359"/>
    <mergeCell ref="J361:K361"/>
    <mergeCell ref="L373:M373"/>
    <mergeCell ref="O378:T378"/>
    <mergeCell ref="O379:P379"/>
    <mergeCell ref="J400:K400"/>
    <mergeCell ref="J402:K402"/>
    <mergeCell ref="L414:M414"/>
    <mergeCell ref="O419:T419"/>
    <mergeCell ref="O420:P420"/>
  </mergeCells>
  <hyperlinks>
    <hyperlink ref="L4" r:id="rId1" xr:uid="{E86541D8-10D4-4C9B-8330-AC08283E121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2025-03-03T11:01:08Z</dcterms:created>
  <dcterms:modified xsi:type="dcterms:W3CDTF">2025-03-17T12:01:26Z</dcterms:modified>
</cp:coreProperties>
</file>