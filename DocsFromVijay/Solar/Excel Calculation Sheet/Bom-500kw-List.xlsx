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Ready to Deliver\"/>
    </mc:Choice>
  </mc:AlternateContent>
  <xr:revisionPtr revIDLastSave="0" documentId="13_ncr:1_{19B46F7A-37EE-43C3-8A23-E733919EC6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Cat">[1]PFB!$B$2:$B$13</definedName>
    <definedName name="_xlnm.Print_Area" localSheetId="0">Sheet1!$A$1:$H$70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" i="2" l="1"/>
  <c r="H20" i="2" l="1"/>
  <c r="F72" i="2"/>
  <c r="H72" i="2" s="1"/>
  <c r="H69" i="2"/>
  <c r="H68" i="2"/>
  <c r="H60" i="2"/>
  <c r="H61" i="2"/>
  <c r="H62" i="2"/>
  <c r="H63" i="2"/>
  <c r="H64" i="2"/>
  <c r="H65" i="2"/>
  <c r="H66" i="2"/>
  <c r="H59" i="2"/>
  <c r="H56" i="2"/>
  <c r="H57" i="2"/>
  <c r="H55" i="2"/>
  <c r="H53" i="2"/>
  <c r="H52" i="2"/>
  <c r="H43" i="2"/>
  <c r="H44" i="2"/>
  <c r="H45" i="2"/>
  <c r="H46" i="2"/>
  <c r="H47" i="2"/>
  <c r="H48" i="2"/>
  <c r="H49" i="2"/>
  <c r="H42" i="2"/>
  <c r="H35" i="2"/>
  <c r="H36" i="2"/>
  <c r="H37" i="2"/>
  <c r="H39" i="2"/>
  <c r="H40" i="2"/>
  <c r="H32" i="2"/>
  <c r="H33" i="2"/>
  <c r="H34" i="2"/>
  <c r="H31" i="2"/>
  <c r="H26" i="2"/>
  <c r="H27" i="2"/>
  <c r="H28" i="2"/>
  <c r="H29" i="2"/>
  <c r="H25" i="2"/>
  <c r="H24" i="2"/>
  <c r="H22" i="2"/>
  <c r="H21" i="2"/>
  <c r="H18" i="2"/>
  <c r="H17" i="2"/>
  <c r="H14" i="2"/>
  <c r="H15" i="2"/>
  <c r="H13" i="2"/>
  <c r="H12" i="2"/>
  <c r="H11" i="2"/>
  <c r="H9" i="2"/>
  <c r="H8" i="2"/>
  <c r="H6" i="2"/>
  <c r="I9" i="2" l="1"/>
  <c r="H76" i="2" s="1"/>
  <c r="I72" i="2"/>
  <c r="H77" i="2" s="1"/>
  <c r="H71" i="2"/>
  <c r="H73" i="2" s="1"/>
  <c r="H74" i="2" s="1"/>
  <c r="H75" i="2" l="1"/>
  <c r="H78" i="2" l="1"/>
</calcChain>
</file>

<file path=xl/sharedStrings.xml><?xml version="1.0" encoding="utf-8"?>
<sst xmlns="http://schemas.openxmlformats.org/spreadsheetml/2006/main" count="286" uniqueCount="122">
  <si>
    <t>Reference</t>
  </si>
  <si>
    <t>Description</t>
  </si>
  <si>
    <t>Unit</t>
  </si>
  <si>
    <t>Make</t>
  </si>
  <si>
    <t>Specification/ Model No.</t>
  </si>
  <si>
    <t>L1</t>
  </si>
  <si>
    <t>L2</t>
  </si>
  <si>
    <t>Solar Module</t>
  </si>
  <si>
    <t>Nos.</t>
  </si>
  <si>
    <t>Inverter and String Monitoring/String Combiner</t>
  </si>
  <si>
    <t>Structure</t>
  </si>
  <si>
    <t xml:space="preserve">MMS </t>
  </si>
  <si>
    <t>Kg</t>
  </si>
  <si>
    <t>Hardware</t>
  </si>
  <si>
    <t xml:space="preserve">Mounting Structure for String Inverter </t>
  </si>
  <si>
    <t>Mounting Structure for ACDB</t>
  </si>
  <si>
    <t>Civil &amp; Structural works</t>
  </si>
  <si>
    <t>Foundation for Inverter Stand</t>
  </si>
  <si>
    <t>Foundation for ACDB Stand</t>
  </si>
  <si>
    <t>DC System</t>
  </si>
  <si>
    <t>SMB</t>
  </si>
  <si>
    <t>m</t>
  </si>
  <si>
    <t>UV Resistive MC4 Connectors suitable for terminating upto 6 Sq. mm copper cables</t>
  </si>
  <si>
    <t>Nos.(Pairs)</t>
  </si>
  <si>
    <t>UPVC / HDPE  Pipes</t>
  </si>
  <si>
    <t>UPVC / HDPE  Pipes accessories for DC/AC Cabling</t>
  </si>
  <si>
    <t>GI Cable Tray with Cover 50X50X2</t>
  </si>
  <si>
    <t>Cable Ties - UV Protected</t>
  </si>
  <si>
    <t>Packets</t>
  </si>
  <si>
    <t>Ferrules 0 to 9 and A to Z</t>
  </si>
  <si>
    <t>Grounding system</t>
  </si>
  <si>
    <t>Earthing Cable</t>
  </si>
  <si>
    <t>Insulated Cu Lugs for Earthing Cable</t>
  </si>
  <si>
    <t>25x3 GI Flat Strip</t>
  </si>
  <si>
    <t>Mounting Nuts,Bolts with Plain Washer and Spring Washer for 25x3 GI Flat</t>
  </si>
  <si>
    <t>GI Saddle to hold earth strip</t>
  </si>
  <si>
    <t>Wood Screw with Grip</t>
  </si>
  <si>
    <t>Earthing pit chamber</t>
  </si>
  <si>
    <t>Name Plate for Earthing</t>
  </si>
  <si>
    <t>LV System</t>
  </si>
  <si>
    <t>Solar ACDB - 1 panel - Compartmentalised with following incoming and outgoing feeders:</t>
  </si>
  <si>
    <t>AC Cable from String Inverter to ACDB Panel</t>
  </si>
  <si>
    <t xml:space="preserve">Termination Kit for1.1 kV LT XLPE, 4Cx6Sq. mm Cu. Cable </t>
  </si>
  <si>
    <t>AC Cable from ACDB Panel-1 to Solar ACDB</t>
  </si>
  <si>
    <t>Termination for 4Cx16 Sq.mm 1.1kV LT XLPE, Cu. Cable</t>
  </si>
  <si>
    <t>Termination for 4Cx50 Sq.mm 1.1kV LT XLPE, Al. Armoured cable</t>
  </si>
  <si>
    <t>U-Clamp for 4Cx50 Sq.mm 1.1kV LT XLPE, Al. Armoured Cable</t>
  </si>
  <si>
    <t>Protection System</t>
  </si>
  <si>
    <t>Lightning Arrester alongwith mounting structures</t>
  </si>
  <si>
    <t>Insulator For earthing strip</t>
  </si>
  <si>
    <t>Monitoring System</t>
  </si>
  <si>
    <t>SMA Web Connect</t>
  </si>
  <si>
    <t>Eathernet Cable</t>
  </si>
  <si>
    <t>Router with Internet Connection</t>
  </si>
  <si>
    <t>Miscellaneous</t>
  </si>
  <si>
    <t>1</t>
  </si>
  <si>
    <t>Module Cleaning System</t>
  </si>
  <si>
    <t>2</t>
  </si>
  <si>
    <t>3</t>
  </si>
  <si>
    <t>4</t>
  </si>
  <si>
    <t>5</t>
  </si>
  <si>
    <t>Canopy for SMB, Inverter &amp; ACDB</t>
  </si>
  <si>
    <t>7</t>
  </si>
  <si>
    <t xml:space="preserve">Radium sticker for marking at Inverter/LT Panel/ACDB/Cable Tray </t>
  </si>
  <si>
    <t>8</t>
  </si>
  <si>
    <t>Water Proof Tapes</t>
  </si>
  <si>
    <t>9</t>
  </si>
  <si>
    <t>Electrical Tapes</t>
  </si>
  <si>
    <t>10</t>
  </si>
  <si>
    <t>Walkway</t>
  </si>
  <si>
    <t xml:space="preserve"> Metering</t>
  </si>
  <si>
    <t>Lumpsum Figures</t>
  </si>
  <si>
    <t>INC</t>
  </si>
  <si>
    <t>Rs/ kWp</t>
  </si>
  <si>
    <t>BOS Vendor</t>
  </si>
  <si>
    <t>Quantiity</t>
  </si>
  <si>
    <r>
      <t>1C x 4 Sq. mm DC cable</t>
    </r>
    <r>
      <rPr>
        <b/>
        <sz val="12"/>
        <color rgb="FFFF0000"/>
        <rFont val="Cambria"/>
        <family val="1"/>
        <scheme val="major"/>
      </rPr>
      <t xml:space="preserve"> </t>
    </r>
  </si>
  <si>
    <r>
      <rPr>
        <sz val="12"/>
        <rFont val="Cambria"/>
        <family val="1"/>
        <scheme val="major"/>
      </rPr>
      <t>Flexible Pipe</t>
    </r>
  </si>
  <si>
    <r>
      <rPr>
        <sz val="12"/>
        <rFont val="Cambria"/>
        <family val="1"/>
        <scheme val="major"/>
      </rPr>
      <t>GI Electrode Rod with Chemical Bag-3Mtr Long,50MM Dia</t>
    </r>
  </si>
  <si>
    <r>
      <rPr>
        <sz val="12"/>
        <rFont val="Cambria"/>
        <family val="1"/>
        <scheme val="major"/>
      </rPr>
      <t>Danger Board</t>
    </r>
  </si>
  <si>
    <r>
      <rPr>
        <sz val="12"/>
        <rFont val="Cambria"/>
        <family val="1"/>
        <scheme val="major"/>
      </rPr>
      <t>Fire Extinguisher</t>
    </r>
  </si>
  <si>
    <r>
      <rPr>
        <sz val="12"/>
        <rFont val="Cambria"/>
        <family val="1"/>
        <scheme val="major"/>
      </rPr>
      <t>Buckets with stand</t>
    </r>
  </si>
  <si>
    <r>
      <rPr>
        <sz val="12"/>
        <rFont val="Cambria"/>
        <family val="1"/>
        <scheme val="major"/>
      </rPr>
      <t>Solar meter</t>
    </r>
  </si>
  <si>
    <r>
      <rPr>
        <sz val="12"/>
        <rFont val="Cambria"/>
        <family val="1"/>
        <scheme val="major"/>
      </rPr>
      <t>Biidirectional Digital Energy meter</t>
    </r>
  </si>
  <si>
    <t xml:space="preserve">GI Cable Tray holding clamps, mounting clamps &amp; fastners </t>
  </si>
  <si>
    <t>Grid PV Inverter</t>
  </si>
  <si>
    <t>Price</t>
  </si>
  <si>
    <t>Rate</t>
  </si>
  <si>
    <t>kWp</t>
  </si>
  <si>
    <t>Hitachi Web Connect</t>
  </si>
  <si>
    <t>Installation</t>
  </si>
  <si>
    <t xml:space="preserve">GST </t>
  </si>
  <si>
    <t>Total</t>
  </si>
  <si>
    <t>Profit</t>
  </si>
  <si>
    <t>Final Cost</t>
  </si>
  <si>
    <t>Total Amount</t>
  </si>
  <si>
    <t>DCDB</t>
  </si>
  <si>
    <t>Solar Meter</t>
  </si>
  <si>
    <t>Mtr.</t>
  </si>
  <si>
    <t>50kW-Nos.</t>
  </si>
  <si>
    <t>Solar Module Goldi-545 to 570Wp</t>
  </si>
  <si>
    <t>GI Structure</t>
  </si>
  <si>
    <t>Kw</t>
  </si>
  <si>
    <t>Grid PV Inverter-150kW ABB</t>
  </si>
  <si>
    <t>500KW</t>
  </si>
  <si>
    <t>Bidirectional Digital Energy meter</t>
  </si>
  <si>
    <t>Mounting Structure for ACDB-50kW</t>
  </si>
  <si>
    <t>Mounting Structure for ACDB-150kW</t>
  </si>
  <si>
    <t xml:space="preserve">Cu Earthing Cable 6sqmm </t>
  </si>
  <si>
    <t>Insulated Cu Lugs for Earthing Cable 6sqmm</t>
  </si>
  <si>
    <t>6</t>
  </si>
  <si>
    <t>Aproximate Figures</t>
  </si>
  <si>
    <r>
      <t>1C x 6 Sq. mm DC cable</t>
    </r>
    <r>
      <rPr>
        <b/>
        <sz val="12"/>
        <color rgb="FFFF0000"/>
        <rFont val="Cambria"/>
        <family val="1"/>
        <scheme val="major"/>
      </rPr>
      <t xml:space="preserve"> </t>
    </r>
  </si>
  <si>
    <t>GI Strip</t>
  </si>
  <si>
    <t>Lisoning</t>
  </si>
  <si>
    <t>Note: AC Cable Length &amp; Price pending</t>
  </si>
  <si>
    <t>Al.Armoured Cable</t>
  </si>
  <si>
    <t>FLASYS DESIGN</t>
  </si>
  <si>
    <t>Flasys Design</t>
  </si>
  <si>
    <t>____ Plant Solar Project</t>
  </si>
  <si>
    <t>https://www.flasysdesign.com/</t>
  </si>
  <si>
    <t>Email: contact@flasysdesign.com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</si>
</sst>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000000"/>
      <name val="Cambria"/>
      <family val="1"/>
      <scheme val="major"/>
    </font>
    <font>
      <b/>
      <sz val="12"/>
      <color rgb="FF00000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sz val="12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b/>
      <sz val="18"/>
      <color theme="1"/>
      <name val="Cambria"/>
      <family val="1"/>
      <scheme val="major"/>
    </font>
    <font>
      <sz val="12"/>
      <color rgb="FFFF0000"/>
      <name val="Cambria"/>
      <family val="1"/>
      <scheme val="maj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111">
    <xf numFmtId="0" fontId="0" fillId="0" borderId="0" xfId="0"/>
    <xf numFmtId="0" fontId="3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49" fontId="8" fillId="2" borderId="1" xfId="1" applyNumberFormat="1" applyFont="1" applyFill="1" applyBorder="1" applyAlignment="1">
      <alignment horizontal="left" vertical="center"/>
    </xf>
    <xf numFmtId="49" fontId="8" fillId="3" borderId="1" xfId="1" applyNumberFormat="1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  <xf numFmtId="0" fontId="8" fillId="2" borderId="1" xfId="1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49" fontId="9" fillId="2" borderId="1" xfId="1" applyNumberFormat="1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top" wrapText="1"/>
    </xf>
    <xf numFmtId="0" fontId="9" fillId="2" borderId="1" xfId="1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top"/>
    </xf>
    <xf numFmtId="164" fontId="5" fillId="2" borderId="4" xfId="0" applyNumberFormat="1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9" fillId="2" borderId="1" xfId="1" applyNumberFormat="1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top"/>
    </xf>
    <xf numFmtId="0" fontId="3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top"/>
    </xf>
    <xf numFmtId="164" fontId="5" fillId="0" borderId="4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164" fontId="4" fillId="2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0" fillId="6" borderId="7" xfId="0" applyFill="1" applyBorder="1"/>
    <xf numFmtId="0" fontId="0" fillId="6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left" vertical="top"/>
    </xf>
    <xf numFmtId="0" fontId="0" fillId="6" borderId="11" xfId="0" applyFill="1" applyBorder="1" applyAlignment="1">
      <alignment horizontal="center" vertical="center"/>
    </xf>
    <xf numFmtId="0" fontId="0" fillId="6" borderId="11" xfId="0" applyFill="1" applyBorder="1" applyAlignment="1">
      <alignment horizontal="left" vertical="top"/>
    </xf>
    <xf numFmtId="0" fontId="0" fillId="6" borderId="12" xfId="0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left" vertical="top"/>
    </xf>
    <xf numFmtId="0" fontId="13" fillId="6" borderId="0" xfId="2" applyFill="1"/>
    <xf numFmtId="0" fontId="13" fillId="6" borderId="10" xfId="2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5" borderId="6" xfId="0" applyFont="1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12" fillId="7" borderId="0" xfId="0" applyFont="1" applyFill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198120</xdr:colOff>
      <xdr:row>1</xdr:row>
      <xdr:rowOff>83820</xdr:rowOff>
    </xdr:from>
    <xdr:to>
      <xdr:col>2</xdr:col>
      <xdr:colOff>373380</xdr:colOff>
      <xdr:row>2</xdr:row>
      <xdr:rowOff>32264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715DB0-6389-4C77-B125-B00E78556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" y="266700"/>
          <a:ext cx="784860" cy="2380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30481</xdr:colOff>
      <xdr:row>1</xdr:row>
      <xdr:rowOff>22861</xdr:rowOff>
    </xdr:from>
    <xdr:to>
      <xdr:col>2</xdr:col>
      <xdr:colOff>434341</xdr:colOff>
      <xdr:row>1</xdr:row>
      <xdr:rowOff>260865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0F48D4-20A3-50BA-1887-C5A247F38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1" y="205741"/>
          <a:ext cx="784860" cy="2380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8\VIDYAPEETH%20MAHARASHTRA\VIDYAPEETH,%20SANGLI\WANLASEWADI%20CAMPUS\Dental%20College\BOM-Format-4-4-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SPP"/>
      <sheetName val="Foundation Calculations"/>
      <sheetName val="BOM Summary-Right Click,Refresh"/>
      <sheetName val="PFB"/>
    </sheetNames>
    <sheetDataSet>
      <sheetData sheetId="0" refreshError="1"/>
      <sheetData sheetId="1" refreshError="1"/>
      <sheetData sheetId="2" refreshError="1"/>
      <sheetData sheetId="3" refreshError="1">
        <row r="2">
          <cell r="B2" t="str">
            <v>BOS_Sunkalp</v>
          </cell>
        </row>
        <row r="3">
          <cell r="B3" t="str">
            <v>BOS_Vendor</v>
          </cell>
        </row>
        <row r="4">
          <cell r="B4" t="str">
            <v>Cables</v>
          </cell>
        </row>
        <row r="5">
          <cell r="B5" t="str">
            <v>INC</v>
          </cell>
        </row>
        <row r="6">
          <cell r="B6" t="str">
            <v>Inverter</v>
          </cell>
        </row>
        <row r="7">
          <cell r="B7" t="str">
            <v>Maintenance_Equip</v>
          </cell>
        </row>
        <row r="8">
          <cell r="B8" t="str">
            <v>Misc</v>
          </cell>
        </row>
        <row r="9">
          <cell r="B9" t="str">
            <v>MMS</v>
          </cell>
        </row>
        <row r="10">
          <cell r="B10" t="str">
            <v>Modules</v>
          </cell>
        </row>
        <row r="11">
          <cell r="B11" t="str">
            <v>Remote_Monitoring</v>
          </cell>
        </row>
        <row r="12">
          <cell r="B12" t="str">
            <v>Nano_Coating</v>
          </cell>
        </row>
        <row r="13">
          <cell r="B13" t="str">
            <v>Walkways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lasysdesign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0"/>
  <sheetViews>
    <sheetView tabSelected="1" zoomScaleNormal="100" zoomScaleSheetLayoutView="110" workbookViewId="0">
      <selection activeCell="F10" sqref="F10"/>
    </sheetView>
  </sheetViews>
  <sheetFormatPr defaultRowHeight="14.4" x14ac:dyDescent="0.3"/>
  <cols>
    <col min="4" max="4" width="40.109375" bestFit="1" customWidth="1"/>
    <col min="5" max="5" width="13.44140625" bestFit="1" customWidth="1"/>
    <col min="6" max="6" width="16.88671875" customWidth="1"/>
    <col min="7" max="7" width="15.44140625" bestFit="1" customWidth="1"/>
    <col min="8" max="8" width="29.6640625" customWidth="1"/>
  </cols>
  <sheetData>
    <row r="2" spans="2:8" ht="22.8" x14ac:dyDescent="0.4">
      <c r="B2" s="84"/>
      <c r="C2" s="84"/>
      <c r="D2" s="98" t="s">
        <v>118</v>
      </c>
      <c r="E2" s="98"/>
      <c r="F2" s="98"/>
      <c r="G2" s="98"/>
      <c r="H2" s="86" t="s">
        <v>120</v>
      </c>
    </row>
    <row r="3" spans="2:8" x14ac:dyDescent="0.3">
      <c r="B3" s="85"/>
      <c r="C3" s="85"/>
      <c r="D3" s="85"/>
      <c r="E3" s="85"/>
      <c r="F3" s="85"/>
      <c r="G3" s="85"/>
      <c r="H3" s="85" t="s">
        <v>121</v>
      </c>
    </row>
    <row r="4" spans="2:8" ht="36" customHeight="1" x14ac:dyDescent="0.3">
      <c r="B4" s="94" t="s">
        <v>0</v>
      </c>
      <c r="C4" s="95"/>
      <c r="D4" s="96" t="s">
        <v>1</v>
      </c>
      <c r="E4" s="96" t="s">
        <v>2</v>
      </c>
      <c r="F4" s="99" t="s">
        <v>75</v>
      </c>
      <c r="G4" s="96" t="s">
        <v>3</v>
      </c>
      <c r="H4" s="99" t="s">
        <v>4</v>
      </c>
    </row>
    <row r="5" spans="2:8" ht="17.399999999999999" x14ac:dyDescent="0.3">
      <c r="B5" s="77" t="s">
        <v>5</v>
      </c>
      <c r="C5" s="77" t="s">
        <v>6</v>
      </c>
      <c r="D5" s="97"/>
      <c r="E5" s="97"/>
      <c r="F5" s="100"/>
      <c r="G5" s="97"/>
      <c r="H5" s="100"/>
    </row>
    <row r="6" spans="2:8" ht="15" x14ac:dyDescent="0.3">
      <c r="B6" s="1"/>
      <c r="C6" s="1">
        <v>1</v>
      </c>
      <c r="D6" s="2" t="s">
        <v>7</v>
      </c>
      <c r="E6" s="2" t="s">
        <v>8</v>
      </c>
      <c r="F6" s="3"/>
      <c r="G6" s="4"/>
      <c r="H6" s="2"/>
    </row>
    <row r="7" spans="2:8" ht="15" x14ac:dyDescent="0.3">
      <c r="B7" s="5">
        <v>2</v>
      </c>
      <c r="C7" s="6"/>
      <c r="D7" s="7" t="s">
        <v>9</v>
      </c>
      <c r="E7" s="7"/>
      <c r="F7" s="5"/>
      <c r="G7" s="5"/>
      <c r="H7" s="7"/>
    </row>
    <row r="8" spans="2:8" ht="15" x14ac:dyDescent="0.3">
      <c r="B8" s="88"/>
      <c r="C8" s="90">
        <v>1</v>
      </c>
      <c r="D8" s="92" t="s">
        <v>85</v>
      </c>
      <c r="E8" s="2" t="s">
        <v>8</v>
      </c>
      <c r="F8" s="3"/>
      <c r="G8" s="4"/>
      <c r="H8" s="9"/>
    </row>
    <row r="9" spans="2:8" ht="15" x14ac:dyDescent="0.3">
      <c r="B9" s="89"/>
      <c r="C9" s="91"/>
      <c r="D9" s="93"/>
      <c r="E9" s="2" t="s">
        <v>8</v>
      </c>
      <c r="F9" s="3"/>
      <c r="G9" s="4"/>
      <c r="H9" s="9"/>
    </row>
    <row r="10" spans="2:8" ht="15" x14ac:dyDescent="0.3">
      <c r="B10" s="5">
        <v>3</v>
      </c>
      <c r="C10" s="6"/>
      <c r="D10" s="7" t="s">
        <v>10</v>
      </c>
      <c r="E10" s="7"/>
      <c r="F10" s="5"/>
      <c r="G10" s="5"/>
      <c r="H10" s="7"/>
    </row>
    <row r="11" spans="2:8" ht="15" x14ac:dyDescent="0.3">
      <c r="B11" s="3"/>
      <c r="C11" s="1">
        <v>1</v>
      </c>
      <c r="D11" s="2" t="s">
        <v>11</v>
      </c>
      <c r="E11" s="2" t="s">
        <v>12</v>
      </c>
      <c r="F11" s="4"/>
      <c r="G11" s="3"/>
      <c r="H11" s="10"/>
    </row>
    <row r="12" spans="2:8" ht="15" x14ac:dyDescent="0.3">
      <c r="B12" s="3"/>
      <c r="C12" s="1">
        <v>2</v>
      </c>
      <c r="D12" s="2" t="s">
        <v>13</v>
      </c>
      <c r="E12" s="2" t="s">
        <v>8</v>
      </c>
      <c r="F12" s="11"/>
      <c r="G12" s="4"/>
      <c r="H12" s="4"/>
    </row>
    <row r="13" spans="2:8" ht="15" x14ac:dyDescent="0.3">
      <c r="B13" s="3"/>
      <c r="C13" s="1">
        <v>3</v>
      </c>
      <c r="D13" s="9" t="s">
        <v>14</v>
      </c>
      <c r="E13" s="2" t="s">
        <v>8</v>
      </c>
      <c r="F13" s="3"/>
      <c r="G13" s="4"/>
      <c r="H13" s="11"/>
    </row>
    <row r="14" spans="2:8" ht="15" x14ac:dyDescent="0.3">
      <c r="B14" s="3"/>
      <c r="C14" s="1">
        <v>4</v>
      </c>
      <c r="D14" s="9" t="s">
        <v>15</v>
      </c>
      <c r="E14" s="2" t="s">
        <v>8</v>
      </c>
      <c r="F14" s="3"/>
      <c r="G14" s="4"/>
      <c r="H14" s="11"/>
    </row>
    <row r="15" spans="2:8" ht="15" x14ac:dyDescent="0.3">
      <c r="B15" s="5">
        <v>4</v>
      </c>
      <c r="C15" s="12"/>
      <c r="D15" s="7" t="s">
        <v>16</v>
      </c>
      <c r="E15" s="7"/>
      <c r="F15" s="5"/>
      <c r="G15" s="5"/>
      <c r="H15" s="7"/>
    </row>
    <row r="16" spans="2:8" ht="15" x14ac:dyDescent="0.3">
      <c r="B16" s="3"/>
      <c r="C16" s="1">
        <v>1</v>
      </c>
      <c r="D16" s="9" t="s">
        <v>17</v>
      </c>
      <c r="E16" s="9" t="s">
        <v>8</v>
      </c>
      <c r="F16" s="4"/>
      <c r="G16" s="4"/>
      <c r="H16" s="11"/>
    </row>
    <row r="17" spans="2:8" ht="15" x14ac:dyDescent="0.3">
      <c r="B17" s="3"/>
      <c r="C17" s="1">
        <v>2</v>
      </c>
      <c r="D17" s="9" t="s">
        <v>18</v>
      </c>
      <c r="E17" s="9" t="s">
        <v>8</v>
      </c>
      <c r="F17" s="4"/>
      <c r="G17" s="4"/>
      <c r="H17" s="11"/>
    </row>
    <row r="18" spans="2:8" ht="15" x14ac:dyDescent="0.3">
      <c r="B18" s="5">
        <v>5</v>
      </c>
      <c r="C18" s="12"/>
      <c r="D18" s="7" t="s">
        <v>19</v>
      </c>
      <c r="E18" s="12"/>
      <c r="F18" s="13"/>
      <c r="G18" s="12"/>
      <c r="H18" s="12"/>
    </row>
    <row r="19" spans="2:8" ht="15" x14ac:dyDescent="0.3">
      <c r="B19" s="14"/>
      <c r="C19" s="1">
        <v>1</v>
      </c>
      <c r="D19" s="9" t="s">
        <v>20</v>
      </c>
      <c r="E19" s="1" t="s">
        <v>8</v>
      </c>
      <c r="F19" s="4"/>
      <c r="G19" s="1"/>
      <c r="H19" s="1"/>
    </row>
    <row r="20" spans="2:8" ht="15" x14ac:dyDescent="0.3">
      <c r="B20" s="3"/>
      <c r="C20" s="1">
        <v>2</v>
      </c>
      <c r="D20" s="9" t="s">
        <v>76</v>
      </c>
      <c r="E20" s="9" t="s">
        <v>21</v>
      </c>
      <c r="F20" s="11"/>
      <c r="G20" s="11"/>
      <c r="H20" s="9"/>
    </row>
    <row r="21" spans="2:8" ht="54.75" customHeight="1" x14ac:dyDescent="0.3">
      <c r="B21" s="3"/>
      <c r="C21" s="1">
        <v>3</v>
      </c>
      <c r="D21" s="9" t="s">
        <v>22</v>
      </c>
      <c r="E21" s="2" t="s">
        <v>23</v>
      </c>
      <c r="F21" s="3"/>
      <c r="G21" s="11"/>
      <c r="H21" s="1"/>
    </row>
    <row r="22" spans="2:8" ht="15" x14ac:dyDescent="0.3">
      <c r="B22" s="3"/>
      <c r="C22" s="1">
        <v>4</v>
      </c>
      <c r="D22" s="9" t="s">
        <v>24</v>
      </c>
      <c r="E22" s="2" t="s">
        <v>8</v>
      </c>
      <c r="F22" s="11"/>
      <c r="G22" s="4"/>
      <c r="H22" s="2"/>
    </row>
    <row r="23" spans="2:8" ht="30" x14ac:dyDescent="0.3">
      <c r="B23" s="3"/>
      <c r="C23" s="1">
        <v>4</v>
      </c>
      <c r="D23" s="9" t="s">
        <v>25</v>
      </c>
      <c r="E23" s="2" t="s">
        <v>8</v>
      </c>
      <c r="F23" s="11"/>
      <c r="G23" s="4"/>
      <c r="H23" s="2"/>
    </row>
    <row r="24" spans="2:8" ht="15" x14ac:dyDescent="0.3">
      <c r="B24" s="1"/>
      <c r="C24" s="1">
        <v>5</v>
      </c>
      <c r="D24" s="9" t="s">
        <v>26</v>
      </c>
      <c r="E24" s="2" t="s">
        <v>21</v>
      </c>
      <c r="F24" s="11"/>
      <c r="G24" s="4"/>
      <c r="H24" s="2"/>
    </row>
    <row r="25" spans="2:8" ht="45" customHeight="1" x14ac:dyDescent="0.3">
      <c r="B25" s="1"/>
      <c r="C25" s="1">
        <v>5</v>
      </c>
      <c r="D25" s="9" t="s">
        <v>84</v>
      </c>
      <c r="E25" s="2" t="s">
        <v>8</v>
      </c>
      <c r="F25" s="11"/>
      <c r="G25" s="4"/>
      <c r="H25" s="2"/>
    </row>
    <row r="26" spans="2:8" ht="15" x14ac:dyDescent="0.3">
      <c r="B26" s="1"/>
      <c r="C26" s="1">
        <v>6</v>
      </c>
      <c r="D26" s="9" t="s">
        <v>27</v>
      </c>
      <c r="E26" s="2" t="s">
        <v>28</v>
      </c>
      <c r="F26" s="11"/>
      <c r="G26" s="4"/>
      <c r="H26" s="15"/>
    </row>
    <row r="27" spans="2:8" ht="15" x14ac:dyDescent="0.3">
      <c r="B27" s="1"/>
      <c r="C27" s="1">
        <v>7</v>
      </c>
      <c r="D27" s="9" t="s">
        <v>77</v>
      </c>
      <c r="E27" s="2" t="s">
        <v>21</v>
      </c>
      <c r="F27" s="11"/>
      <c r="G27" s="4"/>
      <c r="H27" s="2"/>
    </row>
    <row r="28" spans="2:8" ht="15" x14ac:dyDescent="0.3">
      <c r="B28" s="1"/>
      <c r="C28" s="1">
        <v>8</v>
      </c>
      <c r="D28" s="9" t="s">
        <v>29</v>
      </c>
      <c r="E28" s="2" t="s">
        <v>28</v>
      </c>
      <c r="F28" s="11"/>
      <c r="G28" s="4"/>
      <c r="H28" s="1"/>
    </row>
    <row r="29" spans="2:8" ht="15" x14ac:dyDescent="0.3">
      <c r="B29" s="16">
        <v>6</v>
      </c>
      <c r="C29" s="12"/>
      <c r="D29" s="16" t="s">
        <v>30</v>
      </c>
      <c r="E29" s="12"/>
      <c r="F29" s="12"/>
      <c r="G29" s="13"/>
      <c r="H29" s="12"/>
    </row>
    <row r="30" spans="2:8" ht="30" x14ac:dyDescent="0.3">
      <c r="B30" s="17"/>
      <c r="C30" s="1">
        <v>1</v>
      </c>
      <c r="D30" s="9" t="s">
        <v>78</v>
      </c>
      <c r="E30" s="2" t="s">
        <v>8</v>
      </c>
      <c r="F30" s="3"/>
      <c r="G30" s="4"/>
      <c r="H30" s="15"/>
    </row>
    <row r="31" spans="2:8" ht="15" x14ac:dyDescent="0.3">
      <c r="B31" s="17"/>
      <c r="C31" s="1">
        <v>2</v>
      </c>
      <c r="D31" s="9" t="s">
        <v>31</v>
      </c>
      <c r="E31" s="2" t="s">
        <v>21</v>
      </c>
      <c r="F31" s="3"/>
      <c r="G31" s="4"/>
      <c r="H31" s="15"/>
    </row>
    <row r="32" spans="2:8" ht="15" x14ac:dyDescent="0.3">
      <c r="B32" s="17"/>
      <c r="C32" s="1">
        <v>3</v>
      </c>
      <c r="D32" s="9" t="s">
        <v>32</v>
      </c>
      <c r="E32" s="2" t="s">
        <v>8</v>
      </c>
      <c r="F32" s="3"/>
      <c r="G32" s="4"/>
      <c r="H32" s="15"/>
    </row>
    <row r="33" spans="2:8" ht="15" x14ac:dyDescent="0.3">
      <c r="B33" s="1"/>
      <c r="C33" s="1">
        <v>4</v>
      </c>
      <c r="D33" s="9" t="s">
        <v>33</v>
      </c>
      <c r="E33" s="2" t="s">
        <v>21</v>
      </c>
      <c r="F33" s="11"/>
      <c r="G33" s="4"/>
      <c r="H33" s="2"/>
    </row>
    <row r="34" spans="2:8" ht="30" x14ac:dyDescent="0.3">
      <c r="B34" s="1"/>
      <c r="C34" s="1">
        <v>5</v>
      </c>
      <c r="D34" s="9" t="s">
        <v>34</v>
      </c>
      <c r="E34" s="2" t="s">
        <v>8</v>
      </c>
      <c r="F34" s="11"/>
      <c r="G34" s="4"/>
      <c r="H34" s="2"/>
    </row>
    <row r="35" spans="2:8" ht="15" x14ac:dyDescent="0.3">
      <c r="B35" s="1"/>
      <c r="C35" s="1">
        <v>6</v>
      </c>
      <c r="D35" s="18" t="s">
        <v>35</v>
      </c>
      <c r="E35" s="19" t="s">
        <v>8</v>
      </c>
      <c r="F35" s="11"/>
      <c r="G35" s="4"/>
      <c r="H35" s="2"/>
    </row>
    <row r="36" spans="2:8" ht="15" x14ac:dyDescent="0.3">
      <c r="B36" s="1"/>
      <c r="C36" s="1">
        <v>7</v>
      </c>
      <c r="D36" s="9" t="s">
        <v>36</v>
      </c>
      <c r="E36" s="2" t="s">
        <v>8</v>
      </c>
      <c r="F36" s="11"/>
      <c r="G36" s="4"/>
      <c r="H36" s="2"/>
    </row>
    <row r="37" spans="2:8" ht="15" x14ac:dyDescent="0.3">
      <c r="B37" s="20"/>
      <c r="C37" s="1">
        <v>8</v>
      </c>
      <c r="D37" s="9" t="s">
        <v>37</v>
      </c>
      <c r="E37" s="2" t="s">
        <v>8</v>
      </c>
      <c r="F37" s="3"/>
      <c r="G37" s="4"/>
      <c r="H37" s="2"/>
    </row>
    <row r="38" spans="2:8" ht="15" x14ac:dyDescent="0.3">
      <c r="B38" s="20"/>
      <c r="C38" s="1">
        <v>9</v>
      </c>
      <c r="D38" s="21" t="s">
        <v>38</v>
      </c>
      <c r="E38" s="2" t="s">
        <v>8</v>
      </c>
      <c r="F38" s="3"/>
      <c r="G38" s="4"/>
      <c r="H38" s="2"/>
    </row>
    <row r="39" spans="2:8" ht="15" x14ac:dyDescent="0.3">
      <c r="B39" s="16">
        <v>7</v>
      </c>
      <c r="C39" s="12"/>
      <c r="D39" s="16" t="s">
        <v>39</v>
      </c>
      <c r="E39" s="12"/>
      <c r="F39" s="12"/>
      <c r="G39" s="13"/>
      <c r="H39" s="22"/>
    </row>
    <row r="40" spans="2:8" ht="45" x14ac:dyDescent="0.3">
      <c r="B40" s="1"/>
      <c r="C40" s="1">
        <v>1</v>
      </c>
      <c r="D40" s="9" t="s">
        <v>40</v>
      </c>
      <c r="E40" s="11" t="s">
        <v>8</v>
      </c>
      <c r="F40" s="11"/>
      <c r="G40" s="11"/>
      <c r="H40" s="11"/>
    </row>
    <row r="41" spans="2:8" ht="30" x14ac:dyDescent="0.3">
      <c r="B41" s="23"/>
      <c r="C41" s="1">
        <v>2</v>
      </c>
      <c r="D41" s="9" t="s">
        <v>41</v>
      </c>
      <c r="E41" s="11" t="s">
        <v>21</v>
      </c>
      <c r="F41" s="11"/>
      <c r="G41" s="11"/>
      <c r="H41" s="9"/>
    </row>
    <row r="42" spans="2:8" ht="30" x14ac:dyDescent="0.3">
      <c r="B42" s="23"/>
      <c r="C42" s="1">
        <v>3</v>
      </c>
      <c r="D42" s="9" t="s">
        <v>42</v>
      </c>
      <c r="E42" s="4" t="s">
        <v>8</v>
      </c>
      <c r="F42" s="3"/>
      <c r="G42" s="11"/>
      <c r="H42" s="9"/>
    </row>
    <row r="43" spans="2:8" ht="30" x14ac:dyDescent="0.3">
      <c r="B43" s="23"/>
      <c r="C43" s="1">
        <v>4</v>
      </c>
      <c r="D43" s="9" t="s">
        <v>43</v>
      </c>
      <c r="E43" s="4" t="s">
        <v>21</v>
      </c>
      <c r="F43" s="4"/>
      <c r="G43" s="11"/>
      <c r="H43" s="9"/>
    </row>
    <row r="44" spans="2:8" ht="30" x14ac:dyDescent="0.3">
      <c r="B44" s="23"/>
      <c r="C44" s="1">
        <v>5</v>
      </c>
      <c r="D44" s="9" t="s">
        <v>44</v>
      </c>
      <c r="E44" s="4" t="s">
        <v>8</v>
      </c>
      <c r="F44" s="3"/>
      <c r="G44" s="11"/>
      <c r="H44" s="9"/>
    </row>
    <row r="45" spans="2:8" ht="30" x14ac:dyDescent="0.3">
      <c r="B45" s="23"/>
      <c r="C45" s="1">
        <v>6</v>
      </c>
      <c r="D45" s="9" t="s">
        <v>43</v>
      </c>
      <c r="E45" s="4" t="s">
        <v>21</v>
      </c>
      <c r="F45" s="4"/>
      <c r="G45" s="11"/>
      <c r="H45" s="9"/>
    </row>
    <row r="46" spans="2:8" ht="30" x14ac:dyDescent="0.3">
      <c r="B46" s="23"/>
      <c r="C46" s="1">
        <v>7</v>
      </c>
      <c r="D46" s="9" t="s">
        <v>45</v>
      </c>
      <c r="E46" s="4" t="s">
        <v>8</v>
      </c>
      <c r="F46" s="3"/>
      <c r="G46" s="11"/>
      <c r="H46" s="9"/>
    </row>
    <row r="47" spans="2:8" ht="30" x14ac:dyDescent="0.3">
      <c r="B47" s="24"/>
      <c r="C47" s="1">
        <v>7</v>
      </c>
      <c r="D47" s="9" t="s">
        <v>46</v>
      </c>
      <c r="E47" s="4" t="s">
        <v>8</v>
      </c>
      <c r="F47" s="3"/>
      <c r="G47" s="11"/>
      <c r="H47" s="9"/>
    </row>
    <row r="48" spans="2:8" ht="15" x14ac:dyDescent="0.3">
      <c r="B48" s="16">
        <v>8</v>
      </c>
      <c r="C48" s="16"/>
      <c r="D48" s="16" t="s">
        <v>47</v>
      </c>
      <c r="E48" s="25"/>
      <c r="F48" s="26"/>
      <c r="G48" s="27"/>
      <c r="H48" s="28"/>
    </row>
    <row r="49" spans="2:8" ht="30" x14ac:dyDescent="0.3">
      <c r="B49" s="17"/>
      <c r="C49" s="1">
        <v>1</v>
      </c>
      <c r="D49" s="9" t="s">
        <v>48</v>
      </c>
      <c r="E49" s="4" t="s">
        <v>8</v>
      </c>
      <c r="F49" s="3"/>
      <c r="G49" s="11"/>
      <c r="H49" s="9"/>
    </row>
    <row r="50" spans="2:8" ht="15" x14ac:dyDescent="0.3">
      <c r="B50" s="17"/>
      <c r="C50" s="1">
        <v>2</v>
      </c>
      <c r="D50" s="9" t="s">
        <v>49</v>
      </c>
      <c r="E50" s="4" t="s">
        <v>8</v>
      </c>
      <c r="F50" s="11"/>
      <c r="G50" s="11"/>
      <c r="H50" s="2"/>
    </row>
    <row r="51" spans="2:8" ht="15" x14ac:dyDescent="0.3">
      <c r="B51" s="29">
        <v>9</v>
      </c>
      <c r="C51" s="16"/>
      <c r="D51" s="16" t="s">
        <v>50</v>
      </c>
      <c r="E51" s="13"/>
      <c r="F51" s="13"/>
      <c r="G51" s="27"/>
      <c r="H51" s="30"/>
    </row>
    <row r="52" spans="2:8" ht="15" x14ac:dyDescent="0.3">
      <c r="B52" s="23"/>
      <c r="C52" s="1">
        <v>1</v>
      </c>
      <c r="D52" s="2" t="s">
        <v>51</v>
      </c>
      <c r="E52" s="4" t="s">
        <v>8</v>
      </c>
      <c r="F52" s="4"/>
      <c r="G52" s="11"/>
      <c r="H52" s="23"/>
    </row>
    <row r="53" spans="2:8" ht="15" x14ac:dyDescent="0.3">
      <c r="B53" s="23"/>
      <c r="C53" s="1">
        <v>2</v>
      </c>
      <c r="D53" s="10" t="s">
        <v>52</v>
      </c>
      <c r="E53" s="4" t="s">
        <v>21</v>
      </c>
      <c r="F53" s="4"/>
      <c r="G53" s="11"/>
      <c r="H53" s="9"/>
    </row>
    <row r="54" spans="2:8" ht="15" x14ac:dyDescent="0.3">
      <c r="B54" s="31"/>
      <c r="C54" s="20">
        <v>4</v>
      </c>
      <c r="D54" s="21" t="s">
        <v>53</v>
      </c>
      <c r="E54" s="4" t="s">
        <v>8</v>
      </c>
      <c r="F54" s="4"/>
      <c r="G54" s="11"/>
      <c r="H54" s="9"/>
    </row>
    <row r="55" spans="2:8" ht="15" x14ac:dyDescent="0.3">
      <c r="B55" s="29">
        <v>10</v>
      </c>
      <c r="C55" s="16"/>
      <c r="D55" s="32" t="s">
        <v>54</v>
      </c>
      <c r="E55" s="13"/>
      <c r="F55" s="13"/>
      <c r="G55" s="27"/>
      <c r="H55" s="30"/>
    </row>
    <row r="56" spans="2:8" ht="15" x14ac:dyDescent="0.3">
      <c r="B56" s="23"/>
      <c r="C56" s="1" t="s">
        <v>55</v>
      </c>
      <c r="D56" s="9" t="s">
        <v>56</v>
      </c>
      <c r="E56" s="4" t="s">
        <v>8</v>
      </c>
      <c r="F56" s="11"/>
      <c r="G56" s="11"/>
      <c r="H56" s="1"/>
    </row>
    <row r="57" spans="2:8" ht="15" x14ac:dyDescent="0.3">
      <c r="B57" s="23"/>
      <c r="C57" s="1" t="s">
        <v>57</v>
      </c>
      <c r="D57" s="9" t="s">
        <v>79</v>
      </c>
      <c r="E57" s="4" t="s">
        <v>8</v>
      </c>
      <c r="F57" s="33"/>
      <c r="G57" s="11"/>
      <c r="H57" s="23"/>
    </row>
    <row r="58" spans="2:8" ht="15" x14ac:dyDescent="0.3">
      <c r="B58" s="23"/>
      <c r="C58" s="1" t="s">
        <v>58</v>
      </c>
      <c r="D58" s="9" t="s">
        <v>80</v>
      </c>
      <c r="E58" s="4" t="s">
        <v>8</v>
      </c>
      <c r="F58" s="34"/>
      <c r="G58" s="11"/>
      <c r="H58" s="19"/>
    </row>
    <row r="59" spans="2:8" ht="15" x14ac:dyDescent="0.3">
      <c r="B59" s="23"/>
      <c r="C59" s="1" t="s">
        <v>59</v>
      </c>
      <c r="D59" s="9" t="s">
        <v>81</v>
      </c>
      <c r="E59" s="4" t="s">
        <v>8</v>
      </c>
      <c r="F59" s="34"/>
      <c r="G59" s="11"/>
      <c r="H59" s="19"/>
    </row>
    <row r="60" spans="2:8" ht="15" x14ac:dyDescent="0.3">
      <c r="B60" s="31"/>
      <c r="C60" s="1" t="s">
        <v>60</v>
      </c>
      <c r="D60" s="21" t="s">
        <v>61</v>
      </c>
      <c r="E60" s="4" t="s">
        <v>8</v>
      </c>
      <c r="F60" s="34"/>
      <c r="G60" s="11"/>
      <c r="H60" s="19"/>
    </row>
    <row r="61" spans="2:8" ht="30" x14ac:dyDescent="0.3">
      <c r="B61" s="31"/>
      <c r="C61" s="1" t="s">
        <v>62</v>
      </c>
      <c r="D61" s="21" t="s">
        <v>63</v>
      </c>
      <c r="E61" s="4" t="s">
        <v>8</v>
      </c>
      <c r="F61" s="35"/>
      <c r="G61" s="11"/>
      <c r="H61" s="19"/>
    </row>
    <row r="62" spans="2:8" ht="15" x14ac:dyDescent="0.3">
      <c r="B62" s="31"/>
      <c r="C62" s="1" t="s">
        <v>64</v>
      </c>
      <c r="D62" s="10" t="s">
        <v>65</v>
      </c>
      <c r="E62" s="36" t="s">
        <v>8</v>
      </c>
      <c r="F62" s="35"/>
      <c r="G62" s="37"/>
      <c r="H62" s="38"/>
    </row>
    <row r="63" spans="2:8" ht="15" x14ac:dyDescent="0.3">
      <c r="B63" s="31"/>
      <c r="C63" s="1" t="s">
        <v>66</v>
      </c>
      <c r="D63" s="10" t="s">
        <v>67</v>
      </c>
      <c r="E63" s="36" t="s">
        <v>8</v>
      </c>
      <c r="F63" s="35"/>
      <c r="G63" s="37"/>
      <c r="H63" s="38"/>
    </row>
    <row r="64" spans="2:8" ht="15" x14ac:dyDescent="0.3">
      <c r="B64" s="31"/>
      <c r="C64" s="1" t="s">
        <v>68</v>
      </c>
      <c r="D64" s="24" t="s">
        <v>69</v>
      </c>
      <c r="E64" s="23"/>
      <c r="F64" s="23"/>
      <c r="G64" s="23"/>
      <c r="H64" s="1"/>
    </row>
    <row r="65" spans="2:8" ht="15" x14ac:dyDescent="0.3">
      <c r="B65" s="32">
        <v>11</v>
      </c>
      <c r="C65" s="32"/>
      <c r="D65" s="32" t="s">
        <v>70</v>
      </c>
      <c r="E65" s="39"/>
      <c r="F65" s="32"/>
      <c r="G65" s="32"/>
      <c r="H65" s="32"/>
    </row>
    <row r="66" spans="2:8" ht="15" x14ac:dyDescent="0.3">
      <c r="B66" s="24"/>
      <c r="C66" s="1">
        <v>1</v>
      </c>
      <c r="D66" s="9" t="s">
        <v>82</v>
      </c>
      <c r="E66" s="4" t="s">
        <v>8</v>
      </c>
      <c r="F66" s="19"/>
      <c r="G66" s="23"/>
      <c r="H66" s="40"/>
    </row>
    <row r="67" spans="2:8" ht="15" x14ac:dyDescent="0.3">
      <c r="B67" s="23"/>
      <c r="C67" s="1">
        <v>2</v>
      </c>
      <c r="D67" s="9" t="s">
        <v>83</v>
      </c>
      <c r="E67" s="4" t="s">
        <v>8</v>
      </c>
      <c r="F67" s="23"/>
      <c r="G67" s="11"/>
      <c r="H67" s="40"/>
    </row>
    <row r="68" spans="2:8" ht="15" x14ac:dyDescent="0.3">
      <c r="B68" s="41">
        <v>12</v>
      </c>
      <c r="C68" s="32"/>
      <c r="D68" s="32" t="s">
        <v>71</v>
      </c>
      <c r="E68" s="39"/>
      <c r="F68" s="32"/>
      <c r="G68" s="32"/>
      <c r="H68" s="32"/>
    </row>
    <row r="69" spans="2:8" ht="15" x14ac:dyDescent="0.3">
      <c r="B69" s="23"/>
      <c r="C69" s="1">
        <v>1</v>
      </c>
      <c r="D69" s="9" t="s">
        <v>72</v>
      </c>
      <c r="E69" s="42" t="s">
        <v>73</v>
      </c>
      <c r="F69" s="42"/>
      <c r="G69" s="23"/>
      <c r="H69" s="40"/>
    </row>
    <row r="70" spans="2:8" ht="15" x14ac:dyDescent="0.3">
      <c r="B70" s="23"/>
      <c r="C70" s="1">
        <v>2</v>
      </c>
      <c r="D70" s="9" t="s">
        <v>74</v>
      </c>
      <c r="E70" s="42" t="s">
        <v>73</v>
      </c>
      <c r="F70" s="42"/>
      <c r="G70" s="23"/>
      <c r="H70" s="40"/>
    </row>
  </sheetData>
  <mergeCells count="10">
    <mergeCell ref="D2:G2"/>
    <mergeCell ref="E4:E5"/>
    <mergeCell ref="F4:F5"/>
    <mergeCell ref="G4:G5"/>
    <mergeCell ref="H4:H5"/>
    <mergeCell ref="B8:B9"/>
    <mergeCell ref="C8:C9"/>
    <mergeCell ref="D8:D9"/>
    <mergeCell ref="B4:C4"/>
    <mergeCell ref="D4:D5"/>
  </mergeCells>
  <hyperlinks>
    <hyperlink ref="H2" r:id="rId1" xr:uid="{AC45CA3E-E353-47B7-9DB3-5959A0DF309F}"/>
  </hyperlinks>
  <pageMargins left="0.7" right="0.7" top="0.75" bottom="0.75" header="0.3" footer="0.3"/>
  <pageSetup paperSize="9" scale="61" orientation="portrait" horizontalDpi="4294967293" r:id="rId2"/>
  <rowBreaks count="1" manualBreakCount="1">
    <brk id="38" max="16383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80"/>
  <sheetViews>
    <sheetView topLeftCell="A2" workbookViewId="0">
      <pane ySplit="1" topLeftCell="A51" activePane="bottomLeft" state="frozen"/>
      <selection activeCell="A2" sqref="A2"/>
      <selection pane="bottomLeft" activeCell="M67" sqref="M67"/>
    </sheetView>
  </sheetViews>
  <sheetFormatPr defaultRowHeight="14.4" x14ac:dyDescent="0.3"/>
  <cols>
    <col min="1" max="1" width="3.21875" customWidth="1"/>
    <col min="2" max="2" width="5.5546875" customWidth="1"/>
    <col min="3" max="3" width="6.6640625" style="50" customWidth="1"/>
    <col min="4" max="4" width="40.109375" bestFit="1" customWidth="1"/>
    <col min="5" max="5" width="10.109375" customWidth="1"/>
    <col min="6" max="6" width="14.44140625" style="50" customWidth="1"/>
    <col min="7" max="7" width="14.33203125" style="50" customWidth="1"/>
    <col min="8" max="8" width="28.6640625" style="50" bestFit="1" customWidth="1"/>
    <col min="9" max="9" width="12.88671875" bestFit="1" customWidth="1"/>
  </cols>
  <sheetData>
    <row r="2" spans="2:10" ht="22.8" x14ac:dyDescent="0.4">
      <c r="B2" s="78"/>
      <c r="C2" s="79"/>
      <c r="D2" s="108" t="s">
        <v>117</v>
      </c>
      <c r="E2" s="108"/>
      <c r="F2" s="108"/>
      <c r="G2" s="108"/>
      <c r="H2" s="87" t="s">
        <v>120</v>
      </c>
    </row>
    <row r="3" spans="2:10" x14ac:dyDescent="0.3">
      <c r="B3" s="80"/>
      <c r="C3" s="81"/>
      <c r="D3" s="82" t="s">
        <v>104</v>
      </c>
      <c r="E3" s="82" t="s">
        <v>119</v>
      </c>
      <c r="F3" s="81"/>
      <c r="G3" s="81"/>
      <c r="H3" s="83" t="s">
        <v>121</v>
      </c>
    </row>
    <row r="4" spans="2:10" ht="36" customHeight="1" x14ac:dyDescent="0.3">
      <c r="B4" s="94" t="s">
        <v>0</v>
      </c>
      <c r="C4" s="95"/>
      <c r="D4" s="96" t="s">
        <v>1</v>
      </c>
      <c r="E4" s="96" t="s">
        <v>2</v>
      </c>
      <c r="F4" s="99" t="s">
        <v>75</v>
      </c>
      <c r="G4" s="96" t="s">
        <v>87</v>
      </c>
      <c r="H4" s="104" t="s">
        <v>86</v>
      </c>
      <c r="I4" s="106"/>
      <c r="J4" s="107"/>
    </row>
    <row r="5" spans="2:10" ht="17.399999999999999" x14ac:dyDescent="0.3">
      <c r="B5" s="77" t="s">
        <v>5</v>
      </c>
      <c r="C5" s="77" t="s">
        <v>6</v>
      </c>
      <c r="D5" s="97"/>
      <c r="E5" s="97"/>
      <c r="F5" s="100"/>
      <c r="G5" s="97"/>
      <c r="H5" s="105"/>
      <c r="I5" s="106"/>
      <c r="J5" s="107"/>
    </row>
    <row r="6" spans="2:10" ht="15" x14ac:dyDescent="0.3">
      <c r="B6" s="1"/>
      <c r="C6" s="3">
        <v>1</v>
      </c>
      <c r="D6" s="2" t="s">
        <v>100</v>
      </c>
      <c r="E6" s="2" t="s">
        <v>8</v>
      </c>
      <c r="F6" s="3">
        <v>917</v>
      </c>
      <c r="G6" s="44">
        <v>7929.75</v>
      </c>
      <c r="H6" s="44">
        <f>F6*G6</f>
        <v>7271580.75</v>
      </c>
    </row>
    <row r="7" spans="2:10" ht="15" x14ac:dyDescent="0.3">
      <c r="B7" s="5">
        <v>2</v>
      </c>
      <c r="C7" s="5"/>
      <c r="D7" s="7" t="s">
        <v>9</v>
      </c>
      <c r="E7" s="7"/>
      <c r="F7" s="5"/>
      <c r="G7" s="43"/>
      <c r="H7" s="5"/>
    </row>
    <row r="8" spans="2:10" ht="15" x14ac:dyDescent="0.3">
      <c r="B8" s="88"/>
      <c r="C8" s="90">
        <v>1</v>
      </c>
      <c r="D8" s="92" t="s">
        <v>103</v>
      </c>
      <c r="E8" s="2" t="s">
        <v>8</v>
      </c>
      <c r="F8" s="3">
        <v>3</v>
      </c>
      <c r="G8" s="44">
        <v>311500</v>
      </c>
      <c r="H8" s="46">
        <f>F8*G8</f>
        <v>934500</v>
      </c>
    </row>
    <row r="9" spans="2:10" ht="30" x14ac:dyDescent="0.3">
      <c r="B9" s="89"/>
      <c r="C9" s="91"/>
      <c r="D9" s="93"/>
      <c r="E9" s="9" t="s">
        <v>99</v>
      </c>
      <c r="F9" s="3">
        <v>1</v>
      </c>
      <c r="G9" s="44">
        <v>150000</v>
      </c>
      <c r="H9" s="46">
        <f>F9*G9</f>
        <v>150000</v>
      </c>
      <c r="I9" s="76">
        <f>H6+H8+H9</f>
        <v>8356080.75</v>
      </c>
    </row>
    <row r="10" spans="2:10" ht="15" x14ac:dyDescent="0.3">
      <c r="B10" s="5">
        <v>3</v>
      </c>
      <c r="C10" s="5"/>
      <c r="D10" s="7" t="s">
        <v>10</v>
      </c>
      <c r="E10" s="7"/>
      <c r="F10" s="5"/>
      <c r="G10" s="43"/>
      <c r="H10" s="5"/>
    </row>
    <row r="11" spans="2:10" ht="15" x14ac:dyDescent="0.3">
      <c r="B11" s="3"/>
      <c r="C11" s="3">
        <v>1</v>
      </c>
      <c r="D11" s="2" t="s">
        <v>101</v>
      </c>
      <c r="E11" s="2" t="s">
        <v>102</v>
      </c>
      <c r="F11" s="4">
        <v>500</v>
      </c>
      <c r="G11" s="45">
        <v>3000</v>
      </c>
      <c r="H11" s="52">
        <f>F11*G11</f>
        <v>1500000</v>
      </c>
    </row>
    <row r="12" spans="2:10" ht="15" x14ac:dyDescent="0.3">
      <c r="B12" s="3"/>
      <c r="C12" s="3">
        <v>2</v>
      </c>
      <c r="D12" s="2" t="s">
        <v>13</v>
      </c>
      <c r="E12" s="2" t="s">
        <v>8</v>
      </c>
      <c r="F12" s="11">
        <v>500</v>
      </c>
      <c r="G12" s="44">
        <v>5</v>
      </c>
      <c r="H12" s="44">
        <f>F12*G12</f>
        <v>2500</v>
      </c>
    </row>
    <row r="13" spans="2:10" ht="15" customHeight="1" x14ac:dyDescent="0.3">
      <c r="B13" s="3"/>
      <c r="C13" s="3">
        <v>3</v>
      </c>
      <c r="D13" s="9" t="s">
        <v>14</v>
      </c>
      <c r="E13" s="2" t="s">
        <v>8</v>
      </c>
      <c r="F13" s="3">
        <v>500</v>
      </c>
      <c r="G13" s="53">
        <v>3000</v>
      </c>
      <c r="H13" s="44">
        <f>F13*G13</f>
        <v>1500000</v>
      </c>
    </row>
    <row r="14" spans="2:10" ht="15" x14ac:dyDescent="0.3">
      <c r="B14" s="3"/>
      <c r="C14" s="90">
        <v>4</v>
      </c>
      <c r="D14" s="9" t="s">
        <v>106</v>
      </c>
      <c r="E14" s="2" t="s">
        <v>8</v>
      </c>
      <c r="F14" s="3">
        <v>1</v>
      </c>
      <c r="G14" s="53">
        <v>5000</v>
      </c>
      <c r="H14" s="44">
        <f t="shared" ref="H14:H15" si="0">F14*G14</f>
        <v>5000</v>
      </c>
    </row>
    <row r="15" spans="2:10" ht="15" x14ac:dyDescent="0.3">
      <c r="B15" s="3"/>
      <c r="C15" s="91"/>
      <c r="D15" s="9" t="s">
        <v>107</v>
      </c>
      <c r="E15" s="2" t="s">
        <v>8</v>
      </c>
      <c r="F15" s="3">
        <v>3</v>
      </c>
      <c r="G15" s="44">
        <v>5000</v>
      </c>
      <c r="H15" s="44">
        <f t="shared" si="0"/>
        <v>15000</v>
      </c>
    </row>
    <row r="16" spans="2:10" ht="15" x14ac:dyDescent="0.3">
      <c r="B16" s="5">
        <v>4</v>
      </c>
      <c r="C16" s="13"/>
      <c r="D16" s="7" t="s">
        <v>16</v>
      </c>
      <c r="E16" s="7"/>
      <c r="F16" s="5"/>
      <c r="G16" s="43"/>
      <c r="H16" s="5"/>
    </row>
    <row r="17" spans="2:8" ht="15" x14ac:dyDescent="0.3">
      <c r="B17" s="3"/>
      <c r="C17" s="3">
        <v>1</v>
      </c>
      <c r="D17" s="9" t="s">
        <v>17</v>
      </c>
      <c r="E17" s="9" t="s">
        <v>8</v>
      </c>
      <c r="F17" s="4">
        <v>4</v>
      </c>
      <c r="G17" s="44">
        <v>2500</v>
      </c>
      <c r="H17" s="46">
        <f>F17*G17</f>
        <v>10000</v>
      </c>
    </row>
    <row r="18" spans="2:8" ht="15" x14ac:dyDescent="0.3">
      <c r="B18" s="3"/>
      <c r="C18" s="3">
        <v>2</v>
      </c>
      <c r="D18" s="9" t="s">
        <v>18</v>
      </c>
      <c r="E18" s="9" t="s">
        <v>8</v>
      </c>
      <c r="F18" s="4">
        <v>4</v>
      </c>
      <c r="G18" s="44">
        <v>2500</v>
      </c>
      <c r="H18" s="46">
        <f>F18*G18</f>
        <v>10000</v>
      </c>
    </row>
    <row r="19" spans="2:8" ht="15" x14ac:dyDescent="0.3">
      <c r="B19" s="5">
        <v>5</v>
      </c>
      <c r="C19" s="13"/>
      <c r="D19" s="7" t="s">
        <v>19</v>
      </c>
      <c r="E19" s="12"/>
      <c r="F19" s="13"/>
      <c r="G19" s="47"/>
      <c r="H19" s="13"/>
    </row>
    <row r="20" spans="2:8" ht="15" x14ac:dyDescent="0.3">
      <c r="B20" s="14"/>
      <c r="C20" s="3">
        <v>1</v>
      </c>
      <c r="D20" s="9" t="s">
        <v>96</v>
      </c>
      <c r="E20" s="1" t="s">
        <v>8</v>
      </c>
      <c r="F20" s="4">
        <v>4</v>
      </c>
      <c r="G20" s="45">
        <v>12000</v>
      </c>
      <c r="H20" s="45">
        <f t="shared" ref="H20:H25" si="1">F20*G20</f>
        <v>48000</v>
      </c>
    </row>
    <row r="21" spans="2:8" ht="15" x14ac:dyDescent="0.3">
      <c r="B21" s="3"/>
      <c r="C21" s="3">
        <v>2</v>
      </c>
      <c r="D21" s="9" t="s">
        <v>112</v>
      </c>
      <c r="E21" s="9" t="s">
        <v>98</v>
      </c>
      <c r="F21" s="11">
        <v>3000</v>
      </c>
      <c r="G21" s="46">
        <v>58</v>
      </c>
      <c r="H21" s="46">
        <f t="shared" si="1"/>
        <v>174000</v>
      </c>
    </row>
    <row r="22" spans="2:8" ht="54.75" customHeight="1" x14ac:dyDescent="0.3">
      <c r="B22" s="3"/>
      <c r="C22" s="3">
        <v>3</v>
      </c>
      <c r="D22" s="9" t="s">
        <v>22</v>
      </c>
      <c r="E22" s="9" t="s">
        <v>23</v>
      </c>
      <c r="F22" s="3">
        <v>400</v>
      </c>
      <c r="G22" s="46">
        <v>26</v>
      </c>
      <c r="H22" s="45">
        <f t="shared" si="1"/>
        <v>10400</v>
      </c>
    </row>
    <row r="23" spans="2:8" ht="15" x14ac:dyDescent="0.3">
      <c r="B23" s="13">
        <v>6</v>
      </c>
      <c r="C23" s="13"/>
      <c r="D23" s="73" t="s">
        <v>24</v>
      </c>
      <c r="E23" s="28"/>
      <c r="F23" s="27"/>
      <c r="G23" s="74"/>
      <c r="H23" s="47"/>
    </row>
    <row r="24" spans="2:8" ht="30" x14ac:dyDescent="0.3">
      <c r="B24" s="3"/>
      <c r="C24" s="3">
        <v>1</v>
      </c>
      <c r="D24" s="9" t="s">
        <v>25</v>
      </c>
      <c r="E24" s="2" t="s">
        <v>8</v>
      </c>
      <c r="F24" s="11">
        <v>600</v>
      </c>
      <c r="G24" s="44">
        <v>80</v>
      </c>
      <c r="H24" s="45">
        <f t="shared" si="1"/>
        <v>48000</v>
      </c>
    </row>
    <row r="25" spans="2:8" ht="15" x14ac:dyDescent="0.3">
      <c r="B25" s="1"/>
      <c r="C25" s="3">
        <v>2</v>
      </c>
      <c r="D25" s="9" t="s">
        <v>26</v>
      </c>
      <c r="E25" s="2" t="s">
        <v>21</v>
      </c>
      <c r="F25" s="38">
        <v>200</v>
      </c>
      <c r="G25" s="44">
        <v>90</v>
      </c>
      <c r="H25" s="45">
        <f t="shared" si="1"/>
        <v>18000</v>
      </c>
    </row>
    <row r="26" spans="2:8" ht="45" customHeight="1" x14ac:dyDescent="0.3">
      <c r="B26" s="1"/>
      <c r="C26" s="3">
        <v>3</v>
      </c>
      <c r="D26" s="9" t="s">
        <v>84</v>
      </c>
      <c r="E26" s="2" t="s">
        <v>8</v>
      </c>
      <c r="F26" s="11">
        <v>100</v>
      </c>
      <c r="G26" s="44">
        <v>16</v>
      </c>
      <c r="H26" s="45">
        <f t="shared" ref="H26:H29" si="2">F26*G26</f>
        <v>1600</v>
      </c>
    </row>
    <row r="27" spans="2:8" ht="15" x14ac:dyDescent="0.3">
      <c r="B27" s="1"/>
      <c r="C27" s="3">
        <v>4</v>
      </c>
      <c r="D27" s="9" t="s">
        <v>27</v>
      </c>
      <c r="E27" s="2" t="s">
        <v>28</v>
      </c>
      <c r="F27" s="11">
        <v>50</v>
      </c>
      <c r="G27" s="44">
        <v>80</v>
      </c>
      <c r="H27" s="45">
        <f t="shared" si="2"/>
        <v>4000</v>
      </c>
    </row>
    <row r="28" spans="2:8" ht="15" x14ac:dyDescent="0.3">
      <c r="B28" s="1"/>
      <c r="C28" s="3">
        <v>5</v>
      </c>
      <c r="D28" s="9" t="s">
        <v>77</v>
      </c>
      <c r="E28" s="2" t="s">
        <v>21</v>
      </c>
      <c r="F28" s="11">
        <v>1032</v>
      </c>
      <c r="G28" s="44">
        <v>9</v>
      </c>
      <c r="H28" s="45">
        <f t="shared" si="2"/>
        <v>9288</v>
      </c>
    </row>
    <row r="29" spans="2:8" ht="15" x14ac:dyDescent="0.3">
      <c r="B29" s="1"/>
      <c r="C29" s="3">
        <v>6</v>
      </c>
      <c r="D29" s="9" t="s">
        <v>29</v>
      </c>
      <c r="E29" s="2" t="s">
        <v>28</v>
      </c>
      <c r="F29" s="11">
        <v>50</v>
      </c>
      <c r="G29" s="44">
        <v>200</v>
      </c>
      <c r="H29" s="45">
        <f t="shared" si="2"/>
        <v>10000</v>
      </c>
    </row>
    <row r="30" spans="2:8" ht="15" x14ac:dyDescent="0.3">
      <c r="B30" s="56" t="s">
        <v>62</v>
      </c>
      <c r="C30" s="13"/>
      <c r="D30" s="16" t="s">
        <v>30</v>
      </c>
      <c r="E30" s="12"/>
      <c r="F30" s="13"/>
      <c r="G30" s="47"/>
      <c r="H30" s="13"/>
    </row>
    <row r="31" spans="2:8" ht="30" x14ac:dyDescent="0.3">
      <c r="B31" s="17"/>
      <c r="C31" s="3">
        <v>1</v>
      </c>
      <c r="D31" s="9" t="s">
        <v>78</v>
      </c>
      <c r="E31" s="2" t="s">
        <v>8</v>
      </c>
      <c r="F31" s="3">
        <v>32</v>
      </c>
      <c r="G31" s="44">
        <v>5000</v>
      </c>
      <c r="H31" s="53">
        <f>F31*G31</f>
        <v>160000</v>
      </c>
    </row>
    <row r="32" spans="2:8" ht="15" x14ac:dyDescent="0.3">
      <c r="B32" s="17"/>
      <c r="C32" s="3">
        <v>2</v>
      </c>
      <c r="D32" s="9" t="s">
        <v>108</v>
      </c>
      <c r="E32" s="2" t="s">
        <v>21</v>
      </c>
      <c r="F32" s="3">
        <v>500</v>
      </c>
      <c r="G32" s="44">
        <v>47</v>
      </c>
      <c r="H32" s="53">
        <f t="shared" ref="H32:H40" si="3">F32*G32</f>
        <v>23500</v>
      </c>
    </row>
    <row r="33" spans="2:8" ht="30" x14ac:dyDescent="0.3">
      <c r="B33" s="17"/>
      <c r="C33" s="3">
        <v>3</v>
      </c>
      <c r="D33" s="9" t="s">
        <v>109</v>
      </c>
      <c r="E33" s="2" t="s">
        <v>8</v>
      </c>
      <c r="F33" s="3">
        <v>100</v>
      </c>
      <c r="G33" s="44">
        <v>30</v>
      </c>
      <c r="H33" s="53">
        <f t="shared" si="3"/>
        <v>3000</v>
      </c>
    </row>
    <row r="34" spans="2:8" ht="15" x14ac:dyDescent="0.3">
      <c r="B34" s="1"/>
      <c r="C34" s="3">
        <v>4</v>
      </c>
      <c r="D34" s="9" t="s">
        <v>33</v>
      </c>
      <c r="E34" s="2" t="s">
        <v>21</v>
      </c>
      <c r="F34" s="11">
        <v>1000</v>
      </c>
      <c r="G34" s="44">
        <v>68</v>
      </c>
      <c r="H34" s="53">
        <f t="shared" si="3"/>
        <v>68000</v>
      </c>
    </row>
    <row r="35" spans="2:8" ht="30" x14ac:dyDescent="0.3">
      <c r="B35" s="1"/>
      <c r="C35" s="3">
        <v>5</v>
      </c>
      <c r="D35" s="9" t="s">
        <v>34</v>
      </c>
      <c r="E35" s="2" t="s">
        <v>8</v>
      </c>
      <c r="F35" s="11">
        <v>200</v>
      </c>
      <c r="G35" s="44">
        <v>25</v>
      </c>
      <c r="H35" s="53">
        <f t="shared" si="3"/>
        <v>5000</v>
      </c>
    </row>
    <row r="36" spans="2:8" ht="15" x14ac:dyDescent="0.3">
      <c r="B36" s="1"/>
      <c r="C36" s="3">
        <v>6</v>
      </c>
      <c r="D36" s="18" t="s">
        <v>35</v>
      </c>
      <c r="E36" s="19" t="s">
        <v>8</v>
      </c>
      <c r="F36" s="11">
        <v>170</v>
      </c>
      <c r="G36" s="44">
        <v>29</v>
      </c>
      <c r="H36" s="53">
        <f t="shared" si="3"/>
        <v>4930</v>
      </c>
    </row>
    <row r="37" spans="2:8" ht="15" x14ac:dyDescent="0.3">
      <c r="B37" s="1"/>
      <c r="C37" s="3">
        <v>7</v>
      </c>
      <c r="D37" s="9" t="s">
        <v>36</v>
      </c>
      <c r="E37" s="2" t="s">
        <v>8</v>
      </c>
      <c r="F37" s="11">
        <v>50</v>
      </c>
      <c r="G37" s="44">
        <v>25</v>
      </c>
      <c r="H37" s="53">
        <f t="shared" si="3"/>
        <v>1250</v>
      </c>
    </row>
    <row r="38" spans="2:8" ht="15" x14ac:dyDescent="0.3">
      <c r="B38" s="20"/>
      <c r="C38" s="3">
        <v>8</v>
      </c>
      <c r="D38" s="9" t="s">
        <v>113</v>
      </c>
      <c r="E38" s="2" t="s">
        <v>21</v>
      </c>
      <c r="F38" s="75">
        <v>200</v>
      </c>
      <c r="G38" s="72">
        <v>60</v>
      </c>
      <c r="H38" s="53">
        <f t="shared" si="3"/>
        <v>12000</v>
      </c>
    </row>
    <row r="39" spans="2:8" ht="15" x14ac:dyDescent="0.3">
      <c r="B39" s="20"/>
      <c r="C39" s="3">
        <v>9</v>
      </c>
      <c r="D39" s="9" t="s">
        <v>37</v>
      </c>
      <c r="E39" s="2" t="s">
        <v>8</v>
      </c>
      <c r="F39" s="3">
        <v>32</v>
      </c>
      <c r="G39" s="72">
        <v>2500</v>
      </c>
      <c r="H39" s="53">
        <f t="shared" si="3"/>
        <v>80000</v>
      </c>
    </row>
    <row r="40" spans="2:8" ht="15" x14ac:dyDescent="0.3">
      <c r="B40" s="20"/>
      <c r="C40" s="3">
        <v>10</v>
      </c>
      <c r="D40" s="21" t="s">
        <v>38</v>
      </c>
      <c r="E40" s="2" t="s">
        <v>8</v>
      </c>
      <c r="F40" s="3">
        <v>32</v>
      </c>
      <c r="G40" s="44">
        <v>250</v>
      </c>
      <c r="H40" s="53">
        <f t="shared" si="3"/>
        <v>8000</v>
      </c>
    </row>
    <row r="41" spans="2:8" ht="15" x14ac:dyDescent="0.3">
      <c r="B41" s="16">
        <v>7</v>
      </c>
      <c r="C41" s="13"/>
      <c r="D41" s="16" t="s">
        <v>39</v>
      </c>
      <c r="E41" s="12"/>
      <c r="F41" s="13"/>
      <c r="G41" s="47"/>
      <c r="H41" s="54"/>
    </row>
    <row r="42" spans="2:8" ht="45" x14ac:dyDescent="0.3">
      <c r="B42" s="1"/>
      <c r="C42" s="3">
        <v>1</v>
      </c>
      <c r="D42" s="9" t="s">
        <v>40</v>
      </c>
      <c r="E42" s="11" t="s">
        <v>8</v>
      </c>
      <c r="F42" s="11">
        <v>4</v>
      </c>
      <c r="G42" s="46">
        <v>51000</v>
      </c>
      <c r="H42" s="46">
        <f>F42*G42</f>
        <v>204000</v>
      </c>
    </row>
    <row r="43" spans="2:8" ht="30" x14ac:dyDescent="0.3">
      <c r="B43" s="23"/>
      <c r="C43" s="3">
        <v>2</v>
      </c>
      <c r="D43" s="9" t="s">
        <v>41</v>
      </c>
      <c r="E43" s="11" t="s">
        <v>21</v>
      </c>
      <c r="F43" s="11">
        <v>500</v>
      </c>
      <c r="G43" s="46">
        <v>260</v>
      </c>
      <c r="H43" s="46">
        <f t="shared" ref="H43:H49" si="4">F43*G43</f>
        <v>130000</v>
      </c>
    </row>
    <row r="44" spans="2:8" ht="30" x14ac:dyDescent="0.3">
      <c r="B44" s="23"/>
      <c r="C44" s="3">
        <v>3</v>
      </c>
      <c r="D44" s="9" t="s">
        <v>42</v>
      </c>
      <c r="E44" s="4" t="s">
        <v>8</v>
      </c>
      <c r="F44" s="3">
        <v>20</v>
      </c>
      <c r="G44" s="46">
        <v>205</v>
      </c>
      <c r="H44" s="46">
        <f t="shared" si="4"/>
        <v>4100</v>
      </c>
    </row>
    <row r="45" spans="2:8" ht="30" x14ac:dyDescent="0.3">
      <c r="B45" s="23"/>
      <c r="C45" s="3">
        <v>4</v>
      </c>
      <c r="D45" s="9" t="s">
        <v>43</v>
      </c>
      <c r="E45" s="4" t="s">
        <v>21</v>
      </c>
      <c r="F45" s="4">
        <v>500</v>
      </c>
      <c r="G45" s="46">
        <v>160</v>
      </c>
      <c r="H45" s="46">
        <f t="shared" si="4"/>
        <v>80000</v>
      </c>
    </row>
    <row r="46" spans="2:8" ht="30" x14ac:dyDescent="0.3">
      <c r="B46" s="23"/>
      <c r="C46" s="3">
        <v>5</v>
      </c>
      <c r="D46" s="9" t="s">
        <v>44</v>
      </c>
      <c r="E46" s="4" t="s">
        <v>8</v>
      </c>
      <c r="F46" s="3">
        <v>20</v>
      </c>
      <c r="G46" s="46">
        <v>105</v>
      </c>
      <c r="H46" s="46">
        <f t="shared" si="4"/>
        <v>2100</v>
      </c>
    </row>
    <row r="47" spans="2:8" ht="30" x14ac:dyDescent="0.3">
      <c r="B47" s="23"/>
      <c r="C47" s="3">
        <v>6</v>
      </c>
      <c r="D47" s="9" t="s">
        <v>43</v>
      </c>
      <c r="E47" s="4" t="s">
        <v>21</v>
      </c>
      <c r="F47" s="4">
        <v>20</v>
      </c>
      <c r="G47" s="46">
        <v>250</v>
      </c>
      <c r="H47" s="46">
        <f t="shared" si="4"/>
        <v>5000</v>
      </c>
    </row>
    <row r="48" spans="2:8" ht="30" x14ac:dyDescent="0.3">
      <c r="B48" s="23"/>
      <c r="C48" s="3">
        <v>7</v>
      </c>
      <c r="D48" s="9" t="s">
        <v>45</v>
      </c>
      <c r="E48" s="4" t="s">
        <v>8</v>
      </c>
      <c r="F48" s="3">
        <v>20</v>
      </c>
      <c r="G48" s="46">
        <v>250</v>
      </c>
      <c r="H48" s="46">
        <f t="shared" si="4"/>
        <v>5000</v>
      </c>
    </row>
    <row r="49" spans="2:8" ht="30" x14ac:dyDescent="0.3">
      <c r="B49" s="23"/>
      <c r="C49" s="3">
        <v>8</v>
      </c>
      <c r="D49" s="9" t="s">
        <v>46</v>
      </c>
      <c r="E49" s="4" t="s">
        <v>8</v>
      </c>
      <c r="F49" s="3">
        <v>50</v>
      </c>
      <c r="G49" s="46">
        <v>100</v>
      </c>
      <c r="H49" s="46">
        <f t="shared" si="4"/>
        <v>5000</v>
      </c>
    </row>
    <row r="50" spans="2:8" ht="15" x14ac:dyDescent="0.3">
      <c r="B50" s="31"/>
      <c r="C50" s="57"/>
      <c r="D50" s="21" t="s">
        <v>116</v>
      </c>
      <c r="E50" s="4" t="s">
        <v>21</v>
      </c>
      <c r="F50" s="3">
        <v>900</v>
      </c>
      <c r="G50" s="46"/>
      <c r="H50" s="46"/>
    </row>
    <row r="51" spans="2:8" ht="15" x14ac:dyDescent="0.3">
      <c r="B51" s="16">
        <v>8</v>
      </c>
      <c r="C51" s="56"/>
      <c r="D51" s="16" t="s">
        <v>47</v>
      </c>
      <c r="E51" s="25"/>
      <c r="F51" s="13"/>
      <c r="G51" s="48"/>
      <c r="H51" s="55"/>
    </row>
    <row r="52" spans="2:8" ht="30" x14ac:dyDescent="0.3">
      <c r="B52" s="17"/>
      <c r="C52" s="3">
        <v>1</v>
      </c>
      <c r="D52" s="9" t="s">
        <v>48</v>
      </c>
      <c r="E52" s="4" t="s">
        <v>8</v>
      </c>
      <c r="F52" s="3">
        <v>4</v>
      </c>
      <c r="G52" s="46">
        <v>35000</v>
      </c>
      <c r="H52" s="46">
        <f>F52*G52</f>
        <v>140000</v>
      </c>
    </row>
    <row r="53" spans="2:8" ht="15" x14ac:dyDescent="0.3">
      <c r="B53" s="17"/>
      <c r="C53" s="3">
        <v>2</v>
      </c>
      <c r="D53" s="9" t="s">
        <v>49</v>
      </c>
      <c r="E53" s="4" t="s">
        <v>8</v>
      </c>
      <c r="F53" s="11">
        <v>170</v>
      </c>
      <c r="G53" s="46">
        <v>24</v>
      </c>
      <c r="H53" s="46">
        <f>F53*G53</f>
        <v>4080</v>
      </c>
    </row>
    <row r="54" spans="2:8" ht="15" x14ac:dyDescent="0.3">
      <c r="B54" s="29">
        <v>9</v>
      </c>
      <c r="C54" s="56"/>
      <c r="D54" s="16" t="s">
        <v>50</v>
      </c>
      <c r="E54" s="13"/>
      <c r="F54" s="13"/>
      <c r="G54" s="48"/>
      <c r="H54" s="13"/>
    </row>
    <row r="55" spans="2:8" ht="15" x14ac:dyDescent="0.3">
      <c r="B55" s="23"/>
      <c r="C55" s="3">
        <v>1</v>
      </c>
      <c r="D55" s="2" t="s">
        <v>89</v>
      </c>
      <c r="E55" s="4" t="s">
        <v>8</v>
      </c>
      <c r="F55" s="4">
        <v>1</v>
      </c>
      <c r="G55" s="46">
        <v>0</v>
      </c>
      <c r="H55" s="45">
        <f>F55*G55</f>
        <v>0</v>
      </c>
    </row>
    <row r="56" spans="2:8" ht="15" x14ac:dyDescent="0.3">
      <c r="B56" s="23"/>
      <c r="C56" s="3">
        <v>2</v>
      </c>
      <c r="D56" s="10" t="s">
        <v>52</v>
      </c>
      <c r="E56" s="4" t="s">
        <v>21</v>
      </c>
      <c r="F56" s="4">
        <v>0</v>
      </c>
      <c r="G56" s="46">
        <v>0</v>
      </c>
      <c r="H56" s="45">
        <f t="shared" ref="H56:H57" si="5">F56*G56</f>
        <v>0</v>
      </c>
    </row>
    <row r="57" spans="2:8" ht="15" x14ac:dyDescent="0.3">
      <c r="B57" s="31"/>
      <c r="C57" s="57">
        <v>4</v>
      </c>
      <c r="D57" s="21" t="s">
        <v>53</v>
      </c>
      <c r="E57" s="4" t="s">
        <v>8</v>
      </c>
      <c r="F57" s="4">
        <v>0</v>
      </c>
      <c r="G57" s="46">
        <v>0</v>
      </c>
      <c r="H57" s="45">
        <f t="shared" si="5"/>
        <v>0</v>
      </c>
    </row>
    <row r="58" spans="2:8" ht="15" x14ac:dyDescent="0.3">
      <c r="B58" s="29">
        <v>10</v>
      </c>
      <c r="C58" s="56"/>
      <c r="D58" s="32" t="s">
        <v>54</v>
      </c>
      <c r="E58" s="13"/>
      <c r="F58" s="13"/>
      <c r="G58" s="48"/>
      <c r="H58" s="13"/>
    </row>
    <row r="59" spans="2:8" ht="15" x14ac:dyDescent="0.3">
      <c r="B59" s="23"/>
      <c r="C59" s="3" t="s">
        <v>55</v>
      </c>
      <c r="D59" s="9" t="s">
        <v>56</v>
      </c>
      <c r="E59" s="4" t="s">
        <v>8</v>
      </c>
      <c r="F59" s="11">
        <v>0</v>
      </c>
      <c r="G59" s="46">
        <v>50000</v>
      </c>
      <c r="H59" s="45">
        <f>F59*G59</f>
        <v>0</v>
      </c>
    </row>
    <row r="60" spans="2:8" ht="15" x14ac:dyDescent="0.3">
      <c r="B60" s="23"/>
      <c r="C60" s="3" t="s">
        <v>57</v>
      </c>
      <c r="D60" s="9" t="s">
        <v>79</v>
      </c>
      <c r="E60" s="4" t="s">
        <v>8</v>
      </c>
      <c r="F60" s="11">
        <v>5</v>
      </c>
      <c r="G60" s="46">
        <v>1500</v>
      </c>
      <c r="H60" s="45">
        <f t="shared" ref="H60:H66" si="6">F60*G60</f>
        <v>7500</v>
      </c>
    </row>
    <row r="61" spans="2:8" ht="15" x14ac:dyDescent="0.3">
      <c r="B61" s="23"/>
      <c r="C61" s="3" t="s">
        <v>58</v>
      </c>
      <c r="D61" s="9" t="s">
        <v>80</v>
      </c>
      <c r="E61" s="4" t="s">
        <v>8</v>
      </c>
      <c r="F61" s="3">
        <v>5</v>
      </c>
      <c r="G61" s="46">
        <v>2500</v>
      </c>
      <c r="H61" s="45">
        <f t="shared" si="6"/>
        <v>12500</v>
      </c>
    </row>
    <row r="62" spans="2:8" ht="15" x14ac:dyDescent="0.3">
      <c r="B62" s="23"/>
      <c r="C62" s="3" t="s">
        <v>59</v>
      </c>
      <c r="D62" s="9" t="s">
        <v>81</v>
      </c>
      <c r="E62" s="4" t="s">
        <v>8</v>
      </c>
      <c r="F62" s="3">
        <v>5</v>
      </c>
      <c r="G62" s="46">
        <v>1500</v>
      </c>
      <c r="H62" s="45">
        <f t="shared" si="6"/>
        <v>7500</v>
      </c>
    </row>
    <row r="63" spans="2:8" ht="15" x14ac:dyDescent="0.3">
      <c r="B63" s="31"/>
      <c r="C63" s="3" t="s">
        <v>60</v>
      </c>
      <c r="D63" s="21" t="s">
        <v>61</v>
      </c>
      <c r="E63" s="4" t="s">
        <v>8</v>
      </c>
      <c r="F63" s="3">
        <v>5</v>
      </c>
      <c r="G63" s="46">
        <v>10500</v>
      </c>
      <c r="H63" s="45">
        <f t="shared" si="6"/>
        <v>52500</v>
      </c>
    </row>
    <row r="64" spans="2:8" ht="30" x14ac:dyDescent="0.3">
      <c r="B64" s="31"/>
      <c r="C64" s="3" t="s">
        <v>110</v>
      </c>
      <c r="D64" s="21" t="s">
        <v>63</v>
      </c>
      <c r="E64" s="4" t="s">
        <v>8</v>
      </c>
      <c r="F64" s="38">
        <v>15</v>
      </c>
      <c r="G64" s="46">
        <v>250</v>
      </c>
      <c r="H64" s="45">
        <f t="shared" si="6"/>
        <v>3750</v>
      </c>
    </row>
    <row r="65" spans="2:9" ht="15" x14ac:dyDescent="0.3">
      <c r="B65" s="31"/>
      <c r="C65" s="3" t="s">
        <v>62</v>
      </c>
      <c r="D65" s="10" t="s">
        <v>65</v>
      </c>
      <c r="E65" s="36" t="s">
        <v>8</v>
      </c>
      <c r="F65" s="38">
        <v>5</v>
      </c>
      <c r="G65" s="49">
        <v>100</v>
      </c>
      <c r="H65" s="45">
        <f t="shared" si="6"/>
        <v>500</v>
      </c>
    </row>
    <row r="66" spans="2:9" ht="15" x14ac:dyDescent="0.3">
      <c r="B66" s="31"/>
      <c r="C66" s="3" t="s">
        <v>64</v>
      </c>
      <c r="D66" s="10" t="s">
        <v>67</v>
      </c>
      <c r="E66" s="36" t="s">
        <v>8</v>
      </c>
      <c r="F66" s="38">
        <v>20</v>
      </c>
      <c r="G66" s="49">
        <v>25</v>
      </c>
      <c r="H66" s="45">
        <f t="shared" si="6"/>
        <v>500</v>
      </c>
    </row>
    <row r="67" spans="2:9" ht="15" x14ac:dyDescent="0.3">
      <c r="B67" s="32">
        <v>11</v>
      </c>
      <c r="C67" s="39"/>
      <c r="D67" s="32" t="s">
        <v>70</v>
      </c>
      <c r="E67" s="39"/>
      <c r="F67" s="39"/>
      <c r="G67" s="51"/>
      <c r="H67" s="39"/>
    </row>
    <row r="68" spans="2:9" ht="15" x14ac:dyDescent="0.3">
      <c r="B68" s="24"/>
      <c r="C68" s="3">
        <v>1</v>
      </c>
      <c r="D68" s="18" t="s">
        <v>97</v>
      </c>
      <c r="E68" s="4" t="s">
        <v>8</v>
      </c>
      <c r="F68" s="4">
        <v>1</v>
      </c>
      <c r="G68" s="45">
        <v>45000</v>
      </c>
      <c r="H68" s="46">
        <f>F68*G68</f>
        <v>45000</v>
      </c>
    </row>
    <row r="69" spans="2:9" ht="15" x14ac:dyDescent="0.3">
      <c r="B69" s="23"/>
      <c r="C69" s="3">
        <v>2</v>
      </c>
      <c r="D69" s="18" t="s">
        <v>105</v>
      </c>
      <c r="E69" s="4" t="s">
        <v>8</v>
      </c>
      <c r="F69" s="3">
        <v>1</v>
      </c>
      <c r="G69" s="46">
        <v>22000</v>
      </c>
      <c r="H69" s="46">
        <f>F69*G69</f>
        <v>22000</v>
      </c>
    </row>
    <row r="70" spans="2:9" ht="15" x14ac:dyDescent="0.3">
      <c r="B70" s="41">
        <v>12</v>
      </c>
      <c r="C70" s="39"/>
      <c r="D70" s="32" t="s">
        <v>111</v>
      </c>
      <c r="E70" s="39"/>
      <c r="F70" s="39"/>
      <c r="G70" s="51"/>
      <c r="H70" s="39"/>
    </row>
    <row r="71" spans="2:9" ht="15" x14ac:dyDescent="0.3">
      <c r="B71" s="23"/>
      <c r="C71" s="3">
        <v>1</v>
      </c>
      <c r="D71" s="9" t="s">
        <v>90</v>
      </c>
      <c r="E71" s="42" t="s">
        <v>88</v>
      </c>
      <c r="F71" s="4">
        <v>500000</v>
      </c>
      <c r="G71" s="45">
        <v>3</v>
      </c>
      <c r="H71" s="46">
        <f>F71*G71</f>
        <v>1500000</v>
      </c>
    </row>
    <row r="72" spans="2:9" ht="15" x14ac:dyDescent="0.3">
      <c r="B72" s="62"/>
      <c r="C72" s="8">
        <v>2</v>
      </c>
      <c r="D72" s="63" t="s">
        <v>114</v>
      </c>
      <c r="E72" s="64" t="s">
        <v>88</v>
      </c>
      <c r="F72" s="4">
        <f>F71</f>
        <v>500000</v>
      </c>
      <c r="G72" s="45">
        <v>2</v>
      </c>
      <c r="H72" s="46">
        <f>F72*G72</f>
        <v>1000000</v>
      </c>
      <c r="I72" s="70">
        <f>SUM(H11:H72)</f>
        <v>6962498</v>
      </c>
    </row>
    <row r="73" spans="2:9" ht="15" x14ac:dyDescent="0.3">
      <c r="B73" s="65"/>
      <c r="C73" s="66"/>
      <c r="D73" s="67"/>
      <c r="E73" s="68"/>
      <c r="F73" s="101" t="s">
        <v>92</v>
      </c>
      <c r="G73" s="101"/>
      <c r="H73" s="69">
        <f>SUM(H6:H72)</f>
        <v>15318578.75</v>
      </c>
      <c r="I73" s="70"/>
    </row>
    <row r="74" spans="2:9" x14ac:dyDescent="0.3">
      <c r="F74" s="58" t="s">
        <v>93</v>
      </c>
      <c r="G74" s="59">
        <v>0.06</v>
      </c>
      <c r="H74" s="60">
        <f>H73*G74</f>
        <v>919114.72499999998</v>
      </c>
    </row>
    <row r="75" spans="2:9" x14ac:dyDescent="0.3">
      <c r="F75" s="102" t="s">
        <v>95</v>
      </c>
      <c r="G75" s="103"/>
      <c r="H75" s="60">
        <f>H73+H74</f>
        <v>16237693.475</v>
      </c>
      <c r="I75" s="70"/>
    </row>
    <row r="76" spans="2:9" x14ac:dyDescent="0.3">
      <c r="F76" s="58" t="s">
        <v>91</v>
      </c>
      <c r="G76" s="61">
        <v>0.12</v>
      </c>
      <c r="H76" s="60">
        <f>I9*G76</f>
        <v>1002729.69</v>
      </c>
    </row>
    <row r="77" spans="2:9" x14ac:dyDescent="0.3">
      <c r="F77" s="71"/>
      <c r="G77" s="61">
        <v>0.18</v>
      </c>
      <c r="H77" s="60">
        <f>I72*G77</f>
        <v>1253249.6399999999</v>
      </c>
    </row>
    <row r="78" spans="2:9" ht="15" x14ac:dyDescent="0.3">
      <c r="F78" s="102" t="s">
        <v>94</v>
      </c>
      <c r="G78" s="103"/>
      <c r="H78" s="69">
        <f>H75+H76</f>
        <v>17240423.164999999</v>
      </c>
      <c r="I78" s="70"/>
    </row>
    <row r="80" spans="2:9" ht="18" x14ac:dyDescent="0.35">
      <c r="C80" s="109"/>
      <c r="D80" s="110" t="s">
        <v>115</v>
      </c>
    </row>
  </sheetData>
  <mergeCells count="16">
    <mergeCell ref="D2:G2"/>
    <mergeCell ref="B4:C4"/>
    <mergeCell ref="D4:D5"/>
    <mergeCell ref="E4:E5"/>
    <mergeCell ref="F4:F5"/>
    <mergeCell ref="G4:G5"/>
    <mergeCell ref="B8:B9"/>
    <mergeCell ref="C8:C9"/>
    <mergeCell ref="D8:D9"/>
    <mergeCell ref="I4:I5"/>
    <mergeCell ref="J4:J5"/>
    <mergeCell ref="C14:C15"/>
    <mergeCell ref="F73:G73"/>
    <mergeCell ref="F75:G75"/>
    <mergeCell ref="F78:G78"/>
    <mergeCell ref="H4:H5"/>
  </mergeCells>
  <hyperlinks>
    <hyperlink ref="H2" r:id="rId1" xr:uid="{DED81D56-12F4-4DF5-8294-F7795E2869DB}"/>
  </hyperlinks>
  <printOptions horizontalCentered="1"/>
  <pageMargins left="0.25" right="0.25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Ankesh Mishra</cp:lastModifiedBy>
  <cp:lastPrinted>2024-11-07T04:09:04Z</cp:lastPrinted>
  <dcterms:created xsi:type="dcterms:W3CDTF">2018-11-15T10:15:39Z</dcterms:created>
  <dcterms:modified xsi:type="dcterms:W3CDTF">2025-03-19T07:54:26Z</dcterms:modified>
</cp:coreProperties>
</file>