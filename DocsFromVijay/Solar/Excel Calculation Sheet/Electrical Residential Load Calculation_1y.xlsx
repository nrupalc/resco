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D:\ANKESH MISHRA\@FLASYS\Sales\@Online Selling Service\Solar Documents Bundle\@12345\Unlocked\"/>
    </mc:Choice>
  </mc:AlternateContent>
  <xr:revisionPtr revIDLastSave="0" documentId="13_ncr:1_{7B07B26E-073D-4E89-BF18-862030B3F950}" xr6:coauthVersionLast="47" xr6:coauthVersionMax="47" xr10:uidLastSave="{00000000-0000-0000-0000-000000000000}"/>
  <bookViews>
    <workbookView xWindow="-108" yWindow="-108" windowWidth="23256" windowHeight="12456" xr2:uid="{00000000-000D-0000-FFFF-FFFF00000000}"/>
  </bookViews>
  <sheets>
    <sheet name="equipment set-up sheet" sheetId="1" r:id="rId1"/>
    <sheet name="Residential Calculation" sheetId="2" r:id="rId2"/>
    <sheet name="User Info" sheetId="3" r:id="rId3"/>
  </sheets>
  <definedNames>
    <definedName name="OLE_LINK1" localSheetId="1">'Residential Calculation'!#REF!</definedName>
    <definedName name="Z_469DBDDD_1BF4_42DF_8346_CCEB36A66610_.wvu.PrintArea" localSheetId="1">'Residential Calculation'!$A$1:$P$68</definedName>
    <definedName name="Z_B5324BE9_0109_4818_9111_08F05DCB7214_.wvu.PrintArea" localSheetId="1">'Residential Calculation'!$A$1:$P$53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605" i="2" l="1"/>
  <c r="M604" i="2"/>
  <c r="N603" i="2"/>
  <c r="F594" i="2"/>
  <c r="G62" i="2" s="1"/>
  <c r="K588" i="2"/>
  <c r="I588" i="2"/>
  <c r="G588" i="2"/>
  <c r="K587" i="2"/>
  <c r="W578" i="2" s="1"/>
  <c r="I587" i="2"/>
  <c r="V569" i="2" s="1"/>
  <c r="G587" i="2"/>
  <c r="K586" i="2"/>
  <c r="W577" i="2" s="1"/>
  <c r="I586" i="2"/>
  <c r="V568" i="2" s="1"/>
  <c r="G586" i="2"/>
  <c r="K585" i="2"/>
  <c r="W576" i="2" s="1"/>
  <c r="I585" i="2"/>
  <c r="G585" i="2"/>
  <c r="K584" i="2"/>
  <c r="I584" i="2"/>
  <c r="G584" i="2"/>
  <c r="K581" i="2"/>
  <c r="J581" i="2"/>
  <c r="I581" i="2"/>
  <c r="H581" i="2"/>
  <c r="K580" i="2"/>
  <c r="J580" i="2"/>
  <c r="I580" i="2"/>
  <c r="H580" i="2"/>
  <c r="W579" i="2"/>
  <c r="V579" i="2"/>
  <c r="K579" i="2"/>
  <c r="J579" i="2"/>
  <c r="I579" i="2"/>
  <c r="H579" i="2"/>
  <c r="AB578" i="2"/>
  <c r="K578" i="2"/>
  <c r="J578" i="2"/>
  <c r="I578" i="2"/>
  <c r="H578" i="2"/>
  <c r="AB577" i="2"/>
  <c r="AB579" i="2" s="1"/>
  <c r="K577" i="2"/>
  <c r="J577" i="2"/>
  <c r="I577" i="2"/>
  <c r="H577" i="2"/>
  <c r="K576" i="2"/>
  <c r="J576" i="2"/>
  <c r="I576" i="2"/>
  <c r="H576" i="2"/>
  <c r="N575" i="2"/>
  <c r="K575" i="2"/>
  <c r="J575" i="2"/>
  <c r="I575" i="2"/>
  <c r="H575" i="2"/>
  <c r="N574" i="2"/>
  <c r="K574" i="2"/>
  <c r="J574" i="2"/>
  <c r="I574" i="2"/>
  <c r="H574" i="2"/>
  <c r="N573" i="2"/>
  <c r="K573" i="2"/>
  <c r="J573" i="2"/>
  <c r="I573" i="2"/>
  <c r="H573" i="2"/>
  <c r="N572" i="2"/>
  <c r="K572" i="2"/>
  <c r="J572" i="2"/>
  <c r="I572" i="2"/>
  <c r="H572" i="2"/>
  <c r="N571" i="2"/>
  <c r="K571" i="2"/>
  <c r="J571" i="2"/>
  <c r="I571" i="2"/>
  <c r="H571" i="2"/>
  <c r="W570" i="2"/>
  <c r="V570" i="2"/>
  <c r="N570" i="2"/>
  <c r="K570" i="2"/>
  <c r="J570" i="2"/>
  <c r="I570" i="2"/>
  <c r="H570" i="2"/>
  <c r="N569" i="2"/>
  <c r="N568" i="2"/>
  <c r="N567" i="2"/>
  <c r="U588" i="2" s="1"/>
  <c r="N566" i="2"/>
  <c r="N556" i="2"/>
  <c r="I556" i="2"/>
  <c r="O555" i="2"/>
  <c r="N40" i="2" s="1"/>
  <c r="H542" i="2"/>
  <c r="J61" i="2" s="1"/>
  <c r="N602" i="2" s="1"/>
  <c r="N606" i="2" s="1"/>
  <c r="R604" i="2" s="1"/>
  <c r="G542" i="2"/>
  <c r="H544" i="2" s="1"/>
  <c r="K61" i="2" s="1"/>
  <c r="E542" i="2"/>
  <c r="J503" i="2"/>
  <c r="H503" i="2"/>
  <c r="J502" i="2"/>
  <c r="H502" i="2"/>
  <c r="J501" i="2"/>
  <c r="L501" i="2" s="1"/>
  <c r="J500" i="2"/>
  <c r="L500" i="2" s="1"/>
  <c r="J499" i="2"/>
  <c r="L499" i="2" s="1"/>
  <c r="J498" i="2"/>
  <c r="L498" i="2" s="1"/>
  <c r="N497" i="2"/>
  <c r="K497" i="2"/>
  <c r="J497" i="2"/>
  <c r="J496" i="2"/>
  <c r="L496" i="2" s="1"/>
  <c r="N495" i="2"/>
  <c r="H491" i="2"/>
  <c r="L490" i="2"/>
  <c r="H490" i="2"/>
  <c r="H489" i="2"/>
  <c r="H488" i="2"/>
  <c r="H487" i="2"/>
  <c r="J486" i="2"/>
  <c r="H485" i="2"/>
  <c r="J484" i="2"/>
  <c r="J483" i="2"/>
  <c r="F483" i="2"/>
  <c r="H5" i="2" s="1"/>
  <c r="J482" i="2"/>
  <c r="J481" i="2"/>
  <c r="H481" i="2"/>
  <c r="J480" i="2"/>
  <c r="J479" i="2"/>
  <c r="J478" i="2"/>
  <c r="J477" i="2"/>
  <c r="J476" i="2"/>
  <c r="J475" i="2"/>
  <c r="J474" i="2"/>
  <c r="L474" i="2" s="1"/>
  <c r="J473" i="2"/>
  <c r="L473" i="2" s="1"/>
  <c r="L472" i="2"/>
  <c r="J472" i="2"/>
  <c r="F465" i="2"/>
  <c r="F464" i="2"/>
  <c r="F463" i="2"/>
  <c r="K462" i="2"/>
  <c r="J462" i="2"/>
  <c r="L462" i="2" s="1"/>
  <c r="M462" i="2" s="1"/>
  <c r="F462" i="2"/>
  <c r="K461" i="2"/>
  <c r="J461" i="2"/>
  <c r="L461" i="2" s="1"/>
  <c r="M461" i="2" s="1"/>
  <c r="F461" i="2"/>
  <c r="K460" i="2"/>
  <c r="J460" i="2"/>
  <c r="F460" i="2"/>
  <c r="K459" i="2"/>
  <c r="J459" i="2"/>
  <c r="L459" i="2" s="1"/>
  <c r="M459" i="2" s="1"/>
  <c r="F459" i="2"/>
  <c r="K458" i="2"/>
  <c r="J458" i="2"/>
  <c r="L458" i="2" s="1"/>
  <c r="M458" i="2" s="1"/>
  <c r="F458" i="2"/>
  <c r="K457" i="2"/>
  <c r="J457" i="2"/>
  <c r="L457" i="2" s="1"/>
  <c r="M457" i="2" s="1"/>
  <c r="F457" i="2"/>
  <c r="K456" i="2"/>
  <c r="L456" i="2" s="1"/>
  <c r="M456" i="2" s="1"/>
  <c r="J456" i="2"/>
  <c r="F456" i="2"/>
  <c r="K455" i="2"/>
  <c r="J455" i="2"/>
  <c r="L455" i="2" s="1"/>
  <c r="M455" i="2" s="1"/>
  <c r="F455" i="2"/>
  <c r="K454" i="2"/>
  <c r="L454" i="2" s="1"/>
  <c r="M454" i="2" s="1"/>
  <c r="J454" i="2"/>
  <c r="F454" i="2"/>
  <c r="K453" i="2"/>
  <c r="J453" i="2"/>
  <c r="F453" i="2"/>
  <c r="K452" i="2"/>
  <c r="J452" i="2"/>
  <c r="L452" i="2" s="1"/>
  <c r="M452" i="2" s="1"/>
  <c r="F452" i="2"/>
  <c r="K451" i="2"/>
  <c r="J451" i="2"/>
  <c r="L451" i="2" s="1"/>
  <c r="M451" i="2" s="1"/>
  <c r="F451" i="2"/>
  <c r="K450" i="2"/>
  <c r="J450" i="2"/>
  <c r="F450" i="2"/>
  <c r="K449" i="2"/>
  <c r="J449" i="2"/>
  <c r="F449" i="2"/>
  <c r="K448" i="2"/>
  <c r="J448" i="2"/>
  <c r="L448" i="2" s="1"/>
  <c r="M448" i="2" s="1"/>
  <c r="F448" i="2"/>
  <c r="K447" i="2"/>
  <c r="J447" i="2"/>
  <c r="L447" i="2" s="1"/>
  <c r="M447" i="2" s="1"/>
  <c r="F447" i="2"/>
  <c r="F446" i="2"/>
  <c r="F445" i="2"/>
  <c r="F444" i="2"/>
  <c r="L443" i="2"/>
  <c r="F443" i="2"/>
  <c r="F442" i="2"/>
  <c r="F441" i="2"/>
  <c r="F440" i="2"/>
  <c r="F439" i="2"/>
  <c r="F438" i="2"/>
  <c r="M437" i="2"/>
  <c r="L437" i="2"/>
  <c r="K437" i="2"/>
  <c r="F437" i="2"/>
  <c r="F436" i="2"/>
  <c r="F435" i="2"/>
  <c r="L434" i="2"/>
  <c r="F434" i="2"/>
  <c r="F433" i="2"/>
  <c r="F432" i="2"/>
  <c r="F431" i="2"/>
  <c r="F430" i="2"/>
  <c r="F429" i="2"/>
  <c r="F428" i="2"/>
  <c r="F427" i="2"/>
  <c r="F426" i="2"/>
  <c r="F425" i="2"/>
  <c r="AH411" i="2"/>
  <c r="AE411" i="2"/>
  <c r="AH410" i="2"/>
  <c r="AE410" i="2"/>
  <c r="AH409" i="2"/>
  <c r="AE409" i="2"/>
  <c r="AH407" i="2"/>
  <c r="AE407" i="2"/>
  <c r="AK406" i="2"/>
  <c r="AE406" i="2" s="1"/>
  <c r="AC406" i="2"/>
  <c r="AB406" i="2"/>
  <c r="AC405" i="2"/>
  <c r="AB405" i="2"/>
  <c r="AC404" i="2"/>
  <c r="AB404" i="2"/>
  <c r="AH402" i="2"/>
  <c r="J60" i="2" s="1"/>
  <c r="AE402" i="2"/>
  <c r="AC402" i="2"/>
  <c r="AB402" i="2"/>
  <c r="AH401" i="2"/>
  <c r="AE401" i="2"/>
  <c r="AC401" i="2"/>
  <c r="AB401" i="2"/>
  <c r="AH400" i="2"/>
  <c r="AE400" i="2"/>
  <c r="AC400" i="2"/>
  <c r="AB400" i="2"/>
  <c r="L395" i="2"/>
  <c r="L391" i="2" s="1"/>
  <c r="M394" i="2"/>
  <c r="L394" i="2"/>
  <c r="M392" i="2"/>
  <c r="L384" i="2"/>
  <c r="L379" i="2" s="1"/>
  <c r="H383" i="2"/>
  <c r="M382" i="2"/>
  <c r="M380" i="2"/>
  <c r="L380" i="2"/>
  <c r="N380" i="2" s="1"/>
  <c r="M379" i="2"/>
  <c r="M377" i="2"/>
  <c r="L377" i="2"/>
  <c r="L372" i="2"/>
  <c r="M367" i="2" s="1"/>
  <c r="G371" i="2"/>
  <c r="M370" i="2"/>
  <c r="L370" i="2"/>
  <c r="M369" i="2"/>
  <c r="M368" i="2"/>
  <c r="N368" i="2" s="1"/>
  <c r="L368" i="2"/>
  <c r="L367" i="2"/>
  <c r="N367" i="2" s="1"/>
  <c r="M366" i="2"/>
  <c r="L366" i="2"/>
  <c r="L364" i="2"/>
  <c r="L361" i="2"/>
  <c r="M354" i="2" s="1"/>
  <c r="M360" i="2"/>
  <c r="L360" i="2"/>
  <c r="G360" i="2"/>
  <c r="H358" i="2" s="1"/>
  <c r="M359" i="2"/>
  <c r="L359" i="2"/>
  <c r="H359" i="2"/>
  <c r="G359" i="2"/>
  <c r="I359" i="2" s="1"/>
  <c r="M358" i="2"/>
  <c r="L358" i="2"/>
  <c r="M357" i="2"/>
  <c r="L357" i="2"/>
  <c r="N357" i="2" s="1"/>
  <c r="M356" i="2"/>
  <c r="N356" i="2" s="1"/>
  <c r="L356" i="2"/>
  <c r="H356" i="2"/>
  <c r="G356" i="2"/>
  <c r="I356" i="2" s="1"/>
  <c r="M355" i="2"/>
  <c r="L355" i="2"/>
  <c r="N355" i="2" s="1"/>
  <c r="H355" i="2"/>
  <c r="I355" i="2" s="1"/>
  <c r="G355" i="2"/>
  <c r="L354" i="2"/>
  <c r="M353" i="2"/>
  <c r="L353" i="2"/>
  <c r="N353" i="2" s="1"/>
  <c r="H353" i="2"/>
  <c r="G353" i="2"/>
  <c r="I353" i="2" s="1"/>
  <c r="M352" i="2"/>
  <c r="N352" i="2" s="1"/>
  <c r="L352" i="2"/>
  <c r="H352" i="2"/>
  <c r="G352" i="2"/>
  <c r="I352" i="2" s="1"/>
  <c r="N351" i="2"/>
  <c r="G347" i="2"/>
  <c r="I338" i="2" s="1"/>
  <c r="G344" i="2"/>
  <c r="L343" i="2"/>
  <c r="G342" i="2"/>
  <c r="M341" i="2"/>
  <c r="G341" i="2"/>
  <c r="H339" i="2"/>
  <c r="I339" i="2" s="1"/>
  <c r="G339" i="2"/>
  <c r="G333" i="2"/>
  <c r="H331" i="2" s="1"/>
  <c r="X332" i="2"/>
  <c r="V321" i="2" s="1"/>
  <c r="V328" i="2"/>
  <c r="V327" i="2"/>
  <c r="U327" i="2"/>
  <c r="H327" i="2"/>
  <c r="G327" i="2"/>
  <c r="G326" i="2"/>
  <c r="H324" i="2"/>
  <c r="G324" i="2"/>
  <c r="V323" i="2"/>
  <c r="U323" i="2"/>
  <c r="X316" i="2"/>
  <c r="V312" i="2" s="1"/>
  <c r="L315" i="2"/>
  <c r="M303" i="2" s="1"/>
  <c r="M313" i="2"/>
  <c r="V311" i="2"/>
  <c r="U311" i="2"/>
  <c r="L311" i="2"/>
  <c r="M309" i="2"/>
  <c r="L309" i="2"/>
  <c r="N309" i="2" s="1"/>
  <c r="V307" i="2"/>
  <c r="M307" i="2"/>
  <c r="L306" i="2"/>
  <c r="M305" i="2"/>
  <c r="L305" i="2"/>
  <c r="L303" i="2"/>
  <c r="N303" i="2" s="1"/>
  <c r="G303" i="2"/>
  <c r="X300" i="2"/>
  <c r="V292" i="2" s="1"/>
  <c r="U298" i="2"/>
  <c r="L298" i="2"/>
  <c r="M292" i="2" s="1"/>
  <c r="V296" i="2"/>
  <c r="U296" i="2"/>
  <c r="W296" i="2" s="1"/>
  <c r="M296" i="2"/>
  <c r="L296" i="2"/>
  <c r="G295" i="2"/>
  <c r="U294" i="2"/>
  <c r="M294" i="2"/>
  <c r="L294" i="2"/>
  <c r="U292" i="2"/>
  <c r="W292" i="2" s="1"/>
  <c r="V290" i="2"/>
  <c r="U289" i="2"/>
  <c r="L289" i="2"/>
  <c r="V288" i="2"/>
  <c r="U288" i="2"/>
  <c r="W288" i="2" s="1"/>
  <c r="L287" i="2"/>
  <c r="M286" i="2"/>
  <c r="L286" i="2"/>
  <c r="G285" i="2"/>
  <c r="G282" i="2" s="1"/>
  <c r="X284" i="2"/>
  <c r="V279" i="2" s="1"/>
  <c r="W283" i="2"/>
  <c r="V283" i="2"/>
  <c r="U283" i="2"/>
  <c r="H283" i="2"/>
  <c r="G283" i="2"/>
  <c r="V282" i="2"/>
  <c r="U282" i="2"/>
  <c r="W282" i="2" s="1"/>
  <c r="H282" i="2"/>
  <c r="V281" i="2"/>
  <c r="U281" i="2"/>
  <c r="V280" i="2"/>
  <c r="L280" i="2"/>
  <c r="M278" i="2" s="1"/>
  <c r="H280" i="2"/>
  <c r="I280" i="2" s="1"/>
  <c r="G280" i="2"/>
  <c r="U279" i="2"/>
  <c r="M279" i="2"/>
  <c r="L279" i="2"/>
  <c r="H279" i="2"/>
  <c r="G279" i="2"/>
  <c r="V278" i="2"/>
  <c r="U278" i="2"/>
  <c r="L278" i="2"/>
  <c r="N278" i="2" s="1"/>
  <c r="G278" i="2"/>
  <c r="V277" i="2"/>
  <c r="M277" i="2"/>
  <c r="L277" i="2"/>
  <c r="N277" i="2" s="1"/>
  <c r="H277" i="2"/>
  <c r="G277" i="2"/>
  <c r="V276" i="2"/>
  <c r="U276" i="2"/>
  <c r="M276" i="2"/>
  <c r="H276" i="2"/>
  <c r="G276" i="2"/>
  <c r="I276" i="2" s="1"/>
  <c r="V275" i="2"/>
  <c r="W275" i="2" s="1"/>
  <c r="U275" i="2"/>
  <c r="L275" i="2"/>
  <c r="H275" i="2"/>
  <c r="U274" i="2"/>
  <c r="L274" i="2"/>
  <c r="H274" i="2"/>
  <c r="G274" i="2"/>
  <c r="I274" i="2" s="1"/>
  <c r="V273" i="2"/>
  <c r="U273" i="2"/>
  <c r="M273" i="2"/>
  <c r="L273" i="2"/>
  <c r="N273" i="2" s="1"/>
  <c r="H273" i="2"/>
  <c r="U272" i="2"/>
  <c r="M272" i="2"/>
  <c r="L272" i="2"/>
  <c r="I272" i="2"/>
  <c r="M340" i="2" s="1"/>
  <c r="V271" i="2"/>
  <c r="U271" i="2"/>
  <c r="M271" i="2"/>
  <c r="L271" i="2"/>
  <c r="N271" i="2" s="1"/>
  <c r="M270" i="2"/>
  <c r="L270" i="2"/>
  <c r="N270" i="2" s="1"/>
  <c r="M269" i="2"/>
  <c r="L269" i="2"/>
  <c r="U268" i="2"/>
  <c r="V258" i="2" s="1"/>
  <c r="M268" i="2"/>
  <c r="L268" i="2"/>
  <c r="G268" i="2"/>
  <c r="H266" i="2" s="1"/>
  <c r="E268" i="2"/>
  <c r="M267" i="2"/>
  <c r="L267" i="2"/>
  <c r="N267" i="2" s="1"/>
  <c r="H267" i="2"/>
  <c r="G267" i="2"/>
  <c r="N266" i="2"/>
  <c r="H265" i="2"/>
  <c r="G265" i="2"/>
  <c r="V264" i="2"/>
  <c r="H264" i="2"/>
  <c r="I264" i="2" s="1"/>
  <c r="G264" i="2"/>
  <c r="H261" i="2"/>
  <c r="H260" i="2"/>
  <c r="G260" i="2"/>
  <c r="I260" i="2" s="1"/>
  <c r="H259" i="2"/>
  <c r="G259" i="2"/>
  <c r="I259" i="2" s="1"/>
  <c r="U258" i="2"/>
  <c r="W258" i="2" s="1"/>
  <c r="H258" i="2"/>
  <c r="G258" i="2"/>
  <c r="I258" i="2" s="1"/>
  <c r="H257" i="2"/>
  <c r="I257" i="2" s="1"/>
  <c r="G257" i="2"/>
  <c r="V255" i="2"/>
  <c r="U255" i="2"/>
  <c r="G255" i="2"/>
  <c r="I254" i="2"/>
  <c r="E230" i="2"/>
  <c r="E218" i="2"/>
  <c r="U209" i="2"/>
  <c r="V197" i="2" s="1"/>
  <c r="E200" i="2"/>
  <c r="E199" i="2"/>
  <c r="E196" i="2"/>
  <c r="X195" i="2"/>
  <c r="E195" i="2"/>
  <c r="E194" i="2"/>
  <c r="U193" i="2"/>
  <c r="U191" i="2" s="1"/>
  <c r="E193" i="2"/>
  <c r="V191" i="2"/>
  <c r="G191" i="2"/>
  <c r="E191" i="2"/>
  <c r="V190" i="2"/>
  <c r="U190" i="2"/>
  <c r="W190" i="2" s="1"/>
  <c r="I190" i="2"/>
  <c r="H190" i="2"/>
  <c r="U189" i="2"/>
  <c r="I189" i="2"/>
  <c r="H189" i="2"/>
  <c r="U188" i="2"/>
  <c r="I188" i="2"/>
  <c r="H188" i="2"/>
  <c r="U187" i="2"/>
  <c r="I187" i="2"/>
  <c r="H187" i="2"/>
  <c r="V186" i="2"/>
  <c r="U186" i="2"/>
  <c r="W186" i="2" s="1"/>
  <c r="I186" i="2"/>
  <c r="H186" i="2"/>
  <c r="V185" i="2"/>
  <c r="U185" i="2"/>
  <c r="W185" i="2" s="1"/>
  <c r="I185" i="2"/>
  <c r="H185" i="2"/>
  <c r="G185" i="2"/>
  <c r="V184" i="2"/>
  <c r="U184" i="2"/>
  <c r="W184" i="2" s="1"/>
  <c r="I184" i="2"/>
  <c r="H184" i="2"/>
  <c r="G184" i="2"/>
  <c r="G186" i="2" s="1"/>
  <c r="U183" i="2"/>
  <c r="I183" i="2"/>
  <c r="H183" i="2"/>
  <c r="V182" i="2"/>
  <c r="U182" i="2"/>
  <c r="W182" i="2" s="1"/>
  <c r="I182" i="2"/>
  <c r="V181" i="2"/>
  <c r="V180" i="2"/>
  <c r="U180" i="2"/>
  <c r="L178" i="2"/>
  <c r="G176" i="2"/>
  <c r="G175" i="2"/>
  <c r="G174" i="2"/>
  <c r="G173" i="2"/>
  <c r="G172" i="2"/>
  <c r="G171" i="2"/>
  <c r="V170" i="2"/>
  <c r="U170" i="2"/>
  <c r="E170" i="2"/>
  <c r="V169" i="2"/>
  <c r="U169" i="2"/>
  <c r="V168" i="2"/>
  <c r="U168" i="2"/>
  <c r="W168" i="2" s="1"/>
  <c r="E168" i="2"/>
  <c r="Z167" i="2"/>
  <c r="Z168" i="2" s="1"/>
  <c r="V167" i="2"/>
  <c r="U167" i="2"/>
  <c r="W167" i="2" s="1"/>
  <c r="V166" i="2"/>
  <c r="U166" i="2"/>
  <c r="E166" i="2"/>
  <c r="V165" i="2"/>
  <c r="U165" i="2"/>
  <c r="W165" i="2" s="1"/>
  <c r="L165" i="2"/>
  <c r="V164" i="2"/>
  <c r="W164" i="2" s="1"/>
  <c r="U164" i="2"/>
  <c r="Z163" i="2"/>
  <c r="Z164" i="2" s="1"/>
  <c r="Z144" i="2" s="1"/>
  <c r="V163" i="2"/>
  <c r="U163" i="2"/>
  <c r="W163" i="2" s="1"/>
  <c r="J163" i="2"/>
  <c r="V162" i="2"/>
  <c r="U162" i="2"/>
  <c r="V158" i="2"/>
  <c r="U158" i="2"/>
  <c r="W158" i="2" s="1"/>
  <c r="V157" i="2"/>
  <c r="W157" i="2" s="1"/>
  <c r="U157" i="2"/>
  <c r="V156" i="2"/>
  <c r="U156" i="2"/>
  <c r="W156" i="2" s="1"/>
  <c r="Z155" i="2"/>
  <c r="Z156" i="2" s="1"/>
  <c r="AD119" i="2" s="1"/>
  <c r="V155" i="2"/>
  <c r="U155" i="2"/>
  <c r="Z151" i="2"/>
  <c r="Z152" i="2" s="1"/>
  <c r="Z119" i="2" s="1"/>
  <c r="AD137" i="2"/>
  <c r="J119" i="2"/>
  <c r="CM100" i="2"/>
  <c r="CM99" i="2"/>
  <c r="CK97" i="2"/>
  <c r="CL75" i="2"/>
  <c r="E65" i="2"/>
  <c r="K64" i="2"/>
  <c r="J64" i="2"/>
  <c r="I64" i="2"/>
  <c r="H64" i="2"/>
  <c r="G64" i="2"/>
  <c r="K63" i="2"/>
  <c r="H63" i="2"/>
  <c r="G63" i="2"/>
  <c r="AE405" i="2" s="1"/>
  <c r="K62" i="2"/>
  <c r="H62" i="2"/>
  <c r="CM61" i="2"/>
  <c r="CM62" i="2" s="1"/>
  <c r="O61" i="2"/>
  <c r="M61" i="2"/>
  <c r="G61" i="2"/>
  <c r="O60" i="2"/>
  <c r="M60" i="2"/>
  <c r="I60" i="2"/>
  <c r="O59" i="2"/>
  <c r="M59" i="2"/>
  <c r="J59" i="2"/>
  <c r="I59" i="2"/>
  <c r="O58" i="2"/>
  <c r="M58" i="2"/>
  <c r="J58" i="2"/>
  <c r="I58" i="2"/>
  <c r="O57" i="2"/>
  <c r="M57" i="2"/>
  <c r="I50" i="2"/>
  <c r="I433" i="2" s="1"/>
  <c r="CN46" i="2"/>
  <c r="E43" i="2"/>
  <c r="E41" i="2"/>
  <c r="I40" i="2"/>
  <c r="I39" i="2"/>
  <c r="H39" i="2"/>
  <c r="I38" i="2"/>
  <c r="H38" i="2"/>
  <c r="L492" i="2" s="1"/>
  <c r="I37" i="2"/>
  <c r="H36" i="2"/>
  <c r="H35" i="2"/>
  <c r="L489" i="2" s="1"/>
  <c r="H34" i="2"/>
  <c r="H33" i="2"/>
  <c r="H32" i="2"/>
  <c r="L31" i="2"/>
  <c r="F31" i="2"/>
  <c r="H486" i="2" s="1"/>
  <c r="F29" i="2"/>
  <c r="H484" i="2" s="1"/>
  <c r="F28" i="2"/>
  <c r="H483" i="2" s="1"/>
  <c r="M27" i="2"/>
  <c r="L27" i="2"/>
  <c r="F27" i="2"/>
  <c r="H482" i="2" s="1"/>
  <c r="F26" i="2"/>
  <c r="F25" i="2"/>
  <c r="H480" i="2" s="1"/>
  <c r="F24" i="2"/>
  <c r="H479" i="2" s="1"/>
  <c r="F23" i="2"/>
  <c r="H478" i="2" s="1"/>
  <c r="F22" i="2"/>
  <c r="H477" i="2" s="1"/>
  <c r="N21" i="2"/>
  <c r="F21" i="2"/>
  <c r="H476" i="2" s="1"/>
  <c r="F20" i="2"/>
  <c r="H475" i="2" s="1"/>
  <c r="D19" i="2"/>
  <c r="I17" i="2"/>
  <c r="J15" i="2"/>
  <c r="L13" i="2"/>
  <c r="K13" i="2"/>
  <c r="J13" i="2"/>
  <c r="D13" i="2"/>
  <c r="CM12" i="2"/>
  <c r="J12" i="2"/>
  <c r="D12" i="2"/>
  <c r="I11" i="2"/>
  <c r="I10" i="2"/>
  <c r="I9" i="2"/>
  <c r="N8" i="2"/>
  <c r="L8" i="2"/>
  <c r="L7" i="2"/>
  <c r="H7" i="2"/>
  <c r="CL6" i="2"/>
  <c r="L6" i="2"/>
  <c r="H6" i="2"/>
  <c r="L5" i="2"/>
  <c r="Y4" i="2"/>
  <c r="L4" i="2"/>
  <c r="D4" i="2"/>
  <c r="W2" i="2"/>
  <c r="V2" i="2"/>
  <c r="E2" i="2"/>
  <c r="H16" i="2"/>
  <c r="H15" i="2"/>
  <c r="H14" i="2"/>
  <c r="AN55" i="1"/>
  <c r="AM55" i="1"/>
  <c r="AL55" i="1"/>
  <c r="AK55" i="1"/>
  <c r="AJ55" i="1"/>
  <c r="AI55" i="1"/>
  <c r="AH55" i="1"/>
  <c r="AG55" i="1"/>
  <c r="AF55" i="1"/>
  <c r="AE55" i="1"/>
  <c r="AN54" i="1"/>
  <c r="AM54" i="1"/>
  <c r="H18" i="2" s="1"/>
  <c r="AL54" i="1"/>
  <c r="AK54" i="1"/>
  <c r="H17" i="2" s="1"/>
  <c r="AJ54" i="1"/>
  <c r="AI54" i="1"/>
  <c r="AH54" i="1"/>
  <c r="AG54" i="1"/>
  <c r="AF54" i="1"/>
  <c r="AE54" i="1"/>
  <c r="AM49" i="1"/>
  <c r="AK49" i="1"/>
  <c r="AI49" i="1"/>
  <c r="AG49" i="1"/>
  <c r="AE49" i="1"/>
  <c r="W49" i="1"/>
  <c r="AM48" i="1"/>
  <c r="AK48" i="1"/>
  <c r="AI48" i="1"/>
  <c r="AG48" i="1"/>
  <c r="AE48" i="1"/>
  <c r="W48" i="1"/>
  <c r="AM47" i="1"/>
  <c r="AK47" i="1"/>
  <c r="AI47" i="1"/>
  <c r="AG47" i="1"/>
  <c r="AE47" i="1"/>
  <c r="W47" i="1"/>
  <c r="W46" i="1"/>
  <c r="W45" i="1"/>
  <c r="I45" i="1"/>
  <c r="W44" i="1"/>
  <c r="I44" i="1"/>
  <c r="W43" i="1"/>
  <c r="I43" i="1"/>
  <c r="W42" i="1"/>
  <c r="I42" i="1"/>
  <c r="W41" i="1"/>
  <c r="I41" i="1"/>
  <c r="AA40" i="1"/>
  <c r="U18" i="2" s="1"/>
  <c r="W40" i="1"/>
  <c r="I40" i="1"/>
  <c r="AA39" i="1"/>
  <c r="U17" i="2" s="1"/>
  <c r="W39" i="1"/>
  <c r="I39" i="1"/>
  <c r="AM38" i="1"/>
  <c r="AK38" i="1"/>
  <c r="AI38" i="1"/>
  <c r="AG38" i="1"/>
  <c r="AE38" i="1"/>
  <c r="AA38" i="1"/>
  <c r="U16" i="2" s="1"/>
  <c r="W38" i="1"/>
  <c r="I38" i="1"/>
  <c r="AM37" i="1"/>
  <c r="AK37" i="1"/>
  <c r="AI37" i="1"/>
  <c r="AG37" i="1"/>
  <c r="AE37" i="1"/>
  <c r="AA37" i="1"/>
  <c r="U15" i="2" s="1"/>
  <c r="X15" i="2" s="1"/>
  <c r="W37" i="1"/>
  <c r="I37" i="1"/>
  <c r="AM36" i="1"/>
  <c r="AM50" i="1" s="1"/>
  <c r="E18" i="2" s="1"/>
  <c r="AK36" i="1"/>
  <c r="AK50" i="1" s="1"/>
  <c r="E17" i="2" s="1"/>
  <c r="AI36" i="1"/>
  <c r="AI50" i="1" s="1"/>
  <c r="E16" i="2" s="1"/>
  <c r="AG36" i="1"/>
  <c r="AG50" i="1" s="1"/>
  <c r="E15" i="2" s="1"/>
  <c r="AE36" i="1"/>
  <c r="AE50" i="1" s="1"/>
  <c r="E14" i="2" s="1"/>
  <c r="AA36" i="1"/>
  <c r="U14" i="2" s="1"/>
  <c r="X14" i="2" s="1"/>
  <c r="W36" i="1"/>
  <c r="I36" i="1"/>
  <c r="A36" i="1"/>
  <c r="A35" i="1"/>
  <c r="A34" i="1"/>
  <c r="A33" i="1"/>
  <c r="A32" i="1"/>
  <c r="E29" i="1"/>
  <c r="Q18" i="1"/>
  <c r="H31" i="2" s="1"/>
  <c r="L486" i="2" s="1"/>
  <c r="M18" i="1"/>
  <c r="H25" i="2" s="1"/>
  <c r="L480" i="2" s="1"/>
  <c r="K18" i="1"/>
  <c r="H30" i="2" s="1"/>
  <c r="I18" i="1"/>
  <c r="H29" i="2" s="1"/>
  <c r="L484" i="2" s="1"/>
  <c r="G18" i="1"/>
  <c r="H28" i="2" s="1"/>
  <c r="L483" i="2" s="1"/>
  <c r="E18" i="1"/>
  <c r="H27" i="2" s="1"/>
  <c r="L482" i="2" s="1"/>
  <c r="C14" i="1"/>
  <c r="C13" i="1"/>
  <c r="C12" i="1"/>
  <c r="C11" i="1"/>
  <c r="C10" i="1"/>
  <c r="C9" i="1"/>
  <c r="Q5" i="1"/>
  <c r="H26" i="2" s="1"/>
  <c r="L481" i="2" s="1"/>
  <c r="M5" i="1"/>
  <c r="H24" i="2" s="1"/>
  <c r="L479" i="2" s="1"/>
  <c r="K5" i="1"/>
  <c r="H23" i="2" s="1"/>
  <c r="L478" i="2" s="1"/>
  <c r="I5" i="1"/>
  <c r="H22" i="2" s="1"/>
  <c r="L477" i="2" s="1"/>
  <c r="G5" i="1"/>
  <c r="H21" i="2" s="1"/>
  <c r="E5" i="1"/>
  <c r="H20" i="2" s="1"/>
  <c r="W272" i="2" l="1"/>
  <c r="W180" i="2"/>
  <c r="N269" i="2"/>
  <c r="W281" i="2"/>
  <c r="N286" i="2"/>
  <c r="N305" i="2"/>
  <c r="W323" i="2"/>
  <c r="N358" i="2"/>
  <c r="N366" i="2"/>
  <c r="N377" i="2"/>
  <c r="L392" i="2"/>
  <c r="N392" i="2" s="1"/>
  <c r="L460" i="2"/>
  <c r="M460" i="2" s="1"/>
  <c r="W169" i="2"/>
  <c r="I265" i="2"/>
  <c r="N296" i="2"/>
  <c r="N394" i="2"/>
  <c r="W276" i="2"/>
  <c r="I283" i="2"/>
  <c r="M343" i="2"/>
  <c r="L453" i="2"/>
  <c r="M453" i="2" s="1"/>
  <c r="V14" i="2"/>
  <c r="W170" i="2"/>
  <c r="I267" i="2"/>
  <c r="W271" i="2"/>
  <c r="M289" i="2"/>
  <c r="N289" i="2" s="1"/>
  <c r="W327" i="2"/>
  <c r="N343" i="2"/>
  <c r="H285" i="2"/>
  <c r="J272" i="2" s="1"/>
  <c r="I285" i="2" s="1"/>
  <c r="L344" i="2"/>
  <c r="N344" i="2" s="1"/>
  <c r="N360" i="2"/>
  <c r="L387" i="2"/>
  <c r="L449" i="2"/>
  <c r="M449" i="2" s="1"/>
  <c r="H8" i="2"/>
  <c r="I553" i="2" s="1"/>
  <c r="AH405" i="2"/>
  <c r="M344" i="2"/>
  <c r="M387" i="2"/>
  <c r="N387" i="2" s="1"/>
  <c r="U592" i="2"/>
  <c r="U594" i="2" s="1"/>
  <c r="U192" i="2"/>
  <c r="H255" i="2"/>
  <c r="I255" i="2" s="1"/>
  <c r="N272" i="2"/>
  <c r="V274" i="2"/>
  <c r="V284" i="2" s="1"/>
  <c r="G284" i="2"/>
  <c r="I284" i="2" s="1"/>
  <c r="H329" i="2"/>
  <c r="H346" i="2"/>
  <c r="M361" i="2"/>
  <c r="O351" i="2" s="1"/>
  <c r="N361" i="2" s="1"/>
  <c r="G357" i="2"/>
  <c r="L371" i="2"/>
  <c r="J432" i="2"/>
  <c r="M497" i="2"/>
  <c r="M504" i="2" s="1"/>
  <c r="I191" i="2"/>
  <c r="W166" i="2"/>
  <c r="V192" i="2"/>
  <c r="G261" i="2"/>
  <c r="G275" i="2"/>
  <c r="I275" i="2" s="1"/>
  <c r="U277" i="2"/>
  <c r="W277" i="2" s="1"/>
  <c r="U280" i="2"/>
  <c r="W280" i="2" s="1"/>
  <c r="H284" i="2"/>
  <c r="L291" i="2"/>
  <c r="N291" i="2" s="1"/>
  <c r="M302" i="2"/>
  <c r="L313" i="2"/>
  <c r="M346" i="2"/>
  <c r="G354" i="2"/>
  <c r="H357" i="2"/>
  <c r="N363" i="2"/>
  <c r="M371" i="2"/>
  <c r="L389" i="2"/>
  <c r="L432" i="2"/>
  <c r="W568" i="2"/>
  <c r="W278" i="2"/>
  <c r="W155" i="2"/>
  <c r="W171" i="2" s="1"/>
  <c r="M291" i="2"/>
  <c r="H354" i="2"/>
  <c r="H360" i="2" s="1"/>
  <c r="J350" i="2" s="1"/>
  <c r="I360" i="2" s="1"/>
  <c r="M389" i="2"/>
  <c r="V578" i="2"/>
  <c r="E197" i="2"/>
  <c r="G256" i="2"/>
  <c r="G262" i="2"/>
  <c r="V272" i="2"/>
  <c r="I282" i="2"/>
  <c r="I350" i="2"/>
  <c r="M364" i="2"/>
  <c r="N364" i="2" s="1"/>
  <c r="N374" i="2"/>
  <c r="H433" i="2"/>
  <c r="W569" i="2"/>
  <c r="V17" i="2"/>
  <c r="I61" i="2"/>
  <c r="M602" i="2" s="1"/>
  <c r="M606" i="2" s="1"/>
  <c r="W191" i="2"/>
  <c r="H256" i="2"/>
  <c r="H262" i="2"/>
  <c r="I262" i="2" s="1"/>
  <c r="N275" i="2"/>
  <c r="H278" i="2"/>
  <c r="I278" i="2" s="1"/>
  <c r="G281" i="2"/>
  <c r="L285" i="2"/>
  <c r="L293" i="2"/>
  <c r="N293" i="2" s="1"/>
  <c r="G351" i="2"/>
  <c r="N354" i="2"/>
  <c r="L365" i="2"/>
  <c r="L375" i="2"/>
  <c r="L390" i="2"/>
  <c r="S592" i="2"/>
  <c r="S594" i="2" s="1"/>
  <c r="V594" i="2" s="1"/>
  <c r="K57" i="2" s="1"/>
  <c r="W162" i="2"/>
  <c r="V188" i="2"/>
  <c r="W188" i="2" s="1"/>
  <c r="G263" i="2"/>
  <c r="G273" i="2"/>
  <c r="I273" i="2" s="1"/>
  <c r="M275" i="2"/>
  <c r="H281" i="2"/>
  <c r="I281" i="2" s="1"/>
  <c r="M285" i="2"/>
  <c r="N285" i="2" s="1"/>
  <c r="M293" i="2"/>
  <c r="M338" i="2"/>
  <c r="H351" i="2"/>
  <c r="G358" i="2"/>
  <c r="M365" i="2"/>
  <c r="M375" i="2"/>
  <c r="N375" i="2" s="1"/>
  <c r="M391" i="2"/>
  <c r="N391" i="2" s="1"/>
  <c r="K434" i="2"/>
  <c r="V16" i="2"/>
  <c r="W17" i="2"/>
  <c r="W16" i="2"/>
  <c r="W14" i="2"/>
  <c r="X16" i="2"/>
  <c r="X20" i="2" s="1"/>
  <c r="W20" i="2" s="1"/>
  <c r="L476" i="2"/>
  <c r="K549" i="2"/>
  <c r="H9" i="2" s="1"/>
  <c r="J9" i="2" s="1"/>
  <c r="K550" i="2"/>
  <c r="W18" i="2"/>
  <c r="V15" i="2"/>
  <c r="J493" i="2"/>
  <c r="L485" i="2"/>
  <c r="W15" i="2"/>
  <c r="I277" i="2"/>
  <c r="U200" i="2"/>
  <c r="I295" i="2"/>
  <c r="X18" i="2"/>
  <c r="V200" i="2"/>
  <c r="N311" i="2"/>
  <c r="X17" i="2"/>
  <c r="G296" i="2"/>
  <c r="H294" i="2"/>
  <c r="H302" i="2"/>
  <c r="G294" i="2"/>
  <c r="G302" i="2"/>
  <c r="I302" i="2" s="1"/>
  <c r="H292" i="2"/>
  <c r="H299" i="2"/>
  <c r="G292" i="2"/>
  <c r="I292" i="2" s="1"/>
  <c r="G299" i="2"/>
  <c r="I299" i="2" s="1"/>
  <c r="I290" i="2"/>
  <c r="H297" i="2"/>
  <c r="H301" i="2"/>
  <c r="G297" i="2"/>
  <c r="G293" i="2"/>
  <c r="G301" i="2"/>
  <c r="H293" i="2"/>
  <c r="H300" i="2"/>
  <c r="H296" i="2"/>
  <c r="G300" i="2"/>
  <c r="H295" i="2"/>
  <c r="L475" i="2"/>
  <c r="W187" i="2"/>
  <c r="V263" i="2"/>
  <c r="U256" i="2"/>
  <c r="U263" i="2"/>
  <c r="W263" i="2" s="1"/>
  <c r="W254" i="2"/>
  <c r="V261" i="2"/>
  <c r="V267" i="2"/>
  <c r="U261" i="2"/>
  <c r="U267" i="2"/>
  <c r="W267" i="2" s="1"/>
  <c r="V265" i="2"/>
  <c r="V259" i="2"/>
  <c r="U265" i="2"/>
  <c r="U259" i="2"/>
  <c r="V257" i="2"/>
  <c r="U257" i="2"/>
  <c r="W257" i="2" s="1"/>
  <c r="U264" i="2"/>
  <c r="W264" i="2" s="1"/>
  <c r="V260" i="2"/>
  <c r="V262" i="2"/>
  <c r="U262" i="2"/>
  <c r="V266" i="2"/>
  <c r="V256" i="2"/>
  <c r="U266" i="2"/>
  <c r="W266" i="2" s="1"/>
  <c r="W311" i="2"/>
  <c r="V196" i="2"/>
  <c r="H298" i="2"/>
  <c r="N313" i="2"/>
  <c r="V18" i="2"/>
  <c r="H291" i="2"/>
  <c r="J62" i="2"/>
  <c r="I62" i="2"/>
  <c r="L493" i="2"/>
  <c r="F200" i="2"/>
  <c r="W289" i="2"/>
  <c r="I63" i="2"/>
  <c r="J63" i="2"/>
  <c r="V207" i="2"/>
  <c r="W183" i="2"/>
  <c r="U197" i="2"/>
  <c r="W197" i="2" s="1"/>
  <c r="W567" i="2"/>
  <c r="V567" i="2"/>
  <c r="U203" i="2"/>
  <c r="V203" i="2"/>
  <c r="W255" i="2"/>
  <c r="G291" i="2"/>
  <c r="I351" i="2"/>
  <c r="G365" i="2"/>
  <c r="I365" i="2" s="1"/>
  <c r="H370" i="2"/>
  <c r="G370" i="2"/>
  <c r="I370" i="2" s="1"/>
  <c r="H367" i="2"/>
  <c r="G367" i="2"/>
  <c r="I367" i="2" s="1"/>
  <c r="H364" i="2"/>
  <c r="G364" i="2"/>
  <c r="H369" i="2"/>
  <c r="G363" i="2"/>
  <c r="H368" i="2"/>
  <c r="I362" i="2"/>
  <c r="G369" i="2"/>
  <c r="H365" i="2"/>
  <c r="G368" i="2"/>
  <c r="I368" i="2" s="1"/>
  <c r="H363" i="2"/>
  <c r="I363" i="2" s="1"/>
  <c r="L488" i="2"/>
  <c r="J488" i="2"/>
  <c r="U260" i="2"/>
  <c r="W260" i="2" s="1"/>
  <c r="G366" i="2"/>
  <c r="S588" i="2"/>
  <c r="Q604" i="2"/>
  <c r="Q602" i="2" s="1"/>
  <c r="V208" i="2"/>
  <c r="U208" i="2"/>
  <c r="V206" i="2"/>
  <c r="U206" i="2"/>
  <c r="V202" i="2"/>
  <c r="V198" i="2"/>
  <c r="V204" i="2"/>
  <c r="U202" i="2"/>
  <c r="W202" i="2" s="1"/>
  <c r="U198" i="2"/>
  <c r="U204" i="2"/>
  <c r="V201" i="2"/>
  <c r="U201" i="2"/>
  <c r="V205" i="2"/>
  <c r="U207" i="2"/>
  <c r="H366" i="2"/>
  <c r="Z589" i="2"/>
  <c r="U19" i="2"/>
  <c r="W22" i="2" s="1"/>
  <c r="V605" i="2"/>
  <c r="U199" i="2"/>
  <c r="N294" i="2"/>
  <c r="H191" i="2"/>
  <c r="L487" i="2"/>
  <c r="J487" i="2"/>
  <c r="U196" i="2"/>
  <c r="G298" i="2"/>
  <c r="L494" i="2"/>
  <c r="J485" i="2"/>
  <c r="R602" i="2"/>
  <c r="W189" i="2"/>
  <c r="V199" i="2"/>
  <c r="U205" i="2"/>
  <c r="N279" i="2"/>
  <c r="U312" i="2"/>
  <c r="W312" i="2" s="1"/>
  <c r="V304" i="2"/>
  <c r="V310" i="2"/>
  <c r="U304" i="2"/>
  <c r="U310" i="2"/>
  <c r="W310" i="2" s="1"/>
  <c r="V308" i="2"/>
  <c r="V315" i="2"/>
  <c r="U308" i="2"/>
  <c r="V306" i="2"/>
  <c r="U315" i="2"/>
  <c r="U306" i="2"/>
  <c r="W306" i="2" s="1"/>
  <c r="V313" i="2"/>
  <c r="V303" i="2"/>
  <c r="U313" i="2"/>
  <c r="W313" i="2" s="1"/>
  <c r="U303" i="2"/>
  <c r="U309" i="2"/>
  <c r="U305" i="2"/>
  <c r="U307" i="2"/>
  <c r="W307" i="2" s="1"/>
  <c r="V314" i="2"/>
  <c r="U314" i="2"/>
  <c r="W314" i="2" s="1"/>
  <c r="V305" i="2"/>
  <c r="V309" i="2"/>
  <c r="I327" i="2"/>
  <c r="N379" i="2"/>
  <c r="V577" i="2"/>
  <c r="K590" i="2"/>
  <c r="I261" i="2"/>
  <c r="N268" i="2"/>
  <c r="I279" i="2"/>
  <c r="L436" i="2"/>
  <c r="J434" i="2"/>
  <c r="H432" i="2"/>
  <c r="M429" i="2"/>
  <c r="M438" i="2"/>
  <c r="K436" i="2"/>
  <c r="I434" i="2"/>
  <c r="L429" i="2"/>
  <c r="L438" i="2"/>
  <c r="J436" i="2"/>
  <c r="H434" i="2"/>
  <c r="M431" i="2"/>
  <c r="K429" i="2"/>
  <c r="M495" i="2"/>
  <c r="L497" i="2" s="1"/>
  <c r="K438" i="2"/>
  <c r="I436" i="2"/>
  <c r="L431" i="2"/>
  <c r="J429" i="2"/>
  <c r="J438" i="2"/>
  <c r="H436" i="2"/>
  <c r="M433" i="2"/>
  <c r="K431" i="2"/>
  <c r="I429" i="2"/>
  <c r="I438" i="2"/>
  <c r="L433" i="2"/>
  <c r="J431" i="2"/>
  <c r="H429" i="2"/>
  <c r="H438" i="2"/>
  <c r="M435" i="2"/>
  <c r="K433" i="2"/>
  <c r="I431" i="2"/>
  <c r="L435" i="2"/>
  <c r="J433" i="2"/>
  <c r="H431" i="2"/>
  <c r="J437" i="2"/>
  <c r="H435" i="2"/>
  <c r="M432" i="2"/>
  <c r="K430" i="2"/>
  <c r="H437" i="2"/>
  <c r="M434" i="2"/>
  <c r="K432" i="2"/>
  <c r="I430" i="2"/>
  <c r="U328" i="2"/>
  <c r="W328" i="2" s="1"/>
  <c r="V326" i="2"/>
  <c r="U326" i="2"/>
  <c r="W326" i="2" s="1"/>
  <c r="V324" i="2"/>
  <c r="V320" i="2"/>
  <c r="V331" i="2"/>
  <c r="U324" i="2"/>
  <c r="W324" i="2" s="1"/>
  <c r="V322" i="2"/>
  <c r="U320" i="2"/>
  <c r="U331" i="2"/>
  <c r="U322" i="2"/>
  <c r="V329" i="2"/>
  <c r="U329" i="2"/>
  <c r="W329" i="2" s="1"/>
  <c r="U325" i="2"/>
  <c r="W325" i="2" s="1"/>
  <c r="U321" i="2"/>
  <c r="W321" i="2" s="1"/>
  <c r="V330" i="2"/>
  <c r="U181" i="2"/>
  <c r="W181" i="2" s="1"/>
  <c r="V183" i="2"/>
  <c r="V193" i="2" s="1"/>
  <c r="W193" i="2" s="1"/>
  <c r="W279" i="2"/>
  <c r="U319" i="2"/>
  <c r="H325" i="2"/>
  <c r="H332" i="2"/>
  <c r="G325" i="2"/>
  <c r="I325" i="2" s="1"/>
  <c r="G332" i="2"/>
  <c r="I332" i="2" s="1"/>
  <c r="I323" i="2"/>
  <c r="H330" i="2"/>
  <c r="G330" i="2"/>
  <c r="H328" i="2"/>
  <c r="G328" i="2"/>
  <c r="I328" i="2" s="1"/>
  <c r="H326" i="2"/>
  <c r="G331" i="2"/>
  <c r="I331" i="2" s="1"/>
  <c r="G329" i="2"/>
  <c r="I358" i="2"/>
  <c r="H430" i="2"/>
  <c r="I435" i="2"/>
  <c r="N439" i="2"/>
  <c r="V319" i="2"/>
  <c r="J430" i="2"/>
  <c r="J435" i="2"/>
  <c r="I324" i="2"/>
  <c r="L430" i="2"/>
  <c r="K435" i="2"/>
  <c r="V187" i="2"/>
  <c r="V189" i="2"/>
  <c r="AH406" i="2"/>
  <c r="M430" i="2"/>
  <c r="V297" i="2"/>
  <c r="U290" i="2"/>
  <c r="W290" i="2" s="1"/>
  <c r="V299" i="2"/>
  <c r="U297" i="2"/>
  <c r="W297" i="2" s="1"/>
  <c r="U299" i="2"/>
  <c r="W299" i="2" s="1"/>
  <c r="V295" i="2"/>
  <c r="U295" i="2"/>
  <c r="V287" i="2"/>
  <c r="V293" i="2"/>
  <c r="U287" i="2"/>
  <c r="U293" i="2"/>
  <c r="V291" i="2"/>
  <c r="V298" i="2"/>
  <c r="W298" i="2" s="1"/>
  <c r="U291" i="2"/>
  <c r="W291" i="2" s="1"/>
  <c r="V289" i="2"/>
  <c r="V294" i="2"/>
  <c r="W294" i="2" s="1"/>
  <c r="M436" i="2"/>
  <c r="L450" i="2"/>
  <c r="M450" i="2" s="1"/>
  <c r="M464" i="2" s="1"/>
  <c r="I591" i="2"/>
  <c r="W566" i="2"/>
  <c r="V566" i="2"/>
  <c r="V571" i="2" s="1"/>
  <c r="I590" i="2"/>
  <c r="F199" i="2"/>
  <c r="M280" i="2"/>
  <c r="O266" i="2" s="1"/>
  <c r="N280" i="2" s="1"/>
  <c r="W273" i="2"/>
  <c r="M314" i="2"/>
  <c r="L307" i="2"/>
  <c r="N307" i="2" s="1"/>
  <c r="L302" i="2"/>
  <c r="L314" i="2"/>
  <c r="N314" i="2" s="1"/>
  <c r="M312" i="2"/>
  <c r="L312" i="2"/>
  <c r="M304" i="2"/>
  <c r="M310" i="2"/>
  <c r="L304" i="2"/>
  <c r="N304" i="2" s="1"/>
  <c r="L310" i="2"/>
  <c r="N301" i="2"/>
  <c r="M308" i="2"/>
  <c r="L308" i="2"/>
  <c r="N308" i="2" s="1"/>
  <c r="M306" i="2"/>
  <c r="N306" i="2" s="1"/>
  <c r="M311" i="2"/>
  <c r="V325" i="2"/>
  <c r="U330" i="2"/>
  <c r="G346" i="2"/>
  <c r="H343" i="2"/>
  <c r="G343" i="2"/>
  <c r="H340" i="2"/>
  <c r="G340" i="2"/>
  <c r="H345" i="2"/>
  <c r="G345" i="2"/>
  <c r="I345" i="2" s="1"/>
  <c r="H342" i="2"/>
  <c r="I342" i="2" s="1"/>
  <c r="H344" i="2"/>
  <c r="I344" i="2" s="1"/>
  <c r="H341" i="2"/>
  <c r="I341" i="2" s="1"/>
  <c r="N359" i="2"/>
  <c r="N365" i="2"/>
  <c r="N370" i="2"/>
  <c r="I432" i="2"/>
  <c r="I437" i="2"/>
  <c r="K591" i="2"/>
  <c r="W575" i="2"/>
  <c r="W580" i="2" s="1"/>
  <c r="J57" i="2" s="1"/>
  <c r="V575" i="2"/>
  <c r="L338" i="2"/>
  <c r="N338" i="2" s="1"/>
  <c r="L346" i="2"/>
  <c r="N346" i="2" s="1"/>
  <c r="L341" i="2"/>
  <c r="N341" i="2" s="1"/>
  <c r="L382" i="2"/>
  <c r="N382" i="2" s="1"/>
  <c r="L339" i="2"/>
  <c r="N339" i="2" s="1"/>
  <c r="L347" i="2"/>
  <c r="N347" i="2" s="1"/>
  <c r="L378" i="2"/>
  <c r="N378" i="2" s="1"/>
  <c r="H263" i="2"/>
  <c r="H268" i="2" s="1"/>
  <c r="J254" i="2" s="1"/>
  <c r="I268" i="2" s="1"/>
  <c r="M274" i="2"/>
  <c r="N274" i="2" s="1"/>
  <c r="N284" i="2"/>
  <c r="M287" i="2"/>
  <c r="N287" i="2" s="1"/>
  <c r="L295" i="2"/>
  <c r="M339" i="2"/>
  <c r="M347" i="2"/>
  <c r="M378" i="2"/>
  <c r="M390" i="2"/>
  <c r="L276" i="2"/>
  <c r="N276" i="2" s="1"/>
  <c r="M295" i="2"/>
  <c r="L336" i="2"/>
  <c r="L342" i="2"/>
  <c r="L369" i="2"/>
  <c r="N369" i="2" s="1"/>
  <c r="L388" i="2"/>
  <c r="N388" i="2" s="1"/>
  <c r="L297" i="2"/>
  <c r="N297" i="2" s="1"/>
  <c r="M336" i="2"/>
  <c r="M342" i="2"/>
  <c r="L348" i="2"/>
  <c r="N348" i="2" s="1"/>
  <c r="L383" i="2"/>
  <c r="N383" i="2" s="1"/>
  <c r="M388" i="2"/>
  <c r="L290" i="2"/>
  <c r="M297" i="2"/>
  <c r="L345" i="2"/>
  <c r="M348" i="2"/>
  <c r="L376" i="2"/>
  <c r="M383" i="2"/>
  <c r="G266" i="2"/>
  <c r="I266" i="2" s="1"/>
  <c r="M290" i="2"/>
  <c r="L337" i="2"/>
  <c r="N337" i="2" s="1"/>
  <c r="M345" i="2"/>
  <c r="M376" i="2"/>
  <c r="L381" i="2"/>
  <c r="N381" i="2" s="1"/>
  <c r="L393" i="2"/>
  <c r="N393" i="2" s="1"/>
  <c r="I542" i="2"/>
  <c r="L288" i="2"/>
  <c r="N288" i="2" s="1"/>
  <c r="L292" i="2"/>
  <c r="N292" i="2" s="1"/>
  <c r="M337" i="2"/>
  <c r="L340" i="2"/>
  <c r="N340" i="2" s="1"/>
  <c r="M381" i="2"/>
  <c r="N386" i="2"/>
  <c r="M393" i="2"/>
  <c r="V576" i="2"/>
  <c r="M288" i="2"/>
  <c r="I256" i="2" l="1"/>
  <c r="I297" i="2"/>
  <c r="Q606" i="2"/>
  <c r="I366" i="2"/>
  <c r="I592" i="2"/>
  <c r="I593" i="2" s="1"/>
  <c r="G56" i="2" s="1"/>
  <c r="W201" i="2"/>
  <c r="W192" i="2"/>
  <c r="W571" i="2"/>
  <c r="I343" i="2"/>
  <c r="H333" i="2"/>
  <c r="J323" i="2" s="1"/>
  <c r="I333" i="2" s="1"/>
  <c r="V20" i="2"/>
  <c r="V6" i="2" s="1"/>
  <c r="Y6" i="2" s="1"/>
  <c r="N389" i="2"/>
  <c r="W274" i="2"/>
  <c r="I326" i="2"/>
  <c r="I263" i="2"/>
  <c r="I369" i="2"/>
  <c r="N376" i="2"/>
  <c r="N302" i="2"/>
  <c r="I346" i="2"/>
  <c r="W330" i="2"/>
  <c r="W293" i="2"/>
  <c r="W331" i="2"/>
  <c r="M439" i="2"/>
  <c r="W305" i="2"/>
  <c r="M549" i="2"/>
  <c r="I354" i="2"/>
  <c r="N371" i="2"/>
  <c r="M315" i="2"/>
  <c r="O301" i="2" s="1"/>
  <c r="N315" i="2" s="1"/>
  <c r="I329" i="2"/>
  <c r="N390" i="2"/>
  <c r="K592" i="2"/>
  <c r="K593" i="2" s="1"/>
  <c r="G57" i="2" s="1"/>
  <c r="W320" i="2"/>
  <c r="W206" i="2"/>
  <c r="I357" i="2"/>
  <c r="L559" i="2"/>
  <c r="L560" i="2" s="1"/>
  <c r="J44" i="2"/>
  <c r="L439" i="2"/>
  <c r="M298" i="2"/>
  <c r="O284" i="2" s="1"/>
  <c r="N298" i="2" s="1"/>
  <c r="M349" i="2"/>
  <c r="N349" i="2" s="1"/>
  <c r="L349" i="2" s="1"/>
  <c r="N336" i="2"/>
  <c r="Z569" i="2"/>
  <c r="Z566" i="2"/>
  <c r="Z567" i="2"/>
  <c r="Z570" i="2"/>
  <c r="Z568" i="2"/>
  <c r="W287" i="2"/>
  <c r="V300" i="2"/>
  <c r="M372" i="2"/>
  <c r="O363" i="2" s="1"/>
  <c r="N372" i="2" s="1"/>
  <c r="W304" i="2"/>
  <c r="W204" i="2"/>
  <c r="V209" i="2"/>
  <c r="W209" i="2" s="1"/>
  <c r="W196" i="2"/>
  <c r="W261" i="2"/>
  <c r="I301" i="2"/>
  <c r="I296" i="2"/>
  <c r="I439" i="2"/>
  <c r="M384" i="2"/>
  <c r="O374" i="2" s="1"/>
  <c r="N384" i="2" s="1"/>
  <c r="N310" i="2"/>
  <c r="W295" i="2"/>
  <c r="I330" i="2"/>
  <c r="W322" i="2"/>
  <c r="W198" i="2"/>
  <c r="I293" i="2"/>
  <c r="J439" i="2"/>
  <c r="I340" i="2"/>
  <c r="H347" i="2"/>
  <c r="J338" i="2" s="1"/>
  <c r="I347" i="2" s="1"/>
  <c r="N312" i="2"/>
  <c r="V332" i="2"/>
  <c r="W319" i="2"/>
  <c r="W205" i="2"/>
  <c r="W284" i="2"/>
  <c r="U284" i="2"/>
  <c r="W262" i="2"/>
  <c r="W256" i="2"/>
  <c r="W200" i="2"/>
  <c r="W23" i="2"/>
  <c r="W24" i="2" s="1"/>
  <c r="V5" i="2"/>
  <c r="Y5" i="2" s="1"/>
  <c r="Z5" i="2" s="1"/>
  <c r="L14" i="2" s="1"/>
  <c r="V268" i="2"/>
  <c r="X254" i="2" s="1"/>
  <c r="W268" i="2" s="1"/>
  <c r="I557" i="2"/>
  <c r="M505" i="2"/>
  <c r="N505" i="2" s="1"/>
  <c r="L513" i="2" s="1"/>
  <c r="I117" i="2" s="1"/>
  <c r="I203" i="2" s="1"/>
  <c r="W208" i="2"/>
  <c r="W203" i="2"/>
  <c r="W199" i="2"/>
  <c r="V580" i="2"/>
  <c r="I57" i="2" s="1"/>
  <c r="H371" i="2"/>
  <c r="J362" i="2" s="1"/>
  <c r="I371" i="2" s="1"/>
  <c r="W309" i="2"/>
  <c r="K551" i="2"/>
  <c r="H10" i="2"/>
  <c r="M550" i="2"/>
  <c r="J10" i="2" s="1"/>
  <c r="W303" i="2"/>
  <c r="V316" i="2"/>
  <c r="K439" i="2"/>
  <c r="M395" i="2"/>
  <c r="O386" i="2" s="1"/>
  <c r="N395" i="2" s="1"/>
  <c r="W315" i="2"/>
  <c r="N290" i="2"/>
  <c r="H439" i="2"/>
  <c r="W592" i="2"/>
  <c r="S590" i="2"/>
  <c r="U590" i="2"/>
  <c r="W589" i="2"/>
  <c r="W590" i="2" s="1"/>
  <c r="Z599" i="2" s="1"/>
  <c r="Z592" i="2"/>
  <c r="I291" i="2"/>
  <c r="H303" i="2"/>
  <c r="J290" i="2" s="1"/>
  <c r="I303" i="2" s="1"/>
  <c r="W259" i="2"/>
  <c r="I294" i="2"/>
  <c r="N342" i="2"/>
  <c r="N345" i="2"/>
  <c r="Q608" i="2"/>
  <c r="Z397" i="2"/>
  <c r="K65" i="2" s="1"/>
  <c r="N295" i="2"/>
  <c r="W308" i="2"/>
  <c r="I298" i="2"/>
  <c r="W207" i="2"/>
  <c r="I364" i="2"/>
  <c r="W265" i="2"/>
  <c r="I300" i="2"/>
  <c r="Z20" i="2" l="1"/>
  <c r="V9" i="2"/>
  <c r="Y9" i="2" s="1"/>
  <c r="L15" i="2" s="1"/>
  <c r="J508" i="2" s="1"/>
  <c r="W9" i="2"/>
  <c r="W6" i="2"/>
  <c r="V8" i="2"/>
  <c r="Y8" i="2" s="1"/>
  <c r="AC569" i="2"/>
  <c r="AB569" i="2"/>
  <c r="H216" i="2"/>
  <c r="G207" i="2"/>
  <c r="N203" i="2"/>
  <c r="L217" i="2" s="1"/>
  <c r="I119" i="2" s="1"/>
  <c r="G216" i="2"/>
  <c r="I216" i="2" s="1"/>
  <c r="H205" i="2"/>
  <c r="H213" i="2"/>
  <c r="G205" i="2"/>
  <c r="I205" i="2" s="1"/>
  <c r="G213" i="2"/>
  <c r="I213" i="2" s="1"/>
  <c r="H210" i="2"/>
  <c r="G210" i="2"/>
  <c r="H215" i="2"/>
  <c r="H208" i="2"/>
  <c r="G215" i="2"/>
  <c r="G208" i="2"/>
  <c r="I208" i="2" s="1"/>
  <c r="G204" i="2"/>
  <c r="G212" i="2"/>
  <c r="H209" i="2"/>
  <c r="H214" i="2"/>
  <c r="G209" i="2"/>
  <c r="I209" i="2" s="1"/>
  <c r="G214" i="2"/>
  <c r="I214" i="2" s="1"/>
  <c r="H212" i="2"/>
  <c r="N234" i="2"/>
  <c r="L248" i="2" s="1"/>
  <c r="H204" i="2"/>
  <c r="I204" i="2" s="1"/>
  <c r="H206" i="2"/>
  <c r="G206" i="2"/>
  <c r="I206" i="2" s="1"/>
  <c r="H207" i="2"/>
  <c r="H211" i="2"/>
  <c r="G211" i="2"/>
  <c r="W316" i="2"/>
  <c r="U316" i="2"/>
  <c r="W300" i="2"/>
  <c r="U300" i="2"/>
  <c r="H11" i="2"/>
  <c r="M551" i="2"/>
  <c r="AC566" i="2"/>
  <c r="AB566" i="2"/>
  <c r="N440" i="2"/>
  <c r="AC567" i="2"/>
  <c r="AB567" i="2"/>
  <c r="V590" i="2"/>
  <c r="W332" i="2"/>
  <c r="U332" i="2"/>
  <c r="U404" i="2"/>
  <c r="U400" i="2"/>
  <c r="V398" i="2"/>
  <c r="U398" i="2"/>
  <c r="X409" i="2"/>
  <c r="V405" i="2"/>
  <c r="V401" i="2"/>
  <c r="U405" i="2"/>
  <c r="W405" i="2" s="1"/>
  <c r="U401" i="2"/>
  <c r="W401" i="2" s="1"/>
  <c r="V406" i="2"/>
  <c r="X403" i="2"/>
  <c r="V402" i="2"/>
  <c r="U402" i="2"/>
  <c r="W402" i="2" s="1"/>
  <c r="V400" i="2"/>
  <c r="V399" i="2"/>
  <c r="U399" i="2"/>
  <c r="V404" i="2"/>
  <c r="U406" i="2"/>
  <c r="V408" i="2"/>
  <c r="U408" i="2"/>
  <c r="W408" i="2" s="1"/>
  <c r="U407" i="2"/>
  <c r="V407" i="2"/>
  <c r="W5" i="2"/>
  <c r="W8" i="2"/>
  <c r="AC568" i="2"/>
  <c r="AB568" i="2"/>
  <c r="Z598" i="2"/>
  <c r="Z593" i="2"/>
  <c r="N554" i="2"/>
  <c r="J507" i="2"/>
  <c r="L510" i="2" s="1"/>
  <c r="N17" i="2"/>
  <c r="L507" i="2" s="1"/>
  <c r="AC570" i="2"/>
  <c r="AB570" i="2"/>
  <c r="U409" i="2" l="1"/>
  <c r="W409" i="2" s="1"/>
  <c r="W399" i="2"/>
  <c r="I210" i="2"/>
  <c r="N484" i="2"/>
  <c r="I554" i="2"/>
  <c r="AB571" i="2"/>
  <c r="AB573" i="2" s="1"/>
  <c r="I56" i="2" s="1"/>
  <c r="I207" i="2"/>
  <c r="I212" i="2"/>
  <c r="W407" i="2"/>
  <c r="V409" i="2"/>
  <c r="W404" i="2"/>
  <c r="V604" i="2"/>
  <c r="K56" i="2"/>
  <c r="Z590" i="2"/>
  <c r="W597" i="2" s="1"/>
  <c r="Z597" i="2" s="1"/>
  <c r="J11" i="2"/>
  <c r="N553" i="2"/>
  <c r="W593" i="2"/>
  <c r="W596" i="2" s="1"/>
  <c r="Z596" i="2" s="1"/>
  <c r="W398" i="2"/>
  <c r="V403" i="2"/>
  <c r="I215" i="2"/>
  <c r="K51" i="2"/>
  <c r="K50" i="2"/>
  <c r="AC571" i="2"/>
  <c r="AC573" i="2" s="1"/>
  <c r="J56" i="2" s="1"/>
  <c r="J65" i="2" s="1"/>
  <c r="U403" i="2"/>
  <c r="W403" i="2" s="1"/>
  <c r="W406" i="2"/>
  <c r="W400" i="2"/>
  <c r="I211" i="2"/>
  <c r="I217" i="2" s="1"/>
  <c r="Z600" i="2" l="1"/>
  <c r="H247" i="2"/>
  <c r="L244" i="2"/>
  <c r="H239" i="2"/>
  <c r="L236" i="2"/>
  <c r="G321" i="2"/>
  <c r="M241" i="2"/>
  <c r="H227" i="2"/>
  <c r="N549" i="2" s="1"/>
  <c r="H244" i="2"/>
  <c r="L241" i="2"/>
  <c r="N241" i="2" s="1"/>
  <c r="H236" i="2"/>
  <c r="G227" i="2"/>
  <c r="I227" i="2" s="1"/>
  <c r="M246" i="2"/>
  <c r="M238" i="2"/>
  <c r="G232" i="2"/>
  <c r="J232" i="2" s="1"/>
  <c r="I121" i="2" s="1"/>
  <c r="L246" i="2"/>
  <c r="N246" i="2" s="1"/>
  <c r="H241" i="2"/>
  <c r="L238" i="2"/>
  <c r="M243" i="2"/>
  <c r="H246" i="2"/>
  <c r="L243" i="2"/>
  <c r="N243" i="2" s="1"/>
  <c r="H238" i="2"/>
  <c r="L235" i="2"/>
  <c r="G229" i="2"/>
  <c r="G221" i="2"/>
  <c r="L247" i="2"/>
  <c r="N247" i="2" s="1"/>
  <c r="L242" i="2"/>
  <c r="M237" i="2"/>
  <c r="H225" i="2"/>
  <c r="L213" i="2"/>
  <c r="N213" i="2" s="1"/>
  <c r="L237" i="2"/>
  <c r="N237" i="2" s="1"/>
  <c r="H228" i="2"/>
  <c r="G225" i="2"/>
  <c r="H222" i="2"/>
  <c r="M210" i="2"/>
  <c r="H242" i="2"/>
  <c r="G228" i="2"/>
  <c r="G222" i="2"/>
  <c r="I222" i="2" s="1"/>
  <c r="H219" i="2"/>
  <c r="L210" i="2"/>
  <c r="N210" i="2" s="1"/>
  <c r="H237" i="2"/>
  <c r="H231" i="2"/>
  <c r="G219" i="2"/>
  <c r="M215" i="2"/>
  <c r="M208" i="2"/>
  <c r="M245" i="2"/>
  <c r="M240" i="2"/>
  <c r="G231" i="2"/>
  <c r="I231" i="2" s="1"/>
  <c r="L215" i="2"/>
  <c r="L208" i="2"/>
  <c r="L245" i="2"/>
  <c r="L240" i="2"/>
  <c r="M212" i="2"/>
  <c r="M206" i="2"/>
  <c r="M236" i="2"/>
  <c r="H224" i="2"/>
  <c r="L212" i="2"/>
  <c r="N212" i="2" s="1"/>
  <c r="L206" i="2"/>
  <c r="N206" i="2" s="1"/>
  <c r="H245" i="2"/>
  <c r="H240" i="2"/>
  <c r="M235" i="2"/>
  <c r="G224" i="2"/>
  <c r="I224" i="2" s="1"/>
  <c r="H221" i="2"/>
  <c r="M204" i="2"/>
  <c r="L332" i="2"/>
  <c r="L239" i="2"/>
  <c r="G226" i="2"/>
  <c r="H223" i="2"/>
  <c r="M211" i="2"/>
  <c r="L209" i="2"/>
  <c r="M239" i="2"/>
  <c r="H229" i="2"/>
  <c r="M213" i="2"/>
  <c r="M244" i="2"/>
  <c r="M207" i="2"/>
  <c r="H243" i="2"/>
  <c r="M209" i="2"/>
  <c r="M214" i="2"/>
  <c r="M205" i="2"/>
  <c r="L214" i="2"/>
  <c r="N214" i="2" s="1"/>
  <c r="L205" i="2"/>
  <c r="H220" i="2"/>
  <c r="J234" i="2"/>
  <c r="L207" i="2"/>
  <c r="G248" i="2"/>
  <c r="J248" i="2" s="1"/>
  <c r="L204" i="2"/>
  <c r="M247" i="2"/>
  <c r="H235" i="2"/>
  <c r="H226" i="2"/>
  <c r="G220" i="2"/>
  <c r="I220" i="2" s="1"/>
  <c r="L211" i="2"/>
  <c r="N211" i="2" s="1"/>
  <c r="H230" i="2"/>
  <c r="G223" i="2"/>
  <c r="I223" i="2" s="1"/>
  <c r="L216" i="2"/>
  <c r="N216" i="2" s="1"/>
  <c r="J217" i="2"/>
  <c r="I118" i="2" s="1"/>
  <c r="M242" i="2"/>
  <c r="G230" i="2"/>
  <c r="M216" i="2"/>
  <c r="V606" i="2"/>
  <c r="M63" i="2"/>
  <c r="I65" i="2"/>
  <c r="I401" i="2" s="1"/>
  <c r="H37" i="2"/>
  <c r="N12" i="2"/>
  <c r="K427" i="2"/>
  <c r="E119" i="2" s="1"/>
  <c r="N23" i="2" s="1"/>
  <c r="L427" i="2"/>
  <c r="L426" i="2" s="1"/>
  <c r="N561" i="2"/>
  <c r="I230" i="2" l="1"/>
  <c r="N205" i="2"/>
  <c r="N215" i="2"/>
  <c r="I225" i="2"/>
  <c r="I221" i="2"/>
  <c r="N204" i="2"/>
  <c r="M217" i="2"/>
  <c r="O203" i="2" s="1"/>
  <c r="N217" i="2" s="1"/>
  <c r="H248" i="2"/>
  <c r="I248" i="2" s="1"/>
  <c r="M330" i="2"/>
  <c r="L323" i="2"/>
  <c r="L319" i="2"/>
  <c r="L330" i="2"/>
  <c r="N330" i="2" s="1"/>
  <c r="M328" i="2"/>
  <c r="L328" i="2"/>
  <c r="M326" i="2"/>
  <c r="L326" i="2"/>
  <c r="N326" i="2" s="1"/>
  <c r="N318" i="2"/>
  <c r="M324" i="2"/>
  <c r="M320" i="2"/>
  <c r="M331" i="2"/>
  <c r="L324" i="2"/>
  <c r="M322" i="2"/>
  <c r="L320" i="2"/>
  <c r="M327" i="2"/>
  <c r="M325" i="2"/>
  <c r="L321" i="2"/>
  <c r="L325" i="2"/>
  <c r="N325" i="2" s="1"/>
  <c r="M329" i="2"/>
  <c r="L329" i="2"/>
  <c r="N329" i="2" s="1"/>
  <c r="L327" i="2"/>
  <c r="N327" i="2" s="1"/>
  <c r="L322" i="2"/>
  <c r="N322" i="2" s="1"/>
  <c r="M323" i="2"/>
  <c r="L331" i="2"/>
  <c r="M319" i="2"/>
  <c r="M321" i="2"/>
  <c r="N559" i="2"/>
  <c r="N29" i="2" s="1"/>
  <c r="M561" i="2"/>
  <c r="M560" i="2" s="1"/>
  <c r="N557" i="2"/>
  <c r="H232" i="2"/>
  <c r="I232" i="2" s="1"/>
  <c r="I219" i="2"/>
  <c r="I228" i="2"/>
  <c r="N240" i="2"/>
  <c r="I229" i="2"/>
  <c r="G407" i="2"/>
  <c r="I407" i="2" s="1"/>
  <c r="H403" i="2"/>
  <c r="G403" i="2"/>
  <c r="I403" i="2" s="1"/>
  <c r="H408" i="2"/>
  <c r="G408" i="2"/>
  <c r="I408" i="2" s="1"/>
  <c r="H404" i="2"/>
  <c r="G386" i="2"/>
  <c r="G404" i="2"/>
  <c r="G400" i="2"/>
  <c r="G405" i="2"/>
  <c r="H406" i="2"/>
  <c r="H402" i="2"/>
  <c r="H405" i="2"/>
  <c r="H407" i="2"/>
  <c r="G402" i="2"/>
  <c r="G406" i="2"/>
  <c r="I406" i="2" s="1"/>
  <c r="I226" i="2"/>
  <c r="N244" i="2"/>
  <c r="N235" i="2"/>
  <c r="M248" i="2"/>
  <c r="O234" i="2" s="1"/>
  <c r="N248" i="2" s="1"/>
  <c r="N242" i="2"/>
  <c r="L491" i="2"/>
  <c r="J491" i="2"/>
  <c r="M39" i="2"/>
  <c r="G198" i="2"/>
  <c r="H198" i="2" s="1"/>
  <c r="N209" i="2"/>
  <c r="H309" i="2"/>
  <c r="H316" i="2"/>
  <c r="G309" i="2"/>
  <c r="I309" i="2" s="1"/>
  <c r="H319" i="2"/>
  <c r="G316" i="2"/>
  <c r="I316" i="2" s="1"/>
  <c r="I307" i="2"/>
  <c r="G319" i="2"/>
  <c r="I319" i="2" s="1"/>
  <c r="H314" i="2"/>
  <c r="G314" i="2"/>
  <c r="I314" i="2" s="1"/>
  <c r="H312" i="2"/>
  <c r="G312" i="2"/>
  <c r="I312" i="2" s="1"/>
  <c r="H318" i="2"/>
  <c r="H310" i="2"/>
  <c r="G317" i="2"/>
  <c r="G315" i="2"/>
  <c r="H315" i="2"/>
  <c r="H320" i="2"/>
  <c r="H311" i="2"/>
  <c r="G320" i="2"/>
  <c r="I320" i="2" s="1"/>
  <c r="G311" i="2"/>
  <c r="I311" i="2" s="1"/>
  <c r="G310" i="2"/>
  <c r="H317" i="2"/>
  <c r="G313" i="2"/>
  <c r="H308" i="2"/>
  <c r="G308" i="2"/>
  <c r="H313" i="2"/>
  <c r="G318" i="2"/>
  <c r="N236" i="2"/>
  <c r="N207" i="2"/>
  <c r="G247" i="2"/>
  <c r="I247" i="2" s="1"/>
  <c r="G239" i="2"/>
  <c r="I239" i="2" s="1"/>
  <c r="G244" i="2"/>
  <c r="I244" i="2" s="1"/>
  <c r="G236" i="2"/>
  <c r="I236" i="2" s="1"/>
  <c r="G241" i="2"/>
  <c r="I241" i="2" s="1"/>
  <c r="G246" i="2"/>
  <c r="I246" i="2" s="1"/>
  <c r="G242" i="2"/>
  <c r="I242" i="2" s="1"/>
  <c r="G237" i="2"/>
  <c r="I237" i="2" s="1"/>
  <c r="G245" i="2"/>
  <c r="I245" i="2" s="1"/>
  <c r="G238" i="2"/>
  <c r="I238" i="2" s="1"/>
  <c r="G235" i="2"/>
  <c r="I235" i="2" s="1"/>
  <c r="G243" i="2"/>
  <c r="I243" i="2" s="1"/>
  <c r="G240" i="2"/>
  <c r="I240" i="2" s="1"/>
  <c r="N245" i="2"/>
  <c r="N239" i="2"/>
  <c r="N208" i="2"/>
  <c r="N238" i="2"/>
  <c r="N328" i="2" l="1"/>
  <c r="N331" i="2"/>
  <c r="G377" i="2"/>
  <c r="H374" i="2"/>
  <c r="G374" i="2"/>
  <c r="H379" i="2"/>
  <c r="G379" i="2"/>
  <c r="I379" i="2" s="1"/>
  <c r="I373" i="2"/>
  <c r="H381" i="2"/>
  <c r="G381" i="2"/>
  <c r="H376" i="2"/>
  <c r="G376" i="2"/>
  <c r="I376" i="2" s="1"/>
  <c r="G383" i="2"/>
  <c r="I383" i="2" s="1"/>
  <c r="H380" i="2"/>
  <c r="H375" i="2"/>
  <c r="H382" i="2"/>
  <c r="H377" i="2"/>
  <c r="G382" i="2"/>
  <c r="G375" i="2"/>
  <c r="G380" i="2"/>
  <c r="H378" i="2"/>
  <c r="G378" i="2"/>
  <c r="I378" i="2" s="1"/>
  <c r="N473" i="2"/>
  <c r="N475" i="2" s="1"/>
  <c r="N477" i="2" s="1"/>
  <c r="N479" i="2" s="1"/>
  <c r="N481" i="2" s="1"/>
  <c r="N483" i="2" s="1"/>
  <c r="N485" i="2" s="1"/>
  <c r="N487" i="2" s="1"/>
  <c r="P488" i="2" s="1"/>
  <c r="L511" i="2"/>
  <c r="G120" i="2" s="1"/>
  <c r="V484" i="2"/>
  <c r="I318" i="2"/>
  <c r="H321" i="2"/>
  <c r="J307" i="2" s="1"/>
  <c r="I321" i="2" s="1"/>
  <c r="I308" i="2"/>
  <c r="I313" i="2"/>
  <c r="N319" i="2"/>
  <c r="M332" i="2"/>
  <c r="O318" i="2" s="1"/>
  <c r="N332" i="2" s="1"/>
  <c r="N321" i="2"/>
  <c r="N320" i="2"/>
  <c r="I310" i="2"/>
  <c r="N323" i="2"/>
  <c r="I402" i="2"/>
  <c r="G399" i="2"/>
  <c r="I399" i="2" s="1"/>
  <c r="G396" i="2"/>
  <c r="H389" i="2"/>
  <c r="G389" i="2"/>
  <c r="A384" i="2"/>
  <c r="H391" i="2"/>
  <c r="A389" i="2"/>
  <c r="G391" i="2"/>
  <c r="I391" i="2" s="1"/>
  <c r="H393" i="2"/>
  <c r="A391" i="2"/>
  <c r="A379" i="2"/>
  <c r="H395" i="2"/>
  <c r="G393" i="2"/>
  <c r="G395" i="2"/>
  <c r="A393" i="2"/>
  <c r="A386" i="2"/>
  <c r="A381" i="2"/>
  <c r="H388" i="2"/>
  <c r="O403" i="2"/>
  <c r="H392" i="2"/>
  <c r="A390" i="2"/>
  <c r="G397" i="2"/>
  <c r="I397" i="2" s="1"/>
  <c r="G394" i="2"/>
  <c r="A392" i="2"/>
  <c r="A380" i="2"/>
  <c r="H394" i="2"/>
  <c r="A383" i="2"/>
  <c r="G388" i="2"/>
  <c r="A388" i="2"/>
  <c r="O409" i="2"/>
  <c r="H399" i="2"/>
  <c r="A382" i="2"/>
  <c r="H398" i="2"/>
  <c r="G392" i="2"/>
  <c r="I387" i="2"/>
  <c r="A385" i="2"/>
  <c r="H396" i="2"/>
  <c r="H397" i="2"/>
  <c r="G398" i="2"/>
  <c r="I398" i="2" s="1"/>
  <c r="H390" i="2"/>
  <c r="G390" i="2"/>
  <c r="I390" i="2" s="1"/>
  <c r="A387" i="2"/>
  <c r="N324" i="2"/>
  <c r="I405" i="2"/>
  <c r="I315" i="2"/>
  <c r="I317" i="2"/>
  <c r="N555" i="2"/>
  <c r="N19" i="2" s="1"/>
  <c r="L120" i="2" s="1"/>
  <c r="N25" i="2" s="1"/>
  <c r="I555" i="2"/>
  <c r="I404" i="2"/>
  <c r="L232" i="2"/>
  <c r="L160" i="2"/>
  <c r="I395" i="2" l="1"/>
  <c r="I382" i="2"/>
  <c r="I393" i="2"/>
  <c r="G384" i="2"/>
  <c r="H384" i="2"/>
  <c r="H385" i="2"/>
  <c r="G385" i="2"/>
  <c r="I385" i="2" s="1"/>
  <c r="I394" i="2"/>
  <c r="I381" i="2"/>
  <c r="I396" i="2"/>
  <c r="I380" i="2"/>
  <c r="H386" i="2"/>
  <c r="J373" i="2" s="1"/>
  <c r="I374" i="2"/>
  <c r="A394" i="2"/>
  <c r="C394" i="2" s="1"/>
  <c r="M157" i="2"/>
  <c r="L145" i="2"/>
  <c r="L159" i="2"/>
  <c r="L155" i="2"/>
  <c r="L150" i="2"/>
  <c r="M147" i="2"/>
  <c r="M152" i="2"/>
  <c r="L147" i="2"/>
  <c r="N147" i="2" s="1"/>
  <c r="L152" i="2"/>
  <c r="N152" i="2" s="1"/>
  <c r="N144" i="2"/>
  <c r="N120" i="2" s="1"/>
  <c r="K120" i="2" s="1"/>
  <c r="M158" i="2"/>
  <c r="M156" i="2"/>
  <c r="M154" i="2"/>
  <c r="M149" i="2"/>
  <c r="M151" i="2"/>
  <c r="L156" i="2"/>
  <c r="N156" i="2" s="1"/>
  <c r="M146" i="2"/>
  <c r="L146" i="2"/>
  <c r="N146" i="2" s="1"/>
  <c r="L151" i="2"/>
  <c r="M153" i="2"/>
  <c r="M148" i="2"/>
  <c r="L157" i="2"/>
  <c r="L153" i="2"/>
  <c r="L148" i="2"/>
  <c r="M159" i="2"/>
  <c r="L158" i="2"/>
  <c r="M145" i="2"/>
  <c r="N145" i="2" s="1"/>
  <c r="L193" i="2"/>
  <c r="L154" i="2"/>
  <c r="L149" i="2"/>
  <c r="M155" i="2"/>
  <c r="M150" i="2"/>
  <c r="I389" i="2"/>
  <c r="M229" i="2"/>
  <c r="L229" i="2"/>
  <c r="L263" i="2"/>
  <c r="L231" i="2"/>
  <c r="M223" i="2"/>
  <c r="L219" i="2"/>
  <c r="M231" i="2"/>
  <c r="M224" i="2"/>
  <c r="M227" i="2"/>
  <c r="L224" i="2"/>
  <c r="N224" i="2" s="1"/>
  <c r="M221" i="2"/>
  <c r="L227" i="2"/>
  <c r="N227" i="2" s="1"/>
  <c r="L221" i="2"/>
  <c r="N221" i="2" s="1"/>
  <c r="N218" i="2"/>
  <c r="I120" i="2" s="1"/>
  <c r="M230" i="2"/>
  <c r="L230" i="2"/>
  <c r="N230" i="2" s="1"/>
  <c r="M222" i="2"/>
  <c r="L226" i="2"/>
  <c r="M219" i="2"/>
  <c r="N219" i="2" s="1"/>
  <c r="L222" i="2"/>
  <c r="M228" i="2"/>
  <c r="L225" i="2"/>
  <c r="L228" i="2"/>
  <c r="N228" i="2" s="1"/>
  <c r="M220" i="2"/>
  <c r="M226" i="2"/>
  <c r="L220" i="2"/>
  <c r="N220" i="2" s="1"/>
  <c r="M225" i="2"/>
  <c r="L223" i="2"/>
  <c r="N223" i="2" s="1"/>
  <c r="I392" i="2"/>
  <c r="H400" i="2"/>
  <c r="J387" i="2" s="1"/>
  <c r="I388" i="2"/>
  <c r="I409" i="2"/>
  <c r="H66" i="2" s="1"/>
  <c r="O491" i="2"/>
  <c r="N118" i="2"/>
  <c r="N27" i="2" s="1"/>
  <c r="I375" i="2"/>
  <c r="I377" i="2"/>
  <c r="N149" i="2" l="1"/>
  <c r="N155" i="2"/>
  <c r="N226" i="2"/>
  <c r="N229" i="2"/>
  <c r="N151" i="2"/>
  <c r="N159" i="2"/>
  <c r="N154" i="2"/>
  <c r="N148" i="2"/>
  <c r="M258" i="2"/>
  <c r="L258" i="2"/>
  <c r="M250" i="2"/>
  <c r="M256" i="2"/>
  <c r="L250" i="2"/>
  <c r="L256" i="2"/>
  <c r="N256" i="2" s="1"/>
  <c r="M254" i="2"/>
  <c r="L254" i="2"/>
  <c r="N254" i="2" s="1"/>
  <c r="N249" i="2"/>
  <c r="M261" i="2"/>
  <c r="L261" i="2"/>
  <c r="N261" i="2" s="1"/>
  <c r="M259" i="2"/>
  <c r="L260" i="2"/>
  <c r="N260" i="2" s="1"/>
  <c r="L257" i="2"/>
  <c r="M253" i="2"/>
  <c r="L253" i="2"/>
  <c r="N253" i="2" s="1"/>
  <c r="L259" i="2"/>
  <c r="M262" i="2"/>
  <c r="M252" i="2"/>
  <c r="L262" i="2"/>
  <c r="N262" i="2" s="1"/>
  <c r="L252" i="2"/>
  <c r="N252" i="2" s="1"/>
  <c r="M251" i="2"/>
  <c r="M257" i="2"/>
  <c r="L251" i="2"/>
  <c r="N251" i="2" s="1"/>
  <c r="M260" i="2"/>
  <c r="M255" i="2"/>
  <c r="L255" i="2"/>
  <c r="N255" i="2" s="1"/>
  <c r="M408" i="2"/>
  <c r="L408" i="2"/>
  <c r="N408" i="2" s="1"/>
  <c r="M404" i="2"/>
  <c r="M400" i="2"/>
  <c r="L404" i="2"/>
  <c r="L409" i="2" s="1"/>
  <c r="N409" i="2" s="1"/>
  <c r="L400" i="2"/>
  <c r="M398" i="2"/>
  <c r="L398" i="2"/>
  <c r="L403" i="2" s="1"/>
  <c r="N403" i="2" s="1"/>
  <c r="M405" i="2"/>
  <c r="M401" i="2"/>
  <c r="L406" i="2"/>
  <c r="L402" i="2"/>
  <c r="L407" i="2"/>
  <c r="L399" i="2"/>
  <c r="M407" i="2"/>
  <c r="M402" i="2"/>
  <c r="M399" i="2"/>
  <c r="L401" i="2"/>
  <c r="L405" i="2"/>
  <c r="M406" i="2"/>
  <c r="L43" i="2"/>
  <c r="I123" i="2"/>
  <c r="J400" i="2"/>
  <c r="I400" i="2"/>
  <c r="J386" i="2"/>
  <c r="H65" i="2" s="1"/>
  <c r="I386" i="2"/>
  <c r="C395" i="2"/>
  <c r="N158" i="2"/>
  <c r="M160" i="2"/>
  <c r="M184" i="2"/>
  <c r="L182" i="2"/>
  <c r="M191" i="2"/>
  <c r="L191" i="2"/>
  <c r="N191" i="2" s="1"/>
  <c r="M189" i="2"/>
  <c r="M187" i="2"/>
  <c r="L189" i="2"/>
  <c r="L187" i="2"/>
  <c r="M185" i="2"/>
  <c r="L184" i="2"/>
  <c r="M181" i="2"/>
  <c r="M188" i="2"/>
  <c r="L183" i="2"/>
  <c r="L185" i="2"/>
  <c r="N185" i="2" s="1"/>
  <c r="L181" i="2"/>
  <c r="N181" i="2" s="1"/>
  <c r="N179" i="2"/>
  <c r="M186" i="2"/>
  <c r="M192" i="2"/>
  <c r="L186" i="2"/>
  <c r="N186" i="2" s="1"/>
  <c r="M183" i="2"/>
  <c r="L192" i="2"/>
  <c r="N192" i="2" s="1"/>
  <c r="M180" i="2"/>
  <c r="L180" i="2"/>
  <c r="L188" i="2"/>
  <c r="M190" i="2"/>
  <c r="L190" i="2"/>
  <c r="N190" i="2" s="1"/>
  <c r="M182" i="2"/>
  <c r="N225" i="2"/>
  <c r="M232" i="2"/>
  <c r="O218" i="2" s="1"/>
  <c r="N232" i="2" s="1"/>
  <c r="N153" i="2"/>
  <c r="N157" i="2"/>
  <c r="N222" i="2"/>
  <c r="N231" i="2"/>
  <c r="N150" i="2"/>
  <c r="I384" i="2"/>
  <c r="N401" i="2" l="1"/>
  <c r="N405" i="2"/>
  <c r="N257" i="2"/>
  <c r="N182" i="2"/>
  <c r="N187" i="2"/>
  <c r="N188" i="2"/>
  <c r="N189" i="2"/>
  <c r="N406" i="2"/>
  <c r="M193" i="2"/>
  <c r="N404" i="2"/>
  <c r="M409" i="2"/>
  <c r="M263" i="2"/>
  <c r="O249" i="2" s="1"/>
  <c r="N263" i="2" s="1"/>
  <c r="N407" i="2"/>
  <c r="N180" i="2"/>
  <c r="O144" i="2"/>
  <c r="N160" i="2" s="1"/>
  <c r="O160" i="2"/>
  <c r="N402" i="2"/>
  <c r="N250" i="2"/>
  <c r="N183" i="2"/>
  <c r="N184" i="2"/>
  <c r="N398" i="2"/>
  <c r="M403" i="2"/>
  <c r="N258" i="2"/>
  <c r="N399" i="2"/>
  <c r="G138" i="2"/>
  <c r="H130" i="2"/>
  <c r="H135" i="2"/>
  <c r="H127" i="2"/>
  <c r="G135" i="2"/>
  <c r="I135" i="2" s="1"/>
  <c r="G127" i="2"/>
  <c r="I127" i="2" s="1"/>
  <c r="H132" i="2"/>
  <c r="H124" i="2"/>
  <c r="G132" i="2"/>
  <c r="G124" i="2"/>
  <c r="H137" i="2"/>
  <c r="H129" i="2"/>
  <c r="N163" i="2"/>
  <c r="G137" i="2"/>
  <c r="G129" i="2"/>
  <c r="N123" i="2"/>
  <c r="N119" i="2" s="1"/>
  <c r="K119" i="2" s="1"/>
  <c r="G131" i="2"/>
  <c r="H139" i="2"/>
  <c r="H128" i="2"/>
  <c r="G139" i="2"/>
  <c r="I139" i="2" s="1"/>
  <c r="G128" i="2"/>
  <c r="I128" i="2" s="1"/>
  <c r="H131" i="2"/>
  <c r="H133" i="2"/>
  <c r="G136" i="2"/>
  <c r="H138" i="2"/>
  <c r="G133" i="2"/>
  <c r="H126" i="2"/>
  <c r="G126" i="2"/>
  <c r="H125" i="2"/>
  <c r="G140" i="2"/>
  <c r="H136" i="2"/>
  <c r="G125" i="2"/>
  <c r="H134" i="2"/>
  <c r="H140" i="2"/>
  <c r="G134" i="2"/>
  <c r="I134" i="2" s="1"/>
  <c r="O349" i="2"/>
  <c r="G130" i="2"/>
  <c r="I130" i="2" s="1"/>
  <c r="N400" i="2"/>
  <c r="N259" i="2"/>
  <c r="I126" i="2" l="1"/>
  <c r="I133" i="2"/>
  <c r="I132" i="2"/>
  <c r="I129" i="2"/>
  <c r="I140" i="2"/>
  <c r="I137" i="2"/>
  <c r="L167" i="2" s="1"/>
  <c r="I124" i="2"/>
  <c r="I131" i="2"/>
  <c r="I138" i="2"/>
  <c r="O179" i="2"/>
  <c r="N193" i="2" s="1"/>
  <c r="O193" i="2"/>
  <c r="I136" i="2"/>
  <c r="I125" i="2"/>
  <c r="I142" i="2" l="1"/>
  <c r="H164" i="2" l="1"/>
  <c r="H153" i="2"/>
  <c r="H148" i="2"/>
  <c r="H175" i="2"/>
  <c r="I175" i="2" s="1"/>
  <c r="H145" i="2"/>
  <c r="H167" i="2"/>
  <c r="G145" i="2"/>
  <c r="H172" i="2"/>
  <c r="I172" i="2" s="1"/>
  <c r="H170" i="2"/>
  <c r="G167" i="2"/>
  <c r="I167" i="2" s="1"/>
  <c r="H155" i="2"/>
  <c r="H150" i="2"/>
  <c r="G170" i="2"/>
  <c r="I170" i="2" s="1"/>
  <c r="G155" i="2"/>
  <c r="I155" i="2" s="1"/>
  <c r="G150" i="2"/>
  <c r="I150" i="2" s="1"/>
  <c r="H165" i="2"/>
  <c r="H147" i="2"/>
  <c r="G178" i="2"/>
  <c r="G165" i="2"/>
  <c r="H152" i="2"/>
  <c r="G147" i="2"/>
  <c r="I147" i="2" s="1"/>
  <c r="H171" i="2"/>
  <c r="I171" i="2" s="1"/>
  <c r="G158" i="2"/>
  <c r="N121" i="2" s="1"/>
  <c r="K121" i="2" s="1"/>
  <c r="G156" i="2"/>
  <c r="I156" i="2" s="1"/>
  <c r="G154" i="2"/>
  <c r="G149" i="2"/>
  <c r="G168" i="2"/>
  <c r="H149" i="2"/>
  <c r="N117" i="2"/>
  <c r="K117" i="2" s="1"/>
  <c r="N31" i="2" s="1"/>
  <c r="L137" i="2" s="1"/>
  <c r="H154" i="2"/>
  <c r="H174" i="2"/>
  <c r="I174" i="2" s="1"/>
  <c r="H173" i="2"/>
  <c r="I173" i="2" s="1"/>
  <c r="H151" i="2"/>
  <c r="G153" i="2"/>
  <c r="I153" i="2" s="1"/>
  <c r="G148" i="2"/>
  <c r="I148" i="2" s="1"/>
  <c r="G152" i="2"/>
  <c r="I152" i="2" s="1"/>
  <c r="H156" i="2"/>
  <c r="H146" i="2"/>
  <c r="G146" i="2"/>
  <c r="I146" i="2" s="1"/>
  <c r="H169" i="2"/>
  <c r="G169" i="2"/>
  <c r="I169" i="2" s="1"/>
  <c r="G151" i="2"/>
  <c r="I151" i="2" s="1"/>
  <c r="H176" i="2"/>
  <c r="I176" i="2" s="1"/>
  <c r="H166" i="2"/>
  <c r="G166" i="2"/>
  <c r="I166" i="2" s="1"/>
  <c r="G164" i="2"/>
  <c r="H168" i="2"/>
  <c r="I149" i="2" l="1"/>
  <c r="I168" i="2"/>
  <c r="I154" i="2"/>
  <c r="I145" i="2"/>
  <c r="H158" i="2"/>
  <c r="I158" i="2" s="1"/>
  <c r="L175" i="2"/>
  <c r="M167" i="2"/>
  <c r="N167" i="2" s="1"/>
  <c r="L135" i="2"/>
  <c r="L127" i="2"/>
  <c r="N127" i="2" s="1"/>
  <c r="L172" i="2"/>
  <c r="N172" i="2" s="1"/>
  <c r="L170" i="2"/>
  <c r="N170" i="2" s="1"/>
  <c r="L132" i="2"/>
  <c r="L124" i="2"/>
  <c r="M165" i="2"/>
  <c r="N165" i="2" s="1"/>
  <c r="M129" i="2"/>
  <c r="L129" i="2"/>
  <c r="M174" i="2"/>
  <c r="M168" i="2"/>
  <c r="M134" i="2"/>
  <c r="M126" i="2"/>
  <c r="L174" i="2"/>
  <c r="L168" i="2"/>
  <c r="N168" i="2" s="1"/>
  <c r="L134" i="2"/>
  <c r="N134" i="2" s="1"/>
  <c r="L126" i="2"/>
  <c r="N126" i="2" s="1"/>
  <c r="M131" i="2"/>
  <c r="M173" i="2"/>
  <c r="M169" i="2"/>
  <c r="M133" i="2"/>
  <c r="M125" i="2"/>
  <c r="M175" i="2"/>
  <c r="L133" i="2"/>
  <c r="N133" i="2" s="1"/>
  <c r="L125" i="2"/>
  <c r="N125" i="2" s="1"/>
  <c r="L130" i="2"/>
  <c r="L173" i="2"/>
  <c r="L131" i="2"/>
  <c r="M136" i="2"/>
  <c r="M170" i="2"/>
  <c r="M127" i="2"/>
  <c r="M164" i="2"/>
  <c r="M130" i="2"/>
  <c r="M172" i="2"/>
  <c r="L164" i="2"/>
  <c r="M132" i="2"/>
  <c r="L136" i="2"/>
  <c r="N136" i="2" s="1"/>
  <c r="L169" i="2"/>
  <c r="N169" i="2" s="1"/>
  <c r="M176" i="2"/>
  <c r="M166" i="2"/>
  <c r="M135" i="2"/>
  <c r="L128" i="2"/>
  <c r="L176" i="2"/>
  <c r="M171" i="2"/>
  <c r="L166" i="2"/>
  <c r="M124" i="2"/>
  <c r="L171" i="2"/>
  <c r="N171" i="2" s="1"/>
  <c r="M128" i="2"/>
  <c r="I165" i="2"/>
  <c r="H178" i="2"/>
  <c r="I178" i="2" s="1"/>
  <c r="I164" i="2"/>
  <c r="N129" i="2" l="1"/>
  <c r="N132" i="2"/>
  <c r="N128" i="2"/>
  <c r="N130" i="2"/>
  <c r="N135" i="2"/>
  <c r="N175" i="2"/>
  <c r="N124" i="2"/>
  <c r="M137" i="2"/>
  <c r="O123" i="2" s="1"/>
  <c r="N137" i="2" s="1"/>
  <c r="M178" i="2"/>
  <c r="O163" i="2" s="1"/>
  <c r="N178" i="2" s="1"/>
  <c r="N164" i="2"/>
  <c r="N174" i="2"/>
  <c r="N166" i="2"/>
  <c r="N131" i="2"/>
  <c r="N176" i="2"/>
  <c r="N17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N36" authorId="0" shapeId="0" xr:uid="{00000000-0006-0000-0000-000001000000}">
      <text>
        <r>
          <rPr>
            <sz val="10"/>
            <color rgb="FF000000"/>
            <rFont val="Arial"/>
            <scheme val="minor"/>
          </rPr>
          <t>1,840VA</t>
        </r>
      </text>
    </comment>
    <comment ref="N37" authorId="0" shapeId="0" xr:uid="{00000000-0006-0000-0000-000002000000}">
      <text>
        <r>
          <rPr>
            <sz val="10"/>
            <color rgb="FF000000"/>
            <rFont val="Arial"/>
            <scheme val="minor"/>
          </rPr>
          <t xml:space="preserve">1,840VA
</t>
        </r>
      </text>
    </comment>
    <comment ref="Q37" authorId="0" shapeId="0" xr:uid="{00000000-0006-0000-0000-000003000000}">
      <text>
        <r>
          <rPr>
            <sz val="10"/>
            <color rgb="FF000000"/>
            <rFont val="Arial"/>
            <scheme val="minor"/>
          </rPr>
          <t>2,230VA</t>
        </r>
      </text>
    </comment>
    <comment ref="N38" authorId="0" shapeId="0" xr:uid="{00000000-0006-0000-0000-000004000000}">
      <text>
        <r>
          <rPr>
            <sz val="10"/>
            <color rgb="FF000000"/>
            <rFont val="Arial"/>
            <scheme val="minor"/>
          </rPr>
          <t>2,850VA</t>
        </r>
      </text>
    </comment>
    <comment ref="Q38" authorId="0" shapeId="0" xr:uid="{00000000-0006-0000-0000-000005000000}">
      <text>
        <r>
          <rPr>
            <sz val="10"/>
            <color rgb="FF000000"/>
            <rFont val="Arial"/>
            <scheme val="minor"/>
          </rPr>
          <t xml:space="preserve">3,100VA
</t>
        </r>
      </text>
    </comment>
    <comment ref="N39" authorId="0" shapeId="0" xr:uid="{00000000-0006-0000-0000-000006000000}">
      <text>
        <r>
          <rPr>
            <sz val="10"/>
            <color rgb="FF000000"/>
            <rFont val="Arial"/>
            <scheme val="minor"/>
          </rPr>
          <t xml:space="preserve">3,600VA
</t>
        </r>
      </text>
    </comment>
    <comment ref="Q39" authorId="0" shapeId="0" xr:uid="{00000000-0006-0000-0000-000007000000}">
      <text>
        <r>
          <rPr>
            <sz val="10"/>
            <color rgb="FF000000"/>
            <rFont val="Arial"/>
            <scheme val="minor"/>
          </rPr>
          <t>3,496VA</t>
        </r>
      </text>
    </comment>
    <comment ref="N40" authorId="0" shapeId="0" xr:uid="{00000000-0006-0000-0000-000008000000}">
      <text>
        <r>
          <rPr>
            <sz val="10"/>
            <color rgb="FF000000"/>
            <rFont val="Arial"/>
            <scheme val="minor"/>
          </rPr>
          <t xml:space="preserve">4,275VA
</t>
        </r>
      </text>
    </comment>
    <comment ref="Q40" authorId="0" shapeId="0" xr:uid="{00000000-0006-0000-0000-000009000000}">
      <text>
        <r>
          <rPr>
            <sz val="10"/>
            <color rgb="FF000000"/>
            <rFont val="Arial"/>
            <scheme val="minor"/>
          </rPr>
          <t>4,370VA</t>
        </r>
      </text>
    </comment>
    <comment ref="N41" authorId="0" shapeId="0" xr:uid="{00000000-0006-0000-0000-00000A000000}">
      <text>
        <r>
          <rPr>
            <sz val="10"/>
            <color rgb="FF000000"/>
            <rFont val="Arial"/>
            <scheme val="minor"/>
          </rPr>
          <t>5,000VA</t>
        </r>
      </text>
    </comment>
    <comment ref="Q41" authorId="0" shapeId="0" xr:uid="{00000000-0006-0000-0000-00000B000000}">
      <text>
        <r>
          <rPr>
            <sz val="10"/>
            <color rgb="FF000000"/>
            <rFont val="Arial"/>
            <scheme val="minor"/>
          </rPr>
          <t>5,152VA</t>
        </r>
      </text>
    </comment>
    <comment ref="N42" authorId="0" shapeId="0" xr:uid="{00000000-0006-0000-0000-00000C000000}">
      <text>
        <r>
          <rPr>
            <sz val="10"/>
            <color rgb="FF000000"/>
            <rFont val="Arial"/>
            <scheme val="minor"/>
          </rPr>
          <t>5,700VA</t>
        </r>
      </text>
    </comment>
    <comment ref="Q42" authorId="0" shapeId="0" xr:uid="{00000000-0006-0000-0000-00000D000000}">
      <text>
        <r>
          <rPr>
            <sz val="10"/>
            <color rgb="FF000000"/>
            <rFont val="Arial"/>
            <scheme val="minor"/>
          </rPr>
          <t>5,313VA</t>
        </r>
      </text>
    </comment>
    <comment ref="N43" authorId="0" shapeId="0" xr:uid="{00000000-0006-0000-0000-00000E000000}">
      <text>
        <r>
          <rPr>
            <sz val="10"/>
            <color rgb="FF000000"/>
            <rFont val="Arial"/>
            <scheme val="minor"/>
          </rPr>
          <t>7,130VA</t>
        </r>
      </text>
    </comment>
    <comment ref="Q43" authorId="0" shapeId="0" xr:uid="{00000000-0006-0000-0000-00000F000000}">
      <text>
        <r>
          <rPr>
            <sz val="10"/>
            <color rgb="FF000000"/>
            <rFont val="Arial"/>
            <scheme val="minor"/>
          </rPr>
          <t>6,371VA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scheme val="minor"/>
          </rPr>
          <t>Check this box and change from standard method to optional</t>
        </r>
      </text>
    </comment>
    <comment ref="L2" authorId="0" shapeId="0" xr:uid="{00000000-0006-0000-0100-000002000000}">
      <text>
        <r>
          <rPr>
            <sz val="10"/>
            <color rgb="FF000000"/>
            <rFont val="Arial"/>
            <scheme val="minor"/>
          </rPr>
          <t xml:space="preserve">Enter Job 
Name Here
</t>
        </r>
      </text>
    </comment>
    <comment ref="D4" authorId="0" shapeId="0" xr:uid="{00000000-0006-0000-0100-000003000000}">
      <text>
        <r>
          <rPr>
            <sz val="10"/>
            <color rgb="FF000000"/>
            <rFont val="Arial"/>
            <scheme val="minor"/>
          </rPr>
          <t xml:space="preserve">General Lighting.     The demand factors listed in Table 220.42 {220.82(1) for optional method} shall apply to that portion of the total branch-circuit load computed for general illumination. They shall not be applied in determining the number of branch circuits for general illumination. </t>
        </r>
      </text>
    </comment>
    <comment ref="E5" authorId="0" shapeId="0" xr:uid="{00000000-0006-0000-0100-000004000000}">
      <text>
        <r>
          <rPr>
            <sz val="10"/>
            <color rgb="FF000000"/>
            <rFont val="Arial"/>
            <scheme val="minor"/>
          </rPr>
          <t xml:space="preserve">Enter the dwelling square foot or sq meter area
</t>
        </r>
      </text>
    </comment>
    <comment ref="H5" authorId="0" shapeId="0" xr:uid="{00000000-0006-0000-0100-000005000000}">
      <text>
        <r>
          <rPr>
            <sz val="10"/>
            <color rgb="FF000000"/>
            <rFont val="Arial"/>
            <scheme val="minor"/>
          </rPr>
          <t>220.12 Lighting Load for Dwelling Unit(s). A unit load of not less than 3 VA shall constitute the minimum lighting load for each square foot of floor area.</t>
        </r>
      </text>
    </comment>
    <comment ref="H6" authorId="0" shapeId="0" xr:uid="{00000000-0006-0000-0100-000006000000}">
      <text>
        <r>
          <rPr>
            <sz val="10"/>
            <color rgb="FF000000"/>
            <rFont val="Arial"/>
            <scheme val="minor"/>
          </rPr>
          <t xml:space="preserve">220.52(A) ... the  load shall be computed at 1500 VA for each 2-wire small appliance branch circuit required by 210-11(C)(1) ...
</t>
        </r>
      </text>
    </comment>
    <comment ref="H7" authorId="0" shapeId="0" xr:uid="{00000000-0006-0000-0100-000007000000}">
      <text>
        <r>
          <rPr>
            <sz val="10"/>
            <color rgb="FF000000"/>
            <rFont val="Arial"/>
            <scheme val="minor"/>
          </rPr>
          <t>220.52(B) A  load not less than 1500 VA for each 2-wire laundry  branch circuit installed as covered by 210-11(C)(2) ...</t>
        </r>
      </text>
    </comment>
    <comment ref="H8" authorId="0" shapeId="0" xr:uid="{00000000-0006-0000-0100-000008000000}">
      <text>
        <r>
          <rPr>
            <sz val="10"/>
            <color rgb="FF000000"/>
            <rFont val="Arial"/>
            <scheme val="minor"/>
          </rPr>
          <t>This is the sum total of (1) General Lighting {living area times min requiuired VA} (2) each small appliance circuit @ 1500VA each (3) each laundry circuit @ 1500VA.</t>
        </r>
      </text>
    </comment>
    <comment ref="J9" authorId="0" shapeId="0" xr:uid="{00000000-0006-0000-0100-000009000000}">
      <text>
        <r>
          <rPr>
            <sz val="10"/>
            <color rgb="FF000000"/>
            <rFont val="Arial"/>
            <scheme val="minor"/>
          </rPr>
          <t>First 3000VA @ 100% demand</t>
        </r>
      </text>
    </comment>
    <comment ref="J10" authorId="0" shapeId="0" xr:uid="{00000000-0006-0000-0100-00000A000000}">
      <text>
        <r>
          <rPr>
            <sz val="10"/>
            <color rgb="FF000000"/>
            <rFont val="Arial"/>
            <scheme val="minor"/>
          </rPr>
          <t>Next 117,000VA @ 35% demand</t>
        </r>
      </text>
    </comment>
    <comment ref="J11" authorId="0" shapeId="0" xr:uid="{00000000-0006-0000-0100-00000B000000}">
      <text>
        <r>
          <rPr>
            <sz val="10"/>
            <color rgb="FF000000"/>
            <rFont val="Arial"/>
            <scheme val="minor"/>
          </rPr>
          <t>Remainder @ 25% demand</t>
        </r>
      </text>
    </comment>
    <comment ref="I13" authorId="0" shapeId="0" xr:uid="{00000000-0006-0000-0100-00000C000000}">
      <text>
        <r>
          <rPr>
            <sz val="10"/>
            <color rgb="FF000000"/>
            <rFont val="Arial"/>
            <scheme val="minor"/>
          </rPr>
          <t>Select the quantity for multiple units</t>
        </r>
      </text>
    </comment>
    <comment ref="E14" authorId="0" shapeId="0" xr:uid="{00000000-0006-0000-0100-00000D000000}">
      <text>
        <r>
          <rPr>
            <sz val="10"/>
            <color rgb="FF000000"/>
            <rFont val="Arial"/>
            <scheme val="minor"/>
          </rPr>
          <t xml:space="preserve">Select tonage for A/C from drop down box.
</t>
        </r>
      </text>
    </comment>
    <comment ref="H14" authorId="0" shapeId="0" xr:uid="{00000000-0006-0000-0100-00000E000000}">
      <text>
        <r>
          <rPr>
            <sz val="10"/>
            <color rgb="FF000000"/>
            <rFont val="Arial"/>
            <scheme val="minor"/>
          </rPr>
          <t>This is a total of strip heat and blower load @ 100%
Select for multiple units drop down box on right.</t>
        </r>
      </text>
    </comment>
    <comment ref="L14" authorId="0" shapeId="0" xr:uid="{00000000-0006-0000-0100-00000F000000}">
      <text>
        <r>
          <rPr>
            <sz val="10"/>
            <color rgb="FF000000"/>
            <rFont val="Arial"/>
            <scheme val="minor"/>
          </rPr>
          <t>On optional Calulaton with heat pump option heating load = (space heat X demand factor + 100% {fan blower} + 100% {heat pump})
Optional Calc w/ A/C condenser and Electric Space Heat  heating load = (space heat X demand factor + 100% {fan blower})</t>
        </r>
      </text>
    </comment>
    <comment ref="E15" authorId="0" shapeId="0" xr:uid="{00000000-0006-0000-0100-000010000000}">
      <text>
        <r>
          <rPr>
            <sz val="10"/>
            <color rgb="FF000000"/>
            <rFont val="Arial"/>
            <scheme val="minor"/>
          </rPr>
          <t>Select tonage for A/C from drop down box.</t>
        </r>
      </text>
    </comment>
    <comment ref="H15" authorId="0" shapeId="0" xr:uid="{00000000-0006-0000-0100-000011000000}">
      <text>
        <r>
          <rPr>
            <sz val="10"/>
            <color rgb="FF000000"/>
            <rFont val="Arial"/>
            <scheme val="minor"/>
          </rPr>
          <t>This is a total of strip heat and blower load @ 100%
Select for multiple units drop down box on right.</t>
        </r>
      </text>
    </comment>
    <comment ref="L15" authorId="0" shapeId="0" xr:uid="{00000000-0006-0000-0100-000012000000}">
      <text>
        <r>
          <rPr>
            <sz val="10"/>
            <color rgb="FF000000"/>
            <rFont val="Arial"/>
            <scheme val="minor"/>
          </rPr>
          <t>The blower fan from the AHU is included in this value</t>
        </r>
      </text>
    </comment>
    <comment ref="E16" authorId="0" shapeId="0" xr:uid="{00000000-0006-0000-0100-000013000000}">
      <text>
        <r>
          <rPr>
            <sz val="10"/>
            <color rgb="FF000000"/>
            <rFont val="Arial"/>
            <scheme val="minor"/>
          </rPr>
          <t xml:space="preserve">Select tonage for A/C from drop down box.
</t>
        </r>
      </text>
    </comment>
    <comment ref="H16" authorId="0" shapeId="0" xr:uid="{00000000-0006-0000-0100-000014000000}">
      <text>
        <r>
          <rPr>
            <sz val="10"/>
            <color rgb="FF000000"/>
            <rFont val="Arial"/>
            <scheme val="minor"/>
          </rPr>
          <t>This is a total of strip heat and blower load @ 100%
Select for multiple units drop down box on right.</t>
        </r>
      </text>
    </comment>
    <comment ref="E17" authorId="0" shapeId="0" xr:uid="{00000000-0006-0000-0100-000015000000}">
      <text>
        <r>
          <rPr>
            <sz val="10"/>
            <color rgb="FF000000"/>
            <rFont val="Arial"/>
            <scheme val="minor"/>
          </rPr>
          <t>Select tonage for A/C from drop down box.</t>
        </r>
      </text>
    </comment>
    <comment ref="H17" authorId="0" shapeId="0" xr:uid="{00000000-0006-0000-0100-000016000000}">
      <text>
        <r>
          <rPr>
            <sz val="10"/>
            <color rgb="FF000000"/>
            <rFont val="Arial"/>
            <scheme val="minor"/>
          </rPr>
          <t>This is a total of strip heat and blower load @ 100%
Select for multiple units drop down box on right.</t>
        </r>
      </text>
    </comment>
    <comment ref="E18" authorId="0" shapeId="0" xr:uid="{00000000-0006-0000-0100-000017000000}">
      <text>
        <r>
          <rPr>
            <sz val="10"/>
            <color rgb="FF000000"/>
            <rFont val="Arial"/>
            <scheme val="minor"/>
          </rPr>
          <t xml:space="preserve">Select tonage for A/C from drop down box.
</t>
        </r>
      </text>
    </comment>
    <comment ref="H18" authorId="0" shapeId="0" xr:uid="{00000000-0006-0000-0100-000018000000}">
      <text>
        <r>
          <rPr>
            <sz val="10"/>
            <color rgb="FF000000"/>
            <rFont val="Arial"/>
            <scheme val="minor"/>
          </rPr>
          <t>This is a total of strip heat and blower load @ 100%
Select for multiple units drop down box on right.</t>
        </r>
      </text>
    </comment>
    <comment ref="E19" authorId="0" shapeId="0" xr:uid="{00000000-0006-0000-0100-000019000000}">
      <text>
        <r>
          <rPr>
            <sz val="10"/>
            <color rgb="FF000000"/>
            <rFont val="Arial"/>
            <scheme val="minor"/>
          </rPr>
          <t>Appliance Load - Dwelling Unit(s).    It shall be permissible to apply a demand factor of 75 percent to the nameplate rating of four or more appliances fastened in place, other than electric ranges, clothes dryers, space heating or air-conditioning equipment, that are served by the same feeder in a one family, two family, or multifamily dwelling.</t>
        </r>
      </text>
    </comment>
    <comment ref="N19" authorId="0" shapeId="0" xr:uid="{00000000-0006-0000-0100-00001A000000}">
      <text>
        <r>
          <rPr>
            <sz val="10"/>
            <color rgb="FF000000"/>
            <rFont val="Arial"/>
            <scheme val="minor"/>
          </rPr>
          <t>This is the total after demand of loads in Step 3</t>
        </r>
      </text>
    </comment>
    <comment ref="E20" authorId="0" shapeId="0" xr:uid="{00000000-0006-0000-0100-00001B000000}">
      <text>
        <r>
          <rPr>
            <sz val="10"/>
            <color rgb="FF000000"/>
            <rFont val="Arial"/>
            <scheme val="minor"/>
          </rPr>
          <t>Enter the total number of this appliance`</t>
        </r>
      </text>
    </comment>
    <comment ref="E21" authorId="0" shapeId="0" xr:uid="{00000000-0006-0000-0100-00001C000000}">
      <text>
        <r>
          <rPr>
            <sz val="10"/>
            <color rgb="FF000000"/>
            <rFont val="Arial"/>
            <scheme val="minor"/>
          </rPr>
          <t>Enter the total number of this appliance</t>
        </r>
      </text>
    </comment>
    <comment ref="E22" authorId="0" shapeId="0" xr:uid="{00000000-0006-0000-0100-00001D000000}">
      <text>
        <r>
          <rPr>
            <sz val="10"/>
            <color rgb="FF000000"/>
            <rFont val="Arial"/>
            <scheme val="minor"/>
          </rPr>
          <t>Enter the total number of this appliance</t>
        </r>
      </text>
    </comment>
    <comment ref="E23" authorId="0" shapeId="0" xr:uid="{00000000-0006-0000-0100-00001E000000}">
      <text>
        <r>
          <rPr>
            <sz val="10"/>
            <color rgb="FF000000"/>
            <rFont val="Arial"/>
            <scheme val="minor"/>
          </rPr>
          <t>Enter the total number of this appliance</t>
        </r>
      </text>
    </comment>
    <comment ref="N23" authorId="0" shapeId="0" xr:uid="{00000000-0006-0000-0100-00001F000000}">
      <text>
        <r>
          <rPr>
            <sz val="10"/>
            <color rgb="FF000000"/>
            <rFont val="Arial"/>
            <scheme val="minor"/>
          </rPr>
          <t xml:space="preserve">This is the demand load for Step 5.
</t>
        </r>
      </text>
    </comment>
    <comment ref="E24" authorId="0" shapeId="0" xr:uid="{00000000-0006-0000-0100-000020000000}">
      <text>
        <r>
          <rPr>
            <sz val="10"/>
            <color rgb="FF000000"/>
            <rFont val="Arial"/>
            <scheme val="minor"/>
          </rPr>
          <t>Enter the total number of this appliance</t>
        </r>
      </text>
    </comment>
    <comment ref="W24" authorId="0" shapeId="0" xr:uid="{00000000-0006-0000-0100-000021000000}">
      <text>
        <r>
          <rPr>
            <sz val="10"/>
            <color rgb="FF000000"/>
            <rFont val="Arial"/>
            <scheme val="minor"/>
          </rPr>
          <t xml:space="preserve">heat load x demand factor + blower load @ 100%
</t>
        </r>
      </text>
    </comment>
    <comment ref="E25" authorId="0" shapeId="0" xr:uid="{00000000-0006-0000-0100-000022000000}">
      <text>
        <r>
          <rPr>
            <sz val="10"/>
            <color rgb="FF000000"/>
            <rFont val="Arial"/>
            <scheme val="minor"/>
          </rPr>
          <t>Enter the total number of this appliance</t>
        </r>
      </text>
    </comment>
    <comment ref="E26" authorId="0" shapeId="0" xr:uid="{00000000-0006-0000-0100-000023000000}">
      <text>
        <r>
          <rPr>
            <sz val="10"/>
            <color rgb="FF000000"/>
            <rFont val="Arial"/>
            <scheme val="minor"/>
          </rPr>
          <t>Enter the total number of this appliance</t>
        </r>
      </text>
    </comment>
    <comment ref="E27" authorId="0" shapeId="0" xr:uid="{00000000-0006-0000-0100-000024000000}">
      <text>
        <r>
          <rPr>
            <sz val="10"/>
            <color rgb="FF000000"/>
            <rFont val="Arial"/>
            <scheme val="minor"/>
          </rPr>
          <t>Enter the total number of this appliance
If load is 120v connected, Check box</t>
        </r>
      </text>
    </comment>
    <comment ref="E28" authorId="0" shapeId="0" xr:uid="{00000000-0006-0000-0100-000025000000}">
      <text>
        <r>
          <rPr>
            <sz val="10"/>
            <color rgb="FF000000"/>
            <rFont val="Arial"/>
            <scheme val="minor"/>
          </rPr>
          <t>Enter the total number of this appliance</t>
        </r>
      </text>
    </comment>
    <comment ref="E29" authorId="0" shapeId="0" xr:uid="{00000000-0006-0000-0100-000026000000}">
      <text>
        <r>
          <rPr>
            <sz val="10"/>
            <color rgb="FF000000"/>
            <rFont val="Arial"/>
            <scheme val="minor"/>
          </rPr>
          <t>Enter the total number of this appliance
If load is 120v connected, Check box</t>
        </r>
      </text>
    </comment>
    <comment ref="F29" authorId="0" shapeId="0" xr:uid="{00000000-0006-0000-0100-000027000000}">
      <text>
        <r>
          <rPr>
            <sz val="10"/>
            <color rgb="FF000000"/>
            <rFont val="Arial"/>
            <scheme val="minor"/>
          </rPr>
          <t>Use this space for other appliances or equipment not listed in Steps 4 and 5. Enter a short name and loads on Equipment setup sheet</t>
        </r>
      </text>
    </comment>
    <comment ref="N29" authorId="0" shapeId="0" xr:uid="{00000000-0006-0000-0100-000028000000}">
      <text>
        <r>
          <rPr>
            <sz val="10"/>
            <color rgb="FF000000"/>
            <rFont val="Arial"/>
            <scheme val="minor"/>
          </rPr>
          <t xml:space="preserve">This demand load total has been calculated  according to Article 220-22.
</t>
        </r>
      </text>
    </comment>
    <comment ref="E30" authorId="0" shapeId="0" xr:uid="{00000000-0006-0000-0100-000029000000}">
      <text>
        <r>
          <rPr>
            <sz val="10"/>
            <color rgb="FF000000"/>
            <rFont val="Arial"/>
            <scheme val="minor"/>
          </rPr>
          <t>Enter the total number of this appliance
If load is 120v connected, Check box</t>
        </r>
      </text>
    </comment>
    <comment ref="F30" authorId="0" shapeId="0" xr:uid="{00000000-0006-0000-0100-00002A000000}">
      <text>
        <r>
          <rPr>
            <sz val="10"/>
            <color rgb="FF000000"/>
            <rFont val="Arial"/>
            <scheme val="minor"/>
          </rPr>
          <t>Use this space for other appliances or equipment not listed in Steps 4 and 5. Enter a short name and loads on Equipment setup sheet.</t>
        </r>
      </text>
    </comment>
    <comment ref="E31" authorId="0" shapeId="0" xr:uid="{00000000-0006-0000-0100-00002B000000}">
      <text>
        <r>
          <rPr>
            <sz val="10"/>
            <color rgb="FF000000"/>
            <rFont val="Arial"/>
            <scheme val="minor"/>
          </rPr>
          <t xml:space="preserve">Enter the total number of circuits serving built -in 
Ironing Centers
</t>
        </r>
      </text>
    </comment>
    <comment ref="E32" authorId="0" shapeId="0" xr:uid="{00000000-0006-0000-0100-00002C000000}">
      <text>
        <r>
          <rPr>
            <sz val="10"/>
            <color rgb="FF000000"/>
            <rFont val="Arial"/>
            <scheme val="minor"/>
          </rPr>
          <t>Enter the total number of 3/4 hp motors
If motor is 120v connected, Check box</t>
        </r>
      </text>
    </comment>
    <comment ref="F32" authorId="0" shapeId="0" xr:uid="{00000000-0006-0000-0100-00002D000000}">
      <text>
        <r>
          <rPr>
            <sz val="10"/>
            <color rgb="FF000000"/>
            <rFont val="Arial"/>
            <scheme val="minor"/>
          </rPr>
          <t>Check the box to the left if motor is neutral connected and it shall be included in the demand calculation.</t>
        </r>
      </text>
    </comment>
    <comment ref="F33" authorId="0" shapeId="0" xr:uid="{00000000-0006-0000-0100-00002E000000}">
      <text>
        <r>
          <rPr>
            <sz val="10"/>
            <color rgb="FF000000"/>
            <rFont val="Arial"/>
            <scheme val="minor"/>
          </rPr>
          <t>Check the box to the left if motor is neutral connected and it shall be included in the demand calculation.</t>
        </r>
      </text>
    </comment>
    <comment ref="F34" authorId="0" shapeId="0" xr:uid="{00000000-0006-0000-0100-00002F000000}">
      <text>
        <r>
          <rPr>
            <sz val="10"/>
            <color rgb="FF000000"/>
            <rFont val="Arial"/>
            <scheme val="minor"/>
          </rPr>
          <t>Check the box to the left if motor is neutral connected and it shall be included in the demand calculation.</t>
        </r>
      </text>
    </comment>
    <comment ref="F35" authorId="0" shapeId="0" xr:uid="{00000000-0006-0000-0100-000030000000}">
      <text>
        <r>
          <rPr>
            <sz val="10"/>
            <color rgb="FF000000"/>
            <rFont val="Arial"/>
            <scheme val="minor"/>
          </rPr>
          <t xml:space="preserve">Enter name of other motor load
</t>
        </r>
      </text>
    </comment>
    <comment ref="H35" authorId="0" shapeId="0" xr:uid="{00000000-0006-0000-0100-000031000000}">
      <text>
        <r>
          <rPr>
            <sz val="10"/>
            <color rgb="FF000000"/>
            <rFont val="Arial"/>
            <scheme val="minor"/>
          </rPr>
          <t>Demand Factor for 4 or more appliances will not be applied</t>
        </r>
      </text>
    </comment>
    <comment ref="F36" authorId="0" shapeId="0" xr:uid="{00000000-0006-0000-0100-000032000000}">
      <text>
        <r>
          <rPr>
            <sz val="10"/>
            <color rgb="FF000000"/>
            <rFont val="Arial"/>
            <scheme val="minor"/>
          </rPr>
          <t xml:space="preserve">Enter name of other motor load
</t>
        </r>
      </text>
    </comment>
    <comment ref="H36" authorId="0" shapeId="0" xr:uid="{00000000-0006-0000-0100-000033000000}">
      <text>
        <r>
          <rPr>
            <sz val="10"/>
            <color rgb="FF000000"/>
            <rFont val="Arial"/>
            <scheme val="minor"/>
          </rPr>
          <t>Demand Factor for 4 or more appliances will not be applied</t>
        </r>
      </text>
    </comment>
    <comment ref="F37" authorId="0" shapeId="0" xr:uid="{00000000-0006-0000-0100-000034000000}">
      <text>
        <r>
          <rPr>
            <sz val="10"/>
            <color rgb="FF000000"/>
            <rFont val="Arial"/>
            <scheme val="minor"/>
          </rPr>
          <t>Enter pool equipment or equipment connected to this panel below and the total will be inserted in the cell to the right.</t>
        </r>
      </text>
    </comment>
    <comment ref="H37" authorId="0" shapeId="0" xr:uid="{00000000-0006-0000-0100-000035000000}">
      <text>
        <r>
          <rPr>
            <sz val="10"/>
            <color rgb="FF000000"/>
            <rFont val="Arial"/>
            <scheme val="minor"/>
          </rPr>
          <t>Demand Factor for 4 or more appliances will not be applied</t>
        </r>
      </text>
    </comment>
    <comment ref="E38" authorId="0" shapeId="0" xr:uid="{00000000-0006-0000-0100-000036000000}">
      <text>
        <r>
          <rPr>
            <sz val="10"/>
            <color rgb="FF000000"/>
            <rFont val="Arial"/>
            <scheme val="minor"/>
          </rPr>
          <t>Enter the volt-amperes of this load.
If connected 120v, check box to the left.</t>
        </r>
      </text>
    </comment>
    <comment ref="F38" authorId="0" shapeId="0" xr:uid="{00000000-0006-0000-0100-000037000000}">
      <text>
        <r>
          <rPr>
            <sz val="10"/>
            <color rgb="FF000000"/>
            <rFont val="Arial"/>
            <scheme val="minor"/>
          </rPr>
          <t>Enter the name of load for other appliances or equipment not listed in Steps 4 and 5. Check the box to the right and this load will be computed with the appliance demand factor.</t>
        </r>
      </text>
    </comment>
    <comment ref="E39" authorId="0" shapeId="0" xr:uid="{00000000-0006-0000-0100-000038000000}">
      <text>
        <r>
          <rPr>
            <sz val="10"/>
            <color rgb="FF000000"/>
            <rFont val="Arial"/>
            <scheme val="minor"/>
          </rPr>
          <t xml:space="preserve">Enter the volt-amperes of this load.
 If connected 120v, check box to the left.
</t>
        </r>
      </text>
    </comment>
    <comment ref="F39" authorId="0" shapeId="0" xr:uid="{00000000-0006-0000-0100-000039000000}">
      <text>
        <r>
          <rPr>
            <sz val="10"/>
            <color rgb="FF000000"/>
            <rFont val="Arial"/>
            <scheme val="minor"/>
          </rPr>
          <t>Enter the name of load for other appliances or equipment not listed in Steps 4 and 5. Check the box to the right and this load will be computed with the appliance demand factor.</t>
        </r>
      </text>
    </comment>
    <comment ref="M39" authorId="0" shapeId="0" xr:uid="{00000000-0006-0000-0100-00003A000000}">
      <text>
        <r>
          <rPr>
            <sz val="10"/>
            <color rgb="FF000000"/>
            <rFont val="Arial"/>
            <scheme val="minor"/>
          </rPr>
          <t>This is the total sum load of appliances before demand.</t>
        </r>
      </text>
    </comment>
    <comment ref="N40" authorId="0" shapeId="0" xr:uid="{00000000-0006-0000-0100-00003B000000}">
      <text>
        <r>
          <rPr>
            <sz val="10"/>
            <color rgb="FF000000"/>
            <rFont val="Arial"/>
            <scheme val="minor"/>
          </rPr>
          <t>This is the appliance load after applying the 75% demand and loads of 100% demand in Article 220.53
.</t>
        </r>
      </text>
    </comment>
    <comment ref="E41" authorId="0" shapeId="0" xr:uid="{00000000-0006-0000-0100-00003C000000}">
      <text>
        <r>
          <rPr>
            <sz val="10"/>
            <color rgb="FF000000"/>
            <rFont val="Arial"/>
            <scheme val="minor"/>
          </rPr>
          <t>Electric Clothes Dryers - Dwelling Units.  The load for household electric clothes dryers in dwelling unit(s) shall be 5000 watts (volt-amperes) or the nameplate rating, whichever is larger of each dryer served. NOTE: You may not enter more than the the sum total of 4 dryers.</t>
        </r>
      </text>
    </comment>
    <comment ref="H42" authorId="0" shapeId="0" xr:uid="{00000000-0006-0000-0100-00003D000000}">
      <text>
        <r>
          <rPr>
            <sz val="10"/>
            <color rgb="FF000000"/>
            <rFont val="Arial"/>
            <scheme val="minor"/>
          </rPr>
          <t xml:space="preserve">Do not enter the total VA for more than 4 household electric dryers.
</t>
        </r>
      </text>
    </comment>
    <comment ref="E43" authorId="0" shapeId="0" xr:uid="{00000000-0006-0000-0100-00003E000000}">
      <text>
        <r>
          <rPr>
            <sz val="10"/>
            <color rgb="FF000000"/>
            <rFont val="Arial"/>
            <scheme val="minor"/>
          </rPr>
          <t>Demand Loads for Household Electric Ranges, Wall-mounted Ovens, Counter-mounted Cooking Units, and other Household Cooking Appliances over 1 3/4 kW rating. (Column CA to be used in all cases except as otherwise permitted in Note 3 below.)</t>
        </r>
      </text>
    </comment>
    <comment ref="G44" authorId="0" shapeId="0" xr:uid="{00000000-0006-0000-0100-00003F000000}">
      <text>
        <r>
          <rPr>
            <sz val="10"/>
            <color rgb="FF000000"/>
            <rFont val="Arial"/>
            <scheme val="minor"/>
          </rPr>
          <t>Note: In lieu of inserting this load you may insert the total number of electric ranges and other cooking appliances for a Column 'C' demand in the cell below.</t>
        </r>
      </text>
    </comment>
    <comment ref="J44" authorId="0" shapeId="0" xr:uid="{00000000-0006-0000-0100-000040000000}">
      <text>
        <r>
          <rPr>
            <sz val="10"/>
            <color rgb="FF000000"/>
            <rFont val="Arial"/>
            <scheme val="minor"/>
          </rPr>
          <t>This is the Maximum Column C demand for entries in cell(s) E44 and E45.</t>
        </r>
      </text>
    </comment>
    <comment ref="L45" authorId="0" shapeId="0" xr:uid="{00000000-0006-0000-0100-000041000000}">
      <text>
        <r>
          <rPr>
            <sz val="10"/>
            <color rgb="FF000000"/>
            <rFont val="Arial"/>
            <scheme val="minor"/>
          </rPr>
          <t xml:space="preserve">This space has been provided for you to add personal comments
</t>
        </r>
      </text>
    </comment>
    <comment ref="I50" authorId="0" shapeId="0" xr:uid="{00000000-0006-0000-0100-000042000000}">
      <text>
        <r>
          <rPr>
            <sz val="10"/>
            <color rgb="FF000000"/>
            <rFont val="Arial"/>
            <scheme val="minor"/>
          </rPr>
          <t xml:space="preserve">The number of items above are individually counted
This function does not apply to a Optional Calculation.
</t>
        </r>
      </text>
    </comment>
    <comment ref="K50" authorId="0" shapeId="0" xr:uid="{00000000-0006-0000-0100-000043000000}">
      <text>
        <r>
          <rPr>
            <sz val="10"/>
            <color rgb="FF000000"/>
            <rFont val="Arial"/>
            <scheme val="minor"/>
          </rPr>
          <t xml:space="preserve">Column B Demand Factors: These demand factors are found in Table 220.55.
</t>
        </r>
      </text>
    </comment>
    <comment ref="H55" authorId="0" shapeId="0" xr:uid="{00000000-0006-0000-0100-000044000000}">
      <text>
        <r>
          <rPr>
            <sz val="10"/>
            <color rgb="FF000000"/>
            <rFont val="Arial"/>
            <scheme val="minor"/>
          </rPr>
          <t>This section is for the purpose of having a separate panel usually located at the pool equipment and serving the load you will list in this section.
* Select by dropdown boxes the size of motors based on horsepower. Check the box to the right of the motor if neutral connected. ONLY the largest pump of the group will be calculated @ 125% regardless to the column and the other motors @ 100%. 
* Do not enter loads in step 3 that you are entering here in this panel, this loads will be totaled and shown in the field 'Pool Equip. Panel'.
* Spa and Pool heater in this panel shall be calculated @ 125% as a continuous load.
* Select by dropdown box the pool lighting load based on standard transformer sizes or group of multiple tranformers
*Select spa blower by motor horsepower and
 check box for voltage
* Two spaces are provided for other loads, enter a short description, the volt-amperes 
of each and select the voltage.
The phase and neutralloads will be included in the calculation above.</t>
        </r>
      </text>
    </comment>
    <comment ref="G58" authorId="0" shapeId="0" xr:uid="{00000000-0006-0000-0100-000045000000}">
      <text>
        <r>
          <rPr>
            <sz val="10"/>
            <color rgb="FF000000"/>
            <rFont val="Arial"/>
            <scheme val="minor"/>
          </rPr>
          <t xml:space="preserve">This is a resistive heater
</t>
        </r>
      </text>
    </comment>
    <comment ref="G59" authorId="0" shapeId="0" xr:uid="{00000000-0006-0000-0100-000046000000}">
      <text>
        <r>
          <rPr>
            <sz val="10"/>
            <color rgb="FF000000"/>
            <rFont val="Arial"/>
            <scheme val="minor"/>
          </rPr>
          <t>Enter the total number of 3.5 ton heat pumps</t>
        </r>
      </text>
    </comment>
    <comment ref="G60" authorId="0" shapeId="0" xr:uid="{00000000-0006-0000-0100-000047000000}">
      <text>
        <r>
          <rPr>
            <sz val="10"/>
            <color rgb="FF000000"/>
            <rFont val="Arial"/>
            <scheme val="minor"/>
          </rPr>
          <t>Enter the total number of 5 ton heat pumps</t>
        </r>
      </text>
    </comment>
    <comment ref="F61" authorId="0" shapeId="0" xr:uid="{00000000-0006-0000-0100-000048000000}">
      <text>
        <r>
          <rPr>
            <sz val="10"/>
            <color rgb="FF000000"/>
            <rFont val="Arial"/>
            <scheme val="minor"/>
          </rPr>
          <t>Enter total lighting load in watts. Common pool light  sizes are 100 &amp; 300 watt.</t>
        </r>
      </text>
    </comment>
    <comment ref="E63" authorId="0" shapeId="0" xr:uid="{00000000-0006-0000-0100-000049000000}">
      <text>
        <r>
          <rPr>
            <sz val="10"/>
            <color rgb="FF000000"/>
            <rFont val="Arial"/>
            <scheme val="minor"/>
          </rPr>
          <t>Enter name of other electrical equipment  here.</t>
        </r>
      </text>
    </comment>
    <comment ref="F63" authorId="0" shapeId="0" xr:uid="{00000000-0006-0000-0100-00004A000000}">
      <text>
        <r>
          <rPr>
            <sz val="10"/>
            <color rgb="FF000000"/>
            <rFont val="Arial"/>
            <scheme val="minor"/>
          </rPr>
          <t>Enter other equipment loads here in Volt-amperes</t>
        </r>
      </text>
    </comment>
    <comment ref="M63" authorId="0" shapeId="0" xr:uid="{00000000-0006-0000-0100-00004B000000}">
      <text>
        <r>
          <rPr>
            <sz val="10"/>
            <color rgb="FF000000"/>
            <rFont val="Arial"/>
            <scheme val="minor"/>
          </rPr>
          <t xml:space="preserve">For the best possible balanced neutral load move motors around  (up or down) in their respective columns .
 </t>
        </r>
      </text>
    </comment>
    <comment ref="F64" authorId="0" shapeId="0" xr:uid="{00000000-0006-0000-0100-00004C000000}">
      <text>
        <r>
          <rPr>
            <sz val="10"/>
            <color rgb="FF000000"/>
            <rFont val="Arial"/>
            <scheme val="minor"/>
          </rPr>
          <t>Enter other equipment loads here in Volt-amperes</t>
        </r>
      </text>
    </comment>
    <comment ref="C69" authorId="0" shapeId="0" xr:uid="{00000000-0006-0000-0100-00004D000000}">
      <text>
        <r>
          <rPr>
            <sz val="10"/>
            <color rgb="FF000000"/>
            <rFont val="Arial"/>
            <scheme val="minor"/>
          </rPr>
          <t xml:space="preserve">Use this space to keep notes or log information.
</t>
        </r>
      </text>
    </comment>
    <comment ref="E118" authorId="0" shapeId="0" xr:uid="{00000000-0006-0000-0100-00004E000000}">
      <text>
        <r>
          <rPr>
            <sz val="10"/>
            <color rgb="FF000000"/>
            <rFont val="Arial"/>
            <scheme val="minor"/>
          </rPr>
          <t xml:space="preserve">John Sokolik: This was relocated from cell D3
</t>
        </r>
      </text>
    </comment>
    <comment ref="E121" authorId="0" shapeId="0" xr:uid="{00000000-0006-0000-0100-00004F000000}">
      <text>
        <r>
          <rPr>
            <sz val="10"/>
            <color rgb="FF000000"/>
            <rFont val="Arial"/>
            <scheme val="minor"/>
          </rPr>
          <t xml:space="preserve">Standard or optional Button 
</t>
        </r>
      </text>
    </comment>
    <comment ref="Y147" authorId="0" shapeId="0" xr:uid="{00000000-0006-0000-0100-000050000000}">
      <text>
        <r>
          <rPr>
            <sz val="10"/>
            <color rgb="FF000000"/>
            <rFont val="Arial"/>
            <scheme val="minor"/>
          </rPr>
          <t>Manuel Option for Mains &amp; Panels</t>
        </r>
      </text>
    </comment>
    <comment ref="G191" authorId="0" shapeId="0" xr:uid="{00000000-0006-0000-0100-000051000000}">
      <text>
        <r>
          <rPr>
            <sz val="10"/>
            <color rgb="FF000000"/>
            <rFont val="Arial"/>
            <scheme val="minor"/>
          </rPr>
          <t>Total Number of 120v connected check box appliances</t>
        </r>
      </text>
    </comment>
    <comment ref="I191" authorId="0" shapeId="0" xr:uid="{00000000-0006-0000-0100-000052000000}">
      <text>
        <r>
          <rPr>
            <sz val="10"/>
            <color rgb="FF000000"/>
            <rFont val="Arial"/>
            <scheme val="minor"/>
          </rPr>
          <t>Equals the sum of 120v check boxed items</t>
        </r>
      </text>
    </comment>
    <comment ref="E199" authorId="0" shapeId="0" xr:uid="{00000000-0006-0000-0100-000053000000}">
      <text>
        <r>
          <rPr>
            <sz val="10"/>
            <color rgb="FF000000"/>
            <rFont val="Arial"/>
            <scheme val="minor"/>
          </rPr>
          <t xml:space="preserve">Equals cell F38 (one of the additional appliances with "Apply Demand, No Demand" check box
</t>
        </r>
      </text>
    </comment>
    <comment ref="E200" authorId="0" shapeId="0" xr:uid="{00000000-0006-0000-0100-000054000000}">
      <text>
        <r>
          <rPr>
            <sz val="10"/>
            <color rgb="FF000000"/>
            <rFont val="Arial"/>
            <scheme val="minor"/>
          </rPr>
          <t>Equals cell F39 (one of the additional appliances with "Apply Demand, No Demand" check box</t>
        </r>
      </text>
    </comment>
    <comment ref="AE397" authorId="0" shapeId="0" xr:uid="{00000000-0006-0000-0100-000055000000}">
      <text>
        <r>
          <rPr>
            <sz val="10"/>
            <color rgb="FF000000"/>
            <rFont val="Arial"/>
            <scheme val="minor"/>
          </rPr>
          <t>Default for "0" qty.</t>
        </r>
      </text>
    </comment>
    <comment ref="AH397" authorId="0" shapeId="0" xr:uid="{00000000-0006-0000-0100-000056000000}">
      <text>
        <r>
          <rPr>
            <sz val="10"/>
            <color rgb="FF000000"/>
            <rFont val="Arial"/>
            <scheme val="minor"/>
          </rPr>
          <t xml:space="preserve">Default for "0" Qty
</t>
        </r>
      </text>
    </comment>
    <comment ref="J472" authorId="0" shapeId="0" xr:uid="{00000000-0006-0000-0100-000057000000}">
      <text>
        <r>
          <rPr>
            <sz val="10"/>
            <color rgb="FF000000"/>
            <rFont val="Arial"/>
            <scheme val="minor"/>
          </rPr>
          <t>Enter Sq. Ft.</t>
        </r>
      </text>
    </comment>
    <comment ref="J473" authorId="0" shapeId="0" xr:uid="{00000000-0006-0000-0100-000058000000}">
      <text>
        <r>
          <rPr>
            <sz val="10"/>
            <color rgb="FF000000"/>
            <rFont val="Arial"/>
            <scheme val="minor"/>
          </rPr>
          <t>Enter # of Sm. Appl. Circuits</t>
        </r>
      </text>
    </comment>
    <comment ref="J474" authorId="0" shapeId="0" xr:uid="{00000000-0006-0000-0100-000059000000}">
      <text>
        <r>
          <rPr>
            <sz val="10"/>
            <color rgb="FF000000"/>
            <rFont val="Arial"/>
            <scheme val="minor"/>
          </rPr>
          <t>Enter # of Laundry circuits</t>
        </r>
      </text>
    </comment>
    <comment ref="J475" authorId="0" shapeId="0" xr:uid="{00000000-0006-0000-0100-00005A000000}">
      <text>
        <r>
          <rPr>
            <sz val="10"/>
            <color rgb="FF000000"/>
            <rFont val="Arial"/>
            <scheme val="minor"/>
          </rPr>
          <t>Enter Quantity</t>
        </r>
      </text>
    </comment>
    <comment ref="J476" authorId="0" shapeId="0" xr:uid="{00000000-0006-0000-0100-00005B000000}">
      <text>
        <r>
          <rPr>
            <sz val="10"/>
            <color rgb="FF000000"/>
            <rFont val="Arial"/>
            <scheme val="minor"/>
          </rPr>
          <t>Enter Quantity</t>
        </r>
      </text>
    </comment>
    <comment ref="J477" authorId="0" shapeId="0" xr:uid="{00000000-0006-0000-0100-00005C000000}">
      <text>
        <r>
          <rPr>
            <sz val="10"/>
            <color rgb="FF000000"/>
            <rFont val="Arial"/>
            <scheme val="minor"/>
          </rPr>
          <t>Enter Quantity</t>
        </r>
      </text>
    </comment>
    <comment ref="J478" authorId="0" shapeId="0" xr:uid="{00000000-0006-0000-0100-00005D000000}">
      <text>
        <r>
          <rPr>
            <sz val="10"/>
            <color rgb="FF000000"/>
            <rFont val="Arial"/>
            <scheme val="minor"/>
          </rPr>
          <t>Enter Quantity</t>
        </r>
      </text>
    </comment>
    <comment ref="J479" authorId="0" shapeId="0" xr:uid="{00000000-0006-0000-0100-00005E000000}">
      <text>
        <r>
          <rPr>
            <sz val="10"/>
            <color rgb="FF000000"/>
            <rFont val="Arial"/>
            <scheme val="minor"/>
          </rPr>
          <t>Enter Quantity</t>
        </r>
      </text>
    </comment>
    <comment ref="J480" authorId="0" shapeId="0" xr:uid="{00000000-0006-0000-0100-00005F000000}">
      <text>
        <r>
          <rPr>
            <sz val="10"/>
            <color rgb="FF000000"/>
            <rFont val="Arial"/>
            <scheme val="minor"/>
          </rPr>
          <t>Enter Quantity</t>
        </r>
      </text>
    </comment>
    <comment ref="J481" authorId="0" shapeId="0" xr:uid="{00000000-0006-0000-0100-000060000000}">
      <text>
        <r>
          <rPr>
            <sz val="10"/>
            <color rgb="FF000000"/>
            <rFont val="Arial"/>
            <scheme val="minor"/>
          </rPr>
          <t>Enter Quantity</t>
        </r>
      </text>
    </comment>
    <comment ref="J482" authorId="0" shapeId="0" xr:uid="{00000000-0006-0000-0100-000061000000}">
      <text>
        <r>
          <rPr>
            <sz val="10"/>
            <color rgb="FF000000"/>
            <rFont val="Arial"/>
            <scheme val="minor"/>
          </rPr>
          <t>Enter Quantity</t>
        </r>
      </text>
    </comment>
    <comment ref="J486" authorId="0" shapeId="0" xr:uid="{00000000-0006-0000-0100-000062000000}">
      <text>
        <r>
          <rPr>
            <sz val="10"/>
            <color rgb="FF000000"/>
            <rFont val="Arial"/>
            <scheme val="minor"/>
          </rPr>
          <t>Enter Quantity</t>
        </r>
      </text>
    </comment>
    <comment ref="J487" authorId="0" shapeId="0" xr:uid="{00000000-0006-0000-0100-000063000000}">
      <text>
        <r>
          <rPr>
            <sz val="10"/>
            <color rgb="FF000000"/>
            <rFont val="Arial"/>
            <scheme val="minor"/>
          </rPr>
          <t>Enter Quantity</t>
        </r>
      </text>
    </comment>
    <comment ref="J488" authorId="0" shapeId="0" xr:uid="{00000000-0006-0000-0100-000064000000}">
      <text>
        <r>
          <rPr>
            <sz val="10"/>
            <color rgb="FF000000"/>
            <rFont val="Arial"/>
            <scheme val="minor"/>
          </rPr>
          <t>Enter Nameplate rating in kW.</t>
        </r>
      </text>
    </comment>
    <comment ref="J489" authorId="0" shapeId="0" xr:uid="{00000000-0006-0000-0100-000065000000}">
      <text>
        <r>
          <rPr>
            <sz val="10"/>
            <color rgb="FF000000"/>
            <rFont val="Arial"/>
            <scheme val="minor"/>
          </rPr>
          <t>Enter Quantity</t>
        </r>
      </text>
    </comment>
    <comment ref="J490" authorId="0" shapeId="0" xr:uid="{00000000-0006-0000-0100-000066000000}">
      <text>
        <r>
          <rPr>
            <sz val="10"/>
            <color rgb="FF000000"/>
            <rFont val="Arial"/>
            <scheme val="minor"/>
          </rPr>
          <t>Enter Quantity</t>
        </r>
      </text>
    </comment>
    <comment ref="J491" authorId="0" shapeId="0" xr:uid="{00000000-0006-0000-0100-000067000000}">
      <text>
        <r>
          <rPr>
            <sz val="10"/>
            <color rgb="FF000000"/>
            <rFont val="Arial"/>
            <scheme val="minor"/>
          </rPr>
          <t>Enter Quantity</t>
        </r>
      </text>
    </comment>
    <comment ref="J492" authorId="0" shapeId="0" xr:uid="{00000000-0006-0000-0100-000068000000}">
      <text>
        <r>
          <rPr>
            <sz val="10"/>
            <color rgb="FF000000"/>
            <rFont val="Arial"/>
            <scheme val="minor"/>
          </rPr>
          <t>Enter Quantity</t>
        </r>
      </text>
    </comment>
    <comment ref="J493" authorId="0" shapeId="0" xr:uid="{00000000-0006-0000-0100-000069000000}">
      <text>
        <r>
          <rPr>
            <sz val="10"/>
            <color rgb="FF000000"/>
            <rFont val="Arial"/>
            <scheme val="minor"/>
          </rPr>
          <t>Enter Quantity</t>
        </r>
      </text>
    </comment>
    <comment ref="J494" authorId="0" shapeId="0" xr:uid="{00000000-0006-0000-0100-00006A000000}">
      <text>
        <r>
          <rPr>
            <sz val="10"/>
            <color rgb="FF000000"/>
            <rFont val="Arial"/>
            <scheme val="minor"/>
          </rPr>
          <t>Enter Quantity</t>
        </r>
      </text>
    </comment>
    <comment ref="J495" authorId="0" shapeId="0" xr:uid="{00000000-0006-0000-0100-00006B000000}">
      <text>
        <r>
          <rPr>
            <sz val="10"/>
            <color rgb="FF000000"/>
            <rFont val="Arial"/>
            <scheme val="minor"/>
          </rPr>
          <t>Enter Quantity</t>
        </r>
      </text>
    </comment>
    <comment ref="N497" authorId="0" shapeId="0" xr:uid="{00000000-0006-0000-0100-00006C000000}">
      <text>
        <r>
          <rPr>
            <sz val="10"/>
            <color rgb="FF000000"/>
            <rFont val="Arial"/>
            <scheme val="minor"/>
          </rPr>
          <t>Gas Range</t>
        </r>
      </text>
    </comment>
    <comment ref="N505" authorId="0" shapeId="0" xr:uid="{00000000-0006-0000-0100-00006D000000}">
      <text>
        <r>
          <rPr>
            <sz val="10"/>
            <color rgb="FF000000"/>
            <rFont val="Arial"/>
            <scheme val="minor"/>
          </rPr>
          <t>If gas range is checked then L487 is TRUE
If Col C loads are entered then K487 is TRUE</t>
        </r>
      </text>
    </comment>
    <comment ref="J507" authorId="0" shapeId="0" xr:uid="{00000000-0006-0000-0100-00006E000000}">
      <text>
        <r>
          <rPr>
            <sz val="10"/>
            <color rgb="FF000000"/>
            <rFont val="Arial"/>
            <scheme val="minor"/>
          </rPr>
          <t>Enter total kW rating</t>
        </r>
      </text>
    </comment>
    <comment ref="J508" authorId="0" shapeId="0" xr:uid="{00000000-0006-0000-0100-00006F000000}">
      <text>
        <r>
          <rPr>
            <sz val="10"/>
            <color rgb="FF000000"/>
            <rFont val="Arial"/>
            <scheme val="minor"/>
          </rPr>
          <t>Enter total kW rating</t>
        </r>
      </text>
    </comment>
    <comment ref="I542" authorId="0" shapeId="0" xr:uid="{00000000-0006-0000-0100-000070000000}">
      <text>
        <r>
          <rPr>
            <sz val="10"/>
            <color rgb="FF000000"/>
            <rFont val="Arial"/>
            <scheme val="minor"/>
          </rPr>
          <t xml:space="preserve">pool light neutral load
</t>
        </r>
      </text>
    </comment>
    <comment ref="I557" authorId="0" shapeId="0" xr:uid="{00000000-0006-0000-0100-000071000000}">
      <text>
        <r>
          <rPr>
            <sz val="10"/>
            <color rgb="FF000000"/>
            <rFont val="Arial"/>
            <scheme val="minor"/>
          </rPr>
          <t xml:space="preserve">This is the demand load for Step 5.
</t>
        </r>
      </text>
    </comment>
    <comment ref="N557" authorId="0" shapeId="0" xr:uid="{00000000-0006-0000-0100-000072000000}">
      <text>
        <r>
          <rPr>
            <sz val="10"/>
            <color rgb="FF000000"/>
            <rFont val="Arial"/>
            <scheme val="minor"/>
          </rPr>
          <t xml:space="preserve">This is the demand load for Step 5.
</t>
        </r>
      </text>
    </comment>
    <comment ref="N559" authorId="0" shapeId="0" xr:uid="{00000000-0006-0000-0100-000073000000}">
      <text>
        <r>
          <rPr>
            <sz val="10"/>
            <color rgb="FF000000"/>
            <rFont val="Arial"/>
            <scheme val="minor"/>
          </rPr>
          <t xml:space="preserve">THIS IS TO TOGGLE BETWEEN NEUTRAL RANGE DEMANDS USING STANDARD OR OPTIONAL
</t>
        </r>
      </text>
    </comment>
    <comment ref="N561" authorId="0" shapeId="0" xr:uid="{00000000-0006-0000-0100-000074000000}">
      <text>
        <r>
          <rPr>
            <sz val="10"/>
            <color rgb="FF000000"/>
            <rFont val="Arial"/>
            <scheme val="minor"/>
          </rPr>
          <t xml:space="preserve">This is the demand load for Step 5.
</t>
        </r>
      </text>
    </comment>
    <comment ref="Q604" authorId="0" shapeId="0" xr:uid="{00000000-0006-0000-0100-000075000000}">
      <text>
        <r>
          <rPr>
            <sz val="10"/>
            <color rgb="FF000000"/>
            <rFont val="Arial"/>
            <scheme val="minor"/>
          </rPr>
          <t xml:space="preserve">Greatest Neutral Load on phase A
</t>
        </r>
      </text>
    </comment>
    <comment ref="R604" authorId="0" shapeId="0" xr:uid="{00000000-0006-0000-0100-000076000000}">
      <text>
        <r>
          <rPr>
            <sz val="10"/>
            <color rgb="FF000000"/>
            <rFont val="Arial"/>
            <scheme val="minor"/>
          </rPr>
          <t>Greatest neutral load on phase B</t>
        </r>
      </text>
    </comment>
  </commentList>
</comments>
</file>

<file path=xl/sharedStrings.xml><?xml version="1.0" encoding="utf-8"?>
<sst xmlns="http://schemas.openxmlformats.org/spreadsheetml/2006/main" count="930" uniqueCount="406">
  <si>
    <t>Water Heater</t>
  </si>
  <si>
    <t>Refrigerator</t>
  </si>
  <si>
    <t>Freezer</t>
  </si>
  <si>
    <t>Dishwasher</t>
  </si>
  <si>
    <t>Disposal</t>
  </si>
  <si>
    <t>Microwave</t>
  </si>
  <si>
    <t>GAS</t>
  </si>
  <si>
    <t>1/4hp</t>
  </si>
  <si>
    <t>1/3hp</t>
  </si>
  <si>
    <t>1/2hp</t>
  </si>
  <si>
    <t>3/4hp</t>
  </si>
  <si>
    <t>1 hp</t>
  </si>
  <si>
    <t>Central Vac</t>
  </si>
  <si>
    <t>Mini Refrig</t>
  </si>
  <si>
    <t>Compactor</t>
  </si>
  <si>
    <t>Insta Hot</t>
  </si>
  <si>
    <t>Range Hood</t>
  </si>
  <si>
    <t>Wine Cooler</t>
  </si>
  <si>
    <t xml:space="preserve"> </t>
  </si>
  <si>
    <t>Yellow cells are for Your entries</t>
  </si>
  <si>
    <t>Enter numerals only, DO NOT type VA.</t>
  </si>
  <si>
    <t>5 ton</t>
  </si>
  <si>
    <t>Central Air Strip Heat Units</t>
  </si>
  <si>
    <t xml:space="preserve">Select </t>
  </si>
  <si>
    <t>Blower/fan</t>
  </si>
  <si>
    <t>Total Load</t>
  </si>
  <si>
    <t>Blue cells are fixed and the first value is the default</t>
  </si>
  <si>
    <t xml:space="preserve">5kW     </t>
  </si>
  <si>
    <t>+</t>
  </si>
  <si>
    <t xml:space="preserve"> =</t>
  </si>
  <si>
    <t xml:space="preserve">7.5kW    </t>
  </si>
  <si>
    <t xml:space="preserve">8kW               </t>
  </si>
  <si>
    <t>Condensing Units / Heat Pumps</t>
  </si>
  <si>
    <t>Supplementary Heat &amp; Blower</t>
  </si>
  <si>
    <t>Step 2</t>
  </si>
  <si>
    <t xml:space="preserve">9.6kW        </t>
  </si>
  <si>
    <t>Select</t>
  </si>
  <si>
    <t>Condensing Unit</t>
  </si>
  <si>
    <t>Heat Pump</t>
  </si>
  <si>
    <t>Qty</t>
  </si>
  <si>
    <t>1 ton</t>
  </si>
  <si>
    <t>AHU 1</t>
  </si>
  <si>
    <t>CU</t>
  </si>
  <si>
    <t>1.5 ton</t>
  </si>
  <si>
    <t>AHU 2</t>
  </si>
  <si>
    <t>HP</t>
  </si>
  <si>
    <t>2 ton</t>
  </si>
  <si>
    <t>AHU 3</t>
  </si>
  <si>
    <t>2.5 ton</t>
  </si>
  <si>
    <t>AHU 4</t>
  </si>
  <si>
    <t>3 ton</t>
  </si>
  <si>
    <t>AHU 5</t>
  </si>
  <si>
    <t>3.5 ton</t>
  </si>
  <si>
    <t>4 ton</t>
  </si>
  <si>
    <t xml:space="preserve">GAS  1      </t>
  </si>
  <si>
    <t>GAS  2</t>
  </si>
  <si>
    <t>GAS 1</t>
  </si>
  <si>
    <t>GAS 2</t>
  </si>
  <si>
    <t>Space Heat</t>
  </si>
  <si>
    <t>Supplemental Heat</t>
  </si>
  <si>
    <t>(Project Name)</t>
  </si>
  <si>
    <t>standard</t>
  </si>
  <si>
    <t>optional</t>
  </si>
  <si>
    <t>General Lighting load</t>
  </si>
  <si>
    <t>ahu</t>
  </si>
  <si>
    <t xml:space="preserve">  Small  Appliance</t>
  </si>
  <si>
    <t>cool</t>
  </si>
  <si>
    <t xml:space="preserve">  </t>
  </si>
  <si>
    <t xml:space="preserve">    Laundry circuit</t>
  </si>
  <si>
    <t>Gen.Lgt, Sm App.&amp; Laun. Load</t>
  </si>
  <si>
    <t>hp</t>
  </si>
  <si>
    <r>
      <rPr>
        <sz val="10"/>
        <color theme="1"/>
        <rFont val="Arial"/>
      </rPr>
      <t xml:space="preserve">  </t>
    </r>
    <r>
      <rPr>
        <b/>
        <sz val="10"/>
        <color theme="1"/>
        <rFont val="Arial"/>
      </rPr>
      <t xml:space="preserve">  QTY</t>
    </r>
  </si>
  <si>
    <t>CU / HP</t>
  </si>
  <si>
    <t>Blower</t>
  </si>
  <si>
    <t xml:space="preserve">    Heating Load</t>
  </si>
  <si>
    <t>Appliance Demand Load</t>
  </si>
  <si>
    <t>Art 220.82 ( C ) (4)</t>
  </si>
  <si>
    <t>Heat Load</t>
  </si>
  <si>
    <t>Optional</t>
  </si>
  <si>
    <t xml:space="preserve">    Dryer Demand Load</t>
  </si>
  <si>
    <t>HP + (AHU(t) X 65%)</t>
  </si>
  <si>
    <t>DEM FACTOR</t>
  </si>
  <si>
    <t xml:space="preserve">   Range Demand Load</t>
  </si>
  <si>
    <t>&lt;4</t>
  </si>
  <si>
    <t xml:space="preserve">      Service Demand</t>
  </si>
  <si>
    <t>&gt;3</t>
  </si>
  <si>
    <t>Neutral Demand</t>
  </si>
  <si>
    <t>Tankless heater</t>
  </si>
  <si>
    <t xml:space="preserve">Jacuzzi Tub </t>
  </si>
  <si>
    <t>Sprinkler</t>
  </si>
  <si>
    <t>Well Pump</t>
  </si>
  <si>
    <t>Fountain Pump</t>
  </si>
  <si>
    <t>Elevator</t>
  </si>
  <si>
    <t>Pool Equip. Panel</t>
  </si>
  <si>
    <t>Other load</t>
  </si>
  <si>
    <t>Total Appliance Load</t>
  </si>
  <si>
    <t xml:space="preserve">           Electric Clothes Dryers</t>
  </si>
  <si>
    <t>Electric Ranges</t>
  </si>
  <si>
    <t xml:space="preserve">   Col  C demand</t>
  </si>
  <si>
    <r>
      <rPr>
        <sz val="10"/>
        <color theme="1"/>
        <rFont val="Arial"/>
      </rPr>
      <t xml:space="preserve">            </t>
    </r>
    <r>
      <rPr>
        <b/>
        <sz val="10"/>
        <color theme="1"/>
        <rFont val="Arial"/>
      </rPr>
      <t>or</t>
    </r>
    <r>
      <rPr>
        <sz val="10"/>
        <color theme="1"/>
        <rFont val="Arial"/>
      </rPr>
      <t xml:space="preserve">   Number of appliances</t>
    </r>
  </si>
  <si>
    <t>Use this area for your own notes</t>
  </si>
  <si>
    <t>Cooktop</t>
  </si>
  <si>
    <t xml:space="preserve">   Col B demand</t>
  </si>
  <si>
    <t>Oven(s)</t>
  </si>
  <si>
    <t xml:space="preserve">             Number of appliances</t>
  </si>
  <si>
    <t>Dem. Factor</t>
  </si>
  <si>
    <t xml:space="preserve">Cooktop &amp; Oven Demand Load </t>
  </si>
  <si>
    <t>jmp1jds@comcast.net</t>
  </si>
  <si>
    <t>&gt;&gt;&gt;&gt;&gt;&gt;&gt;&gt;&gt;&gt;&gt;&gt;&gt;&gt;&gt;&gt;&gt;&gt;&gt;&gt;&gt;&gt;&gt;&gt;&gt;&gt;&gt;&gt;&gt;&gt;&gt;&gt;&gt;&gt;&gt;&gt;&gt;&gt;&gt;&gt;&gt;&gt;&gt;&lt;&lt;&lt;&lt;&lt;&lt;&lt;&lt;&lt;&lt;&lt;&lt;&lt;&lt;&lt;&lt;&lt;&lt;&lt;&lt;&lt;&lt;&lt;&lt;&lt;&lt;&lt;&lt;&lt;&lt;&lt;&lt;&lt;&lt;&lt;&lt;&lt;&lt;&lt;&lt;&lt;&lt;&lt;&lt;&lt;&lt;&lt;&lt;&lt;</t>
  </si>
  <si>
    <t>Pool Panel Feeder Calculation</t>
  </si>
  <si>
    <t xml:space="preserve"> (See Note)</t>
  </si>
  <si>
    <t>A</t>
  </si>
  <si>
    <t>B</t>
  </si>
  <si>
    <t xml:space="preserve">N </t>
  </si>
  <si>
    <t xml:space="preserve">   Continuous</t>
  </si>
  <si>
    <t xml:space="preserve">                  Non-continuous</t>
  </si>
  <si>
    <t>Continuous Motors</t>
  </si>
  <si>
    <t xml:space="preserve"> . . . . . .</t>
  </si>
  <si>
    <t xml:space="preserve">      Motors</t>
  </si>
  <si>
    <t xml:space="preserve"> Motors</t>
  </si>
  <si>
    <t>Non-continuous</t>
  </si>
  <si>
    <t>Spa heater 11 kVA</t>
  </si>
  <si>
    <t>Pool heater  3.5 ton</t>
  </si>
  <si>
    <t>Pool heater   5 ton</t>
  </si>
  <si>
    <t>Pool Light</t>
  </si>
  <si>
    <t>other load</t>
  </si>
  <si>
    <t>Motor Neutral Load</t>
  </si>
  <si>
    <t xml:space="preserve"> Max.Unbalanced Neutral Load</t>
  </si>
  <si>
    <t>Minimum Panel Rating</t>
  </si>
  <si>
    <t>Phase Amperes</t>
  </si>
  <si>
    <t>Neut. load</t>
  </si>
  <si>
    <t>Op.Service Dem</t>
  </si>
  <si>
    <t>Standard Service</t>
  </si>
  <si>
    <t>D3</t>
  </si>
  <si>
    <t>Min. Brker Size</t>
  </si>
  <si>
    <t>Service Demand</t>
  </si>
  <si>
    <t>feeder</t>
  </si>
  <si>
    <t>Voltage</t>
  </si>
  <si>
    <t>neutral</t>
  </si>
  <si>
    <t>B2</t>
  </si>
  <si>
    <t>ground</t>
  </si>
  <si>
    <t>B31</t>
  </si>
  <si>
    <t>B27</t>
  </si>
  <si>
    <t>Unit Service Sizing</t>
  </si>
  <si>
    <t>CU Feeder Conductor</t>
  </si>
  <si>
    <t>B29</t>
  </si>
  <si>
    <t>B30</t>
  </si>
  <si>
    <t>3</t>
  </si>
  <si>
    <t>B32</t>
  </si>
  <si>
    <t>2</t>
  </si>
  <si>
    <t>B33</t>
  </si>
  <si>
    <t>1</t>
  </si>
  <si>
    <t>B34</t>
  </si>
  <si>
    <t>1/ 0</t>
  </si>
  <si>
    <t>B38</t>
  </si>
  <si>
    <t>2/0</t>
  </si>
  <si>
    <t>B39</t>
  </si>
  <si>
    <t>3/0</t>
  </si>
  <si>
    <t>E38</t>
  </si>
  <si>
    <t>4/0</t>
  </si>
  <si>
    <t>E39</t>
  </si>
  <si>
    <t>250</t>
  </si>
  <si>
    <t>K36</t>
  </si>
  <si>
    <t>350</t>
  </si>
  <si>
    <t>K49</t>
  </si>
  <si>
    <t>400</t>
  </si>
  <si>
    <t>700</t>
  </si>
  <si>
    <t>C47</t>
  </si>
  <si>
    <t>900</t>
  </si>
  <si>
    <t>C75</t>
  </si>
  <si>
    <t>F73</t>
  </si>
  <si>
    <t>Equipment Grounding Conductor Cu</t>
  </si>
  <si>
    <t>CU Neutral Conductor</t>
  </si>
  <si>
    <t>F74</t>
  </si>
  <si>
    <t>F72</t>
  </si>
  <si>
    <t>F56</t>
  </si>
  <si>
    <t>P141</t>
  </si>
  <si>
    <t>P142</t>
  </si>
  <si>
    <t>P143</t>
  </si>
  <si>
    <t>Main A</t>
  </si>
  <si>
    <t>1/0</t>
  </si>
  <si>
    <t>P144</t>
  </si>
  <si>
    <t>P145</t>
  </si>
  <si>
    <t>P146</t>
  </si>
  <si>
    <t>A/C #1</t>
  </si>
  <si>
    <t>P147</t>
  </si>
  <si>
    <t>Panel A</t>
  </si>
  <si>
    <t>P148</t>
  </si>
  <si>
    <t>300</t>
  </si>
  <si>
    <t>P149</t>
  </si>
  <si>
    <t>P150</t>
  </si>
  <si>
    <t>Note 1</t>
  </si>
  <si>
    <t>500</t>
  </si>
  <si>
    <t>Main B</t>
  </si>
  <si>
    <t>w141,bc4,l27</t>
  </si>
  <si>
    <t>Equip. Grounding Conductor AL</t>
  </si>
  <si>
    <t>AL Feeder Conductor</t>
  </si>
  <si>
    <t>Panel B</t>
  </si>
  <si>
    <t>2/ 0</t>
  </si>
  <si>
    <t>3/ 0</t>
  </si>
  <si>
    <t>4/ 0</t>
  </si>
  <si>
    <t>A/C #2</t>
  </si>
  <si>
    <t>600</t>
  </si>
  <si>
    <t>1000</t>
  </si>
  <si>
    <t>1250</t>
  </si>
  <si>
    <t>AL Neutral Conductor</t>
  </si>
  <si>
    <t>NEUTRAL</t>
  </si>
  <si>
    <t>A/C #3</t>
  </si>
  <si>
    <t>Appliance Loads</t>
  </si>
  <si>
    <t>After demd</t>
  </si>
  <si>
    <t>C38</t>
  </si>
  <si>
    <t>C39</t>
  </si>
  <si>
    <t xml:space="preserve">Optional </t>
  </si>
  <si>
    <t>w141,bc4,g117</t>
  </si>
  <si>
    <t>A/C #4</t>
  </si>
  <si>
    <t>Equipment Grounding Conductor</t>
  </si>
  <si>
    <t>A/C #5</t>
  </si>
  <si>
    <t>AL</t>
  </si>
  <si>
    <t>Table 1</t>
  </si>
  <si>
    <t>Service Entrance</t>
  </si>
  <si>
    <t>Table 1a</t>
  </si>
  <si>
    <t xml:space="preserve">Feeder Conduit Cu </t>
  </si>
  <si>
    <t>S.E.</t>
  </si>
  <si>
    <t>Feeder Conduit Al</t>
  </si>
  <si>
    <t>Equipment Grounding Conductor "A" CU</t>
  </si>
  <si>
    <t>Table 2</t>
  </si>
  <si>
    <t>Raceway A</t>
  </si>
  <si>
    <t>Feeder Conduit Cu</t>
  </si>
  <si>
    <t>Table 4</t>
  </si>
  <si>
    <t>Equipment Grounding Conductor "B" CU</t>
  </si>
  <si>
    <t>Table 3</t>
  </si>
  <si>
    <t>Raceway B</t>
  </si>
  <si>
    <t>Table 5</t>
  </si>
  <si>
    <t>Equipment Grounding Conductor "A" AL</t>
  </si>
  <si>
    <t>Table 6</t>
  </si>
  <si>
    <t>Optional CU</t>
  </si>
  <si>
    <t xml:space="preserve">Feeder Conduit </t>
  </si>
  <si>
    <t>"1/0"</t>
  </si>
  <si>
    <t>Table 6 Optional AL</t>
  </si>
  <si>
    <t>Equipment Grounding Conductor "B" AL</t>
  </si>
  <si>
    <t>CU Feeder Raceway A</t>
  </si>
  <si>
    <t>Grounding Electrode Conductor</t>
  </si>
  <si>
    <t>CU Neutral Raceway A</t>
  </si>
  <si>
    <t>CU Feeder Raceway B</t>
  </si>
  <si>
    <t>AL Feeder Raceway A</t>
  </si>
  <si>
    <t>800</t>
  </si>
  <si>
    <t>CU Neutral Raceway B</t>
  </si>
  <si>
    <t>AL Neutral Raceway A</t>
  </si>
  <si>
    <t xml:space="preserve">CU Pool Feeder </t>
  </si>
  <si>
    <t>"# 12"</t>
  </si>
  <si>
    <t>AL Feeder Raceway B</t>
  </si>
  <si>
    <t>"# 10"</t>
  </si>
  <si>
    <t>"# 8"</t>
  </si>
  <si>
    <t>"# 6"</t>
  </si>
  <si>
    <t>"# 4"</t>
  </si>
  <si>
    <t>"# 3"</t>
  </si>
  <si>
    <t>"# 2"</t>
  </si>
  <si>
    <t>"# 1"</t>
  </si>
  <si>
    <t>AL Neutral Raceway B</t>
  </si>
  <si>
    <t>AL Pool Feeder</t>
  </si>
  <si>
    <t>6</t>
  </si>
  <si>
    <t>4</t>
  </si>
  <si>
    <t xml:space="preserve">Pool Panel Heater loads </t>
  </si>
  <si>
    <t>"2/0"</t>
  </si>
  <si>
    <t>"3/0"</t>
  </si>
  <si>
    <t>Pool Panel Neutral Conductor</t>
  </si>
  <si>
    <t>Phase A</t>
  </si>
  <si>
    <t>Phase B</t>
  </si>
  <si>
    <t>"4/0"</t>
  </si>
  <si>
    <t>Pool Panel Size</t>
  </si>
  <si>
    <t>Range Calculations</t>
  </si>
  <si>
    <t xml:space="preserve">Single </t>
  </si>
  <si>
    <t>Family</t>
  </si>
  <si>
    <t xml:space="preserve">Range </t>
  </si>
  <si>
    <t>Calc.</t>
  </si>
  <si>
    <t>Column A</t>
  </si>
  <si>
    <t>Column C demand table</t>
  </si>
  <si>
    <t xml:space="preserve">These are used in the standard calc to select the lowest of col C and A or B </t>
  </si>
  <si>
    <t>Column c Demand Loads</t>
  </si>
  <si>
    <t>&gt; 8751  and &lt;12499</t>
  </si>
  <si>
    <t>&gt;12500 and &lt;13499</t>
  </si>
  <si>
    <t>&gt;13500 and &lt;14499</t>
  </si>
  <si>
    <t>&gt;14500 and &lt;15499</t>
  </si>
  <si>
    <t>&gt;15500 and &lt;16499</t>
  </si>
  <si>
    <t>&gt;16500 and &lt;17499</t>
  </si>
  <si>
    <t>&gt;17500 and &lt;18499</t>
  </si>
  <si>
    <t>&gt;18500 and &lt;19499</t>
  </si>
  <si>
    <t>&gt;19500 and &lt;20499</t>
  </si>
  <si>
    <t>&gt;20500 and &lt;21499</t>
  </si>
  <si>
    <t>&gt;21500 and &lt;22499</t>
  </si>
  <si>
    <t>&gt;22500 and &lt;23499</t>
  </si>
  <si>
    <t>&gt;23500 and &lt;24499</t>
  </si>
  <si>
    <t>&gt;24500 and &lt;25499</t>
  </si>
  <si>
    <t>&gt;25500 and &lt;26499</t>
  </si>
  <si>
    <t>&gt;26500 and &lt;27499</t>
  </si>
  <si>
    <t>Total</t>
  </si>
  <si>
    <t>Optional Calculation Single Family</t>
  </si>
  <si>
    <t>1.5 ton   = 2700 VA</t>
  </si>
  <si>
    <t xml:space="preserve"> 2   ton   = 3250 VA</t>
  </si>
  <si>
    <t xml:space="preserve">General Lighting </t>
  </si>
  <si>
    <t>2.5 ton   = 3900 VA</t>
  </si>
  <si>
    <t>Small Appliance</t>
  </si>
  <si>
    <t xml:space="preserve"> 3   ton   = 4200 VA</t>
  </si>
  <si>
    <t xml:space="preserve">Laundry </t>
  </si>
  <si>
    <t>3.5 ton   = 5300 VA</t>
  </si>
  <si>
    <t xml:space="preserve"> 4   ton   = 5800 VA</t>
  </si>
  <si>
    <t xml:space="preserve"> first 10k</t>
  </si>
  <si>
    <t xml:space="preserve"> 5   ton   = 8200 VA</t>
  </si>
  <si>
    <t>%</t>
  </si>
  <si>
    <t>Heat/A/C</t>
  </si>
  <si>
    <t>sq. ft</t>
  </si>
  <si>
    <t>sq.meters</t>
  </si>
  <si>
    <t xml:space="preserve">     =  </t>
  </si>
  <si>
    <t>Optional 1</t>
  </si>
  <si>
    <t>optional 2</t>
  </si>
  <si>
    <t>Well pump</t>
  </si>
  <si>
    <t>Dryer</t>
  </si>
  <si>
    <t xml:space="preserve">       Changed AND to OR 1/18/01</t>
  </si>
  <si>
    <t>Heating</t>
  </si>
  <si>
    <t>Air conditioning</t>
  </si>
  <si>
    <t xml:space="preserve">  Total Connected Load</t>
  </si>
  <si>
    <t xml:space="preserve"> watts</t>
  </si>
  <si>
    <t>Service Demand Load</t>
  </si>
  <si>
    <t>Minimum Service Required</t>
  </si>
  <si>
    <t xml:space="preserve"> Amperes</t>
  </si>
  <si>
    <t>select</t>
  </si>
  <si>
    <t xml:space="preserve"> @ 100%=</t>
  </si>
  <si>
    <t xml:space="preserve"> @  35% =</t>
  </si>
  <si>
    <t xml:space="preserve"> volt-amperes</t>
  </si>
  <si>
    <t xml:space="preserve"> @  25% =</t>
  </si>
  <si>
    <t xml:space="preserve">      General Lighting Demand Load</t>
  </si>
  <si>
    <t>to much</t>
  </si>
  <si>
    <t xml:space="preserve">Appliance Load </t>
  </si>
  <si>
    <t>Col A</t>
  </si>
  <si>
    <t>Col C.</t>
  </si>
  <si>
    <t xml:space="preserve">        Continuous</t>
  </si>
  <si>
    <t xml:space="preserve">     Table 430-148</t>
  </si>
  <si>
    <t xml:space="preserve">     Motor</t>
  </si>
  <si>
    <t>C</t>
  </si>
  <si>
    <t>D</t>
  </si>
  <si>
    <t>C32</t>
  </si>
  <si>
    <t>1/6 hp</t>
  </si>
  <si>
    <t>E</t>
  </si>
  <si>
    <t>C33</t>
  </si>
  <si>
    <t>1/4 hp</t>
  </si>
  <si>
    <t xml:space="preserve">  Totals</t>
  </si>
  <si>
    <t>C34</t>
  </si>
  <si>
    <t>1/3 hp</t>
  </si>
  <si>
    <t xml:space="preserve">    Non-Continuous</t>
  </si>
  <si>
    <t>C35</t>
  </si>
  <si>
    <t>1/2 hp</t>
  </si>
  <si>
    <t>C36</t>
  </si>
  <si>
    <t>3/4 hp</t>
  </si>
  <si>
    <t>J57</t>
  </si>
  <si>
    <t>J58</t>
  </si>
  <si>
    <t>1.5 hp</t>
  </si>
  <si>
    <t>J59</t>
  </si>
  <si>
    <t>2 hp</t>
  </si>
  <si>
    <t>J60</t>
  </si>
  <si>
    <t>3 hp</t>
  </si>
  <si>
    <t>J61</t>
  </si>
  <si>
    <t>5 hp</t>
  </si>
  <si>
    <t>L57</t>
  </si>
  <si>
    <t>7.5 hp</t>
  </si>
  <si>
    <t xml:space="preserve">   Totals</t>
  </si>
  <si>
    <t>L58</t>
  </si>
  <si>
    <t>10 hp</t>
  </si>
  <si>
    <t>L59</t>
  </si>
  <si>
    <t>L60</t>
  </si>
  <si>
    <t>L61</t>
  </si>
  <si>
    <t>B560</t>
  </si>
  <si>
    <t>B565</t>
  </si>
  <si>
    <t>B570</t>
  </si>
  <si>
    <t>B561</t>
  </si>
  <si>
    <t>B566</t>
  </si>
  <si>
    <t>B571</t>
  </si>
  <si>
    <t>B562</t>
  </si>
  <si>
    <t>B567</t>
  </si>
  <si>
    <t>B572</t>
  </si>
  <si>
    <t>Balance motor neutral loads</t>
  </si>
  <si>
    <t>B563</t>
  </si>
  <si>
    <t>B568</t>
  </si>
  <si>
    <t>B573</t>
  </si>
  <si>
    <t>Cont</t>
  </si>
  <si>
    <t>B564</t>
  </si>
  <si>
    <t>B569</t>
  </si>
  <si>
    <t>B574</t>
  </si>
  <si>
    <t>a &gt; b</t>
  </si>
  <si>
    <t>b &gt; a</t>
  </si>
  <si>
    <t>CONT</t>
  </si>
  <si>
    <t>NON</t>
  </si>
  <si>
    <t>Largest</t>
  </si>
  <si>
    <t>others</t>
  </si>
  <si>
    <t>Art. 430-24</t>
  </si>
  <si>
    <t>Non Cont</t>
  </si>
  <si>
    <t>Motor</t>
  </si>
  <si>
    <t xml:space="preserve">    OR =</t>
  </si>
  <si>
    <t xml:space="preserve">   SUM =</t>
  </si>
  <si>
    <t>Maximum Neutral Phase Load</t>
  </si>
  <si>
    <t>Volt-amperes</t>
  </si>
  <si>
    <t>Totals</t>
  </si>
  <si>
    <t>Company Name</t>
  </si>
  <si>
    <t>Address</t>
  </si>
  <si>
    <t>City, State, Zip Code</t>
  </si>
  <si>
    <t>Telephone &amp; Fax</t>
  </si>
  <si>
    <t>Serial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</si>
</sst>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 \V\A"/>
    <numFmt numFmtId="165" formatCode="#,###\V\A"/>
    <numFmt numFmtId="166" formatCode="#.###\ \k\W"/>
    <numFmt numFmtId="167" formatCode="0%\ &quot;Demand Factor&quot;"/>
    <numFmt numFmtId="168" formatCode="###\ \A"/>
    <numFmt numFmtId="169" formatCode="#,###\ \W"/>
    <numFmt numFmtId="170" formatCode="#,##0.0"/>
    <numFmt numFmtId="171" formatCode="@\ &quot;AWG&quot;"/>
    <numFmt numFmtId="172" formatCode="#,###\A"/>
    <numFmt numFmtId="173" formatCode="&quot;AWG&quot;"/>
    <numFmt numFmtId="174" formatCode="0.0000"/>
    <numFmt numFmtId="175" formatCode="0.0"/>
  </numFmts>
  <fonts count="60" x14ac:knownFonts="1">
    <font>
      <sz val="10"/>
      <color rgb="FF000000"/>
      <name val="Arial"/>
      <scheme val="minor"/>
    </font>
    <font>
      <sz val="10"/>
      <color theme="1"/>
      <name val="Arial"/>
    </font>
    <font>
      <b/>
      <sz val="10"/>
      <color theme="1"/>
      <name val="Arial"/>
    </font>
    <font>
      <sz val="10"/>
      <color theme="1"/>
      <name val="Arial"/>
      <scheme val="minor"/>
    </font>
    <font>
      <sz val="10"/>
      <name val="Arial"/>
    </font>
    <font>
      <sz val="8"/>
      <color theme="1"/>
      <name val="Arial"/>
    </font>
    <font>
      <sz val="10"/>
      <color rgb="FF0066CC"/>
      <name val="Arial"/>
    </font>
    <font>
      <b/>
      <sz val="14"/>
      <color theme="1"/>
      <name val="Arial"/>
    </font>
    <font>
      <sz val="8"/>
      <color rgb="FFC0C0C0"/>
      <name val="Arial"/>
    </font>
    <font>
      <b/>
      <sz val="12"/>
      <color theme="1"/>
      <name val="Arial"/>
    </font>
    <font>
      <sz val="10"/>
      <color rgb="FF000000"/>
      <name val="Arial"/>
    </font>
    <font>
      <sz val="4"/>
      <color theme="1"/>
      <name val="Arial"/>
    </font>
    <font>
      <b/>
      <sz val="10"/>
      <color rgb="FF000080"/>
      <name val="Arial"/>
    </font>
    <font>
      <b/>
      <sz val="11"/>
      <color rgb="FF0000FF"/>
      <name val="Arial"/>
    </font>
    <font>
      <b/>
      <sz val="11"/>
      <color theme="1"/>
      <name val="Arial"/>
    </font>
    <font>
      <sz val="10"/>
      <color rgb="FF333333"/>
      <name val="Arial"/>
    </font>
    <font>
      <b/>
      <sz val="10"/>
      <color rgb="FFFFFFFF"/>
      <name val="Arial"/>
    </font>
    <font>
      <sz val="10"/>
      <color rgb="FFFF0000"/>
      <name val="Arial"/>
    </font>
    <font>
      <b/>
      <sz val="11"/>
      <color rgb="FFFF0000"/>
      <name val="Arial"/>
    </font>
    <font>
      <b/>
      <sz val="10"/>
      <color rgb="FFFF0000"/>
      <name val="Arial"/>
    </font>
    <font>
      <b/>
      <sz val="9"/>
      <color rgb="FF333333"/>
      <name val="Arial"/>
    </font>
    <font>
      <b/>
      <sz val="11"/>
      <color rgb="FF800000"/>
      <name val="Arial"/>
    </font>
    <font>
      <b/>
      <sz val="9"/>
      <color theme="1"/>
      <name val="Arial"/>
    </font>
    <font>
      <b/>
      <sz val="10"/>
      <color rgb="FF333399"/>
      <name val="Arial"/>
    </font>
    <font>
      <b/>
      <sz val="10"/>
      <color rgb="FF333333"/>
      <name val="Arial"/>
    </font>
    <font>
      <b/>
      <sz val="11"/>
      <color rgb="FF993366"/>
      <name val="Arial"/>
    </font>
    <font>
      <b/>
      <sz val="11"/>
      <color rgb="FF800080"/>
      <name val="Arial"/>
    </font>
    <font>
      <b/>
      <sz val="10"/>
      <color rgb="FF808000"/>
      <name val="Arial"/>
    </font>
    <font>
      <b/>
      <sz val="11"/>
      <color rgb="FF333333"/>
      <name val="Arial"/>
    </font>
    <font>
      <b/>
      <sz val="9"/>
      <color rgb="FF808000"/>
      <name val="Arial"/>
    </font>
    <font>
      <sz val="10"/>
      <color rgb="FF808000"/>
      <name val="Arial"/>
    </font>
    <font>
      <sz val="9"/>
      <color theme="1"/>
      <name val="Arial"/>
    </font>
    <font>
      <b/>
      <sz val="10"/>
      <color rgb="FF0000FF"/>
      <name val="Arial"/>
    </font>
    <font>
      <sz val="10"/>
      <color rgb="FFFFFFFF"/>
      <name val="Arial"/>
    </font>
    <font>
      <sz val="8"/>
      <color rgb="FFFFFFFF"/>
      <name val="Arial"/>
    </font>
    <font>
      <b/>
      <sz val="10"/>
      <color rgb="FF993366"/>
      <name val="Arial"/>
    </font>
    <font>
      <b/>
      <sz val="10"/>
      <color rgb="FF800080"/>
      <name val="Arial"/>
    </font>
    <font>
      <b/>
      <sz val="10"/>
      <color rgb="FF008000"/>
      <name val="Arial"/>
    </font>
    <font>
      <u/>
      <sz val="8"/>
      <color rgb="FF0000FF"/>
      <name val="Arial"/>
    </font>
    <font>
      <b/>
      <sz val="10"/>
      <color rgb="FF800000"/>
      <name val="Arial"/>
    </font>
    <font>
      <sz val="10"/>
      <color rgb="FF000080"/>
      <name val="Arial"/>
    </font>
    <font>
      <sz val="8"/>
      <color rgb="FF0000FF"/>
      <name val="Arial"/>
    </font>
    <font>
      <sz val="8"/>
      <color rgb="FF000080"/>
      <name val="Arial"/>
    </font>
    <font>
      <b/>
      <sz val="9"/>
      <color rgb="FF003300"/>
      <name val="Arial"/>
    </font>
    <font>
      <sz val="10"/>
      <color rgb="FFC0C0C0"/>
      <name val="Arial"/>
    </font>
    <font>
      <b/>
      <sz val="10"/>
      <color rgb="FFFFFF00"/>
      <name val="Arial"/>
    </font>
    <font>
      <b/>
      <sz val="10"/>
      <color rgb="FFFFFFCC"/>
      <name val="Arial"/>
    </font>
    <font>
      <sz val="10"/>
      <color rgb="FFFFFFCC"/>
      <name val="Arial"/>
    </font>
    <font>
      <sz val="10"/>
      <color rgb="FFFFFF00"/>
      <name val="Arial"/>
    </font>
    <font>
      <sz val="7"/>
      <color theme="1"/>
      <name val="Arial"/>
    </font>
    <font>
      <sz val="10"/>
      <color rgb="FF0000FF"/>
      <name val="Arial"/>
    </font>
    <font>
      <b/>
      <sz val="9"/>
      <color rgb="FFFFFFFF"/>
      <name val="Arial"/>
    </font>
    <font>
      <sz val="9"/>
      <color rgb="FFFFFFFF"/>
      <name val="Arial"/>
    </font>
    <font>
      <b/>
      <sz val="8"/>
      <color rgb="FFFFFFFF"/>
      <name val="Arial"/>
    </font>
    <font>
      <b/>
      <sz val="8"/>
      <color theme="1"/>
      <name val="Arial"/>
    </font>
    <font>
      <sz val="9"/>
      <color rgb="FF0000FF"/>
      <name val="Arial"/>
    </font>
    <font>
      <sz val="48"/>
      <color theme="1"/>
      <name val="Arial"/>
    </font>
    <font>
      <sz val="10"/>
      <color rgb="FF800000"/>
      <name val="Arial"/>
    </font>
    <font>
      <b/>
      <sz val="9"/>
      <color rgb="FF800080"/>
      <name val="Arial"/>
    </font>
    <font>
      <b/>
      <sz val="9"/>
      <color rgb="FF800000"/>
      <name val="Arial"/>
    </font>
  </fonts>
  <fills count="29">
    <fill>
      <patternFill patternType="none"/>
    </fill>
    <fill>
      <patternFill patternType="gray125"/>
    </fill>
    <fill>
      <patternFill patternType="solid">
        <fgColor rgb="FF339966"/>
        <bgColor rgb="FF339966"/>
      </patternFill>
    </fill>
    <fill>
      <patternFill patternType="solid">
        <fgColor rgb="FFFFFF99"/>
        <bgColor rgb="FFFFFF99"/>
      </patternFill>
    </fill>
    <fill>
      <patternFill patternType="solid">
        <fgColor rgb="FFCCFFFF"/>
        <bgColor rgb="FFCCFFFF"/>
      </patternFill>
    </fill>
    <fill>
      <patternFill patternType="solid">
        <fgColor rgb="FFCCFFCC"/>
        <bgColor rgb="FFCCFFCC"/>
      </patternFill>
    </fill>
    <fill>
      <patternFill patternType="solid">
        <fgColor rgb="FFC0C0C0"/>
        <bgColor rgb="FFC0C0C0"/>
      </patternFill>
    </fill>
    <fill>
      <patternFill patternType="solid">
        <fgColor rgb="FF008000"/>
        <bgColor rgb="FF008000"/>
      </patternFill>
    </fill>
    <fill>
      <patternFill patternType="solid">
        <fgColor rgb="FFFF00FF"/>
        <bgColor rgb="FFFF00FF"/>
      </patternFill>
    </fill>
    <fill>
      <patternFill patternType="solid">
        <fgColor rgb="FFFFFFFF"/>
        <bgColor rgb="FFFFFFFF"/>
      </patternFill>
    </fill>
    <fill>
      <patternFill patternType="solid">
        <fgColor rgb="FFFFFF00"/>
        <bgColor rgb="FFFFFF00"/>
      </patternFill>
    </fill>
    <fill>
      <patternFill patternType="solid">
        <fgColor rgb="FFFFFFCC"/>
        <bgColor rgb="FFFFFFCC"/>
      </patternFill>
    </fill>
    <fill>
      <patternFill patternType="solid">
        <fgColor rgb="FFFFCC99"/>
        <bgColor rgb="FFFFCC99"/>
      </patternFill>
    </fill>
    <fill>
      <patternFill patternType="solid">
        <fgColor rgb="FF00FF00"/>
        <bgColor rgb="FF00FF00"/>
      </patternFill>
    </fill>
    <fill>
      <patternFill patternType="solid">
        <fgColor rgb="FFFFC8AD"/>
        <bgColor rgb="FFFFC8AD"/>
      </patternFill>
    </fill>
    <fill>
      <patternFill patternType="solid">
        <fgColor rgb="FF00FFFF"/>
        <bgColor rgb="FF00FFFF"/>
      </patternFill>
    </fill>
    <fill>
      <patternFill patternType="solid">
        <fgColor rgb="FF99CCFF"/>
        <bgColor rgb="FF99CCFF"/>
      </patternFill>
    </fill>
    <fill>
      <patternFill patternType="solid">
        <fgColor rgb="FF99CC00"/>
        <bgColor rgb="FF99CC00"/>
      </patternFill>
    </fill>
    <fill>
      <patternFill patternType="solid">
        <fgColor rgb="FFFF99CC"/>
        <bgColor rgb="FFFF99CC"/>
      </patternFill>
    </fill>
    <fill>
      <patternFill patternType="solid">
        <fgColor rgb="FF000080"/>
        <bgColor rgb="FF000080"/>
      </patternFill>
    </fill>
    <fill>
      <patternFill patternType="solid">
        <fgColor rgb="FFFF8080"/>
        <bgColor rgb="FFFF8080"/>
      </patternFill>
    </fill>
    <fill>
      <patternFill patternType="solid">
        <fgColor rgb="FFFF6600"/>
        <bgColor rgb="FFFF6600"/>
      </patternFill>
    </fill>
    <fill>
      <patternFill patternType="solid">
        <fgColor rgb="FFFF0000"/>
        <bgColor rgb="FFFF0000"/>
      </patternFill>
    </fill>
    <fill>
      <patternFill patternType="solid">
        <fgColor rgb="FF0000FF"/>
        <bgColor rgb="FF0000FF"/>
      </patternFill>
    </fill>
    <fill>
      <patternFill patternType="solid">
        <fgColor rgb="FFFF9900"/>
        <bgColor rgb="FFFF9900"/>
      </patternFill>
    </fill>
    <fill>
      <patternFill patternType="solid">
        <fgColor rgb="FF333300"/>
        <bgColor rgb="FF333300"/>
      </patternFill>
    </fill>
    <fill>
      <patternFill patternType="solid">
        <fgColor rgb="FFCC99FF"/>
        <bgColor rgb="FFCC99FF"/>
      </patternFill>
    </fill>
    <fill>
      <patternFill patternType="solid">
        <fgColor theme="9" tint="0.79998168889431442"/>
        <bgColor rgb="FF339966"/>
      </patternFill>
    </fill>
    <fill>
      <patternFill patternType="solid">
        <fgColor theme="9" tint="0.79998168889431442"/>
        <bgColor rgb="FF333300"/>
      </patternFill>
    </fill>
  </fills>
  <borders count="85">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medium">
        <color rgb="FF000000"/>
      </top>
      <bottom style="medium">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top style="medium">
        <color rgb="FF000000"/>
      </top>
      <bottom/>
      <diagonal/>
    </border>
    <border>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top/>
      <bottom/>
      <diagonal/>
    </border>
    <border>
      <left/>
      <right style="medium">
        <color rgb="FF000000"/>
      </right>
      <top/>
      <bottom/>
      <diagonal/>
    </border>
    <border>
      <left/>
      <right style="medium">
        <color rgb="FF000000"/>
      </right>
      <top/>
      <bottom/>
      <diagonal/>
    </border>
    <border>
      <left style="medium">
        <color rgb="FF000000"/>
      </left>
      <right/>
      <top/>
      <bottom/>
      <diagonal/>
    </border>
    <border>
      <left/>
      <right/>
      <top/>
      <bottom style="medium">
        <color rgb="FF000000"/>
      </bottom>
      <diagonal/>
    </border>
    <border>
      <left/>
      <right/>
      <top/>
      <bottom/>
      <diagonal/>
    </border>
    <border>
      <left/>
      <right/>
      <top/>
      <bottom/>
      <diagonal/>
    </border>
    <border>
      <left/>
      <right style="medium">
        <color rgb="FF000000"/>
      </right>
      <top/>
      <bottom/>
      <diagonal/>
    </border>
    <border>
      <left/>
      <right/>
      <top/>
      <bottom/>
      <diagonal/>
    </border>
    <border>
      <left/>
      <right style="medium">
        <color rgb="FF000000"/>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style="medium">
        <color rgb="FF000000"/>
      </right>
      <top/>
      <bottom style="thin">
        <color rgb="FF000000"/>
      </bottom>
      <diagonal/>
    </border>
    <border>
      <left/>
      <right style="thin">
        <color rgb="FF000000"/>
      </right>
      <top/>
      <bottom/>
      <diagonal/>
    </border>
    <border>
      <left style="thin">
        <color rgb="FF000000"/>
      </left>
      <right/>
      <top/>
      <bottom/>
      <diagonal/>
    </border>
    <border>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style="medium">
        <color rgb="FF000000"/>
      </right>
      <top/>
      <bottom style="medium">
        <color rgb="FF000000"/>
      </bottom>
      <diagonal/>
    </border>
    <border>
      <left/>
      <right style="medium">
        <color rgb="FF000000"/>
      </right>
      <top/>
      <bottom style="medium">
        <color rgb="FF000000"/>
      </bottom>
      <diagonal/>
    </border>
    <border>
      <left/>
      <right/>
      <top/>
      <bottom/>
      <diagonal/>
    </border>
    <border>
      <left style="thin">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style="medium">
        <color rgb="FF000000"/>
      </right>
      <top/>
      <bottom style="medium">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n">
        <color rgb="FF000000"/>
      </right>
      <top/>
      <bottom/>
      <diagonal/>
    </border>
    <border>
      <left style="thin">
        <color indexed="64"/>
      </left>
      <right/>
      <top style="thin">
        <color indexed="64"/>
      </top>
      <bottom style="medium">
        <color rgb="FF000000"/>
      </bottom>
      <diagonal/>
    </border>
    <border>
      <left/>
      <right/>
      <top style="thin">
        <color indexed="64"/>
      </top>
      <bottom style="medium">
        <color rgb="FF000000"/>
      </bottom>
      <diagonal/>
    </border>
    <border>
      <left/>
      <right style="thin">
        <color indexed="64"/>
      </right>
      <top style="thin">
        <color indexed="64"/>
      </top>
      <bottom style="medium">
        <color rgb="FF000000"/>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medium">
        <color rgb="FF000000"/>
      </right>
      <top style="thin">
        <color indexed="64"/>
      </top>
      <bottom style="medium">
        <color rgb="FF000000"/>
      </bottom>
      <diagonal/>
    </border>
    <border>
      <left style="thin">
        <color indexed="64"/>
      </left>
      <right style="thin">
        <color rgb="FF000000"/>
      </right>
      <top style="thin">
        <color rgb="FF000000"/>
      </top>
      <bottom style="thin">
        <color rgb="FF000000"/>
      </bottom>
      <diagonal/>
    </border>
    <border>
      <left style="thin">
        <color indexed="64"/>
      </left>
      <right style="thin">
        <color rgb="FF000000"/>
      </right>
      <top style="thin">
        <color rgb="FF000000"/>
      </top>
      <bottom/>
      <diagonal/>
    </border>
    <border>
      <left style="thin">
        <color rgb="FF000000"/>
      </left>
      <right style="thin">
        <color indexed="64"/>
      </right>
      <top style="thin">
        <color rgb="FF000000"/>
      </top>
      <bottom style="thin">
        <color rgb="FF000000"/>
      </bottom>
      <diagonal/>
    </border>
    <border>
      <left style="thin">
        <color indexed="64"/>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s>
  <cellStyleXfs count="1">
    <xf numFmtId="0" fontId="0" fillId="0" borderId="0"/>
  </cellStyleXfs>
  <cellXfs count="525">
    <xf numFmtId="0" fontId="0" fillId="0" borderId="0" xfId="0"/>
    <xf numFmtId="0" fontId="1" fillId="2" borderId="1" xfId="0" applyFont="1" applyFill="1" applyBorder="1"/>
    <xf numFmtId="164" fontId="1" fillId="2" borderId="1" xfId="0" applyNumberFormat="1" applyFont="1" applyFill="1" applyBorder="1"/>
    <xf numFmtId="0" fontId="2" fillId="0" borderId="2" xfId="0" applyFont="1" applyBorder="1" applyAlignment="1">
      <alignment horizontal="center"/>
    </xf>
    <xf numFmtId="0" fontId="2" fillId="3" borderId="2" xfId="0" applyFont="1" applyFill="1" applyBorder="1" applyAlignment="1">
      <alignment horizontal="center"/>
    </xf>
    <xf numFmtId="0" fontId="2" fillId="0" borderId="0" xfId="0" applyFont="1" applyAlignment="1">
      <alignment horizontal="center"/>
    </xf>
    <xf numFmtId="0" fontId="1" fillId="0" borderId="0" xfId="0" applyFont="1"/>
    <xf numFmtId="0" fontId="1" fillId="4" borderId="3" xfId="0" applyFont="1" applyFill="1" applyBorder="1" applyAlignment="1">
      <alignment horizontal="right"/>
    </xf>
    <xf numFmtId="164" fontId="1" fillId="4" borderId="3" xfId="0" applyNumberFormat="1" applyFont="1" applyFill="1" applyBorder="1"/>
    <xf numFmtId="0" fontId="3" fillId="0" borderId="0" xfId="0" applyFont="1"/>
    <xf numFmtId="164" fontId="1" fillId="4" borderId="4" xfId="0" applyNumberFormat="1" applyFont="1" applyFill="1" applyBorder="1"/>
    <xf numFmtId="164" fontId="1" fillId="3" borderId="4" xfId="0" applyNumberFormat="1" applyFont="1" applyFill="1" applyBorder="1"/>
    <xf numFmtId="164" fontId="1" fillId="3" borderId="3" xfId="0" applyNumberFormat="1" applyFont="1" applyFill="1" applyBorder="1"/>
    <xf numFmtId="0" fontId="1" fillId="3" borderId="3" xfId="0" applyFont="1" applyFill="1" applyBorder="1"/>
    <xf numFmtId="0" fontId="1" fillId="3" borderId="1" xfId="0" applyFont="1" applyFill="1" applyBorder="1"/>
    <xf numFmtId="164" fontId="1" fillId="3" borderId="7" xfId="0" applyNumberFormat="1" applyFont="1" applyFill="1" applyBorder="1"/>
    <xf numFmtId="0" fontId="1" fillId="4" borderId="1" xfId="0" applyFont="1" applyFill="1" applyBorder="1"/>
    <xf numFmtId="164" fontId="1" fillId="4" borderId="1" xfId="0" applyNumberFormat="1" applyFont="1" applyFill="1" applyBorder="1"/>
    <xf numFmtId="0" fontId="1" fillId="0" borderId="0" xfId="0" applyFont="1" applyAlignment="1">
      <alignment horizontal="center"/>
    </xf>
    <xf numFmtId="0" fontId="1" fillId="3" borderId="3" xfId="0" applyFont="1" applyFill="1" applyBorder="1" applyAlignment="1">
      <alignment horizontal="center"/>
    </xf>
    <xf numFmtId="0" fontId="1" fillId="0" borderId="0" xfId="0" applyFont="1" applyAlignment="1">
      <alignment horizontal="right"/>
    </xf>
    <xf numFmtId="0" fontId="1" fillId="4" borderId="1" xfId="0" applyFont="1" applyFill="1" applyBorder="1" applyAlignment="1">
      <alignment horizontal="right"/>
    </xf>
    <xf numFmtId="0" fontId="1" fillId="4" borderId="1" xfId="0" applyFont="1" applyFill="1" applyBorder="1" applyAlignment="1">
      <alignment horizontal="left"/>
    </xf>
    <xf numFmtId="0" fontId="1" fillId="5" borderId="1" xfId="0" applyFont="1" applyFill="1" applyBorder="1" applyAlignment="1">
      <alignment horizontal="right"/>
    </xf>
    <xf numFmtId="0" fontId="1" fillId="5" borderId="1" xfId="0" applyFont="1" applyFill="1" applyBorder="1" applyAlignment="1">
      <alignment horizontal="left"/>
    </xf>
    <xf numFmtId="3" fontId="1" fillId="0" borderId="0" xfId="0" applyNumberFormat="1" applyFont="1"/>
    <xf numFmtId="0" fontId="1" fillId="6" borderId="1" xfId="0" applyFont="1" applyFill="1" applyBorder="1"/>
    <xf numFmtId="0" fontId="1" fillId="6" borderId="2" xfId="0" applyFont="1" applyFill="1" applyBorder="1"/>
    <xf numFmtId="0" fontId="1" fillId="6" borderId="1" xfId="0" applyFont="1" applyFill="1" applyBorder="1" applyAlignment="1">
      <alignment horizontal="right"/>
    </xf>
    <xf numFmtId="0" fontId="1" fillId="7" borderId="1" xfId="0" applyFont="1" applyFill="1" applyBorder="1"/>
    <xf numFmtId="0" fontId="1" fillId="8" borderId="1" xfId="0" applyFont="1" applyFill="1" applyBorder="1"/>
    <xf numFmtId="0" fontId="1" fillId="9" borderId="1" xfId="0" applyFont="1" applyFill="1" applyBorder="1"/>
    <xf numFmtId="0" fontId="6" fillId="9" borderId="1" xfId="0" applyFont="1" applyFill="1" applyBorder="1"/>
    <xf numFmtId="0" fontId="1" fillId="6" borderId="21" xfId="0" applyFont="1" applyFill="1" applyBorder="1"/>
    <xf numFmtId="0" fontId="1" fillId="6" borderId="22" xfId="0" applyFont="1" applyFill="1" applyBorder="1"/>
    <xf numFmtId="14" fontId="8" fillId="6" borderId="22" xfId="0" applyNumberFormat="1" applyFont="1" applyFill="1" applyBorder="1"/>
    <xf numFmtId="0" fontId="2" fillId="10" borderId="2" xfId="0" applyFont="1" applyFill="1" applyBorder="1" applyAlignment="1">
      <alignment horizontal="center"/>
    </xf>
    <xf numFmtId="0" fontId="10" fillId="0" borderId="0" xfId="0" applyFont="1"/>
    <xf numFmtId="0" fontId="2" fillId="6" borderId="1" xfId="0" applyFont="1" applyFill="1" applyBorder="1"/>
    <xf numFmtId="0" fontId="1" fillId="6" borderId="27" xfId="0" applyFont="1" applyFill="1" applyBorder="1"/>
    <xf numFmtId="0" fontId="11" fillId="6" borderId="1" xfId="0" applyFont="1" applyFill="1" applyBorder="1"/>
    <xf numFmtId="0" fontId="2" fillId="6" borderId="1" xfId="0" applyFont="1" applyFill="1" applyBorder="1" applyAlignment="1">
      <alignment horizontal="center"/>
    </xf>
    <xf numFmtId="0" fontId="13" fillId="6" borderId="1" xfId="0" applyFont="1" applyFill="1" applyBorder="1"/>
    <xf numFmtId="0" fontId="1" fillId="6" borderId="1" xfId="0" applyFont="1" applyFill="1" applyBorder="1" applyAlignment="1">
      <alignment horizontal="center" vertical="top"/>
    </xf>
    <xf numFmtId="0" fontId="14" fillId="0" borderId="0" xfId="0" applyFont="1"/>
    <xf numFmtId="0" fontId="15" fillId="0" borderId="0" xfId="0" applyFont="1"/>
    <xf numFmtId="0" fontId="15" fillId="6" borderId="1" xfId="0" applyFont="1" applyFill="1" applyBorder="1"/>
    <xf numFmtId="0" fontId="16" fillId="6" borderId="1" xfId="0" applyFont="1" applyFill="1" applyBorder="1"/>
    <xf numFmtId="0" fontId="14" fillId="6" borderId="1" xfId="0" applyFont="1" applyFill="1" applyBorder="1"/>
    <xf numFmtId="0" fontId="2" fillId="6" borderId="1" xfId="0" applyFont="1" applyFill="1" applyBorder="1" applyAlignment="1">
      <alignment vertical="center"/>
    </xf>
    <xf numFmtId="0" fontId="1" fillId="6" borderId="1" xfId="0" applyFont="1" applyFill="1" applyBorder="1" applyAlignment="1">
      <alignment vertical="center"/>
    </xf>
    <xf numFmtId="1" fontId="1" fillId="11" borderId="1" xfId="0" applyNumberFormat="1" applyFont="1" applyFill="1" applyBorder="1" applyAlignment="1">
      <alignment horizontal="center"/>
    </xf>
    <xf numFmtId="0" fontId="2" fillId="0" borderId="0" xfId="0" applyFont="1"/>
    <xf numFmtId="0" fontId="15" fillId="0" borderId="0" xfId="0" applyFont="1" applyAlignment="1">
      <alignment horizontal="right"/>
    </xf>
    <xf numFmtId="0" fontId="15" fillId="6" borderId="1" xfId="0" applyFont="1" applyFill="1" applyBorder="1" applyAlignment="1">
      <alignment horizontal="right"/>
    </xf>
    <xf numFmtId="0" fontId="17" fillId="6" borderId="1" xfId="0" applyFont="1" applyFill="1" applyBorder="1"/>
    <xf numFmtId="0" fontId="18" fillId="6" borderId="1" xfId="0" applyFont="1" applyFill="1" applyBorder="1"/>
    <xf numFmtId="0" fontId="10" fillId="6" borderId="1" xfId="0" applyFont="1" applyFill="1" applyBorder="1"/>
    <xf numFmtId="164" fontId="1" fillId="0" borderId="0" xfId="0" applyNumberFormat="1" applyFont="1"/>
    <xf numFmtId="1" fontId="2" fillId="0" borderId="0" xfId="0" applyNumberFormat="1" applyFont="1" applyAlignment="1">
      <alignment horizontal="center"/>
    </xf>
    <xf numFmtId="0" fontId="16" fillId="6" borderId="1" xfId="0" applyFont="1" applyFill="1" applyBorder="1" applyAlignment="1">
      <alignment horizontal="right"/>
    </xf>
    <xf numFmtId="0" fontId="19" fillId="6" borderId="1" xfId="0" applyFont="1" applyFill="1" applyBorder="1"/>
    <xf numFmtId="164" fontId="1" fillId="5" borderId="1" xfId="0" applyNumberFormat="1" applyFont="1" applyFill="1" applyBorder="1"/>
    <xf numFmtId="164" fontId="1" fillId="6" borderId="1" xfId="0" applyNumberFormat="1" applyFont="1" applyFill="1" applyBorder="1" applyAlignment="1">
      <alignment vertical="center"/>
    </xf>
    <xf numFmtId="0" fontId="20" fillId="6" borderId="1" xfId="0" applyFont="1" applyFill="1" applyBorder="1"/>
    <xf numFmtId="1" fontId="1" fillId="0" borderId="0" xfId="0" applyNumberFormat="1" applyFont="1" applyAlignment="1">
      <alignment horizontal="center"/>
    </xf>
    <xf numFmtId="1" fontId="16" fillId="6" borderId="1" xfId="0" applyNumberFormat="1" applyFont="1" applyFill="1" applyBorder="1"/>
    <xf numFmtId="165" fontId="1" fillId="5" borderId="1" xfId="0" applyNumberFormat="1" applyFont="1" applyFill="1" applyBorder="1"/>
    <xf numFmtId="164" fontId="21" fillId="10" borderId="1" xfId="0" applyNumberFormat="1" applyFont="1" applyFill="1" applyBorder="1"/>
    <xf numFmtId="0" fontId="1" fillId="6" borderId="30" xfId="0" applyFont="1" applyFill="1" applyBorder="1"/>
    <xf numFmtId="0" fontId="2" fillId="6" borderId="1" xfId="0" applyFont="1" applyFill="1" applyBorder="1" applyAlignment="1">
      <alignment horizontal="right"/>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12" borderId="1" xfId="0" applyFont="1" applyFill="1" applyBorder="1" applyAlignment="1">
      <alignment horizontal="center"/>
    </xf>
    <xf numFmtId="0" fontId="20" fillId="0" borderId="0" xfId="0" applyFont="1" applyAlignment="1">
      <alignment horizontal="center"/>
    </xf>
    <xf numFmtId="0" fontId="22" fillId="0" borderId="0" xfId="0" applyFont="1" applyAlignment="1">
      <alignment horizontal="center"/>
    </xf>
    <xf numFmtId="0" fontId="17" fillId="0" borderId="0" xfId="0" applyFont="1"/>
    <xf numFmtId="0" fontId="18" fillId="0" borderId="0" xfId="0" applyFont="1"/>
    <xf numFmtId="0" fontId="12" fillId="6" borderId="1" xfId="0" applyFont="1" applyFill="1" applyBorder="1" applyAlignment="1">
      <alignment horizontal="center"/>
    </xf>
    <xf numFmtId="0" fontId="23" fillId="6" borderId="1" xfId="0" applyFont="1" applyFill="1" applyBorder="1" applyAlignment="1">
      <alignment horizontal="center"/>
    </xf>
    <xf numFmtId="164" fontId="1" fillId="5" borderId="1" xfId="0" applyNumberFormat="1" applyFont="1" applyFill="1" applyBorder="1" applyAlignment="1">
      <alignment horizontal="right"/>
    </xf>
    <xf numFmtId="164" fontId="1" fillId="4" borderId="2" xfId="0" applyNumberFormat="1" applyFont="1" applyFill="1" applyBorder="1" applyAlignment="1">
      <alignment horizontal="right"/>
    </xf>
    <xf numFmtId="0" fontId="19" fillId="0" borderId="0" xfId="0" applyFont="1"/>
    <xf numFmtId="164" fontId="1" fillId="4" borderId="1" xfId="0" applyNumberFormat="1" applyFont="1" applyFill="1" applyBorder="1" applyAlignment="1">
      <alignment horizontal="right"/>
    </xf>
    <xf numFmtId="164" fontId="1" fillId="5" borderId="2" xfId="0" applyNumberFormat="1" applyFont="1" applyFill="1" applyBorder="1" applyAlignment="1">
      <alignment horizontal="right"/>
    </xf>
    <xf numFmtId="12" fontId="1" fillId="0" borderId="0" xfId="0" applyNumberFormat="1" applyFont="1"/>
    <xf numFmtId="1" fontId="23" fillId="6" borderId="1" xfId="0" applyNumberFormat="1" applyFont="1" applyFill="1" applyBorder="1" applyAlignment="1">
      <alignment horizontal="center"/>
    </xf>
    <xf numFmtId="12" fontId="1" fillId="6" borderId="1" xfId="0" applyNumberFormat="1" applyFont="1" applyFill="1" applyBorder="1"/>
    <xf numFmtId="164" fontId="1" fillId="13" borderId="1" xfId="0" applyNumberFormat="1" applyFont="1" applyFill="1" applyBorder="1"/>
    <xf numFmtId="164" fontId="1" fillId="13" borderId="1" xfId="0" applyNumberFormat="1" applyFont="1" applyFill="1" applyBorder="1" applyAlignment="1">
      <alignment horizontal="right"/>
    </xf>
    <xf numFmtId="0" fontId="24" fillId="6" borderId="1" xfId="0" applyFont="1" applyFill="1" applyBorder="1"/>
    <xf numFmtId="164" fontId="1" fillId="14" borderId="1" xfId="0" applyNumberFormat="1" applyFont="1" applyFill="1" applyBorder="1"/>
    <xf numFmtId="164" fontId="1" fillId="14" borderId="1" xfId="0" applyNumberFormat="1" applyFont="1" applyFill="1" applyBorder="1" applyAlignment="1">
      <alignment horizontal="right"/>
    </xf>
    <xf numFmtId="164" fontId="1" fillId="15" borderId="1" xfId="0" applyNumberFormat="1" applyFont="1" applyFill="1" applyBorder="1"/>
    <xf numFmtId="164" fontId="1" fillId="15" borderId="1" xfId="0" applyNumberFormat="1" applyFont="1" applyFill="1" applyBorder="1" applyAlignment="1">
      <alignment horizontal="right"/>
    </xf>
    <xf numFmtId="0" fontId="1" fillId="0" borderId="32" xfId="0" applyFont="1" applyBorder="1"/>
    <xf numFmtId="1" fontId="1" fillId="6" borderId="1" xfId="0" applyNumberFormat="1" applyFont="1" applyFill="1" applyBorder="1"/>
    <xf numFmtId="0" fontId="25" fillId="6" borderId="1" xfId="0" applyFont="1" applyFill="1" applyBorder="1"/>
    <xf numFmtId="1" fontId="2" fillId="6" borderId="1" xfId="0" applyNumberFormat="1" applyFont="1" applyFill="1" applyBorder="1"/>
    <xf numFmtId="164" fontId="26" fillId="10" borderId="1" xfId="0" applyNumberFormat="1" applyFont="1" applyFill="1" applyBorder="1"/>
    <xf numFmtId="0" fontId="22" fillId="6" borderId="1" xfId="0" applyFont="1" applyFill="1" applyBorder="1"/>
    <xf numFmtId="164" fontId="1" fillId="4" borderId="2" xfId="0" applyNumberFormat="1" applyFont="1" applyFill="1" applyBorder="1"/>
    <xf numFmtId="0" fontId="1" fillId="5" borderId="2" xfId="0" applyFont="1" applyFill="1" applyBorder="1"/>
    <xf numFmtId="0" fontId="1" fillId="12" borderId="2" xfId="0" applyFont="1" applyFill="1" applyBorder="1"/>
    <xf numFmtId="164" fontId="1" fillId="0" borderId="0" xfId="0" applyNumberFormat="1" applyFont="1" applyAlignment="1">
      <alignment horizontal="center"/>
    </xf>
    <xf numFmtId="1" fontId="2" fillId="0" borderId="0" xfId="0" applyNumberFormat="1" applyFont="1"/>
    <xf numFmtId="0" fontId="22" fillId="0" borderId="0" xfId="0" applyFont="1"/>
    <xf numFmtId="167" fontId="1" fillId="0" borderId="0" xfId="0" applyNumberFormat="1" applyFont="1"/>
    <xf numFmtId="12" fontId="2" fillId="0" borderId="0" xfId="0" applyNumberFormat="1" applyFont="1"/>
    <xf numFmtId="0" fontId="22" fillId="0" borderId="0" xfId="0" applyFont="1" applyAlignment="1">
      <alignment horizontal="left"/>
    </xf>
    <xf numFmtId="0" fontId="27" fillId="6" borderId="1" xfId="0" applyFont="1" applyFill="1" applyBorder="1"/>
    <xf numFmtId="9" fontId="1" fillId="0" borderId="0" xfId="0" applyNumberFormat="1" applyFont="1"/>
    <xf numFmtId="0" fontId="24" fillId="0" borderId="0" xfId="0" applyFont="1" applyAlignment="1">
      <alignment vertical="center"/>
    </xf>
    <xf numFmtId="0" fontId="1" fillId="0" borderId="0" xfId="0" applyFont="1" applyAlignment="1">
      <alignment vertical="center"/>
    </xf>
    <xf numFmtId="0" fontId="27" fillId="6" borderId="1" xfId="0" applyFont="1" applyFill="1" applyBorder="1" applyAlignment="1">
      <alignment horizontal="right"/>
    </xf>
    <xf numFmtId="164" fontId="28" fillId="10" borderId="1" xfId="0" applyNumberFormat="1" applyFont="1" applyFill="1" applyBorder="1" applyAlignment="1">
      <alignment horizontal="right"/>
    </xf>
    <xf numFmtId="12" fontId="27" fillId="6" borderId="1" xfId="0" applyNumberFormat="1" applyFont="1" applyFill="1" applyBorder="1"/>
    <xf numFmtId="0" fontId="29" fillId="6" borderId="1" xfId="0" applyFont="1" applyFill="1" applyBorder="1" applyAlignment="1">
      <alignment horizontal="left"/>
    </xf>
    <xf numFmtId="0" fontId="29" fillId="6" borderId="1" xfId="0" applyFont="1" applyFill="1" applyBorder="1"/>
    <xf numFmtId="0" fontId="30" fillId="6" borderId="1" xfId="0" applyFont="1" applyFill="1" applyBorder="1"/>
    <xf numFmtId="0" fontId="24" fillId="6" borderId="1" xfId="0" applyFont="1" applyFill="1" applyBorder="1" applyAlignment="1">
      <alignment horizontal="center"/>
    </xf>
    <xf numFmtId="12" fontId="2" fillId="6" borderId="1" xfId="0" applyNumberFormat="1" applyFont="1" applyFill="1" applyBorder="1" applyAlignment="1">
      <alignment horizontal="right"/>
    </xf>
    <xf numFmtId="0" fontId="22" fillId="6" borderId="1" xfId="0" applyFont="1" applyFill="1" applyBorder="1" applyAlignment="1">
      <alignment horizontal="left"/>
    </xf>
    <xf numFmtId="0" fontId="2" fillId="9" borderId="1" xfId="0" applyFont="1" applyFill="1" applyBorder="1" applyAlignment="1">
      <alignment vertical="center"/>
    </xf>
    <xf numFmtId="0" fontId="22" fillId="0" borderId="0" xfId="0" applyFont="1" applyAlignment="1">
      <alignment vertical="center"/>
    </xf>
    <xf numFmtId="168" fontId="14" fillId="10" borderId="1" xfId="0" applyNumberFormat="1" applyFont="1" applyFill="1" applyBorder="1" applyAlignment="1">
      <alignment horizontal="center"/>
    </xf>
    <xf numFmtId="0" fontId="27" fillId="0" borderId="0" xfId="0" applyFont="1" applyAlignment="1">
      <alignment vertical="center"/>
    </xf>
    <xf numFmtId="0" fontId="1" fillId="9" borderId="1" xfId="0" applyFont="1" applyFill="1" applyBorder="1" applyAlignment="1">
      <alignment vertical="center"/>
    </xf>
    <xf numFmtId="0" fontId="27" fillId="0" borderId="0" xfId="0" applyFont="1"/>
    <xf numFmtId="0" fontId="31" fillId="6" borderId="1" xfId="0" applyFont="1" applyFill="1" applyBorder="1"/>
    <xf numFmtId="0" fontId="32" fillId="6" borderId="1" xfId="0" applyFont="1" applyFill="1" applyBorder="1"/>
    <xf numFmtId="0" fontId="5" fillId="6" borderId="1" xfId="0" applyFont="1" applyFill="1" applyBorder="1"/>
    <xf numFmtId="0" fontId="32" fillId="6" borderId="1" xfId="0" applyFont="1" applyFill="1" applyBorder="1" applyAlignment="1">
      <alignment horizontal="right"/>
    </xf>
    <xf numFmtId="0" fontId="33" fillId="0" borderId="0" xfId="0" applyFont="1"/>
    <xf numFmtId="0" fontId="16" fillId="0" borderId="0" xfId="0" applyFont="1"/>
    <xf numFmtId="1" fontId="1" fillId="6" borderId="1" xfId="0" applyNumberFormat="1" applyFont="1" applyFill="1" applyBorder="1" applyAlignment="1">
      <alignment horizontal="center"/>
    </xf>
    <xf numFmtId="3" fontId="1" fillId="6" borderId="1" xfId="0" applyNumberFormat="1" applyFont="1" applyFill="1" applyBorder="1"/>
    <xf numFmtId="0" fontId="2" fillId="0" borderId="0" xfId="0" applyFont="1" applyAlignment="1">
      <alignment vertical="center"/>
    </xf>
    <xf numFmtId="0" fontId="1" fillId="6" borderId="1" xfId="0" applyFont="1" applyFill="1" applyBorder="1" applyAlignment="1">
      <alignment horizontal="center"/>
    </xf>
    <xf numFmtId="0" fontId="24" fillId="0" borderId="0" xfId="0" applyFont="1" applyAlignment="1">
      <alignment horizontal="right"/>
    </xf>
    <xf numFmtId="0" fontId="24" fillId="6" borderId="1" xfId="0" applyFont="1" applyFill="1" applyBorder="1" applyAlignment="1">
      <alignment horizontal="right"/>
    </xf>
    <xf numFmtId="0" fontId="2" fillId="0" borderId="0" xfId="0" applyFont="1" applyAlignment="1">
      <alignment horizontal="right"/>
    </xf>
    <xf numFmtId="0" fontId="34" fillId="6" borderId="1" xfId="0" applyFont="1" applyFill="1" applyBorder="1"/>
    <xf numFmtId="0" fontId="35" fillId="6" borderId="1" xfId="0" applyFont="1" applyFill="1" applyBorder="1"/>
    <xf numFmtId="0" fontId="24" fillId="0" borderId="0" xfId="0" applyFont="1"/>
    <xf numFmtId="1" fontId="16" fillId="6" borderId="1" xfId="0" applyNumberFormat="1" applyFont="1" applyFill="1" applyBorder="1" applyAlignment="1">
      <alignment horizontal="right"/>
    </xf>
    <xf numFmtId="1" fontId="1" fillId="3" borderId="1" xfId="0" applyNumberFormat="1" applyFont="1" applyFill="1" applyBorder="1" applyAlignment="1">
      <alignment horizontal="center"/>
    </xf>
    <xf numFmtId="0" fontId="20" fillId="6" borderId="1" xfId="0" applyFont="1" applyFill="1" applyBorder="1" applyAlignment="1">
      <alignment horizontal="center"/>
    </xf>
    <xf numFmtId="164" fontId="2" fillId="5" borderId="1" xfId="0" applyNumberFormat="1" applyFont="1" applyFill="1" applyBorder="1"/>
    <xf numFmtId="164" fontId="24" fillId="5" borderId="1" xfId="0" applyNumberFormat="1" applyFont="1" applyFill="1" applyBorder="1"/>
    <xf numFmtId="1" fontId="1" fillId="0" borderId="0" xfId="0" applyNumberFormat="1" applyFont="1"/>
    <xf numFmtId="164" fontId="36" fillId="3" borderId="1" xfId="0" applyNumberFormat="1" applyFont="1" applyFill="1" applyBorder="1"/>
    <xf numFmtId="0" fontId="33" fillId="6" borderId="1" xfId="0" applyFont="1" applyFill="1" applyBorder="1"/>
    <xf numFmtId="169" fontId="36" fillId="3" borderId="1" xfId="0" applyNumberFormat="1" applyFont="1" applyFill="1" applyBorder="1"/>
    <xf numFmtId="3" fontId="2" fillId="10" borderId="1" xfId="0" applyNumberFormat="1" applyFont="1" applyFill="1" applyBorder="1"/>
    <xf numFmtId="0" fontId="33" fillId="6" borderId="1" xfId="0" applyFont="1" applyFill="1" applyBorder="1" applyAlignment="1">
      <alignment horizontal="right"/>
    </xf>
    <xf numFmtId="0" fontId="37" fillId="11" borderId="1" xfId="0" applyFont="1" applyFill="1" applyBorder="1"/>
    <xf numFmtId="0" fontId="35" fillId="0" borderId="0" xfId="0" applyFont="1"/>
    <xf numFmtId="0" fontId="22" fillId="6" borderId="1" xfId="0" applyFont="1" applyFill="1" applyBorder="1" applyAlignment="1">
      <alignment horizontal="center"/>
    </xf>
    <xf numFmtId="12" fontId="2" fillId="0" borderId="0" xfId="0" applyNumberFormat="1" applyFont="1" applyAlignment="1">
      <alignment horizontal="center"/>
    </xf>
    <xf numFmtId="0" fontId="20" fillId="0" borderId="0" xfId="0" applyFont="1"/>
    <xf numFmtId="0" fontId="2" fillId="5" borderId="1" xfId="0" applyFont="1" applyFill="1" applyBorder="1"/>
    <xf numFmtId="9" fontId="35" fillId="10" borderId="1" xfId="0" applyNumberFormat="1" applyFont="1" applyFill="1" applyBorder="1"/>
    <xf numFmtId="3" fontId="2" fillId="6" borderId="1" xfId="0" applyNumberFormat="1" applyFont="1" applyFill="1" applyBorder="1"/>
    <xf numFmtId="169" fontId="2" fillId="5" borderId="1" xfId="0" applyNumberFormat="1" applyFont="1" applyFill="1" applyBorder="1"/>
    <xf numFmtId="1" fontId="27" fillId="6" borderId="1" xfId="0" applyNumberFormat="1" applyFont="1" applyFill="1" applyBorder="1" applyAlignment="1">
      <alignment horizontal="left"/>
    </xf>
    <xf numFmtId="0" fontId="1" fillId="6" borderId="39" xfId="0" applyFont="1" applyFill="1" applyBorder="1"/>
    <xf numFmtId="0" fontId="1" fillId="6" borderId="40" xfId="0" applyFont="1" applyFill="1" applyBorder="1"/>
    <xf numFmtId="0" fontId="39" fillId="0" borderId="0" xfId="0" applyFont="1"/>
    <xf numFmtId="0" fontId="35" fillId="6" borderId="1" xfId="0" applyFont="1" applyFill="1" applyBorder="1" applyAlignment="1">
      <alignment horizontal="center"/>
    </xf>
    <xf numFmtId="0" fontId="39" fillId="6" borderId="1" xfId="0" applyFont="1" applyFill="1" applyBorder="1"/>
    <xf numFmtId="0" fontId="39" fillId="6" borderId="1" xfId="0" applyFont="1" applyFill="1" applyBorder="1" applyAlignment="1">
      <alignment horizontal="center"/>
    </xf>
    <xf numFmtId="0" fontId="1" fillId="6" borderId="43" xfId="0" applyFont="1" applyFill="1" applyBorder="1"/>
    <xf numFmtId="12" fontId="27" fillId="0" borderId="0" xfId="0" applyNumberFormat="1" applyFont="1" applyAlignment="1">
      <alignment horizontal="center"/>
    </xf>
    <xf numFmtId="0" fontId="30" fillId="0" borderId="0" xfId="0" applyFont="1"/>
    <xf numFmtId="12" fontId="2" fillId="6" borderId="1" xfId="0" applyNumberFormat="1" applyFont="1" applyFill="1" applyBorder="1" applyAlignment="1">
      <alignment horizontal="center"/>
    </xf>
    <xf numFmtId="0" fontId="1" fillId="9" borderId="21" xfId="0" applyFont="1" applyFill="1" applyBorder="1" applyAlignment="1">
      <alignment vertical="center"/>
    </xf>
    <xf numFmtId="0" fontId="1" fillId="9" borderId="22" xfId="0" applyFont="1" applyFill="1" applyBorder="1" applyAlignment="1">
      <alignment vertical="center"/>
    </xf>
    <xf numFmtId="0" fontId="5" fillId="9" borderId="22" xfId="0" applyFont="1" applyFill="1" applyBorder="1"/>
    <xf numFmtId="0" fontId="2" fillId="9" borderId="44" xfId="0" applyFont="1" applyFill="1" applyBorder="1" applyAlignment="1">
      <alignment horizontal="center"/>
    </xf>
    <xf numFmtId="0" fontId="2" fillId="9" borderId="45" xfId="0" applyFont="1" applyFill="1" applyBorder="1" applyAlignment="1">
      <alignment horizontal="center"/>
    </xf>
    <xf numFmtId="0" fontId="2" fillId="9" borderId="46" xfId="0" applyFont="1" applyFill="1" applyBorder="1" applyAlignment="1">
      <alignment horizontal="center"/>
    </xf>
    <xf numFmtId="1" fontId="27" fillId="0" borderId="0" xfId="0" applyNumberFormat="1" applyFont="1" applyAlignment="1">
      <alignment horizontal="left"/>
    </xf>
    <xf numFmtId="3" fontId="1" fillId="4" borderId="1" xfId="0" applyNumberFormat="1" applyFont="1" applyFill="1" applyBorder="1"/>
    <xf numFmtId="1" fontId="1" fillId="16" borderId="47" xfId="0" applyNumberFormat="1" applyFont="1" applyFill="1" applyBorder="1"/>
    <xf numFmtId="1" fontId="1" fillId="16" borderId="48" xfId="0" applyNumberFormat="1" applyFont="1" applyFill="1" applyBorder="1"/>
    <xf numFmtId="1" fontId="40" fillId="4" borderId="49" xfId="0" applyNumberFormat="1" applyFont="1" applyFill="1" applyBorder="1"/>
    <xf numFmtId="49" fontId="1" fillId="0" borderId="0" xfId="0" applyNumberFormat="1" applyFont="1"/>
    <xf numFmtId="49" fontId="1" fillId="6" borderId="1" xfId="0" applyNumberFormat="1" applyFont="1" applyFill="1" applyBorder="1"/>
    <xf numFmtId="3" fontId="1" fillId="4" borderId="48" xfId="0" applyNumberFormat="1" applyFont="1" applyFill="1" applyBorder="1"/>
    <xf numFmtId="0" fontId="40" fillId="4" borderId="49" xfId="0" applyFont="1" applyFill="1" applyBorder="1"/>
    <xf numFmtId="0" fontId="5" fillId="6" borderId="1" xfId="0" applyFont="1" applyFill="1" applyBorder="1" applyAlignment="1">
      <alignment vertical="center"/>
    </xf>
    <xf numFmtId="0" fontId="5" fillId="6" borderId="30" xfId="0" applyFont="1" applyFill="1" applyBorder="1" applyAlignment="1">
      <alignment vertical="center"/>
    </xf>
    <xf numFmtId="3" fontId="1" fillId="3" borderId="3" xfId="0" applyNumberFormat="1" applyFont="1" applyFill="1" applyBorder="1"/>
    <xf numFmtId="0" fontId="6" fillId="0" borderId="0" xfId="0" applyFont="1"/>
    <xf numFmtId="0" fontId="15" fillId="6" borderId="27" xfId="0" applyFont="1" applyFill="1" applyBorder="1"/>
    <xf numFmtId="0" fontId="1" fillId="6" borderId="48" xfId="0" applyFont="1" applyFill="1" applyBorder="1"/>
    <xf numFmtId="0" fontId="41" fillId="9" borderId="1" xfId="0" applyFont="1" applyFill="1" applyBorder="1"/>
    <xf numFmtId="1" fontId="1" fillId="16" borderId="3" xfId="0" applyNumberFormat="1" applyFont="1" applyFill="1" applyBorder="1"/>
    <xf numFmtId="0" fontId="5" fillId="6" borderId="30" xfId="0" applyFont="1" applyFill="1" applyBorder="1"/>
    <xf numFmtId="0" fontId="42" fillId="6" borderId="27" xfId="0" applyFont="1" applyFill="1" applyBorder="1"/>
    <xf numFmtId="0" fontId="1" fillId="3" borderId="47" xfId="0" applyFont="1" applyFill="1" applyBorder="1"/>
    <xf numFmtId="170" fontId="2" fillId="9" borderId="3" xfId="0" applyNumberFormat="1" applyFont="1" applyFill="1" applyBorder="1" applyAlignment="1">
      <alignment horizontal="center"/>
    </xf>
    <xf numFmtId="0" fontId="1" fillId="9" borderId="27" xfId="0" applyFont="1" applyFill="1" applyBorder="1"/>
    <xf numFmtId="171" fontId="2" fillId="9" borderId="1" xfId="0" applyNumberFormat="1" applyFont="1" applyFill="1" applyBorder="1" applyAlignment="1">
      <alignment horizontal="center"/>
    </xf>
    <xf numFmtId="168" fontId="2" fillId="10" borderId="3" xfId="0" applyNumberFormat="1" applyFont="1" applyFill="1" applyBorder="1"/>
    <xf numFmtId="168" fontId="2" fillId="10" borderId="52" xfId="0" applyNumberFormat="1" applyFont="1" applyFill="1" applyBorder="1"/>
    <xf numFmtId="168" fontId="16" fillId="2" borderId="53" xfId="0" applyNumberFormat="1" applyFont="1" applyFill="1" applyBorder="1" applyAlignment="1">
      <alignment horizontal="center"/>
    </xf>
    <xf numFmtId="172" fontId="2" fillId="0" borderId="57" xfId="0" applyNumberFormat="1" applyFont="1" applyBorder="1" applyAlignment="1">
      <alignment horizontal="center" vertical="center"/>
    </xf>
    <xf numFmtId="0" fontId="31" fillId="9" borderId="59" xfId="0" applyFont="1" applyFill="1" applyBorder="1" applyAlignment="1">
      <alignment horizontal="center"/>
    </xf>
    <xf numFmtId="0" fontId="2" fillId="6" borderId="1" xfId="0" applyFont="1" applyFill="1" applyBorder="1" applyAlignment="1">
      <alignment horizontal="left"/>
    </xf>
    <xf numFmtId="0" fontId="1" fillId="6" borderId="60" xfId="0" applyFont="1" applyFill="1" applyBorder="1"/>
    <xf numFmtId="0" fontId="43" fillId="6" borderId="1" xfId="0" applyFont="1" applyFill="1" applyBorder="1"/>
    <xf numFmtId="0" fontId="2" fillId="7" borderId="1" xfId="0" applyFont="1" applyFill="1" applyBorder="1"/>
    <xf numFmtId="1" fontId="12" fillId="6" borderId="1" xfId="0" applyNumberFormat="1" applyFont="1" applyFill="1" applyBorder="1" applyAlignment="1">
      <alignment horizontal="center"/>
    </xf>
    <xf numFmtId="12" fontId="27" fillId="0" borderId="0" xfId="0" applyNumberFormat="1" applyFont="1" applyAlignment="1">
      <alignment horizontal="right"/>
    </xf>
    <xf numFmtId="0" fontId="35" fillId="0" borderId="0" xfId="0" applyFont="1" applyAlignment="1">
      <alignment horizontal="center"/>
    </xf>
    <xf numFmtId="0" fontId="27" fillId="6" borderId="1" xfId="0" applyFont="1" applyFill="1" applyBorder="1" applyAlignment="1">
      <alignment horizontal="center"/>
    </xf>
    <xf numFmtId="1" fontId="27" fillId="6" borderId="1" xfId="0" applyNumberFormat="1" applyFont="1" applyFill="1" applyBorder="1"/>
    <xf numFmtId="12" fontId="27" fillId="0" borderId="0" xfId="0" applyNumberFormat="1" applyFont="1"/>
    <xf numFmtId="1" fontId="27" fillId="0" borderId="0" xfId="0" applyNumberFormat="1" applyFont="1"/>
    <xf numFmtId="0" fontId="27" fillId="0" borderId="0" xfId="0" applyFont="1" applyAlignment="1">
      <alignment horizontal="right"/>
    </xf>
    <xf numFmtId="0" fontId="27" fillId="0" borderId="0" xfId="0" applyFont="1" applyAlignment="1">
      <alignment horizontal="center"/>
    </xf>
    <xf numFmtId="0" fontId="39" fillId="0" borderId="0" xfId="0" applyFont="1" applyAlignment="1">
      <alignment horizontal="center"/>
    </xf>
    <xf numFmtId="1" fontId="2" fillId="10" borderId="1" xfId="0" applyNumberFormat="1" applyFont="1" applyFill="1" applyBorder="1" applyAlignment="1">
      <alignment horizontal="center"/>
    </xf>
    <xf numFmtId="0" fontId="2" fillId="5" borderId="62" xfId="0" applyFont="1" applyFill="1" applyBorder="1" applyAlignment="1">
      <alignment horizontal="center"/>
    </xf>
    <xf numFmtId="0" fontId="44" fillId="6" borderId="1" xfId="0" applyFont="1" applyFill="1" applyBorder="1"/>
    <xf numFmtId="0" fontId="31" fillId="0" borderId="0" xfId="0" applyFont="1"/>
    <xf numFmtId="1" fontId="14" fillId="10" borderId="63" xfId="0" applyNumberFormat="1" applyFont="1" applyFill="1" applyBorder="1" applyAlignment="1">
      <alignment horizontal="center"/>
    </xf>
    <xf numFmtId="169" fontId="3" fillId="0" borderId="0" xfId="0" applyNumberFormat="1" applyFont="1"/>
    <xf numFmtId="3" fontId="17" fillId="10" borderId="2" xfId="0" applyNumberFormat="1" applyFont="1" applyFill="1" applyBorder="1"/>
    <xf numFmtId="0" fontId="2" fillId="3" borderId="64" xfId="0" applyFont="1" applyFill="1" applyBorder="1" applyAlignment="1">
      <alignment horizontal="center"/>
    </xf>
    <xf numFmtId="3" fontId="19" fillId="10" borderId="63" xfId="0" applyNumberFormat="1" applyFont="1" applyFill="1" applyBorder="1" applyAlignment="1">
      <alignment horizontal="center"/>
    </xf>
    <xf numFmtId="0" fontId="5" fillId="0" borderId="0" xfId="0" applyFont="1"/>
    <xf numFmtId="0" fontId="45" fillId="17" borderId="1" xfId="0" applyFont="1" applyFill="1" applyBorder="1"/>
    <xf numFmtId="0" fontId="46" fillId="17" borderId="1" xfId="0" applyFont="1" applyFill="1" applyBorder="1"/>
    <xf numFmtId="0" fontId="47" fillId="18" borderId="1" xfId="0" applyFont="1" applyFill="1" applyBorder="1"/>
    <xf numFmtId="3" fontId="47" fillId="18" borderId="1" xfId="0" applyNumberFormat="1" applyFont="1" applyFill="1" applyBorder="1"/>
    <xf numFmtId="0" fontId="47" fillId="18" borderId="1" xfId="0" applyFont="1" applyFill="1" applyBorder="1" applyAlignment="1">
      <alignment horizontal="right"/>
    </xf>
    <xf numFmtId="3" fontId="47" fillId="18" borderId="1" xfId="0" applyNumberFormat="1" applyFont="1" applyFill="1" applyBorder="1" applyAlignment="1">
      <alignment horizontal="right"/>
    </xf>
    <xf numFmtId="49" fontId="47" fillId="18" borderId="1" xfId="0" applyNumberFormat="1" applyFont="1" applyFill="1" applyBorder="1" applyAlignment="1">
      <alignment horizontal="right"/>
    </xf>
    <xf numFmtId="1" fontId="1" fillId="10" borderId="1" xfId="0" applyNumberFormat="1" applyFont="1" applyFill="1" applyBorder="1"/>
    <xf numFmtId="0" fontId="47" fillId="7" borderId="1" xfId="0" applyFont="1" applyFill="1" applyBorder="1"/>
    <xf numFmtId="0" fontId="47" fillId="0" borderId="0" xfId="0" applyFont="1"/>
    <xf numFmtId="3" fontId="1" fillId="8" borderId="1" xfId="0" applyNumberFormat="1" applyFont="1" applyFill="1" applyBorder="1"/>
    <xf numFmtId="0" fontId="48" fillId="7" borderId="1" xfId="0" applyFont="1" applyFill="1" applyBorder="1"/>
    <xf numFmtId="0" fontId="48" fillId="0" borderId="0" xfId="0" applyFont="1"/>
    <xf numFmtId="0" fontId="45" fillId="19" borderId="1" xfId="0" applyFont="1" applyFill="1" applyBorder="1"/>
    <xf numFmtId="9" fontId="1" fillId="0" borderId="0" xfId="0" applyNumberFormat="1" applyFont="1" applyAlignment="1">
      <alignment horizontal="center"/>
    </xf>
    <xf numFmtId="0" fontId="49" fillId="0" borderId="0" xfId="0" applyFont="1"/>
    <xf numFmtId="164" fontId="3" fillId="0" borderId="0" xfId="0" applyNumberFormat="1" applyFont="1"/>
    <xf numFmtId="0" fontId="47" fillId="17" borderId="1" xfId="0" applyFont="1" applyFill="1" applyBorder="1"/>
    <xf numFmtId="3" fontId="47" fillId="17" borderId="1" xfId="0" applyNumberFormat="1" applyFont="1" applyFill="1" applyBorder="1"/>
    <xf numFmtId="0" fontId="47" fillId="17" borderId="1" xfId="0" applyFont="1" applyFill="1" applyBorder="1" applyAlignment="1">
      <alignment horizontal="right"/>
    </xf>
    <xf numFmtId="3" fontId="47" fillId="17" borderId="1" xfId="0" applyNumberFormat="1" applyFont="1" applyFill="1" applyBorder="1" applyAlignment="1">
      <alignment horizontal="right"/>
    </xf>
    <xf numFmtId="49" fontId="47" fillId="0" borderId="0" xfId="0" applyNumberFormat="1" applyFont="1" applyAlignment="1">
      <alignment horizontal="right"/>
    </xf>
    <xf numFmtId="49" fontId="47" fillId="17" borderId="1" xfId="0" applyNumberFormat="1" applyFont="1" applyFill="1" applyBorder="1" applyAlignment="1">
      <alignment horizontal="right"/>
    </xf>
    <xf numFmtId="0" fontId="33" fillId="7" borderId="1" xfId="0" applyFont="1" applyFill="1" applyBorder="1"/>
    <xf numFmtId="0" fontId="16" fillId="7" borderId="1" xfId="0" applyFont="1" applyFill="1" applyBorder="1"/>
    <xf numFmtId="0" fontId="31" fillId="14" borderId="1" xfId="0" applyFont="1" applyFill="1" applyBorder="1"/>
    <xf numFmtId="0" fontId="45" fillId="0" borderId="0" xfId="0" applyFont="1"/>
    <xf numFmtId="0" fontId="46" fillId="0" borderId="0" xfId="0" applyFont="1"/>
    <xf numFmtId="3" fontId="47" fillId="0" borderId="0" xfId="0" applyNumberFormat="1" applyFont="1"/>
    <xf numFmtId="0" fontId="47" fillId="0" borderId="0" xfId="0" applyFont="1" applyAlignment="1">
      <alignment horizontal="right"/>
    </xf>
    <xf numFmtId="3" fontId="47" fillId="0" borderId="0" xfId="0" applyNumberFormat="1" applyFont="1" applyAlignment="1">
      <alignment horizontal="right"/>
    </xf>
    <xf numFmtId="0" fontId="45" fillId="7" borderId="1" xfId="0" applyFont="1" applyFill="1" applyBorder="1" applyAlignment="1">
      <alignment horizontal="right"/>
    </xf>
    <xf numFmtId="0" fontId="46" fillId="7" borderId="1" xfId="0" applyFont="1" applyFill="1" applyBorder="1"/>
    <xf numFmtId="3" fontId="47" fillId="7" borderId="1" xfId="0" applyNumberFormat="1" applyFont="1" applyFill="1" applyBorder="1"/>
    <xf numFmtId="0" fontId="47" fillId="7" borderId="1" xfId="0" applyFont="1" applyFill="1" applyBorder="1" applyAlignment="1">
      <alignment horizontal="right"/>
    </xf>
    <xf numFmtId="3" fontId="47" fillId="7" borderId="1" xfId="0" applyNumberFormat="1" applyFont="1" applyFill="1" applyBorder="1" applyAlignment="1">
      <alignment horizontal="right"/>
    </xf>
    <xf numFmtId="49" fontId="47" fillId="7" borderId="1" xfId="0" applyNumberFormat="1" applyFont="1" applyFill="1" applyBorder="1" applyAlignment="1">
      <alignment horizontal="right"/>
    </xf>
    <xf numFmtId="0" fontId="32" fillId="20" borderId="1" xfId="0" applyFont="1" applyFill="1" applyBorder="1"/>
    <xf numFmtId="0" fontId="50" fillId="20" borderId="1" xfId="0" applyFont="1" applyFill="1" applyBorder="1"/>
    <xf numFmtId="3" fontId="50" fillId="20" borderId="1" xfId="0" applyNumberFormat="1" applyFont="1" applyFill="1" applyBorder="1"/>
    <xf numFmtId="0" fontId="50" fillId="20" borderId="1" xfId="0" applyFont="1" applyFill="1" applyBorder="1" applyAlignment="1">
      <alignment horizontal="right"/>
    </xf>
    <xf numFmtId="3" fontId="50" fillId="20" borderId="1" xfId="0" applyNumberFormat="1" applyFont="1" applyFill="1" applyBorder="1" applyAlignment="1">
      <alignment horizontal="right"/>
    </xf>
    <xf numFmtId="49" fontId="50" fillId="20" borderId="1" xfId="0" applyNumberFormat="1" applyFont="1" applyFill="1" applyBorder="1" applyAlignment="1">
      <alignment horizontal="right"/>
    </xf>
    <xf numFmtId="0" fontId="24" fillId="5" borderId="1" xfId="0" applyFont="1" applyFill="1" applyBorder="1" applyAlignment="1">
      <alignment horizontal="right"/>
    </xf>
    <xf numFmtId="0" fontId="24" fillId="5" borderId="1" xfId="0" applyFont="1" applyFill="1" applyBorder="1"/>
    <xf numFmtId="0" fontId="15" fillId="5" borderId="1" xfId="0" applyFont="1" applyFill="1" applyBorder="1"/>
    <xf numFmtId="3" fontId="15" fillId="5" borderId="1" xfId="0" applyNumberFormat="1" applyFont="1" applyFill="1" applyBorder="1"/>
    <xf numFmtId="0" fontId="15" fillId="5" borderId="1" xfId="0" applyFont="1" applyFill="1" applyBorder="1" applyAlignment="1">
      <alignment horizontal="right"/>
    </xf>
    <xf numFmtId="3" fontId="15" fillId="5" borderId="1" xfId="0" applyNumberFormat="1" applyFont="1" applyFill="1" applyBorder="1" applyAlignment="1">
      <alignment horizontal="right"/>
    </xf>
    <xf numFmtId="49" fontId="15" fillId="5" borderId="1" xfId="0" applyNumberFormat="1" applyFont="1" applyFill="1" applyBorder="1" applyAlignment="1">
      <alignment horizontal="right"/>
    </xf>
    <xf numFmtId="0" fontId="16" fillId="21" borderId="1" xfId="0" applyFont="1" applyFill="1" applyBorder="1"/>
    <xf numFmtId="0" fontId="33" fillId="21" borderId="1" xfId="0" applyFont="1" applyFill="1" applyBorder="1"/>
    <xf numFmtId="3" fontId="33" fillId="21" borderId="1" xfId="0" applyNumberFormat="1" applyFont="1" applyFill="1" applyBorder="1"/>
    <xf numFmtId="0" fontId="33" fillId="21" borderId="1" xfId="0" applyFont="1" applyFill="1" applyBorder="1" applyAlignment="1">
      <alignment horizontal="right"/>
    </xf>
    <xf numFmtId="3" fontId="33" fillId="21" borderId="1" xfId="0" applyNumberFormat="1" applyFont="1" applyFill="1" applyBorder="1" applyAlignment="1">
      <alignment horizontal="right"/>
    </xf>
    <xf numFmtId="49" fontId="33" fillId="21" borderId="1" xfId="0" applyNumberFormat="1" applyFont="1" applyFill="1" applyBorder="1" applyAlignment="1">
      <alignment horizontal="right"/>
    </xf>
    <xf numFmtId="0" fontId="16" fillId="22" borderId="1" xfId="0" applyFont="1" applyFill="1" applyBorder="1"/>
    <xf numFmtId="0" fontId="46" fillId="22" borderId="1" xfId="0" applyFont="1" applyFill="1" applyBorder="1"/>
    <xf numFmtId="0" fontId="47" fillId="22" borderId="1" xfId="0" applyFont="1" applyFill="1" applyBorder="1"/>
    <xf numFmtId="3" fontId="47" fillId="22" borderId="1" xfId="0" applyNumberFormat="1" applyFont="1" applyFill="1" applyBorder="1"/>
    <xf numFmtId="0" fontId="47" fillId="22" borderId="1" xfId="0" applyFont="1" applyFill="1" applyBorder="1" applyAlignment="1">
      <alignment horizontal="right"/>
    </xf>
    <xf numFmtId="3" fontId="47" fillId="22" borderId="1" xfId="0" applyNumberFormat="1" applyFont="1" applyFill="1" applyBorder="1" applyAlignment="1">
      <alignment horizontal="right"/>
    </xf>
    <xf numFmtId="49" fontId="47" fillId="22" borderId="1" xfId="0" applyNumberFormat="1" applyFont="1" applyFill="1" applyBorder="1" applyAlignment="1">
      <alignment horizontal="right"/>
    </xf>
    <xf numFmtId="17" fontId="47" fillId="0" borderId="0" xfId="0" applyNumberFormat="1" applyFont="1" applyAlignment="1">
      <alignment horizontal="right"/>
    </xf>
    <xf numFmtId="12" fontId="47" fillId="0" borderId="0" xfId="0" applyNumberFormat="1" applyFont="1" applyAlignment="1">
      <alignment horizontal="right"/>
    </xf>
    <xf numFmtId="0" fontId="33" fillId="22" borderId="1" xfId="0" applyFont="1" applyFill="1" applyBorder="1"/>
    <xf numFmtId="3" fontId="33" fillId="22" borderId="1" xfId="0" applyNumberFormat="1" applyFont="1" applyFill="1" applyBorder="1"/>
    <xf numFmtId="0" fontId="33" fillId="22" borderId="1" xfId="0" applyFont="1" applyFill="1" applyBorder="1" applyAlignment="1">
      <alignment horizontal="right"/>
    </xf>
    <xf numFmtId="3" fontId="33" fillId="22" borderId="1" xfId="0" applyNumberFormat="1" applyFont="1" applyFill="1" applyBorder="1" applyAlignment="1">
      <alignment horizontal="right"/>
    </xf>
    <xf numFmtId="49" fontId="33" fillId="22" borderId="1" xfId="0" applyNumberFormat="1" applyFont="1" applyFill="1" applyBorder="1" applyAlignment="1">
      <alignment horizontal="right"/>
    </xf>
    <xf numFmtId="0" fontId="46" fillId="7" borderId="1" xfId="0" applyFont="1" applyFill="1" applyBorder="1" applyAlignment="1">
      <alignment horizontal="right"/>
    </xf>
    <xf numFmtId="0" fontId="45" fillId="7" borderId="1" xfId="0" applyFont="1" applyFill="1" applyBorder="1"/>
    <xf numFmtId="0" fontId="45" fillId="20" borderId="1" xfId="0" applyFont="1" applyFill="1" applyBorder="1"/>
    <xf numFmtId="0" fontId="46" fillId="20" borderId="1" xfId="0" applyFont="1" applyFill="1" applyBorder="1"/>
    <xf numFmtId="0" fontId="33" fillId="20" borderId="1" xfId="0" applyFont="1" applyFill="1" applyBorder="1"/>
    <xf numFmtId="3" fontId="33" fillId="20" borderId="1" xfId="0" applyNumberFormat="1" applyFont="1" applyFill="1" applyBorder="1"/>
    <xf numFmtId="0" fontId="33" fillId="20" borderId="1" xfId="0" applyFont="1" applyFill="1" applyBorder="1" applyAlignment="1">
      <alignment horizontal="right"/>
    </xf>
    <xf numFmtId="49" fontId="33" fillId="20" borderId="1" xfId="0" applyNumberFormat="1" applyFont="1" applyFill="1" applyBorder="1" applyAlignment="1">
      <alignment horizontal="right"/>
    </xf>
    <xf numFmtId="0" fontId="1" fillId="20" borderId="1" xfId="0" applyFont="1" applyFill="1" applyBorder="1"/>
    <xf numFmtId="0" fontId="47" fillId="20" borderId="1" xfId="0" applyFont="1" applyFill="1" applyBorder="1"/>
    <xf numFmtId="3" fontId="47" fillId="20" borderId="1" xfId="0" applyNumberFormat="1" applyFont="1" applyFill="1" applyBorder="1"/>
    <xf numFmtId="0" fontId="47" fillId="20" borderId="1" xfId="0" applyFont="1" applyFill="1" applyBorder="1" applyAlignment="1">
      <alignment horizontal="right"/>
    </xf>
    <xf numFmtId="3" fontId="47" fillId="20" borderId="1" xfId="0" applyNumberFormat="1" applyFont="1" applyFill="1" applyBorder="1" applyAlignment="1">
      <alignment horizontal="right"/>
    </xf>
    <xf numFmtId="49" fontId="47" fillId="20" borderId="1" xfId="0" applyNumberFormat="1" applyFont="1" applyFill="1" applyBorder="1" applyAlignment="1">
      <alignment horizontal="right"/>
    </xf>
    <xf numFmtId="1" fontId="15" fillId="5" borderId="1" xfId="0" applyNumberFormat="1" applyFont="1" applyFill="1" applyBorder="1"/>
    <xf numFmtId="1" fontId="1" fillId="20" borderId="1" xfId="0" applyNumberFormat="1" applyFont="1" applyFill="1" applyBorder="1"/>
    <xf numFmtId="0" fontId="51" fillId="7" borderId="1" xfId="0" applyFont="1" applyFill="1" applyBorder="1"/>
    <xf numFmtId="0" fontId="52" fillId="7" borderId="1" xfId="0" applyFont="1" applyFill="1" applyBorder="1"/>
    <xf numFmtId="0" fontId="16" fillId="23" borderId="1" xfId="0" applyFont="1" applyFill="1" applyBorder="1" applyAlignment="1">
      <alignment horizontal="right"/>
    </xf>
    <xf numFmtId="0" fontId="16" fillId="23" borderId="1" xfId="0" applyFont="1" applyFill="1" applyBorder="1"/>
    <xf numFmtId="0" fontId="33" fillId="23" borderId="1" xfId="0" applyFont="1" applyFill="1" applyBorder="1"/>
    <xf numFmtId="3" fontId="33" fillId="23" borderId="1" xfId="0" applyNumberFormat="1" applyFont="1" applyFill="1" applyBorder="1" applyAlignment="1">
      <alignment horizontal="right"/>
    </xf>
    <xf numFmtId="0" fontId="45" fillId="24" borderId="1" xfId="0" applyFont="1" applyFill="1" applyBorder="1"/>
    <xf numFmtId="0" fontId="46" fillId="24" borderId="1" xfId="0" applyFont="1" applyFill="1" applyBorder="1"/>
    <xf numFmtId="0" fontId="33" fillId="23" borderId="1" xfId="0" applyFont="1" applyFill="1" applyBorder="1" applyAlignment="1">
      <alignment horizontal="right"/>
    </xf>
    <xf numFmtId="0" fontId="33" fillId="24" borderId="1" xfId="0" applyFont="1" applyFill="1" applyBorder="1"/>
    <xf numFmtId="49" fontId="33" fillId="23" borderId="1" xfId="0" applyNumberFormat="1" applyFont="1" applyFill="1" applyBorder="1" applyAlignment="1">
      <alignment horizontal="right"/>
    </xf>
    <xf numFmtId="0" fontId="34" fillId="23" borderId="1" xfId="0" applyFont="1" applyFill="1" applyBorder="1"/>
    <xf numFmtId="0" fontId="47" fillId="24" borderId="1" xfId="0" applyFont="1" applyFill="1" applyBorder="1"/>
    <xf numFmtId="0" fontId="40" fillId="15" borderId="1" xfId="0" applyFont="1" applyFill="1" applyBorder="1"/>
    <xf numFmtId="1" fontId="40" fillId="15" borderId="1" xfId="0" applyNumberFormat="1" applyFont="1" applyFill="1" applyBorder="1" applyAlignment="1">
      <alignment horizontal="right"/>
    </xf>
    <xf numFmtId="3" fontId="47" fillId="24" borderId="1" xfId="0" applyNumberFormat="1" applyFont="1" applyFill="1" applyBorder="1"/>
    <xf numFmtId="0" fontId="47" fillId="24" borderId="1" xfId="0" applyFont="1" applyFill="1" applyBorder="1" applyAlignment="1">
      <alignment horizontal="right"/>
    </xf>
    <xf numFmtId="3" fontId="47" fillId="24" borderId="1" xfId="0" applyNumberFormat="1" applyFont="1" applyFill="1" applyBorder="1" applyAlignment="1">
      <alignment horizontal="right"/>
    </xf>
    <xf numFmtId="49" fontId="47" fillId="24" borderId="1" xfId="0" applyNumberFormat="1" applyFont="1" applyFill="1" applyBorder="1" applyAlignment="1">
      <alignment horizontal="right"/>
    </xf>
    <xf numFmtId="0" fontId="53" fillId="23" borderId="1" xfId="0" applyFont="1" applyFill="1" applyBorder="1"/>
    <xf numFmtId="17" fontId="1" fillId="0" borderId="0" xfId="0" applyNumberFormat="1" applyFont="1"/>
    <xf numFmtId="0" fontId="54" fillId="0" borderId="0" xfId="0" applyFont="1"/>
    <xf numFmtId="1" fontId="33" fillId="24" borderId="1" xfId="0" applyNumberFormat="1" applyFont="1" applyFill="1" applyBorder="1"/>
    <xf numFmtId="0" fontId="32" fillId="7" borderId="1" xfId="0" applyFont="1" applyFill="1" applyBorder="1"/>
    <xf numFmtId="0" fontId="55" fillId="0" borderId="0" xfId="0" applyFont="1"/>
    <xf numFmtId="0" fontId="50" fillId="0" borderId="0" xfId="0" applyFont="1"/>
    <xf numFmtId="0" fontId="40" fillId="0" borderId="0" xfId="0" applyFont="1"/>
    <xf numFmtId="173" fontId="40" fillId="15" borderId="1" xfId="0" applyNumberFormat="1" applyFont="1" applyFill="1" applyBorder="1" applyAlignment="1">
      <alignment horizontal="right"/>
    </xf>
    <xf numFmtId="1" fontId="1" fillId="0" borderId="65" xfId="0" applyNumberFormat="1" applyFont="1" applyBorder="1"/>
    <xf numFmtId="0" fontId="16" fillId="19" borderId="1" xfId="0" applyFont="1" applyFill="1" applyBorder="1"/>
    <xf numFmtId="0" fontId="33" fillId="19" borderId="1" xfId="0" applyFont="1" applyFill="1" applyBorder="1"/>
    <xf numFmtId="0" fontId="12" fillId="25" borderId="1" xfId="0" applyFont="1" applyFill="1" applyBorder="1"/>
    <xf numFmtId="0" fontId="12" fillId="0" borderId="0" xfId="0" applyFont="1"/>
    <xf numFmtId="0" fontId="56" fillId="0" borderId="0" xfId="0" applyFont="1"/>
    <xf numFmtId="3" fontId="16" fillId="22" borderId="1" xfId="0" applyNumberFormat="1" applyFont="1" applyFill="1" applyBorder="1"/>
    <xf numFmtId="169" fontId="1" fillId="14" borderId="1" xfId="0" applyNumberFormat="1" applyFont="1" applyFill="1" applyBorder="1"/>
    <xf numFmtId="1" fontId="16" fillId="22" borderId="1" xfId="0" applyNumberFormat="1" applyFont="1" applyFill="1" applyBorder="1"/>
    <xf numFmtId="0" fontId="1" fillId="22" borderId="1" xfId="0" applyFont="1" applyFill="1" applyBorder="1"/>
    <xf numFmtId="3" fontId="1" fillId="11" borderId="47" xfId="0" applyNumberFormat="1" applyFont="1" applyFill="1" applyBorder="1"/>
    <xf numFmtId="3" fontId="1" fillId="15" borderId="1" xfId="0" applyNumberFormat="1" applyFont="1" applyFill="1" applyBorder="1"/>
    <xf numFmtId="3" fontId="1" fillId="0" borderId="66" xfId="0" applyNumberFormat="1" applyFont="1" applyBorder="1"/>
    <xf numFmtId="0" fontId="1" fillId="0" borderId="66" xfId="0" applyFont="1" applyBorder="1"/>
    <xf numFmtId="1" fontId="1" fillId="15" borderId="1" xfId="0" applyNumberFormat="1" applyFont="1" applyFill="1" applyBorder="1"/>
    <xf numFmtId="1" fontId="1" fillId="0" borderId="3" xfId="0" applyNumberFormat="1" applyFont="1" applyBorder="1"/>
    <xf numFmtId="174" fontId="1" fillId="0" borderId="0" xfId="0" applyNumberFormat="1" applyFont="1"/>
    <xf numFmtId="3" fontId="1" fillId="10" borderId="3" xfId="0" applyNumberFormat="1" applyFont="1" applyFill="1" applyBorder="1"/>
    <xf numFmtId="3" fontId="3" fillId="0" borderId="0" xfId="0" applyNumberFormat="1" applyFont="1"/>
    <xf numFmtId="3" fontId="1" fillId="14" borderId="1" xfId="0" applyNumberFormat="1" applyFont="1" applyFill="1" applyBorder="1"/>
    <xf numFmtId="1" fontId="1" fillId="11" borderId="47" xfId="0" applyNumberFormat="1" applyFont="1" applyFill="1" applyBorder="1"/>
    <xf numFmtId="3" fontId="57" fillId="15" borderId="47" xfId="0" applyNumberFormat="1" applyFont="1" applyFill="1" applyBorder="1"/>
    <xf numFmtId="3" fontId="2" fillId="10" borderId="62" xfId="0" applyNumberFormat="1" applyFont="1" applyFill="1" applyBorder="1"/>
    <xf numFmtId="1" fontId="2" fillId="10" borderId="62" xfId="0" applyNumberFormat="1" applyFont="1" applyFill="1" applyBorder="1" applyAlignment="1">
      <alignment horizontal="center"/>
    </xf>
    <xf numFmtId="3" fontId="1" fillId="5" borderId="1" xfId="0" applyNumberFormat="1" applyFont="1" applyFill="1" applyBorder="1"/>
    <xf numFmtId="3" fontId="58" fillId="10" borderId="2" xfId="0" applyNumberFormat="1" applyFont="1" applyFill="1" applyBorder="1"/>
    <xf numFmtId="3" fontId="59" fillId="10" borderId="2" xfId="0" applyNumberFormat="1" applyFont="1" applyFill="1" applyBorder="1"/>
    <xf numFmtId="3" fontId="59" fillId="10" borderId="62" xfId="0" applyNumberFormat="1" applyFont="1" applyFill="1" applyBorder="1"/>
    <xf numFmtId="3" fontId="58" fillId="10" borderId="62" xfId="0" applyNumberFormat="1" applyFont="1" applyFill="1" applyBorder="1"/>
    <xf numFmtId="3" fontId="24" fillId="5" borderId="1" xfId="0" applyNumberFormat="1" applyFont="1" applyFill="1" applyBorder="1"/>
    <xf numFmtId="3" fontId="59" fillId="10" borderId="63" xfId="0" applyNumberFormat="1" applyFont="1" applyFill="1" applyBorder="1"/>
    <xf numFmtId="3" fontId="1" fillId="0" borderId="2" xfId="0" applyNumberFormat="1" applyFont="1" applyBorder="1"/>
    <xf numFmtId="0" fontId="1" fillId="15" borderId="1" xfId="0" applyFont="1" applyFill="1" applyBorder="1"/>
    <xf numFmtId="0" fontId="2" fillId="15" borderId="1" xfId="0" applyFont="1" applyFill="1" applyBorder="1"/>
    <xf numFmtId="49" fontId="2" fillId="15" borderId="1" xfId="0" applyNumberFormat="1" applyFont="1" applyFill="1" applyBorder="1"/>
    <xf numFmtId="0" fontId="1" fillId="26" borderId="1" xfId="0" applyFont="1" applyFill="1" applyBorder="1"/>
    <xf numFmtId="0" fontId="2" fillId="26" borderId="1" xfId="0" applyFont="1" applyFill="1" applyBorder="1"/>
    <xf numFmtId="0" fontId="2" fillId="3" borderId="5" xfId="0" applyFont="1" applyFill="1" applyBorder="1" applyAlignment="1">
      <alignment horizontal="center"/>
    </xf>
    <xf numFmtId="0" fontId="4" fillId="0" borderId="6" xfId="0" applyFont="1" applyBorder="1"/>
    <xf numFmtId="164" fontId="1" fillId="3" borderId="8" xfId="0" applyNumberFormat="1" applyFont="1" applyFill="1" applyBorder="1" applyAlignment="1">
      <alignment horizontal="center"/>
    </xf>
    <xf numFmtId="0" fontId="4" fillId="0" borderId="9" xfId="0" applyFont="1" applyBorder="1"/>
    <xf numFmtId="164" fontId="1" fillId="3" borderId="10" xfId="0" applyNumberFormat="1" applyFont="1" applyFill="1" applyBorder="1" applyAlignment="1">
      <alignment horizontal="center"/>
    </xf>
    <xf numFmtId="0" fontId="4" fillId="0" borderId="11" xfId="0" applyFont="1" applyBorder="1"/>
    <xf numFmtId="0" fontId="4" fillId="0" borderId="12" xfId="0" applyFont="1" applyBorder="1"/>
    <xf numFmtId="0" fontId="4" fillId="0" borderId="20" xfId="0" applyFont="1" applyBorder="1"/>
    <xf numFmtId="0" fontId="4" fillId="0" borderId="14" xfId="0" applyFont="1" applyBorder="1"/>
    <xf numFmtId="0" fontId="4" fillId="0" borderId="15" xfId="0" applyFont="1" applyBorder="1"/>
    <xf numFmtId="0" fontId="4" fillId="0" borderId="16" xfId="0" applyFont="1" applyBorder="1"/>
    <xf numFmtId="0" fontId="4" fillId="0" borderId="17" xfId="0" applyFont="1" applyBorder="1"/>
    <xf numFmtId="0" fontId="4" fillId="0" borderId="18" xfId="0" applyFont="1" applyBorder="1"/>
    <xf numFmtId="0" fontId="7" fillId="6" borderId="23" xfId="0" applyFont="1" applyFill="1" applyBorder="1"/>
    <xf numFmtId="0" fontId="4" fillId="0" borderId="24" xfId="0" applyFont="1" applyBorder="1"/>
    <xf numFmtId="0" fontId="4" fillId="0" borderId="25" xfId="0" applyFont="1" applyBorder="1"/>
    <xf numFmtId="0" fontId="9" fillId="3" borderId="23" xfId="0" applyFont="1" applyFill="1" applyBorder="1" applyAlignment="1">
      <alignment horizontal="center"/>
    </xf>
    <xf numFmtId="0" fontId="4" fillId="0" borderId="26" xfId="0" applyFont="1" applyBorder="1"/>
    <xf numFmtId="0" fontId="1" fillId="6" borderId="19" xfId="0" applyFont="1" applyFill="1" applyBorder="1" applyAlignment="1">
      <alignment horizontal="center" vertical="center"/>
    </xf>
    <xf numFmtId="0" fontId="4" fillId="0" borderId="28" xfId="0" applyFont="1" applyBorder="1"/>
    <xf numFmtId="0" fontId="12" fillId="6" borderId="19" xfId="0" applyFont="1" applyFill="1" applyBorder="1"/>
    <xf numFmtId="0" fontId="4" fillId="0" borderId="29" xfId="0" applyFont="1" applyBorder="1"/>
    <xf numFmtId="0" fontId="14" fillId="3" borderId="19" xfId="0" applyFont="1" applyFill="1" applyBorder="1" applyAlignment="1">
      <alignment horizontal="center"/>
    </xf>
    <xf numFmtId="0" fontId="14" fillId="0" borderId="0" xfId="0" applyFont="1"/>
    <xf numFmtId="0" fontId="0" fillId="0" borderId="0" xfId="0"/>
    <xf numFmtId="0" fontId="2" fillId="0" borderId="0" xfId="0" applyFont="1" applyAlignment="1">
      <alignment horizontal="center" vertical="center"/>
    </xf>
    <xf numFmtId="0" fontId="1" fillId="3" borderId="19" xfId="0" applyFont="1" applyFill="1" applyBorder="1" applyAlignment="1">
      <alignment horizontal="center" vertical="center"/>
    </xf>
    <xf numFmtId="0" fontId="1" fillId="6" borderId="19" xfId="0" applyFont="1" applyFill="1" applyBorder="1"/>
    <xf numFmtId="22" fontId="5" fillId="6" borderId="19" xfId="0" applyNumberFormat="1" applyFont="1" applyFill="1" applyBorder="1" applyAlignment="1">
      <alignment horizontal="center"/>
    </xf>
    <xf numFmtId="0" fontId="5" fillId="6" borderId="19" xfId="0" applyFont="1" applyFill="1" applyBorder="1"/>
    <xf numFmtId="0" fontId="1" fillId="6" borderId="19" xfId="0" applyFont="1" applyFill="1" applyBorder="1" applyAlignment="1">
      <alignment vertical="center"/>
    </xf>
    <xf numFmtId="0" fontId="2" fillId="6" borderId="19" xfId="0" applyFont="1" applyFill="1" applyBorder="1" applyAlignment="1">
      <alignment horizontal="center" vertical="center"/>
    </xf>
    <xf numFmtId="167" fontId="1" fillId="6" borderId="19" xfId="0" applyNumberFormat="1" applyFont="1" applyFill="1" applyBorder="1" applyAlignment="1">
      <alignment horizontal="left"/>
    </xf>
    <xf numFmtId="0" fontId="1" fillId="6" borderId="31" xfId="0" applyFont="1" applyFill="1" applyBorder="1"/>
    <xf numFmtId="0" fontId="1" fillId="6" borderId="31" xfId="0" applyFont="1" applyFill="1" applyBorder="1" applyAlignment="1">
      <alignment horizontal="left"/>
    </xf>
    <xf numFmtId="0" fontId="22" fillId="6" borderId="19" xfId="0" applyFont="1" applyFill="1" applyBorder="1" applyAlignment="1">
      <alignment horizontal="center" vertical="center"/>
    </xf>
    <xf numFmtId="0" fontId="2" fillId="6" borderId="19" xfId="0" applyFont="1" applyFill="1" applyBorder="1" applyAlignment="1">
      <alignment vertical="center"/>
    </xf>
    <xf numFmtId="0" fontId="2" fillId="9" borderId="19" xfId="0" applyFont="1" applyFill="1" applyBorder="1" applyAlignment="1">
      <alignment horizontal="center" vertical="center"/>
    </xf>
    <xf numFmtId="0" fontId="2" fillId="8" borderId="19" xfId="0" applyFont="1" applyFill="1" applyBorder="1" applyAlignment="1">
      <alignment horizontal="center" vertical="center"/>
    </xf>
    <xf numFmtId="0" fontId="2" fillId="9" borderId="13" xfId="0" applyFont="1" applyFill="1" applyBorder="1" applyAlignment="1">
      <alignment horizontal="center" vertical="center"/>
    </xf>
    <xf numFmtId="168" fontId="14" fillId="5" borderId="33" xfId="0" applyNumberFormat="1" applyFont="1" applyFill="1" applyBorder="1" applyAlignment="1">
      <alignment horizontal="center" vertical="center"/>
    </xf>
    <xf numFmtId="0" fontId="4" fillId="0" borderId="34" xfId="0" applyFont="1" applyBorder="1"/>
    <xf numFmtId="0" fontId="1" fillId="6" borderId="19" xfId="0" applyFont="1" applyFill="1" applyBorder="1" applyAlignment="1">
      <alignment horizontal="left" vertical="center"/>
    </xf>
    <xf numFmtId="0" fontId="31" fillId="6" borderId="19" xfId="0" applyFont="1" applyFill="1" applyBorder="1"/>
    <xf numFmtId="0" fontId="1" fillId="6" borderId="19" xfId="0" applyFont="1" applyFill="1" applyBorder="1" applyAlignment="1">
      <alignment horizontal="center"/>
    </xf>
    <xf numFmtId="0" fontId="2" fillId="6" borderId="19" xfId="0" applyFont="1" applyFill="1" applyBorder="1" applyAlignment="1">
      <alignment horizontal="left"/>
    </xf>
    <xf numFmtId="0" fontId="1" fillId="6" borderId="19" xfId="0" applyFont="1" applyFill="1" applyBorder="1" applyAlignment="1">
      <alignment horizontal="left" vertical="center" wrapText="1"/>
    </xf>
    <xf numFmtId="0" fontId="2" fillId="6" borderId="13" xfId="0" applyFont="1" applyFill="1" applyBorder="1" applyAlignment="1">
      <alignment horizontal="center" vertical="center" wrapText="1"/>
    </xf>
    <xf numFmtId="0" fontId="4" fillId="0" borderId="35" xfId="0" applyFont="1" applyBorder="1"/>
    <xf numFmtId="0" fontId="4" fillId="0" borderId="36" xfId="0" applyFont="1" applyBorder="1"/>
    <xf numFmtId="0" fontId="4" fillId="0" borderId="37" xfId="0" applyFont="1" applyBorder="1"/>
    <xf numFmtId="0" fontId="4" fillId="0" borderId="38" xfId="0" applyFont="1" applyBorder="1"/>
    <xf numFmtId="0" fontId="38" fillId="6" borderId="41" xfId="0" applyFont="1" applyFill="1" applyBorder="1"/>
    <xf numFmtId="0" fontId="4" fillId="0" borderId="42" xfId="0" applyFont="1" applyBorder="1"/>
    <xf numFmtId="0" fontId="2" fillId="7" borderId="19" xfId="0" applyFont="1" applyFill="1" applyBorder="1" applyAlignment="1">
      <alignment horizontal="center" vertical="center"/>
    </xf>
    <xf numFmtId="0" fontId="1" fillId="6" borderId="31" xfId="0" applyFont="1" applyFill="1" applyBorder="1" applyAlignment="1">
      <alignment vertical="center"/>
    </xf>
    <xf numFmtId="0" fontId="1" fillId="9" borderId="13" xfId="0" applyFont="1" applyFill="1" applyBorder="1" applyAlignment="1">
      <alignment vertical="top"/>
    </xf>
    <xf numFmtId="0" fontId="4" fillId="0" borderId="61" xfId="0" applyFont="1" applyBorder="1"/>
    <xf numFmtId="0" fontId="1" fillId="0" borderId="0" xfId="0" applyFont="1" applyAlignment="1">
      <alignment horizontal="left"/>
    </xf>
    <xf numFmtId="0" fontId="4" fillId="0" borderId="50" xfId="0" applyFont="1" applyBorder="1"/>
    <xf numFmtId="0" fontId="1" fillId="6" borderId="51" xfId="0" applyFont="1" applyFill="1" applyBorder="1" applyAlignment="1">
      <alignment vertical="center"/>
    </xf>
    <xf numFmtId="0" fontId="1" fillId="9" borderId="54" xfId="0" applyFont="1" applyFill="1" applyBorder="1" applyAlignment="1">
      <alignment horizontal="center" vertical="center"/>
    </xf>
    <xf numFmtId="0" fontId="4" fillId="0" borderId="55" xfId="0" applyFont="1" applyBorder="1"/>
    <xf numFmtId="0" fontId="4" fillId="0" borderId="56" xfId="0" applyFont="1" applyBorder="1"/>
    <xf numFmtId="0" fontId="31" fillId="9" borderId="58" xfId="0" applyFont="1" applyFill="1" applyBorder="1" applyAlignment="1">
      <alignment horizontal="center" vertical="center"/>
    </xf>
    <xf numFmtId="0" fontId="4" fillId="0" borderId="57" xfId="0" applyFont="1" applyBorder="1"/>
    <xf numFmtId="0" fontId="2" fillId="0" borderId="0" xfId="0" applyFont="1" applyAlignment="1">
      <alignment horizontal="center"/>
    </xf>
    <xf numFmtId="0" fontId="2" fillId="0" borderId="0" xfId="0" applyFont="1"/>
    <xf numFmtId="0" fontId="1" fillId="0" borderId="0" xfId="0" applyFont="1" applyAlignment="1">
      <alignment horizontal="center" vertical="center"/>
    </xf>
    <xf numFmtId="0" fontId="1" fillId="0" borderId="0" xfId="0" applyFont="1" applyAlignment="1">
      <alignment vertical="center"/>
    </xf>
    <xf numFmtId="1" fontId="1" fillId="0" borderId="0" xfId="0" applyNumberFormat="1" applyFont="1" applyAlignment="1">
      <alignment vertical="center"/>
    </xf>
    <xf numFmtId="0" fontId="1" fillId="0" borderId="0" xfId="0" applyFont="1" applyAlignment="1">
      <alignment horizontal="center" wrapText="1"/>
    </xf>
    <xf numFmtId="1" fontId="1" fillId="0" borderId="0" xfId="0" applyNumberFormat="1" applyFont="1" applyAlignment="1">
      <alignment horizontal="center" vertical="center"/>
    </xf>
    <xf numFmtId="0" fontId="1" fillId="0" borderId="0" xfId="0" applyFont="1"/>
    <xf numFmtId="0" fontId="4" fillId="0" borderId="67" xfId="0" applyFont="1" applyBorder="1"/>
    <xf numFmtId="0" fontId="22" fillId="6" borderId="19" xfId="0" applyFont="1" applyFill="1" applyBorder="1"/>
    <xf numFmtId="0" fontId="5" fillId="0" borderId="0" xfId="0" applyFont="1"/>
    <xf numFmtId="0" fontId="5" fillId="0" borderId="0" xfId="0" applyFont="1" applyAlignment="1">
      <alignment vertical="center"/>
    </xf>
    <xf numFmtId="175" fontId="1" fillId="0" borderId="0" xfId="0" applyNumberFormat="1" applyFont="1" applyAlignment="1">
      <alignment horizontal="center"/>
    </xf>
    <xf numFmtId="0" fontId="2" fillId="6" borderId="5" xfId="0" applyFont="1" applyFill="1" applyBorder="1" applyAlignment="1">
      <alignment horizontal="center"/>
    </xf>
    <xf numFmtId="0" fontId="1" fillId="6" borderId="5" xfId="0" applyFont="1" applyFill="1" applyBorder="1" applyAlignment="1">
      <alignment horizontal="center"/>
    </xf>
    <xf numFmtId="0" fontId="1" fillId="6" borderId="5" xfId="0" applyFont="1" applyFill="1" applyBorder="1"/>
    <xf numFmtId="0" fontId="1" fillId="27" borderId="1" xfId="0" applyFont="1" applyFill="1" applyBorder="1"/>
    <xf numFmtId="0" fontId="2" fillId="27" borderId="1" xfId="0" applyFont="1" applyFill="1" applyBorder="1" applyAlignment="1">
      <alignment horizontal="center"/>
    </xf>
    <xf numFmtId="164" fontId="1" fillId="27" borderId="1" xfId="0" applyNumberFormat="1" applyFont="1" applyFill="1" applyBorder="1"/>
    <xf numFmtId="0" fontId="2" fillId="0" borderId="68" xfId="0" applyFont="1" applyBorder="1" applyAlignment="1">
      <alignment horizontal="center"/>
    </xf>
    <xf numFmtId="0" fontId="4" fillId="0" borderId="69" xfId="0" applyFont="1" applyBorder="1"/>
    <xf numFmtId="0" fontId="4" fillId="0" borderId="70" xfId="0" applyFont="1" applyBorder="1"/>
    <xf numFmtId="0" fontId="1" fillId="0" borderId="71" xfId="0" applyFont="1" applyBorder="1" applyAlignment="1">
      <alignment horizontal="left"/>
    </xf>
    <xf numFmtId="0" fontId="1" fillId="0" borderId="61" xfId="0" applyFont="1" applyBorder="1" applyAlignment="1">
      <alignment horizontal="left"/>
    </xf>
    <xf numFmtId="0" fontId="1" fillId="0" borderId="61" xfId="0" applyFont="1" applyBorder="1"/>
    <xf numFmtId="0" fontId="1" fillId="0" borderId="72" xfId="0" applyFont="1" applyBorder="1"/>
    <xf numFmtId="0" fontId="1" fillId="4" borderId="71" xfId="0" applyFont="1" applyFill="1" applyBorder="1"/>
    <xf numFmtId="0" fontId="1" fillId="4" borderId="61" xfId="0" applyFont="1" applyFill="1" applyBorder="1"/>
    <xf numFmtId="165" fontId="1" fillId="4" borderId="61" xfId="0" applyNumberFormat="1" applyFont="1" applyFill="1" applyBorder="1"/>
    <xf numFmtId="164" fontId="1" fillId="4" borderId="72" xfId="0" applyNumberFormat="1" applyFont="1" applyFill="1" applyBorder="1"/>
    <xf numFmtId="166" fontId="1" fillId="3" borderId="71" xfId="0" applyNumberFormat="1" applyFont="1" applyFill="1" applyBorder="1" applyAlignment="1">
      <alignment horizontal="left"/>
    </xf>
    <xf numFmtId="165" fontId="1" fillId="3" borderId="61" xfId="0" applyNumberFormat="1" applyFont="1" applyFill="1" applyBorder="1"/>
    <xf numFmtId="0" fontId="1" fillId="4" borderId="73" xfId="0" applyFont="1" applyFill="1" applyBorder="1"/>
    <xf numFmtId="0" fontId="1" fillId="4" borderId="74" xfId="0" applyFont="1" applyFill="1" applyBorder="1"/>
    <xf numFmtId="165" fontId="1" fillId="3" borderId="74" xfId="0" applyNumberFormat="1" applyFont="1" applyFill="1" applyBorder="1"/>
    <xf numFmtId="164" fontId="1" fillId="4" borderId="75" xfId="0" applyNumberFormat="1" applyFont="1" applyFill="1" applyBorder="1"/>
    <xf numFmtId="0" fontId="1" fillId="0" borderId="71" xfId="0" applyFont="1" applyBorder="1" applyAlignment="1">
      <alignment horizontal="center"/>
    </xf>
    <xf numFmtId="0" fontId="5" fillId="0" borderId="25" xfId="0" applyFont="1" applyBorder="1" applyAlignment="1">
      <alignment horizontal="center"/>
    </xf>
    <xf numFmtId="0" fontId="1" fillId="0" borderId="72" xfId="0" applyFont="1" applyBorder="1" applyAlignment="1">
      <alignment horizontal="center"/>
    </xf>
    <xf numFmtId="165" fontId="1" fillId="3" borderId="61" xfId="0" applyNumberFormat="1" applyFont="1" applyFill="1" applyBorder="1" applyAlignment="1">
      <alignment horizontal="center"/>
    </xf>
    <xf numFmtId="0" fontId="1" fillId="27" borderId="61" xfId="0" applyFont="1" applyFill="1" applyBorder="1"/>
    <xf numFmtId="165" fontId="1" fillId="3" borderId="72" xfId="0" applyNumberFormat="1" applyFont="1" applyFill="1" applyBorder="1" applyAlignment="1">
      <alignment horizontal="center"/>
    </xf>
    <xf numFmtId="0" fontId="1" fillId="3" borderId="71" xfId="0" applyFont="1" applyFill="1" applyBorder="1"/>
    <xf numFmtId="0" fontId="1" fillId="3" borderId="73" xfId="0" applyFont="1" applyFill="1" applyBorder="1"/>
    <xf numFmtId="165" fontId="1" fillId="3" borderId="74" xfId="0" applyNumberFormat="1" applyFont="1" applyFill="1" applyBorder="1" applyAlignment="1">
      <alignment horizontal="center"/>
    </xf>
    <xf numFmtId="0" fontId="4" fillId="0" borderId="74" xfId="0" applyFont="1" applyBorder="1"/>
    <xf numFmtId="0" fontId="1" fillId="27" borderId="74" xfId="0" applyFont="1" applyFill="1" applyBorder="1"/>
    <xf numFmtId="165" fontId="1" fillId="3" borderId="75" xfId="0" applyNumberFormat="1" applyFont="1" applyFill="1" applyBorder="1" applyAlignment="1">
      <alignment horizontal="center"/>
    </xf>
    <xf numFmtId="0" fontId="1" fillId="0" borderId="61" xfId="0" applyFont="1" applyBorder="1" applyAlignment="1">
      <alignment horizontal="center"/>
    </xf>
    <xf numFmtId="166" fontId="1" fillId="3" borderId="71" xfId="0" applyNumberFormat="1" applyFont="1" applyFill="1" applyBorder="1"/>
    <xf numFmtId="165" fontId="1" fillId="4" borderId="72" xfId="0" applyNumberFormat="1" applyFont="1" applyFill="1" applyBorder="1"/>
    <xf numFmtId="165" fontId="1" fillId="4" borderId="75" xfId="0" applyNumberFormat="1" applyFont="1" applyFill="1" applyBorder="1"/>
    <xf numFmtId="0" fontId="1" fillId="4" borderId="76" xfId="0" applyFont="1" applyFill="1" applyBorder="1" applyAlignment="1">
      <alignment horizontal="center" wrapText="1"/>
    </xf>
    <xf numFmtId="0" fontId="4" fillId="0" borderId="77" xfId="0" applyFont="1" applyBorder="1"/>
    <xf numFmtId="0" fontId="4" fillId="0" borderId="78" xfId="0" applyFont="1" applyBorder="1"/>
    <xf numFmtId="0" fontId="4" fillId="0" borderId="73" xfId="0" applyFont="1" applyBorder="1"/>
    <xf numFmtId="0" fontId="4" fillId="0" borderId="75" xfId="0" applyFont="1" applyBorder="1"/>
    <xf numFmtId="0" fontId="1" fillId="3" borderId="76" xfId="0" applyFont="1" applyFill="1" applyBorder="1"/>
    <xf numFmtId="0" fontId="1" fillId="3" borderId="77" xfId="0" applyFont="1" applyFill="1" applyBorder="1"/>
    <xf numFmtId="0" fontId="1" fillId="3" borderId="78" xfId="0" applyFont="1" applyFill="1" applyBorder="1"/>
    <xf numFmtId="0" fontId="1" fillId="3" borderId="74" xfId="0" applyFont="1" applyFill="1" applyBorder="1"/>
    <xf numFmtId="0" fontId="1" fillId="3" borderId="75" xfId="0" applyFont="1" applyFill="1" applyBorder="1"/>
    <xf numFmtId="0" fontId="2" fillId="0" borderId="79" xfId="0" applyFont="1" applyBorder="1" applyAlignment="1">
      <alignment horizontal="center"/>
    </xf>
    <xf numFmtId="0" fontId="2" fillId="0" borderId="78" xfId="0" applyFont="1" applyBorder="1" applyAlignment="1">
      <alignment horizontal="center"/>
    </xf>
    <xf numFmtId="0" fontId="1" fillId="0" borderId="71" xfId="0" applyFont="1" applyBorder="1"/>
    <xf numFmtId="0" fontId="0" fillId="0" borderId="72" xfId="0" applyBorder="1"/>
    <xf numFmtId="164" fontId="1" fillId="4" borderId="80" xfId="0" applyNumberFormat="1" applyFont="1" applyFill="1" applyBorder="1"/>
    <xf numFmtId="0" fontId="3" fillId="0" borderId="72" xfId="0" applyFont="1" applyBorder="1"/>
    <xf numFmtId="164" fontId="1" fillId="4" borderId="81" xfId="0" applyNumberFormat="1" applyFont="1" applyFill="1" applyBorder="1"/>
    <xf numFmtId="164" fontId="1" fillId="3" borderId="80" xfId="0" applyNumberFormat="1" applyFont="1" applyFill="1" applyBorder="1"/>
    <xf numFmtId="0" fontId="1" fillId="3" borderId="82" xfId="0" applyFont="1" applyFill="1" applyBorder="1"/>
    <xf numFmtId="164" fontId="1" fillId="3" borderId="83" xfId="0" applyNumberFormat="1" applyFont="1" applyFill="1" applyBorder="1"/>
    <xf numFmtId="0" fontId="1" fillId="3" borderId="84" xfId="0" applyFont="1" applyFill="1" applyBorder="1"/>
    <xf numFmtId="0" fontId="1" fillId="28"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647700</xdr:colOff>
      <xdr:row>503</xdr:row>
      <xdr:rowOff>38100</xdr:rowOff>
    </xdr:from>
    <xdr:ext cx="247650" cy="38100"/>
    <xdr:grpSp>
      <xdr:nvGrpSpPr>
        <xdr:cNvPr id="2" name="Shape 2">
          <a:extLst>
            <a:ext uri="{FF2B5EF4-FFF2-40B4-BE49-F238E27FC236}">
              <a16:creationId xmlns:a16="http://schemas.microsoft.com/office/drawing/2014/main" id="{00000000-0008-0000-0100-000002000000}"/>
            </a:ext>
          </a:extLst>
        </xdr:cNvPr>
        <xdr:cNvGrpSpPr/>
      </xdr:nvGrpSpPr>
      <xdr:grpSpPr>
        <a:xfrm>
          <a:off x="6789420" y="19827240"/>
          <a:ext cx="247650" cy="38100"/>
          <a:chOff x="5222175" y="3780000"/>
          <a:chExt cx="247650" cy="0"/>
        </a:xfrm>
      </xdr:grpSpPr>
      <xdr:cxnSp macro="">
        <xdr:nvCxnSpPr>
          <xdr:cNvPr id="3" name="Shape 3">
            <a:extLst>
              <a:ext uri="{FF2B5EF4-FFF2-40B4-BE49-F238E27FC236}">
                <a16:creationId xmlns:a16="http://schemas.microsoft.com/office/drawing/2014/main" id="{00000000-0008-0000-0100-000003000000}"/>
              </a:ext>
            </a:extLst>
          </xdr:cNvPr>
          <xdr:cNvCxnSpPr/>
        </xdr:nvCxnSpPr>
        <xdr:spPr>
          <a:xfrm>
            <a:off x="5222175" y="3780000"/>
            <a:ext cx="247650" cy="0"/>
          </a:xfrm>
          <a:prstGeom prst="straightConnector1">
            <a:avLst/>
          </a:prstGeom>
          <a:noFill/>
          <a:ln w="9525" cap="flat" cmpd="sng">
            <a:solidFill>
              <a:srgbClr val="000000"/>
            </a:solidFill>
            <a:prstDash val="solid"/>
            <a:miter lim="800000"/>
            <a:headEnd type="none" w="med" len="med"/>
            <a:tailEnd type="triangle" w="med" len="med"/>
          </a:ln>
        </xdr:spPr>
      </xdr:cxnSp>
    </xdr:grpSp>
    <xdr:clientData fLocksWithSheet="0"/>
  </xdr:oneCellAnchor>
  <xdr:oneCellAnchor>
    <xdr:from>
      <xdr:col>6</xdr:col>
      <xdr:colOff>466725</xdr:colOff>
      <xdr:row>612</xdr:row>
      <xdr:rowOff>0</xdr:rowOff>
    </xdr:from>
    <xdr:ext cx="438150" cy="200025"/>
    <xdr:pic>
      <xdr:nvPicPr>
        <xdr:cNvPr id="4" name="image1.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hyperlink" Target="mailto:jmp1jds@comcast.net" TargetMode="Externa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AQ909"/>
  <sheetViews>
    <sheetView tabSelected="1" topLeftCell="B1" workbookViewId="0">
      <selection activeCell="U12" sqref="U12"/>
    </sheetView>
  </sheetViews>
  <sheetFormatPr defaultColWidth="12.6640625" defaultRowHeight="15" customHeight="1" x14ac:dyDescent="0.25"/>
  <cols>
    <col min="1" max="1" width="6.21875" hidden="1" customWidth="1"/>
    <col min="2" max="2" width="6.77734375" customWidth="1"/>
    <col min="3" max="3" width="4.21875" hidden="1" customWidth="1"/>
    <col min="4" max="4" width="4.21875" customWidth="1"/>
    <col min="5" max="5" width="13.109375" customWidth="1"/>
    <col min="6" max="6" width="2.33203125" customWidth="1"/>
    <col min="7" max="7" width="14.6640625" customWidth="1"/>
    <col min="8" max="8" width="2.21875" customWidth="1"/>
    <col min="9" max="9" width="11.6640625" customWidth="1"/>
    <col min="10" max="10" width="2.21875" customWidth="1"/>
    <col min="11" max="11" width="12.21875" customWidth="1"/>
    <col min="12" max="12" width="2.109375" customWidth="1"/>
    <col min="13" max="13" width="9.109375" customWidth="1"/>
    <col min="14" max="14" width="6.33203125" customWidth="1"/>
    <col min="15" max="15" width="6.109375" customWidth="1"/>
    <col min="16" max="16" width="1.88671875" customWidth="1"/>
    <col min="17" max="17" width="13.77734375" customWidth="1"/>
    <col min="18" max="18" width="1.77734375" customWidth="1"/>
    <col min="19" max="19" width="8.77734375" customWidth="1"/>
    <col min="20" max="20" width="2.33203125" customWidth="1"/>
    <col min="21" max="21" width="14.21875" customWidth="1"/>
    <col min="22" max="22" width="2.21875" customWidth="1"/>
    <col min="23" max="23" width="13.21875" customWidth="1"/>
    <col min="24" max="24" width="8.33203125" customWidth="1"/>
    <col min="25" max="25" width="9.109375" hidden="1" customWidth="1"/>
    <col min="26" max="26" width="5.109375" hidden="1" customWidth="1"/>
    <col min="27" max="43" width="9.109375" hidden="1" customWidth="1"/>
  </cols>
  <sheetData>
    <row r="1" spans="1:24" ht="12.75" customHeight="1" x14ac:dyDescent="0.25">
      <c r="A1" s="467"/>
      <c r="B1" s="467"/>
      <c r="C1" s="467"/>
      <c r="D1" s="467"/>
      <c r="E1" s="467"/>
      <c r="F1" s="467"/>
      <c r="G1" s="467"/>
      <c r="H1" s="467"/>
      <c r="I1" s="467"/>
      <c r="J1" s="467"/>
      <c r="K1" s="467"/>
      <c r="L1" s="467"/>
      <c r="M1" s="467"/>
      <c r="N1" s="467"/>
      <c r="O1" s="467"/>
      <c r="P1" s="467"/>
      <c r="Q1" s="467"/>
      <c r="R1" s="467"/>
      <c r="S1" s="467"/>
      <c r="T1" s="467"/>
      <c r="U1" s="467"/>
      <c r="V1" s="467"/>
      <c r="W1" s="467"/>
      <c r="X1" s="467"/>
    </row>
    <row r="2" spans="1:24" ht="12.75" customHeight="1" x14ac:dyDescent="0.25">
      <c r="A2" s="467"/>
      <c r="B2" s="467"/>
      <c r="C2" s="467"/>
      <c r="D2" s="467"/>
      <c r="E2" s="467"/>
      <c r="F2" s="467"/>
      <c r="G2" s="467"/>
      <c r="H2" s="467"/>
      <c r="I2" s="467"/>
      <c r="J2" s="467"/>
      <c r="K2" s="467"/>
      <c r="L2" s="467"/>
      <c r="M2" s="467"/>
      <c r="N2" s="467"/>
      <c r="O2" s="467"/>
      <c r="P2" s="467"/>
      <c r="Q2" s="467"/>
      <c r="R2" s="467"/>
      <c r="S2" s="467"/>
      <c r="T2" s="467"/>
      <c r="U2" s="467"/>
      <c r="V2" s="467"/>
      <c r="W2" s="467"/>
      <c r="X2" s="467"/>
    </row>
    <row r="3" spans="1:24" ht="12.75" customHeight="1" x14ac:dyDescent="0.25">
      <c r="A3" s="467"/>
      <c r="B3" s="467"/>
      <c r="C3" s="467"/>
      <c r="D3" s="467"/>
      <c r="E3" s="467"/>
      <c r="F3" s="467"/>
      <c r="G3" s="467"/>
      <c r="H3" s="467"/>
      <c r="I3" s="467"/>
      <c r="J3" s="467"/>
      <c r="K3" s="467"/>
      <c r="L3" s="467"/>
      <c r="M3" s="467"/>
      <c r="N3" s="467"/>
      <c r="O3" s="467"/>
      <c r="P3" s="467"/>
      <c r="Q3" s="467"/>
      <c r="R3" s="467"/>
      <c r="S3" s="467"/>
      <c r="T3" s="467"/>
      <c r="U3" s="467"/>
      <c r="V3" s="467"/>
      <c r="W3" s="467"/>
      <c r="X3" s="467"/>
    </row>
    <row r="4" spans="1:24" ht="13.5" customHeight="1" thickBot="1" x14ac:dyDescent="0.3">
      <c r="A4" s="467"/>
      <c r="B4" s="467"/>
      <c r="C4" s="467"/>
      <c r="D4" s="467"/>
      <c r="E4" s="467"/>
      <c r="F4" s="467"/>
      <c r="G4" s="467"/>
      <c r="H4" s="467"/>
      <c r="I4" s="467"/>
      <c r="J4" s="467"/>
      <c r="K4" s="467"/>
      <c r="L4" s="467"/>
      <c r="M4" s="467"/>
      <c r="N4" s="467"/>
      <c r="O4" s="467"/>
      <c r="P4" s="467"/>
      <c r="Q4" s="467"/>
      <c r="R4" s="467"/>
      <c r="S4" s="467"/>
      <c r="T4" s="467"/>
      <c r="U4" s="467"/>
      <c r="V4" s="467"/>
      <c r="W4" s="467"/>
      <c r="X4" s="467"/>
    </row>
    <row r="5" spans="1:24" ht="13.5" hidden="1" customHeight="1" x14ac:dyDescent="0.25">
      <c r="A5" s="1"/>
      <c r="B5" s="1"/>
      <c r="C5" s="1"/>
      <c r="D5" s="1"/>
      <c r="E5" s="1">
        <f>CHOOSE(E7,C8,C9,C10,C11,C12,C13,C14)</f>
        <v>0</v>
      </c>
      <c r="F5" s="1"/>
      <c r="G5" s="2">
        <f>CHOOSE(G7,G8,G9,G10,G11,G12,G13,G14,G15,G16)</f>
        <v>1400</v>
      </c>
      <c r="H5" s="1"/>
      <c r="I5" s="2">
        <f>CHOOSE(I7,I8,I9,I10,I11,I12,I13,I14)</f>
        <v>800</v>
      </c>
      <c r="J5" s="1"/>
      <c r="K5" s="2">
        <f>CHOOSE(K7,K8,K9,K10,K11,K12,K13,K14)</f>
        <v>1200</v>
      </c>
      <c r="L5" s="1"/>
      <c r="M5" s="2">
        <f>CHOOSE(M7,M8,M9,M10,M11,M12,M13,M14)</f>
        <v>1127</v>
      </c>
      <c r="N5" s="1"/>
      <c r="O5" s="1"/>
      <c r="P5" s="1"/>
      <c r="Q5" s="2">
        <f>CHOOSE(Q7,Q8,Q9,Q10,Q11,Q12,Q13,Q14,Q15,Q16)</f>
        <v>1400</v>
      </c>
      <c r="R5" s="467"/>
      <c r="S5" s="467"/>
      <c r="T5" s="467"/>
      <c r="U5" s="467"/>
      <c r="V5" s="467"/>
      <c r="W5" s="467"/>
      <c r="X5" s="467"/>
    </row>
    <row r="6" spans="1:24" ht="13.5" customHeight="1" thickBot="1" x14ac:dyDescent="0.3">
      <c r="A6" s="1"/>
      <c r="B6" s="467"/>
      <c r="C6" s="467"/>
      <c r="D6" s="467"/>
      <c r="E6" s="3" t="s">
        <v>0</v>
      </c>
      <c r="F6" s="468"/>
      <c r="G6" s="3" t="s">
        <v>1</v>
      </c>
      <c r="H6" s="468"/>
      <c r="I6" s="4" t="s">
        <v>2</v>
      </c>
      <c r="J6" s="468"/>
      <c r="K6" s="3" t="s">
        <v>3</v>
      </c>
      <c r="L6" s="468"/>
      <c r="M6" s="513" t="s">
        <v>4</v>
      </c>
      <c r="N6" s="514"/>
      <c r="O6" s="468"/>
      <c r="P6" s="468"/>
      <c r="Q6" s="3" t="s">
        <v>5</v>
      </c>
      <c r="R6" s="468"/>
      <c r="S6" s="467"/>
      <c r="T6" s="467"/>
      <c r="U6" s="467"/>
      <c r="V6" s="467"/>
      <c r="W6" s="467"/>
      <c r="X6" s="467"/>
    </row>
    <row r="7" spans="1:24" ht="12.75" hidden="1" customHeight="1" x14ac:dyDescent="0.25">
      <c r="A7" s="1"/>
      <c r="B7" s="467"/>
      <c r="C7" s="467"/>
      <c r="D7" s="467"/>
      <c r="E7" s="6">
        <v>1</v>
      </c>
      <c r="F7" s="467"/>
      <c r="G7" s="6">
        <v>1</v>
      </c>
      <c r="H7" s="467"/>
      <c r="I7" s="6">
        <v>3</v>
      </c>
      <c r="J7" s="467"/>
      <c r="K7" s="6">
        <v>3</v>
      </c>
      <c r="L7" s="467"/>
      <c r="M7" s="515">
        <v>3</v>
      </c>
      <c r="N7" s="516"/>
      <c r="O7" s="467"/>
      <c r="P7" s="467"/>
      <c r="Q7" s="6">
        <v>6</v>
      </c>
      <c r="R7" s="467"/>
      <c r="S7" s="467"/>
      <c r="T7" s="467"/>
      <c r="U7" s="467"/>
      <c r="V7" s="467"/>
      <c r="W7" s="467"/>
      <c r="X7" s="467"/>
    </row>
    <row r="8" spans="1:24" ht="12.75" customHeight="1" x14ac:dyDescent="0.25">
      <c r="A8" s="1"/>
      <c r="B8" s="467"/>
      <c r="C8" s="467">
        <v>0</v>
      </c>
      <c r="D8" s="467"/>
      <c r="E8" s="7" t="s">
        <v>6</v>
      </c>
      <c r="F8" s="467"/>
      <c r="G8" s="8">
        <v>1400</v>
      </c>
      <c r="H8" s="467"/>
      <c r="I8" s="8">
        <v>600</v>
      </c>
      <c r="J8" s="467"/>
      <c r="K8" s="8">
        <v>1030</v>
      </c>
      <c r="L8" s="467"/>
      <c r="M8" s="517">
        <v>690</v>
      </c>
      <c r="N8" s="518" t="s">
        <v>7</v>
      </c>
      <c r="O8" s="467"/>
      <c r="P8" s="467"/>
      <c r="Q8" s="8">
        <v>1630</v>
      </c>
      <c r="R8" s="467"/>
      <c r="S8" s="467"/>
      <c r="T8" s="467"/>
      <c r="U8" s="467"/>
      <c r="V8" s="467"/>
      <c r="W8" s="467"/>
      <c r="X8" s="467"/>
    </row>
    <row r="9" spans="1:24" ht="12.75" customHeight="1" x14ac:dyDescent="0.25">
      <c r="A9" s="1"/>
      <c r="B9" s="467"/>
      <c r="C9" s="469">
        <f t="shared" ref="C9:C14" si="0">E9</f>
        <v>4500</v>
      </c>
      <c r="D9" s="467"/>
      <c r="E9" s="8">
        <v>4500</v>
      </c>
      <c r="F9" s="467"/>
      <c r="G9" s="8">
        <v>1500</v>
      </c>
      <c r="H9" s="467"/>
      <c r="I9" s="8">
        <v>700</v>
      </c>
      <c r="J9" s="467"/>
      <c r="K9" s="8">
        <v>1100</v>
      </c>
      <c r="L9" s="467"/>
      <c r="M9" s="517">
        <v>828</v>
      </c>
      <c r="N9" s="518" t="s">
        <v>8</v>
      </c>
      <c r="O9" s="467"/>
      <c r="P9" s="467"/>
      <c r="Q9" s="8">
        <v>1000</v>
      </c>
      <c r="R9" s="467"/>
      <c r="S9" s="467"/>
      <c r="T9" s="467"/>
      <c r="U9" s="467"/>
      <c r="V9" s="467"/>
      <c r="W9" s="467"/>
      <c r="X9" s="467"/>
    </row>
    <row r="10" spans="1:24" ht="12.75" customHeight="1" x14ac:dyDescent="0.25">
      <c r="A10" s="1"/>
      <c r="B10" s="467"/>
      <c r="C10" s="469">
        <f t="shared" si="0"/>
        <v>3500</v>
      </c>
      <c r="D10" s="467"/>
      <c r="E10" s="8">
        <v>3500</v>
      </c>
      <c r="F10" s="467"/>
      <c r="G10" s="8">
        <v>1600</v>
      </c>
      <c r="H10" s="467"/>
      <c r="I10" s="8">
        <v>800</v>
      </c>
      <c r="J10" s="467"/>
      <c r="K10" s="8">
        <v>1200</v>
      </c>
      <c r="L10" s="467"/>
      <c r="M10" s="517">
        <v>1127</v>
      </c>
      <c r="N10" s="518" t="s">
        <v>9</v>
      </c>
      <c r="O10" s="467"/>
      <c r="P10" s="467"/>
      <c r="Q10" s="8">
        <v>1100</v>
      </c>
      <c r="R10" s="467"/>
      <c r="S10" s="467"/>
      <c r="T10" s="467"/>
      <c r="U10" s="467"/>
      <c r="V10" s="467"/>
      <c r="W10" s="467"/>
      <c r="X10" s="467"/>
    </row>
    <row r="11" spans="1:24" ht="12.75" customHeight="1" x14ac:dyDescent="0.25">
      <c r="A11" s="1"/>
      <c r="B11" s="467"/>
      <c r="C11" s="469">
        <f t="shared" si="0"/>
        <v>6000</v>
      </c>
      <c r="D11" s="467"/>
      <c r="E11" s="8">
        <v>6000</v>
      </c>
      <c r="F11" s="467"/>
      <c r="G11" s="8">
        <v>1700</v>
      </c>
      <c r="H11" s="467"/>
      <c r="I11" s="8">
        <v>900</v>
      </c>
      <c r="J11" s="467"/>
      <c r="K11" s="8">
        <v>1300</v>
      </c>
      <c r="L11" s="467"/>
      <c r="M11" s="517">
        <v>1587</v>
      </c>
      <c r="N11" s="518" t="s">
        <v>10</v>
      </c>
      <c r="O11" s="467"/>
      <c r="P11" s="467"/>
      <c r="Q11" s="8">
        <v>1200</v>
      </c>
      <c r="R11" s="467"/>
      <c r="S11" s="467"/>
      <c r="T11" s="467"/>
      <c r="U11" s="467"/>
      <c r="V11" s="467"/>
      <c r="W11" s="467"/>
      <c r="X11" s="467"/>
    </row>
    <row r="12" spans="1:24" ht="12.75" customHeight="1" x14ac:dyDescent="0.25">
      <c r="A12" s="1"/>
      <c r="B12" s="467"/>
      <c r="C12" s="469">
        <f t="shared" si="0"/>
        <v>9000</v>
      </c>
      <c r="D12" s="467"/>
      <c r="E12" s="8">
        <v>9000</v>
      </c>
      <c r="F12" s="467"/>
      <c r="G12" s="8">
        <v>1800</v>
      </c>
      <c r="H12" s="467"/>
      <c r="I12" s="8">
        <v>1000</v>
      </c>
      <c r="J12" s="467"/>
      <c r="K12" s="10">
        <v>1400</v>
      </c>
      <c r="L12" s="467"/>
      <c r="M12" s="519">
        <v>1840</v>
      </c>
      <c r="N12" s="518" t="s">
        <v>11</v>
      </c>
      <c r="O12" s="467"/>
      <c r="P12" s="467"/>
      <c r="Q12" s="8">
        <v>1300</v>
      </c>
      <c r="R12" s="467"/>
      <c r="S12" s="467"/>
      <c r="T12" s="467"/>
      <c r="U12" s="467"/>
      <c r="V12" s="467"/>
      <c r="W12" s="467"/>
      <c r="X12" s="467"/>
    </row>
    <row r="13" spans="1:24" ht="12.75" customHeight="1" x14ac:dyDescent="0.25">
      <c r="A13" s="1"/>
      <c r="B13" s="467"/>
      <c r="C13" s="469">
        <f t="shared" si="0"/>
        <v>0</v>
      </c>
      <c r="D13" s="467"/>
      <c r="E13" s="11"/>
      <c r="F13" s="467"/>
      <c r="G13" s="8">
        <v>1900</v>
      </c>
      <c r="H13" s="467"/>
      <c r="I13" s="12"/>
      <c r="J13" s="467"/>
      <c r="K13" s="12"/>
      <c r="L13" s="467"/>
      <c r="M13" s="520"/>
      <c r="N13" s="521"/>
      <c r="O13" s="467"/>
      <c r="P13" s="467"/>
      <c r="Q13" s="8">
        <v>1400</v>
      </c>
      <c r="R13" s="467"/>
      <c r="S13" s="467"/>
      <c r="T13" s="467"/>
      <c r="U13" s="467"/>
      <c r="V13" s="467"/>
      <c r="W13" s="467"/>
      <c r="X13" s="467"/>
    </row>
    <row r="14" spans="1:24" ht="12.75" customHeight="1" x14ac:dyDescent="0.25">
      <c r="A14" s="1"/>
      <c r="B14" s="467"/>
      <c r="C14" s="469">
        <f t="shared" si="0"/>
        <v>0</v>
      </c>
      <c r="D14" s="467"/>
      <c r="E14" s="12"/>
      <c r="F14" s="467"/>
      <c r="G14" s="8">
        <v>2000</v>
      </c>
      <c r="H14" s="467"/>
      <c r="I14" s="12"/>
      <c r="J14" s="467"/>
      <c r="K14" s="12"/>
      <c r="L14" s="467"/>
      <c r="M14" s="522"/>
      <c r="N14" s="523"/>
      <c r="O14" s="467"/>
      <c r="P14" s="467"/>
      <c r="Q14" s="8">
        <v>1500</v>
      </c>
      <c r="R14" s="467"/>
      <c r="S14" s="467"/>
      <c r="T14" s="467"/>
      <c r="U14" s="467"/>
      <c r="V14" s="467"/>
      <c r="W14" s="467"/>
      <c r="X14" s="467"/>
    </row>
    <row r="15" spans="1:24" ht="12.75" customHeight="1" x14ac:dyDescent="0.25">
      <c r="A15" s="1"/>
      <c r="B15" s="467"/>
      <c r="C15" s="467"/>
      <c r="D15" s="467"/>
      <c r="E15" s="467"/>
      <c r="F15" s="467"/>
      <c r="G15" s="12"/>
      <c r="H15" s="467"/>
      <c r="I15" s="467"/>
      <c r="J15" s="467"/>
      <c r="K15" s="467"/>
      <c r="L15" s="467"/>
      <c r="M15" s="467"/>
      <c r="N15" s="467"/>
      <c r="O15" s="467"/>
      <c r="P15" s="467"/>
      <c r="Q15" s="12">
        <v>1700</v>
      </c>
      <c r="R15" s="467"/>
      <c r="S15" s="467"/>
      <c r="T15" s="467"/>
      <c r="U15" s="467"/>
      <c r="V15" s="467"/>
      <c r="W15" s="467"/>
      <c r="X15" s="467"/>
    </row>
    <row r="16" spans="1:24" ht="12.75" customHeight="1" x14ac:dyDescent="0.25">
      <c r="A16" s="1"/>
      <c r="B16" s="467"/>
      <c r="C16" s="467"/>
      <c r="D16" s="467"/>
      <c r="E16" s="467"/>
      <c r="F16" s="467"/>
      <c r="G16" s="12"/>
      <c r="H16" s="467"/>
      <c r="I16" s="467"/>
      <c r="J16" s="467"/>
      <c r="K16" s="467"/>
      <c r="L16" s="467"/>
      <c r="M16" s="467"/>
      <c r="N16" s="467"/>
      <c r="O16" s="467"/>
      <c r="P16" s="467"/>
      <c r="Q16" s="12"/>
      <c r="R16" s="467"/>
      <c r="S16" s="467"/>
      <c r="T16" s="467"/>
      <c r="U16" s="467"/>
      <c r="V16" s="467"/>
      <c r="W16" s="467"/>
      <c r="X16" s="467"/>
    </row>
    <row r="17" spans="1:28" ht="13.5" customHeight="1" x14ac:dyDescent="0.25">
      <c r="A17" s="1"/>
      <c r="B17" s="467"/>
      <c r="C17" s="467"/>
      <c r="D17" s="467"/>
      <c r="E17" s="467"/>
      <c r="F17" s="467"/>
      <c r="G17" s="467"/>
      <c r="H17" s="467"/>
      <c r="I17" s="467"/>
      <c r="J17" s="467"/>
      <c r="K17" s="467"/>
      <c r="L17" s="467"/>
      <c r="M17" s="467"/>
      <c r="N17" s="467"/>
      <c r="O17" s="467"/>
      <c r="P17" s="467"/>
      <c r="Q17" s="467"/>
      <c r="R17" s="467"/>
      <c r="S17" s="467"/>
      <c r="T17" s="467"/>
      <c r="U17" s="467"/>
      <c r="V17" s="467"/>
      <c r="W17" s="467"/>
      <c r="X17" s="467"/>
    </row>
    <row r="18" spans="1:28" ht="13.5" hidden="1" customHeight="1" x14ac:dyDescent="0.25">
      <c r="A18" s="1"/>
      <c r="B18" s="467"/>
      <c r="C18" s="467"/>
      <c r="D18" s="467"/>
      <c r="E18" s="2">
        <f>CHOOSE(E20,E21,E22,E23,E24,E25)</f>
        <v>1440</v>
      </c>
      <c r="F18" s="1"/>
      <c r="G18" s="2">
        <f>CHOOSE(G20,G21,G22,G23,G24,G25)</f>
        <v>288</v>
      </c>
      <c r="H18" s="1"/>
      <c r="I18" s="2">
        <f>CHOOSE(I20,I21,I22,I23,I24,I25)</f>
        <v>400</v>
      </c>
      <c r="J18" s="1"/>
      <c r="K18" s="2">
        <f>CHOOSE(K20,K21,K22,K23,K24,K25)</f>
        <v>12000</v>
      </c>
      <c r="L18" s="1"/>
      <c r="M18" s="2">
        <f>CHOOSE(M20,M21,M22,M23,M24,M25)</f>
        <v>540</v>
      </c>
      <c r="N18" s="1"/>
      <c r="O18" s="467"/>
      <c r="P18" s="467"/>
      <c r="Q18" s="2">
        <f>CHOOSE(Q20,Q21,Q22,Q23,Q24,Q25)</f>
        <v>1500</v>
      </c>
      <c r="R18" s="467"/>
      <c r="S18" s="467"/>
      <c r="T18" s="467"/>
      <c r="U18" s="467"/>
      <c r="V18" s="467"/>
      <c r="W18" s="467"/>
      <c r="X18" s="467"/>
    </row>
    <row r="19" spans="1:28" ht="13.5" customHeight="1" x14ac:dyDescent="0.25">
      <c r="A19" s="1"/>
      <c r="B19" s="467"/>
      <c r="C19" s="467"/>
      <c r="D19" s="467"/>
      <c r="E19" s="4" t="s">
        <v>12</v>
      </c>
      <c r="F19" s="467"/>
      <c r="G19" s="4" t="s">
        <v>13</v>
      </c>
      <c r="H19" s="467"/>
      <c r="I19" s="4" t="s">
        <v>14</v>
      </c>
      <c r="J19" s="467"/>
      <c r="K19" s="4" t="s">
        <v>15</v>
      </c>
      <c r="L19" s="467"/>
      <c r="M19" s="385" t="s">
        <v>16</v>
      </c>
      <c r="N19" s="386"/>
      <c r="O19" s="467"/>
      <c r="P19" s="467"/>
      <c r="Q19" s="4" t="s">
        <v>17</v>
      </c>
      <c r="R19" s="467"/>
      <c r="S19" s="467"/>
      <c r="T19" s="467"/>
      <c r="U19" s="467"/>
      <c r="V19" s="467"/>
      <c r="W19" s="467"/>
      <c r="X19" s="467"/>
    </row>
    <row r="20" spans="1:28" ht="12.75" hidden="1" customHeight="1" x14ac:dyDescent="0.25">
      <c r="A20" s="1"/>
      <c r="B20" s="467"/>
      <c r="C20" s="467"/>
      <c r="D20" s="467"/>
      <c r="E20" s="6">
        <v>1</v>
      </c>
      <c r="F20" s="467"/>
      <c r="G20" s="6">
        <v>4</v>
      </c>
      <c r="H20" s="467"/>
      <c r="I20" s="6">
        <v>1</v>
      </c>
      <c r="J20" s="467"/>
      <c r="K20" s="6">
        <v>2</v>
      </c>
      <c r="L20" s="467"/>
      <c r="M20" s="14">
        <v>2</v>
      </c>
      <c r="N20" s="1"/>
      <c r="O20" s="467"/>
      <c r="P20" s="467"/>
      <c r="Q20" s="6">
        <v>1</v>
      </c>
      <c r="R20" s="467"/>
      <c r="S20" s="467"/>
      <c r="T20" s="467"/>
      <c r="U20" s="467"/>
      <c r="V20" s="467"/>
      <c r="W20" s="467"/>
      <c r="X20" s="467"/>
    </row>
    <row r="21" spans="1:28" ht="12.75" customHeight="1" x14ac:dyDescent="0.25">
      <c r="A21" s="1"/>
      <c r="B21" s="467"/>
      <c r="C21" s="467"/>
      <c r="D21" s="467"/>
      <c r="E21" s="8">
        <v>1440</v>
      </c>
      <c r="F21" s="467"/>
      <c r="G21" s="8">
        <v>170</v>
      </c>
      <c r="H21" s="467"/>
      <c r="I21" s="15">
        <v>400</v>
      </c>
      <c r="J21" s="467"/>
      <c r="K21" s="12">
        <v>6670</v>
      </c>
      <c r="L21" s="467"/>
      <c r="M21" s="387">
        <v>400</v>
      </c>
      <c r="N21" s="388"/>
      <c r="O21" s="467"/>
      <c r="P21" s="467"/>
      <c r="Q21" s="8">
        <v>1500</v>
      </c>
      <c r="R21" s="467"/>
      <c r="S21" s="467"/>
      <c r="T21" s="467"/>
      <c r="U21" s="467"/>
      <c r="V21" s="467"/>
      <c r="W21" s="467"/>
      <c r="X21" s="467"/>
    </row>
    <row r="22" spans="1:28" ht="12.75" customHeight="1" x14ac:dyDescent="0.25">
      <c r="A22" s="1"/>
      <c r="B22" s="467"/>
      <c r="C22" s="467"/>
      <c r="D22" s="467"/>
      <c r="E22" s="8">
        <v>1600</v>
      </c>
      <c r="F22" s="467"/>
      <c r="G22" s="8">
        <v>230</v>
      </c>
      <c r="H22" s="467"/>
      <c r="I22" s="15">
        <v>780</v>
      </c>
      <c r="J22" s="467"/>
      <c r="K22" s="12">
        <v>12000</v>
      </c>
      <c r="L22" s="467"/>
      <c r="M22" s="387">
        <v>540</v>
      </c>
      <c r="N22" s="388"/>
      <c r="O22" s="467"/>
      <c r="P22" s="467"/>
      <c r="Q22" s="8">
        <v>1800</v>
      </c>
      <c r="R22" s="467"/>
      <c r="S22" s="467"/>
      <c r="T22" s="467"/>
      <c r="U22" s="467"/>
      <c r="V22" s="467"/>
      <c r="W22" s="467"/>
      <c r="X22" s="467"/>
    </row>
    <row r="23" spans="1:28" ht="12.75" customHeight="1" x14ac:dyDescent="0.25">
      <c r="A23" s="1"/>
      <c r="B23" s="467"/>
      <c r="C23" s="467"/>
      <c r="D23" s="467"/>
      <c r="E23" s="8">
        <v>1800</v>
      </c>
      <c r="F23" s="467"/>
      <c r="G23" s="8">
        <v>340</v>
      </c>
      <c r="H23" s="467"/>
      <c r="I23" s="15">
        <v>850</v>
      </c>
      <c r="J23" s="467"/>
      <c r="K23" s="12"/>
      <c r="L23" s="467"/>
      <c r="M23" s="389">
        <v>700</v>
      </c>
      <c r="N23" s="390"/>
      <c r="O23" s="467"/>
      <c r="P23" s="467"/>
      <c r="Q23" s="8">
        <v>2400</v>
      </c>
      <c r="R23" s="467"/>
      <c r="S23" s="467"/>
      <c r="T23" s="467"/>
      <c r="U23" s="467"/>
      <c r="V23" s="467"/>
      <c r="W23" s="467"/>
      <c r="X23" s="467"/>
    </row>
    <row r="24" spans="1:28" ht="12.75" customHeight="1" x14ac:dyDescent="0.25">
      <c r="A24" s="1"/>
      <c r="B24" s="467"/>
      <c r="C24" s="467"/>
      <c r="D24" s="467"/>
      <c r="E24" s="12"/>
      <c r="F24" s="467"/>
      <c r="G24" s="12">
        <v>288</v>
      </c>
      <c r="H24" s="467"/>
      <c r="I24" s="12"/>
      <c r="J24" s="467"/>
      <c r="K24" s="12"/>
      <c r="L24" s="467"/>
      <c r="M24" s="389">
        <v>1200</v>
      </c>
      <c r="N24" s="390"/>
      <c r="O24" s="467"/>
      <c r="P24" s="467"/>
      <c r="Q24" s="12"/>
      <c r="R24" s="467"/>
      <c r="S24" s="467"/>
      <c r="T24" s="467"/>
      <c r="U24" s="467"/>
      <c r="V24" s="467"/>
      <c r="W24" s="467"/>
      <c r="X24" s="467"/>
    </row>
    <row r="25" spans="1:28" ht="12.75" customHeight="1" x14ac:dyDescent="0.25">
      <c r="A25" s="1"/>
      <c r="B25" s="467"/>
      <c r="C25" s="467"/>
      <c r="D25" s="467"/>
      <c r="E25" s="12"/>
      <c r="F25" s="467"/>
      <c r="G25" s="12"/>
      <c r="H25" s="467"/>
      <c r="I25" s="12"/>
      <c r="J25" s="467"/>
      <c r="K25" s="12"/>
      <c r="L25" s="467"/>
      <c r="M25" s="389" t="s">
        <v>18</v>
      </c>
      <c r="N25" s="390"/>
      <c r="O25" s="467"/>
      <c r="P25" s="467"/>
      <c r="Q25" s="12"/>
      <c r="R25" s="467"/>
      <c r="S25" s="467"/>
      <c r="T25" s="467"/>
      <c r="U25" s="467"/>
      <c r="V25" s="467"/>
      <c r="W25" s="467"/>
      <c r="X25" s="467"/>
    </row>
    <row r="26" spans="1:28" ht="12.75" customHeight="1" x14ac:dyDescent="0.25">
      <c r="A26" s="1"/>
      <c r="B26" s="467"/>
      <c r="C26" s="467"/>
      <c r="D26" s="467"/>
      <c r="E26" s="467"/>
      <c r="F26" s="467"/>
      <c r="G26" s="467"/>
      <c r="H26" s="467"/>
      <c r="I26" s="467"/>
      <c r="J26" s="467"/>
      <c r="K26" s="467"/>
      <c r="L26" s="467"/>
      <c r="M26" s="467"/>
      <c r="N26" s="467"/>
      <c r="O26" s="467"/>
      <c r="P26" s="467"/>
      <c r="Q26" s="467"/>
      <c r="R26" s="467"/>
      <c r="S26" s="467"/>
      <c r="T26" s="467"/>
      <c r="U26" s="467"/>
      <c r="V26" s="467"/>
      <c r="W26" s="467"/>
      <c r="X26" s="467"/>
    </row>
    <row r="27" spans="1:28" ht="12.75" customHeight="1" x14ac:dyDescent="0.25">
      <c r="A27" s="1"/>
      <c r="B27" s="467"/>
      <c r="C27" s="467"/>
      <c r="D27" s="467"/>
      <c r="E27" s="467"/>
      <c r="F27" s="467"/>
      <c r="G27" s="467"/>
      <c r="H27" s="467"/>
      <c r="I27" s="467"/>
      <c r="J27" s="467"/>
      <c r="K27" s="467"/>
      <c r="L27" s="467"/>
      <c r="M27" s="508" t="s">
        <v>19</v>
      </c>
      <c r="N27" s="509"/>
      <c r="O27" s="509"/>
      <c r="P27" s="509"/>
      <c r="Q27" s="510"/>
      <c r="R27" s="467"/>
      <c r="S27" s="467"/>
      <c r="T27" s="467"/>
      <c r="U27" s="467"/>
      <c r="V27" s="467"/>
      <c r="W27" s="467"/>
      <c r="X27" s="467"/>
    </row>
    <row r="28" spans="1:28" ht="13.5" customHeight="1" x14ac:dyDescent="0.25">
      <c r="A28" s="1"/>
      <c r="B28" s="467"/>
      <c r="C28" s="467"/>
      <c r="D28" s="467"/>
      <c r="E28" s="467"/>
      <c r="F28" s="467"/>
      <c r="G28" s="467"/>
      <c r="H28" s="467"/>
      <c r="I28" s="467"/>
      <c r="J28" s="467"/>
      <c r="K28" s="467"/>
      <c r="L28" s="467"/>
      <c r="M28" s="494" t="s">
        <v>20</v>
      </c>
      <c r="N28" s="511"/>
      <c r="O28" s="511"/>
      <c r="P28" s="511"/>
      <c r="Q28" s="512"/>
      <c r="R28" s="467"/>
      <c r="S28" s="467"/>
      <c r="T28" s="467"/>
      <c r="U28" s="467"/>
      <c r="V28" s="467"/>
      <c r="W28" s="467"/>
      <c r="X28" s="467"/>
    </row>
    <row r="29" spans="1:28" ht="13.5" hidden="1" customHeight="1" x14ac:dyDescent="0.25">
      <c r="A29" s="1"/>
      <c r="B29" s="467"/>
      <c r="C29" s="467"/>
      <c r="D29" s="467"/>
      <c r="E29" s="1" t="e">
        <f>CHOOSE(E31,E32,E33,E34,E35,E36,E37,E38,E39,E40)</f>
        <v>#VALUE!</v>
      </c>
      <c r="F29" s="1"/>
      <c r="G29" s="1"/>
      <c r="H29" s="1"/>
      <c r="I29" s="1"/>
      <c r="J29" s="467"/>
      <c r="K29" s="467"/>
      <c r="L29" s="467"/>
      <c r="M29" s="1"/>
      <c r="N29" s="1"/>
      <c r="O29" s="1"/>
      <c r="P29" s="1"/>
      <c r="Q29" s="1"/>
      <c r="R29" s="467"/>
      <c r="S29" s="467"/>
      <c r="T29" s="467"/>
      <c r="U29" s="467"/>
      <c r="V29" s="467"/>
      <c r="W29" s="467"/>
      <c r="X29" s="467"/>
      <c r="AA29" s="9" t="s">
        <v>21</v>
      </c>
      <c r="AB29" s="9" t="s">
        <v>21</v>
      </c>
    </row>
    <row r="30" spans="1:28" ht="13.5" customHeight="1" thickBot="1" x14ac:dyDescent="0.3">
      <c r="A30" s="1"/>
      <c r="B30" s="467"/>
      <c r="C30" s="467"/>
      <c r="D30" s="467"/>
      <c r="E30" s="470" t="s">
        <v>22</v>
      </c>
      <c r="F30" s="471"/>
      <c r="G30" s="471"/>
      <c r="H30" s="471"/>
      <c r="I30" s="472"/>
      <c r="J30" s="467"/>
      <c r="K30" s="467"/>
      <c r="L30" s="467"/>
      <c r="M30" s="467"/>
      <c r="N30" s="467"/>
      <c r="O30" s="467"/>
      <c r="P30" s="467"/>
      <c r="Q30" s="467"/>
      <c r="R30" s="467"/>
      <c r="S30" s="467"/>
      <c r="T30" s="467"/>
      <c r="U30" s="467"/>
      <c r="V30" s="467"/>
      <c r="W30" s="467"/>
      <c r="X30" s="467"/>
    </row>
    <row r="31" spans="1:28" ht="12.75" customHeight="1" x14ac:dyDescent="0.25">
      <c r="A31" s="1"/>
      <c r="B31" s="467"/>
      <c r="C31" s="467"/>
      <c r="D31" s="467"/>
      <c r="E31" s="473" t="s">
        <v>23</v>
      </c>
      <c r="F31" s="474"/>
      <c r="G31" s="474" t="s">
        <v>24</v>
      </c>
      <c r="H31" s="475"/>
      <c r="I31" s="476" t="s">
        <v>25</v>
      </c>
      <c r="J31" s="467"/>
      <c r="K31" s="467"/>
      <c r="L31" s="467"/>
      <c r="M31" s="503" t="s">
        <v>26</v>
      </c>
      <c r="N31" s="504"/>
      <c r="O31" s="504"/>
      <c r="P31" s="504"/>
      <c r="Q31" s="505"/>
      <c r="R31" s="467"/>
      <c r="S31" s="467"/>
      <c r="T31" s="467"/>
      <c r="U31" s="467"/>
      <c r="V31" s="467"/>
      <c r="W31" s="467"/>
      <c r="X31" s="467"/>
    </row>
    <row r="32" spans="1:28" ht="12.75" customHeight="1" x14ac:dyDescent="0.25">
      <c r="A32" s="2">
        <f>CHOOSE(C$32,0,I$32,I$33,I$34,I$35,I$36,I$37,I$38,I$39,I$40,I$41,I$42,I$43,I$44,I$45)</f>
        <v>11600</v>
      </c>
      <c r="B32" s="467"/>
      <c r="C32" s="467">
        <v>6</v>
      </c>
      <c r="D32" s="467"/>
      <c r="E32" s="477" t="s">
        <v>27</v>
      </c>
      <c r="F32" s="478" t="s">
        <v>28</v>
      </c>
      <c r="G32" s="479">
        <v>800</v>
      </c>
      <c r="H32" s="478" t="s">
        <v>29</v>
      </c>
      <c r="I32" s="480">
        <v>5800</v>
      </c>
      <c r="J32" s="467"/>
      <c r="K32" s="467"/>
      <c r="L32" s="467"/>
      <c r="M32" s="506"/>
      <c r="N32" s="496"/>
      <c r="O32" s="496"/>
      <c r="P32" s="496"/>
      <c r="Q32" s="507"/>
      <c r="R32" s="467"/>
      <c r="S32" s="467"/>
      <c r="T32" s="467"/>
      <c r="U32" s="467"/>
      <c r="V32" s="467"/>
      <c r="W32" s="467"/>
      <c r="X32" s="467"/>
    </row>
    <row r="33" spans="1:43" ht="13.5" customHeight="1" x14ac:dyDescent="0.25">
      <c r="A33" s="2">
        <f t="shared" ref="A33:A36" si="1">CHOOSE(C33,0,I$32,I$33,I$34,I$35,I$36,I$37,I$38,I$39,I$40,I$41,I$42,I$43,I$44,I$45)</f>
        <v>8300</v>
      </c>
      <c r="B33" s="467"/>
      <c r="C33" s="467">
        <v>3</v>
      </c>
      <c r="D33" s="467"/>
      <c r="E33" s="477" t="s">
        <v>30</v>
      </c>
      <c r="F33" s="478" t="s">
        <v>28</v>
      </c>
      <c r="G33" s="479">
        <v>800</v>
      </c>
      <c r="H33" s="478" t="s">
        <v>29</v>
      </c>
      <c r="I33" s="480">
        <v>8300</v>
      </c>
      <c r="J33" s="467"/>
      <c r="K33" s="467"/>
      <c r="L33" s="467"/>
      <c r="M33" s="467"/>
      <c r="N33" s="467"/>
      <c r="O33" s="467"/>
      <c r="P33" s="467"/>
      <c r="Q33" s="467"/>
      <c r="R33" s="467"/>
      <c r="S33" s="467"/>
      <c r="T33" s="467"/>
      <c r="U33" s="467"/>
      <c r="V33" s="467"/>
      <c r="W33" s="467"/>
      <c r="X33" s="467"/>
    </row>
    <row r="34" spans="1:43" ht="13.5" customHeight="1" thickBot="1" x14ac:dyDescent="0.3">
      <c r="A34" s="1">
        <f t="shared" si="1"/>
        <v>0</v>
      </c>
      <c r="B34" s="467"/>
      <c r="C34" s="467">
        <v>1</v>
      </c>
      <c r="D34" s="467"/>
      <c r="E34" s="477" t="s">
        <v>31</v>
      </c>
      <c r="F34" s="478" t="s">
        <v>28</v>
      </c>
      <c r="G34" s="479">
        <v>800</v>
      </c>
      <c r="H34" s="478" t="s">
        <v>29</v>
      </c>
      <c r="I34" s="480">
        <v>8800</v>
      </c>
      <c r="J34" s="467"/>
      <c r="K34" s="467"/>
      <c r="L34" s="467"/>
      <c r="M34" s="470" t="s">
        <v>32</v>
      </c>
      <c r="N34" s="471"/>
      <c r="O34" s="471"/>
      <c r="P34" s="471"/>
      <c r="Q34" s="472"/>
      <c r="R34" s="467"/>
      <c r="S34" s="470" t="s">
        <v>33</v>
      </c>
      <c r="T34" s="471"/>
      <c r="U34" s="471"/>
      <c r="V34" s="471"/>
      <c r="W34" s="472"/>
      <c r="X34" s="467"/>
      <c r="AA34" s="18" t="s">
        <v>34</v>
      </c>
    </row>
    <row r="35" spans="1:43" ht="12.75" customHeight="1" x14ac:dyDescent="0.25">
      <c r="A35" s="1">
        <f t="shared" si="1"/>
        <v>0</v>
      </c>
      <c r="B35" s="467"/>
      <c r="C35" s="467">
        <v>1</v>
      </c>
      <c r="D35" s="467"/>
      <c r="E35" s="477" t="s">
        <v>35</v>
      </c>
      <c r="F35" s="478" t="s">
        <v>28</v>
      </c>
      <c r="G35" s="479">
        <v>1200</v>
      </c>
      <c r="H35" s="478" t="s">
        <v>29</v>
      </c>
      <c r="I35" s="480">
        <v>10800</v>
      </c>
      <c r="J35" s="467"/>
      <c r="K35" s="467"/>
      <c r="L35" s="467"/>
      <c r="M35" s="487" t="s">
        <v>36</v>
      </c>
      <c r="N35" s="488" t="s">
        <v>37</v>
      </c>
      <c r="O35" s="400"/>
      <c r="P35" s="475"/>
      <c r="Q35" s="489" t="s">
        <v>38</v>
      </c>
      <c r="R35" s="467"/>
      <c r="S35" s="487" t="s">
        <v>36</v>
      </c>
      <c r="T35" s="475"/>
      <c r="U35" s="499" t="s">
        <v>24</v>
      </c>
      <c r="V35" s="475"/>
      <c r="W35" s="489" t="s">
        <v>25</v>
      </c>
      <c r="X35" s="467"/>
      <c r="Z35" s="19" t="s">
        <v>39</v>
      </c>
      <c r="AA35" s="18" t="s">
        <v>39</v>
      </c>
      <c r="AE35" s="6">
        <v>1</v>
      </c>
      <c r="AG35" s="6">
        <v>1</v>
      </c>
      <c r="AI35" s="6">
        <v>1</v>
      </c>
      <c r="AK35" s="6">
        <v>1</v>
      </c>
      <c r="AM35" s="6">
        <v>1</v>
      </c>
    </row>
    <row r="36" spans="1:43" ht="12.75" customHeight="1" x14ac:dyDescent="0.25">
      <c r="A36" s="1">
        <f t="shared" si="1"/>
        <v>0</v>
      </c>
      <c r="B36" s="467"/>
      <c r="C36" s="467">
        <v>1</v>
      </c>
      <c r="D36" s="467"/>
      <c r="E36" s="481">
        <v>10</v>
      </c>
      <c r="F36" s="478" t="s">
        <v>28</v>
      </c>
      <c r="G36" s="482">
        <v>1600</v>
      </c>
      <c r="H36" s="478" t="s">
        <v>29</v>
      </c>
      <c r="I36" s="480">
        <f t="shared" ref="I36:I43" si="2">SUM((E36*1000)+G36)</f>
        <v>11600</v>
      </c>
      <c r="J36" s="467"/>
      <c r="K36" s="467"/>
      <c r="L36" s="467"/>
      <c r="M36" s="477" t="s">
        <v>40</v>
      </c>
      <c r="N36" s="490">
        <v>1840</v>
      </c>
      <c r="O36" s="442"/>
      <c r="P36" s="491"/>
      <c r="Q36" s="492"/>
      <c r="R36" s="467"/>
      <c r="S36" s="500">
        <v>2.5</v>
      </c>
      <c r="T36" s="478" t="s">
        <v>28</v>
      </c>
      <c r="U36" s="482">
        <v>1200</v>
      </c>
      <c r="V36" s="478" t="s">
        <v>29</v>
      </c>
      <c r="W36" s="501">
        <f t="shared" ref="W36:W47" si="3">(S36*1000)+U36</f>
        <v>3700</v>
      </c>
      <c r="X36" s="467"/>
      <c r="Y36" s="6">
        <v>1</v>
      </c>
      <c r="Z36" s="19">
        <v>1</v>
      </c>
      <c r="AA36" s="6">
        <f t="shared" ref="AA36:AA40" si="4">CHOOSE(Y36,0,Z$36,Z$37,Z$38,Z$39,Z$40,Z$41,Z$42,Z$43,Z$44,Z$45)</f>
        <v>0</v>
      </c>
      <c r="AB36" s="20" t="s">
        <v>41</v>
      </c>
      <c r="AD36" s="21" t="s">
        <v>42</v>
      </c>
      <c r="AE36" s="22">
        <f>CHOOSE(AE35,0,$N$36,$N$37,$N$38,$N$39,$N$40,$N$41,$N$42,$N$43,$N$44,$N$45,$N$46)</f>
        <v>0</v>
      </c>
      <c r="AF36" s="21" t="s">
        <v>42</v>
      </c>
      <c r="AG36" s="22">
        <f>CHOOSE(AG35,0,$N$36,$N$37,$N$38,$N$39,$N$40,$N$41,$N$42,$N$43,$N$44,$N$45,$N$46)</f>
        <v>0</v>
      </c>
      <c r="AH36" s="21" t="s">
        <v>42</v>
      </c>
      <c r="AI36" s="22">
        <f>CHOOSE(AI35,0,$N$36,$N$37,$N$38,$N$39,$N$40,$N$41,$N$42,$N$43,$N$44,$N$45,$N$46)</f>
        <v>0</v>
      </c>
      <c r="AJ36" s="21" t="s">
        <v>42</v>
      </c>
      <c r="AK36" s="22">
        <f>CHOOSE(AK35,0,$N$36,$N$37,$N$38,$N$39,$N$40,$N$41,$N$42,$N$43,$N$44,$N$45,$N$46)</f>
        <v>0</v>
      </c>
      <c r="AL36" s="21" t="s">
        <v>42</v>
      </c>
      <c r="AM36" s="22">
        <f>CHOOSE(AM35,0,$N$36,$N$37,$N$38,$N$39,$N$40,$N$41,$N$42,$N$43,$N$44,$N$45,$N$46)</f>
        <v>0</v>
      </c>
    </row>
    <row r="37" spans="1:43" ht="12.75" customHeight="1" x14ac:dyDescent="0.25">
      <c r="A37" s="1"/>
      <c r="B37" s="467"/>
      <c r="C37" s="467"/>
      <c r="D37" s="467"/>
      <c r="E37" s="481">
        <v>12.5</v>
      </c>
      <c r="F37" s="478" t="s">
        <v>28</v>
      </c>
      <c r="G37" s="482">
        <v>1600</v>
      </c>
      <c r="H37" s="478" t="s">
        <v>29</v>
      </c>
      <c r="I37" s="480">
        <f t="shared" si="2"/>
        <v>14100</v>
      </c>
      <c r="J37" s="467"/>
      <c r="K37" s="467"/>
      <c r="L37" s="467"/>
      <c r="M37" s="477" t="s">
        <v>43</v>
      </c>
      <c r="N37" s="490">
        <v>2200</v>
      </c>
      <c r="O37" s="442"/>
      <c r="P37" s="491"/>
      <c r="Q37" s="492">
        <v>2230</v>
      </c>
      <c r="R37" s="467"/>
      <c r="S37" s="500">
        <v>3</v>
      </c>
      <c r="T37" s="478" t="s">
        <v>28</v>
      </c>
      <c r="U37" s="482">
        <v>800</v>
      </c>
      <c r="V37" s="478" t="s">
        <v>29</v>
      </c>
      <c r="W37" s="501">
        <f t="shared" si="3"/>
        <v>3800</v>
      </c>
      <c r="X37" s="467"/>
      <c r="Y37" s="6">
        <v>1</v>
      </c>
      <c r="Z37" s="19">
        <v>2</v>
      </c>
      <c r="AA37" s="6">
        <f t="shared" si="4"/>
        <v>0</v>
      </c>
      <c r="AB37" s="20" t="s">
        <v>44</v>
      </c>
      <c r="AD37" s="23" t="s">
        <v>45</v>
      </c>
      <c r="AE37" s="24">
        <f>CHOOSE(AE35,0,$Q$36,$Q$37,$Q$38,$Q$39,$Q$40,$Q$41,$Q$42,$Q$43,$Q$44,$Q$45,$Q$46)</f>
        <v>0</v>
      </c>
      <c r="AF37" s="23" t="s">
        <v>45</v>
      </c>
      <c r="AG37" s="24">
        <f>CHOOSE(AG35,0,$Q$36,$Q$37,$Q$38,$Q$39,$Q$40,$Q$41,$Q$42,$Q$43,$Q$44,$Q$45,$Q$46)</f>
        <v>0</v>
      </c>
      <c r="AH37" s="23" t="s">
        <v>45</v>
      </c>
      <c r="AI37" s="24">
        <f>CHOOSE(AI35,0,$Q$36,$Q$37,$Q$38,$Q$39,$Q$40,$Q$41,$Q$42,$Q$43,$Q$44,$Q$45,$Q$46)</f>
        <v>0</v>
      </c>
      <c r="AJ37" s="23" t="s">
        <v>45</v>
      </c>
      <c r="AK37" s="24">
        <f>CHOOSE(AK35,0,$Q$36,$Q$37,$Q$38,$Q$39,$Q$40,$Q$41,$Q$42,$Q$43,$Q$44,$Q$45,$Q$46)</f>
        <v>0</v>
      </c>
      <c r="AL37" s="23" t="s">
        <v>45</v>
      </c>
      <c r="AM37" s="24">
        <f>CHOOSE(AM35,0,$Q$36,$Q$37,$Q$38,$Q$39,$Q$40,$Q$41,$Q$42,$Q$43,$Q$44,$Q$45,$Q$46)</f>
        <v>0</v>
      </c>
    </row>
    <row r="38" spans="1:43" ht="12.75" customHeight="1" x14ac:dyDescent="0.25">
      <c r="A38" s="1"/>
      <c r="B38" s="467"/>
      <c r="C38" s="467"/>
      <c r="D38" s="467"/>
      <c r="E38" s="481">
        <v>15</v>
      </c>
      <c r="F38" s="478" t="s">
        <v>28</v>
      </c>
      <c r="G38" s="482">
        <v>1600</v>
      </c>
      <c r="H38" s="478" t="s">
        <v>29</v>
      </c>
      <c r="I38" s="480">
        <f t="shared" si="2"/>
        <v>16600</v>
      </c>
      <c r="J38" s="467"/>
      <c r="K38" s="467"/>
      <c r="L38" s="467"/>
      <c r="M38" s="477" t="s">
        <v>46</v>
      </c>
      <c r="N38" s="490">
        <v>2850</v>
      </c>
      <c r="O38" s="442"/>
      <c r="P38" s="491"/>
      <c r="Q38" s="492">
        <v>3100</v>
      </c>
      <c r="R38" s="467"/>
      <c r="S38" s="500">
        <v>4</v>
      </c>
      <c r="T38" s="478" t="s">
        <v>28</v>
      </c>
      <c r="U38" s="482">
        <v>1000</v>
      </c>
      <c r="V38" s="478" t="s">
        <v>29</v>
      </c>
      <c r="W38" s="501">
        <f t="shared" si="3"/>
        <v>5000</v>
      </c>
      <c r="X38" s="467"/>
      <c r="Y38" s="6">
        <v>1</v>
      </c>
      <c r="Z38" s="19">
        <v>3</v>
      </c>
      <c r="AA38" s="6">
        <f t="shared" si="4"/>
        <v>0</v>
      </c>
      <c r="AB38" s="20" t="s">
        <v>47</v>
      </c>
      <c r="AE38" s="25" t="str">
        <f>IF('Residential Calculation'!$R$13,"A/C #1","HP #1")</f>
        <v>A/C #1</v>
      </c>
      <c r="AF38" s="25"/>
      <c r="AG38" s="25" t="str">
        <f>IF('Residential Calculation'!$R$13,"A/C #2","HP #2")</f>
        <v>A/C #2</v>
      </c>
      <c r="AH38" s="25"/>
      <c r="AI38" s="25" t="str">
        <f>IF('Residential Calculation'!$R$13,"A/C #3","HP #3")</f>
        <v>A/C #3</v>
      </c>
      <c r="AJ38" s="25"/>
      <c r="AK38" s="25" t="str">
        <f>IF('Residential Calculation'!$R$13,"A/C #4","HP #4")</f>
        <v>A/C #4</v>
      </c>
      <c r="AL38" s="25"/>
      <c r="AM38" s="25" t="str">
        <f>IF('Residential Calculation'!$R$13,"A/C #5","HP #5")</f>
        <v>A/C #5</v>
      </c>
    </row>
    <row r="39" spans="1:43" ht="12.75" customHeight="1" x14ac:dyDescent="0.25">
      <c r="A39" s="1"/>
      <c r="B39" s="467"/>
      <c r="C39" s="467"/>
      <c r="D39" s="467"/>
      <c r="E39" s="481">
        <v>18</v>
      </c>
      <c r="F39" s="478" t="s">
        <v>28</v>
      </c>
      <c r="G39" s="482">
        <v>2400</v>
      </c>
      <c r="H39" s="478" t="s">
        <v>29</v>
      </c>
      <c r="I39" s="480">
        <f t="shared" si="2"/>
        <v>20400</v>
      </c>
      <c r="J39" s="467"/>
      <c r="K39" s="467"/>
      <c r="L39" s="467"/>
      <c r="M39" s="477" t="s">
        <v>48</v>
      </c>
      <c r="N39" s="490">
        <v>3600</v>
      </c>
      <c r="O39" s="442"/>
      <c r="P39" s="491"/>
      <c r="Q39" s="492">
        <v>3496</v>
      </c>
      <c r="R39" s="467"/>
      <c r="S39" s="500">
        <v>4.5</v>
      </c>
      <c r="T39" s="478" t="s">
        <v>28</v>
      </c>
      <c r="U39" s="482">
        <v>1200</v>
      </c>
      <c r="V39" s="478" t="s">
        <v>29</v>
      </c>
      <c r="W39" s="501">
        <f t="shared" si="3"/>
        <v>5700</v>
      </c>
      <c r="X39" s="467"/>
      <c r="Y39" s="6">
        <v>1</v>
      </c>
      <c r="Z39" s="19">
        <v>4</v>
      </c>
      <c r="AA39" s="6">
        <f t="shared" si="4"/>
        <v>0</v>
      </c>
      <c r="AB39" s="20" t="s">
        <v>49</v>
      </c>
      <c r="AE39" s="9" t="s">
        <v>40</v>
      </c>
      <c r="AG39" s="9" t="s">
        <v>40</v>
      </c>
      <c r="AI39" s="9" t="s">
        <v>40</v>
      </c>
      <c r="AK39" s="9" t="s">
        <v>40</v>
      </c>
      <c r="AM39" s="9" t="s">
        <v>40</v>
      </c>
    </row>
    <row r="40" spans="1:43" ht="12.75" customHeight="1" x14ac:dyDescent="0.25">
      <c r="A40" s="1"/>
      <c r="B40" s="467"/>
      <c r="C40" s="467"/>
      <c r="D40" s="467"/>
      <c r="E40" s="481">
        <v>21</v>
      </c>
      <c r="F40" s="478" t="s">
        <v>28</v>
      </c>
      <c r="G40" s="482">
        <v>2400</v>
      </c>
      <c r="H40" s="478" t="s">
        <v>29</v>
      </c>
      <c r="I40" s="480">
        <f t="shared" si="2"/>
        <v>23400</v>
      </c>
      <c r="J40" s="467"/>
      <c r="K40" s="467"/>
      <c r="L40" s="467"/>
      <c r="M40" s="477" t="s">
        <v>50</v>
      </c>
      <c r="N40" s="490">
        <v>4275</v>
      </c>
      <c r="O40" s="442"/>
      <c r="P40" s="491"/>
      <c r="Q40" s="492">
        <v>4370</v>
      </c>
      <c r="R40" s="467"/>
      <c r="S40" s="500">
        <v>10</v>
      </c>
      <c r="T40" s="478" t="s">
        <v>28</v>
      </c>
      <c r="U40" s="482">
        <v>1600</v>
      </c>
      <c r="V40" s="478" t="s">
        <v>29</v>
      </c>
      <c r="W40" s="501">
        <f t="shared" si="3"/>
        <v>11600</v>
      </c>
      <c r="X40" s="467"/>
      <c r="Y40" s="6">
        <v>1</v>
      </c>
      <c r="Z40" s="19">
        <v>5</v>
      </c>
      <c r="AA40" s="6">
        <f t="shared" si="4"/>
        <v>0</v>
      </c>
      <c r="AB40" s="20" t="s">
        <v>51</v>
      </c>
      <c r="AE40" s="9" t="s">
        <v>43</v>
      </c>
      <c r="AG40" s="9" t="s">
        <v>43</v>
      </c>
      <c r="AI40" s="9" t="s">
        <v>43</v>
      </c>
      <c r="AK40" s="9" t="s">
        <v>43</v>
      </c>
      <c r="AM40" s="9" t="s">
        <v>43</v>
      </c>
    </row>
    <row r="41" spans="1:43" ht="12.75" customHeight="1" x14ac:dyDescent="0.25">
      <c r="A41" s="1"/>
      <c r="B41" s="467"/>
      <c r="C41" s="467"/>
      <c r="D41" s="467"/>
      <c r="E41" s="481">
        <v>23</v>
      </c>
      <c r="F41" s="478" t="s">
        <v>28</v>
      </c>
      <c r="G41" s="482">
        <v>2400</v>
      </c>
      <c r="H41" s="478" t="s">
        <v>29</v>
      </c>
      <c r="I41" s="480">
        <f t="shared" si="2"/>
        <v>25400</v>
      </c>
      <c r="J41" s="467"/>
      <c r="K41" s="467"/>
      <c r="L41" s="467"/>
      <c r="M41" s="477" t="s">
        <v>52</v>
      </c>
      <c r="N41" s="490">
        <v>5000</v>
      </c>
      <c r="O41" s="442"/>
      <c r="P41" s="491"/>
      <c r="Q41" s="492">
        <v>5152</v>
      </c>
      <c r="R41" s="467"/>
      <c r="S41" s="500">
        <v>6.5</v>
      </c>
      <c r="T41" s="478" t="s">
        <v>28</v>
      </c>
      <c r="U41" s="482">
        <v>1600</v>
      </c>
      <c r="V41" s="478" t="s">
        <v>29</v>
      </c>
      <c r="W41" s="501">
        <f t="shared" si="3"/>
        <v>8100</v>
      </c>
      <c r="X41" s="467"/>
      <c r="Z41" s="19">
        <v>6</v>
      </c>
      <c r="AE41" s="9" t="s">
        <v>46</v>
      </c>
      <c r="AG41" s="9" t="s">
        <v>46</v>
      </c>
      <c r="AI41" s="9" t="s">
        <v>46</v>
      </c>
      <c r="AK41" s="9" t="s">
        <v>46</v>
      </c>
      <c r="AM41" s="9" t="s">
        <v>46</v>
      </c>
    </row>
    <row r="42" spans="1:43" ht="12.75" customHeight="1" x14ac:dyDescent="0.25">
      <c r="A42" s="1"/>
      <c r="B42" s="467"/>
      <c r="C42" s="467"/>
      <c r="D42" s="467"/>
      <c r="E42" s="481">
        <v>25</v>
      </c>
      <c r="F42" s="478" t="s">
        <v>28</v>
      </c>
      <c r="G42" s="482">
        <v>3600</v>
      </c>
      <c r="H42" s="478" t="s">
        <v>29</v>
      </c>
      <c r="I42" s="480">
        <f t="shared" si="2"/>
        <v>28600</v>
      </c>
      <c r="J42" s="467"/>
      <c r="K42" s="467"/>
      <c r="L42" s="467"/>
      <c r="M42" s="477" t="s">
        <v>53</v>
      </c>
      <c r="N42" s="490">
        <v>5700</v>
      </c>
      <c r="O42" s="442"/>
      <c r="P42" s="491"/>
      <c r="Q42" s="492">
        <v>5313</v>
      </c>
      <c r="R42" s="467"/>
      <c r="S42" s="500">
        <v>7.5</v>
      </c>
      <c r="T42" s="478" t="s">
        <v>28</v>
      </c>
      <c r="U42" s="482">
        <v>1600</v>
      </c>
      <c r="V42" s="478" t="s">
        <v>29</v>
      </c>
      <c r="W42" s="501">
        <f t="shared" si="3"/>
        <v>9100</v>
      </c>
      <c r="X42" s="467"/>
      <c r="Z42" s="19">
        <v>7</v>
      </c>
      <c r="AE42" s="9" t="s">
        <v>48</v>
      </c>
      <c r="AG42" s="9" t="s">
        <v>48</v>
      </c>
      <c r="AI42" s="9" t="s">
        <v>48</v>
      </c>
      <c r="AK42" s="9" t="s">
        <v>48</v>
      </c>
      <c r="AM42" s="9" t="s">
        <v>48</v>
      </c>
    </row>
    <row r="43" spans="1:43" ht="12.75" customHeight="1" x14ac:dyDescent="0.25">
      <c r="A43" s="1"/>
      <c r="B43" s="467"/>
      <c r="C43" s="467"/>
      <c r="D43" s="467"/>
      <c r="E43" s="481">
        <v>29</v>
      </c>
      <c r="F43" s="478" t="s">
        <v>28</v>
      </c>
      <c r="G43" s="482">
        <v>3600</v>
      </c>
      <c r="H43" s="478" t="s">
        <v>29</v>
      </c>
      <c r="I43" s="480">
        <f t="shared" si="2"/>
        <v>32600</v>
      </c>
      <c r="J43" s="467"/>
      <c r="K43" s="467"/>
      <c r="L43" s="467"/>
      <c r="M43" s="477" t="s">
        <v>21</v>
      </c>
      <c r="N43" s="490">
        <v>7130</v>
      </c>
      <c r="O43" s="442"/>
      <c r="P43" s="491"/>
      <c r="Q43" s="492">
        <v>6371</v>
      </c>
      <c r="R43" s="467"/>
      <c r="S43" s="500"/>
      <c r="T43" s="478" t="s">
        <v>28</v>
      </c>
      <c r="U43" s="482"/>
      <c r="V43" s="478" t="s">
        <v>29</v>
      </c>
      <c r="W43" s="501">
        <f t="shared" si="3"/>
        <v>0</v>
      </c>
      <c r="X43" s="467"/>
      <c r="Z43" s="19">
        <v>8</v>
      </c>
      <c r="AE43" s="9" t="s">
        <v>50</v>
      </c>
      <c r="AG43" s="9" t="s">
        <v>50</v>
      </c>
      <c r="AI43" s="9" t="s">
        <v>50</v>
      </c>
      <c r="AK43" s="9" t="s">
        <v>50</v>
      </c>
      <c r="AM43" s="9" t="s">
        <v>50</v>
      </c>
    </row>
    <row r="44" spans="1:43" ht="12.75" customHeight="1" x14ac:dyDescent="0.25">
      <c r="A44" s="1"/>
      <c r="B44" s="467"/>
      <c r="C44" s="467"/>
      <c r="D44" s="467"/>
      <c r="E44" s="477" t="s">
        <v>54</v>
      </c>
      <c r="F44" s="478" t="s">
        <v>28</v>
      </c>
      <c r="G44" s="482">
        <v>1200</v>
      </c>
      <c r="H44" s="478" t="s">
        <v>29</v>
      </c>
      <c r="I44" s="480">
        <f t="shared" ref="I44:I45" si="5">SUM(G44)</f>
        <v>1200</v>
      </c>
      <c r="J44" s="467"/>
      <c r="K44" s="467"/>
      <c r="L44" s="467"/>
      <c r="M44" s="493"/>
      <c r="N44" s="490"/>
      <c r="O44" s="442"/>
      <c r="P44" s="491"/>
      <c r="Q44" s="492"/>
      <c r="R44" s="467"/>
      <c r="S44" s="500"/>
      <c r="T44" s="478" t="s">
        <v>28</v>
      </c>
      <c r="U44" s="482"/>
      <c r="V44" s="478" t="s">
        <v>29</v>
      </c>
      <c r="W44" s="501">
        <f t="shared" si="3"/>
        <v>0</v>
      </c>
      <c r="X44" s="467"/>
      <c r="Z44" s="19">
        <v>9</v>
      </c>
      <c r="AE44" s="9" t="s">
        <v>52</v>
      </c>
      <c r="AG44" s="9" t="s">
        <v>52</v>
      </c>
      <c r="AI44" s="9" t="s">
        <v>52</v>
      </c>
      <c r="AK44" s="9" t="s">
        <v>52</v>
      </c>
      <c r="AM44" s="9" t="s">
        <v>52</v>
      </c>
    </row>
    <row r="45" spans="1:43" ht="12.75" customHeight="1" x14ac:dyDescent="0.25">
      <c r="A45" s="1"/>
      <c r="B45" s="467"/>
      <c r="C45" s="467"/>
      <c r="D45" s="467"/>
      <c r="E45" s="483" t="s">
        <v>55</v>
      </c>
      <c r="F45" s="484" t="s">
        <v>28</v>
      </c>
      <c r="G45" s="485">
        <v>1800</v>
      </c>
      <c r="H45" s="484" t="s">
        <v>29</v>
      </c>
      <c r="I45" s="486">
        <f t="shared" si="5"/>
        <v>1800</v>
      </c>
      <c r="J45" s="467"/>
      <c r="K45" s="467"/>
      <c r="L45" s="467"/>
      <c r="M45" s="493"/>
      <c r="N45" s="490"/>
      <c r="O45" s="442"/>
      <c r="P45" s="491"/>
      <c r="Q45" s="492"/>
      <c r="R45" s="467"/>
      <c r="S45" s="500"/>
      <c r="T45" s="478" t="s">
        <v>28</v>
      </c>
      <c r="U45" s="482"/>
      <c r="V45" s="478" t="s">
        <v>29</v>
      </c>
      <c r="W45" s="501">
        <f t="shared" si="3"/>
        <v>0</v>
      </c>
      <c r="X45" s="467"/>
      <c r="Z45" s="19">
        <v>10</v>
      </c>
      <c r="AE45" s="9" t="s">
        <v>53</v>
      </c>
      <c r="AG45" s="9" t="s">
        <v>53</v>
      </c>
      <c r="AI45" s="9" t="s">
        <v>53</v>
      </c>
      <c r="AK45" s="9" t="s">
        <v>53</v>
      </c>
      <c r="AM45" s="9" t="s">
        <v>53</v>
      </c>
    </row>
    <row r="46" spans="1:43" ht="12.75" customHeight="1" x14ac:dyDescent="0.25">
      <c r="A46" s="1"/>
      <c r="B46" s="467"/>
      <c r="C46" s="467"/>
      <c r="D46" s="467"/>
      <c r="E46" s="467"/>
      <c r="F46" s="467"/>
      <c r="G46" s="467"/>
      <c r="H46" s="467"/>
      <c r="I46" s="467"/>
      <c r="J46" s="467"/>
      <c r="K46" s="467"/>
      <c r="L46" s="467"/>
      <c r="M46" s="494"/>
      <c r="N46" s="495"/>
      <c r="O46" s="496"/>
      <c r="P46" s="497"/>
      <c r="Q46" s="498"/>
      <c r="R46" s="467"/>
      <c r="S46" s="500"/>
      <c r="T46" s="478" t="s">
        <v>28</v>
      </c>
      <c r="U46" s="482"/>
      <c r="V46" s="478" t="s">
        <v>29</v>
      </c>
      <c r="W46" s="501">
        <f t="shared" si="3"/>
        <v>0</v>
      </c>
      <c r="X46" s="467"/>
      <c r="Z46" s="18"/>
      <c r="AE46" s="9" t="s">
        <v>21</v>
      </c>
      <c r="AG46" s="9" t="s">
        <v>21</v>
      </c>
      <c r="AI46" s="9" t="s">
        <v>21</v>
      </c>
      <c r="AK46" s="9" t="s">
        <v>21</v>
      </c>
      <c r="AM46" s="9" t="s">
        <v>21</v>
      </c>
    </row>
    <row r="47" spans="1:43" ht="12.75" customHeight="1" x14ac:dyDescent="0.25">
      <c r="A47" s="1"/>
      <c r="B47" s="467"/>
      <c r="C47" s="467"/>
      <c r="D47" s="467"/>
      <c r="E47" s="467"/>
      <c r="F47" s="467"/>
      <c r="G47" s="467"/>
      <c r="H47" s="467"/>
      <c r="I47" s="467"/>
      <c r="J47" s="467"/>
      <c r="K47" s="467"/>
      <c r="L47" s="467"/>
      <c r="M47" s="467"/>
      <c r="N47" s="467"/>
      <c r="O47" s="467"/>
      <c r="P47" s="467"/>
      <c r="Q47" s="467"/>
      <c r="R47" s="467"/>
      <c r="S47" s="500"/>
      <c r="T47" s="478" t="s">
        <v>28</v>
      </c>
      <c r="U47" s="482"/>
      <c r="V47" s="478" t="s">
        <v>29</v>
      </c>
      <c r="W47" s="501">
        <f t="shared" si="3"/>
        <v>0</v>
      </c>
      <c r="X47" s="467"/>
      <c r="AE47" s="9">
        <f t="shared" ref="AE47:AE49" si="6">M44</f>
        <v>0</v>
      </c>
      <c r="AG47" s="9">
        <f>$M$44</f>
        <v>0</v>
      </c>
      <c r="AI47" s="9">
        <f>$M$44</f>
        <v>0</v>
      </c>
      <c r="AK47" s="9">
        <f>$M$44</f>
        <v>0</v>
      </c>
      <c r="AM47" s="9">
        <f>$M$44</f>
        <v>0</v>
      </c>
    </row>
    <row r="48" spans="1:43" ht="12.75" customHeight="1" x14ac:dyDescent="0.25">
      <c r="B48" s="467"/>
      <c r="C48" s="467"/>
      <c r="D48" s="467"/>
      <c r="E48" s="467"/>
      <c r="F48" s="467"/>
      <c r="G48" s="467"/>
      <c r="H48" s="467"/>
      <c r="I48" s="467"/>
      <c r="J48" s="467"/>
      <c r="K48" s="467"/>
      <c r="L48" s="467"/>
      <c r="M48" s="467"/>
      <c r="N48" s="467"/>
      <c r="O48" s="467"/>
      <c r="P48" s="467"/>
      <c r="Q48" s="467"/>
      <c r="R48" s="467"/>
      <c r="S48" s="477" t="s">
        <v>56</v>
      </c>
      <c r="T48" s="478" t="s">
        <v>28</v>
      </c>
      <c r="U48" s="482">
        <v>1200</v>
      </c>
      <c r="V48" s="478" t="s">
        <v>29</v>
      </c>
      <c r="W48" s="501">
        <f t="shared" ref="W48:W49" si="7">(U48)</f>
        <v>1200</v>
      </c>
      <c r="X48" s="467"/>
      <c r="Y48" s="26"/>
      <c r="Z48" s="26"/>
      <c r="AA48" s="26"/>
      <c r="AB48" s="26"/>
      <c r="AC48" s="26"/>
      <c r="AD48" s="26"/>
      <c r="AE48" s="26">
        <f t="shared" si="6"/>
        <v>0</v>
      </c>
      <c r="AF48" s="26"/>
      <c r="AG48" s="26">
        <f>$M$45</f>
        <v>0</v>
      </c>
      <c r="AH48" s="26"/>
      <c r="AI48" s="26">
        <f>$M$45</f>
        <v>0</v>
      </c>
      <c r="AJ48" s="26"/>
      <c r="AK48" s="26">
        <f>$M$45</f>
        <v>0</v>
      </c>
      <c r="AL48" s="26"/>
      <c r="AM48" s="26">
        <f>$M$45</f>
        <v>0</v>
      </c>
      <c r="AN48" s="26"/>
      <c r="AO48" s="26"/>
      <c r="AP48" s="26"/>
      <c r="AQ48" s="26"/>
    </row>
    <row r="49" spans="2:43" ht="13.5" customHeight="1" thickBot="1" x14ac:dyDescent="0.3">
      <c r="B49" s="467"/>
      <c r="C49" s="467"/>
      <c r="D49" s="467"/>
      <c r="E49" s="467"/>
      <c r="F49" s="467"/>
      <c r="G49" s="467"/>
      <c r="H49" s="467"/>
      <c r="I49" s="467"/>
      <c r="J49" s="467"/>
      <c r="K49" s="467"/>
      <c r="L49" s="467"/>
      <c r="M49" s="467"/>
      <c r="N49" s="467"/>
      <c r="O49" s="467"/>
      <c r="P49" s="467"/>
      <c r="Q49" s="467"/>
      <c r="R49" s="467"/>
      <c r="S49" s="483" t="s">
        <v>57</v>
      </c>
      <c r="T49" s="484" t="s">
        <v>28</v>
      </c>
      <c r="U49" s="485">
        <v>1800</v>
      </c>
      <c r="V49" s="484" t="s">
        <v>29</v>
      </c>
      <c r="W49" s="502">
        <f t="shared" si="7"/>
        <v>1800</v>
      </c>
      <c r="X49" s="467"/>
      <c r="Y49" s="26"/>
      <c r="Z49" s="26"/>
      <c r="AA49" s="26"/>
      <c r="AB49" s="26"/>
      <c r="AC49" s="26"/>
      <c r="AD49" s="26"/>
      <c r="AE49" s="26">
        <f t="shared" si="6"/>
        <v>0</v>
      </c>
      <c r="AF49" s="26"/>
      <c r="AG49" s="26">
        <f>$M$46</f>
        <v>0</v>
      </c>
      <c r="AH49" s="26"/>
      <c r="AI49" s="26">
        <f>$M$46</f>
        <v>0</v>
      </c>
      <c r="AJ49" s="26"/>
      <c r="AK49" s="26">
        <f>$M$46</f>
        <v>0</v>
      </c>
      <c r="AL49" s="26"/>
      <c r="AM49" s="26">
        <f>$M$46</f>
        <v>0</v>
      </c>
      <c r="AN49" s="26"/>
      <c r="AO49" s="26"/>
      <c r="AP49" s="26"/>
      <c r="AQ49" s="26"/>
    </row>
    <row r="50" spans="2:43" ht="13.5" customHeight="1" thickBot="1" x14ac:dyDescent="0.3">
      <c r="B50" s="467"/>
      <c r="C50" s="467"/>
      <c r="D50" s="467"/>
      <c r="E50" s="467"/>
      <c r="F50" s="467"/>
      <c r="G50" s="467"/>
      <c r="H50" s="467"/>
      <c r="I50" s="467"/>
      <c r="J50" s="467"/>
      <c r="K50" s="467"/>
      <c r="L50" s="467"/>
      <c r="M50" s="467"/>
      <c r="N50" s="467"/>
      <c r="O50" s="467"/>
      <c r="P50" s="467"/>
      <c r="Q50" s="467"/>
      <c r="R50" s="467"/>
      <c r="S50" s="467"/>
      <c r="T50" s="467"/>
      <c r="U50" s="467"/>
      <c r="V50" s="467"/>
      <c r="W50" s="467"/>
      <c r="X50" s="467"/>
      <c r="Y50" s="26"/>
      <c r="Z50" s="26"/>
      <c r="AA50" s="26"/>
      <c r="AB50" s="26"/>
      <c r="AC50" s="26"/>
      <c r="AD50" s="26"/>
      <c r="AE50" s="27">
        <f>IF('Residential Calculation'!$R$13,'equipment set-up sheet'!AE36,'equipment set-up sheet'!AE37)</f>
        <v>0</v>
      </c>
      <c r="AF50" s="26"/>
      <c r="AG50" s="27">
        <f>IF('Residential Calculation'!$R$13,'equipment set-up sheet'!AG36,'equipment set-up sheet'!AG37)</f>
        <v>0</v>
      </c>
      <c r="AH50" s="26"/>
      <c r="AI50" s="27">
        <f>IF('Residential Calculation'!$R$13,'equipment set-up sheet'!AI36,'equipment set-up sheet'!AI37)</f>
        <v>0</v>
      </c>
      <c r="AJ50" s="26"/>
      <c r="AK50" s="27">
        <f>IF('Residential Calculation'!$R$13,'equipment set-up sheet'!AK36,'equipment set-up sheet'!AK37)</f>
        <v>0</v>
      </c>
      <c r="AL50" s="26"/>
      <c r="AM50" s="27">
        <f>IF('Residential Calculation'!$R$13,'equipment set-up sheet'!AM36,'equipment set-up sheet'!AM37)</f>
        <v>0</v>
      </c>
      <c r="AN50" s="26"/>
      <c r="AO50" s="26"/>
      <c r="AP50" s="26"/>
      <c r="AQ50" s="26"/>
    </row>
    <row r="51" spans="2:43" ht="12.75" customHeight="1" x14ac:dyDescent="0.25">
      <c r="B51" s="467"/>
      <c r="C51" s="467"/>
      <c r="D51" s="467"/>
      <c r="E51" s="467"/>
      <c r="F51" s="467"/>
      <c r="G51" s="467"/>
      <c r="H51" s="467"/>
      <c r="I51" s="467"/>
      <c r="J51" s="467"/>
      <c r="K51" s="467"/>
      <c r="L51" s="467"/>
      <c r="M51" s="467"/>
      <c r="N51" s="467"/>
      <c r="O51" s="467"/>
      <c r="P51" s="467"/>
      <c r="Q51" s="467"/>
      <c r="R51" s="467"/>
      <c r="S51" s="467"/>
      <c r="T51" s="467"/>
      <c r="U51" s="467"/>
      <c r="V51" s="467"/>
      <c r="W51" s="467"/>
      <c r="X51" s="467"/>
      <c r="Y51" s="26"/>
      <c r="Z51" s="26"/>
      <c r="AA51" s="26"/>
      <c r="AB51" s="26"/>
      <c r="AC51" s="26"/>
      <c r="AD51" s="26"/>
      <c r="AE51" s="26"/>
      <c r="AF51" s="26"/>
      <c r="AG51" s="26"/>
      <c r="AH51" s="26"/>
      <c r="AI51" s="26"/>
      <c r="AJ51" s="26"/>
      <c r="AK51" s="26"/>
      <c r="AL51" s="26"/>
      <c r="AM51" s="26"/>
      <c r="AN51" s="26"/>
      <c r="AO51" s="26"/>
      <c r="AP51" s="26"/>
      <c r="AQ51" s="26"/>
    </row>
    <row r="52" spans="2:43" ht="12.75" customHeight="1" x14ac:dyDescent="0.25">
      <c r="B52" s="467"/>
      <c r="C52" s="467"/>
      <c r="D52" s="467"/>
      <c r="E52" s="467"/>
      <c r="F52" s="467"/>
      <c r="G52" s="467"/>
      <c r="H52" s="467"/>
      <c r="I52" s="467"/>
      <c r="J52" s="467"/>
      <c r="K52" s="467"/>
      <c r="L52" s="467"/>
      <c r="M52" s="467"/>
      <c r="N52" s="467"/>
      <c r="O52" s="467"/>
      <c r="P52" s="467"/>
      <c r="Q52" s="467"/>
      <c r="R52" s="467"/>
      <c r="S52" s="467"/>
      <c r="T52" s="467"/>
      <c r="U52" s="467"/>
      <c r="V52" s="467"/>
      <c r="W52" s="467"/>
      <c r="X52" s="467"/>
      <c r="Y52" s="26"/>
      <c r="Z52" s="26"/>
      <c r="AA52" s="26"/>
      <c r="AB52" s="26"/>
      <c r="AC52" s="26"/>
      <c r="AD52" s="26"/>
      <c r="AE52" s="26">
        <v>1</v>
      </c>
      <c r="AF52" s="26"/>
      <c r="AG52" s="26">
        <v>1</v>
      </c>
      <c r="AH52" s="26"/>
      <c r="AI52" s="26">
        <v>1</v>
      </c>
      <c r="AJ52" s="26"/>
      <c r="AK52" s="26">
        <v>1</v>
      </c>
      <c r="AL52" s="26"/>
      <c r="AM52" s="26">
        <v>1</v>
      </c>
      <c r="AN52" s="26"/>
      <c r="AO52" s="26"/>
      <c r="AP52" s="26"/>
      <c r="AQ52" s="26"/>
    </row>
    <row r="53" spans="2:43" ht="12.75" customHeight="1" x14ac:dyDescent="0.25">
      <c r="B53" s="467"/>
      <c r="C53" s="467"/>
      <c r="D53" s="467"/>
      <c r="E53" s="467"/>
      <c r="F53" s="467"/>
      <c r="G53" s="467"/>
      <c r="H53" s="467"/>
      <c r="I53" s="467"/>
      <c r="J53" s="467"/>
      <c r="K53" s="467"/>
      <c r="L53" s="467"/>
      <c r="M53" s="467"/>
      <c r="N53" s="467"/>
      <c r="O53" s="467"/>
      <c r="P53" s="467"/>
      <c r="Q53" s="467"/>
      <c r="R53" s="467"/>
      <c r="S53" s="467"/>
      <c r="T53" s="467"/>
      <c r="U53" s="467"/>
      <c r="V53" s="467"/>
      <c r="W53" s="467"/>
      <c r="X53" s="467"/>
      <c r="Y53" s="26"/>
      <c r="Z53" s="26"/>
      <c r="AA53" s="26"/>
      <c r="AB53" s="26"/>
      <c r="AC53" s="26"/>
      <c r="AD53" s="26"/>
      <c r="AE53" s="26" t="s">
        <v>41</v>
      </c>
      <c r="AF53" s="26"/>
      <c r="AG53" s="28" t="s">
        <v>44</v>
      </c>
      <c r="AH53" s="26"/>
      <c r="AI53" s="28" t="s">
        <v>47</v>
      </c>
      <c r="AJ53" s="26"/>
      <c r="AK53" s="28" t="s">
        <v>49</v>
      </c>
      <c r="AL53" s="26"/>
      <c r="AM53" s="28" t="s">
        <v>51</v>
      </c>
      <c r="AN53" s="26"/>
      <c r="AO53" s="26"/>
      <c r="AP53" s="26"/>
      <c r="AQ53" s="26"/>
    </row>
    <row r="54" spans="2:43" ht="12.75" customHeight="1" x14ac:dyDescent="0.25">
      <c r="B54" s="467"/>
      <c r="C54" s="467"/>
      <c r="D54" s="467"/>
      <c r="E54" s="467"/>
      <c r="F54" s="467"/>
      <c r="G54" s="467"/>
      <c r="H54" s="467"/>
      <c r="I54" s="467"/>
      <c r="J54" s="467"/>
      <c r="K54" s="467"/>
      <c r="L54" s="467"/>
      <c r="M54" s="467"/>
      <c r="N54" s="467"/>
      <c r="O54" s="467"/>
      <c r="P54" s="467"/>
      <c r="Q54" s="467"/>
      <c r="R54" s="467"/>
      <c r="S54" s="467"/>
      <c r="T54" s="467"/>
      <c r="U54" s="467"/>
      <c r="V54" s="467"/>
      <c r="W54" s="467"/>
      <c r="X54" s="467"/>
      <c r="Y54" s="26"/>
      <c r="Z54" s="26"/>
      <c r="AA54" s="26"/>
      <c r="AB54" s="26"/>
      <c r="AC54" s="26" t="s">
        <v>58</v>
      </c>
      <c r="AD54" s="26"/>
      <c r="AE54" s="26">
        <f>CHOOSE(AE52,0,$I$32,$I$33,$I$34,$I$35,$I$36,$I$37,$I$38,$I$39,$I$40,$I$41,$I$42,$I$43,$I$44,$I$45)</f>
        <v>0</v>
      </c>
      <c r="AF54" s="26">
        <f>CHOOSE(AE52,0,$G$32,$G$33,$G$34,$G$35,$G$36,$G$37,$G$38,$G$39,$G$40,$G$41,$G$42,$G$43,$G$44,$G$45)</f>
        <v>0</v>
      </c>
      <c r="AG54" s="26">
        <f>CHOOSE(AG52,0,$I$32,$I$33,$I$34,$I$35,$I$36,$I$37,$I$38,$I$39,$I$40,$I$41,$I$42,$I$43,$I$44,$I$45)</f>
        <v>0</v>
      </c>
      <c r="AH54" s="26">
        <f>CHOOSE(AG52,0,$G$32,$G$33,$G$34,$G$35,$G$36,$G$37,$G$38,$G$39,$G$40,$G$41,$G$42,$G$43,$G$44,$G$45)</f>
        <v>0</v>
      </c>
      <c r="AI54" s="26">
        <f>CHOOSE(AI52,0,$I$32,$I$33,$I$34,$I$35,$I$36,$I$37,$I$38,$I$39,$I$40,$I$41,$I$42,$I$43,$I$44,$I$45)</f>
        <v>0</v>
      </c>
      <c r="AJ54" s="26">
        <f>CHOOSE(AI52,0,$G$32,$G$33,$G$34,$G$35,$G$36,$G$37,$G$38,$G$39,$G$40,$G$41,$G$42,$G$43,$G$44,$G$45)</f>
        <v>0</v>
      </c>
      <c r="AK54" s="26">
        <f>CHOOSE(AK52,0,$I$32,$I$33,$I$34,$I$35,$I$36,$I$37,$I$38,$I$39,$I$40,$I$41,$I$42,$I$43,$I$44,$I$45)</f>
        <v>0</v>
      </c>
      <c r="AL54" s="26">
        <f>CHOOSE(AK52,0,$G$32,$G$33,$G$34,$G$35,$G$36,$G$37,$G$38,$G$39,$G$40,$G$41,$G$42,$G$43,$G$44,$G$45)</f>
        <v>0</v>
      </c>
      <c r="AM54" s="26">
        <f>CHOOSE(AM52,0,$I$32,$I$33,$I$34,$I$35,$I$36,$I$37,$I$38,$I$39,$I$40,$I$41,$I$42,$I$43,$I$44,$I$45)</f>
        <v>0</v>
      </c>
      <c r="AN54" s="26">
        <f>CHOOSE(AM52,0,$G$32,$G$33,$G$34,$G$35,$G$36,$G$37,$G$38,$G$39,$G$40,$G$41,$G$42,$G$43,$G$44,$G$45)</f>
        <v>0</v>
      </c>
      <c r="AO54" s="26"/>
      <c r="AP54" s="26"/>
      <c r="AQ54" s="26"/>
    </row>
    <row r="55" spans="2:43" ht="12.75" customHeight="1" x14ac:dyDescent="0.25">
      <c r="B55" s="467"/>
      <c r="C55" s="467"/>
      <c r="D55" s="467"/>
      <c r="E55" s="467"/>
      <c r="F55" s="467"/>
      <c r="G55" s="467"/>
      <c r="H55" s="467"/>
      <c r="I55" s="467"/>
      <c r="J55" s="467"/>
      <c r="K55" s="467"/>
      <c r="L55" s="467"/>
      <c r="M55" s="467"/>
      <c r="N55" s="467"/>
      <c r="O55" s="467"/>
      <c r="P55" s="467"/>
      <c r="Q55" s="467"/>
      <c r="R55" s="467"/>
      <c r="S55" s="467"/>
      <c r="T55" s="467"/>
      <c r="U55" s="467"/>
      <c r="V55" s="467"/>
      <c r="W55" s="467"/>
      <c r="X55" s="467"/>
      <c r="Y55" s="26"/>
      <c r="Z55" s="26"/>
      <c r="AA55" s="26"/>
      <c r="AB55" s="26"/>
      <c r="AC55" s="26" t="s">
        <v>59</v>
      </c>
      <c r="AD55" s="26"/>
      <c r="AE55" s="26">
        <f>CHOOSE(AE52,0,$W$36,$W$37,$W$38,$W$39,$W$40,$W$41,$W$42,$W$43,$W$44,$W$45,$W$46,$W$47,$W$48,$W$49)</f>
        <v>0</v>
      </c>
      <c r="AF55" s="26">
        <f>CHOOSE(AE52,0,$U36,$U37,$U38,$U39,$U40,$U41,$U42,$U43,$U44,$U45,$U46,$U47,$U48,$U49)</f>
        <v>0</v>
      </c>
      <c r="AG55" s="26">
        <f>CHOOSE(AG52,0,$W$36,$W$37,$W$38,$W$39,$W$40,$W$41,$W$42,$W$43,$W$44,$W$45,$W$46,$W$47,$W$48,$W$49)</f>
        <v>0</v>
      </c>
      <c r="AH55" s="26">
        <f>CHOOSE(AG52,0,$U36,$U37,$U38,$U39,$U40,$U41,$U42,$U43,$U44,$U45,$U46,$U47,$U48,$U49)</f>
        <v>0</v>
      </c>
      <c r="AI55" s="26">
        <f>CHOOSE(AI52,0,$W$36,$W$37,$W$38,$W$39,$W$40,$W$41,$W$42,$W$43,$W$44,$W$45,$W$46,$W$47,$W$48,$W$49)</f>
        <v>0</v>
      </c>
      <c r="AJ55" s="26">
        <f>CHOOSE(AI52,0,$U36,$U37,$U38,$U39,$U40,$U41,$U42,$U43,$U44,$U45,$U46,$U47,$U48,$U49)</f>
        <v>0</v>
      </c>
      <c r="AK55" s="26">
        <f>CHOOSE(AK52,0,$W$36,$W$37,$W$38,$W$39,$W$40,$W$41,$W$42,$W$43,$W$44,$W$45,$W$46,$W$47,$W$48,$W$49)</f>
        <v>0</v>
      </c>
      <c r="AL55" s="26">
        <f>CHOOSE(AK52,0,$U36,$U37,$U38,$U39,$U40,$U41,$U42,$U43,$U44,$U45,$U46,$U47,$U48,$U49)</f>
        <v>0</v>
      </c>
      <c r="AM55" s="26">
        <f>CHOOSE(AM52,0,$W$36,$W$37,$W$38,$W$39,$W$40,$W$41,$W$42,$W$43,$W$44,$W$45,$W$46,$W$47,$W$48,$W$49)</f>
        <v>0</v>
      </c>
      <c r="AN55" s="26">
        <f>CHOOSE(AM52,0,$U36,$U37,$U38,$U39,$U40,$U41,$U42,$U43,$U44,$U45,$U46,$U47,$U48,$U49)</f>
        <v>0</v>
      </c>
      <c r="AO55" s="26"/>
      <c r="AP55" s="26"/>
      <c r="AQ55" s="26"/>
    </row>
    <row r="56" spans="2:43" ht="12.75" customHeight="1" x14ac:dyDescent="0.25">
      <c r="B56" s="467"/>
      <c r="C56" s="467"/>
      <c r="D56" s="467"/>
      <c r="E56" s="467"/>
      <c r="F56" s="467"/>
      <c r="G56" s="467"/>
      <c r="H56" s="467"/>
      <c r="I56" s="467"/>
      <c r="J56" s="467"/>
      <c r="K56" s="467"/>
      <c r="L56" s="467"/>
      <c r="M56" s="467"/>
      <c r="N56" s="467"/>
      <c r="O56" s="467"/>
      <c r="P56" s="467"/>
      <c r="Q56" s="467"/>
      <c r="R56" s="467"/>
      <c r="S56" s="467"/>
      <c r="T56" s="467"/>
      <c r="U56" s="467"/>
      <c r="V56" s="467"/>
      <c r="W56" s="467"/>
      <c r="X56" s="467"/>
      <c r="Y56" s="26"/>
      <c r="Z56" s="26"/>
      <c r="AA56" s="26"/>
      <c r="AB56" s="26"/>
      <c r="AC56" s="26"/>
      <c r="AD56" s="26"/>
      <c r="AE56" s="26" t="s">
        <v>36</v>
      </c>
      <c r="AF56" s="26"/>
      <c r="AG56" s="26" t="s">
        <v>36</v>
      </c>
      <c r="AH56" s="26"/>
      <c r="AI56" s="26" t="s">
        <v>36</v>
      </c>
      <c r="AJ56" s="26"/>
      <c r="AK56" s="26" t="s">
        <v>36</v>
      </c>
      <c r="AL56" s="26"/>
      <c r="AM56" s="26" t="s">
        <v>36</v>
      </c>
      <c r="AN56" s="26"/>
      <c r="AO56" s="26"/>
      <c r="AP56" s="26"/>
      <c r="AQ56" s="26"/>
    </row>
    <row r="57" spans="2:43" ht="12.75" customHeight="1" x14ac:dyDescent="0.25"/>
    <row r="58" spans="2:43" ht="12.75" customHeight="1" x14ac:dyDescent="0.25"/>
    <row r="59" spans="2:43" ht="12.75" customHeight="1" x14ac:dyDescent="0.25"/>
    <row r="60" spans="2:43" ht="12.75" customHeight="1" x14ac:dyDescent="0.25"/>
    <row r="61" spans="2:43" ht="12.75" customHeight="1" x14ac:dyDescent="0.25"/>
    <row r="62" spans="2:43" ht="12.75" customHeight="1" x14ac:dyDescent="0.25"/>
    <row r="63" spans="2:43" ht="12.75" customHeight="1" x14ac:dyDescent="0.25"/>
    <row r="64" spans="2:43"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sheetData>
  <mergeCells count="22">
    <mergeCell ref="S34:W34"/>
    <mergeCell ref="N35:O35"/>
    <mergeCell ref="N36:O36"/>
    <mergeCell ref="N37:O37"/>
    <mergeCell ref="N38:O38"/>
    <mergeCell ref="N42:O42"/>
    <mergeCell ref="N43:O43"/>
    <mergeCell ref="N44:O44"/>
    <mergeCell ref="N45:O45"/>
    <mergeCell ref="N46:O46"/>
    <mergeCell ref="M25:N25"/>
    <mergeCell ref="E30:I30"/>
    <mergeCell ref="N39:O39"/>
    <mergeCell ref="N40:O40"/>
    <mergeCell ref="N41:O41"/>
    <mergeCell ref="M31:Q32"/>
    <mergeCell ref="M34:Q34"/>
    <mergeCell ref="M19:N19"/>
    <mergeCell ref="M21:N21"/>
    <mergeCell ref="M22:N22"/>
    <mergeCell ref="M23:N23"/>
    <mergeCell ref="M24:N24"/>
  </mergeCells>
  <dataValidations count="1">
    <dataValidation type="custom" allowBlank="1" showInputMessage="1" prompt=" - " sqref="N36" xr:uid="{00000000-0002-0000-0000-000000000000}">
      <formula1>1234</formula1>
    </dataValidation>
  </dataValidation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FF00"/>
  </sheetPr>
  <dimension ref="A1:CO808"/>
  <sheetViews>
    <sheetView workbookViewId="0">
      <selection activeCell="C3" sqref="C3"/>
    </sheetView>
  </sheetViews>
  <sheetFormatPr defaultColWidth="12.6640625" defaultRowHeight="15" customHeight="1" x14ac:dyDescent="0.25"/>
  <cols>
    <col min="1" max="2" width="1.77734375" customWidth="1"/>
    <col min="3" max="3" width="3.88671875" customWidth="1"/>
    <col min="4" max="4" width="8.109375" customWidth="1"/>
    <col min="5" max="5" width="10.109375" customWidth="1"/>
    <col min="6" max="6" width="9.109375" customWidth="1"/>
    <col min="7" max="7" width="11.6640625" customWidth="1"/>
    <col min="8" max="8" width="12.77734375" customWidth="1"/>
    <col min="9" max="9" width="9.33203125" customWidth="1"/>
    <col min="10" max="10" width="11.6640625" customWidth="1"/>
    <col min="11" max="11" width="9.33203125" customWidth="1"/>
    <col min="12" max="13" width="13.6640625" customWidth="1"/>
    <col min="14" max="14" width="11.88671875" customWidth="1"/>
    <col min="15" max="15" width="9.109375" customWidth="1"/>
    <col min="16" max="16" width="1.6640625" customWidth="1"/>
    <col min="17" max="17" width="5.21875" hidden="1" customWidth="1"/>
    <col min="18" max="18" width="11" hidden="1" customWidth="1"/>
    <col min="19" max="19" width="2.88671875" hidden="1" customWidth="1"/>
    <col min="20" max="20" width="3" hidden="1" customWidth="1"/>
    <col min="21" max="21" width="8.88671875" hidden="1" customWidth="1"/>
    <col min="22" max="22" width="16.6640625" hidden="1" customWidth="1"/>
    <col min="23" max="23" width="19" hidden="1" customWidth="1"/>
    <col min="24" max="24" width="9.109375" hidden="1" customWidth="1"/>
    <col min="25" max="25" width="12.6640625" hidden="1" customWidth="1"/>
    <col min="26" max="26" width="17.21875" hidden="1" customWidth="1"/>
    <col min="27" max="27" width="3.109375" hidden="1" customWidth="1"/>
    <col min="28" max="28" width="19.88671875" hidden="1" customWidth="1"/>
    <col min="29" max="29" width="18.33203125" hidden="1" customWidth="1"/>
    <col min="30" max="30" width="2.6640625" hidden="1" customWidth="1"/>
    <col min="31" max="31" width="5" hidden="1" customWidth="1"/>
    <col min="32" max="34" width="4.21875" hidden="1" customWidth="1"/>
    <col min="35" max="35" width="4" hidden="1" customWidth="1"/>
    <col min="36" max="36" width="5.109375" hidden="1" customWidth="1"/>
    <col min="37" max="40" width="4.21875" hidden="1" customWidth="1"/>
    <col min="41" max="41" width="5.109375" hidden="1" customWidth="1"/>
    <col min="42" max="44" width="4.21875" hidden="1" customWidth="1"/>
    <col min="45" max="45" width="4.88671875" hidden="1" customWidth="1"/>
    <col min="46" max="46" width="3.88671875" hidden="1" customWidth="1"/>
    <col min="47" max="47" width="4.21875" hidden="1" customWidth="1"/>
    <col min="48" max="48" width="5.109375" hidden="1" customWidth="1"/>
    <col min="49" max="49" width="4.33203125" hidden="1" customWidth="1"/>
    <col min="50" max="55" width="4.21875" hidden="1" customWidth="1"/>
    <col min="56" max="56" width="5.21875" hidden="1" customWidth="1"/>
    <col min="57" max="57" width="10.88671875" hidden="1" customWidth="1"/>
    <col min="58" max="58" width="9.109375" customWidth="1"/>
    <col min="59" max="59" width="8.88671875" customWidth="1"/>
    <col min="60" max="60" width="9.109375" customWidth="1"/>
    <col min="61" max="61" width="3.88671875" customWidth="1"/>
    <col min="62" max="62" width="9.109375" customWidth="1"/>
    <col min="63" max="63" width="4.109375" customWidth="1"/>
    <col min="64" max="65" width="4.21875" customWidth="1"/>
    <col min="66" max="67" width="5" customWidth="1"/>
    <col min="68" max="68" width="3.88671875" customWidth="1"/>
    <col min="69" max="76" width="4.21875" customWidth="1"/>
    <col min="77" max="77" width="5.21875" customWidth="1"/>
    <col min="78" max="78" width="4" customWidth="1"/>
    <col min="79" max="79" width="4.109375" customWidth="1"/>
    <col min="80" max="86" width="4.21875" customWidth="1"/>
    <col min="87" max="87" width="5.21875" customWidth="1"/>
    <col min="88" max="88" width="9.109375" customWidth="1"/>
    <col min="89" max="93" width="8" hidden="1" customWidth="1"/>
  </cols>
  <sheetData>
    <row r="1" spans="1:93" ht="10.5" customHeight="1" x14ac:dyDescent="0.25">
      <c r="A1" s="29"/>
      <c r="B1" s="29"/>
      <c r="C1" s="29"/>
      <c r="D1" s="29"/>
      <c r="E1" s="29"/>
      <c r="F1" s="29"/>
      <c r="G1" s="29"/>
      <c r="H1" s="29"/>
      <c r="I1" s="29"/>
      <c r="J1" s="29"/>
      <c r="K1" s="29"/>
      <c r="L1" s="29"/>
      <c r="M1" s="29"/>
      <c r="N1" s="29"/>
      <c r="O1" s="29"/>
      <c r="P1" s="29"/>
      <c r="Q1" s="6"/>
      <c r="R1" s="6"/>
      <c r="S1" s="6"/>
      <c r="T1" s="6"/>
      <c r="U1" s="6"/>
      <c r="V1" s="6"/>
      <c r="W1" s="6"/>
      <c r="X1" s="6"/>
      <c r="Y1" s="6"/>
      <c r="Z1" s="6"/>
      <c r="AA1" s="6"/>
      <c r="AB1" s="30"/>
      <c r="AC1" s="30"/>
      <c r="AD1" s="30"/>
      <c r="AE1" s="31"/>
      <c r="AF1" s="32"/>
      <c r="AG1" s="32"/>
      <c r="AH1" s="32"/>
      <c r="AI1" s="32"/>
      <c r="AJ1" s="32"/>
      <c r="AK1" s="32"/>
      <c r="AL1" s="32"/>
      <c r="AM1" s="32"/>
      <c r="AN1" s="31"/>
      <c r="AO1" s="31"/>
      <c r="AP1" s="31"/>
      <c r="AQ1" s="31"/>
      <c r="AR1" s="31"/>
      <c r="AS1" s="31"/>
      <c r="AT1" s="31"/>
      <c r="AU1" s="31"/>
      <c r="AV1" s="31"/>
      <c r="AW1" s="31"/>
      <c r="AX1" s="31"/>
      <c r="AY1" s="31"/>
      <c r="AZ1" s="31"/>
      <c r="BA1" s="31"/>
      <c r="BB1" s="31"/>
      <c r="BC1" s="31"/>
      <c r="BD1" s="31"/>
      <c r="BE1" s="6"/>
      <c r="BF1" s="26"/>
      <c r="BG1" s="26"/>
      <c r="BH1" s="26"/>
      <c r="BI1" s="26"/>
      <c r="BJ1" s="26"/>
      <c r="BK1" s="26"/>
      <c r="BL1" s="26"/>
      <c r="BM1" s="26"/>
      <c r="BN1" s="26"/>
      <c r="BO1" s="26"/>
      <c r="BP1" s="26"/>
      <c r="BQ1" s="26"/>
      <c r="BR1" s="26"/>
      <c r="BS1" s="26"/>
      <c r="BT1" s="26"/>
      <c r="BU1" s="26"/>
      <c r="BV1" s="26"/>
      <c r="BW1" s="26"/>
      <c r="BX1" s="26"/>
      <c r="BY1" s="26"/>
      <c r="BZ1" s="26"/>
      <c r="CA1" s="26"/>
      <c r="CB1" s="26"/>
      <c r="CC1" s="26"/>
      <c r="CD1" s="26"/>
      <c r="CE1" s="26"/>
      <c r="CF1" s="26"/>
      <c r="CG1" s="26"/>
      <c r="CH1" s="26"/>
      <c r="CI1" s="26"/>
      <c r="CJ1" s="26"/>
      <c r="CK1" s="26"/>
      <c r="CL1" s="26"/>
      <c r="CM1" s="26"/>
      <c r="CN1" s="26"/>
      <c r="CO1" s="26"/>
    </row>
    <row r="2" spans="1:93" ht="20.25" customHeight="1" x14ac:dyDescent="0.3">
      <c r="A2" s="29"/>
      <c r="B2" s="33"/>
      <c r="C2" s="34"/>
      <c r="D2" s="34"/>
      <c r="E2" s="398" t="str">
        <f>IF(E121,"Residential Optional Calculation","Residential Standard Calculation")</f>
        <v>Residential Standard Calculation</v>
      </c>
      <c r="F2" s="399"/>
      <c r="G2" s="399"/>
      <c r="H2" s="399"/>
      <c r="I2" s="400"/>
      <c r="J2" s="35">
        <v>35698</v>
      </c>
      <c r="K2" s="34"/>
      <c r="L2" s="401" t="s">
        <v>60</v>
      </c>
      <c r="M2" s="399"/>
      <c r="N2" s="399"/>
      <c r="O2" s="402"/>
      <c r="P2" s="29"/>
      <c r="Q2" s="6"/>
      <c r="R2" s="6"/>
      <c r="S2" s="6"/>
      <c r="T2" s="6"/>
      <c r="U2" s="6"/>
      <c r="V2" s="36" t="str">
        <f>IF(E121,"OPTIONAL","STANDARD")</f>
        <v>STANDARD</v>
      </c>
      <c r="W2" s="36" t="str">
        <f>IF(R13,"A/C","HP")</f>
        <v>A/C</v>
      </c>
      <c r="X2" s="6"/>
      <c r="Y2" s="6"/>
      <c r="Z2" s="6"/>
      <c r="AA2" s="6"/>
      <c r="AB2" s="30"/>
      <c r="AC2" s="30"/>
      <c r="AD2" s="30"/>
      <c r="AE2" s="6"/>
      <c r="AF2" s="6"/>
      <c r="AG2" s="6"/>
      <c r="AH2" s="6"/>
      <c r="AI2" s="6"/>
      <c r="AJ2" s="6"/>
      <c r="AK2" s="6"/>
      <c r="AL2" s="6"/>
      <c r="AM2" s="6"/>
      <c r="AN2" s="6"/>
      <c r="AO2" s="6"/>
      <c r="AP2" s="37"/>
      <c r="AQ2" s="6"/>
      <c r="AR2" s="6"/>
      <c r="AS2" s="6"/>
      <c r="AT2" s="6"/>
      <c r="AU2" s="6"/>
      <c r="AV2" s="6"/>
      <c r="AW2" s="6"/>
      <c r="AX2" s="6"/>
      <c r="AY2" s="6"/>
      <c r="AZ2" s="6"/>
      <c r="BA2" s="6"/>
      <c r="BB2" s="6"/>
      <c r="BC2" s="6"/>
      <c r="BD2" s="6" t="s">
        <v>18</v>
      </c>
      <c r="BE2" s="6"/>
      <c r="BF2" s="26"/>
      <c r="BG2" s="38"/>
      <c r="BH2" s="26"/>
      <c r="BI2" s="26"/>
      <c r="BJ2" s="26"/>
      <c r="BK2" s="26"/>
      <c r="BL2" s="26"/>
      <c r="BM2" s="26"/>
      <c r="BN2" s="26"/>
      <c r="BO2" s="26"/>
      <c r="BP2" s="26"/>
      <c r="BQ2" s="26"/>
      <c r="BR2" s="26"/>
      <c r="BS2" s="26"/>
      <c r="BT2" s="26"/>
      <c r="BU2" s="26"/>
      <c r="BV2" s="26"/>
      <c r="BW2" s="26"/>
      <c r="BX2" s="26"/>
      <c r="BY2" s="26"/>
      <c r="BZ2" s="26"/>
      <c r="CA2" s="26"/>
      <c r="CB2" s="26"/>
      <c r="CC2" s="26"/>
      <c r="CD2" s="26"/>
      <c r="CE2" s="26"/>
      <c r="CF2" s="26"/>
      <c r="CG2" s="26"/>
      <c r="CH2" s="26"/>
      <c r="CI2" s="26"/>
      <c r="CJ2" s="26"/>
      <c r="CK2" s="26"/>
      <c r="CL2" s="26"/>
      <c r="CM2" s="26"/>
      <c r="CN2" s="26"/>
      <c r="CO2" s="26"/>
    </row>
    <row r="3" spans="1:93" ht="12.75" customHeight="1" x14ac:dyDescent="0.25">
      <c r="A3" s="29"/>
      <c r="B3" s="39"/>
      <c r="C3" s="26"/>
      <c r="D3" s="26"/>
      <c r="E3" s="40"/>
      <c r="F3" s="403"/>
      <c r="G3" s="404"/>
      <c r="H3" s="404"/>
      <c r="I3" s="404"/>
      <c r="J3" s="392"/>
      <c r="K3" s="26"/>
      <c r="L3" s="405"/>
      <c r="M3" s="404"/>
      <c r="N3" s="404"/>
      <c r="O3" s="406"/>
      <c r="P3" s="29"/>
      <c r="Q3" s="6"/>
      <c r="R3" s="6"/>
      <c r="S3" s="6"/>
      <c r="T3" s="6"/>
      <c r="U3" s="6"/>
      <c r="V3" s="6"/>
      <c r="W3" s="6"/>
      <c r="X3" s="6"/>
      <c r="Y3" s="6"/>
      <c r="Z3" s="6"/>
      <c r="AA3" s="6"/>
      <c r="AB3" s="30"/>
      <c r="AC3" s="30"/>
      <c r="AD3" s="30"/>
      <c r="AE3" s="6"/>
      <c r="AF3" s="6"/>
      <c r="AG3" s="6"/>
      <c r="AH3" s="6"/>
      <c r="AI3" s="6"/>
      <c r="AJ3" s="6"/>
      <c r="AK3" s="6"/>
      <c r="AL3" s="6"/>
      <c r="AM3" s="6"/>
      <c r="AN3" s="6"/>
      <c r="AO3" s="6"/>
      <c r="AP3" s="6"/>
      <c r="AQ3" s="6"/>
      <c r="AR3" s="6"/>
      <c r="AS3" s="6"/>
      <c r="AT3" s="6"/>
      <c r="AU3" s="6"/>
      <c r="AV3" s="6"/>
      <c r="AW3" s="6"/>
      <c r="AX3" s="6"/>
      <c r="AY3" s="6"/>
      <c r="AZ3" s="6"/>
      <c r="BA3" s="6"/>
      <c r="BB3" s="6"/>
      <c r="BC3" s="6"/>
      <c r="BD3" s="6"/>
      <c r="BE3" s="6"/>
      <c r="BF3" s="26"/>
      <c r="BG3" s="41"/>
      <c r="BH3" s="41"/>
      <c r="BI3" s="26"/>
      <c r="BJ3" s="26"/>
      <c r="BK3" s="26"/>
      <c r="BL3" s="26"/>
      <c r="BM3" s="26"/>
      <c r="BN3" s="26"/>
      <c r="BO3" s="26"/>
      <c r="BP3" s="26"/>
      <c r="BQ3" s="26"/>
      <c r="BR3" s="26"/>
      <c r="BS3" s="26"/>
      <c r="BT3" s="26"/>
      <c r="BU3" s="26"/>
      <c r="BV3" s="26"/>
      <c r="BW3" s="26"/>
      <c r="BX3" s="26"/>
      <c r="BY3" s="26"/>
      <c r="BZ3" s="26"/>
      <c r="CA3" s="26"/>
      <c r="CB3" s="26"/>
      <c r="CC3" s="26"/>
      <c r="CD3" s="26"/>
      <c r="CE3" s="26"/>
      <c r="CF3" s="26"/>
      <c r="CG3" s="26"/>
      <c r="CH3" s="26"/>
      <c r="CI3" s="26"/>
      <c r="CJ3" s="26"/>
      <c r="CK3" s="26"/>
      <c r="CL3" s="26"/>
      <c r="CM3" s="26"/>
      <c r="CN3" s="26"/>
      <c r="CO3" s="26"/>
    </row>
    <row r="4" spans="1:93" ht="17.25" customHeight="1" x14ac:dyDescent="0.25">
      <c r="A4" s="29"/>
      <c r="B4" s="39"/>
      <c r="C4" s="26"/>
      <c r="D4" s="42" t="str">
        <f>IF($E$121,"STEP  1   Article 220.82 (B) (1),(2)","STEP  1   Article 220.42 &amp; 220.52")</f>
        <v>STEP  1   Article 220.42 &amp; 220.52</v>
      </c>
      <c r="E4" s="26"/>
      <c r="F4" s="26"/>
      <c r="G4" s="26"/>
      <c r="H4" s="26"/>
      <c r="I4" s="26"/>
      <c r="J4" s="43"/>
      <c r="K4" s="43"/>
      <c r="L4" s="407" t="str">
        <f>'User Info'!B6</f>
        <v>Company Name</v>
      </c>
      <c r="M4" s="404"/>
      <c r="N4" s="404"/>
      <c r="O4" s="406"/>
      <c r="P4" s="29"/>
      <c r="Q4" s="6"/>
      <c r="R4" s="6"/>
      <c r="S4" s="6"/>
      <c r="T4" s="6"/>
      <c r="U4" s="6"/>
      <c r="V4" s="6" t="s">
        <v>61</v>
      </c>
      <c r="W4" s="6" t="s">
        <v>62</v>
      </c>
      <c r="X4" s="6"/>
      <c r="Y4" s="6" t="str">
        <f>IF(E121," optional","standard")</f>
        <v>standard</v>
      </c>
      <c r="Z4" s="6"/>
      <c r="AA4" s="6"/>
      <c r="AB4" s="30"/>
      <c r="AC4" s="30"/>
      <c r="AD4" s="30"/>
      <c r="AE4" s="6"/>
      <c r="AF4" s="408"/>
      <c r="AG4" s="409"/>
      <c r="AH4" s="409"/>
      <c r="AI4" s="409"/>
      <c r="AJ4" s="409"/>
      <c r="AK4" s="409"/>
      <c r="AL4" s="409"/>
      <c r="AM4" s="409"/>
      <c r="AN4" s="409"/>
      <c r="AO4" s="6"/>
      <c r="AP4" s="6"/>
      <c r="AQ4" s="6"/>
      <c r="AR4" s="6"/>
      <c r="AS4" s="6"/>
      <c r="AT4" s="6"/>
      <c r="AU4" s="6"/>
      <c r="AV4" s="410"/>
      <c r="AW4" s="409"/>
      <c r="AX4" s="409"/>
      <c r="AY4" s="409"/>
      <c r="AZ4" s="409"/>
      <c r="BA4" s="409"/>
      <c r="BB4" s="409"/>
      <c r="BC4" s="6"/>
      <c r="BD4" s="6"/>
      <c r="BE4" s="45"/>
      <c r="BF4" s="46"/>
      <c r="BG4" s="47"/>
      <c r="BH4" s="47"/>
      <c r="BI4" s="26"/>
      <c r="BJ4" s="26"/>
      <c r="BK4" s="48"/>
      <c r="BL4" s="26"/>
      <c r="BM4" s="26"/>
      <c r="BN4" s="26"/>
      <c r="BO4" s="26"/>
      <c r="BP4" s="26"/>
      <c r="BQ4" s="26"/>
      <c r="BR4" s="26"/>
      <c r="BS4" s="26"/>
      <c r="BT4" s="26"/>
      <c r="BU4" s="49"/>
      <c r="BV4" s="49"/>
      <c r="BW4" s="50"/>
      <c r="BX4" s="26"/>
      <c r="BY4" s="26"/>
      <c r="BZ4" s="26"/>
      <c r="CA4" s="49"/>
      <c r="CB4" s="50"/>
      <c r="CC4" s="50"/>
      <c r="CD4" s="50"/>
      <c r="CE4" s="50"/>
      <c r="CF4" s="50"/>
      <c r="CG4" s="50"/>
      <c r="CH4" s="50"/>
      <c r="CI4" s="50"/>
      <c r="CJ4" s="26"/>
      <c r="CK4" s="46"/>
      <c r="CL4" s="46"/>
      <c r="CM4" s="26"/>
      <c r="CN4" s="26"/>
      <c r="CO4" s="26"/>
    </row>
    <row r="5" spans="1:93" ht="15" customHeight="1" x14ac:dyDescent="0.25">
      <c r="A5" s="29"/>
      <c r="B5" s="39"/>
      <c r="C5" s="26"/>
      <c r="D5" s="26"/>
      <c r="E5" s="51"/>
      <c r="F5" s="26" t="s">
        <v>63</v>
      </c>
      <c r="G5" s="26"/>
      <c r="H5" s="17">
        <f>E5*F483</f>
        <v>0</v>
      </c>
      <c r="I5" s="26"/>
      <c r="J5" s="43"/>
      <c r="K5" s="43"/>
      <c r="L5" s="411" t="str">
        <f>'User Info'!B9</f>
        <v>Address</v>
      </c>
      <c r="M5" s="404"/>
      <c r="N5" s="404"/>
      <c r="O5" s="406"/>
      <c r="P5" s="29"/>
      <c r="Q5" s="6"/>
      <c r="R5" s="6"/>
      <c r="S5" s="6"/>
      <c r="T5" s="6"/>
      <c r="U5" s="6" t="s">
        <v>64</v>
      </c>
      <c r="V5" s="6" t="e">
        <f>W20+X20</f>
        <v>#REF!</v>
      </c>
      <c r="W5" s="6" t="e">
        <f>W24</f>
        <v>#REF!</v>
      </c>
      <c r="X5" s="6"/>
      <c r="Y5" s="6" t="e">
        <f t="shared" ref="Y5:Y6" si="0">IF($E$121,W5,V5)</f>
        <v>#REF!</v>
      </c>
      <c r="Z5" s="52" t="e">
        <f>IF(R13,Y5,Y8)</f>
        <v>#REF!</v>
      </c>
      <c r="AA5" s="6"/>
      <c r="AB5" s="30"/>
      <c r="AC5" s="30"/>
      <c r="AD5" s="30"/>
      <c r="AE5" s="6"/>
      <c r="AF5" s="6"/>
      <c r="AG5" s="6"/>
      <c r="AH5" s="6"/>
      <c r="AI5" s="6"/>
      <c r="AJ5" s="6"/>
      <c r="AK5" s="6"/>
      <c r="AL5" s="6"/>
      <c r="AM5" s="6"/>
      <c r="AN5" s="6"/>
      <c r="AO5" s="6"/>
      <c r="AP5" s="6"/>
      <c r="AQ5" s="6"/>
      <c r="AR5" s="6"/>
      <c r="AS5" s="6"/>
      <c r="AT5" s="6"/>
      <c r="AU5" s="6"/>
      <c r="AV5" s="6"/>
      <c r="AW5" s="6"/>
      <c r="AX5" s="6"/>
      <c r="AY5" s="6"/>
      <c r="AZ5" s="6"/>
      <c r="BA5" s="6"/>
      <c r="BB5" s="6"/>
      <c r="BC5" s="6"/>
      <c r="BD5" s="6"/>
      <c r="BE5" s="53"/>
      <c r="BF5" s="54"/>
      <c r="BG5" s="47"/>
      <c r="BH5" s="47"/>
      <c r="BI5" s="26"/>
      <c r="BJ5" s="26"/>
      <c r="BK5" s="26"/>
      <c r="BL5" s="26"/>
      <c r="BM5" s="26"/>
      <c r="BN5" s="26"/>
      <c r="BO5" s="26"/>
      <c r="BP5" s="26"/>
      <c r="BQ5" s="26"/>
      <c r="BR5" s="26"/>
      <c r="BS5" s="26"/>
      <c r="BT5" s="38"/>
      <c r="BU5" s="26"/>
      <c r="BV5" s="26"/>
      <c r="BW5" s="26"/>
      <c r="BX5" s="26"/>
      <c r="BY5" s="26"/>
      <c r="BZ5" s="26"/>
      <c r="CA5" s="55"/>
      <c r="CB5" s="26"/>
      <c r="CC5" s="56"/>
      <c r="CD5" s="26"/>
      <c r="CE5" s="26"/>
      <c r="CF5" s="26"/>
      <c r="CG5" s="26"/>
      <c r="CH5" s="26"/>
      <c r="CI5" s="26"/>
      <c r="CJ5" s="26"/>
      <c r="CK5" s="54" t="s">
        <v>18</v>
      </c>
      <c r="CL5" s="54" t="s">
        <v>18</v>
      </c>
      <c r="CM5" s="26"/>
      <c r="CN5" s="26"/>
      <c r="CO5" s="26"/>
    </row>
    <row r="6" spans="1:93" ht="12.75" customHeight="1" x14ac:dyDescent="0.25">
      <c r="A6" s="29"/>
      <c r="B6" s="39"/>
      <c r="C6" s="26"/>
      <c r="D6" s="26"/>
      <c r="E6" s="51"/>
      <c r="F6" s="26" t="s">
        <v>65</v>
      </c>
      <c r="G6" s="26"/>
      <c r="H6" s="17">
        <f t="shared" ref="H6:H7" si="1">1500*E6</f>
        <v>0</v>
      </c>
      <c r="I6" s="57"/>
      <c r="J6" s="43"/>
      <c r="K6" s="43"/>
      <c r="L6" s="411" t="str">
        <f>'User Info'!B12</f>
        <v>City, State, Zip Code</v>
      </c>
      <c r="M6" s="404"/>
      <c r="N6" s="404"/>
      <c r="O6" s="406"/>
      <c r="P6" s="29"/>
      <c r="Q6" s="6"/>
      <c r="R6" s="6"/>
      <c r="S6" s="6"/>
      <c r="T6" s="6"/>
      <c r="U6" s="6" t="s">
        <v>66</v>
      </c>
      <c r="V6" s="58">
        <f t="shared" ref="V6:W6" si="2">IF($V$20=0,0,SUM($V$20+$X$20))</f>
        <v>0</v>
      </c>
      <c r="W6" s="58">
        <f t="shared" si="2"/>
        <v>0</v>
      </c>
      <c r="X6" s="6"/>
      <c r="Y6" s="58">
        <f t="shared" si="0"/>
        <v>0</v>
      </c>
      <c r="Z6" s="6"/>
      <c r="AA6" s="6"/>
      <c r="AB6" s="6"/>
      <c r="AC6" s="6"/>
      <c r="AD6" s="6"/>
      <c r="AE6" s="6"/>
      <c r="AF6" s="6"/>
      <c r="AG6" s="6"/>
      <c r="AH6" s="6"/>
      <c r="AI6" s="6"/>
      <c r="AJ6" s="6"/>
      <c r="AK6" s="59"/>
      <c r="AL6" s="52"/>
      <c r="AM6" s="6"/>
      <c r="AN6" s="6"/>
      <c r="AO6" s="59"/>
      <c r="AP6" s="6"/>
      <c r="AQ6" s="52"/>
      <c r="AR6" s="6"/>
      <c r="AS6" s="6"/>
      <c r="AT6" s="6"/>
      <c r="AU6" s="52"/>
      <c r="AV6" s="52"/>
      <c r="AW6" s="6"/>
      <c r="AX6" s="52"/>
      <c r="AY6" s="6"/>
      <c r="AZ6" s="6"/>
      <c r="BA6" s="6"/>
      <c r="BB6" s="6"/>
      <c r="BC6" s="6"/>
      <c r="BD6" s="6"/>
      <c r="BE6" s="45"/>
      <c r="BF6" s="46"/>
      <c r="BG6" s="60"/>
      <c r="BH6" s="60"/>
      <c r="BI6" s="26"/>
      <c r="BJ6" s="26"/>
      <c r="BK6" s="26"/>
      <c r="BL6" s="26"/>
      <c r="BM6" s="26"/>
      <c r="BN6" s="26"/>
      <c r="BO6" s="38"/>
      <c r="BP6" s="38"/>
      <c r="BQ6" s="26"/>
      <c r="BR6" s="26"/>
      <c r="BS6" s="26"/>
      <c r="BT6" s="26"/>
      <c r="BU6" s="26"/>
      <c r="BV6" s="26"/>
      <c r="BW6" s="26"/>
      <c r="BX6" s="26"/>
      <c r="BY6" s="26"/>
      <c r="BZ6" s="26"/>
      <c r="CA6" s="61"/>
      <c r="CB6" s="26"/>
      <c r="CC6" s="26"/>
      <c r="CD6" s="26"/>
      <c r="CE6" s="26"/>
      <c r="CF6" s="26"/>
      <c r="CG6" s="26"/>
      <c r="CH6" s="26"/>
      <c r="CI6" s="26"/>
      <c r="CJ6" s="26"/>
      <c r="CK6" s="46" t="s">
        <v>67</v>
      </c>
      <c r="CL6" s="46" t="str">
        <f>CK6</f>
        <v xml:space="preserve">  </v>
      </c>
      <c r="CM6" s="26"/>
      <c r="CN6" s="26"/>
      <c r="CO6" s="26"/>
    </row>
    <row r="7" spans="1:93" ht="12.75" customHeight="1" x14ac:dyDescent="0.25">
      <c r="A7" s="29"/>
      <c r="B7" s="39"/>
      <c r="C7" s="26"/>
      <c r="D7" s="26"/>
      <c r="E7" s="51"/>
      <c r="F7" s="26" t="s">
        <v>68</v>
      </c>
      <c r="G7" s="26"/>
      <c r="H7" s="17">
        <f t="shared" si="1"/>
        <v>0</v>
      </c>
      <c r="I7" s="26"/>
      <c r="J7" s="43"/>
      <c r="K7" s="43"/>
      <c r="L7" s="411" t="str">
        <f>'User Info'!B15</f>
        <v>Telephone &amp; Fax</v>
      </c>
      <c r="M7" s="404"/>
      <c r="N7" s="404"/>
      <c r="O7" s="406"/>
      <c r="P7" s="29"/>
      <c r="Q7" s="6"/>
      <c r="R7" s="6"/>
      <c r="S7" s="6"/>
      <c r="T7" s="6"/>
      <c r="U7" s="6"/>
      <c r="V7" s="6"/>
      <c r="W7" s="6"/>
      <c r="X7" s="6"/>
      <c r="Y7" s="6"/>
      <c r="Z7" s="6"/>
      <c r="AA7" s="6"/>
      <c r="AB7" s="45"/>
      <c r="AC7" s="45"/>
      <c r="AD7" s="6"/>
      <c r="AE7" s="6"/>
      <c r="AF7" s="6"/>
      <c r="AG7" s="6"/>
      <c r="AH7" s="6"/>
      <c r="AI7" s="6"/>
      <c r="AJ7" s="6"/>
      <c r="AK7" s="52"/>
      <c r="AL7" s="6"/>
      <c r="AM7" s="6"/>
      <c r="AN7" s="6"/>
      <c r="AO7" s="6"/>
      <c r="AP7" s="6"/>
      <c r="AQ7" s="6"/>
      <c r="AR7" s="6"/>
      <c r="AS7" s="6"/>
      <c r="AT7" s="6"/>
      <c r="AU7" s="6"/>
      <c r="AV7" s="52"/>
      <c r="AW7" s="6"/>
      <c r="AX7" s="6"/>
      <c r="AY7" s="6"/>
      <c r="AZ7" s="6"/>
      <c r="BA7" s="6"/>
      <c r="BB7" s="6"/>
      <c r="BC7" s="6"/>
      <c r="BD7" s="6"/>
      <c r="BE7" s="45"/>
      <c r="BF7" s="46"/>
      <c r="BG7" s="47"/>
      <c r="BH7" s="60"/>
      <c r="BI7" s="26"/>
      <c r="BJ7" s="26"/>
      <c r="BK7" s="26"/>
      <c r="BL7" s="26"/>
      <c r="BM7" s="26"/>
      <c r="BN7" s="26"/>
      <c r="BO7" s="38"/>
      <c r="BP7" s="26"/>
      <c r="BQ7" s="26"/>
      <c r="BR7" s="26"/>
      <c r="BS7" s="26"/>
      <c r="BT7" s="26"/>
      <c r="BU7" s="26"/>
      <c r="BV7" s="26"/>
      <c r="BW7" s="26"/>
      <c r="BX7" s="26"/>
      <c r="BY7" s="26"/>
      <c r="BZ7" s="26"/>
      <c r="CA7" s="61"/>
      <c r="CB7" s="26"/>
      <c r="CC7" s="26"/>
      <c r="CD7" s="26"/>
      <c r="CE7" s="26"/>
      <c r="CF7" s="26"/>
      <c r="CG7" s="26"/>
      <c r="CH7" s="26"/>
      <c r="CI7" s="26"/>
      <c r="CJ7" s="26"/>
      <c r="CK7" s="46" t="s">
        <v>18</v>
      </c>
      <c r="CL7" s="46" t="s">
        <v>18</v>
      </c>
      <c r="CM7" s="26"/>
      <c r="CN7" s="26"/>
      <c r="CO7" s="26"/>
    </row>
    <row r="8" spans="1:93" ht="14.25" customHeight="1" x14ac:dyDescent="0.25">
      <c r="A8" s="29"/>
      <c r="B8" s="39"/>
      <c r="C8" s="26"/>
      <c r="D8" s="26"/>
      <c r="E8" s="412" t="s">
        <v>69</v>
      </c>
      <c r="F8" s="404"/>
      <c r="G8" s="392"/>
      <c r="H8" s="62">
        <f>SUM(H5:H7)</f>
        <v>0</v>
      </c>
      <c r="I8" s="26"/>
      <c r="J8" s="26"/>
      <c r="K8" s="43"/>
      <c r="L8" s="413">
        <f ca="1">NOW()</f>
        <v>45736.72316076389</v>
      </c>
      <c r="M8" s="392"/>
      <c r="N8" s="414" t="str">
        <f>'User Info'!B18</f>
        <v xml:space="preserve"> </v>
      </c>
      <c r="O8" s="406"/>
      <c r="P8" s="29"/>
      <c r="Q8" s="6"/>
      <c r="R8" s="6"/>
      <c r="S8" s="6"/>
      <c r="T8" s="6"/>
      <c r="U8" s="6" t="s">
        <v>64</v>
      </c>
      <c r="V8" s="58" t="e">
        <f>SUM(W20+X20+V20)</f>
        <v>#REF!</v>
      </c>
      <c r="W8" s="58" t="e">
        <f>W24+V20</f>
        <v>#REF!</v>
      </c>
      <c r="X8" s="6"/>
      <c r="Y8" s="58" t="e">
        <f t="shared" ref="Y8:Y9" si="3">IF($E$121,W8,V8)</f>
        <v>#REF!</v>
      </c>
      <c r="Z8" s="6"/>
      <c r="AA8" s="6"/>
      <c r="AB8" s="45"/>
      <c r="AC8" s="45"/>
      <c r="AD8" s="6"/>
      <c r="AE8" s="6"/>
      <c r="AF8" s="6"/>
      <c r="AG8" s="6"/>
      <c r="AH8" s="6"/>
      <c r="AI8" s="6"/>
      <c r="AJ8" s="6"/>
      <c r="AK8" s="6"/>
      <c r="AL8" s="6"/>
      <c r="AM8" s="6"/>
      <c r="AN8" s="6"/>
      <c r="AO8" s="6"/>
      <c r="AP8" s="6"/>
      <c r="AQ8" s="6"/>
      <c r="AR8" s="6"/>
      <c r="AS8" s="6"/>
      <c r="AT8" s="6"/>
      <c r="AU8" s="6"/>
      <c r="AV8" s="52"/>
      <c r="AW8" s="6"/>
      <c r="AX8" s="6"/>
      <c r="AY8" s="6"/>
      <c r="AZ8" s="6"/>
      <c r="BA8" s="6"/>
      <c r="BB8" s="6"/>
      <c r="BC8" s="6"/>
      <c r="BD8" s="6"/>
      <c r="BE8" s="45"/>
      <c r="BF8" s="46"/>
      <c r="BG8" s="47"/>
      <c r="BH8" s="47"/>
      <c r="BI8" s="26"/>
      <c r="BJ8" s="26"/>
      <c r="BK8" s="26"/>
      <c r="BL8" s="26"/>
      <c r="BM8" s="26"/>
      <c r="BN8" s="26"/>
      <c r="BO8" s="26"/>
      <c r="BP8" s="26"/>
      <c r="BQ8" s="26"/>
      <c r="BR8" s="26"/>
      <c r="BS8" s="26"/>
      <c r="BT8" s="26"/>
      <c r="BU8" s="26"/>
      <c r="BV8" s="26"/>
      <c r="BW8" s="26"/>
      <c r="BX8" s="26"/>
      <c r="BY8" s="38"/>
      <c r="BZ8" s="26"/>
      <c r="CA8" s="26"/>
      <c r="CB8" s="26"/>
      <c r="CC8" s="26"/>
      <c r="CD8" s="26"/>
      <c r="CE8" s="26"/>
      <c r="CF8" s="26"/>
      <c r="CG8" s="26"/>
      <c r="CH8" s="26"/>
      <c r="CI8" s="26"/>
      <c r="CJ8" s="26"/>
      <c r="CK8" s="46" t="s">
        <v>18</v>
      </c>
      <c r="CL8" s="46" t="s">
        <v>18</v>
      </c>
      <c r="CM8" s="26"/>
      <c r="CN8" s="26"/>
      <c r="CO8" s="26"/>
    </row>
    <row r="9" spans="1:93" ht="12.75" customHeight="1" x14ac:dyDescent="0.25">
      <c r="A9" s="29"/>
      <c r="B9" s="39"/>
      <c r="C9" s="26"/>
      <c r="D9" s="26"/>
      <c r="E9" s="26"/>
      <c r="F9" s="26"/>
      <c r="G9" s="26"/>
      <c r="H9" s="63">
        <f t="shared" ref="H9:H11" si="4">IF($E$121," ",K549)</f>
        <v>0</v>
      </c>
      <c r="I9" s="50" t="str">
        <f>IF($E$121," "," @ 100%=")</f>
        <v xml:space="preserve"> @ 100%=</v>
      </c>
      <c r="J9" s="62">
        <f>IF(E121," ",H9)</f>
        <v>0</v>
      </c>
      <c r="K9" s="26"/>
      <c r="L9" s="26"/>
      <c r="M9" s="403"/>
      <c r="N9" s="404"/>
      <c r="O9" s="406"/>
      <c r="P9" s="29"/>
      <c r="Q9" s="6"/>
      <c r="R9" s="6"/>
      <c r="S9" s="6"/>
      <c r="T9" s="6"/>
      <c r="U9" s="6" t="s">
        <v>70</v>
      </c>
      <c r="V9" s="58">
        <f>IF($V$20=0,0,SUM($V$20+$X$20))</f>
        <v>0</v>
      </c>
      <c r="W9" s="58">
        <f>IF(V20=0,0,SUM(V20+X20))</f>
        <v>0</v>
      </c>
      <c r="X9" s="6"/>
      <c r="Y9" s="58">
        <f t="shared" si="3"/>
        <v>0</v>
      </c>
      <c r="Z9" s="6"/>
      <c r="AA9" s="6"/>
      <c r="AB9" s="52"/>
      <c r="AC9" s="52"/>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26"/>
      <c r="BG9" s="26"/>
      <c r="BH9" s="26"/>
      <c r="BI9" s="26"/>
      <c r="BJ9" s="26"/>
      <c r="BK9" s="26"/>
      <c r="BL9" s="26"/>
      <c r="BM9" s="26"/>
      <c r="BN9" s="26"/>
      <c r="BO9" s="26"/>
      <c r="BP9" s="26"/>
      <c r="BQ9" s="26"/>
      <c r="BR9" s="26"/>
      <c r="BS9" s="26"/>
      <c r="BT9" s="26"/>
      <c r="BU9" s="26"/>
      <c r="BV9" s="26"/>
      <c r="BW9" s="26"/>
      <c r="BX9" s="38"/>
      <c r="BY9" s="26"/>
      <c r="BZ9" s="26"/>
      <c r="CA9" s="38"/>
      <c r="CB9" s="38"/>
      <c r="CC9" s="26"/>
      <c r="CD9" s="26"/>
      <c r="CE9" s="26"/>
      <c r="CF9" s="26"/>
      <c r="CG9" s="26"/>
      <c r="CH9" s="26"/>
      <c r="CI9" s="26"/>
      <c r="CJ9" s="26"/>
      <c r="CK9" s="46"/>
      <c r="CL9" s="64"/>
      <c r="CM9" s="26"/>
      <c r="CN9" s="26"/>
      <c r="CO9" s="26"/>
    </row>
    <row r="10" spans="1:93" ht="12.75" customHeight="1" x14ac:dyDescent="0.25">
      <c r="A10" s="29"/>
      <c r="B10" s="39"/>
      <c r="C10" s="26"/>
      <c r="D10" s="26"/>
      <c r="E10" s="26"/>
      <c r="F10" s="26"/>
      <c r="G10" s="26"/>
      <c r="H10" s="63">
        <f t="shared" si="4"/>
        <v>0</v>
      </c>
      <c r="I10" s="50" t="str">
        <f>IF($E$121," "," @  35% =")</f>
        <v xml:space="preserve"> @  35% =</v>
      </c>
      <c r="J10" s="62">
        <f>IF(E121," ",M550)</f>
        <v>0</v>
      </c>
      <c r="K10" s="415"/>
      <c r="L10" s="392"/>
      <c r="M10" s="403"/>
      <c r="N10" s="404"/>
      <c r="O10" s="406"/>
      <c r="P10" s="29"/>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5"/>
      <c r="AW10" s="52"/>
      <c r="AX10" s="6"/>
      <c r="AY10" s="6"/>
      <c r="AZ10" s="6"/>
      <c r="BA10" s="6"/>
      <c r="BB10" s="6"/>
      <c r="BC10" s="6"/>
      <c r="BD10" s="6"/>
      <c r="BE10" s="6"/>
      <c r="BF10" s="26"/>
      <c r="BG10" s="38"/>
      <c r="BH10" s="26"/>
      <c r="BI10" s="66"/>
      <c r="BJ10" s="26"/>
      <c r="BK10" s="26"/>
      <c r="BL10" s="26"/>
      <c r="BM10" s="26"/>
      <c r="BN10" s="26"/>
      <c r="BO10" s="26"/>
      <c r="BP10" s="26"/>
      <c r="BQ10" s="26"/>
      <c r="BR10" s="26"/>
      <c r="BS10" s="26"/>
      <c r="BT10" s="26"/>
      <c r="BU10" s="26"/>
      <c r="BV10" s="26"/>
      <c r="BW10" s="26"/>
      <c r="BX10" s="26"/>
      <c r="BY10" s="38"/>
      <c r="BZ10" s="38"/>
      <c r="CA10" s="38"/>
      <c r="CB10" s="26"/>
      <c r="CC10" s="26"/>
      <c r="CD10" s="26"/>
      <c r="CE10" s="26"/>
      <c r="CF10" s="26"/>
      <c r="CG10" s="26"/>
      <c r="CH10" s="26"/>
      <c r="CI10" s="26"/>
      <c r="CJ10" s="26"/>
      <c r="CK10" s="26"/>
      <c r="CL10" s="26"/>
      <c r="CM10" s="26"/>
      <c r="CN10" s="26"/>
      <c r="CO10" s="26"/>
    </row>
    <row r="11" spans="1:93" ht="12.75" customHeight="1" x14ac:dyDescent="0.25">
      <c r="A11" s="29"/>
      <c r="B11" s="39"/>
      <c r="C11" s="26"/>
      <c r="D11" s="26"/>
      <c r="E11" s="26"/>
      <c r="F11" s="26"/>
      <c r="G11" s="26"/>
      <c r="H11" s="63">
        <f t="shared" si="4"/>
        <v>0</v>
      </c>
      <c r="I11" s="50" t="str">
        <f>IF($E$121," "," @  25% =")</f>
        <v xml:space="preserve"> @  25% =</v>
      </c>
      <c r="J11" s="67">
        <f>IF(E121," ",M551)</f>
        <v>0</v>
      </c>
      <c r="K11" s="415"/>
      <c r="L11" s="392"/>
      <c r="M11" s="403"/>
      <c r="N11" s="404"/>
      <c r="O11" s="406"/>
      <c r="P11" s="29"/>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26"/>
      <c r="BG11" s="41"/>
      <c r="BH11" s="41"/>
      <c r="BI11" s="26"/>
      <c r="BJ11" s="26"/>
      <c r="BK11" s="26"/>
      <c r="BL11" s="26"/>
      <c r="BM11" s="26"/>
      <c r="BN11" s="26"/>
      <c r="BO11" s="26"/>
      <c r="BP11" s="26"/>
      <c r="BQ11" s="26"/>
      <c r="BR11" s="26"/>
      <c r="BS11" s="26"/>
      <c r="BT11" s="26"/>
      <c r="BU11" s="26"/>
      <c r="BV11" s="26"/>
      <c r="BW11" s="26"/>
      <c r="BX11" s="26"/>
      <c r="BY11" s="26"/>
      <c r="BZ11" s="26"/>
      <c r="CA11" s="26"/>
      <c r="CB11" s="26"/>
      <c r="CC11" s="26"/>
      <c r="CD11" s="26"/>
      <c r="CE11" s="26"/>
      <c r="CF11" s="26"/>
      <c r="CG11" s="26"/>
      <c r="CH11" s="26"/>
      <c r="CI11" s="26"/>
      <c r="CJ11" s="26"/>
      <c r="CK11" s="26" t="s">
        <v>18</v>
      </c>
      <c r="CL11" s="26"/>
      <c r="CM11" s="26"/>
      <c r="CN11" s="26"/>
      <c r="CO11" s="26"/>
    </row>
    <row r="12" spans="1:93" ht="13.5" customHeight="1" x14ac:dyDescent="0.25">
      <c r="A12" s="29"/>
      <c r="B12" s="39"/>
      <c r="C12" s="26"/>
      <c r="D12" s="42" t="str">
        <f>IF($E$121,"STEP 2   Article 220.82 (C)","STEP 2   Article 220.50 &amp; 220.51")</f>
        <v>STEP 2   Article 220.50 &amp; 220.51</v>
      </c>
      <c r="E12" s="26"/>
      <c r="F12" s="26"/>
      <c r="G12" s="26"/>
      <c r="H12" s="26"/>
      <c r="I12" s="26"/>
      <c r="J12" s="416" t="str">
        <f>IF(E121,"General lighting, Sm. Appl. &amp; Laundry","General Lighting Demand Load")</f>
        <v>General Lighting Demand Load</v>
      </c>
      <c r="K12" s="404"/>
      <c r="L12" s="404"/>
      <c r="M12" s="392"/>
      <c r="N12" s="68">
        <f>IF(E121,I553,N553)</f>
        <v>0</v>
      </c>
      <c r="O12" s="69"/>
      <c r="P12" s="29"/>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26"/>
      <c r="BG12" s="47"/>
      <c r="BH12" s="47"/>
      <c r="BI12" s="26"/>
      <c r="BJ12" s="26"/>
      <c r="BK12" s="26"/>
      <c r="BL12" s="26"/>
      <c r="BM12" s="26"/>
      <c r="BN12" s="26"/>
      <c r="BO12" s="26"/>
      <c r="BP12" s="26"/>
      <c r="BQ12" s="26"/>
      <c r="BR12" s="26"/>
      <c r="BS12" s="26"/>
      <c r="BT12" s="26"/>
      <c r="BU12" s="26"/>
      <c r="BV12" s="26"/>
      <c r="BW12" s="26"/>
      <c r="BX12" s="26"/>
      <c r="BY12" s="26"/>
      <c r="BZ12" s="26"/>
      <c r="CA12" s="26"/>
      <c r="CB12" s="26"/>
      <c r="CC12" s="26"/>
      <c r="CD12" s="26"/>
      <c r="CE12" s="26"/>
      <c r="CF12" s="26"/>
      <c r="CG12" s="26"/>
      <c r="CH12" s="26"/>
      <c r="CI12" s="26"/>
      <c r="CJ12" s="26"/>
      <c r="CK12" s="26" t="b">
        <v>0</v>
      </c>
      <c r="CL12" s="26" t="b">
        <v>0</v>
      </c>
      <c r="CM12" s="26" t="b">
        <f>OR(CK12,CL12)</f>
        <v>0</v>
      </c>
      <c r="CN12" s="26"/>
      <c r="CO12" s="26"/>
    </row>
    <row r="13" spans="1:93" ht="19.5" customHeight="1" x14ac:dyDescent="0.25">
      <c r="A13" s="29"/>
      <c r="B13" s="39"/>
      <c r="C13" s="26"/>
      <c r="D13" s="38" t="str">
        <f>IF(R13,"A/C Condenser &amp; Fixed Electric Space Heating","Heat Pump w/ Concurrent Supplementary Heating")</f>
        <v>A/C Condenser &amp; Fixed Electric Space Heating</v>
      </c>
      <c r="E13" s="26"/>
      <c r="F13" s="26"/>
      <c r="G13" s="26"/>
      <c r="H13" s="26"/>
      <c r="I13" s="26" t="s">
        <v>71</v>
      </c>
      <c r="J13" s="70" t="str">
        <f>IF(E121,"Total"," ")</f>
        <v xml:space="preserve"> </v>
      </c>
      <c r="K13" s="41" t="str">
        <f>IF(E121,U19," ")</f>
        <v xml:space="preserve"> </v>
      </c>
      <c r="L13" s="417" t="str">
        <f>IF(E121,W22," ")</f>
        <v xml:space="preserve"> </v>
      </c>
      <c r="M13" s="392"/>
      <c r="N13" s="26"/>
      <c r="O13" s="69"/>
      <c r="P13" s="29"/>
      <c r="Q13" s="6"/>
      <c r="R13" s="6" t="b">
        <v>1</v>
      </c>
      <c r="S13" s="6"/>
      <c r="T13" s="6"/>
      <c r="U13" s="6"/>
      <c r="V13" s="71" t="s">
        <v>72</v>
      </c>
      <c r="W13" s="72" t="s">
        <v>41</v>
      </c>
      <c r="X13" s="73" t="s">
        <v>73</v>
      </c>
      <c r="Y13" s="6"/>
      <c r="Z13" s="6"/>
      <c r="AA13" s="6"/>
      <c r="AB13" s="74"/>
      <c r="AC13" s="75"/>
      <c r="AD13" s="6"/>
      <c r="AE13" s="6"/>
      <c r="AF13" s="6"/>
      <c r="AG13" s="6"/>
      <c r="AH13" s="6"/>
      <c r="AI13" s="6"/>
      <c r="AJ13" s="6"/>
      <c r="AK13" s="6"/>
      <c r="AL13" s="6"/>
      <c r="AM13" s="6"/>
      <c r="AN13" s="6"/>
      <c r="AO13" s="6"/>
      <c r="AP13" s="6"/>
      <c r="AQ13" s="6"/>
      <c r="AR13" s="6"/>
      <c r="AS13" s="6"/>
      <c r="AT13" s="6"/>
      <c r="AU13" s="6"/>
      <c r="AV13" s="76"/>
      <c r="AW13" s="6"/>
      <c r="AX13" s="77"/>
      <c r="AY13" s="6"/>
      <c r="AZ13" s="6"/>
      <c r="BA13" s="6"/>
      <c r="BB13" s="6"/>
      <c r="BC13" s="6"/>
      <c r="BD13" s="6"/>
      <c r="BE13" s="6"/>
      <c r="BF13" s="26"/>
      <c r="BG13" s="60"/>
      <c r="BH13" s="60"/>
      <c r="BI13" s="26"/>
      <c r="BJ13" s="26"/>
      <c r="BK13" s="26"/>
      <c r="BL13" s="26"/>
      <c r="BM13" s="26"/>
      <c r="BN13" s="26"/>
      <c r="BO13" s="26"/>
      <c r="BP13" s="26"/>
      <c r="BQ13" s="26"/>
      <c r="BR13" s="26"/>
      <c r="BS13" s="26"/>
      <c r="BT13" s="26"/>
      <c r="BU13" s="26"/>
      <c r="BV13" s="26"/>
      <c r="BW13" s="26"/>
      <c r="BX13" s="26"/>
      <c r="BY13" s="26"/>
      <c r="BZ13" s="26"/>
      <c r="CA13" s="26"/>
      <c r="CB13" s="26"/>
      <c r="CC13" s="78"/>
      <c r="CD13" s="79"/>
      <c r="CE13" s="38"/>
      <c r="CF13" s="26"/>
      <c r="CG13" s="26"/>
      <c r="CH13" s="26"/>
      <c r="CI13" s="26"/>
      <c r="CJ13" s="26"/>
      <c r="CK13" s="26" t="s">
        <v>18</v>
      </c>
      <c r="CL13" s="26" t="s">
        <v>18</v>
      </c>
      <c r="CM13" s="26"/>
      <c r="CN13" s="26"/>
      <c r="CO13" s="26"/>
    </row>
    <row r="14" spans="1:93" ht="15.75" customHeight="1" x14ac:dyDescent="0.25">
      <c r="A14" s="29"/>
      <c r="B14" s="418"/>
      <c r="C14" s="392"/>
      <c r="D14" s="26"/>
      <c r="E14" s="62">
        <f>'equipment set-up sheet'!AE50</f>
        <v>0</v>
      </c>
      <c r="F14" s="28" t="s">
        <v>41</v>
      </c>
      <c r="G14" s="26"/>
      <c r="H14" s="80" t="e">
        <f>'equipment set-up sheet'!#REF!</f>
        <v>#REF!</v>
      </c>
      <c r="I14" s="26"/>
      <c r="J14" s="26" t="s">
        <v>74</v>
      </c>
      <c r="K14" s="26"/>
      <c r="L14" s="81" t="e">
        <f>Z5</f>
        <v>#REF!</v>
      </c>
      <c r="M14" s="26"/>
      <c r="N14" s="26"/>
      <c r="O14" s="69"/>
      <c r="P14" s="29"/>
      <c r="Q14" s="6"/>
      <c r="R14" s="6"/>
      <c r="S14" s="6"/>
      <c r="T14" s="6"/>
      <c r="U14" s="6">
        <f>'equipment set-up sheet'!AA36</f>
        <v>0</v>
      </c>
      <c r="V14" s="58">
        <f t="shared" ref="V14:V18" si="5">SUM(E14*U14)</f>
        <v>0</v>
      </c>
      <c r="W14" s="6" t="e">
        <f t="shared" ref="W14:W18" si="6">SUM(H14*U14)</f>
        <v>#REF!</v>
      </c>
      <c r="X14" s="6">
        <f>IF(R13,'equipment set-up sheet'!AF54*U14,'equipment set-up sheet'!AF55*U14)</f>
        <v>0</v>
      </c>
      <c r="Y14" s="6"/>
      <c r="Z14" s="6"/>
      <c r="AA14" s="6"/>
      <c r="AB14" s="6"/>
      <c r="AC14" s="6"/>
      <c r="AD14" s="6"/>
      <c r="AE14" s="6"/>
      <c r="AF14" s="6"/>
      <c r="AG14" s="6"/>
      <c r="AH14" s="6"/>
      <c r="AI14" s="6"/>
      <c r="AJ14" s="6"/>
      <c r="AK14" s="6"/>
      <c r="AL14" s="6"/>
      <c r="AM14" s="6"/>
      <c r="AN14" s="6"/>
      <c r="AO14" s="6"/>
      <c r="AP14" s="6"/>
      <c r="AQ14" s="6"/>
      <c r="AR14" s="6"/>
      <c r="AS14" s="6"/>
      <c r="AT14" s="6"/>
      <c r="AU14" s="6"/>
      <c r="AV14" s="82"/>
      <c r="AW14" s="6"/>
      <c r="AX14" s="6"/>
      <c r="AY14" s="6"/>
      <c r="AZ14" s="6"/>
      <c r="BA14" s="6"/>
      <c r="BB14" s="6"/>
      <c r="BC14" s="6"/>
      <c r="BD14" s="6"/>
      <c r="BE14" s="6"/>
      <c r="BF14" s="26"/>
      <c r="BG14" s="47"/>
      <c r="BH14" s="60"/>
      <c r="BI14" s="26"/>
      <c r="BJ14" s="26"/>
      <c r="BK14" s="26"/>
      <c r="BL14" s="26"/>
      <c r="BM14" s="26"/>
      <c r="BN14" s="26"/>
      <c r="BO14" s="26"/>
      <c r="BP14" s="26"/>
      <c r="BQ14" s="26"/>
      <c r="BR14" s="26"/>
      <c r="BS14" s="26"/>
      <c r="BT14" s="26"/>
      <c r="BU14" s="26"/>
      <c r="BV14" s="26"/>
      <c r="BW14" s="26"/>
      <c r="BX14" s="26"/>
      <c r="BY14" s="26"/>
      <c r="BZ14" s="26"/>
      <c r="CA14" s="26"/>
      <c r="CB14" s="26"/>
      <c r="CC14" s="38"/>
      <c r="CD14" s="79"/>
      <c r="CE14" s="38"/>
      <c r="CF14" s="26"/>
      <c r="CG14" s="26"/>
      <c r="CH14" s="26"/>
      <c r="CI14" s="26"/>
      <c r="CJ14" s="26"/>
      <c r="CK14" s="26"/>
      <c r="CL14" s="26" t="s">
        <v>18</v>
      </c>
      <c r="CM14" s="26"/>
      <c r="CN14" s="26"/>
      <c r="CO14" s="26"/>
    </row>
    <row r="15" spans="1:93" ht="15.75" customHeight="1" x14ac:dyDescent="0.25">
      <c r="A15" s="29"/>
      <c r="B15" s="419"/>
      <c r="C15" s="392"/>
      <c r="D15" s="26"/>
      <c r="E15" s="17">
        <f>'equipment set-up sheet'!AG50</f>
        <v>0</v>
      </c>
      <c r="F15" s="28" t="s">
        <v>44</v>
      </c>
      <c r="G15" s="50"/>
      <c r="H15" s="83" t="e">
        <f>'equipment set-up sheet'!#REF!</f>
        <v>#REF!</v>
      </c>
      <c r="I15" s="26"/>
      <c r="J15" s="26" t="str">
        <f>IF(R13,"          CU Load","          HP Load")</f>
        <v xml:space="preserve">          CU Load</v>
      </c>
      <c r="K15" s="26"/>
      <c r="L15" s="84">
        <f>IF(R13,Y9,Y6)</f>
        <v>0</v>
      </c>
      <c r="M15" s="26"/>
      <c r="N15" s="26"/>
      <c r="O15" s="69"/>
      <c r="P15" s="29"/>
      <c r="Q15" s="6"/>
      <c r="R15" s="6"/>
      <c r="S15" s="6"/>
      <c r="T15" s="6"/>
      <c r="U15" s="6">
        <f>'equipment set-up sheet'!AA37</f>
        <v>0</v>
      </c>
      <c r="V15" s="58">
        <f t="shared" si="5"/>
        <v>0</v>
      </c>
      <c r="W15" s="6" t="e">
        <f t="shared" si="6"/>
        <v>#REF!</v>
      </c>
      <c r="X15" s="6">
        <f>IF(R13,'equipment set-up sheet'!AH54*U15,'equipment set-up sheet'!AH55*U15)</f>
        <v>0</v>
      </c>
      <c r="Y15" s="6"/>
      <c r="Z15" s="6"/>
      <c r="AA15" s="6"/>
      <c r="AB15" s="6"/>
      <c r="AC15" s="6"/>
      <c r="AD15" s="6"/>
      <c r="AE15" s="6"/>
      <c r="AF15" s="6"/>
      <c r="AG15" s="6"/>
      <c r="AH15" s="6"/>
      <c r="AI15" s="6"/>
      <c r="AJ15" s="6"/>
      <c r="AK15" s="6"/>
      <c r="AL15" s="6"/>
      <c r="AM15" s="6"/>
      <c r="AN15" s="6"/>
      <c r="AO15" s="6"/>
      <c r="AP15" s="6"/>
      <c r="AQ15" s="6"/>
      <c r="AR15" s="6"/>
      <c r="AS15" s="6"/>
      <c r="AT15" s="6"/>
      <c r="AU15" s="6"/>
      <c r="AV15" s="82"/>
      <c r="AW15" s="6"/>
      <c r="AX15" s="6"/>
      <c r="AY15" s="6"/>
      <c r="AZ15" s="6"/>
      <c r="BA15" s="6"/>
      <c r="BB15" s="6"/>
      <c r="BC15" s="6"/>
      <c r="BD15" s="6"/>
      <c r="BE15" s="85"/>
      <c r="BF15" s="26"/>
      <c r="BG15" s="47"/>
      <c r="BH15" s="47"/>
      <c r="BI15" s="26"/>
      <c r="BJ15" s="26"/>
      <c r="BK15" s="26"/>
      <c r="BL15" s="26"/>
      <c r="BM15" s="26"/>
      <c r="BN15" s="26"/>
      <c r="BO15" s="26"/>
      <c r="BP15" s="26"/>
      <c r="BQ15" s="26"/>
      <c r="BR15" s="26"/>
      <c r="BS15" s="26"/>
      <c r="BT15" s="26"/>
      <c r="BU15" s="26"/>
      <c r="BV15" s="26"/>
      <c r="BW15" s="26"/>
      <c r="BX15" s="26"/>
      <c r="BY15" s="26"/>
      <c r="BZ15" s="26"/>
      <c r="CA15" s="26"/>
      <c r="CB15" s="26"/>
      <c r="CC15" s="38"/>
      <c r="CD15" s="86"/>
      <c r="CE15" s="38"/>
      <c r="CF15" s="26"/>
      <c r="CG15" s="26"/>
      <c r="CH15" s="26"/>
      <c r="CI15" s="26"/>
      <c r="CJ15" s="26"/>
      <c r="CK15" s="87" t="s">
        <v>18</v>
      </c>
      <c r="CL15" s="26"/>
      <c r="CM15" s="26"/>
      <c r="CN15" s="26"/>
      <c r="CO15" s="26"/>
    </row>
    <row r="16" spans="1:93" ht="15.75" customHeight="1" x14ac:dyDescent="0.25">
      <c r="A16" s="29"/>
      <c r="B16" s="419"/>
      <c r="C16" s="392"/>
      <c r="D16" s="26"/>
      <c r="E16" s="88">
        <f>'equipment set-up sheet'!AI50</f>
        <v>0</v>
      </c>
      <c r="F16" s="28" t="s">
        <v>47</v>
      </c>
      <c r="G16" s="50"/>
      <c r="H16" s="89" t="e">
        <f>'equipment set-up sheet'!#REF!</f>
        <v>#REF!</v>
      </c>
      <c r="I16" s="26"/>
      <c r="J16" s="26"/>
      <c r="K16" s="26"/>
      <c r="L16" s="26"/>
      <c r="M16" s="26"/>
      <c r="N16" s="26"/>
      <c r="O16" s="69"/>
      <c r="P16" s="29"/>
      <c r="Q16" s="6"/>
      <c r="R16" s="6"/>
      <c r="S16" s="6"/>
      <c r="T16" s="6"/>
      <c r="U16" s="6">
        <f>'equipment set-up sheet'!AA38</f>
        <v>0</v>
      </c>
      <c r="V16" s="58">
        <f t="shared" si="5"/>
        <v>0</v>
      </c>
      <c r="W16" s="6" t="e">
        <f t="shared" si="6"/>
        <v>#REF!</v>
      </c>
      <c r="X16" s="6">
        <f>IF(R13,'equipment set-up sheet'!AJ54*U16,'equipment set-up sheet'!AJ55*U16)</f>
        <v>0</v>
      </c>
      <c r="Y16" s="6"/>
      <c r="Z16" s="6"/>
      <c r="AA16" s="6"/>
      <c r="AB16" s="74"/>
      <c r="AC16" s="74"/>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26"/>
      <c r="BG16" s="90"/>
      <c r="BH16" s="90"/>
      <c r="BI16" s="26"/>
      <c r="BJ16" s="26"/>
      <c r="BK16" s="26"/>
      <c r="BL16" s="26"/>
      <c r="BM16" s="26"/>
      <c r="BN16" s="26"/>
      <c r="BO16" s="26"/>
      <c r="BP16" s="26"/>
      <c r="BQ16" s="26"/>
      <c r="BR16" s="26"/>
      <c r="BS16" s="26"/>
      <c r="BT16" s="26"/>
      <c r="BU16" s="26"/>
      <c r="BV16" s="26"/>
      <c r="BW16" s="26"/>
      <c r="BX16" s="26"/>
      <c r="BY16" s="26"/>
      <c r="BZ16" s="26"/>
      <c r="CA16" s="26"/>
      <c r="CB16" s="26"/>
      <c r="CC16" s="26"/>
      <c r="CD16" s="26"/>
      <c r="CE16" s="26"/>
      <c r="CF16" s="26"/>
      <c r="CG16" s="26"/>
      <c r="CH16" s="26"/>
      <c r="CI16" s="26"/>
      <c r="CJ16" s="26"/>
      <c r="CK16" s="26"/>
      <c r="CL16" s="26"/>
      <c r="CM16" s="26"/>
      <c r="CN16" s="26"/>
      <c r="CO16" s="26"/>
    </row>
    <row r="17" spans="1:93" ht="15.75" customHeight="1" x14ac:dyDescent="0.25">
      <c r="A17" s="29"/>
      <c r="B17" s="419"/>
      <c r="C17" s="392"/>
      <c r="D17" s="26"/>
      <c r="E17" s="91">
        <f>'equipment set-up sheet'!AK50</f>
        <v>0</v>
      </c>
      <c r="F17" s="28" t="s">
        <v>49</v>
      </c>
      <c r="G17" s="50"/>
      <c r="H17" s="92" t="e">
        <f>'equipment set-up sheet'!#REF!</f>
        <v>#REF!</v>
      </c>
      <c r="I17" s="420" t="str">
        <f>IF(E121,"                   Electric Space Heat @ 65% &lt;4, 40% &gt;3, vs. A/C @ 100%","          Greater of Heat @ 100% vs.A/C @ 100%")</f>
        <v xml:space="preserve">          Greater of Heat @ 100% vs.A/C @ 100%</v>
      </c>
      <c r="J17" s="404"/>
      <c r="K17" s="404"/>
      <c r="L17" s="404"/>
      <c r="M17" s="392"/>
      <c r="N17" s="68" t="e">
        <f>IF(L14&gt;L15,L14,L15)</f>
        <v>#REF!</v>
      </c>
      <c r="O17" s="69"/>
      <c r="P17" s="29"/>
      <c r="Q17" s="6"/>
      <c r="R17" s="58"/>
      <c r="S17" s="6"/>
      <c r="T17" s="6"/>
      <c r="U17" s="6">
        <f>'equipment set-up sheet'!AA39</f>
        <v>0</v>
      </c>
      <c r="V17" s="58">
        <f t="shared" si="5"/>
        <v>0</v>
      </c>
      <c r="W17" s="6" t="e">
        <f t="shared" si="6"/>
        <v>#REF!</v>
      </c>
      <c r="X17" s="6">
        <f>IF(R13,'equipment set-up sheet'!AL54*U17,'equipment set-up sheet'!AL55*U17)</f>
        <v>0</v>
      </c>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26"/>
      <c r="BG17" s="26"/>
      <c r="BH17" s="26"/>
      <c r="BI17" s="26"/>
      <c r="BJ17" s="26"/>
      <c r="BK17" s="26"/>
      <c r="BL17" s="26"/>
      <c r="BM17" s="26"/>
      <c r="BN17" s="26"/>
      <c r="BO17" s="26"/>
      <c r="BP17" s="26"/>
      <c r="BQ17" s="26"/>
      <c r="BR17" s="26"/>
      <c r="BS17" s="26"/>
      <c r="BT17" s="26"/>
      <c r="BU17" s="26"/>
      <c r="BV17" s="26"/>
      <c r="BW17" s="26"/>
      <c r="BX17" s="26"/>
      <c r="BY17" s="26"/>
      <c r="BZ17" s="26"/>
      <c r="CA17" s="26"/>
      <c r="CB17" s="26"/>
      <c r="CC17" s="26"/>
      <c r="CD17" s="26"/>
      <c r="CE17" s="26"/>
      <c r="CF17" s="26"/>
      <c r="CG17" s="26"/>
      <c r="CH17" s="26"/>
      <c r="CI17" s="26"/>
      <c r="CJ17" s="26"/>
      <c r="CK17" s="26"/>
      <c r="CL17" s="26"/>
      <c r="CM17" s="26"/>
      <c r="CN17" s="26"/>
      <c r="CO17" s="26"/>
    </row>
    <row r="18" spans="1:93" ht="15.75" customHeight="1" x14ac:dyDescent="0.25">
      <c r="A18" s="29"/>
      <c r="B18" s="419"/>
      <c r="C18" s="392"/>
      <c r="D18" s="26"/>
      <c r="E18" s="93">
        <f>'equipment set-up sheet'!AM50</f>
        <v>0</v>
      </c>
      <c r="F18" s="28" t="s">
        <v>51</v>
      </c>
      <c r="G18" s="50"/>
      <c r="H18" s="94" t="e">
        <f>'equipment set-up sheet'!#REF!</f>
        <v>#REF!</v>
      </c>
      <c r="I18" s="26"/>
      <c r="J18" s="26"/>
      <c r="K18" s="26"/>
      <c r="L18" s="26"/>
      <c r="M18" s="26"/>
      <c r="N18" s="26"/>
      <c r="O18" s="69"/>
      <c r="P18" s="29"/>
      <c r="Q18" s="6"/>
      <c r="R18" s="6"/>
      <c r="S18" s="6"/>
      <c r="T18" s="6"/>
      <c r="U18" s="6">
        <f>'equipment set-up sheet'!AA40</f>
        <v>0</v>
      </c>
      <c r="V18" s="58">
        <f t="shared" si="5"/>
        <v>0</v>
      </c>
      <c r="W18" s="95" t="e">
        <f t="shared" si="6"/>
        <v>#REF!</v>
      </c>
      <c r="X18" s="6">
        <f>IF(R13,'equipment set-up sheet'!AN54*U18,'equipment set-up sheet'!AN55*U18)</f>
        <v>0</v>
      </c>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96"/>
      <c r="BG18" s="26"/>
      <c r="BH18" s="26"/>
      <c r="BI18" s="26"/>
      <c r="BJ18" s="26"/>
      <c r="BK18" s="26"/>
      <c r="BL18" s="26"/>
      <c r="BM18" s="26"/>
      <c r="BN18" s="26"/>
      <c r="BO18" s="26"/>
      <c r="BP18" s="26"/>
      <c r="BQ18" s="26"/>
      <c r="BR18" s="26"/>
      <c r="BS18" s="26"/>
      <c r="BT18" s="26"/>
      <c r="BU18" s="26"/>
      <c r="BV18" s="26"/>
      <c r="BW18" s="26"/>
      <c r="BX18" s="26"/>
      <c r="BY18" s="97"/>
      <c r="BZ18" s="26"/>
      <c r="CA18" s="26"/>
      <c r="CB18" s="26"/>
      <c r="CC18" s="26"/>
      <c r="CD18" s="26"/>
      <c r="CE18" s="26"/>
      <c r="CF18" s="26"/>
      <c r="CG18" s="26"/>
      <c r="CH18" s="26"/>
      <c r="CI18" s="26"/>
      <c r="CJ18" s="26"/>
      <c r="CK18" s="26"/>
      <c r="CL18" s="98"/>
      <c r="CM18" s="26"/>
      <c r="CN18" s="26"/>
      <c r="CO18" s="26"/>
    </row>
    <row r="19" spans="1:93" ht="15.75" customHeight="1" x14ac:dyDescent="0.25">
      <c r="A19" s="29"/>
      <c r="B19" s="39"/>
      <c r="C19" s="26"/>
      <c r="D19" s="42" t="str">
        <f>IF($E$121,"STEP  3   Article 220.82 (B) (3)","STEP 3   Article 220.53")</f>
        <v>STEP 3   Article 220.53</v>
      </c>
      <c r="E19" s="48"/>
      <c r="F19" s="26"/>
      <c r="G19" s="26"/>
      <c r="H19" s="26" t="s">
        <v>18</v>
      </c>
      <c r="I19" s="26"/>
      <c r="J19" s="26"/>
      <c r="K19" s="421" t="s">
        <v>75</v>
      </c>
      <c r="L19" s="404"/>
      <c r="M19" s="392"/>
      <c r="N19" s="99">
        <f>IF(E121,I555,N555)</f>
        <v>0</v>
      </c>
      <c r="O19" s="69"/>
      <c r="P19" s="29"/>
      <c r="Q19" s="6"/>
      <c r="R19" s="6"/>
      <c r="S19" s="6"/>
      <c r="T19" s="6"/>
      <c r="U19" s="5">
        <f>SUM(U14:U18)</f>
        <v>0</v>
      </c>
      <c r="V19" s="6"/>
      <c r="W19" s="6"/>
      <c r="X19" s="6"/>
      <c r="Y19" s="6"/>
      <c r="Z19" s="5" t="s">
        <v>76</v>
      </c>
      <c r="AA19" s="6"/>
      <c r="AB19" s="6"/>
      <c r="AC19" s="6"/>
      <c r="AD19" s="6"/>
      <c r="AE19" s="6"/>
      <c r="AF19" s="6"/>
      <c r="AG19" s="6"/>
      <c r="AH19" s="6"/>
      <c r="AI19" s="6"/>
      <c r="AJ19" s="6"/>
      <c r="AK19" s="6"/>
      <c r="AL19" s="6"/>
      <c r="AM19" s="6"/>
      <c r="AN19" s="6"/>
      <c r="AO19" s="6"/>
      <c r="AP19" s="6"/>
      <c r="AQ19" s="6"/>
      <c r="AR19" s="6"/>
      <c r="AS19" s="6"/>
      <c r="AT19" s="6"/>
      <c r="AU19" s="6"/>
      <c r="AV19" s="52"/>
      <c r="AW19" s="6"/>
      <c r="AX19" s="6"/>
      <c r="AY19" s="6"/>
      <c r="AZ19" s="6"/>
      <c r="BA19" s="6"/>
      <c r="BB19" s="6"/>
      <c r="BC19" s="6"/>
      <c r="BD19" s="6"/>
      <c r="BE19" s="6"/>
      <c r="BF19" s="26"/>
      <c r="BG19" s="26"/>
      <c r="BH19" s="28"/>
      <c r="BI19" s="26"/>
      <c r="BJ19" s="26"/>
      <c r="BK19" s="26"/>
      <c r="BL19" s="26"/>
      <c r="BM19" s="26"/>
      <c r="BN19" s="26"/>
      <c r="BO19" s="26"/>
      <c r="BP19" s="26"/>
      <c r="BQ19" s="26"/>
      <c r="BR19" s="26"/>
      <c r="BS19" s="26"/>
      <c r="BT19" s="26"/>
      <c r="BU19" s="26"/>
      <c r="BV19" s="26"/>
      <c r="BW19" s="26"/>
      <c r="BX19" s="26"/>
      <c r="BY19" s="41"/>
      <c r="BZ19" s="38"/>
      <c r="CA19" s="100"/>
      <c r="CB19" s="26"/>
      <c r="CC19" s="26"/>
      <c r="CD19" s="26"/>
      <c r="CE19" s="26"/>
      <c r="CF19" s="26"/>
      <c r="CG19" s="26"/>
      <c r="CH19" s="26"/>
      <c r="CI19" s="26"/>
      <c r="CJ19" s="26"/>
      <c r="CK19" s="26"/>
      <c r="CL19" s="26"/>
      <c r="CM19" s="26"/>
      <c r="CN19" s="26"/>
      <c r="CO19" s="26"/>
    </row>
    <row r="20" spans="1:93" ht="14.25" customHeight="1" x14ac:dyDescent="0.25">
      <c r="A20" s="29"/>
      <c r="B20" s="39"/>
      <c r="C20" s="26"/>
      <c r="D20" s="26"/>
      <c r="E20" s="51"/>
      <c r="F20" s="415" t="str">
        <f>'equipment set-up sheet'!E6</f>
        <v>Water Heater</v>
      </c>
      <c r="G20" s="392"/>
      <c r="H20" s="17">
        <f>E20*'equipment set-up sheet'!E5</f>
        <v>0</v>
      </c>
      <c r="I20" s="26"/>
      <c r="J20" s="26"/>
      <c r="K20" s="26"/>
      <c r="L20" s="26"/>
      <c r="M20" s="26"/>
      <c r="N20" s="26"/>
      <c r="O20" s="69"/>
      <c r="P20" s="29"/>
      <c r="Q20" s="6"/>
      <c r="R20" s="6"/>
      <c r="S20" s="6"/>
      <c r="T20" s="6"/>
      <c r="U20" s="6"/>
      <c r="V20" s="101">
        <f>SUM(V14:V18)</f>
        <v>0</v>
      </c>
      <c r="W20" s="102" t="e">
        <f>SUM(W14:W18)-X20</f>
        <v>#REF!</v>
      </c>
      <c r="X20" s="103">
        <f>SUM(X14:X18)</f>
        <v>0</v>
      </c>
      <c r="Y20" s="20" t="s">
        <v>77</v>
      </c>
      <c r="Z20" s="104" t="e">
        <f>SUM(V20+W20*V24)</f>
        <v>#REF!</v>
      </c>
      <c r="AA20" s="6" t="s">
        <v>78</v>
      </c>
      <c r="AB20" s="6"/>
      <c r="AC20" s="6"/>
      <c r="AD20" s="6"/>
      <c r="AE20" s="6"/>
      <c r="AF20" s="6"/>
      <c r="AG20" s="6"/>
      <c r="AH20" s="6"/>
      <c r="AI20" s="6"/>
      <c r="AJ20" s="6"/>
      <c r="AK20" s="6"/>
      <c r="AL20" s="6"/>
      <c r="AM20" s="6"/>
      <c r="AN20" s="6"/>
      <c r="AO20" s="6"/>
      <c r="AP20" s="6"/>
      <c r="AQ20" s="6"/>
      <c r="AR20" s="6"/>
      <c r="AS20" s="6"/>
      <c r="AT20" s="6"/>
      <c r="AU20" s="6"/>
      <c r="AV20" s="105"/>
      <c r="AW20" s="52"/>
      <c r="AX20" s="6"/>
      <c r="AY20" s="6"/>
      <c r="AZ20" s="6"/>
      <c r="BA20" s="6"/>
      <c r="BB20" s="6"/>
      <c r="BC20" s="6"/>
      <c r="BD20" s="6"/>
      <c r="BE20" s="6"/>
      <c r="BF20" s="26"/>
      <c r="BG20" s="26"/>
      <c r="BH20" s="26"/>
      <c r="BI20" s="26"/>
      <c r="BJ20" s="26"/>
      <c r="BK20" s="26"/>
      <c r="BL20" s="26"/>
      <c r="BM20" s="26"/>
      <c r="BN20" s="26"/>
      <c r="BO20" s="26"/>
      <c r="BP20" s="26"/>
      <c r="BQ20" s="26"/>
      <c r="BR20" s="26"/>
      <c r="BS20" s="26"/>
      <c r="BT20" s="26"/>
      <c r="BU20" s="26"/>
      <c r="BV20" s="26"/>
      <c r="BW20" s="26"/>
      <c r="BX20" s="26"/>
      <c r="BY20" s="41"/>
      <c r="BZ20" s="38"/>
      <c r="CA20" s="64"/>
      <c r="CB20" s="26"/>
      <c r="CC20" s="26"/>
      <c r="CD20" s="26"/>
      <c r="CE20" s="26"/>
      <c r="CF20" s="26"/>
      <c r="CG20" s="26"/>
      <c r="CH20" s="26"/>
      <c r="CI20" s="26"/>
      <c r="CJ20" s="26"/>
      <c r="CK20" s="46"/>
      <c r="CL20" s="46"/>
      <c r="CM20" s="46"/>
      <c r="CN20" s="46"/>
      <c r="CO20" s="46"/>
    </row>
    <row r="21" spans="1:93" ht="15" customHeight="1" x14ac:dyDescent="0.25">
      <c r="A21" s="29"/>
      <c r="B21" s="39"/>
      <c r="C21" s="26"/>
      <c r="D21" s="26"/>
      <c r="E21" s="51"/>
      <c r="F21" s="415" t="str">
        <f>'equipment set-up sheet'!G6</f>
        <v>Refrigerator</v>
      </c>
      <c r="G21" s="392"/>
      <c r="H21" s="17">
        <f>$E21*'equipment set-up sheet'!G$5</f>
        <v>0</v>
      </c>
      <c r="I21" s="26"/>
      <c r="J21" s="26"/>
      <c r="K21" s="421" t="s">
        <v>79</v>
      </c>
      <c r="L21" s="404"/>
      <c r="M21" s="392"/>
      <c r="N21" s="99">
        <f>H42</f>
        <v>0</v>
      </c>
      <c r="O21" s="69"/>
      <c r="P21" s="29"/>
      <c r="Q21" s="6"/>
      <c r="R21" s="6"/>
      <c r="S21" s="6"/>
      <c r="T21" s="6"/>
      <c r="U21" s="6"/>
      <c r="V21" s="6"/>
      <c r="W21" s="6"/>
      <c r="X21" s="6"/>
      <c r="Y21" s="6"/>
      <c r="Z21" s="6" t="s">
        <v>80</v>
      </c>
      <c r="AA21" s="6"/>
      <c r="AB21" s="6"/>
      <c r="AC21" s="6"/>
      <c r="AD21" s="6"/>
      <c r="AE21" s="6"/>
      <c r="AF21" s="6"/>
      <c r="AG21" s="6"/>
      <c r="AH21" s="6"/>
      <c r="AI21" s="6"/>
      <c r="AJ21" s="106"/>
      <c r="AK21" s="6"/>
      <c r="AL21" s="6"/>
      <c r="AM21" s="6"/>
      <c r="AN21" s="6"/>
      <c r="AO21" s="6"/>
      <c r="AP21" s="52"/>
      <c r="AQ21" s="52"/>
      <c r="AR21" s="6"/>
      <c r="AS21" s="6"/>
      <c r="AT21" s="6"/>
      <c r="AU21" s="6"/>
      <c r="AV21" s="6"/>
      <c r="AW21" s="6"/>
      <c r="AX21" s="6"/>
      <c r="AY21" s="6"/>
      <c r="AZ21" s="6"/>
      <c r="BA21" s="6"/>
      <c r="BB21" s="6"/>
      <c r="BC21" s="6"/>
      <c r="BD21" s="6"/>
      <c r="BE21" s="6"/>
      <c r="BF21" s="26"/>
      <c r="BG21" s="26"/>
      <c r="BH21" s="26"/>
      <c r="BI21" s="26"/>
      <c r="BJ21" s="26"/>
      <c r="BK21" s="26"/>
      <c r="BL21" s="26"/>
      <c r="BM21" s="26"/>
      <c r="BN21" s="26"/>
      <c r="BO21" s="26"/>
      <c r="BP21" s="26"/>
      <c r="BQ21" s="26"/>
      <c r="BR21" s="26"/>
      <c r="BS21" s="26"/>
      <c r="BT21" s="26"/>
      <c r="BU21" s="26"/>
      <c r="BV21" s="26"/>
      <c r="BW21" s="26"/>
      <c r="BX21" s="26"/>
      <c r="BY21" s="41"/>
      <c r="BZ21" s="38"/>
      <c r="CA21" s="100"/>
      <c r="CB21" s="26"/>
      <c r="CC21" s="26"/>
      <c r="CD21" s="26"/>
      <c r="CE21" s="26"/>
      <c r="CF21" s="26"/>
      <c r="CG21" s="26"/>
      <c r="CH21" s="26"/>
      <c r="CI21" s="26"/>
      <c r="CJ21" s="26"/>
      <c r="CK21" s="26"/>
      <c r="CL21" s="26"/>
      <c r="CM21" s="26"/>
      <c r="CN21" s="26"/>
      <c r="CO21" s="26"/>
    </row>
    <row r="22" spans="1:93" ht="15" customHeight="1" x14ac:dyDescent="0.25">
      <c r="A22" s="29"/>
      <c r="B22" s="39"/>
      <c r="C22" s="26"/>
      <c r="D22" s="26"/>
      <c r="E22" s="51"/>
      <c r="F22" s="415" t="str">
        <f>'equipment set-up sheet'!I6</f>
        <v>Freezer</v>
      </c>
      <c r="G22" s="392"/>
      <c r="H22" s="17">
        <f>$E22*'equipment set-up sheet'!I$5</f>
        <v>0</v>
      </c>
      <c r="I22" s="26"/>
      <c r="J22" s="26"/>
      <c r="K22" s="26"/>
      <c r="L22" s="26"/>
      <c r="M22" s="26"/>
      <c r="N22" s="26"/>
      <c r="O22" s="69"/>
      <c r="P22" s="29"/>
      <c r="Q22" s="6"/>
      <c r="R22" s="6"/>
      <c r="S22" s="6"/>
      <c r="T22" s="6"/>
      <c r="U22" s="6"/>
      <c r="V22" s="6" t="s">
        <v>81</v>
      </c>
      <c r="W22" s="107">
        <f>IF(U19&lt;=4,V24,V25)</f>
        <v>0.65</v>
      </c>
      <c r="X22" s="6"/>
      <c r="Y22" s="6"/>
      <c r="Z22" s="6"/>
      <c r="AA22" s="6"/>
      <c r="AB22" s="75"/>
      <c r="AC22" s="75"/>
      <c r="AD22" s="6"/>
      <c r="AE22" s="6"/>
      <c r="AF22" s="6"/>
      <c r="AG22" s="6"/>
      <c r="AH22" s="6"/>
      <c r="AI22" s="6"/>
      <c r="AJ22" s="6"/>
      <c r="AK22" s="6"/>
      <c r="AL22" s="6"/>
      <c r="AM22" s="6"/>
      <c r="AN22" s="6"/>
      <c r="AO22" s="6"/>
      <c r="AP22" s="106"/>
      <c r="AQ22" s="106"/>
      <c r="AR22" s="6"/>
      <c r="AS22" s="6"/>
      <c r="AT22" s="6"/>
      <c r="AU22" s="6"/>
      <c r="AV22" s="52"/>
      <c r="AW22" s="6"/>
      <c r="AX22" s="6"/>
      <c r="AY22" s="6"/>
      <c r="AZ22" s="6"/>
      <c r="BA22" s="6"/>
      <c r="BB22" s="6"/>
      <c r="BC22" s="6"/>
      <c r="BD22" s="6"/>
      <c r="BE22" s="6"/>
      <c r="BF22" s="26"/>
      <c r="BG22" s="26"/>
      <c r="BH22" s="26"/>
      <c r="BI22" s="26"/>
      <c r="BJ22" s="26"/>
      <c r="BK22" s="26"/>
      <c r="BL22" s="26"/>
      <c r="BM22" s="26"/>
      <c r="BN22" s="26"/>
      <c r="BO22" s="26"/>
      <c r="BP22" s="26"/>
      <c r="BQ22" s="26"/>
      <c r="BR22" s="26"/>
      <c r="BS22" s="26"/>
      <c r="BT22" s="26"/>
      <c r="BU22" s="26"/>
      <c r="BV22" s="26"/>
      <c r="BW22" s="26"/>
      <c r="BX22" s="26"/>
      <c r="BY22" s="26"/>
      <c r="BZ22" s="26"/>
      <c r="CA22" s="26"/>
      <c r="CB22" s="26"/>
      <c r="CC22" s="26"/>
      <c r="CD22" s="26"/>
      <c r="CE22" s="26"/>
      <c r="CF22" s="26"/>
      <c r="CG22" s="26"/>
      <c r="CH22" s="26"/>
      <c r="CI22" s="26"/>
      <c r="CJ22" s="26"/>
      <c r="CK22" s="26"/>
      <c r="CL22" s="26"/>
      <c r="CM22" s="26"/>
      <c r="CN22" s="26"/>
      <c r="CO22" s="26"/>
    </row>
    <row r="23" spans="1:93" ht="15" customHeight="1" x14ac:dyDescent="0.25">
      <c r="A23" s="29"/>
      <c r="B23" s="39"/>
      <c r="C23" s="26"/>
      <c r="D23" s="26"/>
      <c r="E23" s="51"/>
      <c r="F23" s="415" t="str">
        <f>'equipment set-up sheet'!K6</f>
        <v>Dishwasher</v>
      </c>
      <c r="G23" s="392"/>
      <c r="H23" s="17">
        <f>$E23*'equipment set-up sheet'!K$5</f>
        <v>0</v>
      </c>
      <c r="I23" s="26"/>
      <c r="J23" s="26"/>
      <c r="K23" s="421" t="s">
        <v>82</v>
      </c>
      <c r="L23" s="404"/>
      <c r="M23" s="392"/>
      <c r="N23" s="68">
        <f>IF(E121=FALSE,E119,I557)</f>
        <v>0</v>
      </c>
      <c r="O23" s="69"/>
      <c r="P23" s="29"/>
      <c r="Q23" s="6"/>
      <c r="R23" s="6"/>
      <c r="S23" s="6"/>
      <c r="T23" s="6"/>
      <c r="U23" s="6"/>
      <c r="V23" s="6"/>
      <c r="W23" s="6" t="e">
        <f>SUM(W20*W22)</f>
        <v>#REF!</v>
      </c>
      <c r="X23" s="6"/>
      <c r="Y23" s="6"/>
      <c r="Z23" s="6"/>
      <c r="AA23" s="6"/>
      <c r="AB23" s="6"/>
      <c r="AC23" s="6"/>
      <c r="AD23" s="6"/>
      <c r="AE23" s="6"/>
      <c r="AF23" s="6"/>
      <c r="AG23" s="6"/>
      <c r="AH23" s="6"/>
      <c r="AI23" s="6"/>
      <c r="AJ23" s="108"/>
      <c r="AK23" s="109"/>
      <c r="AL23" s="6"/>
      <c r="AM23" s="6"/>
      <c r="AN23" s="6"/>
      <c r="AO23" s="6"/>
      <c r="AP23" s="6"/>
      <c r="AQ23" s="6"/>
      <c r="AR23" s="6"/>
      <c r="AS23" s="6"/>
      <c r="AT23" s="6"/>
      <c r="AU23" s="6"/>
      <c r="AV23" s="105"/>
      <c r="AW23" s="52"/>
      <c r="AX23" s="6"/>
      <c r="AY23" s="6"/>
      <c r="AZ23" s="6"/>
      <c r="BA23" s="6"/>
      <c r="BB23" s="6"/>
      <c r="BC23" s="6"/>
      <c r="BD23" s="6"/>
      <c r="BE23" s="6"/>
      <c r="BF23" s="26"/>
      <c r="BG23" s="47"/>
      <c r="BH23" s="26"/>
      <c r="BI23" s="66"/>
      <c r="BJ23" s="26"/>
      <c r="BK23" s="26"/>
      <c r="BL23" s="26"/>
      <c r="BM23" s="26"/>
      <c r="BN23" s="26"/>
      <c r="BO23" s="110"/>
      <c r="BP23" s="26"/>
      <c r="BQ23" s="26"/>
      <c r="BR23" s="26"/>
      <c r="BS23" s="26"/>
      <c r="BT23" s="26"/>
      <c r="BU23" s="26"/>
      <c r="BV23" s="26"/>
      <c r="BW23" s="26"/>
      <c r="BX23" s="26"/>
      <c r="BY23" s="26"/>
      <c r="BZ23" s="26"/>
      <c r="CA23" s="26"/>
      <c r="CB23" s="26"/>
      <c r="CC23" s="38"/>
      <c r="CD23" s="26"/>
      <c r="CE23" s="26"/>
      <c r="CF23" s="26"/>
      <c r="CG23" s="26"/>
      <c r="CH23" s="26"/>
      <c r="CI23" s="26"/>
      <c r="CJ23" s="26"/>
      <c r="CK23" s="26"/>
      <c r="CL23" s="26"/>
      <c r="CM23" s="26"/>
      <c r="CN23" s="26"/>
      <c r="CO23" s="26"/>
    </row>
    <row r="24" spans="1:93" ht="15" customHeight="1" x14ac:dyDescent="0.25">
      <c r="A24" s="29"/>
      <c r="B24" s="39"/>
      <c r="C24" s="26"/>
      <c r="D24" s="26"/>
      <c r="E24" s="51"/>
      <c r="F24" s="415" t="str">
        <f>'equipment set-up sheet'!M6</f>
        <v>Disposal</v>
      </c>
      <c r="G24" s="392"/>
      <c r="H24" s="17">
        <f>$E24*'equipment set-up sheet'!M$5</f>
        <v>0</v>
      </c>
      <c r="I24" s="26"/>
      <c r="J24" s="26"/>
      <c r="K24" s="26"/>
      <c r="L24" s="26"/>
      <c r="M24" s="26"/>
      <c r="N24" s="26"/>
      <c r="O24" s="69"/>
      <c r="P24" s="29"/>
      <c r="Q24" s="6"/>
      <c r="R24" s="6"/>
      <c r="S24" s="6"/>
      <c r="T24" s="6"/>
      <c r="U24" s="6" t="s">
        <v>83</v>
      </c>
      <c r="V24" s="111">
        <v>0.65</v>
      </c>
      <c r="W24" s="6" t="e">
        <f>W23+X20</f>
        <v>#REF!</v>
      </c>
      <c r="X24" s="6"/>
      <c r="Y24" s="6"/>
      <c r="Z24" s="6"/>
      <c r="AA24" s="6"/>
      <c r="AB24" s="6"/>
      <c r="AC24" s="6"/>
      <c r="AD24" s="6"/>
      <c r="AE24" s="6"/>
      <c r="AF24" s="6"/>
      <c r="AG24" s="6"/>
      <c r="AH24" s="6"/>
      <c r="AI24" s="6"/>
      <c r="AJ24" s="5"/>
      <c r="AK24" s="109"/>
      <c r="AL24" s="112"/>
      <c r="AM24" s="113"/>
      <c r="AN24" s="113"/>
      <c r="AO24" s="113"/>
      <c r="AP24" s="113"/>
      <c r="AQ24" s="6"/>
      <c r="AR24" s="6"/>
      <c r="AS24" s="6"/>
      <c r="AT24" s="6"/>
      <c r="AU24" s="6"/>
      <c r="AV24" s="6"/>
      <c r="AW24" s="6"/>
      <c r="AX24" s="6"/>
      <c r="AY24" s="6"/>
      <c r="AZ24" s="6"/>
      <c r="BA24" s="6"/>
      <c r="BB24" s="6"/>
      <c r="BC24" s="6"/>
      <c r="BD24" s="6"/>
      <c r="BE24" s="6"/>
      <c r="BF24" s="26"/>
      <c r="BG24" s="26"/>
      <c r="BH24" s="26"/>
      <c r="BI24" s="26"/>
      <c r="BJ24" s="26"/>
      <c r="BK24" s="26"/>
      <c r="BL24" s="26"/>
      <c r="BM24" s="26"/>
      <c r="BN24" s="114"/>
      <c r="BO24" s="110"/>
      <c r="BP24" s="26"/>
      <c r="BQ24" s="26"/>
      <c r="BR24" s="26"/>
      <c r="BS24" s="26"/>
      <c r="BT24" s="26"/>
      <c r="BU24" s="26"/>
      <c r="BV24" s="26"/>
      <c r="BW24" s="26"/>
      <c r="BX24" s="26"/>
      <c r="BY24" s="26"/>
      <c r="BZ24" s="26"/>
      <c r="CA24" s="26"/>
      <c r="CB24" s="26"/>
      <c r="CC24" s="26"/>
      <c r="CD24" s="98"/>
      <c r="CE24" s="38"/>
      <c r="CF24" s="26"/>
      <c r="CG24" s="26"/>
      <c r="CH24" s="26"/>
      <c r="CI24" s="26"/>
      <c r="CJ24" s="26"/>
      <c r="CK24" s="26"/>
      <c r="CL24" s="26"/>
      <c r="CM24" s="26"/>
      <c r="CN24" s="26"/>
      <c r="CO24" s="26"/>
    </row>
    <row r="25" spans="1:93" ht="15" customHeight="1" x14ac:dyDescent="0.25">
      <c r="A25" s="29"/>
      <c r="B25" s="39"/>
      <c r="C25" s="26"/>
      <c r="D25" s="26"/>
      <c r="E25" s="51"/>
      <c r="F25" s="415" t="str">
        <f>'equipment set-up sheet'!M19</f>
        <v>Range Hood</v>
      </c>
      <c r="G25" s="392"/>
      <c r="H25" s="17">
        <f>$E25*'equipment set-up sheet'!$M$18</f>
        <v>0</v>
      </c>
      <c r="I25" s="26"/>
      <c r="J25" s="26"/>
      <c r="K25" s="421" t="s">
        <v>84</v>
      </c>
      <c r="L25" s="404"/>
      <c r="M25" s="392"/>
      <c r="N25" s="115" t="e">
        <f>IF(E121,G120,L120)</f>
        <v>#REF!</v>
      </c>
      <c r="O25" s="69"/>
      <c r="P25" s="29"/>
      <c r="Q25" s="6"/>
      <c r="R25" s="6"/>
      <c r="S25" s="6"/>
      <c r="T25" s="6"/>
      <c r="U25" s="6" t="s">
        <v>85</v>
      </c>
      <c r="V25" s="111">
        <v>0.4</v>
      </c>
      <c r="W25" s="6"/>
      <c r="X25" s="6"/>
      <c r="Y25" s="6"/>
      <c r="Z25" s="6"/>
      <c r="AA25" s="6"/>
      <c r="AB25" s="6"/>
      <c r="AC25" s="6"/>
      <c r="AD25" s="6"/>
      <c r="AE25" s="6"/>
      <c r="AF25" s="6"/>
      <c r="AG25" s="6"/>
      <c r="AH25" s="6"/>
      <c r="AI25" s="6"/>
      <c r="AJ25" s="5"/>
      <c r="AK25" s="109"/>
      <c r="AL25" s="112"/>
      <c r="AM25" s="113"/>
      <c r="AN25" s="113"/>
      <c r="AO25" s="113"/>
      <c r="AP25" s="113"/>
      <c r="AQ25" s="6"/>
      <c r="AR25" s="6"/>
      <c r="AS25" s="6"/>
      <c r="AT25" s="6"/>
      <c r="AU25" s="6"/>
      <c r="AV25" s="6"/>
      <c r="AW25" s="6"/>
      <c r="AX25" s="6"/>
      <c r="AY25" s="6"/>
      <c r="AZ25" s="6"/>
      <c r="BA25" s="6"/>
      <c r="BB25" s="6"/>
      <c r="BC25" s="6"/>
      <c r="BD25" s="6"/>
      <c r="BE25" s="6"/>
      <c r="BF25" s="26"/>
      <c r="BG25" s="26"/>
      <c r="BH25" s="26"/>
      <c r="BI25" s="26"/>
      <c r="BJ25" s="26"/>
      <c r="BK25" s="26"/>
      <c r="BL25" s="26"/>
      <c r="BM25" s="26"/>
      <c r="BN25" s="114"/>
      <c r="BO25" s="116"/>
      <c r="BP25" s="117"/>
      <c r="BQ25" s="118"/>
      <c r="BR25" s="119"/>
      <c r="BS25" s="26"/>
      <c r="BT25" s="26"/>
      <c r="BU25" s="26"/>
      <c r="BV25" s="26"/>
      <c r="BW25" s="26"/>
      <c r="BX25" s="26"/>
      <c r="BY25" s="97"/>
      <c r="BZ25" s="26"/>
      <c r="CA25" s="26"/>
      <c r="CB25" s="26"/>
      <c r="CC25" s="26"/>
      <c r="CD25" s="26"/>
      <c r="CE25" s="26"/>
      <c r="CF25" s="26"/>
      <c r="CG25" s="26"/>
      <c r="CH25" s="26"/>
      <c r="CI25" s="26"/>
      <c r="CJ25" s="26"/>
      <c r="CK25" s="26"/>
      <c r="CL25" s="26"/>
      <c r="CM25" s="26"/>
      <c r="CN25" s="26"/>
      <c r="CO25" s="26"/>
    </row>
    <row r="26" spans="1:93" ht="15" customHeight="1" x14ac:dyDescent="0.25">
      <c r="A26" s="29"/>
      <c r="B26" s="39"/>
      <c r="C26" s="26"/>
      <c r="D26" s="26"/>
      <c r="E26" s="51"/>
      <c r="F26" s="415" t="str">
        <f>'equipment set-up sheet'!Q6</f>
        <v>Microwave</v>
      </c>
      <c r="G26" s="392"/>
      <c r="H26" s="17">
        <f>$E26*'equipment set-up sheet'!Q$5</f>
        <v>0</v>
      </c>
      <c r="I26" s="26"/>
      <c r="J26" s="26"/>
      <c r="K26" s="26"/>
      <c r="L26" s="26"/>
      <c r="M26" s="26"/>
      <c r="N26" s="26"/>
      <c r="O26" s="69"/>
      <c r="P26" s="29"/>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26"/>
      <c r="BG26" s="26"/>
      <c r="BH26" s="26"/>
      <c r="BI26" s="26"/>
      <c r="BJ26" s="26"/>
      <c r="BK26" s="26"/>
      <c r="BL26" s="26"/>
      <c r="BM26" s="26"/>
      <c r="BN26" s="26"/>
      <c r="BO26" s="120"/>
      <c r="BP26" s="110"/>
      <c r="BQ26" s="110"/>
      <c r="BR26" s="26"/>
      <c r="BS26" s="26"/>
      <c r="BT26" s="26"/>
      <c r="BU26" s="26"/>
      <c r="BV26" s="26"/>
      <c r="BW26" s="26"/>
      <c r="BX26" s="26"/>
      <c r="BY26" s="121"/>
      <c r="BZ26" s="122"/>
      <c r="CA26" s="100"/>
      <c r="CB26" s="26"/>
      <c r="CC26" s="26"/>
      <c r="CD26" s="26"/>
      <c r="CE26" s="26"/>
      <c r="CF26" s="26"/>
      <c r="CG26" s="26"/>
      <c r="CH26" s="26"/>
      <c r="CI26" s="26"/>
      <c r="CJ26" s="26"/>
      <c r="CK26" s="26"/>
      <c r="CL26" s="26"/>
      <c r="CM26" s="26"/>
      <c r="CN26" s="26"/>
      <c r="CO26" s="26"/>
    </row>
    <row r="27" spans="1:93" ht="15" customHeight="1" x14ac:dyDescent="0.25">
      <c r="A27" s="29"/>
      <c r="B27" s="39"/>
      <c r="C27" s="26"/>
      <c r="D27" s="26"/>
      <c r="E27" s="51"/>
      <c r="F27" s="415" t="str">
        <f>'equipment set-up sheet'!E19</f>
        <v>Central Vac</v>
      </c>
      <c r="G27" s="392"/>
      <c r="H27" s="17">
        <f>$E27*'equipment set-up sheet'!E$18</f>
        <v>0</v>
      </c>
      <c r="I27" s="26" t="s">
        <v>18</v>
      </c>
      <c r="J27" s="26"/>
      <c r="K27" s="26"/>
      <c r="L27" s="123" t="str">
        <f>"Demand Load"</f>
        <v>Demand Load</v>
      </c>
      <c r="M27" s="124" t="str">
        <f>IF(E120,"     @ 208V, 1ph","     @ 240V, 1ph")</f>
        <v xml:space="preserve">     @ 208V, 1ph</v>
      </c>
      <c r="N27" s="125" t="e">
        <f>IF(E121,I117,N118)</f>
        <v>#REF!</v>
      </c>
      <c r="O27" s="69"/>
      <c r="P27" s="29"/>
      <c r="Q27" s="6"/>
      <c r="R27" s="6"/>
      <c r="S27" s="6"/>
      <c r="T27" s="6"/>
      <c r="U27" s="6"/>
      <c r="V27" s="6"/>
      <c r="W27" s="6"/>
      <c r="X27" s="6"/>
      <c r="Y27" s="6"/>
      <c r="Z27" s="6"/>
      <c r="AA27" s="6"/>
      <c r="AB27" s="30"/>
      <c r="AC27" s="30"/>
      <c r="AD27" s="30"/>
      <c r="AE27" s="6"/>
      <c r="AF27" s="52"/>
      <c r="AG27" s="6"/>
      <c r="AH27" s="126"/>
      <c r="AI27" s="113"/>
      <c r="AJ27" s="113"/>
      <c r="AK27" s="113"/>
      <c r="AL27" s="113"/>
      <c r="AM27" s="113"/>
      <c r="AN27" s="6"/>
      <c r="AO27" s="6"/>
      <c r="AP27" s="6"/>
      <c r="AQ27" s="6"/>
      <c r="AR27" s="6"/>
      <c r="AS27" s="6"/>
      <c r="AT27" s="6"/>
      <c r="AU27" s="6"/>
      <c r="AV27" s="6"/>
      <c r="AW27" s="6"/>
      <c r="AX27" s="6"/>
      <c r="AY27" s="6"/>
      <c r="AZ27" s="6"/>
      <c r="BA27" s="6"/>
      <c r="BB27" s="6"/>
      <c r="BC27" s="6"/>
      <c r="BD27" s="6"/>
      <c r="BE27" s="6"/>
      <c r="BF27" s="26"/>
      <c r="BG27" s="26"/>
      <c r="BH27" s="26"/>
      <c r="BI27" s="26"/>
      <c r="BJ27" s="26"/>
      <c r="BK27" s="26"/>
      <c r="BL27" s="26"/>
      <c r="BM27" s="26"/>
      <c r="BN27" s="26"/>
      <c r="BO27" s="120"/>
      <c r="BP27" s="110"/>
      <c r="BQ27" s="110"/>
      <c r="BR27" s="26"/>
      <c r="BS27" s="26"/>
      <c r="BT27" s="26"/>
      <c r="BU27" s="26"/>
      <c r="BV27" s="26"/>
      <c r="BW27" s="26"/>
      <c r="BX27" s="26"/>
      <c r="BY27" s="41"/>
      <c r="BZ27" s="122"/>
      <c r="CA27" s="100"/>
      <c r="CB27" s="26"/>
      <c r="CC27" s="26"/>
      <c r="CD27" s="26"/>
      <c r="CE27" s="26"/>
      <c r="CF27" s="26"/>
      <c r="CG27" s="26"/>
      <c r="CH27" s="26"/>
      <c r="CI27" s="26"/>
      <c r="CJ27" s="26"/>
      <c r="CK27" s="26"/>
      <c r="CL27" s="26"/>
      <c r="CM27" s="26"/>
      <c r="CN27" s="26"/>
      <c r="CO27" s="26"/>
    </row>
    <row r="28" spans="1:93" ht="15" customHeight="1" x14ac:dyDescent="0.25">
      <c r="A28" s="29"/>
      <c r="B28" s="39"/>
      <c r="C28" s="26"/>
      <c r="D28" s="26"/>
      <c r="E28" s="51"/>
      <c r="F28" s="415" t="str">
        <f>'equipment set-up sheet'!G19</f>
        <v>Mini Refrig</v>
      </c>
      <c r="G28" s="392"/>
      <c r="H28" s="17">
        <f>$E28*'equipment set-up sheet'!G$18</f>
        <v>0</v>
      </c>
      <c r="I28" s="26"/>
      <c r="J28" s="26"/>
      <c r="K28" s="26"/>
      <c r="L28" s="127"/>
      <c r="M28" s="127"/>
      <c r="N28" s="31"/>
      <c r="O28" s="69"/>
      <c r="P28" s="29"/>
      <c r="Q28" s="6"/>
      <c r="R28" s="6"/>
      <c r="S28" s="6"/>
      <c r="T28" s="6"/>
      <c r="U28" s="6"/>
      <c r="V28" s="6"/>
      <c r="W28" s="6"/>
      <c r="X28" s="6"/>
      <c r="Y28" s="6"/>
      <c r="Z28" s="6"/>
      <c r="AA28" s="6"/>
      <c r="AB28" s="30"/>
      <c r="AC28" s="30"/>
      <c r="AD28" s="30"/>
      <c r="AE28" s="6"/>
      <c r="AF28" s="6"/>
      <c r="AG28" s="6"/>
      <c r="AH28" s="128"/>
      <c r="AI28" s="6"/>
      <c r="AJ28" s="6"/>
      <c r="AK28" s="6"/>
      <c r="AL28" s="6"/>
      <c r="AM28" s="6"/>
      <c r="AN28" s="6"/>
      <c r="AO28" s="6"/>
      <c r="AP28" s="6"/>
      <c r="AQ28" s="6"/>
      <c r="AR28" s="6"/>
      <c r="AS28" s="6"/>
      <c r="AT28" s="6"/>
      <c r="AU28" s="6"/>
      <c r="AV28" s="6"/>
      <c r="AW28" s="6"/>
      <c r="AX28" s="6"/>
      <c r="AY28" s="6"/>
      <c r="AZ28" s="6"/>
      <c r="BA28" s="6"/>
      <c r="BB28" s="6"/>
      <c r="BC28" s="6"/>
      <c r="BD28" s="6"/>
      <c r="BE28" s="6"/>
      <c r="BF28" s="26"/>
      <c r="BG28" s="26"/>
      <c r="BH28" s="26"/>
      <c r="BI28" s="26"/>
      <c r="BJ28" s="26"/>
      <c r="BK28" s="26"/>
      <c r="BL28" s="26"/>
      <c r="BM28" s="26"/>
      <c r="BN28" s="26"/>
      <c r="BO28" s="26"/>
      <c r="BP28" s="26"/>
      <c r="BQ28" s="26"/>
      <c r="BR28" s="26"/>
      <c r="BS28" s="26"/>
      <c r="BT28" s="26"/>
      <c r="BU28" s="26"/>
      <c r="BV28" s="26"/>
      <c r="BW28" s="26"/>
      <c r="BX28" s="26"/>
      <c r="BY28" s="41"/>
      <c r="BZ28" s="122"/>
      <c r="CA28" s="64"/>
      <c r="CB28" s="26"/>
      <c r="CC28" s="26"/>
      <c r="CD28" s="26"/>
      <c r="CE28" s="26"/>
      <c r="CF28" s="26"/>
      <c r="CG28" s="26"/>
      <c r="CH28" s="26"/>
      <c r="CI28" s="26"/>
      <c r="CJ28" s="26"/>
      <c r="CK28" s="26"/>
      <c r="CL28" s="26"/>
      <c r="CM28" s="26"/>
      <c r="CN28" s="26"/>
      <c r="CO28" s="26"/>
    </row>
    <row r="29" spans="1:93" ht="15" customHeight="1" x14ac:dyDescent="0.25">
      <c r="A29" s="29"/>
      <c r="B29" s="39"/>
      <c r="C29" s="26"/>
      <c r="D29" s="26"/>
      <c r="E29" s="51"/>
      <c r="F29" s="415" t="str">
        <f>'equipment set-up sheet'!I19</f>
        <v>Compactor</v>
      </c>
      <c r="G29" s="392"/>
      <c r="H29" s="17">
        <f>$E29*'equipment set-up sheet'!I$18</f>
        <v>0</v>
      </c>
      <c r="I29" s="129"/>
      <c r="J29" s="26"/>
      <c r="K29" s="26"/>
      <c r="L29" s="422" t="s">
        <v>86</v>
      </c>
      <c r="M29" s="392"/>
      <c r="N29" s="125">
        <f>IF($E$191&gt;=4,SUM((((H21+H22+H23+H24+H25+H26+H28+H31+H191)*0.75)+N553+Q606)+(SUM($N$556+$N$559)*0.7))/J119,SUM((((H21+H22+H23+H24+H25+H26+H28+H31+H191)*1)+N553+Q606)+(SUM($N$556+$N$559)*0.7))/J119)</f>
        <v>0</v>
      </c>
      <c r="O29" s="69"/>
      <c r="P29" s="29"/>
      <c r="Q29" s="423"/>
      <c r="R29" s="404"/>
      <c r="S29" s="404"/>
      <c r="T29" s="404"/>
      <c r="U29" s="404"/>
      <c r="V29" s="404"/>
      <c r="W29" s="404"/>
      <c r="X29" s="404"/>
      <c r="Y29" s="404"/>
      <c r="Z29" s="404"/>
      <c r="AA29" s="404"/>
      <c r="AB29" s="404"/>
      <c r="AC29" s="392"/>
      <c r="AD29" s="30"/>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26"/>
      <c r="BG29" s="130"/>
      <c r="BH29" s="47"/>
      <c r="BI29" s="26"/>
      <c r="BJ29" s="26"/>
      <c r="BK29" s="26"/>
      <c r="BL29" s="26"/>
      <c r="BM29" s="26"/>
      <c r="BN29" s="26"/>
      <c r="BO29" s="26"/>
      <c r="BP29" s="26"/>
      <c r="BQ29" s="26"/>
      <c r="BR29" s="26"/>
      <c r="BS29" s="26"/>
      <c r="BT29" s="26"/>
      <c r="BU29" s="26"/>
      <c r="BV29" s="26"/>
      <c r="BW29" s="26"/>
      <c r="BX29" s="26"/>
      <c r="BY29" s="26"/>
      <c r="BZ29" s="26"/>
      <c r="CA29" s="26"/>
      <c r="CB29" s="26"/>
      <c r="CC29" s="26"/>
      <c r="CD29" s="26"/>
      <c r="CE29" s="26"/>
      <c r="CF29" s="26"/>
      <c r="CG29" s="26"/>
      <c r="CH29" s="26"/>
      <c r="CI29" s="131"/>
      <c r="CJ29" s="26"/>
      <c r="CK29" s="26"/>
      <c r="CL29" s="26"/>
      <c r="CM29" s="26"/>
      <c r="CN29" s="26"/>
      <c r="CO29" s="26"/>
    </row>
    <row r="30" spans="1:93" ht="15" customHeight="1" x14ac:dyDescent="0.25">
      <c r="A30" s="29"/>
      <c r="B30" s="39"/>
      <c r="C30" s="26"/>
      <c r="D30" s="26"/>
      <c r="E30" s="51"/>
      <c r="F30" s="415" t="s">
        <v>87</v>
      </c>
      <c r="G30" s="392"/>
      <c r="H30" s="17">
        <f>$E30*'equipment set-up sheet'!K$18</f>
        <v>0</v>
      </c>
      <c r="I30" s="129"/>
      <c r="J30" s="26"/>
      <c r="K30" s="26"/>
      <c r="L30" s="127"/>
      <c r="M30" s="127"/>
      <c r="N30" s="31"/>
      <c r="O30" s="69" t="s">
        <v>18</v>
      </c>
      <c r="P30" s="29"/>
      <c r="Q30" s="6"/>
      <c r="R30" s="6"/>
      <c r="S30" s="6"/>
      <c r="T30" s="6"/>
      <c r="U30" s="6"/>
      <c r="V30" s="6"/>
      <c r="W30" s="6"/>
      <c r="X30" s="6"/>
      <c r="Y30" s="6"/>
      <c r="Z30" s="6"/>
      <c r="AA30" s="6"/>
      <c r="AB30" s="30"/>
      <c r="AC30" s="30"/>
      <c r="AD30" s="30"/>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26"/>
      <c r="BG30" s="132"/>
      <c r="BH30" s="60"/>
      <c r="BI30" s="26"/>
      <c r="BJ30" s="26"/>
      <c r="BK30" s="26"/>
      <c r="BL30" s="26"/>
      <c r="BM30" s="26"/>
      <c r="BN30" s="26"/>
      <c r="BO30" s="26"/>
      <c r="BP30" s="26"/>
      <c r="BQ30" s="26"/>
      <c r="BR30" s="26"/>
      <c r="BS30" s="26"/>
      <c r="BT30" s="26"/>
      <c r="BU30" s="26"/>
      <c r="BV30" s="26"/>
      <c r="BW30" s="26"/>
      <c r="BX30" s="26"/>
      <c r="BY30" s="26"/>
      <c r="BZ30" s="26"/>
      <c r="CA30" s="26"/>
      <c r="CB30" s="26"/>
      <c r="CC30" s="26"/>
      <c r="CD30" s="26"/>
      <c r="CE30" s="26"/>
      <c r="CF30" s="26"/>
      <c r="CG30" s="26"/>
      <c r="CH30" s="26"/>
      <c r="CI30" s="26"/>
      <c r="CJ30" s="26"/>
      <c r="CK30" s="26"/>
      <c r="CL30" s="26"/>
      <c r="CM30" s="26"/>
      <c r="CN30" s="26"/>
      <c r="CO30" s="26"/>
    </row>
    <row r="31" spans="1:93" ht="15" customHeight="1" x14ac:dyDescent="0.25">
      <c r="A31" s="29"/>
      <c r="B31" s="39"/>
      <c r="C31" s="26"/>
      <c r="D31" s="26"/>
      <c r="E31" s="51"/>
      <c r="F31" s="415" t="str">
        <f>'equipment set-up sheet'!Q19</f>
        <v>Wine Cooler</v>
      </c>
      <c r="G31" s="392"/>
      <c r="H31" s="17">
        <f>$E31*'equipment set-up sheet'!Q$18</f>
        <v>0</v>
      </c>
      <c r="I31" s="26"/>
      <c r="J31" s="26"/>
      <c r="K31" s="26"/>
      <c r="L31" s="424" t="str">
        <f>IF(Y147,"See Service Riser","Min.Service Req.")</f>
        <v>Min.Service Req.</v>
      </c>
      <c r="M31" s="394"/>
      <c r="N31" s="425" t="e">
        <f>IF(Y147," ",K117)</f>
        <v>#REF!</v>
      </c>
      <c r="O31" s="69"/>
      <c r="P31" s="29"/>
      <c r="Q31" s="6"/>
      <c r="R31" s="6"/>
      <c r="S31" s="6"/>
      <c r="T31" s="6"/>
      <c r="U31" s="6"/>
      <c r="V31" s="6"/>
      <c r="W31" s="6"/>
      <c r="X31" s="6"/>
      <c r="Y31" s="6"/>
      <c r="Z31" s="6"/>
      <c r="AA31" s="6"/>
      <c r="AB31" s="6"/>
      <c r="AC31" s="6"/>
      <c r="AD31" s="6"/>
      <c r="AE31" s="6"/>
      <c r="AF31" s="6"/>
      <c r="AG31" s="6"/>
      <c r="AH31" s="6"/>
      <c r="AI31" s="6"/>
      <c r="AJ31" s="133"/>
      <c r="AK31" s="6"/>
      <c r="AL31" s="6"/>
      <c r="AM31" s="6"/>
      <c r="AN31" s="6"/>
      <c r="AO31" s="133"/>
      <c r="AP31" s="6"/>
      <c r="AQ31" s="6"/>
      <c r="AR31" s="6"/>
      <c r="AS31" s="133"/>
      <c r="AT31" s="6"/>
      <c r="AU31" s="6"/>
      <c r="AV31" s="6"/>
      <c r="AW31" s="6"/>
      <c r="AX31" s="6"/>
      <c r="AY31" s="6"/>
      <c r="AZ31" s="6"/>
      <c r="BA31" s="6"/>
      <c r="BB31" s="6"/>
      <c r="BC31" s="6"/>
      <c r="BD31" s="6"/>
      <c r="BE31" s="134"/>
      <c r="BF31" s="47"/>
      <c r="BG31" s="130"/>
      <c r="BH31" s="47"/>
      <c r="BI31" s="26"/>
      <c r="BJ31" s="26"/>
      <c r="BK31" s="26"/>
      <c r="BL31" s="26"/>
      <c r="BM31" s="26"/>
      <c r="BN31" s="26"/>
      <c r="BO31" s="26"/>
      <c r="BP31" s="26"/>
      <c r="BQ31" s="26"/>
      <c r="BR31" s="26"/>
      <c r="BS31" s="26"/>
      <c r="BT31" s="26"/>
      <c r="BU31" s="26"/>
      <c r="BV31" s="26"/>
      <c r="BW31" s="26"/>
      <c r="BX31" s="26"/>
      <c r="BY31" s="26"/>
      <c r="BZ31" s="26"/>
      <c r="CA31" s="26"/>
      <c r="CB31" s="26"/>
      <c r="CC31" s="26"/>
      <c r="CD31" s="26"/>
      <c r="CE31" s="26"/>
      <c r="CF31" s="26"/>
      <c r="CG31" s="26"/>
      <c r="CH31" s="26"/>
      <c r="CI31" s="26"/>
      <c r="CJ31" s="26"/>
      <c r="CK31" s="26"/>
      <c r="CL31" s="26"/>
      <c r="CM31" s="26"/>
      <c r="CN31" s="26"/>
      <c r="CO31" s="26"/>
    </row>
    <row r="32" spans="1:93" ht="15" customHeight="1" x14ac:dyDescent="0.25">
      <c r="A32" s="29"/>
      <c r="B32" s="39"/>
      <c r="C32" s="26"/>
      <c r="D32" s="26"/>
      <c r="E32" s="135"/>
      <c r="F32" s="403" t="s">
        <v>88</v>
      </c>
      <c r="G32" s="392"/>
      <c r="H32" s="17">
        <f t="shared" ref="H32:H36" si="7">G584</f>
        <v>0</v>
      </c>
      <c r="I32" s="26"/>
      <c r="J32" s="26"/>
      <c r="K32" s="26"/>
      <c r="L32" s="395"/>
      <c r="M32" s="397"/>
      <c r="N32" s="426"/>
      <c r="O32" s="69"/>
      <c r="P32" s="29"/>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134"/>
      <c r="BF32" s="60"/>
      <c r="BG32" s="47"/>
      <c r="BH32" s="47"/>
      <c r="BI32" s="26"/>
      <c r="BJ32" s="26"/>
      <c r="BK32" s="26"/>
      <c r="BL32" s="26"/>
      <c r="BM32" s="26"/>
      <c r="BN32" s="26"/>
      <c r="BO32" s="26"/>
      <c r="BP32" s="26"/>
      <c r="BQ32" s="26"/>
      <c r="BR32" s="26"/>
      <c r="BS32" s="26"/>
      <c r="BT32" s="26"/>
      <c r="BU32" s="26"/>
      <c r="BV32" s="26"/>
      <c r="BW32" s="26"/>
      <c r="BX32" s="26"/>
      <c r="BY32" s="26"/>
      <c r="BZ32" s="26"/>
      <c r="CA32" s="26"/>
      <c r="CB32" s="26"/>
      <c r="CC32" s="26"/>
      <c r="CD32" s="26"/>
      <c r="CE32" s="26"/>
      <c r="CF32" s="26"/>
      <c r="CG32" s="26"/>
      <c r="CH32" s="26"/>
      <c r="CI32" s="26"/>
      <c r="CJ32" s="26"/>
      <c r="CK32" s="26"/>
      <c r="CL32" s="26"/>
      <c r="CM32" s="26"/>
      <c r="CN32" s="26"/>
      <c r="CO32" s="26"/>
    </row>
    <row r="33" spans="1:93" ht="15" customHeight="1" x14ac:dyDescent="0.25">
      <c r="A33" s="29"/>
      <c r="B33" s="39"/>
      <c r="C33" s="26"/>
      <c r="D33" s="26"/>
      <c r="E33" s="135"/>
      <c r="F33" s="403" t="s">
        <v>89</v>
      </c>
      <c r="G33" s="392"/>
      <c r="H33" s="17">
        <f t="shared" si="7"/>
        <v>0</v>
      </c>
      <c r="I33" s="26" t="s">
        <v>18</v>
      </c>
      <c r="J33" s="26" t="s">
        <v>18</v>
      </c>
      <c r="K33" s="136"/>
      <c r="L33" s="26"/>
      <c r="M33" s="26"/>
      <c r="N33" s="26"/>
      <c r="O33" s="69"/>
      <c r="P33" s="29"/>
      <c r="Q33" s="6"/>
      <c r="R33" s="6"/>
      <c r="S33" s="6"/>
      <c r="T33" s="6"/>
      <c r="U33" s="6"/>
      <c r="V33" s="6"/>
      <c r="W33" s="6"/>
      <c r="X33" s="6"/>
      <c r="Y33" s="6"/>
      <c r="Z33" s="6"/>
      <c r="AA33" s="6"/>
      <c r="AB33" s="6"/>
      <c r="AC33" s="6"/>
      <c r="AD33" s="6"/>
      <c r="AE33" s="6"/>
      <c r="AF33" s="44"/>
      <c r="AG33" s="6"/>
      <c r="AH33" s="6"/>
      <c r="AI33" s="6"/>
      <c r="AJ33" s="6"/>
      <c r="AK33" s="6"/>
      <c r="AL33" s="6"/>
      <c r="AM33" s="6"/>
      <c r="AN33" s="6"/>
      <c r="AO33" s="6"/>
      <c r="AP33" s="6"/>
      <c r="AQ33" s="6"/>
      <c r="AR33" s="6"/>
      <c r="AS33" s="6"/>
      <c r="AT33" s="6"/>
      <c r="AU33" s="6"/>
      <c r="AV33" s="137"/>
      <c r="AW33" s="137"/>
      <c r="AX33" s="137"/>
      <c r="AY33" s="137"/>
      <c r="AZ33" s="137"/>
      <c r="BA33" s="137"/>
      <c r="BB33" s="137"/>
      <c r="BC33" s="6"/>
      <c r="BD33" s="6"/>
      <c r="BE33" s="45"/>
      <c r="BF33" s="46"/>
      <c r="BG33" s="138"/>
      <c r="BH33" s="138"/>
      <c r="BI33" s="26"/>
      <c r="BJ33" s="26"/>
      <c r="BK33" s="48"/>
      <c r="BL33" s="26"/>
      <c r="BM33" s="26"/>
      <c r="BN33" s="26"/>
      <c r="BO33" s="26"/>
      <c r="BP33" s="26"/>
      <c r="BQ33" s="26"/>
      <c r="BR33" s="26"/>
      <c r="BS33" s="26"/>
      <c r="BT33" s="26"/>
      <c r="BU33" s="26"/>
      <c r="BV33" s="26"/>
      <c r="BW33" s="26"/>
      <c r="BX33" s="26"/>
      <c r="BY33" s="26"/>
      <c r="BZ33" s="26"/>
      <c r="CA33" s="49"/>
      <c r="CB33" s="49"/>
      <c r="CC33" s="49"/>
      <c r="CD33" s="49"/>
      <c r="CE33" s="49"/>
      <c r="CF33" s="49"/>
      <c r="CG33" s="49"/>
      <c r="CH33" s="49"/>
      <c r="CI33" s="49"/>
      <c r="CJ33" s="26"/>
      <c r="CK33" s="46"/>
      <c r="CL33" s="46"/>
      <c r="CM33" s="26"/>
      <c r="CN33" s="26"/>
      <c r="CO33" s="26"/>
    </row>
    <row r="34" spans="1:93" ht="15" customHeight="1" x14ac:dyDescent="0.25">
      <c r="A34" s="29"/>
      <c r="B34" s="39"/>
      <c r="C34" s="26"/>
      <c r="D34" s="26"/>
      <c r="E34" s="135"/>
      <c r="F34" s="403" t="s">
        <v>90</v>
      </c>
      <c r="G34" s="392"/>
      <c r="H34" s="17">
        <f t="shared" si="7"/>
        <v>0</v>
      </c>
      <c r="I34" s="26"/>
      <c r="J34" s="26"/>
      <c r="K34" s="26"/>
      <c r="L34" s="26"/>
      <c r="M34" s="26"/>
      <c r="N34" s="26"/>
      <c r="O34" s="69"/>
      <c r="P34" s="29"/>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82"/>
      <c r="AY34" s="6"/>
      <c r="AZ34" s="6"/>
      <c r="BA34" s="6"/>
      <c r="BB34" s="6"/>
      <c r="BC34" s="6"/>
      <c r="BD34" s="6"/>
      <c r="BE34" s="139"/>
      <c r="BF34" s="140"/>
      <c r="BG34" s="47"/>
      <c r="BH34" s="38"/>
      <c r="BI34" s="26"/>
      <c r="BJ34" s="26"/>
      <c r="BK34" s="26"/>
      <c r="BL34" s="38"/>
      <c r="BM34" s="38"/>
      <c r="BN34" s="26"/>
      <c r="BO34" s="26"/>
      <c r="BP34" s="26"/>
      <c r="BQ34" s="26"/>
      <c r="BR34" s="38"/>
      <c r="BS34" s="26"/>
      <c r="BT34" s="26"/>
      <c r="BU34" s="26"/>
      <c r="BV34" s="26"/>
      <c r="BW34" s="26"/>
      <c r="BX34" s="26"/>
      <c r="BY34" s="26"/>
      <c r="BZ34" s="26"/>
      <c r="CA34" s="26"/>
      <c r="CB34" s="26"/>
      <c r="CC34" s="61"/>
      <c r="CD34" s="26"/>
      <c r="CE34" s="26"/>
      <c r="CF34" s="26"/>
      <c r="CG34" s="26"/>
      <c r="CH34" s="26"/>
      <c r="CI34" s="26"/>
      <c r="CJ34" s="26"/>
      <c r="CK34" s="54" t="s">
        <v>18</v>
      </c>
      <c r="CL34" s="54" t="s">
        <v>18</v>
      </c>
      <c r="CM34" s="26" t="s">
        <v>18</v>
      </c>
      <c r="CN34" s="26"/>
      <c r="CO34" s="26"/>
    </row>
    <row r="35" spans="1:93" ht="15" customHeight="1" x14ac:dyDescent="0.25">
      <c r="A35" s="29"/>
      <c r="B35" s="39"/>
      <c r="C35" s="26"/>
      <c r="D35" s="26"/>
      <c r="E35" s="135"/>
      <c r="F35" s="403" t="s">
        <v>91</v>
      </c>
      <c r="G35" s="392"/>
      <c r="H35" s="17">
        <f t="shared" si="7"/>
        <v>0</v>
      </c>
      <c r="I35" s="428" t="s">
        <v>18</v>
      </c>
      <c r="J35" s="392"/>
      <c r="K35" s="136"/>
      <c r="L35" s="26"/>
      <c r="M35" s="26"/>
      <c r="N35" s="26"/>
      <c r="O35" s="69"/>
      <c r="P35" s="29"/>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82"/>
      <c r="AW35" s="6"/>
      <c r="AX35" s="6"/>
      <c r="AY35" s="6"/>
      <c r="AZ35" s="141"/>
      <c r="BA35" s="6"/>
      <c r="BB35" s="6"/>
      <c r="BC35" s="6"/>
      <c r="BD35" s="6"/>
      <c r="BE35" s="139"/>
      <c r="BF35" s="140"/>
      <c r="BG35" s="60"/>
      <c r="BH35" s="70"/>
      <c r="BI35" s="26"/>
      <c r="BJ35" s="26"/>
      <c r="BK35" s="26"/>
      <c r="BL35" s="38"/>
      <c r="BM35" s="26"/>
      <c r="BN35" s="26"/>
      <c r="BO35" s="26"/>
      <c r="BP35" s="26"/>
      <c r="BQ35" s="26"/>
      <c r="BR35" s="26"/>
      <c r="BS35" s="26"/>
      <c r="BT35" s="26"/>
      <c r="BU35" s="26"/>
      <c r="BV35" s="26"/>
      <c r="BW35" s="26"/>
      <c r="BX35" s="26"/>
      <c r="BY35" s="26"/>
      <c r="BZ35" s="26"/>
      <c r="CA35" s="61"/>
      <c r="CB35" s="26"/>
      <c r="CC35" s="26"/>
      <c r="CD35" s="26"/>
      <c r="CE35" s="26"/>
      <c r="CF35" s="26"/>
      <c r="CG35" s="26"/>
      <c r="CH35" s="26"/>
      <c r="CI35" s="26"/>
      <c r="CJ35" s="26"/>
      <c r="CK35" s="46" t="s">
        <v>18</v>
      </c>
      <c r="CL35" s="46" t="s">
        <v>18</v>
      </c>
      <c r="CM35" s="26" t="s">
        <v>18</v>
      </c>
      <c r="CN35" s="26"/>
      <c r="CO35" s="26"/>
    </row>
    <row r="36" spans="1:93" ht="15" customHeight="1" x14ac:dyDescent="0.25">
      <c r="A36" s="29"/>
      <c r="B36" s="39"/>
      <c r="C36" s="26"/>
      <c r="D36" s="26"/>
      <c r="E36" s="135"/>
      <c r="F36" s="403" t="s">
        <v>92</v>
      </c>
      <c r="G36" s="392"/>
      <c r="H36" s="17">
        <f t="shared" si="7"/>
        <v>0</v>
      </c>
      <c r="I36" s="428" t="s">
        <v>18</v>
      </c>
      <c r="J36" s="392"/>
      <c r="K36" s="26"/>
      <c r="L36" s="26"/>
      <c r="M36" s="142"/>
      <c r="N36" s="143"/>
      <c r="O36" s="69"/>
      <c r="P36" s="29"/>
      <c r="Q36" s="6"/>
      <c r="R36" s="6"/>
      <c r="S36" s="6"/>
      <c r="T36" s="6"/>
      <c r="U36" s="6"/>
      <c r="V36" s="6"/>
      <c r="W36" s="6"/>
      <c r="X36" s="6"/>
      <c r="Y36" s="6"/>
      <c r="Z36" s="6"/>
      <c r="AA36" s="6"/>
      <c r="AB36" s="6"/>
      <c r="AC36" s="6"/>
      <c r="AD36" s="6"/>
      <c r="AE36" s="6"/>
      <c r="AF36" s="6"/>
      <c r="AG36" s="6"/>
      <c r="AH36" s="6"/>
      <c r="AI36" s="6"/>
      <c r="AJ36" s="52"/>
      <c r="AK36" s="6"/>
      <c r="AL36" s="6"/>
      <c r="AM36" s="6"/>
      <c r="AN36" s="6"/>
      <c r="AO36" s="6"/>
      <c r="AP36" s="6"/>
      <c r="AQ36" s="6"/>
      <c r="AR36" s="6"/>
      <c r="AS36" s="6"/>
      <c r="AT36" s="6"/>
      <c r="AU36" s="6"/>
      <c r="AV36" s="82"/>
      <c r="AW36" s="6"/>
      <c r="AX36" s="6"/>
      <c r="AY36" s="6"/>
      <c r="AZ36" s="6"/>
      <c r="BA36" s="6"/>
      <c r="BB36" s="6"/>
      <c r="BC36" s="6"/>
      <c r="BD36" s="6"/>
      <c r="BE36" s="144"/>
      <c r="BF36" s="90"/>
      <c r="BG36" s="145"/>
      <c r="BH36" s="70"/>
      <c r="BI36" s="26"/>
      <c r="BJ36" s="26"/>
      <c r="BK36" s="26"/>
      <c r="BL36" s="26"/>
      <c r="BM36" s="26"/>
      <c r="BN36" s="26"/>
      <c r="BO36" s="26"/>
      <c r="BP36" s="26"/>
      <c r="BQ36" s="26"/>
      <c r="BR36" s="26"/>
      <c r="BS36" s="26"/>
      <c r="BT36" s="26"/>
      <c r="BU36" s="26"/>
      <c r="BV36" s="26"/>
      <c r="BW36" s="26"/>
      <c r="BX36" s="26"/>
      <c r="BY36" s="26"/>
      <c r="BZ36" s="26"/>
      <c r="CA36" s="61"/>
      <c r="CB36" s="38"/>
      <c r="CC36" s="26"/>
      <c r="CD36" s="26"/>
      <c r="CE36" s="26"/>
      <c r="CF36" s="26"/>
      <c r="CG36" s="26"/>
      <c r="CH36" s="26"/>
      <c r="CI36" s="26"/>
      <c r="CJ36" s="26"/>
      <c r="CK36" s="46" t="s">
        <v>18</v>
      </c>
      <c r="CL36" s="46" t="s">
        <v>18</v>
      </c>
      <c r="CM36" s="26"/>
      <c r="CN36" s="26"/>
      <c r="CO36" s="26"/>
    </row>
    <row r="37" spans="1:93" ht="12.75" customHeight="1" x14ac:dyDescent="0.25">
      <c r="A37" s="29"/>
      <c r="B37" s="39"/>
      <c r="C37" s="26"/>
      <c r="D37" s="26"/>
      <c r="E37" s="135"/>
      <c r="F37" s="415" t="s">
        <v>93</v>
      </c>
      <c r="G37" s="392"/>
      <c r="H37" s="17">
        <f>IF(E121,SUM(I56+I57+AE409+AE410+AE411+I61+I62+I63+I64+J56+J57+AH409+AH410+AH411+J61+J62+J63+J64),SUM(I56+I57+I58+I59+I60+I61+I62+I63+I64+J56+J57+J58+J59+J60+J61+J62+J63+J64))</f>
        <v>0</v>
      </c>
      <c r="I37" s="428" t="str">
        <f>IF($E$121,"Apply Demand","100% Demand")</f>
        <v>100% Demand</v>
      </c>
      <c r="J37" s="392"/>
      <c r="K37" s="26"/>
      <c r="L37" s="26"/>
      <c r="M37" s="26"/>
      <c r="N37" s="26"/>
      <c r="O37" s="69"/>
      <c r="P37" s="29"/>
      <c r="Q37" s="6"/>
      <c r="R37" s="6"/>
      <c r="S37" s="6"/>
      <c r="T37" s="6"/>
      <c r="U37" s="6"/>
      <c r="V37" s="6"/>
      <c r="W37" s="6"/>
      <c r="X37" s="6"/>
      <c r="Y37" s="6"/>
      <c r="Z37" s="6"/>
      <c r="AA37" s="6"/>
      <c r="AB37" s="6"/>
      <c r="AC37" s="6"/>
      <c r="AD37" s="6"/>
      <c r="AE37" s="6"/>
      <c r="AF37" s="6"/>
      <c r="AG37" s="6"/>
      <c r="AH37" s="6"/>
      <c r="AI37" s="6"/>
      <c r="AJ37" s="52"/>
      <c r="AK37" s="6"/>
      <c r="AL37" s="6"/>
      <c r="AM37" s="6"/>
      <c r="AN37" s="6"/>
      <c r="AO37" s="6"/>
      <c r="AP37" s="52"/>
      <c r="AQ37" s="52"/>
      <c r="AR37" s="6"/>
      <c r="AS37" s="6"/>
      <c r="AT37" s="6"/>
      <c r="AU37" s="6"/>
      <c r="AV37" s="6"/>
      <c r="AW37" s="6"/>
      <c r="AX37" s="6"/>
      <c r="AY37" s="6"/>
      <c r="AZ37" s="6"/>
      <c r="BA37" s="6"/>
      <c r="BB37" s="6"/>
      <c r="BC37" s="6"/>
      <c r="BD37" s="6"/>
      <c r="BE37" s="144"/>
      <c r="BF37" s="90"/>
      <c r="BG37" s="47"/>
      <c r="BH37" s="70"/>
      <c r="BI37" s="26"/>
      <c r="BJ37" s="26"/>
      <c r="BK37" s="26"/>
      <c r="BL37" s="26"/>
      <c r="BM37" s="26"/>
      <c r="BN37" s="26"/>
      <c r="BO37" s="26"/>
      <c r="BP37" s="26"/>
      <c r="BQ37" s="26"/>
      <c r="BR37" s="26"/>
      <c r="BS37" s="26"/>
      <c r="BT37" s="26"/>
      <c r="BU37" s="26"/>
      <c r="BV37" s="26"/>
      <c r="BW37" s="26"/>
      <c r="BX37" s="26"/>
      <c r="BY37" s="26"/>
      <c r="BZ37" s="26"/>
      <c r="CA37" s="26"/>
      <c r="CB37" s="26"/>
      <c r="CC37" s="26"/>
      <c r="CD37" s="26"/>
      <c r="CE37" s="26"/>
      <c r="CF37" s="26"/>
      <c r="CG37" s="26"/>
      <c r="CH37" s="26"/>
      <c r="CI37" s="26"/>
      <c r="CJ37" s="26"/>
      <c r="CK37" s="46"/>
      <c r="CL37" s="46"/>
      <c r="CM37" s="26"/>
      <c r="CN37" s="26"/>
      <c r="CO37" s="26"/>
    </row>
    <row r="38" spans="1:93" ht="12.75" customHeight="1" x14ac:dyDescent="0.25">
      <c r="A38" s="29"/>
      <c r="B38" s="39"/>
      <c r="C38" s="26"/>
      <c r="D38" s="26"/>
      <c r="E38" s="146"/>
      <c r="F38" s="415" t="s">
        <v>94</v>
      </c>
      <c r="G38" s="392"/>
      <c r="H38" s="17">
        <f t="shared" ref="H38:H39" si="8">E38</f>
        <v>0</v>
      </c>
      <c r="I38" s="428" t="str">
        <f t="shared" ref="I38:I39" si="9">IF(E131,"Apply Demand","No Demand")</f>
        <v>No Demand</v>
      </c>
      <c r="J38" s="392"/>
      <c r="K38" s="26"/>
      <c r="L38" s="26"/>
      <c r="M38" s="26"/>
      <c r="N38" s="26"/>
      <c r="O38" s="69"/>
      <c r="P38" s="29"/>
      <c r="Q38" s="6"/>
      <c r="R38" s="6"/>
      <c r="S38" s="6"/>
      <c r="T38" s="6"/>
      <c r="U38" s="6"/>
      <c r="V38" s="6"/>
      <c r="W38" s="6"/>
      <c r="X38" s="6"/>
      <c r="Y38" s="6"/>
      <c r="Z38" s="6"/>
      <c r="AA38" s="6"/>
      <c r="AB38" s="6"/>
      <c r="AC38" s="6"/>
      <c r="AD38" s="6"/>
      <c r="AE38" s="6"/>
      <c r="AF38" s="6"/>
      <c r="AG38" s="6"/>
      <c r="AH38" s="6"/>
      <c r="AI38" s="6"/>
      <c r="AJ38" s="52"/>
      <c r="AK38" s="6"/>
      <c r="AL38" s="6"/>
      <c r="AM38" s="6"/>
      <c r="AN38" s="6"/>
      <c r="AO38" s="6"/>
      <c r="AP38" s="6"/>
      <c r="AQ38" s="6"/>
      <c r="AR38" s="6"/>
      <c r="AS38" s="6"/>
      <c r="AT38" s="6"/>
      <c r="AU38" s="6"/>
      <c r="AV38" s="52"/>
      <c r="AW38" s="6"/>
      <c r="AX38" s="52"/>
      <c r="AY38" s="52"/>
      <c r="AZ38" s="6"/>
      <c r="BA38" s="6"/>
      <c r="BB38" s="6"/>
      <c r="BC38" s="6"/>
      <c r="BD38" s="6"/>
      <c r="BE38" s="144"/>
      <c r="BF38" s="38"/>
      <c r="BG38" s="26"/>
      <c r="BH38" s="26"/>
      <c r="BI38" s="26"/>
      <c r="BJ38" s="26"/>
      <c r="BK38" s="26"/>
      <c r="BL38" s="26"/>
      <c r="BM38" s="26"/>
      <c r="BN38" s="26"/>
      <c r="BO38" s="26"/>
      <c r="BP38" s="26"/>
      <c r="BQ38" s="26"/>
      <c r="BR38" s="26"/>
      <c r="BS38" s="26"/>
      <c r="BT38" s="26"/>
      <c r="BU38" s="26"/>
      <c r="BV38" s="26"/>
      <c r="BW38" s="26"/>
      <c r="BX38" s="26"/>
      <c r="BY38" s="26"/>
      <c r="BZ38" s="38"/>
      <c r="CA38" s="38"/>
      <c r="CB38" s="26"/>
      <c r="CC38" s="38"/>
      <c r="CD38" s="38"/>
      <c r="CE38" s="26"/>
      <c r="CF38" s="26"/>
      <c r="CG38" s="26"/>
      <c r="CH38" s="26"/>
      <c r="CI38" s="26"/>
      <c r="CJ38" s="26"/>
      <c r="CK38" s="120"/>
      <c r="CL38" s="147"/>
      <c r="CM38" s="38"/>
      <c r="CN38" s="38"/>
      <c r="CO38" s="26"/>
    </row>
    <row r="39" spans="1:93" ht="12.75" customHeight="1" x14ac:dyDescent="0.25">
      <c r="A39" s="29"/>
      <c r="B39" s="39"/>
      <c r="C39" s="26"/>
      <c r="D39" s="26"/>
      <c r="E39" s="146"/>
      <c r="F39" s="415" t="s">
        <v>94</v>
      </c>
      <c r="G39" s="392"/>
      <c r="H39" s="17">
        <f t="shared" si="8"/>
        <v>0</v>
      </c>
      <c r="I39" s="428" t="str">
        <f t="shared" si="9"/>
        <v>No Demand</v>
      </c>
      <c r="J39" s="392"/>
      <c r="K39" s="429" t="s">
        <v>95</v>
      </c>
      <c r="L39" s="392"/>
      <c r="M39" s="148">
        <f>SUM(H20:H39)</f>
        <v>0</v>
      </c>
      <c r="N39" s="26"/>
      <c r="O39" s="69"/>
      <c r="P39" s="29"/>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52"/>
      <c r="AW39" s="6"/>
      <c r="AX39" s="52"/>
      <c r="AY39" s="52"/>
      <c r="AZ39" s="6"/>
      <c r="BA39" s="6"/>
      <c r="BB39" s="6"/>
      <c r="BC39" s="6"/>
      <c r="BD39" s="6"/>
      <c r="BE39" s="6"/>
      <c r="BF39" s="64"/>
      <c r="BG39" s="26"/>
      <c r="BH39" s="26"/>
      <c r="BI39" s="26"/>
      <c r="BJ39" s="26"/>
      <c r="BK39" s="26"/>
      <c r="BL39" s="26"/>
      <c r="BM39" s="26"/>
      <c r="BN39" s="26"/>
      <c r="BO39" s="26"/>
      <c r="BP39" s="26"/>
      <c r="BQ39" s="26"/>
      <c r="BR39" s="26"/>
      <c r="BS39" s="26"/>
      <c r="BT39" s="26"/>
      <c r="BU39" s="26"/>
      <c r="BV39" s="26"/>
      <c r="BW39" s="26"/>
      <c r="BX39" s="26"/>
      <c r="BY39" s="26"/>
      <c r="BZ39" s="38"/>
      <c r="CA39" s="26"/>
      <c r="CB39" s="26"/>
      <c r="CC39" s="38"/>
      <c r="CD39" s="38"/>
      <c r="CE39" s="26"/>
      <c r="CF39" s="26"/>
      <c r="CG39" s="26"/>
      <c r="CH39" s="26"/>
      <c r="CI39" s="26"/>
      <c r="CJ39" s="26"/>
      <c r="CK39" s="26"/>
      <c r="CL39" s="96"/>
      <c r="CM39" s="26"/>
      <c r="CN39" s="26"/>
      <c r="CO39" s="26"/>
    </row>
    <row r="40" spans="1:93" ht="12.75" customHeight="1" x14ac:dyDescent="0.25">
      <c r="A40" s="29"/>
      <c r="B40" s="39"/>
      <c r="C40" s="26"/>
      <c r="D40" s="26"/>
      <c r="E40" s="26"/>
      <c r="F40" s="26"/>
      <c r="G40" s="26"/>
      <c r="H40" s="26"/>
      <c r="I40" s="429" t="str">
        <f>IF(E121," ","4 or more demand @ 75% plus 100% demand loads")</f>
        <v>4 or more demand @ 75% plus 100% demand loads</v>
      </c>
      <c r="J40" s="404"/>
      <c r="K40" s="404"/>
      <c r="L40" s="404"/>
      <c r="M40" s="392"/>
      <c r="N40" s="149">
        <f>IF(E121," ",O555)</f>
        <v>0</v>
      </c>
      <c r="O40" s="69"/>
      <c r="P40" s="29"/>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26"/>
      <c r="BG40" s="26"/>
      <c r="BH40" s="26"/>
      <c r="BI40" s="26"/>
      <c r="BJ40" s="26"/>
      <c r="BK40" s="26"/>
      <c r="BL40" s="26"/>
      <c r="BM40" s="26"/>
      <c r="BN40" s="26"/>
      <c r="BO40" s="26"/>
      <c r="BP40" s="26"/>
      <c r="BQ40" s="26"/>
      <c r="BR40" s="26"/>
      <c r="BS40" s="26"/>
      <c r="BT40" s="26"/>
      <c r="BU40" s="26"/>
      <c r="BV40" s="26"/>
      <c r="BW40" s="26"/>
      <c r="BX40" s="26"/>
      <c r="BY40" s="26"/>
      <c r="BZ40" s="26"/>
      <c r="CA40" s="26"/>
      <c r="CB40" s="26"/>
      <c r="CC40" s="26"/>
      <c r="CD40" s="26"/>
      <c r="CE40" s="26"/>
      <c r="CF40" s="26"/>
      <c r="CG40" s="26"/>
      <c r="CH40" s="26"/>
      <c r="CI40" s="26"/>
      <c r="CJ40" s="26"/>
      <c r="CK40" s="26"/>
      <c r="CL40" s="26"/>
      <c r="CM40" s="26"/>
      <c r="CN40" s="26"/>
      <c r="CO40" s="26"/>
    </row>
    <row r="41" spans="1:93" ht="15" customHeight="1" x14ac:dyDescent="0.25">
      <c r="A41" s="29"/>
      <c r="B41" s="39"/>
      <c r="C41" s="26"/>
      <c r="D41" s="26"/>
      <c r="E41" s="42" t="str">
        <f>IF($E$121,"STEP 4   Article 220.82 (B) (3)","STEP  4   Article 220.54")</f>
        <v>STEP  4   Article 220.54</v>
      </c>
      <c r="F41" s="26"/>
      <c r="G41" s="26"/>
      <c r="H41" s="26"/>
      <c r="I41" s="26" t="s">
        <v>18</v>
      </c>
      <c r="J41" s="26"/>
      <c r="K41" s="26"/>
      <c r="L41" s="26"/>
      <c r="M41" s="26"/>
      <c r="N41" s="26"/>
      <c r="O41" s="69"/>
      <c r="P41" s="29"/>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150"/>
      <c r="AX41" s="52"/>
      <c r="AY41" s="6"/>
      <c r="AZ41" s="6"/>
      <c r="BA41" s="6"/>
      <c r="BB41" s="6"/>
      <c r="BC41" s="6"/>
      <c r="BD41" s="6"/>
      <c r="BE41" s="150"/>
      <c r="BF41" s="26"/>
      <c r="BG41" s="26"/>
      <c r="BH41" s="26"/>
      <c r="BI41" s="26"/>
      <c r="BJ41" s="26"/>
      <c r="BK41" s="26"/>
      <c r="BL41" s="26"/>
      <c r="BM41" s="26"/>
      <c r="BN41" s="26"/>
      <c r="BO41" s="26"/>
      <c r="BP41" s="26"/>
      <c r="BQ41" s="26"/>
      <c r="BR41" s="26"/>
      <c r="BS41" s="26"/>
      <c r="BT41" s="26"/>
      <c r="BU41" s="26"/>
      <c r="BV41" s="26"/>
      <c r="BW41" s="26"/>
      <c r="BX41" s="26"/>
      <c r="BY41" s="26"/>
      <c r="BZ41" s="26"/>
      <c r="CA41" s="26"/>
      <c r="CB41" s="26"/>
      <c r="CC41" s="26"/>
      <c r="CD41" s="79"/>
      <c r="CE41" s="38"/>
      <c r="CF41" s="26"/>
      <c r="CG41" s="26"/>
      <c r="CH41" s="26"/>
      <c r="CI41" s="26"/>
      <c r="CJ41" s="26"/>
      <c r="CK41" s="26"/>
      <c r="CL41" s="26"/>
      <c r="CM41" s="26"/>
      <c r="CN41" s="26"/>
      <c r="CO41" s="26"/>
    </row>
    <row r="42" spans="1:93" ht="12.75" customHeight="1" x14ac:dyDescent="0.25">
      <c r="A42" s="29"/>
      <c r="B42" s="39"/>
      <c r="C42" s="26"/>
      <c r="D42" s="26"/>
      <c r="E42" s="427" t="s">
        <v>96</v>
      </c>
      <c r="F42" s="404"/>
      <c r="G42" s="392"/>
      <c r="H42" s="151"/>
      <c r="I42" s="26"/>
      <c r="J42" s="26"/>
      <c r="K42" s="26"/>
      <c r="L42" s="26"/>
      <c r="M42" s="26"/>
      <c r="N42" s="26"/>
      <c r="O42" s="69"/>
      <c r="P42" s="29"/>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26"/>
      <c r="BG42" s="26"/>
      <c r="BH42" s="26"/>
      <c r="BI42" s="26"/>
      <c r="BJ42" s="26"/>
      <c r="BK42" s="26"/>
      <c r="BL42" s="26"/>
      <c r="BM42" s="26"/>
      <c r="BN42" s="26"/>
      <c r="BO42" s="26"/>
      <c r="BP42" s="26"/>
      <c r="BQ42" s="26"/>
      <c r="BR42" s="26"/>
      <c r="BS42" s="26"/>
      <c r="BT42" s="26"/>
      <c r="BU42" s="26"/>
      <c r="BV42" s="26"/>
      <c r="BW42" s="26"/>
      <c r="BX42" s="26"/>
      <c r="BY42" s="26"/>
      <c r="BZ42" s="26"/>
      <c r="CA42" s="26"/>
      <c r="CB42" s="26"/>
      <c r="CC42" s="26"/>
      <c r="CD42" s="79"/>
      <c r="CE42" s="38"/>
      <c r="CF42" s="26"/>
      <c r="CG42" s="26"/>
      <c r="CH42" s="26"/>
      <c r="CI42" s="26"/>
      <c r="CJ42" s="26"/>
      <c r="CK42" s="26"/>
      <c r="CL42" s="26"/>
      <c r="CM42" s="26"/>
      <c r="CN42" s="26"/>
      <c r="CO42" s="26"/>
    </row>
    <row r="43" spans="1:93" ht="15" customHeight="1" x14ac:dyDescent="0.25">
      <c r="A43" s="29"/>
      <c r="B43" s="39"/>
      <c r="C43" s="26"/>
      <c r="D43" s="26"/>
      <c r="E43" s="42" t="str">
        <f>IF($E$121,"STEP 5   Article 220.82 (B) (3)","STEP  5   Article 220.55")</f>
        <v>STEP  5   Article 220.55</v>
      </c>
      <c r="F43" s="26"/>
      <c r="G43" s="26"/>
      <c r="H43" s="26"/>
      <c r="I43" s="26"/>
      <c r="J43" s="26"/>
      <c r="K43" s="26"/>
      <c r="L43" s="430" t="e">
        <f>IF(N27&gt;400,"Note 1: See Service Riser Diagram"," ")</f>
        <v>#REF!</v>
      </c>
      <c r="M43" s="404"/>
      <c r="N43" s="404"/>
      <c r="O43" s="406"/>
      <c r="P43" s="29"/>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52"/>
      <c r="AY43" s="6"/>
      <c r="AZ43" s="6"/>
      <c r="BA43" s="6"/>
      <c r="BB43" s="6"/>
      <c r="BC43" s="6"/>
      <c r="BD43" s="6"/>
      <c r="BE43" s="6"/>
      <c r="BF43" s="26"/>
      <c r="BG43" s="152"/>
      <c r="BH43" s="26"/>
      <c r="BI43" s="26"/>
      <c r="BJ43" s="26"/>
      <c r="BK43" s="26"/>
      <c r="BL43" s="26"/>
      <c r="BM43" s="26"/>
      <c r="BN43" s="26"/>
      <c r="BO43" s="26"/>
      <c r="BP43" s="26"/>
      <c r="BQ43" s="26"/>
      <c r="BR43" s="26"/>
      <c r="BS43" s="26"/>
      <c r="BT43" s="26"/>
      <c r="BU43" s="26"/>
      <c r="BV43" s="26"/>
      <c r="BW43" s="26"/>
      <c r="BX43" s="26"/>
      <c r="BY43" s="26"/>
      <c r="BZ43" s="26"/>
      <c r="CA43" s="26"/>
      <c r="CB43" s="26"/>
      <c r="CC43" s="26"/>
      <c r="CD43" s="86"/>
      <c r="CE43" s="38"/>
      <c r="CF43" s="26"/>
      <c r="CG43" s="26"/>
      <c r="CH43" s="26"/>
      <c r="CI43" s="26"/>
      <c r="CJ43" s="26"/>
      <c r="CK43" s="26"/>
      <c r="CL43" s="26"/>
      <c r="CM43" s="26"/>
      <c r="CN43" s="26"/>
      <c r="CO43" s="26"/>
    </row>
    <row r="44" spans="1:93" ht="12.75" customHeight="1" x14ac:dyDescent="0.25">
      <c r="A44" s="29"/>
      <c r="B44" s="39"/>
      <c r="C44" s="26"/>
      <c r="D44" s="26"/>
      <c r="E44" s="403" t="s">
        <v>97</v>
      </c>
      <c r="F44" s="392"/>
      <c r="G44" s="153"/>
      <c r="H44" s="412" t="s">
        <v>98</v>
      </c>
      <c r="I44" s="392"/>
      <c r="J44" s="154">
        <f>IF(M464&gt;0,M464,SUM(F425:F465))</f>
        <v>0</v>
      </c>
      <c r="K44" s="26"/>
      <c r="L44" s="431"/>
      <c r="M44" s="404"/>
      <c r="N44" s="404"/>
      <c r="O44" s="406"/>
      <c r="P44" s="29"/>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105"/>
      <c r="AY44" s="52"/>
      <c r="AZ44" s="6"/>
      <c r="BA44" s="6"/>
      <c r="BB44" s="6"/>
      <c r="BC44" s="6"/>
      <c r="BD44" s="6"/>
      <c r="BE44" s="85"/>
      <c r="BF44" s="155"/>
      <c r="BG44" s="152"/>
      <c r="BH44" s="26"/>
      <c r="BI44" s="26"/>
      <c r="BJ44" s="26"/>
      <c r="BK44" s="26"/>
      <c r="BL44" s="26"/>
      <c r="BM44" s="26"/>
      <c r="BN44" s="26"/>
      <c r="BO44" s="26"/>
      <c r="BP44" s="26"/>
      <c r="BQ44" s="26"/>
      <c r="BR44" s="26"/>
      <c r="BS44" s="26"/>
      <c r="BT44" s="26"/>
      <c r="BU44" s="26"/>
      <c r="BV44" s="26"/>
      <c r="BW44" s="26"/>
      <c r="BX44" s="26"/>
      <c r="BY44" s="26"/>
      <c r="BZ44" s="26"/>
      <c r="CA44" s="26"/>
      <c r="CB44" s="26"/>
      <c r="CC44" s="26"/>
      <c r="CD44" s="26"/>
      <c r="CE44" s="38"/>
      <c r="CF44" s="26"/>
      <c r="CG44" s="26"/>
      <c r="CH44" s="26"/>
      <c r="CI44" s="26"/>
      <c r="CJ44" s="26"/>
      <c r="CK44" s="87"/>
      <c r="CL44" s="96"/>
      <c r="CM44" s="26"/>
      <c r="CN44" s="26"/>
      <c r="CO44" s="26"/>
    </row>
    <row r="45" spans="1:93" ht="12.75" customHeight="1" x14ac:dyDescent="0.25">
      <c r="A45" s="29"/>
      <c r="B45" s="39"/>
      <c r="C45" s="412" t="s">
        <v>99</v>
      </c>
      <c r="D45" s="404"/>
      <c r="E45" s="404"/>
      <c r="F45" s="392"/>
      <c r="G45" s="156"/>
      <c r="H45" s="26"/>
      <c r="I45" s="26"/>
      <c r="J45" s="26"/>
      <c r="K45" s="26"/>
      <c r="L45" s="432" t="s">
        <v>100</v>
      </c>
      <c r="M45" s="393"/>
      <c r="N45" s="393"/>
      <c r="O45" s="433"/>
      <c r="P45" s="29"/>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26"/>
      <c r="BG45" s="152"/>
      <c r="BH45" s="26"/>
      <c r="BI45" s="26"/>
      <c r="BJ45" s="26"/>
      <c r="BK45" s="26"/>
      <c r="BL45" s="26"/>
      <c r="BM45" s="26"/>
      <c r="BN45" s="26"/>
      <c r="BO45" s="26"/>
      <c r="BP45" s="26"/>
      <c r="BQ45" s="26"/>
      <c r="BR45" s="26"/>
      <c r="BS45" s="26"/>
      <c r="BT45" s="26"/>
      <c r="BU45" s="26"/>
      <c r="BV45" s="26"/>
      <c r="BW45" s="26"/>
      <c r="BX45" s="26"/>
      <c r="BY45" s="26"/>
      <c r="BZ45" s="26"/>
      <c r="CA45" s="26"/>
      <c r="CB45" s="26"/>
      <c r="CC45" s="26"/>
      <c r="CD45" s="26"/>
      <c r="CE45" s="26"/>
      <c r="CF45" s="26"/>
      <c r="CG45" s="26"/>
      <c r="CH45" s="26"/>
      <c r="CI45" s="26"/>
      <c r="CJ45" s="26"/>
      <c r="CK45" s="26"/>
      <c r="CL45" s="26"/>
      <c r="CM45" s="26"/>
      <c r="CN45" s="26"/>
      <c r="CO45" s="26"/>
    </row>
    <row r="46" spans="1:93" ht="15" customHeight="1" x14ac:dyDescent="0.25">
      <c r="A46" s="29"/>
      <c r="B46" s="39"/>
      <c r="C46" s="26"/>
      <c r="D46" s="26"/>
      <c r="E46" s="26"/>
      <c r="F46" s="26"/>
      <c r="G46" s="26"/>
      <c r="H46" s="26" t="s">
        <v>101</v>
      </c>
      <c r="I46" s="153"/>
      <c r="J46" s="412" t="s">
        <v>102</v>
      </c>
      <c r="K46" s="392"/>
      <c r="L46" s="434"/>
      <c r="M46" s="409"/>
      <c r="N46" s="409"/>
      <c r="O46" s="435"/>
      <c r="P46" s="29"/>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26"/>
      <c r="BG46" s="152"/>
      <c r="BH46" s="26"/>
      <c r="BI46" s="26"/>
      <c r="BJ46" s="26"/>
      <c r="BK46" s="26"/>
      <c r="BL46" s="26"/>
      <c r="BM46" s="26"/>
      <c r="BN46" s="26"/>
      <c r="BO46" s="26"/>
      <c r="BP46" s="26"/>
      <c r="BQ46" s="26"/>
      <c r="BR46" s="26"/>
      <c r="BS46" s="26"/>
      <c r="BT46" s="26"/>
      <c r="BU46" s="26"/>
      <c r="BV46" s="26"/>
      <c r="BW46" s="26"/>
      <c r="BX46" s="26"/>
      <c r="BY46" s="97"/>
      <c r="BZ46" s="26"/>
      <c r="CA46" s="26"/>
      <c r="CB46" s="26"/>
      <c r="CC46" s="26"/>
      <c r="CD46" s="26"/>
      <c r="CE46" s="26"/>
      <c r="CF46" s="26"/>
      <c r="CG46" s="26"/>
      <c r="CH46" s="26"/>
      <c r="CI46" s="26"/>
      <c r="CJ46" s="26"/>
      <c r="CK46" s="26"/>
      <c r="CL46" s="26" t="b">
        <v>0</v>
      </c>
      <c r="CM46" s="26" t="b">
        <v>0</v>
      </c>
      <c r="CN46" s="26" t="b">
        <f>OR(CL46,CM46)</f>
        <v>0</v>
      </c>
      <c r="CO46" s="26"/>
    </row>
    <row r="47" spans="1:93" ht="12.75" customHeight="1" x14ac:dyDescent="0.25">
      <c r="A47" s="29"/>
      <c r="B47" s="39"/>
      <c r="C47" s="26"/>
      <c r="D47" s="26"/>
      <c r="E47" s="26"/>
      <c r="F47" s="26"/>
      <c r="G47" s="26"/>
      <c r="H47" s="26" t="s">
        <v>101</v>
      </c>
      <c r="I47" s="153"/>
      <c r="J47" s="412" t="s">
        <v>102</v>
      </c>
      <c r="K47" s="392"/>
      <c r="L47" s="434"/>
      <c r="M47" s="409"/>
      <c r="N47" s="409"/>
      <c r="O47" s="435"/>
      <c r="P47" s="29"/>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157"/>
      <c r="AW47" s="6"/>
      <c r="AX47" s="157"/>
      <c r="AY47" s="6"/>
      <c r="AZ47" s="6"/>
      <c r="BA47" s="6"/>
      <c r="BB47" s="6"/>
      <c r="BC47" s="6"/>
      <c r="BD47" s="6"/>
      <c r="BE47" s="6"/>
      <c r="BF47" s="96"/>
      <c r="BG47" s="60"/>
      <c r="BH47" s="26"/>
      <c r="BI47" s="26"/>
      <c r="BJ47" s="26"/>
      <c r="BK47" s="26"/>
      <c r="BL47" s="26"/>
      <c r="BM47" s="26"/>
      <c r="BN47" s="26"/>
      <c r="BO47" s="26"/>
      <c r="BP47" s="26"/>
      <c r="BQ47" s="26"/>
      <c r="BR47" s="26"/>
      <c r="BS47" s="26"/>
      <c r="BT47" s="26"/>
      <c r="BU47" s="26"/>
      <c r="BV47" s="26"/>
      <c r="BW47" s="26"/>
      <c r="BX47" s="26"/>
      <c r="BY47" s="70"/>
      <c r="BZ47" s="158"/>
      <c r="CA47" s="100"/>
      <c r="CB47" s="26"/>
      <c r="CC47" s="26"/>
      <c r="CD47" s="26"/>
      <c r="CE47" s="26"/>
      <c r="CF47" s="26"/>
      <c r="CG47" s="26"/>
      <c r="CH47" s="26"/>
      <c r="CI47" s="26"/>
      <c r="CJ47" s="26"/>
      <c r="CK47" s="38"/>
      <c r="CL47" s="96"/>
      <c r="CM47" s="26"/>
      <c r="CN47" s="26"/>
      <c r="CO47" s="26"/>
    </row>
    <row r="48" spans="1:93" ht="15.75" customHeight="1" x14ac:dyDescent="0.25">
      <c r="A48" s="29"/>
      <c r="B48" s="39"/>
      <c r="C48" s="26"/>
      <c r="D48" s="26"/>
      <c r="E48" s="26"/>
      <c r="F48" s="26"/>
      <c r="G48" s="26"/>
      <c r="H48" s="26" t="s">
        <v>103</v>
      </c>
      <c r="I48" s="153"/>
      <c r="J48" s="412" t="s">
        <v>102</v>
      </c>
      <c r="K48" s="392"/>
      <c r="L48" s="434"/>
      <c r="M48" s="409"/>
      <c r="N48" s="409"/>
      <c r="O48" s="435"/>
      <c r="P48" s="29"/>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159"/>
      <c r="AW48" s="5"/>
      <c r="AX48" s="106"/>
      <c r="AY48" s="6"/>
      <c r="AZ48" s="6"/>
      <c r="BA48" s="6"/>
      <c r="BB48" s="6"/>
      <c r="BC48" s="6"/>
      <c r="BD48" s="6"/>
      <c r="BE48" s="6"/>
      <c r="BF48" s="26"/>
      <c r="BG48" s="129"/>
      <c r="BH48" s="129"/>
      <c r="BI48" s="26"/>
      <c r="BJ48" s="26"/>
      <c r="BK48" s="26"/>
      <c r="BL48" s="26"/>
      <c r="BM48" s="26"/>
      <c r="BN48" s="110"/>
      <c r="BO48" s="26"/>
      <c r="BP48" s="26"/>
      <c r="BQ48" s="26"/>
      <c r="BR48" s="26"/>
      <c r="BS48" s="26"/>
      <c r="BT48" s="26"/>
      <c r="BU48" s="26"/>
      <c r="BV48" s="26"/>
      <c r="BW48" s="26"/>
      <c r="BX48" s="26"/>
      <c r="BY48" s="70"/>
      <c r="BZ48" s="158"/>
      <c r="CA48" s="64"/>
      <c r="CB48" s="26"/>
      <c r="CC48" s="26"/>
      <c r="CD48" s="26"/>
      <c r="CE48" s="26"/>
      <c r="CF48" s="26"/>
      <c r="CG48" s="26"/>
      <c r="CH48" s="26"/>
      <c r="CI48" s="26"/>
      <c r="CJ48" s="26"/>
      <c r="CK48" s="26"/>
      <c r="CL48" s="26"/>
      <c r="CM48" s="129"/>
      <c r="CN48" s="129"/>
      <c r="CO48" s="26"/>
    </row>
    <row r="49" spans="1:93" ht="13.5" customHeight="1" x14ac:dyDescent="0.25">
      <c r="A49" s="29"/>
      <c r="B49" s="39"/>
      <c r="C49" s="26"/>
      <c r="D49" s="26"/>
      <c r="E49" s="26"/>
      <c r="F49" s="26"/>
      <c r="G49" s="26"/>
      <c r="H49" s="26" t="s">
        <v>103</v>
      </c>
      <c r="I49" s="153"/>
      <c r="J49" s="412" t="s">
        <v>102</v>
      </c>
      <c r="K49" s="392"/>
      <c r="L49" s="395"/>
      <c r="M49" s="396"/>
      <c r="N49" s="396"/>
      <c r="O49" s="436"/>
      <c r="P49" s="29"/>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5"/>
      <c r="AW49" s="52"/>
      <c r="AX49" s="160"/>
      <c r="AY49" s="6"/>
      <c r="AZ49" s="6"/>
      <c r="BA49" s="6"/>
      <c r="BB49" s="6"/>
      <c r="BC49" s="6"/>
      <c r="BD49" s="6"/>
      <c r="BE49" s="76"/>
      <c r="BF49" s="26"/>
      <c r="BG49" s="26"/>
      <c r="BH49" s="26"/>
      <c r="BI49" s="26"/>
      <c r="BJ49" s="26"/>
      <c r="BK49" s="26"/>
      <c r="BL49" s="26"/>
      <c r="BM49" s="26"/>
      <c r="BN49" s="110"/>
      <c r="BO49" s="26"/>
      <c r="BP49" s="26"/>
      <c r="BQ49" s="26"/>
      <c r="BR49" s="26"/>
      <c r="BS49" s="26"/>
      <c r="BT49" s="26"/>
      <c r="BU49" s="26"/>
      <c r="BV49" s="26"/>
      <c r="BW49" s="26"/>
      <c r="BX49" s="26"/>
      <c r="BY49" s="70"/>
      <c r="BZ49" s="158"/>
      <c r="CA49" s="100"/>
      <c r="CB49" s="26"/>
      <c r="CC49" s="26"/>
      <c r="CD49" s="26"/>
      <c r="CE49" s="26"/>
      <c r="CF49" s="26"/>
      <c r="CG49" s="26"/>
      <c r="CH49" s="26"/>
      <c r="CI49" s="26"/>
      <c r="CJ49" s="26"/>
      <c r="CK49" s="26"/>
      <c r="CL49" s="26"/>
      <c r="CM49" s="26"/>
      <c r="CN49" s="26"/>
      <c r="CO49" s="26"/>
    </row>
    <row r="50" spans="1:93" ht="13.5" customHeight="1" x14ac:dyDescent="0.25">
      <c r="A50" s="29"/>
      <c r="B50" s="39"/>
      <c r="C50" s="26"/>
      <c r="D50" s="26"/>
      <c r="E50" s="26"/>
      <c r="F50" s="26" t="s">
        <v>104</v>
      </c>
      <c r="G50" s="26"/>
      <c r="H50" s="26"/>
      <c r="I50" s="161">
        <f>COUNT(I46:I49)</f>
        <v>0</v>
      </c>
      <c r="J50" s="131" t="s">
        <v>105</v>
      </c>
      <c r="K50" s="162">
        <f>IF(E121," ",N440)</f>
        <v>0</v>
      </c>
      <c r="L50" s="26"/>
      <c r="M50" s="26"/>
      <c r="N50" s="26"/>
      <c r="O50" s="69"/>
      <c r="P50" s="29"/>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5"/>
      <c r="AW50" s="52"/>
      <c r="AX50" s="160"/>
      <c r="AY50" s="6"/>
      <c r="AZ50" s="6"/>
      <c r="BA50" s="6"/>
      <c r="BB50" s="6"/>
      <c r="BC50" s="6"/>
      <c r="BD50" s="6"/>
      <c r="BE50" s="76"/>
      <c r="BF50" s="26"/>
      <c r="BG50" s="26"/>
      <c r="BH50" s="26"/>
      <c r="BI50" s="26"/>
      <c r="BJ50" s="26"/>
      <c r="BK50" s="26"/>
      <c r="BL50" s="26"/>
      <c r="BM50" s="114"/>
      <c r="BN50" s="26"/>
      <c r="BO50" s="116"/>
      <c r="BP50" s="110"/>
      <c r="BQ50" s="110"/>
      <c r="BR50" s="26"/>
      <c r="BS50" s="26"/>
      <c r="BT50" s="26"/>
      <c r="BU50" s="26"/>
      <c r="BV50" s="26"/>
      <c r="BW50" s="26"/>
      <c r="BX50" s="26"/>
      <c r="BY50" s="26"/>
      <c r="BZ50" s="26"/>
      <c r="CA50" s="26"/>
      <c r="CB50" s="26"/>
      <c r="CC50" s="26"/>
      <c r="CD50" s="26"/>
      <c r="CE50" s="26"/>
      <c r="CF50" s="26"/>
      <c r="CG50" s="26"/>
      <c r="CH50" s="26"/>
      <c r="CI50" s="26"/>
      <c r="CJ50" s="26"/>
      <c r="CK50" s="26"/>
      <c r="CL50" s="26"/>
      <c r="CM50" s="26"/>
      <c r="CN50" s="26"/>
      <c r="CO50" s="26"/>
    </row>
    <row r="51" spans="1:93" ht="12.75" customHeight="1" x14ac:dyDescent="0.25">
      <c r="A51" s="29"/>
      <c r="B51" s="39"/>
      <c r="C51" s="26"/>
      <c r="D51" s="26"/>
      <c r="E51" s="26"/>
      <c r="F51" s="26"/>
      <c r="G51" s="26"/>
      <c r="H51" s="26" t="s">
        <v>106</v>
      </c>
      <c r="I51" s="163"/>
      <c r="J51" s="26"/>
      <c r="K51" s="164">
        <f>IF(E121," ",SUM(I46:I49)*N440)</f>
        <v>0</v>
      </c>
      <c r="L51" s="26"/>
      <c r="M51" s="26"/>
      <c r="N51" s="26"/>
      <c r="O51" s="69"/>
      <c r="P51" s="29"/>
      <c r="Q51" s="6"/>
      <c r="R51" s="6"/>
      <c r="S51" s="6"/>
      <c r="T51" s="6"/>
      <c r="U51" s="6"/>
      <c r="V51" s="6"/>
      <c r="W51" s="6"/>
      <c r="X51" s="6"/>
      <c r="Y51" s="6"/>
      <c r="Z51" s="6"/>
      <c r="AA51" s="6"/>
      <c r="AB51" s="6"/>
      <c r="AC51" s="6"/>
      <c r="AD51" s="6"/>
      <c r="AE51" s="6"/>
      <c r="AF51" s="6"/>
      <c r="AG51" s="128"/>
      <c r="AH51" s="6"/>
      <c r="AI51" s="6"/>
      <c r="AJ51" s="6"/>
      <c r="AK51" s="6"/>
      <c r="AL51" s="6"/>
      <c r="AM51" s="6"/>
      <c r="AN51" s="6"/>
      <c r="AO51" s="6"/>
      <c r="AP51" s="6"/>
      <c r="AQ51" s="6"/>
      <c r="AR51" s="6"/>
      <c r="AS51" s="6"/>
      <c r="AT51" s="6"/>
      <c r="AU51" s="6"/>
      <c r="AV51" s="6"/>
      <c r="AW51" s="6"/>
      <c r="AX51" s="6"/>
      <c r="AY51" s="6"/>
      <c r="AZ51" s="6"/>
      <c r="BA51" s="6"/>
      <c r="BB51" s="6"/>
      <c r="BC51" s="6"/>
      <c r="BD51" s="6"/>
      <c r="BE51" s="76"/>
      <c r="BF51" s="26"/>
      <c r="BG51" s="26"/>
      <c r="BH51" s="26"/>
      <c r="BI51" s="26"/>
      <c r="BJ51" s="26"/>
      <c r="BK51" s="26"/>
      <c r="BL51" s="26"/>
      <c r="BM51" s="114"/>
      <c r="BN51" s="26"/>
      <c r="BO51" s="165"/>
      <c r="BP51" s="110"/>
      <c r="BQ51" s="110"/>
      <c r="BR51" s="26"/>
      <c r="BS51" s="26"/>
      <c r="BT51" s="26"/>
      <c r="BU51" s="26"/>
      <c r="BV51" s="26"/>
      <c r="BW51" s="26"/>
      <c r="BX51" s="26"/>
      <c r="BY51" s="26"/>
      <c r="BZ51" s="26"/>
      <c r="CA51" s="26"/>
      <c r="CB51" s="26"/>
      <c r="CC51" s="38"/>
      <c r="CD51" s="26"/>
      <c r="CE51" s="26"/>
      <c r="CF51" s="26"/>
      <c r="CG51" s="26"/>
      <c r="CH51" s="26"/>
      <c r="CI51" s="26"/>
      <c r="CJ51" s="26"/>
      <c r="CK51" s="26"/>
      <c r="CL51" s="26"/>
      <c r="CM51" s="26"/>
      <c r="CN51" s="26"/>
      <c r="CO51" s="26"/>
    </row>
    <row r="52" spans="1:93" ht="13.5" customHeight="1" x14ac:dyDescent="0.25">
      <c r="A52" s="29"/>
      <c r="B52" s="166"/>
      <c r="C52" s="167"/>
      <c r="D52" s="167"/>
      <c r="E52" s="167"/>
      <c r="F52" s="167"/>
      <c r="G52" s="167"/>
      <c r="H52" s="167"/>
      <c r="I52" s="167"/>
      <c r="J52" s="167"/>
      <c r="K52" s="167"/>
      <c r="L52" s="167"/>
      <c r="M52" s="167"/>
      <c r="N52" s="437" t="s">
        <v>107</v>
      </c>
      <c r="O52" s="438"/>
      <c r="P52" s="29"/>
      <c r="Q52" s="6"/>
      <c r="R52" s="6"/>
      <c r="S52" s="6"/>
      <c r="T52" s="6"/>
      <c r="U52" s="6"/>
      <c r="V52" s="6"/>
      <c r="W52" s="6"/>
      <c r="X52" s="6"/>
      <c r="Y52" s="6"/>
      <c r="Z52" s="6"/>
      <c r="AA52" s="6"/>
      <c r="AB52" s="6"/>
      <c r="AC52" s="6"/>
      <c r="AD52" s="6"/>
      <c r="AE52" s="6"/>
      <c r="AF52" s="6"/>
      <c r="AG52" s="128"/>
      <c r="AH52" s="6"/>
      <c r="AI52" s="6"/>
      <c r="AJ52" s="6"/>
      <c r="AK52" s="6"/>
      <c r="AL52" s="6"/>
      <c r="AM52" s="6"/>
      <c r="AN52" s="6"/>
      <c r="AO52" s="6"/>
      <c r="AP52" s="6"/>
      <c r="AQ52" s="6"/>
      <c r="AR52" s="6"/>
      <c r="AS52" s="6"/>
      <c r="AT52" s="6"/>
      <c r="AU52" s="6"/>
      <c r="AV52" s="168"/>
      <c r="AW52" s="6"/>
      <c r="AX52" s="168"/>
      <c r="AY52" s="6"/>
      <c r="AZ52" s="6"/>
      <c r="BA52" s="6"/>
      <c r="BB52" s="6"/>
      <c r="BC52" s="6"/>
      <c r="BD52" s="6"/>
      <c r="BE52" s="76"/>
      <c r="BF52" s="26"/>
      <c r="BG52" s="26"/>
      <c r="BH52" s="26"/>
      <c r="BI52" s="26"/>
      <c r="BJ52" s="26"/>
      <c r="BK52" s="26"/>
      <c r="BL52" s="26"/>
      <c r="BM52" s="26"/>
      <c r="BN52" s="26"/>
      <c r="BO52" s="165"/>
      <c r="BP52" s="110"/>
      <c r="BQ52" s="110"/>
      <c r="BR52" s="26"/>
      <c r="BS52" s="26"/>
      <c r="BT52" s="26"/>
      <c r="BU52" s="26"/>
      <c r="BV52" s="26"/>
      <c r="BW52" s="26"/>
      <c r="BX52" s="26"/>
      <c r="BY52" s="26"/>
      <c r="BZ52" s="26"/>
      <c r="CA52" s="26"/>
      <c r="CB52" s="26"/>
      <c r="CC52" s="98"/>
      <c r="CD52" s="38"/>
      <c r="CE52" s="26"/>
      <c r="CF52" s="26"/>
      <c r="CG52" s="26"/>
      <c r="CH52" s="26"/>
      <c r="CI52" s="26"/>
      <c r="CJ52" s="26"/>
      <c r="CK52" s="26"/>
      <c r="CL52" s="26"/>
      <c r="CM52" s="26"/>
      <c r="CN52" s="26"/>
      <c r="CO52" s="26"/>
    </row>
    <row r="53" spans="1:93" ht="13.5" customHeight="1" x14ac:dyDescent="0.25">
      <c r="A53" s="29"/>
      <c r="B53" s="29"/>
      <c r="C53" s="439" t="s">
        <v>108</v>
      </c>
      <c r="D53" s="404"/>
      <c r="E53" s="404"/>
      <c r="F53" s="404"/>
      <c r="G53" s="404"/>
      <c r="H53" s="404"/>
      <c r="I53" s="404"/>
      <c r="J53" s="404"/>
      <c r="K53" s="404"/>
      <c r="L53" s="404"/>
      <c r="M53" s="404"/>
      <c r="N53" s="404"/>
      <c r="O53" s="392"/>
      <c r="P53" s="29"/>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108"/>
      <c r="AW53" s="5"/>
      <c r="AX53" s="106"/>
      <c r="AY53" s="6"/>
      <c r="AZ53" s="6"/>
      <c r="BA53" s="6"/>
      <c r="BB53" s="6"/>
      <c r="BC53" s="6"/>
      <c r="BD53" s="6"/>
      <c r="BE53" s="76"/>
      <c r="BF53" s="26"/>
      <c r="BG53" s="26"/>
      <c r="BH53" s="26"/>
      <c r="BI53" s="26"/>
      <c r="BJ53" s="26"/>
      <c r="BK53" s="26"/>
      <c r="BL53" s="26"/>
      <c r="BM53" s="26"/>
      <c r="BN53" s="26"/>
      <c r="BO53" s="143"/>
      <c r="BP53" s="26"/>
      <c r="BQ53" s="169"/>
      <c r="BR53" s="26"/>
      <c r="BS53" s="26"/>
      <c r="BT53" s="26"/>
      <c r="BU53" s="26"/>
      <c r="BV53" s="26"/>
      <c r="BW53" s="26"/>
      <c r="BX53" s="26"/>
      <c r="BY53" s="170"/>
      <c r="BZ53" s="26"/>
      <c r="CA53" s="171"/>
      <c r="CB53" s="26"/>
      <c r="CC53" s="26"/>
      <c r="CD53" s="26"/>
      <c r="CE53" s="26"/>
      <c r="CF53" s="26"/>
      <c r="CG53" s="26"/>
      <c r="CH53" s="26"/>
      <c r="CI53" s="26"/>
      <c r="CJ53" s="26"/>
      <c r="CK53" s="26"/>
      <c r="CL53" s="26"/>
      <c r="CM53" s="26"/>
      <c r="CN53" s="26"/>
      <c r="CO53" s="26"/>
    </row>
    <row r="54" spans="1:93" ht="13.5" customHeight="1" x14ac:dyDescent="0.25">
      <c r="A54" s="29"/>
      <c r="B54" s="33"/>
      <c r="C54" s="34"/>
      <c r="D54" s="34"/>
      <c r="E54" s="34"/>
      <c r="F54" s="34"/>
      <c r="G54" s="34"/>
      <c r="H54" s="34"/>
      <c r="I54" s="34"/>
      <c r="J54" s="34"/>
      <c r="K54" s="34"/>
      <c r="L54" s="34"/>
      <c r="M54" s="34"/>
      <c r="N54" s="34"/>
      <c r="O54" s="172"/>
      <c r="P54" s="29"/>
      <c r="Q54" s="6"/>
      <c r="R54" s="6"/>
      <c r="S54" s="6"/>
      <c r="T54" s="6"/>
      <c r="U54" s="6"/>
      <c r="V54" s="6"/>
      <c r="W54" s="6"/>
      <c r="X54" s="6"/>
      <c r="Y54" s="6"/>
      <c r="Z54" s="6"/>
      <c r="AA54" s="6"/>
      <c r="AB54" s="6"/>
      <c r="AC54" s="6"/>
      <c r="AD54" s="6"/>
      <c r="AE54" s="6"/>
      <c r="AF54" s="6"/>
      <c r="AG54" s="6"/>
      <c r="AH54" s="6"/>
      <c r="AI54" s="6"/>
      <c r="AJ54" s="173"/>
      <c r="AK54" s="128"/>
      <c r="AL54" s="128"/>
      <c r="AM54" s="174"/>
      <c r="AN54" s="174"/>
      <c r="AO54" s="174"/>
      <c r="AP54" s="6"/>
      <c r="AQ54" s="6"/>
      <c r="AR54" s="6"/>
      <c r="AS54" s="6"/>
      <c r="AT54" s="6"/>
      <c r="AU54" s="141"/>
      <c r="AV54" s="5"/>
      <c r="AW54" s="52"/>
      <c r="AX54" s="160"/>
      <c r="AY54" s="6"/>
      <c r="AZ54" s="6"/>
      <c r="BA54" s="6"/>
      <c r="BB54" s="6"/>
      <c r="BC54" s="6"/>
      <c r="BD54" s="6"/>
      <c r="BE54" s="76"/>
      <c r="BF54" s="26"/>
      <c r="BG54" s="26"/>
      <c r="BH54" s="26"/>
      <c r="BI54" s="26"/>
      <c r="BJ54" s="26"/>
      <c r="BK54" s="26"/>
      <c r="BL54" s="26"/>
      <c r="BM54" s="26"/>
      <c r="BN54" s="26"/>
      <c r="BO54" s="175"/>
      <c r="BP54" s="38"/>
      <c r="BQ54" s="100"/>
      <c r="BR54" s="26"/>
      <c r="BS54" s="26"/>
      <c r="BT54" s="26"/>
      <c r="BU54" s="26"/>
      <c r="BV54" s="26"/>
      <c r="BW54" s="26"/>
      <c r="BX54" s="26"/>
      <c r="BY54" s="175"/>
      <c r="BZ54" s="38"/>
      <c r="CA54" s="100"/>
      <c r="CB54" s="26"/>
      <c r="CC54" s="26"/>
      <c r="CD54" s="26"/>
      <c r="CE54" s="26"/>
      <c r="CF54" s="26"/>
      <c r="CG54" s="26"/>
      <c r="CH54" s="26"/>
      <c r="CI54" s="26"/>
      <c r="CJ54" s="26"/>
      <c r="CK54" s="26"/>
      <c r="CL54" s="26"/>
      <c r="CM54" s="26"/>
      <c r="CN54" s="26"/>
      <c r="CO54" s="26"/>
    </row>
    <row r="55" spans="1:93" ht="12.75" customHeight="1" x14ac:dyDescent="0.25">
      <c r="A55" s="29"/>
      <c r="B55" s="39"/>
      <c r="C55" s="26"/>
      <c r="D55" s="26"/>
      <c r="E55" s="176" t="s">
        <v>109</v>
      </c>
      <c r="F55" s="177"/>
      <c r="G55" s="177"/>
      <c r="H55" s="178" t="s">
        <v>110</v>
      </c>
      <c r="I55" s="179" t="s">
        <v>111</v>
      </c>
      <c r="J55" s="180" t="s">
        <v>112</v>
      </c>
      <c r="K55" s="181" t="s">
        <v>113</v>
      </c>
      <c r="L55" s="26" t="s">
        <v>114</v>
      </c>
      <c r="M55" s="26" t="s">
        <v>115</v>
      </c>
      <c r="N55" s="26"/>
      <c r="O55" s="69"/>
      <c r="P55" s="29"/>
      <c r="Q55" s="6"/>
      <c r="R55" s="6"/>
      <c r="S55" s="6"/>
      <c r="T55" s="6"/>
      <c r="U55" s="6"/>
      <c r="V55" s="6"/>
      <c r="W55" s="6"/>
      <c r="X55" s="6"/>
      <c r="Y55" s="6"/>
      <c r="Z55" s="6"/>
      <c r="AA55" s="6"/>
      <c r="AB55" s="6"/>
      <c r="AC55" s="6"/>
      <c r="AD55" s="6"/>
      <c r="AE55" s="6"/>
      <c r="AF55" s="6"/>
      <c r="AG55" s="6"/>
      <c r="AH55" s="6"/>
      <c r="AI55" s="6"/>
      <c r="AJ55" s="182"/>
      <c r="AK55" s="128"/>
      <c r="AL55" s="128"/>
      <c r="AM55" s="174"/>
      <c r="AN55" s="174"/>
      <c r="AO55" s="174"/>
      <c r="AP55" s="6"/>
      <c r="AQ55" s="6"/>
      <c r="AR55" s="6"/>
      <c r="AS55" s="6"/>
      <c r="AT55" s="6"/>
      <c r="AU55" s="6"/>
      <c r="AV55" s="5"/>
      <c r="AW55" s="52"/>
      <c r="AX55" s="160"/>
      <c r="AY55" s="6"/>
      <c r="AZ55" s="6"/>
      <c r="BA55" s="6"/>
      <c r="BB55" s="6"/>
      <c r="BC55" s="6"/>
      <c r="BD55" s="6"/>
      <c r="BE55" s="76"/>
      <c r="BF55" s="26"/>
      <c r="BG55" s="26"/>
      <c r="BH55" s="26"/>
      <c r="BI55" s="26"/>
      <c r="BJ55" s="26"/>
      <c r="BK55" s="26"/>
      <c r="BL55" s="26"/>
      <c r="BM55" s="26"/>
      <c r="BN55" s="26"/>
      <c r="BO55" s="41"/>
      <c r="BP55" s="38"/>
      <c r="BQ55" s="64"/>
      <c r="BR55" s="26"/>
      <c r="BS55" s="26"/>
      <c r="BT55" s="26"/>
      <c r="BU55" s="26"/>
      <c r="BV55" s="26"/>
      <c r="BW55" s="26"/>
      <c r="BX55" s="26"/>
      <c r="BY55" s="41"/>
      <c r="BZ55" s="38"/>
      <c r="CA55" s="64"/>
      <c r="CB55" s="26"/>
      <c r="CC55" s="26"/>
      <c r="CD55" s="26"/>
      <c r="CE55" s="26"/>
      <c r="CF55" s="26"/>
      <c r="CG55" s="26"/>
      <c r="CH55" s="26"/>
      <c r="CI55" s="26"/>
      <c r="CJ55" s="26"/>
      <c r="CK55" s="26"/>
      <c r="CL55" s="26"/>
      <c r="CM55" s="26"/>
      <c r="CN55" s="26"/>
      <c r="CO55" s="26"/>
    </row>
    <row r="56" spans="1:93" ht="12.75" customHeight="1" x14ac:dyDescent="0.25">
      <c r="A56" s="29"/>
      <c r="B56" s="39"/>
      <c r="C56" s="26"/>
      <c r="D56" s="26"/>
      <c r="E56" s="440" t="s">
        <v>116</v>
      </c>
      <c r="F56" s="392"/>
      <c r="G56" s="183">
        <f>I593</f>
        <v>0</v>
      </c>
      <c r="H56" s="31" t="s">
        <v>117</v>
      </c>
      <c r="I56" s="184">
        <f t="shared" ref="I56:J56" si="10">AB573</f>
        <v>0</v>
      </c>
      <c r="J56" s="185">
        <f t="shared" si="10"/>
        <v>0</v>
      </c>
      <c r="K56" s="186">
        <f>V590*1.25</f>
        <v>0</v>
      </c>
      <c r="L56" s="26" t="s">
        <v>118</v>
      </c>
      <c r="M56" s="26"/>
      <c r="N56" s="26" t="s">
        <v>119</v>
      </c>
      <c r="O56" s="69"/>
      <c r="P56" s="29"/>
      <c r="Q56" s="6"/>
      <c r="R56" s="6"/>
      <c r="S56" s="6"/>
      <c r="T56" s="6"/>
      <c r="U56" s="6"/>
      <c r="V56" s="6"/>
      <c r="W56" s="6"/>
      <c r="X56" s="6"/>
      <c r="Y56" s="6"/>
      <c r="Z56" s="6"/>
      <c r="AA56" s="6"/>
      <c r="AB56" s="6"/>
      <c r="AC56" s="6"/>
      <c r="AD56" s="6"/>
      <c r="AE56" s="6"/>
      <c r="AF56" s="52"/>
      <c r="AG56" s="52"/>
      <c r="AH56" s="52"/>
      <c r="AI56" s="52"/>
      <c r="AJ56" s="182"/>
      <c r="AK56" s="128"/>
      <c r="AL56" s="128"/>
      <c r="AM56" s="128"/>
      <c r="AN56" s="174"/>
      <c r="AO56" s="174"/>
      <c r="AP56" s="6"/>
      <c r="AQ56" s="6"/>
      <c r="AR56" s="6"/>
      <c r="AS56" s="6"/>
      <c r="AT56" s="6"/>
      <c r="AU56" s="6"/>
      <c r="AV56" s="6"/>
      <c r="AW56" s="52"/>
      <c r="AX56" s="6"/>
      <c r="AY56" s="6"/>
      <c r="AZ56" s="6"/>
      <c r="BA56" s="6"/>
      <c r="BB56" s="6"/>
      <c r="BC56" s="6"/>
      <c r="BD56" s="6"/>
      <c r="BE56" s="187"/>
      <c r="BF56" s="26"/>
      <c r="BG56" s="26"/>
      <c r="BH56" s="26"/>
      <c r="BI56" s="26"/>
      <c r="BJ56" s="26"/>
      <c r="BK56" s="26"/>
      <c r="BL56" s="26"/>
      <c r="BM56" s="26"/>
      <c r="BN56" s="26"/>
      <c r="BO56" s="41"/>
      <c r="BP56" s="38"/>
      <c r="BQ56" s="64"/>
      <c r="BR56" s="26"/>
      <c r="BS56" s="26"/>
      <c r="BT56" s="26"/>
      <c r="BU56" s="26"/>
      <c r="BV56" s="26"/>
      <c r="BW56" s="26"/>
      <c r="BX56" s="26"/>
      <c r="BY56" s="41"/>
      <c r="BZ56" s="38"/>
      <c r="CA56" s="64"/>
      <c r="CB56" s="26"/>
      <c r="CC56" s="26"/>
      <c r="CD56" s="26"/>
      <c r="CE56" s="26"/>
      <c r="CF56" s="26"/>
      <c r="CG56" s="26"/>
      <c r="CH56" s="26"/>
      <c r="CI56" s="26"/>
      <c r="CJ56" s="26"/>
      <c r="CK56" s="188"/>
      <c r="CL56" s="26"/>
      <c r="CM56" s="26"/>
      <c r="CN56" s="26"/>
      <c r="CO56" s="26"/>
    </row>
    <row r="57" spans="1:93" ht="15.75" customHeight="1" x14ac:dyDescent="0.25">
      <c r="A57" s="29"/>
      <c r="B57" s="39"/>
      <c r="C57" s="26"/>
      <c r="D57" s="26"/>
      <c r="E57" s="440" t="s">
        <v>120</v>
      </c>
      <c r="F57" s="392"/>
      <c r="G57" s="189">
        <f>K593</f>
        <v>0</v>
      </c>
      <c r="H57" s="31" t="s">
        <v>117</v>
      </c>
      <c r="I57" s="184">
        <f t="shared" ref="I57:J57" si="11">V580</f>
        <v>0</v>
      </c>
      <c r="J57" s="185">
        <f t="shared" si="11"/>
        <v>0</v>
      </c>
      <c r="K57" s="190">
        <f>V594*1.25</f>
        <v>0</v>
      </c>
      <c r="L57" s="26"/>
      <c r="M57" s="191" t="str">
        <f t="shared" ref="M57:M61" si="12">IF(R147,"       120v","       240v")</f>
        <v xml:space="preserve">       240v</v>
      </c>
      <c r="N57" s="26"/>
      <c r="O57" s="192" t="str">
        <f t="shared" ref="O57:O61" si="13">IF(R152,"       120v","       240v")</f>
        <v xml:space="preserve">       240v</v>
      </c>
      <c r="P57" s="29"/>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26"/>
      <c r="BG57" s="26"/>
      <c r="BH57" s="26"/>
      <c r="BI57" s="26"/>
      <c r="BJ57" s="26"/>
      <c r="BK57" s="26"/>
      <c r="BL57" s="26"/>
      <c r="BM57" s="26"/>
      <c r="BN57" s="26"/>
      <c r="BO57" s="26"/>
      <c r="BP57" s="26"/>
      <c r="BQ57" s="26"/>
      <c r="BR57" s="26"/>
      <c r="BS57" s="26"/>
      <c r="BT57" s="26"/>
      <c r="BU57" s="26"/>
      <c r="BV57" s="26"/>
      <c r="BW57" s="26"/>
      <c r="BX57" s="26"/>
      <c r="BY57" s="26"/>
      <c r="BZ57" s="26"/>
      <c r="CA57" s="26"/>
      <c r="CB57" s="26"/>
      <c r="CC57" s="26"/>
      <c r="CD57" s="26"/>
      <c r="CE57" s="26"/>
      <c r="CF57" s="26"/>
      <c r="CG57" s="26"/>
      <c r="CH57" s="26"/>
      <c r="CI57" s="131"/>
      <c r="CJ57" s="26"/>
      <c r="CK57" s="26"/>
      <c r="CL57" s="26"/>
      <c r="CM57" s="26"/>
      <c r="CN57" s="26"/>
      <c r="CO57" s="26"/>
    </row>
    <row r="58" spans="1:93" ht="15.75" customHeight="1" x14ac:dyDescent="0.25">
      <c r="A58" s="29"/>
      <c r="B58" s="39"/>
      <c r="C58" s="26"/>
      <c r="D58" s="26"/>
      <c r="E58" s="440" t="s">
        <v>121</v>
      </c>
      <c r="F58" s="392"/>
      <c r="G58" s="193"/>
      <c r="H58" s="31" t="s">
        <v>117</v>
      </c>
      <c r="I58" s="184">
        <f>AE400</f>
        <v>0</v>
      </c>
      <c r="J58" s="184">
        <f>AH400</f>
        <v>0</v>
      </c>
      <c r="K58" s="190"/>
      <c r="L58" s="26"/>
      <c r="M58" s="191" t="str">
        <f t="shared" si="12"/>
        <v xml:space="preserve">       240v</v>
      </c>
      <c r="N58" s="26"/>
      <c r="O58" s="192" t="str">
        <f t="shared" si="13"/>
        <v xml:space="preserve">       240v</v>
      </c>
      <c r="P58" s="29"/>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26"/>
      <c r="BG58" s="26"/>
      <c r="BH58" s="26"/>
      <c r="BI58" s="26"/>
      <c r="BJ58" s="26"/>
      <c r="BK58" s="26"/>
      <c r="BL58" s="26"/>
      <c r="BM58" s="26"/>
      <c r="BN58" s="26"/>
      <c r="BO58" s="26"/>
      <c r="BP58" s="26"/>
      <c r="BQ58" s="26"/>
      <c r="BR58" s="26"/>
      <c r="BS58" s="26"/>
      <c r="BT58" s="26"/>
      <c r="BU58" s="26"/>
      <c r="BV58" s="26"/>
      <c r="BW58" s="26"/>
      <c r="BX58" s="26"/>
      <c r="BY58" s="26"/>
      <c r="BZ58" s="26"/>
      <c r="CA58" s="26"/>
      <c r="CB58" s="26"/>
      <c r="CC58" s="26"/>
      <c r="CD58" s="26"/>
      <c r="CE58" s="26"/>
      <c r="CF58" s="26"/>
      <c r="CG58" s="26"/>
      <c r="CH58" s="26"/>
      <c r="CI58" s="26"/>
      <c r="CJ58" s="26"/>
      <c r="CK58" s="26"/>
      <c r="CL58" s="26"/>
      <c r="CM58" s="26"/>
      <c r="CN58" s="26"/>
      <c r="CO58" s="26"/>
    </row>
    <row r="59" spans="1:93" ht="15.75" customHeight="1" x14ac:dyDescent="0.25">
      <c r="A59" s="29"/>
      <c r="B59" s="39"/>
      <c r="C59" s="26"/>
      <c r="D59" s="26"/>
      <c r="E59" s="440" t="s">
        <v>122</v>
      </c>
      <c r="F59" s="392"/>
      <c r="G59" s="193"/>
      <c r="H59" s="31" t="s">
        <v>117</v>
      </c>
      <c r="I59" s="184">
        <f>IF(G59=0,0,AE406)</f>
        <v>0</v>
      </c>
      <c r="J59" s="184">
        <f>IF(G59=0,0,AH406)</f>
        <v>0</v>
      </c>
      <c r="K59" s="190"/>
      <c r="L59" s="26"/>
      <c r="M59" s="191" t="str">
        <f t="shared" si="12"/>
        <v xml:space="preserve">       240v</v>
      </c>
      <c r="N59" s="26"/>
      <c r="O59" s="192" t="str">
        <f t="shared" si="13"/>
        <v xml:space="preserve">       240v</v>
      </c>
      <c r="P59" s="29"/>
      <c r="Q59" s="6"/>
      <c r="R59" s="6"/>
      <c r="S59" s="6"/>
      <c r="T59" s="6"/>
      <c r="U59" s="6"/>
      <c r="V59" s="6"/>
      <c r="W59" s="6"/>
      <c r="X59" s="6"/>
      <c r="Y59" s="6"/>
      <c r="Z59" s="6"/>
      <c r="AA59" s="6"/>
      <c r="AB59" s="6"/>
      <c r="AC59" s="6"/>
      <c r="AD59" s="6"/>
      <c r="AE59" s="6"/>
      <c r="AF59" s="194"/>
      <c r="AG59" s="194"/>
      <c r="AH59" s="194"/>
      <c r="AI59" s="194"/>
      <c r="AJ59" s="194"/>
      <c r="AK59" s="194"/>
      <c r="AL59" s="194"/>
      <c r="AM59" s="194"/>
      <c r="AN59" s="6"/>
      <c r="AO59" s="6"/>
      <c r="AP59" s="6"/>
      <c r="AQ59" s="6"/>
      <c r="AR59" s="6"/>
      <c r="AS59" s="6"/>
      <c r="AT59" s="6"/>
      <c r="AU59" s="6"/>
      <c r="AV59" s="6"/>
      <c r="AW59" s="6"/>
      <c r="AX59" s="6"/>
      <c r="AY59" s="6"/>
      <c r="AZ59" s="6"/>
      <c r="BA59" s="6"/>
      <c r="BB59" s="6"/>
      <c r="BC59" s="6"/>
      <c r="BD59" s="6"/>
      <c r="BE59" s="6"/>
      <c r="BF59" s="26"/>
      <c r="BG59" s="26"/>
      <c r="BH59" s="26"/>
      <c r="BI59" s="26"/>
      <c r="BJ59" s="26"/>
      <c r="BK59" s="26"/>
      <c r="BL59" s="26"/>
      <c r="BM59" s="26"/>
      <c r="BN59" s="26"/>
      <c r="BO59" s="26"/>
      <c r="BP59" s="26"/>
      <c r="BQ59" s="26"/>
      <c r="BR59" s="26"/>
      <c r="BS59" s="26"/>
      <c r="BT59" s="26"/>
      <c r="BU59" s="26"/>
      <c r="BV59" s="26"/>
      <c r="BW59" s="26"/>
      <c r="BX59" s="26"/>
      <c r="BY59" s="26"/>
      <c r="BZ59" s="26"/>
      <c r="CA59" s="26"/>
      <c r="CB59" s="26"/>
      <c r="CC59" s="26"/>
      <c r="CD59" s="26"/>
      <c r="CE59" s="26"/>
      <c r="CF59" s="26"/>
      <c r="CG59" s="26"/>
      <c r="CH59" s="26"/>
      <c r="CI59" s="26"/>
      <c r="CJ59" s="26"/>
      <c r="CK59" s="26"/>
      <c r="CL59" s="26"/>
      <c r="CM59" s="26"/>
      <c r="CN59" s="26"/>
      <c r="CO59" s="26"/>
    </row>
    <row r="60" spans="1:93" ht="15.75" customHeight="1" x14ac:dyDescent="0.25">
      <c r="A60" s="29"/>
      <c r="B60" s="39"/>
      <c r="C60" s="26"/>
      <c r="D60" s="26"/>
      <c r="E60" s="440" t="s">
        <v>123</v>
      </c>
      <c r="F60" s="444"/>
      <c r="G60" s="193"/>
      <c r="H60" s="31" t="s">
        <v>117</v>
      </c>
      <c r="I60" s="184">
        <f>AE402</f>
        <v>0</v>
      </c>
      <c r="J60" s="184">
        <f>AH402</f>
        <v>0</v>
      </c>
      <c r="K60" s="190"/>
      <c r="L60" s="26"/>
      <c r="M60" s="191" t="str">
        <f t="shared" si="12"/>
        <v xml:space="preserve">       240v</v>
      </c>
      <c r="N60" s="26"/>
      <c r="O60" s="192" t="str">
        <f t="shared" si="13"/>
        <v xml:space="preserve">       240v</v>
      </c>
      <c r="P60" s="29"/>
      <c r="Q60" s="6"/>
      <c r="R60" s="6"/>
      <c r="S60" s="6"/>
      <c r="T60" s="6"/>
      <c r="U60" s="6"/>
      <c r="V60" s="6"/>
      <c r="W60" s="6"/>
      <c r="X60" s="6"/>
      <c r="Y60" s="6"/>
      <c r="Z60" s="6"/>
      <c r="AA60" s="6"/>
      <c r="AB60" s="6"/>
      <c r="AC60" s="6"/>
      <c r="AD60" s="6"/>
      <c r="AE60" s="6"/>
      <c r="AF60" s="6"/>
      <c r="AG60" s="133"/>
      <c r="AH60" s="6"/>
      <c r="AI60" s="6"/>
      <c r="AJ60" s="6"/>
      <c r="AK60" s="6"/>
      <c r="AL60" s="6"/>
      <c r="AM60" s="6"/>
      <c r="AN60" s="6"/>
      <c r="AO60" s="133"/>
      <c r="AP60" s="37"/>
      <c r="AQ60" s="6"/>
      <c r="AR60" s="6"/>
      <c r="AS60" s="133"/>
      <c r="AT60" s="6"/>
      <c r="AU60" s="6"/>
      <c r="AV60" s="6"/>
      <c r="AW60" s="6"/>
      <c r="AX60" s="6"/>
      <c r="AY60" s="6"/>
      <c r="AZ60" s="6"/>
      <c r="BA60" s="6"/>
      <c r="BB60" s="6"/>
      <c r="BC60" s="6"/>
      <c r="BD60" s="6"/>
      <c r="BE60" s="6"/>
      <c r="BF60" s="26"/>
      <c r="BG60" s="26"/>
      <c r="BH60" s="26"/>
      <c r="BI60" s="26"/>
      <c r="BJ60" s="26"/>
      <c r="BK60" s="26"/>
      <c r="BL60" s="26"/>
      <c r="BM60" s="26"/>
      <c r="BN60" s="26"/>
      <c r="BO60" s="26"/>
      <c r="BP60" s="26"/>
      <c r="BQ60" s="26"/>
      <c r="BR60" s="26"/>
      <c r="BS60" s="26"/>
      <c r="BT60" s="26"/>
      <c r="BU60" s="26"/>
      <c r="BV60" s="26"/>
      <c r="BW60" s="26"/>
      <c r="BX60" s="26"/>
      <c r="BY60" s="26"/>
      <c r="BZ60" s="26"/>
      <c r="CA60" s="26"/>
      <c r="CB60" s="26"/>
      <c r="CC60" s="26"/>
      <c r="CD60" s="26"/>
      <c r="CE60" s="26"/>
      <c r="CF60" s="26"/>
      <c r="CG60" s="26"/>
      <c r="CH60" s="26"/>
      <c r="CI60" s="26"/>
      <c r="CJ60" s="26"/>
      <c r="CK60" s="26"/>
      <c r="CL60" s="26"/>
      <c r="CM60" s="26"/>
      <c r="CN60" s="26"/>
      <c r="CO60" s="26"/>
    </row>
    <row r="61" spans="1:93" ht="15" customHeight="1" x14ac:dyDescent="0.25">
      <c r="A61" s="29"/>
      <c r="B61" s="39"/>
      <c r="C61" s="26"/>
      <c r="D61" s="26"/>
      <c r="E61" s="39" t="s">
        <v>124</v>
      </c>
      <c r="F61" s="26"/>
      <c r="G61" s="16">
        <f>F61</f>
        <v>0</v>
      </c>
      <c r="H61" s="31" t="s">
        <v>117</v>
      </c>
      <c r="I61" s="184">
        <f t="shared" ref="I61:J61" si="14">G542</f>
        <v>0</v>
      </c>
      <c r="J61" s="185">
        <f t="shared" si="14"/>
        <v>0</v>
      </c>
      <c r="K61" s="190">
        <f>H544</f>
        <v>0</v>
      </c>
      <c r="L61" s="26"/>
      <c r="M61" s="191" t="str">
        <f t="shared" si="12"/>
        <v xml:space="preserve">       240v</v>
      </c>
      <c r="N61" s="26"/>
      <c r="O61" s="192" t="str">
        <f t="shared" si="13"/>
        <v xml:space="preserve">       240v</v>
      </c>
      <c r="P61" s="29"/>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26"/>
      <c r="BG61" s="26"/>
      <c r="BH61" s="26"/>
      <c r="BI61" s="26"/>
      <c r="BJ61" s="26"/>
      <c r="BK61" s="48"/>
      <c r="BL61" s="26"/>
      <c r="BM61" s="26"/>
      <c r="BN61" s="26"/>
      <c r="BO61" s="26"/>
      <c r="BP61" s="26"/>
      <c r="BQ61" s="26"/>
      <c r="BR61" s="26"/>
      <c r="BS61" s="26"/>
      <c r="BT61" s="26"/>
      <c r="BU61" s="26"/>
      <c r="BV61" s="26"/>
      <c r="BW61" s="26"/>
      <c r="BX61" s="26"/>
      <c r="BY61" s="26"/>
      <c r="BZ61" s="26"/>
      <c r="CA61" s="49"/>
      <c r="CB61" s="49"/>
      <c r="CC61" s="49"/>
      <c r="CD61" s="49"/>
      <c r="CE61" s="49"/>
      <c r="CF61" s="49"/>
      <c r="CG61" s="49"/>
      <c r="CH61" s="49"/>
      <c r="CI61" s="49"/>
      <c r="CJ61" s="26"/>
      <c r="CK61" s="26" t="b">
        <v>0</v>
      </c>
      <c r="CL61" s="26" t="b">
        <v>0</v>
      </c>
      <c r="CM61" s="26" t="b">
        <f>OR(CK61,CL61)</f>
        <v>0</v>
      </c>
      <c r="CN61" s="26"/>
      <c r="CO61" s="26"/>
    </row>
    <row r="62" spans="1:93" ht="15" customHeight="1" x14ac:dyDescent="0.25">
      <c r="A62" s="29"/>
      <c r="B62" s="39"/>
      <c r="C62" s="26"/>
      <c r="D62" s="26"/>
      <c r="E62" s="195" t="s">
        <v>73</v>
      </c>
      <c r="F62" s="196">
        <v>2333</v>
      </c>
      <c r="G62" s="16">
        <f>F594</f>
        <v>0</v>
      </c>
      <c r="H62" s="197" t="str">
        <f>IF(E146,"        120v","        240v")</f>
        <v xml:space="preserve">        240v</v>
      </c>
      <c r="I62" s="198">
        <f>IF(E146,0,G62/2)</f>
        <v>0</v>
      </c>
      <c r="J62" s="185">
        <f>IF(E146,G62,G62/2)</f>
        <v>0</v>
      </c>
      <c r="K62" s="190">
        <f>IF(E146,G62,0)</f>
        <v>0</v>
      </c>
      <c r="L62" s="26"/>
      <c r="M62" s="131"/>
      <c r="N62" s="26"/>
      <c r="O62" s="199"/>
      <c r="P62" s="29"/>
      <c r="Q62" s="6"/>
      <c r="R62" s="6"/>
      <c r="S62" s="6"/>
      <c r="T62" s="6"/>
      <c r="U62" s="6"/>
      <c r="V62" s="6"/>
      <c r="W62" s="6"/>
      <c r="X62" s="6"/>
      <c r="Y62" s="6"/>
      <c r="Z62" s="6"/>
      <c r="AA62" s="6"/>
      <c r="AB62" s="6"/>
      <c r="AC62" s="6"/>
      <c r="AD62" s="6"/>
      <c r="AE62" s="6"/>
      <c r="AF62" s="44"/>
      <c r="AG62" s="6"/>
      <c r="AH62" s="6"/>
      <c r="AI62" s="6"/>
      <c r="AJ62" s="6"/>
      <c r="AK62" s="6"/>
      <c r="AL62" s="6"/>
      <c r="AM62" s="6"/>
      <c r="AN62" s="6"/>
      <c r="AO62" s="6"/>
      <c r="AP62" s="6"/>
      <c r="AQ62" s="6"/>
      <c r="AR62" s="6"/>
      <c r="AS62" s="6"/>
      <c r="AT62" s="6"/>
      <c r="AU62" s="6"/>
      <c r="AV62" s="137"/>
      <c r="AW62" s="137"/>
      <c r="AX62" s="137"/>
      <c r="AY62" s="137"/>
      <c r="AZ62" s="137"/>
      <c r="BA62" s="137"/>
      <c r="BB62" s="137"/>
      <c r="BC62" s="6"/>
      <c r="BD62" s="6"/>
      <c r="BE62" s="45"/>
      <c r="BF62" s="26"/>
      <c r="BG62" s="26"/>
      <c r="BH62" s="26"/>
      <c r="BI62" s="26"/>
      <c r="BJ62" s="26"/>
      <c r="BK62" s="26"/>
      <c r="BL62" s="26"/>
      <c r="BM62" s="26"/>
      <c r="BN62" s="26"/>
      <c r="BO62" s="26"/>
      <c r="BP62" s="26"/>
      <c r="BQ62" s="26"/>
      <c r="BR62" s="26"/>
      <c r="BS62" s="26"/>
      <c r="BT62" s="26"/>
      <c r="BU62" s="26"/>
      <c r="BV62" s="26"/>
      <c r="BW62" s="26"/>
      <c r="BX62" s="26"/>
      <c r="BY62" s="26"/>
      <c r="BZ62" s="26"/>
      <c r="CA62" s="55"/>
      <c r="CB62" s="26"/>
      <c r="CC62" s="56"/>
      <c r="CD62" s="26"/>
      <c r="CE62" s="26"/>
      <c r="CF62" s="26"/>
      <c r="CG62" s="26"/>
      <c r="CH62" s="26"/>
      <c r="CI62" s="26"/>
      <c r="CJ62" s="26"/>
      <c r="CK62" s="46"/>
      <c r="CL62" s="46"/>
      <c r="CM62" s="26" t="b">
        <f>OR(CK61,CM61, )</f>
        <v>0</v>
      </c>
      <c r="CN62" s="26"/>
      <c r="CO62" s="26"/>
    </row>
    <row r="63" spans="1:93" ht="12.75" customHeight="1" x14ac:dyDescent="0.25">
      <c r="A63" s="29"/>
      <c r="B63" s="39"/>
      <c r="C63" s="26"/>
      <c r="D63" s="26"/>
      <c r="E63" s="200" t="s">
        <v>125</v>
      </c>
      <c r="F63" s="201"/>
      <c r="G63" s="16">
        <f t="shared" ref="G63:G64" si="15">F63</f>
        <v>0</v>
      </c>
      <c r="H63" s="197" t="str">
        <f t="shared" ref="H63:H64" si="16">IF(E144,"        120v","        240v")</f>
        <v xml:space="preserve">        240v</v>
      </c>
      <c r="I63" s="184">
        <f>IF(E144,G63,G63/2)</f>
        <v>0</v>
      </c>
      <c r="J63" s="185">
        <f>IF(E144,0,G63/2)</f>
        <v>0</v>
      </c>
      <c r="K63" s="190">
        <f t="shared" ref="K63:K64" si="17">IF(E144,G63,0)</f>
        <v>0</v>
      </c>
      <c r="L63" s="26"/>
      <c r="M63" s="202">
        <f>SUM(V604/120)</f>
        <v>0</v>
      </c>
      <c r="N63" s="445" t="s">
        <v>126</v>
      </c>
      <c r="O63" s="406"/>
      <c r="P63" s="29"/>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53"/>
      <c r="BF63" s="54"/>
      <c r="BG63" s="26"/>
      <c r="BH63" s="26"/>
      <c r="BI63" s="26"/>
      <c r="BJ63" s="26"/>
      <c r="BK63" s="26"/>
      <c r="BL63" s="38"/>
      <c r="BM63" s="38"/>
      <c r="BN63" s="26"/>
      <c r="BO63" s="26"/>
      <c r="BP63" s="26"/>
      <c r="BQ63" s="26"/>
      <c r="BR63" s="26"/>
      <c r="BS63" s="26"/>
      <c r="BT63" s="26"/>
      <c r="BU63" s="26"/>
      <c r="BV63" s="26"/>
      <c r="BW63" s="26"/>
      <c r="BX63" s="26"/>
      <c r="BY63" s="26"/>
      <c r="BZ63" s="26"/>
      <c r="CA63" s="61"/>
      <c r="CB63" s="26"/>
      <c r="CC63" s="26"/>
      <c r="CD63" s="26"/>
      <c r="CE63" s="26"/>
      <c r="CF63" s="26"/>
      <c r="CG63" s="26"/>
      <c r="CH63" s="26"/>
      <c r="CI63" s="26"/>
      <c r="CJ63" s="26"/>
      <c r="CK63" s="54"/>
      <c r="CL63" s="54"/>
      <c r="CM63" s="26"/>
      <c r="CN63" s="26"/>
      <c r="CO63" s="26"/>
    </row>
    <row r="64" spans="1:93" ht="12.75" customHeight="1" x14ac:dyDescent="0.25">
      <c r="A64" s="29"/>
      <c r="B64" s="39"/>
      <c r="C64" s="26"/>
      <c r="D64" s="26"/>
      <c r="E64" s="200" t="s">
        <v>125</v>
      </c>
      <c r="F64" s="13"/>
      <c r="G64" s="16">
        <f t="shared" si="15"/>
        <v>0</v>
      </c>
      <c r="H64" s="197" t="str">
        <f t="shared" si="16"/>
        <v xml:space="preserve">        240v</v>
      </c>
      <c r="I64" s="198">
        <f>IF(E145,0,F64/2)</f>
        <v>0</v>
      </c>
      <c r="J64" s="185">
        <f>IF(E145,F64,F64/2)</f>
        <v>0</v>
      </c>
      <c r="K64" s="190">
        <f t="shared" si="17"/>
        <v>0</v>
      </c>
      <c r="L64" s="26"/>
      <c r="M64" s="26"/>
      <c r="N64" s="26"/>
      <c r="O64" s="69"/>
      <c r="P64" s="29"/>
      <c r="Q64" s="6"/>
      <c r="R64" s="6"/>
      <c r="S64" s="6"/>
      <c r="T64" s="6"/>
      <c r="U64" s="6"/>
      <c r="V64" s="6"/>
      <c r="W64" s="6"/>
      <c r="X64" s="6"/>
      <c r="Y64" s="6"/>
      <c r="Z64" s="6"/>
      <c r="AA64" s="6"/>
      <c r="AB64" s="6"/>
      <c r="AC64" s="6"/>
      <c r="AD64" s="6"/>
      <c r="AE64" s="6"/>
      <c r="AF64" s="6"/>
      <c r="AG64" s="59"/>
      <c r="AH64" s="52"/>
      <c r="AI64" s="6"/>
      <c r="AJ64" s="6"/>
      <c r="AK64" s="6"/>
      <c r="AL64" s="6"/>
      <c r="AM64" s="6"/>
      <c r="AN64" s="6"/>
      <c r="AO64" s="59"/>
      <c r="AP64" s="6"/>
      <c r="AQ64" s="52"/>
      <c r="AR64" s="6"/>
      <c r="AS64" s="6"/>
      <c r="AT64" s="6"/>
      <c r="AU64" s="52"/>
      <c r="AV64" s="52"/>
      <c r="AW64" s="6"/>
      <c r="AX64" s="52"/>
      <c r="AY64" s="6"/>
      <c r="AZ64" s="6"/>
      <c r="BA64" s="6"/>
      <c r="BB64" s="6"/>
      <c r="BC64" s="6"/>
      <c r="BD64" s="6"/>
      <c r="BE64" s="45"/>
      <c r="BF64" s="46"/>
      <c r="BG64" s="26"/>
      <c r="BH64" s="26"/>
      <c r="BI64" s="26"/>
      <c r="BJ64" s="26"/>
      <c r="BK64" s="26"/>
      <c r="BL64" s="38"/>
      <c r="BM64" s="26"/>
      <c r="BN64" s="26"/>
      <c r="BO64" s="26"/>
      <c r="BP64" s="26"/>
      <c r="BQ64" s="26"/>
      <c r="BR64" s="26"/>
      <c r="BS64" s="26"/>
      <c r="BT64" s="26"/>
      <c r="BU64" s="26"/>
      <c r="BV64" s="26"/>
      <c r="BW64" s="26"/>
      <c r="BX64" s="26"/>
      <c r="BY64" s="26"/>
      <c r="BZ64" s="26"/>
      <c r="CA64" s="61"/>
      <c r="CB64" s="26"/>
      <c r="CC64" s="26"/>
      <c r="CD64" s="26"/>
      <c r="CE64" s="26"/>
      <c r="CF64" s="26"/>
      <c r="CG64" s="26"/>
      <c r="CH64" s="26"/>
      <c r="CI64" s="26"/>
      <c r="CJ64" s="26"/>
      <c r="CK64" s="46"/>
      <c r="CL64" s="46"/>
      <c r="CM64" s="26"/>
      <c r="CN64" s="26"/>
      <c r="CO64" s="26"/>
    </row>
    <row r="65" spans="1:93" ht="12.75" customHeight="1" x14ac:dyDescent="0.25">
      <c r="A65" s="29"/>
      <c r="B65" s="39"/>
      <c r="C65" s="26"/>
      <c r="D65" s="26"/>
      <c r="E65" s="203" t="str">
        <f>IF(E137,"     Min.Aluminum Pool Feeder","     Min.Copper Pool Feeder")</f>
        <v xml:space="preserve">     Min.Copper Pool Feeder</v>
      </c>
      <c r="F65" s="31"/>
      <c r="G65" s="31"/>
      <c r="H65" s="204" t="str">
        <f>IF(E137,J400,J386)</f>
        <v xml:space="preserve"> </v>
      </c>
      <c r="I65" s="205">
        <f t="shared" ref="I65:J65" si="18">SUM(I56:I64)/120</f>
        <v>0</v>
      </c>
      <c r="J65" s="206">
        <f t="shared" si="18"/>
        <v>0</v>
      </c>
      <c r="K65" s="207">
        <f>Z397</f>
        <v>0</v>
      </c>
      <c r="L65" s="440" t="s">
        <v>127</v>
      </c>
      <c r="M65" s="404"/>
      <c r="N65" s="392"/>
      <c r="O65" s="69"/>
      <c r="P65" s="29"/>
      <c r="Q65" s="6"/>
      <c r="R65" s="6"/>
      <c r="S65" s="6"/>
      <c r="T65" s="6"/>
      <c r="U65" s="6"/>
      <c r="V65" s="6"/>
      <c r="W65" s="6"/>
      <c r="X65" s="6"/>
      <c r="Y65" s="6"/>
      <c r="Z65" s="6"/>
      <c r="AA65" s="6"/>
      <c r="AB65" s="6"/>
      <c r="AC65" s="6"/>
      <c r="AD65" s="6"/>
      <c r="AE65" s="6"/>
      <c r="AF65" s="6"/>
      <c r="AG65" s="52"/>
      <c r="AH65" s="6"/>
      <c r="AI65" s="6"/>
      <c r="AJ65" s="6"/>
      <c r="AK65" s="6"/>
      <c r="AL65" s="6"/>
      <c r="AM65" s="6"/>
      <c r="AN65" s="6"/>
      <c r="AO65" s="6"/>
      <c r="AP65" s="6"/>
      <c r="AQ65" s="6"/>
      <c r="AR65" s="6"/>
      <c r="AS65" s="6"/>
      <c r="AT65" s="6"/>
      <c r="AU65" s="6"/>
      <c r="AV65" s="52"/>
      <c r="AW65" s="6"/>
      <c r="AX65" s="6"/>
      <c r="AY65" s="6"/>
      <c r="AZ65" s="6"/>
      <c r="BA65" s="6"/>
      <c r="BB65" s="6"/>
      <c r="BC65" s="6"/>
      <c r="BD65" s="6"/>
      <c r="BE65" s="45"/>
      <c r="BF65" s="46"/>
      <c r="BG65" s="26"/>
      <c r="BH65" s="26"/>
      <c r="BI65" s="26"/>
      <c r="BJ65" s="26"/>
      <c r="BK65" s="26"/>
      <c r="BL65" s="26"/>
      <c r="BM65" s="26"/>
      <c r="BN65" s="26"/>
      <c r="BO65" s="26"/>
      <c r="BP65" s="26"/>
      <c r="BQ65" s="26"/>
      <c r="BR65" s="26"/>
      <c r="BS65" s="26"/>
      <c r="BT65" s="26"/>
      <c r="BU65" s="26"/>
      <c r="BV65" s="26"/>
      <c r="BW65" s="26"/>
      <c r="BX65" s="26"/>
      <c r="BY65" s="26"/>
      <c r="BZ65" s="26"/>
      <c r="CA65" s="26"/>
      <c r="CB65" s="26"/>
      <c r="CC65" s="26"/>
      <c r="CD65" s="26"/>
      <c r="CE65" s="26"/>
      <c r="CF65" s="26"/>
      <c r="CG65" s="26"/>
      <c r="CH65" s="26"/>
      <c r="CI65" s="26"/>
      <c r="CJ65" s="26"/>
      <c r="CK65" s="46"/>
      <c r="CL65" s="46"/>
      <c r="CM65" s="26"/>
      <c r="CN65" s="26"/>
      <c r="CO65" s="26"/>
    </row>
    <row r="66" spans="1:93" ht="13.5" customHeight="1" x14ac:dyDescent="0.25">
      <c r="A66" s="29"/>
      <c r="B66" s="39"/>
      <c r="C66" s="26"/>
      <c r="D66" s="26"/>
      <c r="E66" s="446" t="s">
        <v>128</v>
      </c>
      <c r="F66" s="447"/>
      <c r="G66" s="448"/>
      <c r="H66" s="208">
        <f>I409</f>
        <v>0</v>
      </c>
      <c r="I66" s="449" t="s">
        <v>129</v>
      </c>
      <c r="J66" s="450"/>
      <c r="K66" s="209" t="s">
        <v>130</v>
      </c>
      <c r="L66" s="26"/>
      <c r="M66" s="26"/>
      <c r="N66" s="26"/>
      <c r="O66" s="69"/>
      <c r="P66" s="29"/>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52"/>
      <c r="AW66" s="6"/>
      <c r="AX66" s="6"/>
      <c r="AY66" s="6"/>
      <c r="AZ66" s="6"/>
      <c r="BA66" s="6"/>
      <c r="BB66" s="6"/>
      <c r="BC66" s="6"/>
      <c r="BD66" s="6"/>
      <c r="BE66" s="45"/>
      <c r="BF66" s="46"/>
      <c r="BG66" s="26"/>
      <c r="BH66" s="26"/>
      <c r="BI66" s="26"/>
      <c r="BJ66" s="26"/>
      <c r="BK66" s="26"/>
      <c r="BL66" s="26"/>
      <c r="BM66" s="26"/>
      <c r="BN66" s="26"/>
      <c r="BO66" s="26"/>
      <c r="BP66" s="26"/>
      <c r="BQ66" s="26"/>
      <c r="BR66" s="26"/>
      <c r="BS66" s="26"/>
      <c r="BT66" s="26"/>
      <c r="BU66" s="26"/>
      <c r="BV66" s="26"/>
      <c r="BW66" s="26"/>
      <c r="BX66" s="26"/>
      <c r="BY66" s="210"/>
      <c r="BZ66" s="38"/>
      <c r="CA66" s="38"/>
      <c r="CB66" s="38"/>
      <c r="CC66" s="26"/>
      <c r="CD66" s="26"/>
      <c r="CE66" s="26"/>
      <c r="CF66" s="26"/>
      <c r="CG66" s="26"/>
      <c r="CH66" s="26"/>
      <c r="CI66" s="26"/>
      <c r="CJ66" s="26"/>
      <c r="CK66" s="46"/>
      <c r="CL66" s="46"/>
      <c r="CM66" s="26"/>
      <c r="CN66" s="26"/>
      <c r="CO66" s="26"/>
    </row>
    <row r="67" spans="1:93" ht="13.5" customHeight="1" x14ac:dyDescent="0.25">
      <c r="A67" s="29"/>
      <c r="B67" s="166"/>
      <c r="C67" s="167"/>
      <c r="D67" s="167"/>
      <c r="E67" s="167"/>
      <c r="F67" s="167"/>
      <c r="G67" s="167"/>
      <c r="H67" s="167"/>
      <c r="I67" s="167"/>
      <c r="J67" s="167"/>
      <c r="K67" s="167"/>
      <c r="L67" s="167"/>
      <c r="M67" s="167"/>
      <c r="N67" s="167"/>
      <c r="O67" s="211"/>
      <c r="P67" s="29"/>
      <c r="Q67" s="6"/>
      <c r="R67" s="6"/>
      <c r="S67" s="6"/>
      <c r="T67" s="6"/>
      <c r="U67" s="6"/>
      <c r="V67" s="6"/>
      <c r="W67" s="6"/>
      <c r="X67" s="6"/>
      <c r="Y67" s="6"/>
      <c r="Z67" s="6"/>
      <c r="AA67" s="6"/>
      <c r="AB67" s="6"/>
      <c r="AC67" s="6"/>
      <c r="AD67" s="6"/>
      <c r="AE67" s="6"/>
      <c r="AF67" s="6"/>
      <c r="AG67" s="6"/>
      <c r="AH67" s="6"/>
      <c r="AI67" s="6"/>
      <c r="AJ67" s="6"/>
      <c r="AK67" s="6"/>
      <c r="AL67" s="6"/>
      <c r="AM67" s="6"/>
      <c r="AN67" s="52"/>
      <c r="AO67" s="52"/>
      <c r="AP67" s="6"/>
      <c r="AQ67" s="6"/>
      <c r="AR67" s="6"/>
      <c r="AS67" s="6"/>
      <c r="AT67" s="6"/>
      <c r="AU67" s="6"/>
      <c r="AV67" s="6"/>
      <c r="AW67" s="6"/>
      <c r="AX67" s="6"/>
      <c r="AY67" s="6"/>
      <c r="AZ67" s="6"/>
      <c r="BA67" s="6"/>
      <c r="BB67" s="6"/>
      <c r="BC67" s="6"/>
      <c r="BD67" s="6"/>
      <c r="BE67" s="45"/>
      <c r="BF67" s="212"/>
      <c r="BG67" s="26"/>
      <c r="BH67" s="26"/>
      <c r="BI67" s="26"/>
      <c r="BJ67" s="26"/>
      <c r="BK67" s="26"/>
      <c r="BL67" s="26"/>
      <c r="BM67" s="26"/>
      <c r="BN67" s="26"/>
      <c r="BO67" s="26"/>
      <c r="BP67" s="26"/>
      <c r="BQ67" s="26"/>
      <c r="BR67" s="26"/>
      <c r="BS67" s="26"/>
      <c r="BT67" s="26"/>
      <c r="BU67" s="26"/>
      <c r="BV67" s="26"/>
      <c r="BW67" s="26"/>
      <c r="BX67" s="26"/>
      <c r="BY67" s="26"/>
      <c r="BZ67" s="26"/>
      <c r="CA67" s="26"/>
      <c r="CB67" s="26"/>
      <c r="CC67" s="26"/>
      <c r="CD67" s="26"/>
      <c r="CE67" s="26"/>
      <c r="CF67" s="26"/>
      <c r="CG67" s="26"/>
      <c r="CH67" s="26"/>
      <c r="CI67" s="26"/>
      <c r="CJ67" s="26"/>
      <c r="CK67" s="46"/>
      <c r="CL67" s="64"/>
      <c r="CM67" s="26"/>
      <c r="CN67" s="26"/>
      <c r="CO67" s="26"/>
    </row>
    <row r="68" spans="1:93" ht="12.75" customHeight="1" x14ac:dyDescent="0.25">
      <c r="A68" s="29"/>
      <c r="B68" s="29"/>
      <c r="C68" s="29"/>
      <c r="D68" s="29"/>
      <c r="E68" s="29"/>
      <c r="F68" s="29"/>
      <c r="G68" s="29"/>
      <c r="H68" s="29"/>
      <c r="I68" s="29"/>
      <c r="J68" s="29"/>
      <c r="K68" s="29"/>
      <c r="L68" s="29"/>
      <c r="M68" s="213"/>
      <c r="N68" s="29"/>
      <c r="O68" s="29"/>
      <c r="P68" s="29"/>
      <c r="Q68" s="6"/>
      <c r="R68" s="6"/>
      <c r="S68" s="6"/>
      <c r="T68" s="6"/>
      <c r="U68" s="6"/>
      <c r="V68" s="6"/>
      <c r="W68" s="6"/>
      <c r="X68" s="6"/>
      <c r="Y68" s="6"/>
      <c r="Z68" s="6"/>
      <c r="AA68" s="6"/>
      <c r="AB68" s="6"/>
      <c r="AC68" s="6"/>
      <c r="AD68" s="6"/>
      <c r="AE68" s="6"/>
      <c r="AF68" s="6"/>
      <c r="AG68" s="6"/>
      <c r="AH68" s="6"/>
      <c r="AI68" s="6"/>
      <c r="AJ68" s="6"/>
      <c r="AK68" s="6"/>
      <c r="AL68" s="6"/>
      <c r="AM68" s="6"/>
      <c r="AN68" s="52"/>
      <c r="AO68" s="6"/>
      <c r="AP68" s="6"/>
      <c r="AQ68" s="6"/>
      <c r="AR68" s="6"/>
      <c r="AS68" s="6"/>
      <c r="AT68" s="6"/>
      <c r="AU68" s="6"/>
      <c r="AV68" s="6"/>
      <c r="AW68" s="52"/>
      <c r="AX68" s="6"/>
      <c r="AY68" s="6"/>
      <c r="AZ68" s="6"/>
      <c r="BA68" s="6"/>
      <c r="BB68" s="6"/>
      <c r="BC68" s="6"/>
      <c r="BD68" s="6"/>
      <c r="BE68" s="6"/>
      <c r="BF68" s="64"/>
      <c r="BG68" s="26"/>
      <c r="BH68" s="26"/>
      <c r="BI68" s="26"/>
      <c r="BJ68" s="26"/>
      <c r="BK68" s="26"/>
      <c r="BL68" s="26"/>
      <c r="BM68" s="26"/>
      <c r="BN68" s="26"/>
      <c r="BO68" s="26"/>
      <c r="BP68" s="26"/>
      <c r="BQ68" s="26"/>
      <c r="BR68" s="26"/>
      <c r="BS68" s="26"/>
      <c r="BT68" s="26"/>
      <c r="BU68" s="26"/>
      <c r="BV68" s="26"/>
      <c r="BW68" s="26"/>
      <c r="BX68" s="26"/>
      <c r="BY68" s="26"/>
      <c r="BZ68" s="26"/>
      <c r="CA68" s="26"/>
      <c r="CB68" s="26"/>
      <c r="CC68" s="26"/>
      <c r="CD68" s="26"/>
      <c r="CE68" s="26"/>
      <c r="CF68" s="26"/>
      <c r="CG68" s="26"/>
      <c r="CH68" s="26"/>
      <c r="CI68" s="26"/>
      <c r="CJ68" s="26"/>
      <c r="CK68" s="26"/>
      <c r="CL68" s="26"/>
      <c r="CM68" s="26"/>
      <c r="CN68" s="26"/>
      <c r="CO68" s="26"/>
    </row>
    <row r="69" spans="1:93" ht="12.75" customHeight="1" x14ac:dyDescent="0.25">
      <c r="A69" s="30"/>
      <c r="B69" s="30"/>
      <c r="C69" s="441"/>
      <c r="D69" s="393"/>
      <c r="E69" s="393"/>
      <c r="F69" s="393"/>
      <c r="G69" s="393"/>
      <c r="H69" s="393"/>
      <c r="I69" s="393"/>
      <c r="J69" s="393"/>
      <c r="K69" s="393"/>
      <c r="L69" s="393"/>
      <c r="M69" s="393"/>
      <c r="N69" s="393"/>
      <c r="O69" s="394"/>
      <c r="P69" s="30"/>
      <c r="Q69" s="6"/>
      <c r="R69" s="6"/>
      <c r="S69" s="6"/>
      <c r="T69" s="6"/>
      <c r="U69" s="6"/>
      <c r="V69" s="6"/>
      <c r="W69" s="6"/>
      <c r="X69" s="6"/>
      <c r="Y69" s="6"/>
      <c r="Z69" s="6"/>
      <c r="AA69" s="6"/>
      <c r="AB69" s="6"/>
      <c r="AC69" s="6"/>
      <c r="AD69" s="6"/>
      <c r="AE69" s="6"/>
      <c r="AF69" s="6"/>
      <c r="AG69" s="6"/>
      <c r="AH69" s="6"/>
      <c r="AI69" s="6"/>
      <c r="AJ69" s="6"/>
      <c r="AK69" s="6"/>
      <c r="AL69" s="6"/>
      <c r="AM69" s="6"/>
      <c r="AN69" s="82"/>
      <c r="AO69" s="6"/>
      <c r="AP69" s="6"/>
      <c r="AQ69" s="6"/>
      <c r="AR69" s="6"/>
      <c r="AS69" s="6"/>
      <c r="AT69" s="6"/>
      <c r="AU69" s="6"/>
      <c r="AV69" s="6"/>
      <c r="AW69" s="6"/>
      <c r="AX69" s="6"/>
      <c r="AY69" s="6"/>
      <c r="AZ69" s="6"/>
      <c r="BA69" s="6"/>
      <c r="BB69" s="6"/>
      <c r="BC69" s="6"/>
      <c r="BD69" s="6"/>
      <c r="BE69" s="6"/>
      <c r="BF69" s="26"/>
      <c r="BG69" s="26"/>
      <c r="BH69" s="26"/>
      <c r="BI69" s="26"/>
      <c r="BJ69" s="26"/>
      <c r="BK69" s="26"/>
      <c r="BL69" s="26"/>
      <c r="BM69" s="26"/>
      <c r="BN69" s="26"/>
      <c r="BO69" s="26"/>
      <c r="BP69" s="26"/>
      <c r="BQ69" s="26"/>
      <c r="BR69" s="26"/>
      <c r="BS69" s="26"/>
      <c r="BT69" s="26"/>
      <c r="BU69" s="26"/>
      <c r="BV69" s="26"/>
      <c r="BW69" s="26"/>
      <c r="BX69" s="26"/>
      <c r="BY69" s="26"/>
      <c r="BZ69" s="26"/>
      <c r="CA69" s="26"/>
      <c r="CB69" s="26"/>
      <c r="CC69" s="26"/>
      <c r="CD69" s="26"/>
      <c r="CE69" s="26"/>
      <c r="CF69" s="26"/>
      <c r="CG69" s="26"/>
      <c r="CH69" s="26"/>
      <c r="CI69" s="26"/>
      <c r="CJ69" s="26"/>
      <c r="CK69" s="87"/>
      <c r="CL69" s="26"/>
      <c r="CM69" s="26"/>
      <c r="CN69" s="129"/>
      <c r="CO69" s="26"/>
    </row>
    <row r="70" spans="1:93" ht="14.25" customHeight="1" x14ac:dyDescent="0.25">
      <c r="A70" s="30"/>
      <c r="B70" s="30"/>
      <c r="C70" s="434"/>
      <c r="D70" s="409"/>
      <c r="E70" s="409"/>
      <c r="F70" s="409"/>
      <c r="G70" s="409"/>
      <c r="H70" s="409"/>
      <c r="I70" s="409"/>
      <c r="J70" s="409"/>
      <c r="K70" s="409"/>
      <c r="L70" s="409"/>
      <c r="M70" s="409"/>
      <c r="N70" s="409"/>
      <c r="O70" s="442"/>
      <c r="P70" s="30"/>
      <c r="Q70" s="6"/>
      <c r="R70" s="6"/>
      <c r="S70" s="6"/>
      <c r="T70" s="6"/>
      <c r="U70" s="6"/>
      <c r="V70" s="6"/>
      <c r="W70" s="6"/>
      <c r="X70" s="6"/>
      <c r="Y70" s="6"/>
      <c r="Z70" s="6"/>
      <c r="AA70" s="6"/>
      <c r="AB70" s="6"/>
      <c r="AC70" s="6"/>
      <c r="AD70" s="6"/>
      <c r="AE70" s="6"/>
      <c r="AF70" s="6"/>
      <c r="AG70" s="6"/>
      <c r="AH70" s="6"/>
      <c r="AI70" s="6"/>
      <c r="AJ70" s="6"/>
      <c r="AK70" s="6"/>
      <c r="AL70" s="6"/>
      <c r="AM70" s="6"/>
      <c r="AN70" s="82"/>
      <c r="AO70" s="6"/>
      <c r="AP70" s="6"/>
      <c r="AQ70" s="6"/>
      <c r="AR70" s="6"/>
      <c r="AS70" s="6"/>
      <c r="AT70" s="6"/>
      <c r="AU70" s="6"/>
      <c r="AV70" s="76"/>
      <c r="AW70" s="6"/>
      <c r="AX70" s="77"/>
      <c r="AY70" s="6"/>
      <c r="AZ70" s="6"/>
      <c r="BA70" s="6"/>
      <c r="BB70" s="6"/>
      <c r="BC70" s="6"/>
      <c r="BD70" s="6"/>
      <c r="BE70" s="6"/>
      <c r="BF70" s="26"/>
      <c r="BG70" s="26"/>
      <c r="BH70" s="26"/>
      <c r="BI70" s="26"/>
      <c r="BJ70" s="26"/>
      <c r="BK70" s="26"/>
      <c r="BL70" s="26"/>
      <c r="BM70" s="26"/>
      <c r="BN70" s="26"/>
      <c r="BO70" s="26"/>
      <c r="BP70" s="26"/>
      <c r="BQ70" s="26"/>
      <c r="BR70" s="26"/>
      <c r="BS70" s="26"/>
      <c r="BT70" s="26"/>
      <c r="BU70" s="26"/>
      <c r="BV70" s="26"/>
      <c r="BW70" s="26"/>
      <c r="BX70" s="26"/>
      <c r="BY70" s="26"/>
      <c r="BZ70" s="26"/>
      <c r="CA70" s="26"/>
      <c r="CB70" s="26"/>
      <c r="CC70" s="26"/>
      <c r="CD70" s="79"/>
      <c r="CE70" s="38"/>
      <c r="CF70" s="26"/>
      <c r="CG70" s="26"/>
      <c r="CH70" s="26"/>
      <c r="CI70" s="26"/>
      <c r="CJ70" s="26"/>
      <c r="CK70" s="26"/>
      <c r="CL70" s="26"/>
      <c r="CM70" s="26"/>
      <c r="CN70" s="26"/>
      <c r="CO70" s="26"/>
    </row>
    <row r="71" spans="1:93" ht="12.75" customHeight="1" x14ac:dyDescent="0.25">
      <c r="A71" s="30"/>
      <c r="B71" s="30"/>
      <c r="C71" s="434"/>
      <c r="D71" s="409"/>
      <c r="E71" s="409"/>
      <c r="F71" s="409"/>
      <c r="G71" s="409"/>
      <c r="H71" s="409"/>
      <c r="I71" s="409"/>
      <c r="J71" s="409"/>
      <c r="K71" s="409"/>
      <c r="L71" s="409"/>
      <c r="M71" s="409"/>
      <c r="N71" s="409"/>
      <c r="O71" s="442"/>
      <c r="P71" s="30"/>
      <c r="Q71" s="6"/>
      <c r="R71" s="6"/>
      <c r="S71" s="6"/>
      <c r="T71" s="6"/>
      <c r="U71" s="6"/>
      <c r="V71" s="6"/>
      <c r="W71" s="6"/>
      <c r="X71" s="6"/>
      <c r="Y71" s="6"/>
      <c r="Z71" s="6"/>
      <c r="AA71" s="6"/>
      <c r="AB71" s="6"/>
      <c r="AC71" s="6"/>
      <c r="AD71" s="6"/>
      <c r="AE71" s="6"/>
      <c r="AF71" s="6"/>
      <c r="AG71" s="6"/>
      <c r="AH71" s="6"/>
      <c r="AI71" s="6"/>
      <c r="AJ71" s="6"/>
      <c r="AK71" s="6"/>
      <c r="AL71" s="6"/>
      <c r="AM71" s="6"/>
      <c r="AN71" s="82"/>
      <c r="AO71" s="6"/>
      <c r="AP71" s="6"/>
      <c r="AQ71" s="6"/>
      <c r="AR71" s="6"/>
      <c r="AS71" s="6"/>
      <c r="AT71" s="6"/>
      <c r="AU71" s="6"/>
      <c r="AV71" s="82"/>
      <c r="AW71" s="6"/>
      <c r="AX71" s="6"/>
      <c r="AY71" s="6"/>
      <c r="AZ71" s="6"/>
      <c r="BA71" s="6"/>
      <c r="BB71" s="6"/>
      <c r="BC71" s="6"/>
      <c r="BD71" s="6"/>
      <c r="BE71" s="6"/>
      <c r="BF71" s="26"/>
      <c r="BG71" s="26"/>
      <c r="BH71" s="26"/>
      <c r="BI71" s="26"/>
      <c r="BJ71" s="26"/>
      <c r="BK71" s="26"/>
      <c r="BL71" s="26"/>
      <c r="BM71" s="26"/>
      <c r="BN71" s="26"/>
      <c r="BO71" s="26"/>
      <c r="BP71" s="26"/>
      <c r="BQ71" s="26"/>
      <c r="BR71" s="26"/>
      <c r="BS71" s="26"/>
      <c r="BT71" s="26"/>
      <c r="BU71" s="26"/>
      <c r="BV71" s="26"/>
      <c r="BW71" s="26"/>
      <c r="BX71" s="26"/>
      <c r="BY71" s="26"/>
      <c r="BZ71" s="26"/>
      <c r="CA71" s="26"/>
      <c r="CB71" s="26"/>
      <c r="CC71" s="26"/>
      <c r="CD71" s="78"/>
      <c r="CE71" s="38"/>
      <c r="CF71" s="26"/>
      <c r="CG71" s="26"/>
      <c r="CH71" s="26"/>
      <c r="CI71" s="26"/>
      <c r="CJ71" s="26"/>
      <c r="CK71" s="26"/>
      <c r="CL71" s="26"/>
      <c r="CM71" s="26"/>
      <c r="CN71" s="26"/>
      <c r="CO71" s="26"/>
    </row>
    <row r="72" spans="1:93" ht="12.75" customHeight="1" x14ac:dyDescent="0.25">
      <c r="A72" s="30"/>
      <c r="B72" s="30"/>
      <c r="C72" s="434"/>
      <c r="D72" s="409"/>
      <c r="E72" s="409"/>
      <c r="F72" s="409"/>
      <c r="G72" s="409"/>
      <c r="H72" s="409"/>
      <c r="I72" s="409"/>
      <c r="J72" s="409"/>
      <c r="K72" s="409"/>
      <c r="L72" s="409"/>
      <c r="M72" s="409"/>
      <c r="N72" s="409"/>
      <c r="O72" s="442"/>
      <c r="P72" s="30"/>
      <c r="Q72" s="6"/>
      <c r="R72" s="6"/>
      <c r="S72" s="6"/>
      <c r="T72" s="6"/>
      <c r="U72" s="6"/>
      <c r="V72" s="6"/>
      <c r="W72" s="6"/>
      <c r="X72" s="6"/>
      <c r="Y72" s="6"/>
      <c r="Z72" s="6"/>
      <c r="AA72" s="6"/>
      <c r="AB72" s="6"/>
      <c r="AC72" s="6"/>
      <c r="AD72" s="6"/>
      <c r="AE72" s="6"/>
      <c r="AF72" s="6"/>
      <c r="AG72" s="6"/>
      <c r="AH72" s="6"/>
      <c r="AI72" s="6"/>
      <c r="AJ72" s="6"/>
      <c r="AK72" s="6"/>
      <c r="AL72" s="6"/>
      <c r="AM72" s="6"/>
      <c r="AN72" s="82"/>
      <c r="AO72" s="6"/>
      <c r="AP72" s="6"/>
      <c r="AQ72" s="6"/>
      <c r="AR72" s="6"/>
      <c r="AS72" s="6"/>
      <c r="AT72" s="6"/>
      <c r="AU72" s="6"/>
      <c r="AV72" s="82"/>
      <c r="AW72" s="6"/>
      <c r="AX72" s="6"/>
      <c r="AY72" s="6"/>
      <c r="AZ72" s="6"/>
      <c r="BA72" s="6"/>
      <c r="BB72" s="6"/>
      <c r="BC72" s="6"/>
      <c r="BD72" s="6"/>
      <c r="BE72" s="6"/>
      <c r="BF72" s="26"/>
      <c r="BG72" s="26"/>
      <c r="BH72" s="26"/>
      <c r="BI72" s="26"/>
      <c r="BJ72" s="26"/>
      <c r="BK72" s="26"/>
      <c r="BL72" s="26"/>
      <c r="BM72" s="26"/>
      <c r="BN72" s="26"/>
      <c r="BO72" s="26"/>
      <c r="BP72" s="26"/>
      <c r="BQ72" s="26"/>
      <c r="BR72" s="26"/>
      <c r="BS72" s="26"/>
      <c r="BT72" s="26"/>
      <c r="BU72" s="26"/>
      <c r="BV72" s="26"/>
      <c r="BW72" s="26"/>
      <c r="BX72" s="26"/>
      <c r="BY72" s="26"/>
      <c r="BZ72" s="26"/>
      <c r="CA72" s="26"/>
      <c r="CB72" s="26"/>
      <c r="CC72" s="26"/>
      <c r="CD72" s="214"/>
      <c r="CE72" s="38"/>
      <c r="CF72" s="26"/>
      <c r="CG72" s="26"/>
      <c r="CH72" s="26"/>
      <c r="CI72" s="26"/>
      <c r="CJ72" s="26"/>
      <c r="CK72" s="26"/>
      <c r="CL72" s="26"/>
      <c r="CM72" s="26"/>
      <c r="CN72" s="26"/>
      <c r="CO72" s="26"/>
    </row>
    <row r="73" spans="1:93" ht="12.75" customHeight="1" x14ac:dyDescent="0.25">
      <c r="A73" s="30"/>
      <c r="B73" s="30"/>
      <c r="C73" s="434"/>
      <c r="D73" s="409"/>
      <c r="E73" s="409"/>
      <c r="F73" s="409"/>
      <c r="G73" s="409"/>
      <c r="H73" s="409"/>
      <c r="I73" s="409"/>
      <c r="J73" s="409"/>
      <c r="K73" s="409"/>
      <c r="L73" s="409"/>
      <c r="M73" s="409"/>
      <c r="N73" s="409"/>
      <c r="O73" s="442"/>
      <c r="P73" s="30"/>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85"/>
      <c r="BF73" s="26"/>
      <c r="BG73" s="26"/>
      <c r="BH73" s="26"/>
      <c r="BI73" s="26"/>
      <c r="BJ73" s="26"/>
      <c r="BK73" s="26"/>
      <c r="BL73" s="26"/>
      <c r="BM73" s="26"/>
      <c r="BN73" s="26"/>
      <c r="BO73" s="26"/>
      <c r="BP73" s="26"/>
      <c r="BQ73" s="26"/>
      <c r="BR73" s="26"/>
      <c r="BS73" s="26"/>
      <c r="BT73" s="26"/>
      <c r="BU73" s="26"/>
      <c r="BV73" s="26"/>
      <c r="BW73" s="26"/>
      <c r="BX73" s="26"/>
      <c r="BY73" s="26"/>
      <c r="BZ73" s="26"/>
      <c r="CA73" s="26"/>
      <c r="CB73" s="26"/>
      <c r="CC73" s="26"/>
      <c r="CD73" s="26"/>
      <c r="CE73" s="26"/>
      <c r="CF73" s="26"/>
      <c r="CG73" s="26"/>
      <c r="CH73" s="26"/>
      <c r="CI73" s="26"/>
      <c r="CJ73" s="26"/>
      <c r="CK73" s="87"/>
      <c r="CL73" s="26"/>
      <c r="CM73" s="26"/>
      <c r="CN73" s="26"/>
      <c r="CO73" s="26"/>
    </row>
    <row r="74" spans="1:93" ht="12.75" customHeight="1" x14ac:dyDescent="0.25">
      <c r="A74" s="30"/>
      <c r="B74" s="30"/>
      <c r="C74" s="434"/>
      <c r="D74" s="409"/>
      <c r="E74" s="409"/>
      <c r="F74" s="409"/>
      <c r="G74" s="409"/>
      <c r="H74" s="409"/>
      <c r="I74" s="409"/>
      <c r="J74" s="409"/>
      <c r="K74" s="409"/>
      <c r="L74" s="409"/>
      <c r="M74" s="409"/>
      <c r="N74" s="409"/>
      <c r="O74" s="442"/>
      <c r="P74" s="30"/>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26"/>
      <c r="BG74" s="26"/>
      <c r="BH74" s="26"/>
      <c r="BI74" s="26"/>
      <c r="BJ74" s="26"/>
      <c r="BK74" s="26"/>
      <c r="BL74" s="26"/>
      <c r="BM74" s="26"/>
      <c r="BN74" s="26"/>
      <c r="BO74" s="26"/>
      <c r="BP74" s="26"/>
      <c r="BQ74" s="26"/>
      <c r="BR74" s="26"/>
      <c r="BS74" s="26"/>
      <c r="BT74" s="26"/>
      <c r="BU74" s="26"/>
      <c r="BV74" s="26"/>
      <c r="BW74" s="26"/>
      <c r="BX74" s="26"/>
      <c r="BY74" s="26"/>
      <c r="BZ74" s="26"/>
      <c r="CA74" s="26"/>
      <c r="CB74" s="26"/>
      <c r="CC74" s="26"/>
      <c r="CD74" s="26"/>
      <c r="CE74" s="26"/>
      <c r="CF74" s="26"/>
      <c r="CG74" s="26"/>
      <c r="CH74" s="26"/>
      <c r="CI74" s="26"/>
      <c r="CJ74" s="26"/>
      <c r="CK74" s="26"/>
      <c r="CL74" s="26"/>
      <c r="CM74" s="26"/>
      <c r="CN74" s="26"/>
      <c r="CO74" s="26"/>
    </row>
    <row r="75" spans="1:93" ht="12.75" customHeight="1" x14ac:dyDescent="0.25">
      <c r="A75" s="30"/>
      <c r="B75" s="30"/>
      <c r="C75" s="434"/>
      <c r="D75" s="409"/>
      <c r="E75" s="409"/>
      <c r="F75" s="409"/>
      <c r="G75" s="409"/>
      <c r="H75" s="409"/>
      <c r="I75" s="409"/>
      <c r="J75" s="409"/>
      <c r="K75" s="409"/>
      <c r="L75" s="409"/>
      <c r="M75" s="409"/>
      <c r="N75" s="409"/>
      <c r="O75" s="442"/>
      <c r="P75" s="30"/>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26"/>
      <c r="BG75" s="26"/>
      <c r="BH75" s="26"/>
      <c r="BI75" s="26"/>
      <c r="BJ75" s="26"/>
      <c r="BK75" s="26"/>
      <c r="BL75" s="26"/>
      <c r="BM75" s="26"/>
      <c r="BN75" s="26"/>
      <c r="BO75" s="38"/>
      <c r="BP75" s="38"/>
      <c r="BQ75" s="26"/>
      <c r="BR75" s="26"/>
      <c r="BS75" s="26"/>
      <c r="BT75" s="26"/>
      <c r="BU75" s="26"/>
      <c r="BV75" s="26"/>
      <c r="BW75" s="26"/>
      <c r="BX75" s="26"/>
      <c r="BY75" s="26"/>
      <c r="BZ75" s="26"/>
      <c r="CA75" s="26"/>
      <c r="CB75" s="143"/>
      <c r="CC75" s="26"/>
      <c r="CD75" s="26"/>
      <c r="CE75" s="26"/>
      <c r="CF75" s="26"/>
      <c r="CG75" s="26"/>
      <c r="CH75" s="26"/>
      <c r="CI75" s="26"/>
      <c r="CJ75" s="26"/>
      <c r="CK75" s="26"/>
      <c r="CL75" s="26" t="str">
        <f>IF(BM64&gt;225,325," ")</f>
        <v xml:space="preserve"> </v>
      </c>
      <c r="CM75" s="26"/>
      <c r="CN75" s="26"/>
      <c r="CO75" s="26"/>
    </row>
    <row r="76" spans="1:93" ht="12.75" customHeight="1" x14ac:dyDescent="0.25">
      <c r="A76" s="30"/>
      <c r="B76" s="30"/>
      <c r="C76" s="434"/>
      <c r="D76" s="409"/>
      <c r="E76" s="409"/>
      <c r="F76" s="409"/>
      <c r="G76" s="409"/>
      <c r="H76" s="409"/>
      <c r="I76" s="409"/>
      <c r="J76" s="409"/>
      <c r="K76" s="409"/>
      <c r="L76" s="409"/>
      <c r="M76" s="409"/>
      <c r="N76" s="409"/>
      <c r="O76" s="442"/>
      <c r="P76" s="30"/>
      <c r="Q76" s="6"/>
      <c r="R76" s="6"/>
      <c r="S76" s="6"/>
      <c r="T76" s="6"/>
      <c r="U76" s="6"/>
      <c r="V76" s="6"/>
      <c r="W76" s="6"/>
      <c r="X76" s="6"/>
      <c r="Y76" s="6"/>
      <c r="Z76" s="52"/>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96"/>
      <c r="BG76" s="26"/>
      <c r="BH76" s="26"/>
      <c r="BI76" s="26"/>
      <c r="BJ76" s="26"/>
      <c r="BK76" s="26"/>
      <c r="BL76" s="26"/>
      <c r="BM76" s="26"/>
      <c r="BN76" s="38"/>
      <c r="BO76" s="38"/>
      <c r="BP76" s="26"/>
      <c r="BQ76" s="26"/>
      <c r="BR76" s="26"/>
      <c r="BS76" s="26"/>
      <c r="BT76" s="26"/>
      <c r="BU76" s="61"/>
      <c r="BV76" s="26"/>
      <c r="BW76" s="26"/>
      <c r="BX76" s="26"/>
      <c r="BY76" s="26"/>
      <c r="BZ76" s="26"/>
      <c r="CA76" s="38"/>
      <c r="CB76" s="38"/>
      <c r="CC76" s="100"/>
      <c r="CD76" s="26"/>
      <c r="CE76" s="26"/>
      <c r="CF76" s="26"/>
      <c r="CG76" s="26"/>
      <c r="CH76" s="26"/>
      <c r="CI76" s="26"/>
      <c r="CJ76" s="26"/>
      <c r="CK76" s="26"/>
      <c r="CL76" s="96"/>
      <c r="CM76" s="26"/>
      <c r="CN76" s="26"/>
      <c r="CO76" s="26"/>
    </row>
    <row r="77" spans="1:93" ht="12.75" customHeight="1" x14ac:dyDescent="0.25">
      <c r="A77" s="30"/>
      <c r="B77" s="30"/>
      <c r="C77" s="434"/>
      <c r="D77" s="409"/>
      <c r="E77" s="409"/>
      <c r="F77" s="409"/>
      <c r="G77" s="409"/>
      <c r="H77" s="409"/>
      <c r="I77" s="409"/>
      <c r="J77" s="409"/>
      <c r="K77" s="409"/>
      <c r="L77" s="409"/>
      <c r="M77" s="409"/>
      <c r="N77" s="409"/>
      <c r="O77" s="442"/>
      <c r="P77" s="30"/>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52"/>
      <c r="AX77" s="52"/>
      <c r="AY77" s="6"/>
      <c r="AZ77" s="6"/>
      <c r="BA77" s="6"/>
      <c r="BB77" s="6"/>
      <c r="BC77" s="6"/>
      <c r="BD77" s="6"/>
      <c r="BE77" s="6"/>
      <c r="BF77" s="26"/>
      <c r="BG77" s="26"/>
      <c r="BH77" s="26"/>
      <c r="BI77" s="26"/>
      <c r="BJ77" s="26"/>
      <c r="BK77" s="26"/>
      <c r="BL77" s="26"/>
      <c r="BM77" s="61"/>
      <c r="BN77" s="26"/>
      <c r="BO77" s="26"/>
      <c r="BP77" s="61"/>
      <c r="BQ77" s="26"/>
      <c r="BR77" s="38"/>
      <c r="BS77" s="26"/>
      <c r="BT77" s="61"/>
      <c r="BU77" s="26"/>
      <c r="BV77" s="26"/>
      <c r="BW77" s="26"/>
      <c r="BX77" s="26"/>
      <c r="BY77" s="26"/>
      <c r="BZ77" s="26"/>
      <c r="CA77" s="38"/>
      <c r="CB77" s="38"/>
      <c r="CC77" s="64"/>
      <c r="CD77" s="26"/>
      <c r="CE77" s="26"/>
      <c r="CF77" s="26"/>
      <c r="CG77" s="26"/>
      <c r="CH77" s="26"/>
      <c r="CI77" s="26"/>
      <c r="CJ77" s="26"/>
      <c r="CK77" s="26"/>
      <c r="CL77" s="26"/>
      <c r="CM77" s="26"/>
      <c r="CN77" s="26"/>
      <c r="CO77" s="26"/>
    </row>
    <row r="78" spans="1:93" ht="12.75" customHeight="1" x14ac:dyDescent="0.25">
      <c r="A78" s="30"/>
      <c r="B78" s="30"/>
      <c r="C78" s="434"/>
      <c r="D78" s="409"/>
      <c r="E78" s="409"/>
      <c r="F78" s="409"/>
      <c r="G78" s="409"/>
      <c r="H78" s="409"/>
      <c r="I78" s="409"/>
      <c r="J78" s="409"/>
      <c r="K78" s="409"/>
      <c r="L78" s="409"/>
      <c r="M78" s="409"/>
      <c r="N78" s="409"/>
      <c r="O78" s="442"/>
      <c r="P78" s="30"/>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82"/>
      <c r="AS78" s="6"/>
      <c r="AT78" s="6"/>
      <c r="AU78" s="6"/>
      <c r="AV78" s="6"/>
      <c r="AW78" s="6"/>
      <c r="AX78" s="105"/>
      <c r="AY78" s="52"/>
      <c r="AZ78" s="6"/>
      <c r="BA78" s="6"/>
      <c r="BB78" s="6"/>
      <c r="BC78" s="6"/>
      <c r="BD78" s="6"/>
      <c r="BE78" s="6"/>
      <c r="BF78" s="26"/>
      <c r="BG78" s="26"/>
      <c r="BH78" s="26"/>
      <c r="BI78" s="26"/>
      <c r="BJ78" s="26"/>
      <c r="BK78" s="26"/>
      <c r="BL78" s="26"/>
      <c r="BM78" s="26"/>
      <c r="BN78" s="110"/>
      <c r="BO78" s="26"/>
      <c r="BP78" s="26"/>
      <c r="BQ78" s="26"/>
      <c r="BR78" s="26"/>
      <c r="BS78" s="26"/>
      <c r="BT78" s="26"/>
      <c r="BU78" s="26"/>
      <c r="BV78" s="26"/>
      <c r="BW78" s="26"/>
      <c r="BX78" s="26"/>
      <c r="BY78" s="26"/>
      <c r="BZ78" s="26"/>
      <c r="CA78" s="41"/>
      <c r="CB78" s="38"/>
      <c r="CC78" s="100"/>
      <c r="CD78" s="26"/>
      <c r="CE78" s="26"/>
      <c r="CF78" s="26"/>
      <c r="CG78" s="26"/>
      <c r="CH78" s="26"/>
      <c r="CI78" s="26"/>
      <c r="CJ78" s="26"/>
      <c r="CK78" s="26"/>
      <c r="CL78" s="26"/>
      <c r="CM78" s="26"/>
      <c r="CN78" s="26"/>
      <c r="CO78" s="26"/>
    </row>
    <row r="79" spans="1:93" ht="12.75" customHeight="1" x14ac:dyDescent="0.25">
      <c r="A79" s="30"/>
      <c r="B79" s="30"/>
      <c r="C79" s="434"/>
      <c r="D79" s="409"/>
      <c r="E79" s="409"/>
      <c r="F79" s="409"/>
      <c r="G79" s="409"/>
      <c r="H79" s="409"/>
      <c r="I79" s="409"/>
      <c r="J79" s="409"/>
      <c r="K79" s="409"/>
      <c r="L79" s="409"/>
      <c r="M79" s="409"/>
      <c r="N79" s="409"/>
      <c r="O79" s="442"/>
      <c r="P79" s="30"/>
      <c r="Q79" s="6"/>
      <c r="R79" s="6"/>
      <c r="S79" s="6"/>
      <c r="T79" s="6"/>
      <c r="U79" s="6"/>
      <c r="V79" s="6"/>
      <c r="W79" s="6"/>
      <c r="X79" s="6"/>
      <c r="Y79" s="6"/>
      <c r="Z79" s="6"/>
      <c r="AA79" s="6"/>
      <c r="AB79" s="6"/>
      <c r="AC79" s="6"/>
      <c r="AD79" s="6"/>
      <c r="AE79" s="6"/>
      <c r="AF79" s="6"/>
      <c r="AG79" s="6"/>
      <c r="AH79" s="6"/>
      <c r="AI79" s="6"/>
      <c r="AJ79" s="6"/>
      <c r="AK79" s="6"/>
      <c r="AL79" s="6"/>
      <c r="AM79" s="6"/>
      <c r="AN79" s="6"/>
      <c r="AO79" s="6"/>
      <c r="AP79" s="52"/>
      <c r="AQ79" s="82"/>
      <c r="AR79" s="6"/>
      <c r="AS79" s="6"/>
      <c r="AT79" s="6"/>
      <c r="AU79" s="6"/>
      <c r="AV79" s="6"/>
      <c r="AW79" s="6"/>
      <c r="AX79" s="6"/>
      <c r="AY79" s="6"/>
      <c r="AZ79" s="6"/>
      <c r="BA79" s="6"/>
      <c r="BB79" s="6"/>
      <c r="BC79" s="6"/>
      <c r="BD79" s="6"/>
      <c r="BE79" s="6"/>
      <c r="BF79" s="26"/>
      <c r="BG79" s="26"/>
      <c r="BH79" s="26"/>
      <c r="BI79" s="26"/>
      <c r="BJ79" s="26"/>
      <c r="BK79" s="26"/>
      <c r="BL79" s="26"/>
      <c r="BM79" s="114"/>
      <c r="BN79" s="110"/>
      <c r="BO79" s="110"/>
      <c r="BP79" s="110"/>
      <c r="BQ79" s="26"/>
      <c r="BR79" s="26"/>
      <c r="BS79" s="26"/>
      <c r="BT79" s="26"/>
      <c r="BU79" s="26"/>
      <c r="BV79" s="26"/>
      <c r="BW79" s="26"/>
      <c r="BX79" s="26"/>
      <c r="BY79" s="26"/>
      <c r="BZ79" s="26"/>
      <c r="CA79" s="26"/>
      <c r="CB79" s="26"/>
      <c r="CC79" s="26"/>
      <c r="CD79" s="26"/>
      <c r="CE79" s="26"/>
      <c r="CF79" s="26"/>
      <c r="CG79" s="26"/>
      <c r="CH79" s="26"/>
      <c r="CI79" s="26"/>
      <c r="CJ79" s="26"/>
      <c r="CK79" s="26"/>
      <c r="CL79" s="26"/>
      <c r="CM79" s="26"/>
      <c r="CN79" s="26"/>
      <c r="CO79" s="26"/>
    </row>
    <row r="80" spans="1:93" ht="12.75" customHeight="1" x14ac:dyDescent="0.25">
      <c r="A80" s="30"/>
      <c r="B80" s="30"/>
      <c r="C80" s="434"/>
      <c r="D80" s="409"/>
      <c r="E80" s="409"/>
      <c r="F80" s="409"/>
      <c r="G80" s="409"/>
      <c r="H80" s="409"/>
      <c r="I80" s="409"/>
      <c r="J80" s="409"/>
      <c r="K80" s="409"/>
      <c r="L80" s="409"/>
      <c r="M80" s="409"/>
      <c r="N80" s="409"/>
      <c r="O80" s="442"/>
      <c r="P80" s="30"/>
      <c r="Q80" s="6"/>
      <c r="R80" s="6"/>
      <c r="S80" s="6"/>
      <c r="T80" s="6"/>
      <c r="U80" s="6"/>
      <c r="V80" s="6"/>
      <c r="W80" s="6"/>
      <c r="X80" s="6"/>
      <c r="Y80" s="6"/>
      <c r="Z80" s="6"/>
      <c r="AA80" s="6"/>
      <c r="AB80" s="6"/>
      <c r="AC80" s="6"/>
      <c r="AD80" s="6"/>
      <c r="AE80" s="6"/>
      <c r="AF80" s="6"/>
      <c r="AG80" s="6"/>
      <c r="AH80" s="6"/>
      <c r="AI80" s="6"/>
      <c r="AJ80" s="215"/>
      <c r="AK80" s="128"/>
      <c r="AL80" s="128"/>
      <c r="AM80" s="174"/>
      <c r="AN80" s="6"/>
      <c r="AO80" s="6"/>
      <c r="AP80" s="106"/>
      <c r="AQ80" s="106"/>
      <c r="AR80" s="6"/>
      <c r="AS80" s="6"/>
      <c r="AT80" s="6"/>
      <c r="AU80" s="6"/>
      <c r="AV80" s="157"/>
      <c r="AW80" s="6"/>
      <c r="AX80" s="216"/>
      <c r="AY80" s="6"/>
      <c r="AZ80" s="6"/>
      <c r="BA80" s="6"/>
      <c r="BB80" s="6"/>
      <c r="BC80" s="6"/>
      <c r="BD80" s="6"/>
      <c r="BE80" s="6"/>
      <c r="BF80" s="26"/>
      <c r="BG80" s="26"/>
      <c r="BH80" s="26"/>
      <c r="BI80" s="26"/>
      <c r="BJ80" s="26"/>
      <c r="BK80" s="26"/>
      <c r="BL80" s="26"/>
      <c r="BM80" s="114"/>
      <c r="BN80" s="217"/>
      <c r="BO80" s="110"/>
      <c r="BP80" s="110"/>
      <c r="BQ80" s="26"/>
      <c r="BR80" s="26"/>
      <c r="BS80" s="26"/>
      <c r="BT80" s="26"/>
      <c r="BU80" s="26"/>
      <c r="BV80" s="26"/>
      <c r="BW80" s="26"/>
      <c r="BX80" s="26"/>
      <c r="BY80" s="26"/>
      <c r="BZ80" s="26"/>
      <c r="CA80" s="26"/>
      <c r="CB80" s="26"/>
      <c r="CC80" s="26"/>
      <c r="CD80" s="38"/>
      <c r="CE80" s="26"/>
      <c r="CF80" s="26"/>
      <c r="CG80" s="26"/>
      <c r="CH80" s="26"/>
      <c r="CI80" s="26"/>
      <c r="CJ80" s="26"/>
      <c r="CK80" s="26"/>
      <c r="CL80" s="26"/>
      <c r="CM80" s="26"/>
      <c r="CN80" s="26"/>
      <c r="CO80" s="26"/>
    </row>
    <row r="81" spans="1:93" ht="12.75" customHeight="1" x14ac:dyDescent="0.25">
      <c r="A81" s="30"/>
      <c r="B81" s="30"/>
      <c r="C81" s="434"/>
      <c r="D81" s="409"/>
      <c r="E81" s="409"/>
      <c r="F81" s="409"/>
      <c r="G81" s="409"/>
      <c r="H81" s="409"/>
      <c r="I81" s="409"/>
      <c r="J81" s="409"/>
      <c r="K81" s="409"/>
      <c r="L81" s="409"/>
      <c r="M81" s="409"/>
      <c r="N81" s="409"/>
      <c r="O81" s="442"/>
      <c r="P81" s="30"/>
      <c r="Q81" s="6"/>
      <c r="R81" s="6"/>
      <c r="S81" s="6"/>
      <c r="T81" s="6"/>
      <c r="U81" s="6"/>
      <c r="V81" s="6"/>
      <c r="W81" s="6"/>
      <c r="X81" s="6"/>
      <c r="Y81" s="6"/>
      <c r="Z81" s="6"/>
      <c r="AA81" s="6"/>
      <c r="AB81" s="6"/>
      <c r="AC81" s="6"/>
      <c r="AD81" s="6"/>
      <c r="AE81" s="6"/>
      <c r="AF81" s="6"/>
      <c r="AG81" s="6"/>
      <c r="AH81" s="6"/>
      <c r="AI81" s="6"/>
      <c r="AJ81" s="182"/>
      <c r="AK81" s="128"/>
      <c r="AL81" s="128"/>
      <c r="AM81" s="174"/>
      <c r="AN81" s="6"/>
      <c r="AO81" s="6"/>
      <c r="AP81" s="6"/>
      <c r="AQ81" s="6"/>
      <c r="AR81" s="6"/>
      <c r="AS81" s="108"/>
      <c r="AT81" s="109"/>
      <c r="AU81" s="106"/>
      <c r="AV81" s="108"/>
      <c r="AW81" s="109"/>
      <c r="AX81" s="106"/>
      <c r="AY81" s="6"/>
      <c r="AZ81" s="6"/>
      <c r="BA81" s="6"/>
      <c r="BB81" s="6"/>
      <c r="BC81" s="6"/>
      <c r="BD81" s="6"/>
      <c r="BE81" s="45"/>
      <c r="BF81" s="47"/>
      <c r="BG81" s="47"/>
      <c r="BH81" s="47"/>
      <c r="BI81" s="47"/>
      <c r="BJ81" s="26"/>
      <c r="BK81" s="26"/>
      <c r="BL81" s="26"/>
      <c r="BM81" s="26"/>
      <c r="BN81" s="26"/>
      <c r="BO81" s="116"/>
      <c r="BP81" s="110"/>
      <c r="BQ81" s="110"/>
      <c r="BR81" s="26"/>
      <c r="BS81" s="26"/>
      <c r="BT81" s="26"/>
      <c r="BU81" s="26"/>
      <c r="BV81" s="26"/>
      <c r="BW81" s="26"/>
      <c r="BX81" s="26"/>
      <c r="BY81" s="26"/>
      <c r="BZ81" s="26"/>
      <c r="CA81" s="26"/>
      <c r="CB81" s="26"/>
      <c r="CC81" s="26"/>
      <c r="CD81" s="98"/>
      <c r="CE81" s="38"/>
      <c r="CF81" s="26"/>
      <c r="CG81" s="26"/>
      <c r="CH81" s="26"/>
      <c r="CI81" s="26"/>
      <c r="CJ81" s="26"/>
      <c r="CK81" s="26"/>
      <c r="CL81" s="26"/>
      <c r="CM81" s="26"/>
      <c r="CN81" s="26"/>
      <c r="CO81" s="26"/>
    </row>
    <row r="82" spans="1:93" ht="12.75" customHeight="1" x14ac:dyDescent="0.25">
      <c r="A82" s="30"/>
      <c r="B82" s="30"/>
      <c r="C82" s="434"/>
      <c r="D82" s="409"/>
      <c r="E82" s="409"/>
      <c r="F82" s="409"/>
      <c r="G82" s="409"/>
      <c r="H82" s="409"/>
      <c r="I82" s="409"/>
      <c r="J82" s="409"/>
      <c r="K82" s="409"/>
      <c r="L82" s="409"/>
      <c r="M82" s="409"/>
      <c r="N82" s="409"/>
      <c r="O82" s="442"/>
      <c r="P82" s="30"/>
      <c r="Q82" s="6"/>
      <c r="R82" s="6"/>
      <c r="S82" s="6"/>
      <c r="T82" s="6"/>
      <c r="U82" s="6"/>
      <c r="V82" s="6"/>
      <c r="W82" s="6"/>
      <c r="X82" s="6"/>
      <c r="Y82" s="6"/>
      <c r="Z82" s="6"/>
      <c r="AA82" s="6"/>
      <c r="AB82" s="6"/>
      <c r="AC82" s="6"/>
      <c r="AD82" s="6"/>
      <c r="AE82" s="6"/>
      <c r="AF82" s="6"/>
      <c r="AG82" s="6"/>
      <c r="AH82" s="6"/>
      <c r="AI82" s="106"/>
      <c r="AJ82" s="182"/>
      <c r="AK82" s="128"/>
      <c r="AL82" s="128"/>
      <c r="AM82" s="174"/>
      <c r="AN82" s="6"/>
      <c r="AO82" s="6"/>
      <c r="AP82" s="6"/>
      <c r="AQ82" s="6"/>
      <c r="AR82" s="6"/>
      <c r="AS82" s="141"/>
      <c r="AT82" s="109"/>
      <c r="AU82" s="160"/>
      <c r="AV82" s="5"/>
      <c r="AW82" s="109"/>
      <c r="AX82" s="160"/>
      <c r="AY82" s="6"/>
      <c r="AZ82" s="6"/>
      <c r="BA82" s="6"/>
      <c r="BB82" s="6"/>
      <c r="BC82" s="6"/>
      <c r="BD82" s="6"/>
      <c r="BE82" s="45"/>
      <c r="BF82" s="46"/>
      <c r="BG82" s="46"/>
      <c r="BH82" s="26"/>
      <c r="BI82" s="26"/>
      <c r="BJ82" s="26"/>
      <c r="BK82" s="26"/>
      <c r="BL82" s="26"/>
      <c r="BM82" s="26"/>
      <c r="BN82" s="26"/>
      <c r="BO82" s="218"/>
      <c r="BP82" s="110"/>
      <c r="BQ82" s="110"/>
      <c r="BR82" s="26"/>
      <c r="BS82" s="26"/>
      <c r="BT82" s="26"/>
      <c r="BU82" s="26"/>
      <c r="BV82" s="26"/>
      <c r="BW82" s="26"/>
      <c r="BX82" s="26"/>
      <c r="BY82" s="143"/>
      <c r="BZ82" s="26"/>
      <c r="CA82" s="169"/>
      <c r="CB82" s="26"/>
      <c r="CC82" s="26"/>
      <c r="CD82" s="26"/>
      <c r="CE82" s="26"/>
      <c r="CF82" s="26"/>
      <c r="CG82" s="26"/>
      <c r="CH82" s="26"/>
      <c r="CI82" s="26"/>
      <c r="CJ82" s="26"/>
      <c r="CK82" s="26"/>
      <c r="CL82" s="26"/>
      <c r="CM82" s="26"/>
      <c r="CN82" s="26"/>
      <c r="CO82" s="26"/>
    </row>
    <row r="83" spans="1:93" ht="12.75" customHeight="1" x14ac:dyDescent="0.25">
      <c r="A83" s="30"/>
      <c r="B83" s="30"/>
      <c r="C83" s="434"/>
      <c r="D83" s="409"/>
      <c r="E83" s="409"/>
      <c r="F83" s="409"/>
      <c r="G83" s="409"/>
      <c r="H83" s="409"/>
      <c r="I83" s="409"/>
      <c r="J83" s="409"/>
      <c r="K83" s="409"/>
      <c r="L83" s="409"/>
      <c r="M83" s="409"/>
      <c r="N83" s="409"/>
      <c r="O83" s="442"/>
      <c r="P83" s="30"/>
      <c r="Q83" s="6"/>
      <c r="R83" s="6"/>
      <c r="S83" s="6"/>
      <c r="T83" s="6"/>
      <c r="U83" s="6"/>
      <c r="V83" s="6"/>
      <c r="W83" s="6"/>
      <c r="X83" s="6"/>
      <c r="Y83" s="6"/>
      <c r="Z83" s="6"/>
      <c r="AA83" s="6"/>
      <c r="AB83" s="6"/>
      <c r="AC83" s="6"/>
      <c r="AD83" s="6"/>
      <c r="AE83" s="6"/>
      <c r="AF83" s="6"/>
      <c r="AG83" s="6"/>
      <c r="AH83" s="6"/>
      <c r="AI83" s="6"/>
      <c r="AJ83" s="6"/>
      <c r="AK83" s="6"/>
      <c r="AL83" s="6"/>
      <c r="AM83" s="6"/>
      <c r="AN83" s="52"/>
      <c r="AO83" s="6"/>
      <c r="AP83" s="6"/>
      <c r="AQ83" s="6"/>
      <c r="AR83" s="6"/>
      <c r="AS83" s="141"/>
      <c r="AT83" s="109"/>
      <c r="AU83" s="160"/>
      <c r="AV83" s="5"/>
      <c r="AW83" s="109"/>
      <c r="AX83" s="160"/>
      <c r="AY83" s="6"/>
      <c r="AZ83" s="6"/>
      <c r="BA83" s="6"/>
      <c r="BB83" s="6"/>
      <c r="BC83" s="6"/>
      <c r="BD83" s="6"/>
      <c r="BE83" s="6"/>
      <c r="BF83" s="47"/>
      <c r="BG83" s="47"/>
      <c r="BH83" s="47"/>
      <c r="BI83" s="47"/>
      <c r="BJ83" s="26"/>
      <c r="BK83" s="26"/>
      <c r="BL83" s="26"/>
      <c r="BM83" s="26"/>
      <c r="BN83" s="26"/>
      <c r="BO83" s="165"/>
      <c r="BP83" s="110"/>
      <c r="BQ83" s="110"/>
      <c r="BR83" s="26"/>
      <c r="BS83" s="26"/>
      <c r="BT83" s="26"/>
      <c r="BU83" s="26"/>
      <c r="BV83" s="26"/>
      <c r="BW83" s="26"/>
      <c r="BX83" s="26"/>
      <c r="BY83" s="121"/>
      <c r="BZ83" s="122"/>
      <c r="CA83" s="100"/>
      <c r="CB83" s="26"/>
      <c r="CC83" s="26"/>
      <c r="CD83" s="26"/>
      <c r="CE83" s="26"/>
      <c r="CF83" s="26"/>
      <c r="CG83" s="26"/>
      <c r="CH83" s="26"/>
      <c r="CI83" s="26"/>
      <c r="CJ83" s="26"/>
      <c r="CK83" s="26"/>
      <c r="CL83" s="26"/>
      <c r="CM83" s="26"/>
      <c r="CN83" s="26"/>
      <c r="CO83" s="26"/>
    </row>
    <row r="84" spans="1:93" ht="12.75" customHeight="1" x14ac:dyDescent="0.25">
      <c r="A84" s="30"/>
      <c r="B84" s="30"/>
      <c r="C84" s="434"/>
      <c r="D84" s="409"/>
      <c r="E84" s="409"/>
      <c r="F84" s="409"/>
      <c r="G84" s="409"/>
      <c r="H84" s="409"/>
      <c r="I84" s="409"/>
      <c r="J84" s="409"/>
      <c r="K84" s="409"/>
      <c r="L84" s="409"/>
      <c r="M84" s="409"/>
      <c r="N84" s="409"/>
      <c r="O84" s="442"/>
      <c r="P84" s="30"/>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52"/>
      <c r="AT84" s="109"/>
      <c r="AU84" s="106"/>
      <c r="AV84" s="5"/>
      <c r="AW84" s="109"/>
      <c r="AX84" s="106"/>
      <c r="AY84" s="6"/>
      <c r="AZ84" s="6"/>
      <c r="BA84" s="6"/>
      <c r="BB84" s="6"/>
      <c r="BC84" s="6"/>
      <c r="BD84" s="6"/>
      <c r="BE84" s="6"/>
      <c r="BF84" s="26"/>
      <c r="BG84" s="26"/>
      <c r="BH84" s="26"/>
      <c r="BI84" s="26"/>
      <c r="BJ84" s="26"/>
      <c r="BK84" s="26"/>
      <c r="BL84" s="26"/>
      <c r="BM84" s="26"/>
      <c r="BN84" s="26"/>
      <c r="BO84" s="26"/>
      <c r="BP84" s="26"/>
      <c r="BQ84" s="26"/>
      <c r="BR84" s="26"/>
      <c r="BS84" s="26"/>
      <c r="BT84" s="26"/>
      <c r="BU84" s="26"/>
      <c r="BV84" s="26"/>
      <c r="BW84" s="26"/>
      <c r="BX84" s="26"/>
      <c r="BY84" s="41"/>
      <c r="BZ84" s="122"/>
      <c r="CA84" s="64"/>
      <c r="CB84" s="26"/>
      <c r="CC84" s="26"/>
      <c r="CD84" s="26"/>
      <c r="CE84" s="26"/>
      <c r="CF84" s="26"/>
      <c r="CG84" s="26"/>
      <c r="CH84" s="26"/>
      <c r="CI84" s="26"/>
      <c r="CJ84" s="26"/>
      <c r="CK84" s="26"/>
      <c r="CL84" s="26"/>
      <c r="CM84" s="26"/>
      <c r="CN84" s="26"/>
      <c r="CO84" s="26"/>
    </row>
    <row r="85" spans="1:93" ht="12.75" customHeight="1" x14ac:dyDescent="0.25">
      <c r="A85" s="30"/>
      <c r="B85" s="30"/>
      <c r="C85" s="434"/>
      <c r="D85" s="409"/>
      <c r="E85" s="409"/>
      <c r="F85" s="409"/>
      <c r="G85" s="409"/>
      <c r="H85" s="409"/>
      <c r="I85" s="409"/>
      <c r="J85" s="409"/>
      <c r="K85" s="409"/>
      <c r="L85" s="409"/>
      <c r="M85" s="409"/>
      <c r="N85" s="409"/>
      <c r="O85" s="442"/>
      <c r="P85" s="30"/>
      <c r="Q85" s="6"/>
      <c r="R85" s="6"/>
      <c r="S85" s="6"/>
      <c r="T85" s="6"/>
      <c r="U85" s="6"/>
      <c r="V85" s="6"/>
      <c r="W85" s="6"/>
      <c r="X85" s="6"/>
      <c r="Y85" s="6"/>
      <c r="Z85" s="6"/>
      <c r="AA85" s="6"/>
      <c r="AB85" s="6"/>
      <c r="AC85" s="6"/>
      <c r="AD85" s="6"/>
      <c r="AE85" s="6"/>
      <c r="AF85" s="52"/>
      <c r="AG85" s="6"/>
      <c r="AH85" s="128"/>
      <c r="AI85" s="52"/>
      <c r="AJ85" s="52"/>
      <c r="AK85" s="52"/>
      <c r="AL85" s="52"/>
      <c r="AM85" s="52"/>
      <c r="AN85" s="6"/>
      <c r="AO85" s="6"/>
      <c r="AP85" s="6"/>
      <c r="AQ85" s="6"/>
      <c r="AR85" s="6"/>
      <c r="AS85" s="6"/>
      <c r="AT85" s="6"/>
      <c r="AU85" s="6"/>
      <c r="AV85" s="6"/>
      <c r="AW85" s="6"/>
      <c r="AX85" s="6"/>
      <c r="AY85" s="6"/>
      <c r="AZ85" s="6"/>
      <c r="BA85" s="6"/>
      <c r="BB85" s="6"/>
      <c r="BC85" s="6"/>
      <c r="BD85" s="6"/>
      <c r="BE85" s="6"/>
      <c r="BF85" s="61"/>
      <c r="BG85" s="61"/>
      <c r="BH85" s="61"/>
      <c r="BI85" s="61"/>
      <c r="BJ85" s="26"/>
      <c r="BK85" s="26"/>
      <c r="BL85" s="26"/>
      <c r="BM85" s="26"/>
      <c r="BN85" s="26"/>
      <c r="BO85" s="26"/>
      <c r="BP85" s="26"/>
      <c r="BQ85" s="26"/>
      <c r="BR85" s="26"/>
      <c r="BS85" s="26"/>
      <c r="BT85" s="26"/>
      <c r="BU85" s="26"/>
      <c r="BV85" s="26"/>
      <c r="BW85" s="26"/>
      <c r="BX85" s="26"/>
      <c r="BY85" s="41"/>
      <c r="BZ85" s="122"/>
      <c r="CA85" s="64"/>
      <c r="CB85" s="26"/>
      <c r="CC85" s="26"/>
      <c r="CD85" s="26"/>
      <c r="CE85" s="26"/>
      <c r="CF85" s="26"/>
      <c r="CG85" s="26"/>
      <c r="CH85" s="26"/>
      <c r="CI85" s="26"/>
      <c r="CJ85" s="26"/>
      <c r="CK85" s="26"/>
      <c r="CL85" s="26"/>
      <c r="CM85" s="26"/>
      <c r="CN85" s="26"/>
      <c r="CO85" s="26"/>
    </row>
    <row r="86" spans="1:93" ht="12.75" customHeight="1" x14ac:dyDescent="0.25">
      <c r="A86" s="30"/>
      <c r="B86" s="30"/>
      <c r="C86" s="434"/>
      <c r="D86" s="409"/>
      <c r="E86" s="409"/>
      <c r="F86" s="409"/>
      <c r="G86" s="409"/>
      <c r="H86" s="409"/>
      <c r="I86" s="409"/>
      <c r="J86" s="409"/>
      <c r="K86" s="409"/>
      <c r="L86" s="409"/>
      <c r="M86" s="409"/>
      <c r="N86" s="409"/>
      <c r="O86" s="442"/>
      <c r="P86" s="30"/>
      <c r="Q86" s="6"/>
      <c r="R86" s="6"/>
      <c r="S86" s="6"/>
      <c r="T86" s="6"/>
      <c r="U86" s="6"/>
      <c r="V86" s="6"/>
      <c r="W86" s="6"/>
      <c r="X86" s="6"/>
      <c r="Y86" s="6"/>
      <c r="Z86" s="6"/>
      <c r="AA86" s="6"/>
      <c r="AB86" s="6"/>
      <c r="AC86" s="6"/>
      <c r="AD86" s="6"/>
      <c r="AE86" s="6"/>
      <c r="AF86" s="6"/>
      <c r="AG86" s="6"/>
      <c r="AH86" s="128"/>
      <c r="AI86" s="6"/>
      <c r="AJ86" s="6"/>
      <c r="AK86" s="6"/>
      <c r="AL86" s="6"/>
      <c r="AM86" s="6"/>
      <c r="AN86" s="6"/>
      <c r="AO86" s="52"/>
      <c r="AP86" s="5"/>
      <c r="AQ86" s="5"/>
      <c r="AR86" s="6"/>
      <c r="AS86" s="6"/>
      <c r="AT86" s="6"/>
      <c r="AU86" s="6"/>
      <c r="AV86" s="6"/>
      <c r="AW86" s="6"/>
      <c r="AX86" s="6"/>
      <c r="AY86" s="6"/>
      <c r="AZ86" s="6"/>
      <c r="BA86" s="6"/>
      <c r="BB86" s="6"/>
      <c r="BC86" s="6"/>
      <c r="BD86" s="6"/>
      <c r="BE86" s="6"/>
      <c r="BF86" s="26"/>
      <c r="BG86" s="26"/>
      <c r="BH86" s="26"/>
      <c r="BI86" s="26"/>
      <c r="BJ86" s="26"/>
      <c r="BK86" s="26"/>
      <c r="BL86" s="26"/>
      <c r="BM86" s="26"/>
      <c r="BN86" s="26"/>
      <c r="BO86" s="26"/>
      <c r="BP86" s="26"/>
      <c r="BQ86" s="26"/>
      <c r="BR86" s="26"/>
      <c r="BS86" s="26"/>
      <c r="BT86" s="26"/>
      <c r="BU86" s="26"/>
      <c r="BV86" s="26"/>
      <c r="BW86" s="26"/>
      <c r="BX86" s="26"/>
      <c r="BY86" s="41"/>
      <c r="BZ86" s="122"/>
      <c r="CA86" s="100"/>
      <c r="CB86" s="26"/>
      <c r="CC86" s="26"/>
      <c r="CD86" s="26"/>
      <c r="CE86" s="26"/>
      <c r="CF86" s="26"/>
      <c r="CG86" s="26"/>
      <c r="CH86" s="26"/>
      <c r="CI86" s="26"/>
      <c r="CJ86" s="26"/>
      <c r="CK86" s="26"/>
      <c r="CL86" s="26"/>
      <c r="CM86" s="26"/>
      <c r="CN86" s="26"/>
      <c r="CO86" s="26"/>
    </row>
    <row r="87" spans="1:93" ht="12.75" customHeight="1" x14ac:dyDescent="0.25">
      <c r="A87" s="30"/>
      <c r="B87" s="30"/>
      <c r="C87" s="434"/>
      <c r="D87" s="409"/>
      <c r="E87" s="409"/>
      <c r="F87" s="409"/>
      <c r="G87" s="409"/>
      <c r="H87" s="409"/>
      <c r="I87" s="409"/>
      <c r="J87" s="409"/>
      <c r="K87" s="409"/>
      <c r="L87" s="409"/>
      <c r="M87" s="409"/>
      <c r="N87" s="409"/>
      <c r="O87" s="442"/>
      <c r="P87" s="30"/>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47"/>
      <c r="BG87" s="47"/>
      <c r="BH87" s="66"/>
      <c r="BI87" s="66"/>
      <c r="BJ87" s="26"/>
      <c r="BK87" s="26"/>
      <c r="BL87" s="26"/>
      <c r="BM87" s="26"/>
      <c r="BN87" s="26"/>
      <c r="BO87" s="26"/>
      <c r="BP87" s="26"/>
      <c r="BQ87" s="26"/>
      <c r="BR87" s="26"/>
      <c r="BS87" s="26"/>
      <c r="BT87" s="26"/>
      <c r="BU87" s="26"/>
      <c r="BV87" s="26"/>
      <c r="BW87" s="26"/>
      <c r="BX87" s="26"/>
      <c r="BY87" s="26"/>
      <c r="BZ87" s="26"/>
      <c r="CA87" s="26"/>
      <c r="CB87" s="26"/>
      <c r="CC87" s="26"/>
      <c r="CD87" s="26"/>
      <c r="CE87" s="26"/>
      <c r="CF87" s="26"/>
      <c r="CG87" s="26"/>
      <c r="CH87" s="26"/>
      <c r="CI87" s="26"/>
      <c r="CJ87" s="26"/>
      <c r="CK87" s="26"/>
      <c r="CL87" s="26"/>
      <c r="CM87" s="26"/>
      <c r="CN87" s="26"/>
      <c r="CO87" s="26"/>
    </row>
    <row r="88" spans="1:93" ht="12.75" customHeight="1" x14ac:dyDescent="0.25">
      <c r="A88" s="30"/>
      <c r="B88" s="30"/>
      <c r="C88" s="434"/>
      <c r="D88" s="409"/>
      <c r="E88" s="409"/>
      <c r="F88" s="409"/>
      <c r="G88" s="409"/>
      <c r="H88" s="409"/>
      <c r="I88" s="409"/>
      <c r="J88" s="409"/>
      <c r="K88" s="409"/>
      <c r="L88" s="409"/>
      <c r="M88" s="409"/>
      <c r="N88" s="409"/>
      <c r="O88" s="442"/>
      <c r="P88" s="30"/>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26"/>
      <c r="BG88" s="26"/>
      <c r="BH88" s="26"/>
      <c r="BI88" s="26"/>
      <c r="BJ88" s="26"/>
      <c r="BK88" s="26"/>
      <c r="BL88" s="26"/>
      <c r="BM88" s="26"/>
      <c r="BN88" s="26"/>
      <c r="BO88" s="26"/>
      <c r="BP88" s="26"/>
      <c r="BQ88" s="26"/>
      <c r="BR88" s="26"/>
      <c r="BS88" s="26"/>
      <c r="BT88" s="26"/>
      <c r="BU88" s="26"/>
      <c r="BV88" s="26"/>
      <c r="BW88" s="26"/>
      <c r="BX88" s="26"/>
      <c r="BY88" s="26"/>
      <c r="BZ88" s="26"/>
      <c r="CA88" s="26"/>
      <c r="CB88" s="26"/>
      <c r="CC88" s="26"/>
      <c r="CD88" s="26"/>
      <c r="CE88" s="26"/>
      <c r="CF88" s="26"/>
      <c r="CG88" s="26"/>
      <c r="CH88" s="26"/>
      <c r="CI88" s="26"/>
      <c r="CJ88" s="26"/>
      <c r="CK88" s="26"/>
      <c r="CL88" s="26"/>
      <c r="CM88" s="26"/>
      <c r="CN88" s="26"/>
      <c r="CO88" s="26"/>
    </row>
    <row r="89" spans="1:93" ht="12.75" customHeight="1" x14ac:dyDescent="0.25">
      <c r="A89" s="30"/>
      <c r="B89" s="30"/>
      <c r="C89" s="434"/>
      <c r="D89" s="409"/>
      <c r="E89" s="409"/>
      <c r="F89" s="409"/>
      <c r="G89" s="409"/>
      <c r="H89" s="409"/>
      <c r="I89" s="409"/>
      <c r="J89" s="409"/>
      <c r="K89" s="409"/>
      <c r="L89" s="409"/>
      <c r="M89" s="409"/>
      <c r="N89" s="409"/>
      <c r="O89" s="442"/>
      <c r="P89" s="30"/>
      <c r="Q89" s="6"/>
      <c r="R89" s="6"/>
      <c r="S89" s="6"/>
      <c r="T89" s="6"/>
      <c r="U89" s="6"/>
      <c r="V89" s="6"/>
      <c r="W89" s="6"/>
      <c r="X89" s="6"/>
      <c r="Y89" s="6"/>
      <c r="Z89" s="6"/>
      <c r="AA89" s="6"/>
      <c r="AB89" s="6"/>
      <c r="AC89" s="6"/>
      <c r="AD89" s="6"/>
      <c r="AE89" s="6"/>
      <c r="AF89" s="6"/>
      <c r="AG89" s="6"/>
      <c r="AH89" s="6"/>
      <c r="AI89" s="6"/>
      <c r="AJ89" s="133"/>
      <c r="AK89" s="6"/>
      <c r="AL89" s="6"/>
      <c r="AM89" s="6"/>
      <c r="AN89" s="6"/>
      <c r="AO89" s="6"/>
      <c r="AP89" s="6"/>
      <c r="AQ89" s="6"/>
      <c r="AR89" s="6"/>
      <c r="AS89" s="133"/>
      <c r="AT89" s="6"/>
      <c r="AU89" s="6"/>
      <c r="AV89" s="6"/>
      <c r="AW89" s="6"/>
      <c r="AX89" s="6"/>
      <c r="AY89" s="6"/>
      <c r="AZ89" s="6"/>
      <c r="BA89" s="6"/>
      <c r="BB89" s="6"/>
      <c r="BC89" s="6"/>
      <c r="BD89" s="6"/>
      <c r="BE89" s="6"/>
      <c r="BF89" s="26"/>
      <c r="BG89" s="26"/>
      <c r="BH89" s="26"/>
      <c r="BI89" s="26"/>
      <c r="BJ89" s="26"/>
      <c r="BK89" s="26"/>
      <c r="BL89" s="26"/>
      <c r="BM89" s="26"/>
      <c r="BN89" s="26"/>
      <c r="BO89" s="26"/>
      <c r="BP89" s="26"/>
      <c r="BQ89" s="26"/>
      <c r="BR89" s="26"/>
      <c r="BS89" s="26"/>
      <c r="BT89" s="26"/>
      <c r="BU89" s="26"/>
      <c r="BV89" s="26"/>
      <c r="BW89" s="26"/>
      <c r="BX89" s="26"/>
      <c r="BY89" s="26"/>
      <c r="BZ89" s="26"/>
      <c r="CA89" s="26"/>
      <c r="CB89" s="26"/>
      <c r="CC89" s="26"/>
      <c r="CD89" s="26"/>
      <c r="CE89" s="26"/>
      <c r="CF89" s="26"/>
      <c r="CG89" s="26"/>
      <c r="CH89" s="26"/>
      <c r="CI89" s="26"/>
      <c r="CJ89" s="26"/>
      <c r="CK89" s="26"/>
      <c r="CL89" s="26"/>
      <c r="CM89" s="26"/>
      <c r="CN89" s="26"/>
      <c r="CO89" s="26"/>
    </row>
    <row r="90" spans="1:93" ht="12.75" customHeight="1" x14ac:dyDescent="0.25">
      <c r="A90" s="30"/>
      <c r="B90" s="30"/>
      <c r="C90" s="434"/>
      <c r="D90" s="409"/>
      <c r="E90" s="409"/>
      <c r="F90" s="409"/>
      <c r="G90" s="409"/>
      <c r="H90" s="409"/>
      <c r="I90" s="409"/>
      <c r="J90" s="409"/>
      <c r="K90" s="409"/>
      <c r="L90" s="409"/>
      <c r="M90" s="409"/>
      <c r="N90" s="409"/>
      <c r="O90" s="442"/>
      <c r="P90" s="30"/>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26"/>
      <c r="BG90" s="26"/>
      <c r="BH90" s="26"/>
      <c r="BI90" s="26"/>
      <c r="BJ90" s="26"/>
      <c r="BK90" s="26"/>
      <c r="BL90" s="26"/>
      <c r="BM90" s="26"/>
      <c r="BN90" s="26"/>
      <c r="BO90" s="26"/>
      <c r="BP90" s="26"/>
      <c r="BQ90" s="26"/>
      <c r="BR90" s="26"/>
      <c r="BS90" s="26"/>
      <c r="BT90" s="26"/>
      <c r="BU90" s="26"/>
      <c r="BV90" s="26"/>
      <c r="BW90" s="26"/>
      <c r="BX90" s="26"/>
      <c r="BY90" s="26"/>
      <c r="BZ90" s="26"/>
      <c r="CA90" s="26"/>
      <c r="CB90" s="26"/>
      <c r="CC90" s="26"/>
      <c r="CD90" s="26"/>
      <c r="CE90" s="26"/>
      <c r="CF90" s="26"/>
      <c r="CG90" s="26"/>
      <c r="CH90" s="26"/>
      <c r="CI90" s="26"/>
      <c r="CJ90" s="26"/>
      <c r="CK90" s="26"/>
      <c r="CL90" s="26"/>
      <c r="CM90" s="26"/>
      <c r="CN90" s="26"/>
      <c r="CO90" s="26"/>
    </row>
    <row r="91" spans="1:93" ht="15" customHeight="1" x14ac:dyDescent="0.25">
      <c r="A91" s="30"/>
      <c r="B91" s="30"/>
      <c r="C91" s="434"/>
      <c r="D91" s="409"/>
      <c r="E91" s="409"/>
      <c r="F91" s="409"/>
      <c r="G91" s="409"/>
      <c r="H91" s="409"/>
      <c r="I91" s="409"/>
      <c r="J91" s="409"/>
      <c r="K91" s="409"/>
      <c r="L91" s="409"/>
      <c r="M91" s="409"/>
      <c r="N91" s="409"/>
      <c r="O91" s="442"/>
      <c r="P91" s="30"/>
      <c r="Q91" s="6"/>
      <c r="R91" s="6"/>
      <c r="S91" s="6"/>
      <c r="T91" s="6"/>
      <c r="U91" s="6"/>
      <c r="V91" s="6"/>
      <c r="W91" s="6"/>
      <c r="X91" s="6"/>
      <c r="Y91" s="6"/>
      <c r="Z91" s="6"/>
      <c r="AA91" s="6"/>
      <c r="AB91" s="6"/>
      <c r="AC91" s="6"/>
      <c r="AD91" s="6"/>
      <c r="AE91" s="6"/>
      <c r="AF91" s="44"/>
      <c r="AG91" s="6"/>
      <c r="AH91" s="6"/>
      <c r="AI91" s="6"/>
      <c r="AJ91" s="6"/>
      <c r="AK91" s="6"/>
      <c r="AL91" s="6"/>
      <c r="AM91" s="6"/>
      <c r="AN91" s="6"/>
      <c r="AO91" s="6"/>
      <c r="AP91" s="6"/>
      <c r="AQ91" s="6"/>
      <c r="AR91" s="6"/>
      <c r="AS91" s="6"/>
      <c r="AT91" s="6"/>
      <c r="AU91" s="6"/>
      <c r="AV91" s="137"/>
      <c r="AW91" s="137"/>
      <c r="AX91" s="137"/>
      <c r="AY91" s="137"/>
      <c r="AZ91" s="137"/>
      <c r="BA91" s="137"/>
      <c r="BB91" s="137"/>
      <c r="BC91" s="6"/>
      <c r="BD91" s="6"/>
      <c r="BE91" s="45"/>
      <c r="BF91" s="46"/>
      <c r="BG91" s="26"/>
      <c r="BH91" s="26"/>
      <c r="BI91" s="26"/>
      <c r="BJ91" s="26"/>
      <c r="BK91" s="48"/>
      <c r="BL91" s="26"/>
      <c r="BM91" s="26"/>
      <c r="BN91" s="26"/>
      <c r="BO91" s="26"/>
      <c r="BP91" s="26"/>
      <c r="BQ91" s="26"/>
      <c r="BR91" s="26"/>
      <c r="BS91" s="26"/>
      <c r="BT91" s="26"/>
      <c r="BU91" s="26"/>
      <c r="BV91" s="26"/>
      <c r="BW91" s="26"/>
      <c r="BX91" s="26"/>
      <c r="BY91" s="26"/>
      <c r="BZ91" s="26"/>
      <c r="CA91" s="49"/>
      <c r="CB91" s="49"/>
      <c r="CC91" s="49"/>
      <c r="CD91" s="49"/>
      <c r="CE91" s="49"/>
      <c r="CF91" s="49"/>
      <c r="CG91" s="49"/>
      <c r="CH91" s="49"/>
      <c r="CI91" s="49"/>
      <c r="CJ91" s="26"/>
      <c r="CK91" s="46"/>
      <c r="CL91" s="46"/>
      <c r="CM91" s="26"/>
      <c r="CN91" s="26"/>
      <c r="CO91" s="26"/>
    </row>
    <row r="92" spans="1:93" ht="12.75" customHeight="1" x14ac:dyDescent="0.25">
      <c r="A92" s="30"/>
      <c r="B92" s="30"/>
      <c r="C92" s="434"/>
      <c r="D92" s="409"/>
      <c r="E92" s="409"/>
      <c r="F92" s="409"/>
      <c r="G92" s="409"/>
      <c r="H92" s="409"/>
      <c r="I92" s="409"/>
      <c r="J92" s="409"/>
      <c r="K92" s="409"/>
      <c r="L92" s="409"/>
      <c r="M92" s="409"/>
      <c r="N92" s="409"/>
      <c r="O92" s="442"/>
      <c r="P92" s="30"/>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53"/>
      <c r="BF92" s="54"/>
      <c r="BG92" s="26"/>
      <c r="BH92" s="26"/>
      <c r="BI92" s="26"/>
      <c r="BJ92" s="26"/>
      <c r="BK92" s="26"/>
      <c r="BL92" s="26"/>
      <c r="BM92" s="26"/>
      <c r="BN92" s="26"/>
      <c r="BO92" s="26"/>
      <c r="BP92" s="26"/>
      <c r="BQ92" s="26"/>
      <c r="BR92" s="26"/>
      <c r="BS92" s="26"/>
      <c r="BT92" s="26"/>
      <c r="BU92" s="26"/>
      <c r="BV92" s="26"/>
      <c r="BW92" s="26"/>
      <c r="BX92" s="26"/>
      <c r="BY92" s="26"/>
      <c r="BZ92" s="26"/>
      <c r="CA92" s="26"/>
      <c r="CB92" s="26"/>
      <c r="CC92" s="26"/>
      <c r="CD92" s="61"/>
      <c r="CE92" s="26"/>
      <c r="CF92" s="26"/>
      <c r="CG92" s="26"/>
      <c r="CH92" s="26"/>
      <c r="CI92" s="26"/>
      <c r="CJ92" s="26"/>
      <c r="CK92" s="54"/>
      <c r="CL92" s="54"/>
      <c r="CM92" s="26"/>
      <c r="CN92" s="26"/>
      <c r="CO92" s="26"/>
    </row>
    <row r="93" spans="1:93" ht="12.75" customHeight="1" x14ac:dyDescent="0.25">
      <c r="A93" s="30"/>
      <c r="B93" s="30"/>
      <c r="C93" s="434"/>
      <c r="D93" s="409"/>
      <c r="E93" s="409"/>
      <c r="F93" s="409"/>
      <c r="G93" s="409"/>
      <c r="H93" s="409"/>
      <c r="I93" s="409"/>
      <c r="J93" s="409"/>
      <c r="K93" s="409"/>
      <c r="L93" s="409"/>
      <c r="M93" s="409"/>
      <c r="N93" s="409"/>
      <c r="O93" s="442"/>
      <c r="P93" s="30"/>
      <c r="Q93" s="6"/>
      <c r="R93" s="6"/>
      <c r="S93" s="6"/>
      <c r="T93" s="6"/>
      <c r="U93" s="6"/>
      <c r="V93" s="6"/>
      <c r="W93" s="6"/>
      <c r="X93" s="6"/>
      <c r="Y93" s="6"/>
      <c r="Z93" s="6"/>
      <c r="AA93" s="6"/>
      <c r="AB93" s="6"/>
      <c r="AC93" s="6"/>
      <c r="AD93" s="6"/>
      <c r="AE93" s="6"/>
      <c r="AF93" s="6"/>
      <c r="AG93" s="5"/>
      <c r="AH93" s="52"/>
      <c r="AI93" s="6"/>
      <c r="AJ93" s="6"/>
      <c r="AK93" s="6"/>
      <c r="AL93" s="6"/>
      <c r="AM93" s="6"/>
      <c r="AN93" s="6"/>
      <c r="AO93" s="6"/>
      <c r="AP93" s="6"/>
      <c r="AQ93" s="6"/>
      <c r="AR93" s="6"/>
      <c r="AS93" s="6"/>
      <c r="AT93" s="6"/>
      <c r="AU93" s="6"/>
      <c r="AV93" s="6"/>
      <c r="AW93" s="6"/>
      <c r="AX93" s="82"/>
      <c r="AY93" s="6"/>
      <c r="AZ93" s="6"/>
      <c r="BA93" s="6"/>
      <c r="BB93" s="6"/>
      <c r="BC93" s="6"/>
      <c r="BD93" s="6"/>
      <c r="BE93" s="45"/>
      <c r="BF93" s="46"/>
      <c r="BG93" s="26"/>
      <c r="BH93" s="26"/>
      <c r="BI93" s="26"/>
      <c r="BJ93" s="26"/>
      <c r="BK93" s="26"/>
      <c r="BL93" s="38"/>
      <c r="BM93" s="38"/>
      <c r="BN93" s="26"/>
      <c r="BO93" s="26"/>
      <c r="BP93" s="26"/>
      <c r="BQ93" s="26"/>
      <c r="BR93" s="26"/>
      <c r="BS93" s="26"/>
      <c r="BT93" s="26"/>
      <c r="BU93" s="26"/>
      <c r="BV93" s="26"/>
      <c r="BW93" s="26"/>
      <c r="BX93" s="26"/>
      <c r="BY93" s="26"/>
      <c r="BZ93" s="26"/>
      <c r="CA93" s="26"/>
      <c r="CB93" s="61"/>
      <c r="CC93" s="26"/>
      <c r="CD93" s="26"/>
      <c r="CE93" s="26"/>
      <c r="CF93" s="26"/>
      <c r="CG93" s="26"/>
      <c r="CH93" s="26"/>
      <c r="CI93" s="26"/>
      <c r="CJ93" s="26"/>
      <c r="CK93" s="46"/>
      <c r="CL93" s="46"/>
      <c r="CM93" s="96"/>
      <c r="CN93" s="26"/>
      <c r="CO93" s="26"/>
    </row>
    <row r="94" spans="1:93" ht="12.75" customHeight="1" x14ac:dyDescent="0.25">
      <c r="A94" s="30"/>
      <c r="B94" s="30"/>
      <c r="C94" s="434"/>
      <c r="D94" s="409"/>
      <c r="E94" s="409"/>
      <c r="F94" s="409"/>
      <c r="G94" s="409"/>
      <c r="H94" s="409"/>
      <c r="I94" s="409"/>
      <c r="J94" s="409"/>
      <c r="K94" s="409"/>
      <c r="L94" s="409"/>
      <c r="M94" s="409"/>
      <c r="N94" s="409"/>
      <c r="O94" s="442"/>
      <c r="P94" s="30"/>
      <c r="Q94" s="6"/>
      <c r="R94" s="6"/>
      <c r="S94" s="6"/>
      <c r="T94" s="6"/>
      <c r="U94" s="6"/>
      <c r="V94" s="6"/>
      <c r="W94" s="6"/>
      <c r="X94" s="6"/>
      <c r="Y94" s="6"/>
      <c r="Z94" s="6"/>
      <c r="AA94" s="6"/>
      <c r="AB94" s="82"/>
      <c r="AC94" s="76"/>
      <c r="AD94" s="6"/>
      <c r="AE94" s="6"/>
      <c r="AF94" s="6"/>
      <c r="AG94" s="52"/>
      <c r="AH94" s="6"/>
      <c r="AI94" s="6"/>
      <c r="AJ94" s="6"/>
      <c r="AK94" s="6"/>
      <c r="AL94" s="6"/>
      <c r="AM94" s="6"/>
      <c r="AN94" s="6"/>
      <c r="AO94" s="6"/>
      <c r="AP94" s="6"/>
      <c r="AQ94" s="6"/>
      <c r="AR94" s="6"/>
      <c r="AS94" s="6"/>
      <c r="AT94" s="6"/>
      <c r="AU94" s="6"/>
      <c r="AV94" s="82"/>
      <c r="AW94" s="6"/>
      <c r="AX94" s="6"/>
      <c r="AY94" s="6"/>
      <c r="AZ94" s="6"/>
      <c r="BA94" s="6"/>
      <c r="BB94" s="6"/>
      <c r="BC94" s="6"/>
      <c r="BD94" s="6"/>
      <c r="BE94" s="45"/>
      <c r="BF94" s="46"/>
      <c r="BG94" s="26"/>
      <c r="BH94" s="26"/>
      <c r="BI94" s="26"/>
      <c r="BJ94" s="26"/>
      <c r="BK94" s="26"/>
      <c r="BL94" s="38"/>
      <c r="BM94" s="26"/>
      <c r="BN94" s="26"/>
      <c r="BO94" s="26"/>
      <c r="BP94" s="26"/>
      <c r="BQ94" s="26"/>
      <c r="BR94" s="26"/>
      <c r="BS94" s="26"/>
      <c r="BT94" s="26"/>
      <c r="BU94" s="26"/>
      <c r="BV94" s="26"/>
      <c r="BW94" s="26"/>
      <c r="BX94" s="26"/>
      <c r="BY94" s="26"/>
      <c r="BZ94" s="26"/>
      <c r="CA94" s="26"/>
      <c r="CB94" s="61"/>
      <c r="CC94" s="26"/>
      <c r="CD94" s="26"/>
      <c r="CE94" s="26"/>
      <c r="CF94" s="26"/>
      <c r="CG94" s="26"/>
      <c r="CH94" s="26"/>
      <c r="CI94" s="26"/>
      <c r="CJ94" s="26"/>
      <c r="CK94" s="46"/>
      <c r="CL94" s="46"/>
      <c r="CM94" s="26"/>
      <c r="CN94" s="26"/>
      <c r="CO94" s="26"/>
    </row>
    <row r="95" spans="1:93" ht="12.75" customHeight="1" x14ac:dyDescent="0.25">
      <c r="A95" s="30"/>
      <c r="B95" s="30"/>
      <c r="C95" s="434"/>
      <c r="D95" s="409"/>
      <c r="E95" s="409"/>
      <c r="F95" s="409"/>
      <c r="G95" s="409"/>
      <c r="H95" s="409"/>
      <c r="I95" s="409"/>
      <c r="J95" s="409"/>
      <c r="K95" s="409"/>
      <c r="L95" s="409"/>
      <c r="M95" s="409"/>
      <c r="N95" s="409"/>
      <c r="O95" s="442"/>
      <c r="P95" s="30"/>
      <c r="Q95" s="6"/>
      <c r="R95" s="6"/>
      <c r="S95" s="6"/>
      <c r="T95" s="6"/>
      <c r="U95" s="6"/>
      <c r="V95" s="6"/>
      <c r="W95" s="6"/>
      <c r="X95" s="6"/>
      <c r="Y95" s="6"/>
      <c r="Z95" s="6"/>
      <c r="AA95" s="6"/>
      <c r="AB95" s="6"/>
      <c r="AC95" s="6"/>
      <c r="AD95" s="6"/>
      <c r="AE95" s="6"/>
      <c r="AF95" s="6"/>
      <c r="AG95" s="6"/>
      <c r="AH95" s="6"/>
      <c r="AI95" s="6"/>
      <c r="AJ95" s="6"/>
      <c r="AK95" s="6"/>
      <c r="AL95" s="6"/>
      <c r="AM95" s="6"/>
      <c r="AN95" s="6"/>
      <c r="AO95" s="6"/>
      <c r="AP95" s="52"/>
      <c r="AQ95" s="52"/>
      <c r="AR95" s="6"/>
      <c r="AS95" s="6"/>
      <c r="AT95" s="6"/>
      <c r="AU95" s="6"/>
      <c r="AV95" s="82"/>
      <c r="AW95" s="76"/>
      <c r="AX95" s="6"/>
      <c r="AY95" s="6"/>
      <c r="AZ95" s="6"/>
      <c r="BA95" s="6"/>
      <c r="BB95" s="6"/>
      <c r="BC95" s="6"/>
      <c r="BD95" s="6"/>
      <c r="BE95" s="45"/>
      <c r="BF95" s="46"/>
      <c r="BG95" s="26"/>
      <c r="BH95" s="26"/>
      <c r="BI95" s="26"/>
      <c r="BJ95" s="26"/>
      <c r="BK95" s="26"/>
      <c r="BL95" s="26"/>
      <c r="BM95" s="26"/>
      <c r="BN95" s="26"/>
      <c r="BO95" s="26"/>
      <c r="BP95" s="26"/>
      <c r="BQ95" s="26"/>
      <c r="BR95" s="26"/>
      <c r="BS95" s="26"/>
      <c r="BT95" s="26"/>
      <c r="BU95" s="26"/>
      <c r="BV95" s="26"/>
      <c r="BW95" s="26"/>
      <c r="BX95" s="26"/>
      <c r="BY95" s="26"/>
      <c r="BZ95" s="26"/>
      <c r="CA95" s="26"/>
      <c r="CB95" s="26"/>
      <c r="CC95" s="26"/>
      <c r="CD95" s="26"/>
      <c r="CE95" s="26"/>
      <c r="CF95" s="26"/>
      <c r="CG95" s="26"/>
      <c r="CH95" s="26"/>
      <c r="CI95" s="26"/>
      <c r="CJ95" s="26"/>
      <c r="CK95" s="46"/>
      <c r="CL95" s="46"/>
      <c r="CM95" s="26"/>
      <c r="CN95" s="26"/>
      <c r="CO95" s="26"/>
    </row>
    <row r="96" spans="1:93" ht="12.75" customHeight="1" x14ac:dyDescent="0.25">
      <c r="A96" s="30"/>
      <c r="B96" s="30"/>
      <c r="C96" s="434"/>
      <c r="D96" s="409"/>
      <c r="E96" s="409"/>
      <c r="F96" s="409"/>
      <c r="G96" s="409"/>
      <c r="H96" s="409"/>
      <c r="I96" s="409"/>
      <c r="J96" s="409"/>
      <c r="K96" s="409"/>
      <c r="L96" s="409"/>
      <c r="M96" s="409"/>
      <c r="N96" s="409"/>
      <c r="O96" s="442"/>
      <c r="P96" s="30"/>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45"/>
      <c r="BF96" s="26"/>
      <c r="BG96" s="26"/>
      <c r="BH96" s="26"/>
      <c r="BI96" s="26"/>
      <c r="BJ96" s="26"/>
      <c r="BK96" s="26"/>
      <c r="BL96" s="26"/>
      <c r="BM96" s="26"/>
      <c r="BN96" s="26"/>
      <c r="BO96" s="26"/>
      <c r="BP96" s="26"/>
      <c r="BQ96" s="26"/>
      <c r="BR96" s="26"/>
      <c r="BS96" s="26"/>
      <c r="BT96" s="26"/>
      <c r="BU96" s="26"/>
      <c r="BV96" s="26"/>
      <c r="BW96" s="26"/>
      <c r="BX96" s="26"/>
      <c r="BY96" s="26"/>
      <c r="BZ96" s="26"/>
      <c r="CA96" s="26"/>
      <c r="CB96" s="26"/>
      <c r="CC96" s="143"/>
      <c r="CD96" s="26"/>
      <c r="CE96" s="26"/>
      <c r="CF96" s="26"/>
      <c r="CG96" s="26"/>
      <c r="CH96" s="26"/>
      <c r="CI96" s="26"/>
      <c r="CJ96" s="26"/>
      <c r="CK96" s="46"/>
      <c r="CL96" s="26"/>
      <c r="CM96" s="26"/>
      <c r="CN96" s="26"/>
      <c r="CO96" s="26"/>
    </row>
    <row r="97" spans="1:93" ht="12.75" customHeight="1" x14ac:dyDescent="0.25">
      <c r="A97" s="30"/>
      <c r="B97" s="30"/>
      <c r="C97" s="434"/>
      <c r="D97" s="409"/>
      <c r="E97" s="409"/>
      <c r="F97" s="409"/>
      <c r="G97" s="409"/>
      <c r="H97" s="409"/>
      <c r="I97" s="409"/>
      <c r="J97" s="409"/>
      <c r="K97" s="409"/>
      <c r="L97" s="409"/>
      <c r="M97" s="409"/>
      <c r="N97" s="409"/>
      <c r="O97" s="442"/>
      <c r="P97" s="30"/>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52"/>
      <c r="AW97" s="6"/>
      <c r="AX97" s="52"/>
      <c r="AY97" s="52"/>
      <c r="AZ97" s="6"/>
      <c r="BA97" s="6"/>
      <c r="BB97" s="6"/>
      <c r="BC97" s="6"/>
      <c r="BD97" s="6"/>
      <c r="BE97" s="6"/>
      <c r="BF97" s="64"/>
      <c r="BG97" s="26"/>
      <c r="BH97" s="26"/>
      <c r="BI97" s="26"/>
      <c r="BJ97" s="26"/>
      <c r="BK97" s="26"/>
      <c r="BL97" s="26"/>
      <c r="BM97" s="26"/>
      <c r="BN97" s="26"/>
      <c r="BO97" s="26"/>
      <c r="BP97" s="26"/>
      <c r="BQ97" s="26"/>
      <c r="BR97" s="26"/>
      <c r="BS97" s="26"/>
      <c r="BT97" s="26"/>
      <c r="BU97" s="26"/>
      <c r="BV97" s="26"/>
      <c r="BW97" s="26"/>
      <c r="BX97" s="26"/>
      <c r="BY97" s="26"/>
      <c r="BZ97" s="26"/>
      <c r="CA97" s="26"/>
      <c r="CB97" s="38"/>
      <c r="CC97" s="38"/>
      <c r="CD97" s="100"/>
      <c r="CE97" s="26"/>
      <c r="CF97" s="26"/>
      <c r="CG97" s="26"/>
      <c r="CH97" s="26"/>
      <c r="CI97" s="26"/>
      <c r="CJ97" s="26"/>
      <c r="CK97" s="26" t="str">
        <f>IF(CK91,"in."," ")</f>
        <v xml:space="preserve"> </v>
      </c>
      <c r="CL97" s="64"/>
      <c r="CM97" s="26"/>
      <c r="CN97" s="26"/>
      <c r="CO97" s="26"/>
    </row>
    <row r="98" spans="1:93" ht="12.75" customHeight="1" x14ac:dyDescent="0.25">
      <c r="A98" s="30"/>
      <c r="B98" s="30"/>
      <c r="C98" s="434"/>
      <c r="D98" s="409"/>
      <c r="E98" s="409"/>
      <c r="F98" s="409"/>
      <c r="G98" s="409"/>
      <c r="H98" s="409"/>
      <c r="I98" s="409"/>
      <c r="J98" s="409"/>
      <c r="K98" s="409"/>
      <c r="L98" s="409"/>
      <c r="M98" s="409"/>
      <c r="N98" s="409"/>
      <c r="O98" s="442"/>
      <c r="P98" s="30"/>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52"/>
      <c r="AW98" s="52"/>
      <c r="AX98" s="52"/>
      <c r="AY98" s="52"/>
      <c r="AZ98" s="6"/>
      <c r="BA98" s="6"/>
      <c r="BB98" s="6"/>
      <c r="BC98" s="6"/>
      <c r="BD98" s="6"/>
      <c r="BE98" s="6"/>
      <c r="BF98" s="26"/>
      <c r="BG98" s="26"/>
      <c r="BH98" s="26"/>
      <c r="BI98" s="26"/>
      <c r="BJ98" s="26"/>
      <c r="BK98" s="26"/>
      <c r="BL98" s="26"/>
      <c r="BM98" s="26"/>
      <c r="BN98" s="26"/>
      <c r="BO98" s="26"/>
      <c r="BP98" s="26"/>
      <c r="BQ98" s="26"/>
      <c r="BR98" s="26"/>
      <c r="BS98" s="26"/>
      <c r="BT98" s="26"/>
      <c r="BU98" s="26"/>
      <c r="BV98" s="26"/>
      <c r="BW98" s="26"/>
      <c r="BX98" s="26"/>
      <c r="BY98" s="26"/>
      <c r="BZ98" s="26"/>
      <c r="CA98" s="26"/>
      <c r="CB98" s="38"/>
      <c r="CC98" s="38"/>
      <c r="CD98" s="64"/>
      <c r="CE98" s="26"/>
      <c r="CF98" s="26"/>
      <c r="CG98" s="26"/>
      <c r="CH98" s="26"/>
      <c r="CI98" s="26"/>
      <c r="CJ98" s="26"/>
      <c r="CK98" s="26"/>
      <c r="CL98" s="26"/>
      <c r="CM98" s="26"/>
      <c r="CN98" s="26"/>
      <c r="CO98" s="26"/>
    </row>
    <row r="99" spans="1:93" ht="12.75" customHeight="1" x14ac:dyDescent="0.25">
      <c r="A99" s="30"/>
      <c r="B99" s="30"/>
      <c r="C99" s="434"/>
      <c r="D99" s="409"/>
      <c r="E99" s="409"/>
      <c r="F99" s="409"/>
      <c r="G99" s="409"/>
      <c r="H99" s="409"/>
      <c r="I99" s="409"/>
      <c r="J99" s="409"/>
      <c r="K99" s="409"/>
      <c r="L99" s="409"/>
      <c r="M99" s="409"/>
      <c r="N99" s="409"/>
      <c r="O99" s="442"/>
      <c r="P99" s="30"/>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52"/>
      <c r="AW99" s="6"/>
      <c r="AX99" s="6"/>
      <c r="AY99" s="6"/>
      <c r="AZ99" s="6"/>
      <c r="BA99" s="6"/>
      <c r="BB99" s="6"/>
      <c r="BC99" s="6"/>
      <c r="BD99" s="6"/>
      <c r="BE99" s="6"/>
      <c r="BF99" s="26"/>
      <c r="BG99" s="26"/>
      <c r="BH99" s="26"/>
      <c r="BI99" s="26"/>
      <c r="BJ99" s="26"/>
      <c r="BK99" s="26"/>
      <c r="BL99" s="26"/>
      <c r="BM99" s="26"/>
      <c r="BN99" s="26"/>
      <c r="BO99" s="26"/>
      <c r="BP99" s="26"/>
      <c r="BQ99" s="26"/>
      <c r="BR99" s="26"/>
      <c r="BS99" s="26"/>
      <c r="BT99" s="26"/>
      <c r="BU99" s="26"/>
      <c r="BV99" s="26"/>
      <c r="BW99" s="26"/>
      <c r="BX99" s="26"/>
      <c r="BY99" s="26"/>
      <c r="BZ99" s="26"/>
      <c r="CA99" s="26"/>
      <c r="CB99" s="41"/>
      <c r="CC99" s="38"/>
      <c r="CD99" s="100"/>
      <c r="CE99" s="26"/>
      <c r="CF99" s="26"/>
      <c r="CG99" s="26"/>
      <c r="CH99" s="26"/>
      <c r="CI99" s="26"/>
      <c r="CJ99" s="26"/>
      <c r="CK99" s="26" t="b">
        <v>0</v>
      </c>
      <c r="CL99" s="26" t="b">
        <v>0</v>
      </c>
      <c r="CM99" s="26" t="b">
        <f>OR(CK99,CL99)</f>
        <v>0</v>
      </c>
      <c r="CN99" s="26"/>
      <c r="CO99" s="26"/>
    </row>
    <row r="100" spans="1:93" ht="12.75" customHeight="1" x14ac:dyDescent="0.25">
      <c r="A100" s="30"/>
      <c r="B100" s="30"/>
      <c r="C100" s="434"/>
      <c r="D100" s="409"/>
      <c r="E100" s="409"/>
      <c r="F100" s="409"/>
      <c r="G100" s="409"/>
      <c r="H100" s="409"/>
      <c r="I100" s="409"/>
      <c r="J100" s="409"/>
      <c r="K100" s="409"/>
      <c r="L100" s="409"/>
      <c r="M100" s="409"/>
      <c r="N100" s="409"/>
      <c r="O100" s="442"/>
      <c r="P100" s="30"/>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26"/>
      <c r="BG100" s="26"/>
      <c r="BH100" s="26"/>
      <c r="BI100" s="26"/>
      <c r="BJ100" s="26"/>
      <c r="BK100" s="26"/>
      <c r="BL100" s="26"/>
      <c r="BM100" s="26"/>
      <c r="BN100" s="26"/>
      <c r="BO100" s="26"/>
      <c r="BP100" s="26"/>
      <c r="BQ100" s="26"/>
      <c r="BR100" s="26"/>
      <c r="BS100" s="26"/>
      <c r="BT100" s="26"/>
      <c r="BU100" s="26"/>
      <c r="BV100" s="26"/>
      <c r="BW100" s="26"/>
      <c r="BX100" s="26"/>
      <c r="BY100" s="26"/>
      <c r="BZ100" s="26"/>
      <c r="CA100" s="26"/>
      <c r="CB100" s="26"/>
      <c r="CC100" s="26"/>
      <c r="CD100" s="26"/>
      <c r="CE100" s="26"/>
      <c r="CF100" s="26"/>
      <c r="CG100" s="26"/>
      <c r="CH100" s="26"/>
      <c r="CI100" s="26"/>
      <c r="CJ100" s="26"/>
      <c r="CK100" s="26"/>
      <c r="CL100" s="26"/>
      <c r="CM100" s="26" t="b">
        <f>OR(CK99,CM99)</f>
        <v>0</v>
      </c>
      <c r="CN100" s="26"/>
      <c r="CO100" s="26"/>
    </row>
    <row r="101" spans="1:93" ht="12.75" customHeight="1" x14ac:dyDescent="0.25">
      <c r="A101" s="30"/>
      <c r="B101" s="30"/>
      <c r="C101" s="434"/>
      <c r="D101" s="409"/>
      <c r="E101" s="409"/>
      <c r="F101" s="409"/>
      <c r="G101" s="409"/>
      <c r="H101" s="409"/>
      <c r="I101" s="409"/>
      <c r="J101" s="409"/>
      <c r="K101" s="409"/>
      <c r="L101" s="409"/>
      <c r="M101" s="409"/>
      <c r="N101" s="409"/>
      <c r="O101" s="442"/>
      <c r="P101" s="30"/>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26"/>
      <c r="BG101" s="26"/>
      <c r="BH101" s="26"/>
      <c r="BI101" s="26"/>
      <c r="BJ101" s="26"/>
      <c r="BK101" s="26"/>
      <c r="BL101" s="26"/>
      <c r="BM101" s="26"/>
      <c r="BN101" s="26"/>
      <c r="BO101" s="26"/>
      <c r="BP101" s="26"/>
      <c r="BQ101" s="26"/>
      <c r="BR101" s="26"/>
      <c r="BS101" s="26"/>
      <c r="BT101" s="26"/>
      <c r="BU101" s="26"/>
      <c r="BV101" s="26"/>
      <c r="BW101" s="26"/>
      <c r="BX101" s="26"/>
      <c r="BY101" s="26"/>
      <c r="BZ101" s="26"/>
      <c r="CA101" s="26"/>
      <c r="CB101" s="26"/>
      <c r="CC101" s="26"/>
      <c r="CD101" s="79"/>
      <c r="CE101" s="38"/>
      <c r="CF101" s="26"/>
      <c r="CG101" s="26"/>
      <c r="CH101" s="26"/>
      <c r="CI101" s="26"/>
      <c r="CJ101" s="26"/>
      <c r="CK101" s="26"/>
      <c r="CL101" s="26"/>
      <c r="CM101" s="26"/>
      <c r="CN101" s="26"/>
      <c r="CO101" s="26"/>
    </row>
    <row r="102" spans="1:93" ht="12.75" customHeight="1" x14ac:dyDescent="0.25">
      <c r="A102" s="30"/>
      <c r="B102" s="30"/>
      <c r="C102" s="434"/>
      <c r="D102" s="409"/>
      <c r="E102" s="409"/>
      <c r="F102" s="409"/>
      <c r="G102" s="409"/>
      <c r="H102" s="409"/>
      <c r="I102" s="409"/>
      <c r="J102" s="409"/>
      <c r="K102" s="409"/>
      <c r="L102" s="409"/>
      <c r="M102" s="409"/>
      <c r="N102" s="409"/>
      <c r="O102" s="442"/>
      <c r="P102" s="30"/>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451"/>
      <c r="AY102" s="409"/>
      <c r="AZ102" s="409"/>
      <c r="BA102" s="409"/>
      <c r="BB102" s="6"/>
      <c r="BC102" s="6"/>
      <c r="BD102" s="6"/>
      <c r="BE102" s="85"/>
      <c r="BF102" s="26"/>
      <c r="BG102" s="26"/>
      <c r="BH102" s="26"/>
      <c r="BI102" s="26"/>
      <c r="BJ102" s="26"/>
      <c r="BK102" s="26"/>
      <c r="BL102" s="26"/>
      <c r="BM102" s="26"/>
      <c r="BN102" s="26"/>
      <c r="BO102" s="26"/>
      <c r="BP102" s="26"/>
      <c r="BQ102" s="26"/>
      <c r="BR102" s="26"/>
      <c r="BS102" s="26"/>
      <c r="BT102" s="26"/>
      <c r="BU102" s="26"/>
      <c r="BV102" s="26"/>
      <c r="BW102" s="26"/>
      <c r="BX102" s="26"/>
      <c r="BY102" s="26"/>
      <c r="BZ102" s="26"/>
      <c r="CA102" s="26"/>
      <c r="CB102" s="26"/>
      <c r="CC102" s="26"/>
      <c r="CD102" s="78"/>
      <c r="CE102" s="38"/>
      <c r="CF102" s="26"/>
      <c r="CG102" s="26"/>
      <c r="CH102" s="26"/>
      <c r="CI102" s="26"/>
      <c r="CJ102" s="26"/>
      <c r="CK102" s="87"/>
      <c r="CL102" s="26"/>
      <c r="CM102" s="26"/>
      <c r="CN102" s="26"/>
      <c r="CO102" s="26"/>
    </row>
    <row r="103" spans="1:93" ht="12.75" customHeight="1" x14ac:dyDescent="0.25">
      <c r="A103" s="30"/>
      <c r="B103" s="30"/>
      <c r="C103" s="434"/>
      <c r="D103" s="409"/>
      <c r="E103" s="409"/>
      <c r="F103" s="409"/>
      <c r="G103" s="409"/>
      <c r="H103" s="409"/>
      <c r="I103" s="409"/>
      <c r="J103" s="409"/>
      <c r="K103" s="409"/>
      <c r="L103" s="409"/>
      <c r="M103" s="409"/>
      <c r="N103" s="409"/>
      <c r="O103" s="442"/>
      <c r="P103" s="30"/>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59"/>
      <c r="AY103" s="451"/>
      <c r="AZ103" s="409"/>
      <c r="BA103" s="409"/>
      <c r="BB103" s="6"/>
      <c r="BC103" s="6"/>
      <c r="BD103" s="6"/>
      <c r="BE103" s="6"/>
      <c r="BF103" s="26"/>
      <c r="BG103" s="26"/>
      <c r="BH103" s="26"/>
      <c r="BI103" s="26"/>
      <c r="BJ103" s="26"/>
      <c r="BK103" s="26"/>
      <c r="BL103" s="26"/>
      <c r="BM103" s="26"/>
      <c r="BN103" s="26"/>
      <c r="BO103" s="26"/>
      <c r="BP103" s="26"/>
      <c r="BQ103" s="26"/>
      <c r="BR103" s="26"/>
      <c r="BS103" s="26"/>
      <c r="BT103" s="26"/>
      <c r="BU103" s="26"/>
      <c r="BV103" s="26"/>
      <c r="BW103" s="26"/>
      <c r="BX103" s="26"/>
      <c r="BY103" s="26"/>
      <c r="BZ103" s="26"/>
      <c r="CA103" s="26"/>
      <c r="CB103" s="26"/>
      <c r="CC103" s="26"/>
      <c r="CD103" s="214"/>
      <c r="CE103" s="38"/>
      <c r="CF103" s="26"/>
      <c r="CG103" s="26"/>
      <c r="CH103" s="26"/>
      <c r="CI103" s="26"/>
      <c r="CJ103" s="26"/>
      <c r="CK103" s="26"/>
      <c r="CL103" s="26"/>
      <c r="CM103" s="26"/>
      <c r="CN103" s="26"/>
      <c r="CO103" s="26"/>
    </row>
    <row r="104" spans="1:93" ht="12.75" customHeight="1" x14ac:dyDescent="0.25">
      <c r="A104" s="30"/>
      <c r="B104" s="30"/>
      <c r="C104" s="434"/>
      <c r="D104" s="409"/>
      <c r="E104" s="409"/>
      <c r="F104" s="409"/>
      <c r="G104" s="409"/>
      <c r="H104" s="409"/>
      <c r="I104" s="409"/>
      <c r="J104" s="409"/>
      <c r="K104" s="409"/>
      <c r="L104" s="409"/>
      <c r="M104" s="409"/>
      <c r="N104" s="409"/>
      <c r="O104" s="442"/>
      <c r="P104" s="30"/>
      <c r="Q104" s="6"/>
      <c r="R104" s="6"/>
      <c r="S104" s="6"/>
      <c r="T104" s="6"/>
      <c r="U104" s="6"/>
      <c r="V104" s="6"/>
      <c r="W104" s="6"/>
      <c r="X104" s="6"/>
      <c r="Y104" s="6"/>
      <c r="Z104" s="6"/>
      <c r="AA104" s="6"/>
      <c r="AB104" s="6"/>
      <c r="AC104" s="6"/>
      <c r="AD104" s="6"/>
      <c r="AE104" s="6"/>
      <c r="AF104" s="6"/>
      <c r="AG104" s="6"/>
      <c r="AH104" s="6"/>
      <c r="AI104" s="6"/>
      <c r="AJ104" s="52"/>
      <c r="AK104" s="6"/>
      <c r="AL104" s="52"/>
      <c r="AM104" s="452"/>
      <c r="AN104" s="409"/>
      <c r="AO104" s="6"/>
      <c r="AP104" s="6"/>
      <c r="AQ104" s="6"/>
      <c r="AR104" s="6"/>
      <c r="AS104" s="6"/>
      <c r="AT104" s="6"/>
      <c r="AU104" s="6"/>
      <c r="AV104" s="6"/>
      <c r="AW104" s="6"/>
      <c r="AX104" s="6"/>
      <c r="AY104" s="6"/>
      <c r="AZ104" s="6"/>
      <c r="BA104" s="6"/>
      <c r="BB104" s="6"/>
      <c r="BC104" s="6"/>
      <c r="BD104" s="6"/>
      <c r="BE104" s="6"/>
      <c r="BF104" s="26"/>
      <c r="BG104" s="26"/>
      <c r="BH104" s="26"/>
      <c r="BI104" s="26"/>
      <c r="BJ104" s="26"/>
      <c r="BK104" s="26"/>
      <c r="BL104" s="26"/>
      <c r="BM104" s="26"/>
      <c r="BN104" s="26"/>
      <c r="BO104" s="26"/>
      <c r="BP104" s="26"/>
      <c r="BQ104" s="26"/>
      <c r="BR104" s="26"/>
      <c r="BS104" s="26"/>
      <c r="BT104" s="26"/>
      <c r="BU104" s="26"/>
      <c r="BV104" s="26"/>
      <c r="BW104" s="26"/>
      <c r="BX104" s="26"/>
      <c r="BY104" s="26"/>
      <c r="BZ104" s="26"/>
      <c r="CA104" s="26"/>
      <c r="CB104" s="26"/>
      <c r="CC104" s="26"/>
      <c r="CD104" s="26"/>
      <c r="CE104" s="26"/>
      <c r="CF104" s="26"/>
      <c r="CG104" s="26"/>
      <c r="CH104" s="26"/>
      <c r="CI104" s="26"/>
      <c r="CJ104" s="26"/>
      <c r="CK104" s="26"/>
      <c r="CL104" s="26"/>
      <c r="CM104" s="26"/>
      <c r="CN104" s="26"/>
      <c r="CO104" s="26"/>
    </row>
    <row r="105" spans="1:93" ht="12.75" customHeight="1" x14ac:dyDescent="0.25">
      <c r="A105" s="30"/>
      <c r="B105" s="30"/>
      <c r="C105" s="434"/>
      <c r="D105" s="409"/>
      <c r="E105" s="409"/>
      <c r="F105" s="409"/>
      <c r="G105" s="409"/>
      <c r="H105" s="409"/>
      <c r="I105" s="409"/>
      <c r="J105" s="409"/>
      <c r="K105" s="409"/>
      <c r="L105" s="409"/>
      <c r="M105" s="409"/>
      <c r="N105" s="409"/>
      <c r="O105" s="442"/>
      <c r="P105" s="30"/>
      <c r="Q105" s="6"/>
      <c r="R105" s="6"/>
      <c r="S105" s="6"/>
      <c r="T105" s="6"/>
      <c r="U105" s="6"/>
      <c r="V105" s="6"/>
      <c r="W105" s="6"/>
      <c r="X105" s="6"/>
      <c r="Y105" s="6"/>
      <c r="Z105" s="6"/>
      <c r="AA105" s="6"/>
      <c r="AB105" s="6"/>
      <c r="AC105" s="6"/>
      <c r="AD105" s="6"/>
      <c r="AE105" s="6"/>
      <c r="AF105" s="6"/>
      <c r="AG105" s="6"/>
      <c r="AH105" s="6"/>
      <c r="AI105" s="6"/>
      <c r="AJ105" s="52"/>
      <c r="AK105" s="6"/>
      <c r="AL105" s="52"/>
      <c r="AM105" s="452"/>
      <c r="AN105" s="409"/>
      <c r="AO105" s="6"/>
      <c r="AP105" s="6"/>
      <c r="AQ105" s="82"/>
      <c r="AR105" s="6"/>
      <c r="AS105" s="6"/>
      <c r="AT105" s="6"/>
      <c r="AU105" s="6"/>
      <c r="AV105" s="157"/>
      <c r="AW105" s="6"/>
      <c r="AX105" s="216"/>
      <c r="AY105" s="157"/>
      <c r="AZ105" s="6"/>
      <c r="BA105" s="6"/>
      <c r="BB105" s="6"/>
      <c r="BC105" s="6"/>
      <c r="BD105" s="6"/>
      <c r="BE105" s="6"/>
      <c r="BF105" s="96"/>
      <c r="BG105" s="26"/>
      <c r="BH105" s="26"/>
      <c r="BI105" s="26"/>
      <c r="BJ105" s="26"/>
      <c r="BK105" s="26"/>
      <c r="BL105" s="26"/>
      <c r="BM105" s="38"/>
      <c r="BN105" s="26"/>
      <c r="BO105" s="38"/>
      <c r="BP105" s="38"/>
      <c r="BQ105" s="26"/>
      <c r="BR105" s="26"/>
      <c r="BS105" s="38"/>
      <c r="BT105" s="26"/>
      <c r="BU105" s="38"/>
      <c r="BV105" s="38"/>
      <c r="BW105" s="26"/>
      <c r="BX105" s="26"/>
      <c r="BY105" s="26"/>
      <c r="BZ105" s="26"/>
      <c r="CA105" s="26"/>
      <c r="CB105" s="26"/>
      <c r="CC105" s="26"/>
      <c r="CD105" s="38"/>
      <c r="CE105" s="26"/>
      <c r="CF105" s="26"/>
      <c r="CG105" s="26"/>
      <c r="CH105" s="26"/>
      <c r="CI105" s="26"/>
      <c r="CJ105" s="26"/>
      <c r="CK105" s="26"/>
      <c r="CL105" s="96"/>
      <c r="CM105" s="26"/>
      <c r="CN105" s="26"/>
      <c r="CO105" s="26"/>
    </row>
    <row r="106" spans="1:93" ht="12.75" customHeight="1" x14ac:dyDescent="0.25">
      <c r="A106" s="30"/>
      <c r="B106" s="30"/>
      <c r="C106" s="434"/>
      <c r="D106" s="409"/>
      <c r="E106" s="409"/>
      <c r="F106" s="409"/>
      <c r="G106" s="409"/>
      <c r="H106" s="409"/>
      <c r="I106" s="409"/>
      <c r="J106" s="409"/>
      <c r="K106" s="409"/>
      <c r="L106" s="409"/>
      <c r="M106" s="409"/>
      <c r="N106" s="409"/>
      <c r="O106" s="442"/>
      <c r="P106" s="30"/>
      <c r="Q106" s="6"/>
      <c r="R106" s="6"/>
      <c r="S106" s="6"/>
      <c r="T106" s="6"/>
      <c r="U106" s="6"/>
      <c r="V106" s="6"/>
      <c r="W106" s="6"/>
      <c r="X106" s="6"/>
      <c r="Y106" s="6"/>
      <c r="Z106" s="6"/>
      <c r="AA106" s="6"/>
      <c r="AB106" s="6"/>
      <c r="AC106" s="6"/>
      <c r="AD106" s="6"/>
      <c r="AE106" s="6"/>
      <c r="AF106" s="6"/>
      <c r="AG106" s="6"/>
      <c r="AH106" s="6"/>
      <c r="AI106" s="82"/>
      <c r="AJ106" s="6"/>
      <c r="AK106" s="6"/>
      <c r="AL106" s="82"/>
      <c r="AM106" s="6"/>
      <c r="AN106" s="52"/>
      <c r="AO106" s="6"/>
      <c r="AP106" s="82"/>
      <c r="AQ106" s="76"/>
      <c r="AR106" s="6"/>
      <c r="AS106" s="6"/>
      <c r="AT106" s="6"/>
      <c r="AU106" s="6"/>
      <c r="AV106" s="108"/>
      <c r="AW106" s="5"/>
      <c r="AX106" s="106"/>
      <c r="AY106" s="6"/>
      <c r="AZ106" s="6"/>
      <c r="BA106" s="6"/>
      <c r="BB106" s="6"/>
      <c r="BC106" s="6"/>
      <c r="BD106" s="6"/>
      <c r="BE106" s="6"/>
      <c r="BF106" s="26"/>
      <c r="BG106" s="129"/>
      <c r="BH106" s="129"/>
      <c r="BI106" s="26"/>
      <c r="BJ106" s="26"/>
      <c r="BK106" s="26"/>
      <c r="BL106" s="26"/>
      <c r="BM106" s="38"/>
      <c r="BN106" s="26"/>
      <c r="BO106" s="38"/>
      <c r="BP106" s="38"/>
      <c r="BQ106" s="26"/>
      <c r="BR106" s="26"/>
      <c r="BS106" s="38"/>
      <c r="BT106" s="26"/>
      <c r="BU106" s="38"/>
      <c r="BV106" s="38"/>
      <c r="BW106" s="26"/>
      <c r="BX106" s="26"/>
      <c r="BY106" s="143"/>
      <c r="BZ106" s="26"/>
      <c r="CA106" s="169"/>
      <c r="CB106" s="26"/>
      <c r="CC106" s="26"/>
      <c r="CD106" s="98"/>
      <c r="CE106" s="38"/>
      <c r="CF106" s="26"/>
      <c r="CG106" s="26"/>
      <c r="CH106" s="26"/>
      <c r="CI106" s="26"/>
      <c r="CJ106" s="26"/>
      <c r="CK106" s="26"/>
      <c r="CL106" s="26"/>
      <c r="CM106" s="129"/>
      <c r="CN106" s="129"/>
      <c r="CO106" s="26"/>
    </row>
    <row r="107" spans="1:93" ht="12.75" customHeight="1" x14ac:dyDescent="0.25">
      <c r="A107" s="30"/>
      <c r="B107" s="30"/>
      <c r="C107" s="434"/>
      <c r="D107" s="409"/>
      <c r="E107" s="409"/>
      <c r="F107" s="409"/>
      <c r="G107" s="409"/>
      <c r="H107" s="409"/>
      <c r="I107" s="409"/>
      <c r="J107" s="409"/>
      <c r="K107" s="409"/>
      <c r="L107" s="409"/>
      <c r="M107" s="409"/>
      <c r="N107" s="409"/>
      <c r="O107" s="442"/>
      <c r="P107" s="30"/>
      <c r="Q107" s="6"/>
      <c r="R107" s="6"/>
      <c r="S107" s="6"/>
      <c r="T107" s="6"/>
      <c r="U107" s="6"/>
      <c r="V107" s="6"/>
      <c r="W107" s="6"/>
      <c r="X107" s="6"/>
      <c r="Y107" s="6"/>
      <c r="Z107" s="6"/>
      <c r="AA107" s="6"/>
      <c r="AB107" s="6"/>
      <c r="AC107" s="6"/>
      <c r="AD107" s="6"/>
      <c r="AE107" s="6"/>
      <c r="AF107" s="6"/>
      <c r="AG107" s="6"/>
      <c r="AH107" s="6"/>
      <c r="AI107" s="6"/>
      <c r="AJ107" s="219"/>
      <c r="AK107" s="128"/>
      <c r="AL107" s="128"/>
      <c r="AM107" s="6"/>
      <c r="AN107" s="6"/>
      <c r="AO107" s="6"/>
      <c r="AP107" s="6"/>
      <c r="AQ107" s="6"/>
      <c r="AR107" s="6"/>
      <c r="AS107" s="6"/>
      <c r="AT107" s="6"/>
      <c r="AU107" s="6"/>
      <c r="AV107" s="5"/>
      <c r="AW107" s="52"/>
      <c r="AX107" s="160"/>
      <c r="AY107" s="6"/>
      <c r="AZ107" s="6"/>
      <c r="BA107" s="6"/>
      <c r="BB107" s="6"/>
      <c r="BC107" s="6"/>
      <c r="BD107" s="6"/>
      <c r="BE107" s="6"/>
      <c r="BF107" s="26"/>
      <c r="BG107" s="26"/>
      <c r="BH107" s="26"/>
      <c r="BI107" s="26"/>
      <c r="BJ107" s="26"/>
      <c r="BK107" s="26"/>
      <c r="BL107" s="26"/>
      <c r="BM107" s="61"/>
      <c r="BN107" s="110"/>
      <c r="BO107" s="61"/>
      <c r="BP107" s="26"/>
      <c r="BQ107" s="26"/>
      <c r="BR107" s="26"/>
      <c r="BS107" s="61"/>
      <c r="BT107" s="26"/>
      <c r="BU107" s="26"/>
      <c r="BV107" s="26"/>
      <c r="BW107" s="26"/>
      <c r="BX107" s="26"/>
      <c r="BY107" s="175"/>
      <c r="BZ107" s="38"/>
      <c r="CA107" s="100"/>
      <c r="CB107" s="26"/>
      <c r="CC107" s="26"/>
      <c r="CD107" s="26"/>
      <c r="CE107" s="26"/>
      <c r="CF107" s="26"/>
      <c r="CG107" s="26"/>
      <c r="CH107" s="26"/>
      <c r="CI107" s="26"/>
      <c r="CJ107" s="26"/>
      <c r="CK107" s="26"/>
      <c r="CL107" s="26"/>
      <c r="CM107" s="26"/>
      <c r="CN107" s="26"/>
      <c r="CO107" s="26"/>
    </row>
    <row r="108" spans="1:93" ht="12.75" customHeight="1" x14ac:dyDescent="0.25">
      <c r="A108" s="30"/>
      <c r="B108" s="30"/>
      <c r="C108" s="434"/>
      <c r="D108" s="409"/>
      <c r="E108" s="409"/>
      <c r="F108" s="409"/>
      <c r="G108" s="409"/>
      <c r="H108" s="409"/>
      <c r="I108" s="409"/>
      <c r="J108" s="409"/>
      <c r="K108" s="409"/>
      <c r="L108" s="409"/>
      <c r="M108" s="409"/>
      <c r="N108" s="409"/>
      <c r="O108" s="442"/>
      <c r="P108" s="30"/>
      <c r="Q108" s="6"/>
      <c r="R108" s="6"/>
      <c r="S108" s="6"/>
      <c r="T108" s="6"/>
      <c r="U108" s="6"/>
      <c r="V108" s="6"/>
      <c r="W108" s="6"/>
      <c r="X108" s="6"/>
      <c r="Y108" s="6"/>
      <c r="Z108" s="6"/>
      <c r="AA108" s="6"/>
      <c r="AB108" s="6"/>
      <c r="AC108" s="6"/>
      <c r="AD108" s="6"/>
      <c r="AE108" s="6"/>
      <c r="AF108" s="6"/>
      <c r="AG108" s="6"/>
      <c r="AH108" s="6"/>
      <c r="AI108" s="174"/>
      <c r="AJ108" s="220"/>
      <c r="AK108" s="128"/>
      <c r="AL108" s="128"/>
      <c r="AM108" s="6"/>
      <c r="AN108" s="6"/>
      <c r="AO108" s="6"/>
      <c r="AP108" s="6"/>
      <c r="AQ108" s="6"/>
      <c r="AR108" s="6"/>
      <c r="AS108" s="6"/>
      <c r="AT108" s="6"/>
      <c r="AU108" s="6"/>
      <c r="AV108" s="5"/>
      <c r="AW108" s="52"/>
      <c r="AX108" s="160"/>
      <c r="AY108" s="6"/>
      <c r="AZ108" s="6"/>
      <c r="BA108" s="6"/>
      <c r="BB108" s="6"/>
      <c r="BC108" s="6"/>
      <c r="BD108" s="6"/>
      <c r="BE108" s="6"/>
      <c r="BF108" s="26"/>
      <c r="BG108" s="26"/>
      <c r="BH108" s="26"/>
      <c r="BI108" s="26"/>
      <c r="BJ108" s="26"/>
      <c r="BK108" s="26"/>
      <c r="BL108" s="114"/>
      <c r="BM108" s="110"/>
      <c r="BN108" s="110"/>
      <c r="BO108" s="110"/>
      <c r="BP108" s="26"/>
      <c r="BQ108" s="26"/>
      <c r="BR108" s="26"/>
      <c r="BS108" s="26"/>
      <c r="BT108" s="26"/>
      <c r="BU108" s="26"/>
      <c r="BV108" s="26"/>
      <c r="BW108" s="26"/>
      <c r="BX108" s="26"/>
      <c r="BY108" s="41"/>
      <c r="BZ108" s="38"/>
      <c r="CA108" s="64"/>
      <c r="CB108" s="26"/>
      <c r="CC108" s="26"/>
      <c r="CD108" s="26"/>
      <c r="CE108" s="26"/>
      <c r="CF108" s="26"/>
      <c r="CG108" s="26"/>
      <c r="CH108" s="26"/>
      <c r="CI108" s="26"/>
      <c r="CJ108" s="26"/>
      <c r="CK108" s="26"/>
      <c r="CL108" s="26"/>
      <c r="CM108" s="26"/>
      <c r="CN108" s="26"/>
      <c r="CO108" s="26"/>
    </row>
    <row r="109" spans="1:93" ht="12.75" customHeight="1" x14ac:dyDescent="0.25">
      <c r="A109" s="30"/>
      <c r="B109" s="30"/>
      <c r="C109" s="434"/>
      <c r="D109" s="409"/>
      <c r="E109" s="409"/>
      <c r="F109" s="409"/>
      <c r="G109" s="409"/>
      <c r="H109" s="409"/>
      <c r="I109" s="409"/>
      <c r="J109" s="409"/>
      <c r="K109" s="409"/>
      <c r="L109" s="409"/>
      <c r="M109" s="409"/>
      <c r="N109" s="409"/>
      <c r="O109" s="442"/>
      <c r="P109" s="30"/>
      <c r="Q109" s="6"/>
      <c r="R109" s="6"/>
      <c r="S109" s="6"/>
      <c r="T109" s="6"/>
      <c r="U109" s="6"/>
      <c r="V109" s="6"/>
      <c r="W109" s="6"/>
      <c r="X109" s="6"/>
      <c r="Y109" s="6"/>
      <c r="Z109" s="6"/>
      <c r="AA109" s="6"/>
      <c r="AB109" s="6"/>
      <c r="AC109" s="6"/>
      <c r="AD109" s="6"/>
      <c r="AE109" s="6"/>
      <c r="AF109" s="6"/>
      <c r="AG109" s="6"/>
      <c r="AH109" s="221"/>
      <c r="AI109" s="222"/>
      <c r="AJ109" s="182"/>
      <c r="AK109" s="128"/>
      <c r="AL109" s="128"/>
      <c r="AM109" s="6"/>
      <c r="AN109" s="6"/>
      <c r="AO109" s="6"/>
      <c r="AP109" s="6"/>
      <c r="AQ109" s="6"/>
      <c r="AR109" s="6"/>
      <c r="AS109" s="6"/>
      <c r="AT109" s="6"/>
      <c r="AU109" s="6"/>
      <c r="AV109" s="5"/>
      <c r="AW109" s="52"/>
      <c r="AX109" s="106"/>
      <c r="AY109" s="6"/>
      <c r="AZ109" s="6"/>
      <c r="BA109" s="6"/>
      <c r="BB109" s="6"/>
      <c r="BC109" s="6"/>
      <c r="BD109" s="6"/>
      <c r="BE109" s="6"/>
      <c r="BF109" s="26"/>
      <c r="BG109" s="26"/>
      <c r="BH109" s="26"/>
      <c r="BI109" s="26"/>
      <c r="BJ109" s="26"/>
      <c r="BK109" s="26"/>
      <c r="BL109" s="114"/>
      <c r="BM109" s="110"/>
      <c r="BN109" s="110"/>
      <c r="BO109" s="110"/>
      <c r="BP109" s="26"/>
      <c r="BQ109" s="26"/>
      <c r="BR109" s="26"/>
      <c r="BS109" s="26"/>
      <c r="BT109" s="26"/>
      <c r="BU109" s="26"/>
      <c r="BV109" s="26"/>
      <c r="BW109" s="26"/>
      <c r="BX109" s="26"/>
      <c r="BY109" s="41"/>
      <c r="BZ109" s="38"/>
      <c r="CA109" s="64"/>
      <c r="CB109" s="26"/>
      <c r="CC109" s="26"/>
      <c r="CD109" s="26"/>
      <c r="CE109" s="26"/>
      <c r="CF109" s="26"/>
      <c r="CG109" s="26"/>
      <c r="CH109" s="26"/>
      <c r="CI109" s="26"/>
      <c r="CJ109" s="26"/>
      <c r="CK109" s="26"/>
      <c r="CL109" s="26"/>
      <c r="CM109" s="26"/>
      <c r="CN109" s="26"/>
      <c r="CO109" s="26"/>
    </row>
    <row r="110" spans="1:93" ht="12.75" customHeight="1" x14ac:dyDescent="0.25">
      <c r="A110" s="30"/>
      <c r="B110" s="30"/>
      <c r="C110" s="434"/>
      <c r="D110" s="409"/>
      <c r="E110" s="409"/>
      <c r="F110" s="409"/>
      <c r="G110" s="409"/>
      <c r="H110" s="409"/>
      <c r="I110" s="409"/>
      <c r="J110" s="409"/>
      <c r="K110" s="409"/>
      <c r="L110" s="409"/>
      <c r="M110" s="409"/>
      <c r="N110" s="409"/>
      <c r="O110" s="442"/>
      <c r="P110" s="30"/>
      <c r="Q110" s="6"/>
      <c r="R110" s="6"/>
      <c r="S110" s="6"/>
      <c r="T110" s="6"/>
      <c r="U110" s="6"/>
      <c r="V110" s="6"/>
      <c r="W110" s="6"/>
      <c r="X110" s="6"/>
      <c r="Y110" s="6"/>
      <c r="Z110" s="6"/>
      <c r="AA110" s="6"/>
      <c r="AB110" s="6"/>
      <c r="AC110" s="6"/>
      <c r="AD110" s="6"/>
      <c r="AE110" s="6"/>
      <c r="AF110" s="6"/>
      <c r="AG110" s="6"/>
      <c r="AH110" s="221"/>
      <c r="AI110" s="222"/>
      <c r="AJ110" s="128"/>
      <c r="AK110" s="128"/>
      <c r="AL110" s="6"/>
      <c r="AM110" s="6"/>
      <c r="AN110" s="6"/>
      <c r="AO110" s="6"/>
      <c r="AP110" s="6"/>
      <c r="AQ110" s="6"/>
      <c r="AR110" s="6"/>
      <c r="AS110" s="6"/>
      <c r="AT110" s="6"/>
      <c r="AU110" s="6"/>
      <c r="AV110" s="168"/>
      <c r="AW110" s="6"/>
      <c r="AX110" s="223"/>
      <c r="AY110" s="168"/>
      <c r="AZ110" s="6"/>
      <c r="BA110" s="6"/>
      <c r="BB110" s="6"/>
      <c r="BC110" s="6"/>
      <c r="BD110" s="6"/>
      <c r="BE110" s="6"/>
      <c r="BF110" s="26"/>
      <c r="BG110" s="26"/>
      <c r="BH110" s="26"/>
      <c r="BI110" s="26"/>
      <c r="BJ110" s="26"/>
      <c r="BK110" s="26"/>
      <c r="BL110" s="26"/>
      <c r="BM110" s="26"/>
      <c r="BN110" s="26"/>
      <c r="BO110" s="26"/>
      <c r="BP110" s="26"/>
      <c r="BQ110" s="26"/>
      <c r="BR110" s="26"/>
      <c r="BS110" s="26"/>
      <c r="BT110" s="26"/>
      <c r="BU110" s="26"/>
      <c r="BV110" s="26"/>
      <c r="BW110" s="26"/>
      <c r="BX110" s="26"/>
      <c r="BY110" s="41"/>
      <c r="BZ110" s="38"/>
      <c r="CA110" s="100"/>
      <c r="CB110" s="26"/>
      <c r="CC110" s="26"/>
      <c r="CD110" s="26"/>
      <c r="CE110" s="26"/>
      <c r="CF110" s="26"/>
      <c r="CG110" s="26"/>
      <c r="CH110" s="26"/>
      <c r="CI110" s="26"/>
      <c r="CJ110" s="26"/>
      <c r="CK110" s="26"/>
      <c r="CL110" s="26"/>
      <c r="CM110" s="26"/>
      <c r="CN110" s="26"/>
      <c r="CO110" s="26"/>
    </row>
    <row r="111" spans="1:93" ht="12.75" customHeight="1" x14ac:dyDescent="0.25">
      <c r="A111" s="30"/>
      <c r="B111" s="30"/>
      <c r="C111" s="434"/>
      <c r="D111" s="409"/>
      <c r="E111" s="409"/>
      <c r="F111" s="409"/>
      <c r="G111" s="409"/>
      <c r="H111" s="409"/>
      <c r="I111" s="409"/>
      <c r="J111" s="409"/>
      <c r="K111" s="409"/>
      <c r="L111" s="409"/>
      <c r="M111" s="409"/>
      <c r="N111" s="409"/>
      <c r="O111" s="442"/>
      <c r="P111" s="30"/>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108"/>
      <c r="AW111" s="5"/>
      <c r="AX111" s="106"/>
      <c r="AY111" s="6"/>
      <c r="AZ111" s="6"/>
      <c r="BA111" s="6"/>
      <c r="BB111" s="6"/>
      <c r="BC111" s="6"/>
      <c r="BD111" s="6"/>
      <c r="BE111" s="6"/>
      <c r="BF111" s="26"/>
      <c r="BG111" s="26"/>
      <c r="BH111" s="26"/>
      <c r="BI111" s="26"/>
      <c r="BJ111" s="26"/>
      <c r="BK111" s="26"/>
      <c r="BL111" s="26"/>
      <c r="BM111" s="26"/>
      <c r="BN111" s="26"/>
      <c r="BO111" s="116"/>
      <c r="BP111" s="110"/>
      <c r="BQ111" s="110"/>
      <c r="BR111" s="26"/>
      <c r="BS111" s="143"/>
      <c r="BT111" s="26"/>
      <c r="BU111" s="169"/>
      <c r="BV111" s="26"/>
      <c r="BW111" s="26"/>
      <c r="BX111" s="26"/>
      <c r="BY111" s="170"/>
      <c r="BZ111" s="26"/>
      <c r="CA111" s="171"/>
      <c r="CB111" s="26"/>
      <c r="CC111" s="26"/>
      <c r="CD111" s="26"/>
      <c r="CE111" s="26"/>
      <c r="CF111" s="26"/>
      <c r="CG111" s="26"/>
      <c r="CH111" s="26"/>
      <c r="CI111" s="26"/>
      <c r="CJ111" s="26"/>
      <c r="CK111" s="26"/>
      <c r="CL111" s="26"/>
      <c r="CM111" s="26"/>
      <c r="CN111" s="26"/>
      <c r="CO111" s="26"/>
    </row>
    <row r="112" spans="1:93" ht="12.75" customHeight="1" x14ac:dyDescent="0.25">
      <c r="A112" s="30"/>
      <c r="B112" s="30"/>
      <c r="C112" s="434"/>
      <c r="D112" s="409"/>
      <c r="E112" s="409"/>
      <c r="F112" s="409"/>
      <c r="G112" s="409"/>
      <c r="H112" s="409"/>
      <c r="I112" s="409"/>
      <c r="J112" s="409"/>
      <c r="K112" s="409"/>
      <c r="L112" s="409"/>
      <c r="M112" s="409"/>
      <c r="N112" s="409"/>
      <c r="O112" s="442"/>
      <c r="P112" s="30"/>
      <c r="Q112" s="6"/>
      <c r="R112" s="6"/>
      <c r="S112" s="6"/>
      <c r="T112" s="6"/>
      <c r="U112" s="6"/>
      <c r="V112" s="6"/>
      <c r="W112" s="6"/>
      <c r="X112" s="6"/>
      <c r="Y112" s="6"/>
      <c r="Z112" s="6"/>
      <c r="AA112" s="6"/>
      <c r="AB112" s="6"/>
      <c r="AC112" s="6"/>
      <c r="AD112" s="6"/>
      <c r="AE112" s="6"/>
      <c r="AF112" s="6"/>
      <c r="AG112" s="6"/>
      <c r="AH112" s="128"/>
      <c r="AI112" s="6"/>
      <c r="AJ112" s="6"/>
      <c r="AK112" s="6"/>
      <c r="AL112" s="6"/>
      <c r="AM112" s="6"/>
      <c r="AN112" s="6"/>
      <c r="AO112" s="6"/>
      <c r="AP112" s="6"/>
      <c r="AQ112" s="6"/>
      <c r="AR112" s="6"/>
      <c r="AS112" s="6"/>
      <c r="AT112" s="6"/>
      <c r="AU112" s="141"/>
      <c r="AV112" s="5"/>
      <c r="AW112" s="52"/>
      <c r="AX112" s="160"/>
      <c r="AY112" s="6"/>
      <c r="AZ112" s="6"/>
      <c r="BA112" s="6"/>
      <c r="BB112" s="6"/>
      <c r="BC112" s="6"/>
      <c r="BD112" s="6"/>
      <c r="BE112" s="6"/>
      <c r="BF112" s="26"/>
      <c r="BG112" s="26"/>
      <c r="BH112" s="26"/>
      <c r="BI112" s="26"/>
      <c r="BJ112" s="26"/>
      <c r="BK112" s="26"/>
      <c r="BL112" s="26"/>
      <c r="BM112" s="26"/>
      <c r="BN112" s="26"/>
      <c r="BO112" s="165"/>
      <c r="BP112" s="110"/>
      <c r="BQ112" s="110"/>
      <c r="BR112" s="26"/>
      <c r="BS112" s="175"/>
      <c r="BT112" s="38"/>
      <c r="BU112" s="100"/>
      <c r="BV112" s="26"/>
      <c r="BW112" s="26"/>
      <c r="BX112" s="26"/>
      <c r="BY112" s="175"/>
      <c r="BZ112" s="38"/>
      <c r="CA112" s="100"/>
      <c r="CB112" s="26"/>
      <c r="CC112" s="26"/>
      <c r="CD112" s="26"/>
      <c r="CE112" s="26"/>
      <c r="CF112" s="26"/>
      <c r="CG112" s="26"/>
      <c r="CH112" s="26"/>
      <c r="CI112" s="26"/>
      <c r="CJ112" s="26"/>
      <c r="CK112" s="26"/>
      <c r="CL112" s="26"/>
      <c r="CM112" s="26"/>
      <c r="CN112" s="26"/>
      <c r="CO112" s="26"/>
    </row>
    <row r="113" spans="1:93" ht="12.75" customHeight="1" x14ac:dyDescent="0.25">
      <c r="A113" s="30"/>
      <c r="B113" s="30"/>
      <c r="C113" s="395"/>
      <c r="D113" s="396"/>
      <c r="E113" s="396"/>
      <c r="F113" s="396"/>
      <c r="G113" s="396"/>
      <c r="H113" s="396"/>
      <c r="I113" s="396"/>
      <c r="J113" s="396"/>
      <c r="K113" s="396"/>
      <c r="L113" s="396"/>
      <c r="M113" s="396"/>
      <c r="N113" s="396"/>
      <c r="O113" s="397"/>
      <c r="P113" s="30"/>
      <c r="Q113" s="6"/>
      <c r="R113" s="6"/>
      <c r="S113" s="6"/>
      <c r="T113" s="6"/>
      <c r="U113" s="6"/>
      <c r="V113" s="6"/>
      <c r="W113" s="6"/>
      <c r="X113" s="6"/>
      <c r="Y113" s="6"/>
      <c r="Z113" s="6"/>
      <c r="AA113" s="6"/>
      <c r="AB113" s="6"/>
      <c r="AC113" s="6"/>
      <c r="AD113" s="6"/>
      <c r="AE113" s="6"/>
      <c r="AF113" s="6"/>
      <c r="AG113" s="6"/>
      <c r="AH113" s="128"/>
      <c r="AI113" s="6"/>
      <c r="AJ113" s="6"/>
      <c r="AK113" s="6"/>
      <c r="AL113" s="6"/>
      <c r="AM113" s="6"/>
      <c r="AN113" s="6"/>
      <c r="AO113" s="6"/>
      <c r="AP113" s="6"/>
      <c r="AQ113" s="6"/>
      <c r="AR113" s="6"/>
      <c r="AS113" s="6"/>
      <c r="AT113" s="6"/>
      <c r="AU113" s="6"/>
      <c r="AV113" s="5"/>
      <c r="AW113" s="52"/>
      <c r="AX113" s="160"/>
      <c r="AY113" s="6"/>
      <c r="AZ113" s="6"/>
      <c r="BA113" s="6"/>
      <c r="BB113" s="6"/>
      <c r="BC113" s="6"/>
      <c r="BD113" s="6"/>
      <c r="BE113" s="6"/>
      <c r="BF113" s="26"/>
      <c r="BG113" s="26"/>
      <c r="BH113" s="26"/>
      <c r="BI113" s="26"/>
      <c r="BJ113" s="26"/>
      <c r="BK113" s="26"/>
      <c r="BL113" s="26"/>
      <c r="BM113" s="26"/>
      <c r="BN113" s="26"/>
      <c r="BO113" s="165"/>
      <c r="BP113" s="110"/>
      <c r="BQ113" s="110"/>
      <c r="BR113" s="26"/>
      <c r="BS113" s="41"/>
      <c r="BT113" s="38"/>
      <c r="BU113" s="64"/>
      <c r="BV113" s="26"/>
      <c r="BW113" s="26"/>
      <c r="BX113" s="26"/>
      <c r="BY113" s="41"/>
      <c r="BZ113" s="38"/>
      <c r="CA113" s="64"/>
      <c r="CB113" s="26"/>
      <c r="CC113" s="26"/>
      <c r="CD113" s="26"/>
      <c r="CE113" s="26"/>
      <c r="CF113" s="26"/>
      <c r="CG113" s="26"/>
      <c r="CH113" s="26"/>
      <c r="CI113" s="26"/>
      <c r="CJ113" s="26"/>
      <c r="CK113" s="26"/>
      <c r="CL113" s="26"/>
      <c r="CM113" s="26"/>
      <c r="CN113" s="26"/>
      <c r="CO113" s="26"/>
    </row>
    <row r="114" spans="1:93" ht="12.75" customHeight="1" x14ac:dyDescent="0.25">
      <c r="A114" s="30"/>
      <c r="B114" s="30"/>
      <c r="C114" s="30"/>
      <c r="D114" s="30"/>
      <c r="E114" s="30"/>
      <c r="F114" s="30"/>
      <c r="G114" s="30"/>
      <c r="H114" s="30"/>
      <c r="I114" s="30"/>
      <c r="J114" s="30"/>
      <c r="K114" s="30"/>
      <c r="L114" s="30"/>
      <c r="M114" s="30"/>
      <c r="N114" s="30"/>
      <c r="O114" s="30"/>
      <c r="P114" s="30"/>
      <c r="Q114" s="6"/>
      <c r="R114" s="6"/>
      <c r="S114" s="6"/>
      <c r="T114" s="6"/>
      <c r="U114" s="6"/>
      <c r="V114" s="6"/>
      <c r="W114" s="6"/>
      <c r="X114" s="6"/>
      <c r="Y114" s="6"/>
      <c r="Z114" s="6"/>
      <c r="AA114" s="6"/>
      <c r="AB114" s="6"/>
      <c r="AC114" s="6"/>
      <c r="AD114" s="6"/>
      <c r="AE114" s="6"/>
      <c r="AF114" s="52"/>
      <c r="AG114" s="52"/>
      <c r="AH114" s="52"/>
      <c r="AI114" s="52"/>
      <c r="AJ114" s="52"/>
      <c r="AK114" s="52"/>
      <c r="AL114" s="52"/>
      <c r="AM114" s="52"/>
      <c r="AN114" s="6"/>
      <c r="AO114" s="6"/>
      <c r="AP114" s="6"/>
      <c r="AQ114" s="6"/>
      <c r="AR114" s="6"/>
      <c r="AS114" s="6"/>
      <c r="AT114" s="6"/>
      <c r="AU114" s="6"/>
      <c r="AV114" s="5"/>
      <c r="AW114" s="52"/>
      <c r="AX114" s="106"/>
      <c r="AY114" s="6"/>
      <c r="AZ114" s="6"/>
      <c r="BA114" s="6"/>
      <c r="BB114" s="6"/>
      <c r="BC114" s="6"/>
      <c r="BD114" s="6"/>
      <c r="BE114" s="187"/>
      <c r="BF114" s="26"/>
      <c r="BG114" s="26"/>
      <c r="BH114" s="26"/>
      <c r="BI114" s="26"/>
      <c r="BJ114" s="26"/>
      <c r="BK114" s="26"/>
      <c r="BL114" s="26"/>
      <c r="BM114" s="26"/>
      <c r="BN114" s="26"/>
      <c r="BO114" s="26"/>
      <c r="BP114" s="26"/>
      <c r="BQ114" s="26"/>
      <c r="BR114" s="26"/>
      <c r="BS114" s="41"/>
      <c r="BT114" s="38"/>
      <c r="BU114" s="64"/>
      <c r="BV114" s="26"/>
      <c r="BW114" s="26"/>
      <c r="BX114" s="26"/>
      <c r="BY114" s="41"/>
      <c r="BZ114" s="38"/>
      <c r="CA114" s="64"/>
      <c r="CB114" s="26"/>
      <c r="CC114" s="26"/>
      <c r="CD114" s="26"/>
      <c r="CE114" s="26"/>
      <c r="CF114" s="26"/>
      <c r="CG114" s="26"/>
      <c r="CH114" s="26"/>
      <c r="CI114" s="26"/>
      <c r="CJ114" s="26"/>
      <c r="CK114" s="188"/>
      <c r="CL114" s="26"/>
      <c r="CM114" s="26"/>
      <c r="CN114" s="26"/>
      <c r="CO114" s="26"/>
    </row>
    <row r="115" spans="1:93" ht="12.75" customHeight="1" x14ac:dyDescent="0.25">
      <c r="A115" s="30" t="s">
        <v>18</v>
      </c>
      <c r="B115" s="30"/>
      <c r="C115" s="30"/>
      <c r="D115" s="30"/>
      <c r="E115" s="30"/>
      <c r="F115" s="30"/>
      <c r="G115" s="30"/>
      <c r="H115" s="30"/>
      <c r="I115" s="30"/>
      <c r="J115" s="30"/>
      <c r="K115" s="30"/>
      <c r="L115" s="30"/>
      <c r="M115" s="30"/>
      <c r="N115" s="30"/>
      <c r="O115" s="30"/>
      <c r="P115" s="30"/>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26"/>
      <c r="BG115" s="26"/>
      <c r="BH115" s="26"/>
      <c r="BI115" s="26"/>
      <c r="BJ115" s="26"/>
      <c r="BK115" s="26"/>
      <c r="BL115" s="26"/>
      <c r="BM115" s="26"/>
      <c r="BN115" s="26"/>
      <c r="BO115" s="26"/>
      <c r="BP115" s="26"/>
      <c r="BQ115" s="26"/>
      <c r="BR115" s="26"/>
      <c r="BS115" s="26"/>
      <c r="BT115" s="26"/>
      <c r="BU115" s="26"/>
      <c r="BV115" s="26"/>
      <c r="BW115" s="26"/>
      <c r="BX115" s="26"/>
      <c r="BY115" s="41"/>
      <c r="BZ115" s="38"/>
      <c r="CA115" s="100"/>
      <c r="CB115" s="26"/>
      <c r="CC115" s="26"/>
      <c r="CD115" s="26"/>
      <c r="CE115" s="26"/>
      <c r="CF115" s="26"/>
      <c r="CG115" s="26"/>
      <c r="CH115" s="26"/>
      <c r="CI115" s="26"/>
      <c r="CJ115" s="26"/>
      <c r="CK115" s="26"/>
      <c r="CL115" s="26"/>
      <c r="CM115" s="26"/>
      <c r="CN115" s="26"/>
      <c r="CO115" s="26"/>
    </row>
    <row r="116" spans="1:93" ht="12.75" hidden="1" customHeight="1" x14ac:dyDescent="0.25">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26"/>
      <c r="BG116" s="26"/>
      <c r="BH116" s="26"/>
      <c r="BI116" s="26"/>
      <c r="BJ116" s="26"/>
      <c r="BK116" s="26"/>
      <c r="BL116" s="26"/>
      <c r="BM116" s="26"/>
      <c r="BN116" s="26"/>
      <c r="BO116" s="26"/>
      <c r="BP116" s="26"/>
      <c r="BQ116" s="26"/>
      <c r="BR116" s="26"/>
      <c r="BS116" s="26"/>
      <c r="BT116" s="26"/>
      <c r="BU116" s="26"/>
      <c r="BV116" s="26"/>
      <c r="BW116" s="26"/>
      <c r="BX116" s="26"/>
      <c r="BY116" s="26"/>
      <c r="BZ116" s="26"/>
      <c r="CA116" s="26"/>
      <c r="CB116" s="26"/>
      <c r="CC116" s="26"/>
      <c r="CD116" s="26"/>
      <c r="CE116" s="26"/>
      <c r="CF116" s="26"/>
      <c r="CG116" s="26"/>
      <c r="CH116" s="26"/>
      <c r="CI116" s="26"/>
      <c r="CJ116" s="26"/>
      <c r="CK116" s="26"/>
      <c r="CL116" s="26"/>
      <c r="CM116" s="26"/>
      <c r="CN116" s="26"/>
      <c r="CO116" s="26"/>
    </row>
    <row r="117" spans="1:93" ht="13.5" hidden="1" customHeight="1" x14ac:dyDescent="0.25">
      <c r="G117" s="9" t="s">
        <v>131</v>
      </c>
      <c r="I117" s="224">
        <f>$L$513</f>
        <v>0</v>
      </c>
      <c r="K117" s="225" t="e">
        <f>IF($E$121,$I$118,$N$117)</f>
        <v>#REF!</v>
      </c>
      <c r="L117" s="9" t="s">
        <v>132</v>
      </c>
      <c r="N117" s="225" t="e">
        <f>IF($BF$33,0,$I$142)</f>
        <v>#REF!</v>
      </c>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26"/>
      <c r="BG117" s="26"/>
      <c r="BH117" s="26"/>
      <c r="BI117" s="26"/>
      <c r="BJ117" s="26"/>
      <c r="BK117" s="26"/>
      <c r="BL117" s="26"/>
      <c r="BM117" s="26"/>
      <c r="BN117" s="26"/>
      <c r="BO117" s="26"/>
      <c r="BP117" s="26"/>
      <c r="BQ117" s="26"/>
      <c r="BR117" s="26"/>
      <c r="BS117" s="26"/>
      <c r="BT117" s="26"/>
      <c r="BU117" s="26"/>
      <c r="BV117" s="26"/>
      <c r="BW117" s="26"/>
      <c r="BX117" s="26"/>
      <c r="BY117" s="26"/>
      <c r="BZ117" s="26"/>
      <c r="CA117" s="26"/>
      <c r="CB117" s="26"/>
      <c r="CC117" s="26"/>
      <c r="CD117" s="26"/>
      <c r="CE117" s="26"/>
      <c r="CF117" s="26"/>
      <c r="CG117" s="26"/>
      <c r="CH117" s="26"/>
      <c r="CI117" s="26"/>
      <c r="CJ117" s="26"/>
      <c r="CK117" s="26"/>
      <c r="CL117" s="26"/>
      <c r="CM117" s="26"/>
      <c r="CN117" s="26"/>
      <c r="CO117" s="26"/>
    </row>
    <row r="118" spans="1:93" ht="15.75" hidden="1" customHeight="1" x14ac:dyDescent="0.25">
      <c r="C118" s="9" t="s">
        <v>133</v>
      </c>
      <c r="E118" s="226" t="b">
        <v>0</v>
      </c>
      <c r="G118" s="9" t="s">
        <v>134</v>
      </c>
      <c r="I118" s="225">
        <f>$J$217</f>
        <v>0</v>
      </c>
      <c r="L118" s="227" t="s">
        <v>135</v>
      </c>
      <c r="N118" s="228" t="e">
        <f>N$25/J119</f>
        <v>#REF!</v>
      </c>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26"/>
      <c r="BG118" s="26"/>
      <c r="BH118" s="26"/>
      <c r="BI118" s="26"/>
      <c r="BJ118" s="26"/>
      <c r="BK118" s="26"/>
      <c r="BL118" s="26"/>
      <c r="BM118" s="26"/>
      <c r="BN118" s="26"/>
      <c r="BO118" s="26"/>
      <c r="BP118" s="26"/>
      <c r="BQ118" s="26"/>
      <c r="BR118" s="26"/>
      <c r="BS118" s="26"/>
      <c r="BT118" s="26"/>
      <c r="BU118" s="26"/>
      <c r="BV118" s="26"/>
      <c r="BW118" s="26"/>
      <c r="BX118" s="26"/>
      <c r="BY118" s="26"/>
      <c r="BZ118" s="26"/>
      <c r="CA118" s="26"/>
      <c r="CB118" s="26"/>
      <c r="CC118" s="26"/>
      <c r="CD118" s="26"/>
      <c r="CE118" s="26"/>
      <c r="CF118" s="26"/>
      <c r="CG118" s="26"/>
      <c r="CH118" s="26"/>
      <c r="CI118" s="26"/>
      <c r="CJ118" s="26"/>
      <c r="CK118" s="26"/>
      <c r="CL118" s="26"/>
      <c r="CM118" s="26"/>
      <c r="CN118" s="26"/>
      <c r="CO118" s="26"/>
    </row>
    <row r="119" spans="1:93" ht="13.5" hidden="1" customHeight="1" x14ac:dyDescent="0.25">
      <c r="E119" s="229">
        <f>IF(E121=FALSE,K427,0)</f>
        <v>0</v>
      </c>
      <c r="I119" s="4">
        <f>IF($E$133,$L$248,$L$217)</f>
        <v>0</v>
      </c>
      <c r="J119" s="9">
        <f>IF(E120,208,240)</f>
        <v>208</v>
      </c>
      <c r="K119" s="9" t="e">
        <f t="shared" ref="K119:K121" si="19">N119</f>
        <v>#REF!</v>
      </c>
      <c r="M119" s="9" t="s">
        <v>136</v>
      </c>
      <c r="N119" s="4" t="e">
        <f>IF($E$133,$N$163,$N$123)</f>
        <v>#REF!</v>
      </c>
      <c r="P119" s="6"/>
      <c r="Q119" s="6"/>
      <c r="R119" s="6"/>
      <c r="S119" s="6"/>
      <c r="T119" s="6"/>
      <c r="U119" s="6"/>
      <c r="V119" s="6"/>
      <c r="W119" s="6"/>
      <c r="X119" s="6"/>
      <c r="Y119" s="6"/>
      <c r="Z119" s="6">
        <f>Z152</f>
        <v>200</v>
      </c>
      <c r="AA119" s="6" t="s">
        <v>18</v>
      </c>
      <c r="AB119" s="6"/>
      <c r="AC119" s="6"/>
      <c r="AD119" s="6">
        <f>Z156</f>
        <v>200</v>
      </c>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26"/>
      <c r="BG119" s="26"/>
      <c r="BH119" s="26"/>
      <c r="BI119" s="26"/>
      <c r="BJ119" s="26"/>
      <c r="BK119" s="26"/>
      <c r="BL119" s="26"/>
      <c r="BM119" s="26"/>
      <c r="BN119" s="26"/>
      <c r="BO119" s="26"/>
      <c r="BP119" s="26"/>
      <c r="BQ119" s="26"/>
      <c r="BR119" s="26"/>
      <c r="BS119" s="26"/>
      <c r="BT119" s="26"/>
      <c r="BU119" s="26"/>
      <c r="BV119" s="26"/>
      <c r="BW119" s="26"/>
      <c r="BX119" s="26"/>
      <c r="BY119" s="26"/>
      <c r="BZ119" s="26"/>
      <c r="CA119" s="26"/>
      <c r="CB119" s="26"/>
      <c r="CC119" s="26"/>
      <c r="CD119" s="26"/>
      <c r="CE119" s="26"/>
      <c r="CF119" s="26"/>
      <c r="CG119" s="26"/>
      <c r="CH119" s="26"/>
      <c r="CI119" s="26"/>
      <c r="CJ119" s="26"/>
      <c r="CK119" s="26"/>
      <c r="CL119" s="26"/>
      <c r="CM119" s="26"/>
      <c r="CN119" s="26"/>
      <c r="CO119" s="26"/>
    </row>
    <row r="120" spans="1:93" ht="13.5" hidden="1" customHeight="1" x14ac:dyDescent="0.25">
      <c r="C120" s="443" t="s">
        <v>137</v>
      </c>
      <c r="D120" s="409"/>
      <c r="E120" s="6" t="b">
        <v>1</v>
      </c>
      <c r="G120" s="230">
        <f>L511</f>
        <v>0</v>
      </c>
      <c r="I120" s="231">
        <f>IF($E$133,$N$249,$N$218)</f>
        <v>0</v>
      </c>
      <c r="K120" s="9">
        <f t="shared" si="19"/>
        <v>0</v>
      </c>
      <c r="L120" s="232" t="e">
        <f>SUM($N$12+$N$17+$N$19+$N$21+$N$23)</f>
        <v>#REF!</v>
      </c>
      <c r="M120" s="9" t="s">
        <v>138</v>
      </c>
      <c r="N120" s="231">
        <f>IF($E$133,$N$179,$N$144)</f>
        <v>0</v>
      </c>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26"/>
      <c r="BG120" s="26"/>
      <c r="BH120" s="26"/>
      <c r="BI120" s="26"/>
      <c r="BJ120" s="26"/>
      <c r="BK120" s="26"/>
      <c r="BL120" s="26"/>
      <c r="BM120" s="26"/>
      <c r="BN120" s="26"/>
      <c r="BO120" s="26"/>
      <c r="BP120" s="26"/>
      <c r="BQ120" s="26"/>
      <c r="BR120" s="26"/>
      <c r="BS120" s="26"/>
      <c r="BT120" s="26"/>
      <c r="BU120" s="26"/>
      <c r="BV120" s="26"/>
      <c r="BW120" s="26"/>
      <c r="BX120" s="26"/>
      <c r="BY120" s="26"/>
      <c r="BZ120" s="26"/>
      <c r="CA120" s="26"/>
      <c r="CB120" s="26"/>
      <c r="CC120" s="26"/>
      <c r="CD120" s="26"/>
      <c r="CE120" s="26"/>
      <c r="CF120" s="26"/>
      <c r="CG120" s="26"/>
      <c r="CH120" s="26"/>
      <c r="CI120" s="26"/>
      <c r="CJ120" s="26"/>
      <c r="CK120" s="26"/>
      <c r="CL120" s="26"/>
      <c r="CM120" s="26"/>
      <c r="CN120" s="26"/>
      <c r="CO120" s="26"/>
    </row>
    <row r="121" spans="1:93" ht="13.5" hidden="1" customHeight="1" x14ac:dyDescent="0.25">
      <c r="C121" s="9" t="s">
        <v>139</v>
      </c>
      <c r="E121" s="6" t="b">
        <v>0</v>
      </c>
      <c r="I121" s="231">
        <f>IF($E$133,$J$248,$J$232)</f>
        <v>0</v>
      </c>
      <c r="K121" s="9" t="e">
        <f t="shared" si="19"/>
        <v>#REF!</v>
      </c>
      <c r="M121" s="9" t="s">
        <v>140</v>
      </c>
      <c r="N121" s="231" t="e">
        <f>IF($E$133,$G$178,$G$158)</f>
        <v>#REF!</v>
      </c>
      <c r="P121" s="6"/>
      <c r="Q121" s="6"/>
      <c r="R121" s="6"/>
      <c r="S121" s="6"/>
      <c r="T121" s="6"/>
      <c r="U121" s="6"/>
      <c r="V121" s="6"/>
      <c r="W121" s="6"/>
      <c r="X121" s="6"/>
      <c r="Y121" s="6"/>
      <c r="Z121" s="6"/>
      <c r="AA121" s="233" t="s">
        <v>18</v>
      </c>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26"/>
      <c r="BG121" s="26"/>
      <c r="BH121" s="26"/>
      <c r="BI121" s="26"/>
      <c r="BJ121" s="26"/>
      <c r="BK121" s="26"/>
      <c r="BL121" s="26"/>
      <c r="BM121" s="26"/>
      <c r="BN121" s="26"/>
      <c r="BO121" s="26"/>
      <c r="BP121" s="26"/>
      <c r="BQ121" s="26"/>
      <c r="BR121" s="26"/>
      <c r="BS121" s="26"/>
      <c r="BT121" s="26"/>
      <c r="BU121" s="26"/>
      <c r="BV121" s="26"/>
      <c r="BW121" s="26"/>
      <c r="BX121" s="26"/>
      <c r="BY121" s="26"/>
      <c r="BZ121" s="26"/>
      <c r="CA121" s="26"/>
      <c r="CB121" s="26"/>
      <c r="CC121" s="26"/>
      <c r="CD121" s="26"/>
      <c r="CE121" s="26"/>
      <c r="CF121" s="26"/>
      <c r="CG121" s="26"/>
      <c r="CH121" s="26"/>
      <c r="CI121" s="26"/>
      <c r="CJ121" s="26"/>
      <c r="CK121" s="26"/>
      <c r="CL121" s="26"/>
      <c r="CM121" s="26"/>
      <c r="CN121" s="26"/>
      <c r="CO121" s="26"/>
    </row>
    <row r="122" spans="1:93" ht="12.75" hidden="1" customHeight="1" x14ac:dyDescent="0.25">
      <c r="C122" s="233" t="s">
        <v>141</v>
      </c>
      <c r="D122" s="233"/>
      <c r="E122" s="30" t="b">
        <v>0</v>
      </c>
      <c r="H122" s="9">
        <v>10</v>
      </c>
      <c r="P122" s="6"/>
      <c r="Q122" s="6"/>
      <c r="R122" s="6"/>
      <c r="S122" s="6"/>
      <c r="T122" s="6"/>
      <c r="U122" s="6"/>
      <c r="V122" s="6"/>
      <c r="W122" s="6"/>
      <c r="X122" s="6"/>
      <c r="Y122" s="6"/>
      <c r="Z122" s="6" t="b">
        <v>0</v>
      </c>
      <c r="AA122" s="233"/>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26"/>
      <c r="BG122" s="26"/>
      <c r="BH122" s="26"/>
      <c r="BI122" s="26"/>
      <c r="BJ122" s="26"/>
      <c r="BK122" s="26"/>
      <c r="BL122" s="26"/>
      <c r="BM122" s="26"/>
      <c r="BN122" s="26"/>
      <c r="BO122" s="26"/>
      <c r="BP122" s="26"/>
      <c r="BQ122" s="26"/>
      <c r="BR122" s="26"/>
      <c r="BS122" s="26"/>
      <c r="BT122" s="26"/>
      <c r="BU122" s="26"/>
      <c r="BV122" s="26"/>
      <c r="BW122" s="26"/>
      <c r="BX122" s="26"/>
      <c r="BY122" s="26"/>
      <c r="BZ122" s="26"/>
      <c r="CA122" s="26"/>
      <c r="CB122" s="26"/>
      <c r="CC122" s="26"/>
      <c r="CD122" s="26"/>
      <c r="CE122" s="26"/>
      <c r="CF122" s="26"/>
      <c r="CG122" s="26"/>
      <c r="CH122" s="26"/>
      <c r="CI122" s="26"/>
      <c r="CJ122" s="26"/>
      <c r="CK122" s="26"/>
      <c r="CL122" s="26"/>
      <c r="CM122" s="26"/>
      <c r="CN122" s="26"/>
      <c r="CO122" s="26"/>
    </row>
    <row r="123" spans="1:93" ht="12.75" hidden="1" customHeight="1" x14ac:dyDescent="0.25">
      <c r="C123" s="233" t="s">
        <v>142</v>
      </c>
      <c r="D123" s="233"/>
      <c r="E123" s="30" t="b">
        <v>0</v>
      </c>
      <c r="G123" s="9" t="s">
        <v>143</v>
      </c>
      <c r="I123" s="150" t="e">
        <f>N27</f>
        <v>#REF!</v>
      </c>
      <c r="L123" s="227" t="s">
        <v>144</v>
      </c>
      <c r="N123" s="234" t="e">
        <f>IF(I123&lt;30,0,N137)</f>
        <v>#REF!</v>
      </c>
      <c r="O123" s="235" t="e">
        <f>(14-M137)</f>
        <v>#REF!</v>
      </c>
      <c r="P123" s="6"/>
      <c r="Q123" s="6"/>
      <c r="R123" s="6"/>
      <c r="S123" s="6"/>
      <c r="T123" s="6"/>
      <c r="U123" s="6"/>
      <c r="V123" s="6"/>
      <c r="W123" s="6"/>
      <c r="X123" s="6"/>
      <c r="Y123" s="6"/>
      <c r="Z123" s="6"/>
      <c r="AA123" s="233"/>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26"/>
      <c r="BG123" s="26"/>
      <c r="BH123" s="26"/>
      <c r="BI123" s="26"/>
      <c r="BJ123" s="26"/>
      <c r="BK123" s="26"/>
      <c r="BL123" s="26"/>
      <c r="BM123" s="26"/>
      <c r="BN123" s="26"/>
      <c r="BO123" s="26"/>
      <c r="BP123" s="26"/>
      <c r="BQ123" s="26"/>
      <c r="BR123" s="26"/>
      <c r="BS123" s="26"/>
      <c r="BT123" s="26"/>
      <c r="BU123" s="26"/>
      <c r="BV123" s="26"/>
      <c r="BW123" s="26"/>
      <c r="BX123" s="26"/>
      <c r="BY123" s="26"/>
      <c r="BZ123" s="26"/>
      <c r="CA123" s="26"/>
      <c r="CB123" s="26"/>
      <c r="CC123" s="26"/>
      <c r="CD123" s="26"/>
      <c r="CE123" s="26"/>
      <c r="CF123" s="26"/>
      <c r="CG123" s="26"/>
      <c r="CH123" s="26"/>
      <c r="CI123" s="26"/>
      <c r="CJ123" s="26"/>
      <c r="CK123" s="26"/>
      <c r="CL123" s="26"/>
      <c r="CM123" s="26"/>
      <c r="CN123" s="26"/>
      <c r="CO123" s="26"/>
    </row>
    <row r="124" spans="1:93" ht="12.75" hidden="1" customHeight="1" x14ac:dyDescent="0.25">
      <c r="C124" s="233" t="s">
        <v>145</v>
      </c>
      <c r="D124" s="233"/>
      <c r="E124" s="30" t="b">
        <v>0</v>
      </c>
      <c r="G124" s="236" t="e">
        <f>IF(I123&gt;1,1,0)</f>
        <v>#REF!</v>
      </c>
      <c r="H124" s="236" t="e">
        <f>IF(I123&lt;=100,1,0)</f>
        <v>#REF!</v>
      </c>
      <c r="I124" s="236" t="e">
        <f>IF(H124+G124=2,100,0)</f>
        <v>#REF!</v>
      </c>
      <c r="J124" s="236">
        <v>100</v>
      </c>
      <c r="L124" s="236" t="e">
        <f>IF(L137=100,1,0)</f>
        <v>#REF!</v>
      </c>
      <c r="M124" s="236" t="e">
        <f>IF(L137&lt;=100,1,0)</f>
        <v>#REF!</v>
      </c>
      <c r="N124" s="236" t="e">
        <f>IF(M124+L124=2,O124,0)</f>
        <v>#REF!</v>
      </c>
      <c r="O124" s="237">
        <v>4</v>
      </c>
      <c r="P124" s="6"/>
      <c r="Q124" s="6"/>
      <c r="R124" s="6"/>
      <c r="S124" s="6"/>
      <c r="T124" s="6"/>
      <c r="U124" s="6"/>
      <c r="V124" s="6"/>
      <c r="W124" s="6"/>
      <c r="X124" s="6"/>
      <c r="Y124" s="6"/>
      <c r="Z124" s="6"/>
      <c r="AA124" s="233"/>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26"/>
      <c r="BG124" s="26"/>
      <c r="BH124" s="26"/>
      <c r="BI124" s="26"/>
      <c r="BJ124" s="26"/>
      <c r="BK124" s="26"/>
      <c r="BL124" s="26"/>
      <c r="BM124" s="26"/>
      <c r="BN124" s="26"/>
      <c r="BO124" s="26"/>
      <c r="BP124" s="26"/>
      <c r="BQ124" s="26"/>
      <c r="BR124" s="26"/>
      <c r="BS124" s="26"/>
      <c r="BT124" s="26"/>
      <c r="BU124" s="26"/>
      <c r="BV124" s="26"/>
      <c r="BW124" s="26"/>
      <c r="BX124" s="26"/>
      <c r="BY124" s="26"/>
      <c r="BZ124" s="26"/>
      <c r="CA124" s="26"/>
      <c r="CB124" s="26"/>
      <c r="CC124" s="26"/>
      <c r="CD124" s="26"/>
      <c r="CE124" s="26"/>
      <c r="CF124" s="26"/>
      <c r="CG124" s="26"/>
      <c r="CH124" s="26"/>
      <c r="CI124" s="26"/>
      <c r="CJ124" s="26"/>
      <c r="CK124" s="26"/>
      <c r="CL124" s="26"/>
      <c r="CM124" s="26"/>
      <c r="CN124" s="26"/>
      <c r="CO124" s="26"/>
    </row>
    <row r="125" spans="1:93" ht="12.75" hidden="1" customHeight="1" x14ac:dyDescent="0.25">
      <c r="C125" s="233" t="s">
        <v>146</v>
      </c>
      <c r="D125" s="233"/>
      <c r="E125" s="30" t="b">
        <v>0</v>
      </c>
      <c r="G125" s="236" t="e">
        <f>IF(I123&gt;100,1,0)</f>
        <v>#REF!</v>
      </c>
      <c r="H125" s="236" t="e">
        <f>IF(I123&lt;=110,1,0)</f>
        <v>#REF!</v>
      </c>
      <c r="I125" s="236" t="e">
        <f>IF(SUM(G125+H125)=2,110,0)</f>
        <v>#REF!</v>
      </c>
      <c r="J125" s="236">
        <v>110</v>
      </c>
      <c r="L125" s="236" t="e">
        <f>IF(L137=110,1,0)</f>
        <v>#REF!</v>
      </c>
      <c r="M125" s="236" t="e">
        <f>IF(L137&lt;111,1,0)</f>
        <v>#REF!</v>
      </c>
      <c r="N125" s="238" t="e">
        <f t="shared" ref="N125:N136" si="20">IF(SUM(L125+M125)=2,O125,0)</f>
        <v>#REF!</v>
      </c>
      <c r="O125" s="239" t="s">
        <v>147</v>
      </c>
      <c r="P125" s="6"/>
      <c r="Q125" s="6"/>
      <c r="R125" s="6"/>
      <c r="S125" s="6"/>
      <c r="T125" s="6"/>
      <c r="U125" s="6"/>
      <c r="V125" s="6"/>
      <c r="W125" s="6"/>
      <c r="X125" s="6"/>
      <c r="Y125" s="6"/>
      <c r="Z125" s="6"/>
      <c r="AA125" s="233"/>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26"/>
      <c r="BG125" s="26"/>
      <c r="BH125" s="26"/>
      <c r="BI125" s="26"/>
      <c r="BJ125" s="26"/>
      <c r="BK125" s="26"/>
      <c r="BL125" s="26"/>
      <c r="BM125" s="26"/>
      <c r="BN125" s="26"/>
      <c r="BO125" s="26"/>
      <c r="BP125" s="26"/>
      <c r="BQ125" s="26"/>
      <c r="BR125" s="26"/>
      <c r="BS125" s="26"/>
      <c r="BT125" s="26"/>
      <c r="BU125" s="26"/>
      <c r="BV125" s="26"/>
      <c r="BW125" s="26"/>
      <c r="BX125" s="26"/>
      <c r="BY125" s="26"/>
      <c r="BZ125" s="26"/>
      <c r="CA125" s="26"/>
      <c r="CB125" s="26"/>
      <c r="CC125" s="26"/>
      <c r="CD125" s="26"/>
      <c r="CE125" s="26"/>
      <c r="CF125" s="26"/>
      <c r="CG125" s="26"/>
      <c r="CH125" s="26"/>
      <c r="CI125" s="26"/>
      <c r="CJ125" s="26"/>
      <c r="CK125" s="26"/>
      <c r="CL125" s="26"/>
      <c r="CM125" s="26"/>
      <c r="CN125" s="26"/>
      <c r="CO125" s="26"/>
    </row>
    <row r="126" spans="1:93" ht="12.75" hidden="1" customHeight="1" x14ac:dyDescent="0.25">
      <c r="C126" s="233" t="s">
        <v>148</v>
      </c>
      <c r="D126" s="233"/>
      <c r="E126" s="30" t="b">
        <v>0</v>
      </c>
      <c r="G126" s="236" t="e">
        <f>IF(I123&gt;110,1,0)</f>
        <v>#REF!</v>
      </c>
      <c r="H126" s="236" t="e">
        <f>IF(I123&lt;=125,1,0)</f>
        <v>#REF!</v>
      </c>
      <c r="I126" s="236" t="e">
        <f>IF(G126+H126=2,125,0)</f>
        <v>#REF!</v>
      </c>
      <c r="J126" s="236">
        <v>125</v>
      </c>
      <c r="L126" s="236" t="e">
        <f>IF(L137=125,1,0)</f>
        <v>#REF!</v>
      </c>
      <c r="M126" s="236" t="e">
        <f>IF(L137&lt;126,1,0)</f>
        <v>#REF!</v>
      </c>
      <c r="N126" s="238" t="e">
        <f t="shared" si="20"/>
        <v>#REF!</v>
      </c>
      <c r="O126" s="239" t="s">
        <v>149</v>
      </c>
      <c r="P126" s="6"/>
      <c r="Q126" s="6"/>
      <c r="R126" s="6"/>
      <c r="S126" s="6"/>
      <c r="T126" s="6"/>
      <c r="U126" s="6"/>
      <c r="V126" s="6"/>
      <c r="W126" s="6"/>
      <c r="X126" s="6"/>
      <c r="Y126" s="6"/>
      <c r="Z126" s="6"/>
      <c r="AA126" s="233"/>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26"/>
      <c r="BG126" s="26"/>
      <c r="BH126" s="26"/>
      <c r="BI126" s="26"/>
      <c r="BJ126" s="26"/>
      <c r="BK126" s="26"/>
      <c r="BL126" s="26"/>
      <c r="BM126" s="26"/>
      <c r="BN126" s="26"/>
      <c r="BO126" s="26"/>
      <c r="BP126" s="26"/>
      <c r="BQ126" s="26"/>
      <c r="BR126" s="26"/>
      <c r="BS126" s="26"/>
      <c r="BT126" s="26"/>
      <c r="BU126" s="26"/>
      <c r="BV126" s="26"/>
      <c r="BW126" s="26"/>
      <c r="BX126" s="26"/>
      <c r="BY126" s="26"/>
      <c r="BZ126" s="26"/>
      <c r="CA126" s="26"/>
      <c r="CB126" s="26"/>
      <c r="CC126" s="26"/>
      <c r="CD126" s="26"/>
      <c r="CE126" s="26"/>
      <c r="CF126" s="26"/>
      <c r="CG126" s="26"/>
      <c r="CH126" s="26"/>
      <c r="CI126" s="26"/>
      <c r="CJ126" s="26"/>
      <c r="CK126" s="26"/>
      <c r="CL126" s="26"/>
      <c r="CM126" s="26"/>
      <c r="CN126" s="26"/>
      <c r="CO126" s="26"/>
    </row>
    <row r="127" spans="1:93" ht="12.75" hidden="1" customHeight="1" x14ac:dyDescent="0.25">
      <c r="C127" s="233" t="s">
        <v>150</v>
      </c>
      <c r="D127" s="233"/>
      <c r="E127" s="30" t="b">
        <v>0</v>
      </c>
      <c r="G127" s="236" t="e">
        <f>IF(I123&gt;125,1,0)</f>
        <v>#REF!</v>
      </c>
      <c r="H127" s="236" t="e">
        <f>IF(I123&lt;=150,1,0)</f>
        <v>#REF!</v>
      </c>
      <c r="I127" s="236" t="e">
        <f>IF(G127+H127=2,150,0)</f>
        <v>#REF!</v>
      </c>
      <c r="J127" s="236">
        <v>150</v>
      </c>
      <c r="L127" s="236" t="e">
        <f>IF(L137=150,1,0)</f>
        <v>#REF!</v>
      </c>
      <c r="M127" s="236" t="e">
        <f>IF(L137&lt;151,1,0)</f>
        <v>#REF!</v>
      </c>
      <c r="N127" s="238" t="e">
        <f t="shared" si="20"/>
        <v>#REF!</v>
      </c>
      <c r="O127" s="239" t="s">
        <v>151</v>
      </c>
      <c r="P127" s="6"/>
      <c r="Q127" s="6"/>
      <c r="R127" s="6"/>
      <c r="S127" s="6"/>
      <c r="T127" s="6"/>
      <c r="U127" s="6"/>
      <c r="V127" s="6"/>
      <c r="W127" s="6"/>
      <c r="X127" s="6"/>
      <c r="Y127" s="6"/>
      <c r="Z127" s="6"/>
      <c r="AA127" s="233"/>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26"/>
      <c r="BG127" s="26"/>
      <c r="BH127" s="26"/>
      <c r="BI127" s="26"/>
      <c r="BJ127" s="26"/>
      <c r="BK127" s="26"/>
      <c r="BL127" s="26"/>
      <c r="BM127" s="26"/>
      <c r="BN127" s="26"/>
      <c r="BO127" s="26"/>
      <c r="BP127" s="26"/>
      <c r="BQ127" s="26"/>
      <c r="BR127" s="26"/>
      <c r="BS127" s="26"/>
      <c r="BT127" s="26"/>
      <c r="BU127" s="26"/>
      <c r="BV127" s="26"/>
      <c r="BW127" s="26"/>
      <c r="BX127" s="26"/>
      <c r="BY127" s="26"/>
      <c r="BZ127" s="26"/>
      <c r="CA127" s="26"/>
      <c r="CB127" s="26"/>
      <c r="CC127" s="26"/>
      <c r="CD127" s="26"/>
      <c r="CE127" s="26"/>
      <c r="CF127" s="26"/>
      <c r="CG127" s="26"/>
      <c r="CH127" s="26"/>
      <c r="CI127" s="26"/>
      <c r="CJ127" s="26"/>
      <c r="CK127" s="26"/>
      <c r="CL127" s="26"/>
      <c r="CM127" s="26"/>
      <c r="CN127" s="26"/>
      <c r="CO127" s="26"/>
    </row>
    <row r="128" spans="1:93" ht="12.75" hidden="1" customHeight="1" x14ac:dyDescent="0.25">
      <c r="C128" s="233" t="s">
        <v>152</v>
      </c>
      <c r="D128" s="233"/>
      <c r="E128" s="30" t="b">
        <v>0</v>
      </c>
      <c r="G128" s="236" t="e">
        <f>IF(I123&gt;150,1,0)</f>
        <v>#REF!</v>
      </c>
      <c r="H128" s="236" t="e">
        <f>IF(I123&lt;=175,1,0)</f>
        <v>#REF!</v>
      </c>
      <c r="I128" s="236" t="e">
        <f>IF(G128+H128=2,175,0)</f>
        <v>#REF!</v>
      </c>
      <c r="J128" s="236">
        <v>175</v>
      </c>
      <c r="L128" s="236" t="e">
        <f>IF(L137=175,1,0)</f>
        <v>#REF!</v>
      </c>
      <c r="M128" s="236" t="e">
        <f>IF(L137&lt;176,1,0)</f>
        <v>#REF!</v>
      </c>
      <c r="N128" s="238" t="e">
        <f t="shared" si="20"/>
        <v>#REF!</v>
      </c>
      <c r="O128" s="240" t="s">
        <v>153</v>
      </c>
      <c r="P128" s="6"/>
      <c r="Q128" s="6"/>
      <c r="R128" s="6"/>
      <c r="S128" s="6"/>
      <c r="T128" s="6"/>
      <c r="U128" s="6"/>
      <c r="V128" s="6"/>
      <c r="W128" s="6"/>
      <c r="X128" s="6"/>
      <c r="Y128" s="6"/>
      <c r="Z128" s="6"/>
      <c r="AA128" s="233"/>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26"/>
      <c r="BG128" s="26"/>
      <c r="BH128" s="26"/>
      <c r="BI128" s="26"/>
      <c r="BJ128" s="26"/>
      <c r="BK128" s="26"/>
      <c r="BL128" s="26"/>
      <c r="BM128" s="26"/>
      <c r="BN128" s="26"/>
      <c r="BO128" s="26"/>
      <c r="BP128" s="26"/>
      <c r="BQ128" s="26"/>
      <c r="BR128" s="26"/>
      <c r="BS128" s="26"/>
      <c r="BT128" s="26"/>
      <c r="BU128" s="26"/>
      <c r="BV128" s="26"/>
      <c r="BW128" s="26"/>
      <c r="BX128" s="26"/>
      <c r="BY128" s="26"/>
      <c r="BZ128" s="26"/>
      <c r="CA128" s="26"/>
      <c r="CB128" s="26"/>
      <c r="CC128" s="26"/>
      <c r="CD128" s="26"/>
      <c r="CE128" s="26"/>
      <c r="CF128" s="26"/>
      <c r="CG128" s="26"/>
      <c r="CH128" s="26"/>
      <c r="CI128" s="26"/>
      <c r="CJ128" s="26"/>
      <c r="CK128" s="26"/>
      <c r="CL128" s="26"/>
      <c r="CM128" s="26"/>
      <c r="CN128" s="26"/>
      <c r="CO128" s="26"/>
    </row>
    <row r="129" spans="3:93" ht="12.75" hidden="1" customHeight="1" x14ac:dyDescent="0.25">
      <c r="C129" s="233" t="s">
        <v>154</v>
      </c>
      <c r="D129" s="233"/>
      <c r="E129" s="30" t="b">
        <v>0</v>
      </c>
      <c r="G129" s="236" t="e">
        <f>IF(I123&gt;175,1,0)</f>
        <v>#REF!</v>
      </c>
      <c r="H129" s="236" t="e">
        <f>IF(I123&lt;=200,1,0)</f>
        <v>#REF!</v>
      </c>
      <c r="I129" s="236" t="e">
        <f>IF(G129+H129=2,200,0)</f>
        <v>#REF!</v>
      </c>
      <c r="J129" s="236">
        <v>200</v>
      </c>
      <c r="L129" s="236" t="e">
        <f>IF(L137=200,1,0)</f>
        <v>#REF!</v>
      </c>
      <c r="M129" s="236" t="e">
        <f>IF(L137&lt;201,1,0)</f>
        <v>#REF!</v>
      </c>
      <c r="N129" s="238" t="e">
        <f t="shared" si="20"/>
        <v>#REF!</v>
      </c>
      <c r="O129" s="240" t="s">
        <v>155</v>
      </c>
      <c r="P129" s="6"/>
      <c r="Q129" s="6"/>
      <c r="R129" s="6"/>
      <c r="S129" s="6"/>
      <c r="T129" s="6"/>
      <c r="U129" s="6"/>
      <c r="V129" s="6"/>
      <c r="W129" s="6"/>
      <c r="X129" s="6"/>
      <c r="Y129" s="6"/>
      <c r="Z129" s="6"/>
      <c r="AA129" s="233"/>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26"/>
      <c r="BG129" s="26"/>
      <c r="BH129" s="26"/>
      <c r="BI129" s="26"/>
      <c r="BJ129" s="26"/>
      <c r="BK129" s="26"/>
      <c r="BL129" s="26"/>
      <c r="BM129" s="26"/>
      <c r="BN129" s="26"/>
      <c r="BO129" s="26"/>
      <c r="BP129" s="26"/>
      <c r="BQ129" s="26"/>
      <c r="BR129" s="26"/>
      <c r="BS129" s="26"/>
      <c r="BT129" s="26"/>
      <c r="BU129" s="26"/>
      <c r="BV129" s="26"/>
      <c r="BW129" s="26"/>
      <c r="BX129" s="26"/>
      <c r="BY129" s="26"/>
      <c r="BZ129" s="26"/>
      <c r="CA129" s="26"/>
      <c r="CB129" s="26"/>
      <c r="CC129" s="26"/>
      <c r="CD129" s="26"/>
      <c r="CE129" s="26"/>
      <c r="CF129" s="26"/>
      <c r="CG129" s="26"/>
      <c r="CH129" s="26"/>
      <c r="CI129" s="26"/>
      <c r="CJ129" s="26"/>
      <c r="CK129" s="26"/>
      <c r="CL129" s="26"/>
      <c r="CM129" s="26"/>
      <c r="CN129" s="26"/>
      <c r="CO129" s="26"/>
    </row>
    <row r="130" spans="3:93" ht="12.75" hidden="1" customHeight="1" x14ac:dyDescent="0.25">
      <c r="C130" s="233" t="s">
        <v>156</v>
      </c>
      <c r="D130" s="233"/>
      <c r="E130" s="30" t="b">
        <v>0</v>
      </c>
      <c r="G130" s="236" t="e">
        <f>IF(I123&gt;200,1,0)</f>
        <v>#REF!</v>
      </c>
      <c r="H130" s="236" t="e">
        <f>IF(I123&lt;=225,1,0)</f>
        <v>#REF!</v>
      </c>
      <c r="I130" s="236" t="e">
        <f>IF(G130+H130=2,225,0)</f>
        <v>#REF!</v>
      </c>
      <c r="J130" s="236">
        <v>225</v>
      </c>
      <c r="L130" s="236" t="e">
        <f>IF(L137=225,1,0)</f>
        <v>#REF!</v>
      </c>
      <c r="M130" s="236" t="e">
        <f>IF(L137&lt;226,1,0)</f>
        <v>#REF!</v>
      </c>
      <c r="N130" s="238" t="e">
        <f t="shared" si="20"/>
        <v>#REF!</v>
      </c>
      <c r="O130" s="240" t="s">
        <v>157</v>
      </c>
      <c r="P130" s="6"/>
      <c r="Q130" s="6"/>
      <c r="R130" s="6"/>
      <c r="S130" s="6"/>
      <c r="T130" s="6"/>
      <c r="U130" s="6"/>
      <c r="V130" s="6"/>
      <c r="W130" s="6"/>
      <c r="X130" s="6"/>
      <c r="Y130" s="6"/>
      <c r="Z130" s="6"/>
      <c r="AA130" s="233"/>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26"/>
      <c r="BG130" s="26"/>
      <c r="BH130" s="26"/>
      <c r="BI130" s="26"/>
      <c r="BJ130" s="26"/>
      <c r="BK130" s="26"/>
      <c r="BL130" s="26"/>
      <c r="BM130" s="26"/>
      <c r="BN130" s="26"/>
      <c r="BO130" s="26"/>
      <c r="BP130" s="26"/>
      <c r="BQ130" s="26"/>
      <c r="BR130" s="26"/>
      <c r="BS130" s="26"/>
      <c r="BT130" s="26"/>
      <c r="BU130" s="26"/>
      <c r="BV130" s="26"/>
      <c r="BW130" s="26"/>
      <c r="BX130" s="26"/>
      <c r="BY130" s="26"/>
      <c r="BZ130" s="26"/>
      <c r="CA130" s="26"/>
      <c r="CB130" s="26"/>
      <c r="CC130" s="26"/>
      <c r="CD130" s="26"/>
      <c r="CE130" s="26"/>
      <c r="CF130" s="26"/>
      <c r="CG130" s="26"/>
      <c r="CH130" s="26"/>
      <c r="CI130" s="26"/>
      <c r="CJ130" s="26"/>
      <c r="CK130" s="26"/>
      <c r="CL130" s="26"/>
      <c r="CM130" s="26"/>
      <c r="CN130" s="26"/>
      <c r="CO130" s="26"/>
    </row>
    <row r="131" spans="3:93" ht="12.75" hidden="1" customHeight="1" x14ac:dyDescent="0.25">
      <c r="C131" s="233" t="s">
        <v>158</v>
      </c>
      <c r="D131" s="233"/>
      <c r="E131" s="30" t="b">
        <v>0</v>
      </c>
      <c r="G131" s="236" t="e">
        <f>IF(I123&gt;225,1,0)</f>
        <v>#REF!</v>
      </c>
      <c r="H131" s="236" t="e">
        <f>IF(I123&lt;=250,1,0)</f>
        <v>#REF!</v>
      </c>
      <c r="I131" s="236" t="e">
        <f>IF(G131+H131=2,250,0)</f>
        <v>#REF!</v>
      </c>
      <c r="J131" s="236">
        <v>250</v>
      </c>
      <c r="L131" s="236" t="e">
        <f>IF(L137=250,1,0)</f>
        <v>#REF!</v>
      </c>
      <c r="M131" s="236" t="e">
        <f>IF(L137&lt;251,1,0)</f>
        <v>#REF!</v>
      </c>
      <c r="N131" s="238" t="e">
        <f t="shared" si="20"/>
        <v>#REF!</v>
      </c>
      <c r="O131" s="240" t="s">
        <v>159</v>
      </c>
      <c r="P131" s="6"/>
      <c r="Q131" s="6"/>
      <c r="R131" s="6"/>
      <c r="S131" s="6"/>
      <c r="T131" s="6"/>
      <c r="U131" s="6"/>
      <c r="V131" s="6"/>
      <c r="W131" s="6"/>
      <c r="X131" s="6"/>
      <c r="Y131" s="6"/>
      <c r="Z131" s="6"/>
      <c r="AA131" s="233"/>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26"/>
      <c r="BG131" s="26"/>
      <c r="BH131" s="26"/>
      <c r="BI131" s="26"/>
      <c r="BJ131" s="26"/>
      <c r="BK131" s="26"/>
      <c r="BL131" s="26"/>
      <c r="BM131" s="26"/>
      <c r="BN131" s="26"/>
      <c r="BO131" s="26"/>
      <c r="BP131" s="26"/>
      <c r="BQ131" s="26"/>
      <c r="BR131" s="26"/>
      <c r="BS131" s="26"/>
      <c r="BT131" s="26"/>
      <c r="BU131" s="26"/>
      <c r="BV131" s="26"/>
      <c r="BW131" s="26"/>
      <c r="BX131" s="26"/>
      <c r="BY131" s="26"/>
      <c r="BZ131" s="26"/>
      <c r="CA131" s="26"/>
      <c r="CB131" s="26"/>
      <c r="CC131" s="26"/>
      <c r="CD131" s="26"/>
      <c r="CE131" s="26"/>
      <c r="CF131" s="26"/>
      <c r="CG131" s="26"/>
      <c r="CH131" s="26"/>
      <c r="CI131" s="26"/>
      <c r="CJ131" s="26"/>
      <c r="CK131" s="26"/>
      <c r="CL131" s="26"/>
      <c r="CM131" s="26"/>
      <c r="CN131" s="26"/>
      <c r="CO131" s="26"/>
    </row>
    <row r="132" spans="3:93" ht="12.75" hidden="1" customHeight="1" x14ac:dyDescent="0.25">
      <c r="C132" s="233" t="s">
        <v>160</v>
      </c>
      <c r="D132" s="233"/>
      <c r="E132" s="30" t="b">
        <v>0</v>
      </c>
      <c r="G132" s="236" t="e">
        <f>IF(I123&gt;250,1,0)</f>
        <v>#REF!</v>
      </c>
      <c r="H132" s="236" t="e">
        <f>IF(I123&lt;=300,1,0)</f>
        <v>#REF!</v>
      </c>
      <c r="I132" s="236" t="e">
        <f>IF(G132+H132=2,300,0)</f>
        <v>#REF!</v>
      </c>
      <c r="J132" s="236">
        <v>300</v>
      </c>
      <c r="L132" s="236" t="e">
        <f>IF(L137=300,1,0)</f>
        <v>#REF!</v>
      </c>
      <c r="M132" s="236" t="e">
        <f>IF(L137&lt;301,1,0)</f>
        <v>#REF!</v>
      </c>
      <c r="N132" s="238" t="e">
        <f t="shared" si="20"/>
        <v>#REF!</v>
      </c>
      <c r="O132" s="240" t="s">
        <v>161</v>
      </c>
      <c r="P132" s="6"/>
      <c r="Q132" s="6"/>
      <c r="R132" s="6"/>
      <c r="S132" s="6"/>
      <c r="T132" s="6"/>
      <c r="U132" s="6"/>
      <c r="V132" s="6"/>
      <c r="W132" s="6"/>
      <c r="X132" s="6"/>
      <c r="Y132" s="6"/>
      <c r="Z132" s="6"/>
      <c r="AA132" s="233"/>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26"/>
      <c r="BG132" s="26"/>
      <c r="BH132" s="26"/>
      <c r="BI132" s="26"/>
      <c r="BJ132" s="26"/>
      <c r="BK132" s="26"/>
      <c r="BL132" s="26"/>
      <c r="BM132" s="26"/>
      <c r="BN132" s="26"/>
      <c r="BO132" s="26"/>
      <c r="BP132" s="26"/>
      <c r="BQ132" s="26"/>
      <c r="BR132" s="26"/>
      <c r="BS132" s="26"/>
      <c r="BT132" s="26"/>
      <c r="BU132" s="26"/>
      <c r="BV132" s="26"/>
      <c r="BW132" s="26"/>
      <c r="BX132" s="26"/>
      <c r="BY132" s="26"/>
      <c r="BZ132" s="26"/>
      <c r="CA132" s="26"/>
      <c r="CB132" s="26"/>
      <c r="CC132" s="26"/>
      <c r="CD132" s="26"/>
      <c r="CE132" s="26"/>
      <c r="CF132" s="26"/>
      <c r="CG132" s="26"/>
      <c r="CH132" s="26"/>
      <c r="CI132" s="26"/>
      <c r="CJ132" s="26"/>
      <c r="CK132" s="26"/>
      <c r="CL132" s="26"/>
      <c r="CM132" s="26"/>
      <c r="CN132" s="26"/>
      <c r="CO132" s="26"/>
    </row>
    <row r="133" spans="3:93" ht="12.75" hidden="1" customHeight="1" x14ac:dyDescent="0.25">
      <c r="C133" s="233" t="s">
        <v>162</v>
      </c>
      <c r="D133" s="233"/>
      <c r="E133" s="30" t="b">
        <v>0</v>
      </c>
      <c r="G133" s="236" t="e">
        <f>IF(I123&gt;300,1,0)</f>
        <v>#REF!</v>
      </c>
      <c r="H133" s="236" t="e">
        <f>IF(I123&lt;=350,1,0)</f>
        <v>#REF!</v>
      </c>
      <c r="I133" s="236" t="e">
        <f>IF(G133+H133=2,350,0)</f>
        <v>#REF!</v>
      </c>
      <c r="J133" s="236">
        <v>350</v>
      </c>
      <c r="L133" s="236" t="e">
        <f>IF(L137=350,1,0)</f>
        <v>#REF!</v>
      </c>
      <c r="M133" s="236" t="e">
        <f>IF(L137&lt;351,1,0)</f>
        <v>#REF!</v>
      </c>
      <c r="N133" s="238" t="e">
        <f t="shared" si="20"/>
        <v>#REF!</v>
      </c>
      <c r="O133" s="240" t="s">
        <v>163</v>
      </c>
      <c r="P133" s="6"/>
      <c r="Q133" s="6"/>
      <c r="R133" s="6"/>
      <c r="S133" s="6"/>
      <c r="T133" s="6"/>
      <c r="U133" s="6"/>
      <c r="V133" s="6"/>
      <c r="W133" s="6"/>
      <c r="X133" s="6"/>
      <c r="Y133" s="6"/>
      <c r="Z133" s="6"/>
      <c r="AA133" s="233"/>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26"/>
      <c r="BG133" s="26"/>
      <c r="BH133" s="26"/>
      <c r="BI133" s="26"/>
      <c r="BJ133" s="26"/>
      <c r="BK133" s="26"/>
      <c r="BL133" s="26"/>
      <c r="BM133" s="26"/>
      <c r="BN133" s="26"/>
      <c r="BO133" s="26"/>
      <c r="BP133" s="26"/>
      <c r="BQ133" s="26"/>
      <c r="BR133" s="26"/>
      <c r="BS133" s="26"/>
      <c r="BT133" s="26"/>
      <c r="BU133" s="26"/>
      <c r="BV133" s="26"/>
      <c r="BW133" s="26"/>
      <c r="BX133" s="26"/>
      <c r="BY133" s="26"/>
      <c r="BZ133" s="26"/>
      <c r="CA133" s="26"/>
      <c r="CB133" s="26"/>
      <c r="CC133" s="26"/>
      <c r="CD133" s="26"/>
      <c r="CE133" s="26"/>
      <c r="CF133" s="26"/>
      <c r="CG133" s="26"/>
      <c r="CH133" s="26"/>
      <c r="CI133" s="26"/>
      <c r="CJ133" s="26"/>
      <c r="CK133" s="26"/>
      <c r="CL133" s="26"/>
      <c r="CM133" s="26"/>
      <c r="CN133" s="26"/>
      <c r="CO133" s="26"/>
    </row>
    <row r="134" spans="3:93" ht="12.75" hidden="1" customHeight="1" x14ac:dyDescent="0.25">
      <c r="C134" s="233" t="s">
        <v>164</v>
      </c>
      <c r="D134" s="233"/>
      <c r="E134" s="30" t="b">
        <v>0</v>
      </c>
      <c r="G134" s="236" t="e">
        <f>IF(I123&gt;350,1,0)</f>
        <v>#REF!</v>
      </c>
      <c r="H134" s="236" t="e">
        <f>IF(I123&lt;=400,1,0)</f>
        <v>#REF!</v>
      </c>
      <c r="I134" s="236" t="e">
        <f>IF(G134+H134=2,400,0)</f>
        <v>#REF!</v>
      </c>
      <c r="J134" s="236">
        <v>400</v>
      </c>
      <c r="L134" s="236" t="e">
        <f>IF(L137=400,1,0)</f>
        <v>#REF!</v>
      </c>
      <c r="M134" s="236" t="e">
        <f>IF(L137&lt;401,1,0)</f>
        <v>#REF!</v>
      </c>
      <c r="N134" s="238" t="e">
        <f t="shared" si="20"/>
        <v>#REF!</v>
      </c>
      <c r="O134" s="240" t="s">
        <v>165</v>
      </c>
      <c r="P134" s="6"/>
      <c r="Q134" s="6"/>
      <c r="R134" s="6"/>
      <c r="S134" s="6"/>
      <c r="T134" s="6"/>
      <c r="U134" s="6"/>
      <c r="V134" s="6"/>
      <c r="W134" s="6"/>
      <c r="X134" s="6"/>
      <c r="Y134" s="6"/>
      <c r="Z134" s="6"/>
      <c r="AA134" s="233"/>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26"/>
      <c r="BG134" s="26"/>
      <c r="BH134" s="26"/>
      <c r="BI134" s="26"/>
      <c r="BJ134" s="26"/>
      <c r="BK134" s="26"/>
      <c r="BL134" s="26"/>
      <c r="BM134" s="26"/>
      <c r="BN134" s="26"/>
      <c r="BO134" s="26"/>
      <c r="BP134" s="26"/>
      <c r="BQ134" s="26"/>
      <c r="BR134" s="26"/>
      <c r="BS134" s="26"/>
      <c r="BT134" s="26"/>
      <c r="BU134" s="26"/>
      <c r="BV134" s="26"/>
      <c r="BW134" s="26"/>
      <c r="BX134" s="26"/>
      <c r="BY134" s="26"/>
      <c r="BZ134" s="26"/>
      <c r="CA134" s="26"/>
      <c r="CB134" s="26"/>
      <c r="CC134" s="26"/>
      <c r="CD134" s="26"/>
      <c r="CE134" s="26"/>
      <c r="CF134" s="26"/>
      <c r="CG134" s="26"/>
      <c r="CH134" s="26"/>
      <c r="CI134" s="26"/>
      <c r="CJ134" s="26"/>
      <c r="CK134" s="26"/>
      <c r="CL134" s="26"/>
      <c r="CM134" s="26"/>
      <c r="CN134" s="26"/>
      <c r="CO134" s="26"/>
    </row>
    <row r="135" spans="3:93" ht="12.75" hidden="1" customHeight="1" x14ac:dyDescent="0.25">
      <c r="C135" s="233" t="s">
        <v>141</v>
      </c>
      <c r="D135" s="233"/>
      <c r="E135" s="30" t="b">
        <v>0</v>
      </c>
      <c r="G135" s="236" t="e">
        <f>IF(I123&gt;400,1,0)</f>
        <v>#REF!</v>
      </c>
      <c r="H135" s="236" t="e">
        <f>IF(I123&lt;=450,1,0)</f>
        <v>#REF!</v>
      </c>
      <c r="I135" s="236" t="e">
        <f>IF(G135+H135=2,450,0)</f>
        <v>#REF!</v>
      </c>
      <c r="J135" s="236">
        <v>450</v>
      </c>
      <c r="L135" s="236" t="e">
        <f>IF(L137=450,1,0)</f>
        <v>#REF!</v>
      </c>
      <c r="M135" s="236" t="e">
        <f>IF(L137&lt;451,1,0)</f>
        <v>#REF!</v>
      </c>
      <c r="N135" s="238" t="e">
        <f t="shared" si="20"/>
        <v>#REF!</v>
      </c>
      <c r="O135" s="240" t="s">
        <v>166</v>
      </c>
      <c r="P135" s="6"/>
      <c r="Q135" s="6"/>
      <c r="R135" s="6"/>
      <c r="S135" s="6"/>
      <c r="T135" s="6"/>
      <c r="U135" s="6"/>
      <c r="V135" s="6"/>
      <c r="W135" s="6"/>
      <c r="X135" s="6"/>
      <c r="Y135" s="6"/>
      <c r="Z135" s="6"/>
      <c r="AA135" s="233"/>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26"/>
      <c r="BG135" s="26"/>
      <c r="BH135" s="26"/>
      <c r="BI135" s="26"/>
      <c r="BJ135" s="26"/>
      <c r="BK135" s="26"/>
      <c r="BL135" s="26"/>
      <c r="BM135" s="26"/>
      <c r="BN135" s="26"/>
      <c r="BO135" s="26"/>
      <c r="BP135" s="26"/>
      <c r="BQ135" s="26"/>
      <c r="BR135" s="26"/>
      <c r="BS135" s="26"/>
      <c r="BT135" s="26"/>
      <c r="BU135" s="26"/>
      <c r="BV135" s="26"/>
      <c r="BW135" s="26"/>
      <c r="BX135" s="26"/>
      <c r="BY135" s="26"/>
      <c r="BZ135" s="26"/>
      <c r="CA135" s="26"/>
      <c r="CB135" s="26"/>
      <c r="CC135" s="26"/>
      <c r="CD135" s="26"/>
      <c r="CE135" s="26"/>
      <c r="CF135" s="26"/>
      <c r="CG135" s="26"/>
      <c r="CH135" s="26"/>
      <c r="CI135" s="26"/>
      <c r="CJ135" s="26"/>
      <c r="CK135" s="26"/>
      <c r="CL135" s="26"/>
      <c r="CM135" s="26"/>
      <c r="CN135" s="26"/>
      <c r="CO135" s="26"/>
    </row>
    <row r="136" spans="3:93" ht="12.75" hidden="1" customHeight="1" x14ac:dyDescent="0.25">
      <c r="C136" s="233" t="s">
        <v>167</v>
      </c>
      <c r="D136" s="233"/>
      <c r="E136" s="30" t="b">
        <v>0</v>
      </c>
      <c r="G136" s="236" t="e">
        <f>IF(I123&gt;450,1,0)</f>
        <v>#REF!</v>
      </c>
      <c r="H136" s="236" t="e">
        <f>IF(I123&lt;501,1,0)</f>
        <v>#REF!</v>
      </c>
      <c r="I136" s="236" t="e">
        <f>IF(G136+H136=2,500,0)</f>
        <v>#REF!</v>
      </c>
      <c r="J136" s="236">
        <v>500</v>
      </c>
      <c r="L136" s="236" t="e">
        <f>IF(L137=500,1,0)</f>
        <v>#REF!</v>
      </c>
      <c r="M136" s="236" t="e">
        <f>IF(L137&lt;501,1,0)</f>
        <v>#REF!</v>
      </c>
      <c r="N136" s="238" t="e">
        <f t="shared" si="20"/>
        <v>#REF!</v>
      </c>
      <c r="O136" s="240" t="s">
        <v>168</v>
      </c>
      <c r="P136" s="6"/>
      <c r="Q136" s="6"/>
      <c r="R136" s="6"/>
      <c r="S136" s="6"/>
      <c r="T136" s="6"/>
      <c r="U136" s="6"/>
      <c r="V136" s="6"/>
      <c r="W136" s="6"/>
      <c r="X136" s="6"/>
      <c r="Y136" s="6"/>
      <c r="Z136" s="6"/>
      <c r="AA136" s="233"/>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26"/>
      <c r="BG136" s="26"/>
      <c r="BH136" s="26"/>
      <c r="BI136" s="26"/>
      <c r="BJ136" s="26"/>
      <c r="BK136" s="26"/>
      <c r="BL136" s="26"/>
      <c r="BM136" s="26"/>
      <c r="BN136" s="26"/>
      <c r="BO136" s="26"/>
      <c r="BP136" s="26"/>
      <c r="BQ136" s="26"/>
      <c r="BR136" s="26"/>
      <c r="BS136" s="26"/>
      <c r="BT136" s="26"/>
      <c r="BU136" s="26"/>
      <c r="BV136" s="26"/>
      <c r="BW136" s="26"/>
      <c r="BX136" s="26"/>
      <c r="BY136" s="26"/>
      <c r="BZ136" s="26"/>
      <c r="CA136" s="26"/>
      <c r="CB136" s="26"/>
      <c r="CC136" s="26"/>
      <c r="CD136" s="26"/>
      <c r="CE136" s="26"/>
      <c r="CF136" s="26"/>
      <c r="CG136" s="26"/>
      <c r="CH136" s="26"/>
      <c r="CI136" s="26"/>
      <c r="CJ136" s="26"/>
      <c r="CK136" s="26"/>
      <c r="CL136" s="26"/>
      <c r="CM136" s="26"/>
      <c r="CN136" s="26"/>
      <c r="CO136" s="26"/>
    </row>
    <row r="137" spans="3:93" ht="12.75" hidden="1" customHeight="1" x14ac:dyDescent="0.25">
      <c r="C137" s="233" t="s">
        <v>169</v>
      </c>
      <c r="D137" s="233"/>
      <c r="E137" s="30" t="b">
        <v>0</v>
      </c>
      <c r="G137" s="236" t="e">
        <f>IF(I123&gt;500,1,0)</f>
        <v>#REF!</v>
      </c>
      <c r="H137" s="236" t="e">
        <f>IF(I123&lt;=601,1,0)</f>
        <v>#REF!</v>
      </c>
      <c r="I137" s="236" t="e">
        <f>IF(G137+H137=2,600,0)</f>
        <v>#REF!</v>
      </c>
      <c r="J137" s="236">
        <v>600</v>
      </c>
      <c r="L137" s="241" t="e">
        <f>IF(E121," ",N31)</f>
        <v>#REF!</v>
      </c>
      <c r="M137" s="242" t="e">
        <f>SUM(M124:M136)</f>
        <v>#REF!</v>
      </c>
      <c r="N137" s="242" t="e">
        <f>CHOOSE(O123,4,3,2,1,"1/0","2/0","3/0","4/0",250,350,400,"Note 1","Note 1","Note 1")</f>
        <v>#REF!</v>
      </c>
      <c r="P137" s="6"/>
      <c r="Q137" s="6"/>
      <c r="R137" s="6"/>
      <c r="S137" s="6"/>
      <c r="T137" s="6"/>
      <c r="U137" s="6"/>
      <c r="V137" s="6"/>
      <c r="W137" s="6"/>
      <c r="X137" s="6"/>
      <c r="Y137" s="6"/>
      <c r="Z137" s="6"/>
      <c r="AA137" s="233"/>
      <c r="AB137" s="6"/>
      <c r="AC137" s="6"/>
      <c r="AD137" s="6">
        <f>Z168</f>
        <v>200</v>
      </c>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26"/>
      <c r="BG137" s="26"/>
      <c r="BH137" s="26"/>
      <c r="BI137" s="26"/>
      <c r="BJ137" s="26"/>
      <c r="BK137" s="26"/>
      <c r="BL137" s="26"/>
      <c r="BM137" s="26"/>
      <c r="BN137" s="26"/>
      <c r="BO137" s="26"/>
      <c r="BP137" s="26"/>
      <c r="BQ137" s="26"/>
      <c r="BR137" s="26"/>
      <c r="BS137" s="26"/>
      <c r="BT137" s="26"/>
      <c r="BU137" s="26"/>
      <c r="BV137" s="26"/>
      <c r="BW137" s="26"/>
      <c r="BX137" s="26"/>
      <c r="BY137" s="26"/>
      <c r="BZ137" s="26"/>
      <c r="CA137" s="26"/>
      <c r="CB137" s="26"/>
      <c r="CC137" s="26"/>
      <c r="CD137" s="26"/>
      <c r="CE137" s="26"/>
      <c r="CF137" s="26"/>
      <c r="CG137" s="26"/>
      <c r="CH137" s="26"/>
      <c r="CI137" s="26"/>
      <c r="CJ137" s="26"/>
      <c r="CK137" s="26"/>
      <c r="CL137" s="26"/>
      <c r="CM137" s="26"/>
      <c r="CN137" s="26"/>
      <c r="CO137" s="26"/>
    </row>
    <row r="138" spans="3:93" ht="12.75" hidden="1" customHeight="1" x14ac:dyDescent="0.25">
      <c r="C138" s="233"/>
      <c r="D138" s="233"/>
      <c r="E138" s="30"/>
      <c r="G138" s="236" t="e">
        <f>IF(I123&gt;600,1,0)</f>
        <v>#REF!</v>
      </c>
      <c r="H138" s="236" t="e">
        <f>IF(I123&lt;=701,1,0)</f>
        <v>#REF!</v>
      </c>
      <c r="I138" s="236" t="e">
        <f>IF(G138+H138=2,700,0)</f>
        <v>#REF!</v>
      </c>
      <c r="J138" s="236">
        <v>700</v>
      </c>
      <c r="L138" s="150"/>
      <c r="M138" s="243"/>
      <c r="N138" s="243"/>
      <c r="P138" s="6"/>
      <c r="Q138" s="6"/>
      <c r="R138" s="6"/>
      <c r="S138" s="6"/>
      <c r="T138" s="6"/>
      <c r="U138" s="6"/>
      <c r="V138" s="6"/>
      <c r="W138" s="6"/>
      <c r="X138" s="6"/>
      <c r="Y138" s="6"/>
      <c r="Z138" s="6"/>
      <c r="AA138" s="233"/>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26"/>
      <c r="BG138" s="26"/>
      <c r="BH138" s="26"/>
      <c r="BI138" s="26"/>
      <c r="BJ138" s="26"/>
      <c r="BK138" s="26"/>
      <c r="BL138" s="26"/>
      <c r="BM138" s="26"/>
      <c r="BN138" s="26"/>
      <c r="BO138" s="26"/>
      <c r="BP138" s="26"/>
      <c r="BQ138" s="26"/>
      <c r="BR138" s="26"/>
      <c r="BS138" s="26"/>
      <c r="BT138" s="26"/>
      <c r="BU138" s="26"/>
      <c r="BV138" s="26"/>
      <c r="BW138" s="26"/>
      <c r="BX138" s="26"/>
      <c r="BY138" s="26"/>
      <c r="BZ138" s="26"/>
      <c r="CA138" s="26"/>
      <c r="CB138" s="26"/>
      <c r="CC138" s="26"/>
      <c r="CD138" s="26"/>
      <c r="CE138" s="26"/>
      <c r="CF138" s="26"/>
      <c r="CG138" s="26"/>
      <c r="CH138" s="26"/>
      <c r="CI138" s="26"/>
      <c r="CJ138" s="26"/>
      <c r="CK138" s="26"/>
      <c r="CL138" s="26"/>
      <c r="CM138" s="26"/>
      <c r="CN138" s="26"/>
      <c r="CO138" s="26"/>
    </row>
    <row r="139" spans="3:93" ht="12.75" hidden="1" customHeight="1" x14ac:dyDescent="0.25">
      <c r="C139" s="233"/>
      <c r="D139" s="233"/>
      <c r="E139" s="30"/>
      <c r="G139" s="236" t="e">
        <f>IF(I123&gt;700,1,0)</f>
        <v>#REF!</v>
      </c>
      <c r="H139" s="236" t="e">
        <f>IF(I123&lt;801,1,0)</f>
        <v>#REF!</v>
      </c>
      <c r="I139" s="236" t="e">
        <f>IF(G139+H139=2,800,0)</f>
        <v>#REF!</v>
      </c>
      <c r="J139" s="236">
        <v>800</v>
      </c>
      <c r="L139" s="150"/>
      <c r="M139" s="243"/>
      <c r="N139" s="243"/>
      <c r="P139" s="6"/>
      <c r="Q139" s="6"/>
      <c r="R139" s="6"/>
      <c r="S139" s="6"/>
      <c r="T139" s="6"/>
      <c r="U139" s="6"/>
      <c r="V139" s="6"/>
      <c r="W139" s="6"/>
      <c r="X139" s="6"/>
      <c r="Y139" s="6"/>
      <c r="Z139" s="6"/>
      <c r="AA139" s="233"/>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26"/>
      <c r="BG139" s="26"/>
      <c r="BH139" s="26"/>
      <c r="BI139" s="26"/>
      <c r="BJ139" s="26"/>
      <c r="BK139" s="26"/>
      <c r="BL139" s="26"/>
      <c r="BM139" s="26"/>
      <c r="BN139" s="26"/>
      <c r="BO139" s="26"/>
      <c r="BP139" s="26"/>
      <c r="BQ139" s="26"/>
      <c r="BR139" s="26"/>
      <c r="BS139" s="26"/>
      <c r="BT139" s="26"/>
      <c r="BU139" s="26"/>
      <c r="BV139" s="26"/>
      <c r="BW139" s="26"/>
      <c r="BX139" s="26"/>
      <c r="BY139" s="26"/>
      <c r="BZ139" s="26"/>
      <c r="CA139" s="26"/>
      <c r="CB139" s="26"/>
      <c r="CC139" s="26"/>
      <c r="CD139" s="26"/>
      <c r="CE139" s="26"/>
      <c r="CF139" s="26"/>
      <c r="CG139" s="26"/>
      <c r="CH139" s="26"/>
      <c r="CI139" s="26"/>
      <c r="CJ139" s="26"/>
      <c r="CK139" s="26"/>
      <c r="CL139" s="26"/>
      <c r="CM139" s="26"/>
      <c r="CN139" s="26"/>
      <c r="CO139" s="26"/>
    </row>
    <row r="140" spans="3:93" ht="12.75" hidden="1" customHeight="1" x14ac:dyDescent="0.25">
      <c r="C140" s="233"/>
      <c r="D140" s="233"/>
      <c r="E140" s="30"/>
      <c r="G140" s="236" t="e">
        <f>IF(I123&gt;800,1,0)</f>
        <v>#REF!</v>
      </c>
      <c r="H140" s="236" t="e">
        <f>IF(I123&lt;1001,1,0)</f>
        <v>#REF!</v>
      </c>
      <c r="I140" s="236" t="e">
        <f>IF(G140+H140=2,1000,0)</f>
        <v>#REF!</v>
      </c>
      <c r="J140" s="236">
        <v>1000</v>
      </c>
      <c r="L140" s="150"/>
      <c r="M140" s="243"/>
      <c r="N140" s="243"/>
      <c r="P140" s="6"/>
      <c r="Q140" s="6"/>
      <c r="R140" s="6"/>
      <c r="S140" s="6"/>
      <c r="T140" s="6"/>
      <c r="U140" s="6"/>
      <c r="V140" s="6"/>
      <c r="W140" s="6"/>
      <c r="X140" s="6"/>
      <c r="Y140" s="6"/>
      <c r="Z140" s="6"/>
      <c r="AA140" s="233"/>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26"/>
      <c r="BG140" s="26"/>
      <c r="BH140" s="26"/>
      <c r="BI140" s="26"/>
      <c r="BJ140" s="26"/>
      <c r="BK140" s="26"/>
      <c r="BL140" s="26"/>
      <c r="BM140" s="26"/>
      <c r="BN140" s="26"/>
      <c r="BO140" s="26"/>
      <c r="BP140" s="26"/>
      <c r="BQ140" s="26"/>
      <c r="BR140" s="26"/>
      <c r="BS140" s="26"/>
      <c r="BT140" s="26"/>
      <c r="BU140" s="26"/>
      <c r="BV140" s="26"/>
      <c r="BW140" s="26"/>
      <c r="BX140" s="26"/>
      <c r="BY140" s="26"/>
      <c r="BZ140" s="26"/>
      <c r="CA140" s="26"/>
      <c r="CB140" s="26"/>
      <c r="CC140" s="26"/>
      <c r="CD140" s="26"/>
      <c r="CE140" s="26"/>
      <c r="CF140" s="26"/>
      <c r="CG140" s="26"/>
      <c r="CH140" s="26"/>
      <c r="CI140" s="26"/>
      <c r="CJ140" s="26"/>
      <c r="CK140" s="26"/>
      <c r="CL140" s="26"/>
      <c r="CM140" s="26"/>
      <c r="CN140" s="26"/>
      <c r="CO140" s="26"/>
    </row>
    <row r="141" spans="3:93" ht="12.75" hidden="1" customHeight="1" x14ac:dyDescent="0.25">
      <c r="C141" s="233"/>
      <c r="D141" s="233"/>
      <c r="E141" s="30"/>
      <c r="L141" s="150"/>
      <c r="M141" s="243"/>
      <c r="N141" s="243"/>
      <c r="P141" s="6"/>
      <c r="Q141" s="6"/>
      <c r="R141" s="6"/>
      <c r="S141" s="6"/>
      <c r="T141" s="6"/>
      <c r="U141" s="6"/>
      <c r="V141" s="6"/>
      <c r="W141" s="6"/>
      <c r="X141" s="6"/>
      <c r="Y141" s="6"/>
      <c r="Z141" s="6"/>
      <c r="AA141" s="233"/>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26"/>
      <c r="BG141" s="26"/>
      <c r="BH141" s="26"/>
      <c r="BI141" s="26"/>
      <c r="BJ141" s="26"/>
      <c r="BK141" s="26"/>
      <c r="BL141" s="26"/>
      <c r="BM141" s="26"/>
      <c r="BN141" s="26"/>
      <c r="BO141" s="26"/>
      <c r="BP141" s="26"/>
      <c r="BQ141" s="26"/>
      <c r="BR141" s="26"/>
      <c r="BS141" s="26"/>
      <c r="BT141" s="26"/>
      <c r="BU141" s="26"/>
      <c r="BV141" s="26"/>
      <c r="BW141" s="26"/>
      <c r="BX141" s="26"/>
      <c r="BY141" s="26"/>
      <c r="BZ141" s="26"/>
      <c r="CA141" s="26"/>
      <c r="CB141" s="26"/>
      <c r="CC141" s="26"/>
      <c r="CD141" s="26"/>
      <c r="CE141" s="26"/>
      <c r="CF141" s="26"/>
      <c r="CG141" s="26"/>
      <c r="CH141" s="26"/>
      <c r="CI141" s="26"/>
      <c r="CJ141" s="26"/>
      <c r="CK141" s="26"/>
      <c r="CL141" s="26"/>
      <c r="CM141" s="26"/>
      <c r="CN141" s="26"/>
      <c r="CO141" s="26"/>
    </row>
    <row r="142" spans="3:93" ht="12.75" hidden="1" customHeight="1" x14ac:dyDescent="0.25">
      <c r="C142" s="233"/>
      <c r="D142" s="233"/>
      <c r="E142" s="30"/>
      <c r="I142" s="9" t="e">
        <f>SUM(I124:I141)</f>
        <v>#REF!</v>
      </c>
      <c r="L142" s="150"/>
      <c r="M142" s="243"/>
      <c r="N142" s="243"/>
      <c r="P142" s="6"/>
      <c r="Q142" s="6"/>
      <c r="R142" s="6"/>
      <c r="S142" s="6"/>
      <c r="T142" s="6"/>
      <c r="U142" s="6"/>
      <c r="V142" s="6"/>
      <c r="W142" s="6"/>
      <c r="X142" s="6"/>
      <c r="Y142" s="6"/>
      <c r="Z142" s="6"/>
      <c r="AA142" s="233"/>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26"/>
      <c r="BG142" s="26"/>
      <c r="BH142" s="26"/>
      <c r="BI142" s="26"/>
      <c r="BJ142" s="26"/>
      <c r="BK142" s="26"/>
      <c r="BL142" s="26"/>
      <c r="BM142" s="26"/>
      <c r="BN142" s="26"/>
      <c r="BO142" s="26"/>
      <c r="BP142" s="26"/>
      <c r="BQ142" s="26"/>
      <c r="BR142" s="26"/>
      <c r="BS142" s="26"/>
      <c r="BT142" s="26"/>
      <c r="BU142" s="26"/>
      <c r="BV142" s="26"/>
      <c r="BW142" s="26"/>
      <c r="BX142" s="26"/>
      <c r="BY142" s="26"/>
      <c r="BZ142" s="26"/>
      <c r="CA142" s="26"/>
      <c r="CB142" s="26"/>
      <c r="CC142" s="26"/>
      <c r="CD142" s="26"/>
      <c r="CE142" s="26"/>
      <c r="CF142" s="26"/>
      <c r="CG142" s="26"/>
      <c r="CH142" s="26"/>
      <c r="CI142" s="26"/>
      <c r="CJ142" s="26"/>
      <c r="CK142" s="26"/>
      <c r="CL142" s="26"/>
      <c r="CM142" s="26"/>
      <c r="CN142" s="26"/>
      <c r="CO142" s="26"/>
    </row>
    <row r="143" spans="3:93" ht="12.75" hidden="1" customHeight="1" x14ac:dyDescent="0.25">
      <c r="C143" s="233"/>
      <c r="D143" s="233"/>
      <c r="E143" s="30"/>
      <c r="L143" s="150"/>
      <c r="M143" s="243"/>
      <c r="N143" s="243"/>
      <c r="P143" s="6"/>
      <c r="Q143" s="6"/>
      <c r="R143" s="6"/>
      <c r="S143" s="6"/>
      <c r="T143" s="6"/>
      <c r="U143" s="6"/>
      <c r="V143" s="6"/>
      <c r="W143" s="6"/>
      <c r="X143" s="6"/>
      <c r="Y143" s="6"/>
      <c r="Z143" s="6"/>
      <c r="AA143" s="233"/>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26"/>
      <c r="BG143" s="26"/>
      <c r="BH143" s="26"/>
      <c r="BI143" s="26"/>
      <c r="BJ143" s="26"/>
      <c r="BK143" s="26"/>
      <c r="BL143" s="26"/>
      <c r="BM143" s="26"/>
      <c r="BN143" s="26"/>
      <c r="BO143" s="26"/>
      <c r="BP143" s="26"/>
      <c r="BQ143" s="26"/>
      <c r="BR143" s="26"/>
      <c r="BS143" s="26"/>
      <c r="BT143" s="26"/>
      <c r="BU143" s="26"/>
      <c r="BV143" s="26"/>
      <c r="BW143" s="26"/>
      <c r="BX143" s="26"/>
      <c r="BY143" s="26"/>
      <c r="BZ143" s="26"/>
      <c r="CA143" s="26"/>
      <c r="CB143" s="26"/>
      <c r="CC143" s="26"/>
      <c r="CD143" s="26"/>
      <c r="CE143" s="26"/>
      <c r="CF143" s="26"/>
      <c r="CG143" s="26"/>
      <c r="CH143" s="26"/>
      <c r="CI143" s="26"/>
      <c r="CJ143" s="26"/>
      <c r="CK143" s="26"/>
      <c r="CL143" s="26"/>
      <c r="CM143" s="26"/>
      <c r="CN143" s="26"/>
      <c r="CO143" s="26"/>
    </row>
    <row r="144" spans="3:93" ht="12.75" hidden="1" customHeight="1" x14ac:dyDescent="0.25">
      <c r="C144" s="233" t="s">
        <v>170</v>
      </c>
      <c r="D144" s="233"/>
      <c r="E144" s="244" t="b">
        <v>0</v>
      </c>
      <c r="G144" s="9" t="s">
        <v>171</v>
      </c>
      <c r="L144" s="227" t="s">
        <v>172</v>
      </c>
      <c r="N144" s="234">
        <f>IF(L160=0,0,N160)</f>
        <v>0</v>
      </c>
      <c r="O144" s="235">
        <f>M160</f>
        <v>0</v>
      </c>
      <c r="P144" s="6"/>
      <c r="Q144" s="6"/>
      <c r="R144" s="6"/>
      <c r="S144" s="6"/>
      <c r="T144" s="6"/>
      <c r="U144" s="6"/>
      <c r="V144" s="6"/>
      <c r="W144" s="6"/>
      <c r="X144" s="6"/>
      <c r="Y144" s="6"/>
      <c r="Z144" s="6">
        <f>Z164</f>
        <v>200</v>
      </c>
      <c r="AA144" s="233"/>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26"/>
      <c r="BG144" s="26"/>
      <c r="BH144" s="26"/>
      <c r="BI144" s="26"/>
      <c r="BJ144" s="26"/>
      <c r="BK144" s="26"/>
      <c r="BL144" s="26"/>
      <c r="BM144" s="26"/>
      <c r="BN144" s="26"/>
      <c r="BO144" s="26"/>
      <c r="BP144" s="26"/>
      <c r="BQ144" s="26"/>
      <c r="BR144" s="26"/>
      <c r="BS144" s="26"/>
      <c r="BT144" s="26"/>
      <c r="BU144" s="26"/>
      <c r="BV144" s="26"/>
      <c r="BW144" s="26"/>
      <c r="BX144" s="26"/>
      <c r="BY144" s="26"/>
      <c r="BZ144" s="26"/>
      <c r="CA144" s="26"/>
      <c r="CB144" s="26"/>
      <c r="CC144" s="26"/>
      <c r="CD144" s="26"/>
      <c r="CE144" s="26"/>
      <c r="CF144" s="26"/>
      <c r="CG144" s="26"/>
      <c r="CH144" s="26"/>
      <c r="CI144" s="26"/>
      <c r="CJ144" s="26"/>
      <c r="CK144" s="26"/>
      <c r="CL144" s="26"/>
      <c r="CM144" s="26"/>
      <c r="CN144" s="26"/>
      <c r="CO144" s="26"/>
    </row>
    <row r="145" spans="3:93" ht="12.75" hidden="1" customHeight="1" x14ac:dyDescent="0.25">
      <c r="C145" s="227" t="s">
        <v>173</v>
      </c>
      <c r="D145" s="227"/>
      <c r="E145" s="30" t="b">
        <v>0</v>
      </c>
      <c r="G145" s="236" t="e">
        <f>IF(I142&gt;1,1,0)</f>
        <v>#REF!</v>
      </c>
      <c r="H145" s="236" t="e">
        <f>IF(I142&gt;=100,1,0)</f>
        <v>#REF!</v>
      </c>
      <c r="I145" s="236" t="e">
        <f>IF(H145+G145=2,100,0)</f>
        <v>#REF!</v>
      </c>
      <c r="J145" s="236">
        <v>8</v>
      </c>
      <c r="L145" s="236">
        <f>IF(L160&gt;1,1,0)</f>
        <v>0</v>
      </c>
      <c r="M145" s="236">
        <f>IF(L160&lt;=65,1,0)</f>
        <v>1</v>
      </c>
      <c r="N145" s="237">
        <f>IF(M145=1,O145,0)</f>
        <v>6</v>
      </c>
      <c r="O145" s="237">
        <v>6</v>
      </c>
      <c r="P145" s="6"/>
      <c r="Q145" s="6"/>
      <c r="R145" s="6"/>
      <c r="S145" s="6"/>
      <c r="T145" s="6"/>
      <c r="U145" s="6"/>
      <c r="V145" s="6"/>
      <c r="W145" s="6"/>
      <c r="X145" s="6"/>
      <c r="Y145" s="6"/>
      <c r="Z145" s="6"/>
      <c r="AA145" s="233"/>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26"/>
      <c r="BG145" s="26"/>
      <c r="BH145" s="26"/>
      <c r="BI145" s="26"/>
      <c r="BJ145" s="26"/>
      <c r="BK145" s="26"/>
      <c r="BL145" s="26"/>
      <c r="BM145" s="26"/>
      <c r="BN145" s="26"/>
      <c r="BO145" s="26"/>
      <c r="BP145" s="26"/>
      <c r="BQ145" s="26"/>
      <c r="BR145" s="26"/>
      <c r="BS145" s="26"/>
      <c r="BT145" s="26"/>
      <c r="BU145" s="26"/>
      <c r="BV145" s="26"/>
      <c r="BW145" s="26"/>
      <c r="BX145" s="26"/>
      <c r="BY145" s="26"/>
      <c r="BZ145" s="26"/>
      <c r="CA145" s="26"/>
      <c r="CB145" s="26"/>
      <c r="CC145" s="26"/>
      <c r="CD145" s="26"/>
      <c r="CE145" s="26"/>
      <c r="CF145" s="26"/>
      <c r="CG145" s="26"/>
      <c r="CH145" s="26"/>
      <c r="CI145" s="26"/>
      <c r="CJ145" s="26"/>
      <c r="CK145" s="26"/>
      <c r="CL145" s="26"/>
      <c r="CM145" s="26"/>
      <c r="CN145" s="26"/>
      <c r="CO145" s="26"/>
    </row>
    <row r="146" spans="3:93" ht="12.75" hidden="1" customHeight="1" x14ac:dyDescent="0.25">
      <c r="C146" s="227" t="s">
        <v>174</v>
      </c>
      <c r="D146" s="227"/>
      <c r="E146" s="30" t="b">
        <v>0</v>
      </c>
      <c r="G146" s="236" t="e">
        <f>IF(I142&gt;100,1,0)</f>
        <v>#REF!</v>
      </c>
      <c r="H146" s="236" t="e">
        <f>IF(I142&gt;=110,1,0)</f>
        <v>#REF!</v>
      </c>
      <c r="I146" s="236" t="e">
        <f>IF(SUM(G146+H146)=2,110,0)</f>
        <v>#REF!</v>
      </c>
      <c r="J146" s="236">
        <v>6</v>
      </c>
      <c r="L146" s="236">
        <f>IF(L160&gt;65,1,0)</f>
        <v>0</v>
      </c>
      <c r="M146" s="236">
        <f>IF(L160&lt;=85,1,0)</f>
        <v>1</v>
      </c>
      <c r="N146" s="238">
        <f t="shared" ref="N146:N159" si="21">IF(SUM(L146+M146)=2,O146,0)</f>
        <v>0</v>
      </c>
      <c r="O146" s="239">
        <v>4</v>
      </c>
      <c r="P146" s="6"/>
      <c r="Q146" s="6"/>
      <c r="R146" s="6"/>
      <c r="S146" s="6"/>
      <c r="T146" s="6"/>
      <c r="U146" s="6"/>
      <c r="V146" s="6"/>
      <c r="W146" s="6"/>
      <c r="X146" s="6"/>
      <c r="Y146" s="6"/>
      <c r="Z146" s="6"/>
      <c r="AA146" s="233"/>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26"/>
      <c r="BG146" s="26"/>
      <c r="BH146" s="26"/>
      <c r="BI146" s="26"/>
      <c r="BJ146" s="26"/>
      <c r="BK146" s="26"/>
      <c r="BL146" s="26"/>
      <c r="BM146" s="26"/>
      <c r="BN146" s="26"/>
      <c r="BO146" s="26"/>
      <c r="BP146" s="26"/>
      <c r="BQ146" s="26"/>
      <c r="BR146" s="26"/>
      <c r="BS146" s="26"/>
      <c r="BT146" s="26"/>
      <c r="BU146" s="26"/>
      <c r="BV146" s="26"/>
      <c r="BW146" s="26"/>
      <c r="BX146" s="26"/>
      <c r="BY146" s="26"/>
      <c r="BZ146" s="26"/>
      <c r="CA146" s="26"/>
      <c r="CB146" s="26"/>
      <c r="CC146" s="26"/>
      <c r="CD146" s="26"/>
      <c r="CE146" s="26"/>
      <c r="CF146" s="26"/>
      <c r="CG146" s="26"/>
      <c r="CH146" s="26"/>
      <c r="CI146" s="26"/>
      <c r="CJ146" s="26"/>
      <c r="CK146" s="26"/>
      <c r="CL146" s="26"/>
      <c r="CM146" s="26"/>
      <c r="CN146" s="26"/>
      <c r="CO146" s="26"/>
    </row>
    <row r="147" spans="3:93" ht="12.75" hidden="1" customHeight="1" x14ac:dyDescent="0.25">
      <c r="C147" s="227" t="s">
        <v>175</v>
      </c>
      <c r="D147" s="227"/>
      <c r="E147" s="30" t="b">
        <v>0</v>
      </c>
      <c r="G147" s="236" t="e">
        <f>IF(I142&gt;110,1,0)</f>
        <v>#REF!</v>
      </c>
      <c r="H147" s="236" t="e">
        <f>IF(I142&gt;=125,1,0)</f>
        <v>#REF!</v>
      </c>
      <c r="I147" s="236" t="e">
        <f>IF(G147+H147=2,125,0)</f>
        <v>#REF!</v>
      </c>
      <c r="J147" s="236">
        <v>6</v>
      </c>
      <c r="L147" s="236">
        <f>IF(L160&gt;85,1,0)</f>
        <v>0</v>
      </c>
      <c r="M147" s="236">
        <f>IF(L160&lt;=100,1,0)</f>
        <v>1</v>
      </c>
      <c r="N147" s="238">
        <f t="shared" si="21"/>
        <v>0</v>
      </c>
      <c r="O147" s="239">
        <v>3</v>
      </c>
      <c r="P147" s="6"/>
      <c r="Q147" s="6"/>
      <c r="R147" s="6" t="b">
        <v>0</v>
      </c>
      <c r="S147" s="6" t="s">
        <v>176</v>
      </c>
      <c r="T147" s="6"/>
      <c r="U147" s="6"/>
      <c r="V147" s="6"/>
      <c r="W147" s="6"/>
      <c r="X147" s="6"/>
      <c r="Y147" s="6" t="b">
        <v>0</v>
      </c>
      <c r="Z147" s="6"/>
      <c r="AA147" s="233"/>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26"/>
      <c r="BG147" s="26"/>
      <c r="BH147" s="26"/>
      <c r="BI147" s="26"/>
      <c r="BJ147" s="26"/>
      <c r="BK147" s="26"/>
      <c r="BL147" s="26"/>
      <c r="BM147" s="26"/>
      <c r="BN147" s="26"/>
      <c r="BO147" s="26"/>
      <c r="BP147" s="26"/>
      <c r="BQ147" s="26"/>
      <c r="BR147" s="26"/>
      <c r="BS147" s="26"/>
      <c r="BT147" s="26"/>
      <c r="BU147" s="26"/>
      <c r="BV147" s="26"/>
      <c r="BW147" s="26"/>
      <c r="BX147" s="26"/>
      <c r="BY147" s="26"/>
      <c r="BZ147" s="26"/>
      <c r="CA147" s="26"/>
      <c r="CB147" s="26"/>
      <c r="CC147" s="26"/>
      <c r="CD147" s="26"/>
      <c r="CE147" s="26"/>
      <c r="CF147" s="26"/>
      <c r="CG147" s="26"/>
      <c r="CH147" s="26"/>
      <c r="CI147" s="26"/>
      <c r="CJ147" s="26"/>
      <c r="CK147" s="26"/>
      <c r="CL147" s="26"/>
      <c r="CM147" s="26"/>
      <c r="CN147" s="26"/>
      <c r="CO147" s="26"/>
    </row>
    <row r="148" spans="3:93" ht="12.75" hidden="1" customHeight="1" x14ac:dyDescent="0.25">
      <c r="C148" s="227"/>
      <c r="D148" s="227"/>
      <c r="E148" s="30"/>
      <c r="G148" s="236" t="e">
        <f>IF(I142&gt;125,1,0)</f>
        <v>#REF!</v>
      </c>
      <c r="H148" s="236" t="e">
        <f>IF(I142&gt;=150,1,0)</f>
        <v>#REF!</v>
      </c>
      <c r="I148" s="236" t="e">
        <f>IF(G148+H148=2,150,0)</f>
        <v>#REF!</v>
      </c>
      <c r="J148" s="236">
        <v>6</v>
      </c>
      <c r="L148" s="236">
        <f>IF(L160&gt;100,1,0)</f>
        <v>0</v>
      </c>
      <c r="M148" s="236">
        <f>IF(L160&lt;=115,1,0)</f>
        <v>1</v>
      </c>
      <c r="N148" s="238">
        <f t="shared" si="21"/>
        <v>0</v>
      </c>
      <c r="O148" s="239">
        <v>2</v>
      </c>
      <c r="P148" s="6"/>
      <c r="Q148" s="6"/>
      <c r="R148" s="6" t="b">
        <v>0</v>
      </c>
      <c r="S148" s="6" t="s">
        <v>177</v>
      </c>
      <c r="T148" s="6"/>
      <c r="U148" s="6"/>
      <c r="V148" s="6"/>
      <c r="W148" s="6"/>
      <c r="X148" s="6"/>
      <c r="Y148" s="6"/>
      <c r="Z148" s="6"/>
      <c r="AA148" s="233"/>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26"/>
      <c r="BG148" s="26"/>
      <c r="BH148" s="26"/>
      <c r="BI148" s="26"/>
      <c r="BJ148" s="26"/>
      <c r="BK148" s="26"/>
      <c r="BL148" s="26"/>
      <c r="BM148" s="26"/>
      <c r="BN148" s="26"/>
      <c r="BO148" s="26"/>
      <c r="BP148" s="26"/>
      <c r="BQ148" s="26"/>
      <c r="BR148" s="26"/>
      <c r="BS148" s="26"/>
      <c r="BT148" s="26"/>
      <c r="BU148" s="26"/>
      <c r="BV148" s="26"/>
      <c r="BW148" s="26"/>
      <c r="BX148" s="26"/>
      <c r="BY148" s="26"/>
      <c r="BZ148" s="26"/>
      <c r="CA148" s="26"/>
      <c r="CB148" s="26"/>
      <c r="CC148" s="26"/>
      <c r="CD148" s="26"/>
      <c r="CE148" s="26"/>
      <c r="CF148" s="26"/>
      <c r="CG148" s="26"/>
      <c r="CH148" s="26"/>
      <c r="CI148" s="26"/>
      <c r="CJ148" s="26"/>
      <c r="CK148" s="26"/>
      <c r="CL148" s="26"/>
      <c r="CM148" s="26"/>
      <c r="CN148" s="26"/>
      <c r="CO148" s="26"/>
    </row>
    <row r="149" spans="3:93" ht="12.75" hidden="1" customHeight="1" x14ac:dyDescent="0.25">
      <c r="C149" s="227"/>
      <c r="D149" s="227"/>
      <c r="E149" s="30"/>
      <c r="G149" s="236" t="e">
        <f>IF(I142&gt;150,1,0)</f>
        <v>#REF!</v>
      </c>
      <c r="H149" s="236" t="e">
        <f>IF(I142&gt;=175,1,0)</f>
        <v>#REF!</v>
      </c>
      <c r="I149" s="236" t="e">
        <f>IF(G149+H149=2,175,0)</f>
        <v>#REF!</v>
      </c>
      <c r="J149" s="236">
        <v>6</v>
      </c>
      <c r="L149" s="236">
        <f>IF(L160&gt;115,1,0)</f>
        <v>0</v>
      </c>
      <c r="M149" s="236">
        <f>IF(L160&lt;=130,1,0)</f>
        <v>1</v>
      </c>
      <c r="N149" s="238">
        <f t="shared" si="21"/>
        <v>0</v>
      </c>
      <c r="O149" s="240" t="s">
        <v>151</v>
      </c>
      <c r="P149" s="6"/>
      <c r="Q149" s="6"/>
      <c r="R149" s="6" t="b">
        <v>0</v>
      </c>
      <c r="S149" s="6" t="s">
        <v>178</v>
      </c>
      <c r="T149" s="6"/>
      <c r="U149" s="6"/>
      <c r="V149" s="6"/>
      <c r="W149" s="6"/>
      <c r="X149" s="6"/>
      <c r="Y149" s="6"/>
      <c r="Z149" s="6" t="s">
        <v>179</v>
      </c>
      <c r="AA149" s="233"/>
      <c r="AB149" s="52">
        <v>0</v>
      </c>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26"/>
      <c r="BG149" s="26"/>
      <c r="BH149" s="26"/>
      <c r="BI149" s="26"/>
      <c r="BJ149" s="26"/>
      <c r="BK149" s="26"/>
      <c r="BL149" s="26"/>
      <c r="BM149" s="26"/>
      <c r="BN149" s="26"/>
      <c r="BO149" s="26"/>
      <c r="BP149" s="26"/>
      <c r="BQ149" s="26"/>
      <c r="BR149" s="26"/>
      <c r="BS149" s="26"/>
      <c r="BT149" s="26"/>
      <c r="BU149" s="26"/>
      <c r="BV149" s="26"/>
      <c r="BW149" s="26"/>
      <c r="BX149" s="26"/>
      <c r="BY149" s="26"/>
      <c r="BZ149" s="26"/>
      <c r="CA149" s="26"/>
      <c r="CB149" s="26"/>
      <c r="CC149" s="26"/>
      <c r="CD149" s="26"/>
      <c r="CE149" s="26"/>
      <c r="CF149" s="26"/>
      <c r="CG149" s="26"/>
      <c r="CH149" s="26"/>
      <c r="CI149" s="26"/>
      <c r="CJ149" s="26"/>
      <c r="CK149" s="26"/>
      <c r="CL149" s="26"/>
      <c r="CM149" s="26"/>
      <c r="CN149" s="26"/>
      <c r="CO149" s="26"/>
    </row>
    <row r="150" spans="3:93" ht="12.75" hidden="1" customHeight="1" x14ac:dyDescent="0.25">
      <c r="C150" s="227"/>
      <c r="D150" s="227"/>
      <c r="E150" s="30"/>
      <c r="G150" s="236" t="e">
        <f>IF(I142&gt;175,1,0)</f>
        <v>#REF!</v>
      </c>
      <c r="H150" s="236" t="e">
        <f>IF(I142&gt;=200,1,0)</f>
        <v>#REF!</v>
      </c>
      <c r="I150" s="236" t="e">
        <f>IF(G150+H150=2,200,0)</f>
        <v>#REF!</v>
      </c>
      <c r="J150" s="236">
        <v>6</v>
      </c>
      <c r="L150" s="236">
        <f>IF(L160&gt;130,1,0)</f>
        <v>0</v>
      </c>
      <c r="M150" s="236">
        <f>IF(L160&lt;=150,1,0)</f>
        <v>1</v>
      </c>
      <c r="N150" s="238">
        <f t="shared" si="21"/>
        <v>0</v>
      </c>
      <c r="O150" s="240" t="s">
        <v>180</v>
      </c>
      <c r="P150" s="6"/>
      <c r="Q150" s="6"/>
      <c r="R150" s="6" t="b">
        <v>0</v>
      </c>
      <c r="S150" s="6" t="s">
        <v>181</v>
      </c>
      <c r="T150" s="6"/>
      <c r="U150" s="6"/>
      <c r="V150" s="6"/>
      <c r="W150" s="6"/>
      <c r="X150" s="6"/>
      <c r="Y150" s="6"/>
      <c r="Z150" s="6">
        <v>5</v>
      </c>
      <c r="AA150" s="233"/>
      <c r="AB150" s="52">
        <v>125</v>
      </c>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26"/>
      <c r="BG150" s="26"/>
      <c r="BH150" s="26"/>
      <c r="BI150" s="26"/>
      <c r="BJ150" s="26"/>
      <c r="BK150" s="26"/>
      <c r="BL150" s="26"/>
      <c r="BM150" s="26"/>
      <c r="BN150" s="26"/>
      <c r="BO150" s="26"/>
      <c r="BP150" s="26"/>
      <c r="BQ150" s="26"/>
      <c r="BR150" s="26"/>
      <c r="BS150" s="26"/>
      <c r="BT150" s="26"/>
      <c r="BU150" s="26"/>
      <c r="BV150" s="26"/>
      <c r="BW150" s="26"/>
      <c r="BX150" s="26"/>
      <c r="BY150" s="26"/>
      <c r="BZ150" s="26"/>
      <c r="CA150" s="26"/>
      <c r="CB150" s="26"/>
      <c r="CC150" s="26"/>
      <c r="CD150" s="26"/>
      <c r="CE150" s="26"/>
      <c r="CF150" s="26"/>
      <c r="CG150" s="26"/>
      <c r="CH150" s="26"/>
      <c r="CI150" s="26"/>
      <c r="CJ150" s="26"/>
      <c r="CK150" s="26"/>
      <c r="CL150" s="26"/>
      <c r="CM150" s="26"/>
      <c r="CN150" s="26"/>
      <c r="CO150" s="26"/>
    </row>
    <row r="151" spans="3:93" ht="12.75" hidden="1" customHeight="1" x14ac:dyDescent="0.25">
      <c r="C151" s="227"/>
      <c r="D151" s="227"/>
      <c r="E151" s="30"/>
      <c r="G151" s="236" t="e">
        <f>IF(I142&gt;200,1,0)</f>
        <v>#REF!</v>
      </c>
      <c r="H151" s="236" t="e">
        <f>IF(I142&gt;=225,1,0)</f>
        <v>#REF!</v>
      </c>
      <c r="I151" s="236" t="e">
        <f>IF(G151+H151=2,225,0)</f>
        <v>#REF!</v>
      </c>
      <c r="J151" s="236">
        <v>4</v>
      </c>
      <c r="L151" s="236">
        <f>IF(L160&gt;150,1,0)</f>
        <v>0</v>
      </c>
      <c r="M151" s="236">
        <f>IF(L160&lt;=175,1,0)</f>
        <v>1</v>
      </c>
      <c r="N151" s="238">
        <f t="shared" si="21"/>
        <v>0</v>
      </c>
      <c r="O151" s="240" t="s">
        <v>155</v>
      </c>
      <c r="P151" s="6"/>
      <c r="Q151" s="6"/>
      <c r="R151" s="6" t="b">
        <v>0</v>
      </c>
      <c r="S151" s="6" t="s">
        <v>182</v>
      </c>
      <c r="T151" s="6"/>
      <c r="U151" s="6"/>
      <c r="V151" s="6"/>
      <c r="W151" s="6"/>
      <c r="X151" s="6"/>
      <c r="Y151" s="6"/>
      <c r="Z151" s="6">
        <f>CHOOSE(Z150,0,125,150,175,200,225,250,300,350,400, )</f>
        <v>200</v>
      </c>
      <c r="AA151" s="6"/>
      <c r="AB151" s="52">
        <v>150</v>
      </c>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26"/>
      <c r="BG151" s="26"/>
      <c r="BH151" s="26"/>
      <c r="BI151" s="26"/>
      <c r="BJ151" s="26"/>
      <c r="BK151" s="26"/>
      <c r="BL151" s="26"/>
      <c r="BM151" s="26"/>
      <c r="BN151" s="26"/>
      <c r="BO151" s="26"/>
      <c r="BP151" s="26"/>
      <c r="BQ151" s="26"/>
      <c r="BR151" s="26"/>
      <c r="BS151" s="26"/>
      <c r="BT151" s="26"/>
      <c r="BU151" s="26"/>
      <c r="BV151" s="26"/>
      <c r="BW151" s="26"/>
      <c r="BX151" s="26"/>
      <c r="BY151" s="26"/>
      <c r="BZ151" s="26"/>
      <c r="CA151" s="26"/>
      <c r="CB151" s="26"/>
      <c r="CC151" s="26"/>
      <c r="CD151" s="26"/>
      <c r="CE151" s="26"/>
      <c r="CF151" s="26"/>
      <c r="CG151" s="26"/>
      <c r="CH151" s="26"/>
      <c r="CI151" s="26"/>
      <c r="CJ151" s="26"/>
      <c r="CK151" s="26"/>
      <c r="CL151" s="26"/>
      <c r="CM151" s="26"/>
      <c r="CN151" s="26"/>
      <c r="CO151" s="26"/>
    </row>
    <row r="152" spans="3:93" ht="12.75" hidden="1" customHeight="1" x14ac:dyDescent="0.25">
      <c r="G152" s="236" t="e">
        <f>IF(I142&gt;225,1,0)</f>
        <v>#REF!</v>
      </c>
      <c r="H152" s="236" t="e">
        <f>IF(I142&gt;=250,1,0)</f>
        <v>#REF!</v>
      </c>
      <c r="I152" s="236" t="e">
        <f>IF(G152+H152=2,250,0)</f>
        <v>#REF!</v>
      </c>
      <c r="J152" s="236">
        <v>4</v>
      </c>
      <c r="L152" s="236">
        <f>IF(L160&gt;175,1,0)</f>
        <v>0</v>
      </c>
      <c r="M152" s="236">
        <f>IF(L160&lt;=200,1,0)</f>
        <v>1</v>
      </c>
      <c r="N152" s="238">
        <f t="shared" si="21"/>
        <v>0</v>
      </c>
      <c r="O152" s="240" t="s">
        <v>157</v>
      </c>
      <c r="P152" s="6"/>
      <c r="Q152" s="6"/>
      <c r="R152" s="6" t="b">
        <v>0</v>
      </c>
      <c r="S152" s="6" t="s">
        <v>183</v>
      </c>
      <c r="T152" s="6"/>
      <c r="U152" s="6"/>
      <c r="V152" s="6"/>
      <c r="W152" s="6"/>
      <c r="X152" s="6"/>
      <c r="Y152" s="6"/>
      <c r="Z152" s="6">
        <f>IF(Z151=0," ",Z151)</f>
        <v>200</v>
      </c>
      <c r="AA152" s="6"/>
      <c r="AB152" s="52">
        <v>175</v>
      </c>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c r="BE152" s="6"/>
      <c r="BF152" s="26"/>
      <c r="BG152" s="26"/>
      <c r="BH152" s="26"/>
      <c r="BI152" s="26"/>
      <c r="BJ152" s="26"/>
      <c r="BK152" s="26"/>
      <c r="BL152" s="26"/>
      <c r="BM152" s="26"/>
      <c r="BN152" s="26"/>
      <c r="BO152" s="26"/>
      <c r="BP152" s="26"/>
      <c r="BQ152" s="26"/>
      <c r="BR152" s="26"/>
      <c r="BS152" s="26"/>
      <c r="BT152" s="26"/>
      <c r="BU152" s="26"/>
      <c r="BV152" s="26"/>
      <c r="BW152" s="26"/>
      <c r="BX152" s="26"/>
      <c r="BY152" s="26"/>
      <c r="BZ152" s="26"/>
      <c r="CA152" s="26"/>
      <c r="CB152" s="26"/>
      <c r="CC152" s="26"/>
      <c r="CD152" s="26"/>
      <c r="CE152" s="26"/>
      <c r="CF152" s="26"/>
      <c r="CG152" s="26"/>
      <c r="CH152" s="26"/>
      <c r="CI152" s="26"/>
      <c r="CJ152" s="26"/>
      <c r="CK152" s="26"/>
      <c r="CL152" s="26"/>
      <c r="CM152" s="26"/>
      <c r="CN152" s="26"/>
      <c r="CO152" s="26"/>
    </row>
    <row r="153" spans="3:93" ht="12.75" hidden="1" customHeight="1" x14ac:dyDescent="0.25">
      <c r="E153" s="25" t="s">
        <v>184</v>
      </c>
      <c r="G153" s="236" t="e">
        <f>IF(I142&gt;250,1,0)</f>
        <v>#REF!</v>
      </c>
      <c r="H153" s="236" t="e">
        <f>IF(I142&gt;=300,1,0)</f>
        <v>#REF!</v>
      </c>
      <c r="I153" s="236" t="e">
        <f>IF(G153+H153=2,300,0)</f>
        <v>#REF!</v>
      </c>
      <c r="J153" s="236">
        <v>4</v>
      </c>
      <c r="L153" s="236">
        <f>IF(L160&gt;200,1,0)</f>
        <v>0</v>
      </c>
      <c r="M153" s="236">
        <f>IF(L160&lt;=235,1,0)</f>
        <v>1</v>
      </c>
      <c r="N153" s="238">
        <f t="shared" si="21"/>
        <v>0</v>
      </c>
      <c r="O153" s="240" t="s">
        <v>159</v>
      </c>
      <c r="P153" s="6"/>
      <c r="Q153" s="6"/>
      <c r="R153" s="6" t="b">
        <v>0</v>
      </c>
      <c r="S153" s="6" t="s">
        <v>185</v>
      </c>
      <c r="T153" s="6"/>
      <c r="U153" s="6"/>
      <c r="V153" s="6"/>
      <c r="W153" s="6"/>
      <c r="X153" s="6"/>
      <c r="Y153" s="6"/>
      <c r="Z153" s="6" t="s">
        <v>186</v>
      </c>
      <c r="AA153" s="6"/>
      <c r="AB153" s="52">
        <v>200</v>
      </c>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c r="BE153" s="6"/>
      <c r="BF153" s="26"/>
      <c r="BG153" s="26"/>
      <c r="BH153" s="26"/>
      <c r="BI153" s="26"/>
      <c r="BJ153" s="26"/>
      <c r="BK153" s="26"/>
      <c r="BL153" s="26"/>
      <c r="BM153" s="26"/>
      <c r="BN153" s="26"/>
      <c r="BO153" s="26"/>
      <c r="BP153" s="26"/>
      <c r="BQ153" s="26"/>
      <c r="BR153" s="26"/>
      <c r="BS153" s="26"/>
      <c r="BT153" s="26"/>
      <c r="BU153" s="26"/>
      <c r="BV153" s="26"/>
      <c r="BW153" s="26"/>
      <c r="BX153" s="26"/>
      <c r="BY153" s="26"/>
      <c r="BZ153" s="26"/>
      <c r="CA153" s="26"/>
      <c r="CB153" s="26"/>
      <c r="CC153" s="26"/>
      <c r="CD153" s="26"/>
      <c r="CE153" s="26"/>
      <c r="CF153" s="26"/>
      <c r="CG153" s="26"/>
      <c r="CH153" s="26"/>
      <c r="CI153" s="26"/>
      <c r="CJ153" s="26"/>
      <c r="CK153" s="26"/>
      <c r="CL153" s="26"/>
      <c r="CM153" s="26"/>
      <c r="CN153" s="26"/>
      <c r="CO153" s="26"/>
    </row>
    <row r="154" spans="3:93" ht="12.75" hidden="1" customHeight="1" x14ac:dyDescent="0.25">
      <c r="E154" s="9" t="s">
        <v>43</v>
      </c>
      <c r="G154" s="236" t="e">
        <f>IF(I142&gt;301,1,0)</f>
        <v>#REF!</v>
      </c>
      <c r="H154" s="236" t="e">
        <f>IF(I142&gt;=350,1,0)</f>
        <v>#REF!</v>
      </c>
      <c r="I154" s="236" t="e">
        <f>IF(G154+H154=2,350,0)</f>
        <v>#REF!</v>
      </c>
      <c r="J154" s="236">
        <v>4</v>
      </c>
      <c r="L154" s="236">
        <f>IF(L160&gt;230,1,0)</f>
        <v>0</v>
      </c>
      <c r="M154" s="236">
        <f>IF(L160&lt;=255,1,0)</f>
        <v>1</v>
      </c>
      <c r="N154" s="238">
        <f t="shared" si="21"/>
        <v>0</v>
      </c>
      <c r="O154" s="240" t="s">
        <v>161</v>
      </c>
      <c r="P154" s="6"/>
      <c r="Q154" s="6"/>
      <c r="R154" s="6" t="b">
        <v>0</v>
      </c>
      <c r="S154" s="6" t="s">
        <v>187</v>
      </c>
      <c r="T154" s="6"/>
      <c r="U154" s="6" t="s">
        <v>143</v>
      </c>
      <c r="V154" s="6"/>
      <c r="W154" s="150" t="s">
        <v>18</v>
      </c>
      <c r="X154" s="6"/>
      <c r="Y154" s="6"/>
      <c r="Z154" s="6">
        <v>5</v>
      </c>
      <c r="AA154" s="6"/>
      <c r="AB154" s="52">
        <v>225</v>
      </c>
      <c r="AC154" s="6"/>
      <c r="AD154" s="6"/>
      <c r="AE154" s="6"/>
      <c r="AF154" s="6"/>
      <c r="AG154" s="6"/>
      <c r="AH154" s="6"/>
      <c r="AI154" s="6"/>
      <c r="AJ154" s="6"/>
      <c r="AK154" s="6"/>
      <c r="AL154" s="6"/>
      <c r="AM154" s="6"/>
      <c r="AN154" s="6"/>
      <c r="AO154" s="6"/>
      <c r="AP154" s="6"/>
      <c r="AQ154" s="6"/>
      <c r="AR154" s="6"/>
      <c r="AS154" s="6"/>
      <c r="AT154" s="6"/>
      <c r="AU154" s="6"/>
      <c r="AV154" s="6"/>
      <c r="AW154" s="6"/>
      <c r="AX154" s="6"/>
      <c r="AY154" s="6"/>
      <c r="AZ154" s="6"/>
      <c r="BA154" s="6"/>
      <c r="BB154" s="6"/>
      <c r="BC154" s="6"/>
      <c r="BD154" s="6"/>
      <c r="BE154" s="6"/>
      <c r="BF154" s="26"/>
      <c r="BG154" s="26"/>
      <c r="BH154" s="26"/>
      <c r="BI154" s="26"/>
      <c r="BJ154" s="26"/>
      <c r="BK154" s="26"/>
      <c r="BL154" s="26"/>
      <c r="BM154" s="26"/>
      <c r="BN154" s="26"/>
      <c r="BO154" s="26"/>
      <c r="BP154" s="26"/>
      <c r="BQ154" s="26"/>
      <c r="BR154" s="26"/>
      <c r="BS154" s="26"/>
      <c r="BT154" s="26"/>
      <c r="BU154" s="26"/>
      <c r="BV154" s="26"/>
      <c r="BW154" s="26"/>
      <c r="BX154" s="26"/>
      <c r="BY154" s="26"/>
      <c r="BZ154" s="26"/>
      <c r="CA154" s="26"/>
      <c r="CB154" s="26"/>
      <c r="CC154" s="26"/>
      <c r="CD154" s="26"/>
      <c r="CE154" s="26"/>
      <c r="CF154" s="26"/>
      <c r="CG154" s="26"/>
      <c r="CH154" s="26"/>
      <c r="CI154" s="26"/>
      <c r="CJ154" s="26"/>
      <c r="CK154" s="26"/>
      <c r="CL154" s="26"/>
      <c r="CM154" s="26"/>
      <c r="CN154" s="26"/>
      <c r="CO154" s="26"/>
    </row>
    <row r="155" spans="3:93" ht="12.75" hidden="1" customHeight="1" x14ac:dyDescent="0.25">
      <c r="E155" s="9" t="s">
        <v>46</v>
      </c>
      <c r="G155" s="236" t="e">
        <f>IF(I142&gt;350,1,0)</f>
        <v>#REF!</v>
      </c>
      <c r="H155" s="236" t="e">
        <f>IF(I142&gt;=400,1,0)</f>
        <v>#REF!</v>
      </c>
      <c r="I155" s="236" t="e">
        <f>IF(G155+H155=2,400,0)</f>
        <v>#REF!</v>
      </c>
      <c r="J155" s="236">
        <v>3</v>
      </c>
      <c r="L155" s="236">
        <f>IF(L160&gt;255,1,0)</f>
        <v>0</v>
      </c>
      <c r="M155" s="236">
        <f>IF(L160&lt;=280,1,0)</f>
        <v>1</v>
      </c>
      <c r="N155" s="238">
        <f t="shared" si="21"/>
        <v>0</v>
      </c>
      <c r="O155" s="240" t="s">
        <v>188</v>
      </c>
      <c r="P155" s="6"/>
      <c r="Q155" s="6"/>
      <c r="R155" s="6" t="b">
        <v>0</v>
      </c>
      <c r="S155" s="6" t="s">
        <v>189</v>
      </c>
      <c r="T155" s="6"/>
      <c r="U155" s="243">
        <f>IF(W154&gt;1,1,0)</f>
        <v>1</v>
      </c>
      <c r="V155" s="243">
        <f>IF(W154&lt;=100,1,0)</f>
        <v>0</v>
      </c>
      <c r="W155" s="243">
        <f>IF(V155+U155=2,100,0)</f>
        <v>0</v>
      </c>
      <c r="X155" s="6"/>
      <c r="Y155" s="6"/>
      <c r="Z155" s="6">
        <f>CHOOSE(Z154,0,125,150,175,200,225,250,300,350,400, )</f>
        <v>200</v>
      </c>
      <c r="AA155" s="6"/>
      <c r="AB155" s="52">
        <v>250</v>
      </c>
      <c r="AC155" s="6"/>
      <c r="AD155" s="6"/>
      <c r="AE155" s="6"/>
      <c r="AF155" s="6"/>
      <c r="AG155" s="6"/>
      <c r="AH155" s="6"/>
      <c r="AI155" s="6"/>
      <c r="AJ155" s="6"/>
      <c r="AK155" s="6"/>
      <c r="AL155" s="6"/>
      <c r="AM155" s="6"/>
      <c r="AN155" s="6"/>
      <c r="AO155" s="6"/>
      <c r="AP155" s="6"/>
      <c r="AQ155" s="6"/>
      <c r="AR155" s="6"/>
      <c r="AS155" s="6"/>
      <c r="AT155" s="6"/>
      <c r="AU155" s="6"/>
      <c r="AV155" s="6"/>
      <c r="AW155" s="6"/>
      <c r="AX155" s="6"/>
      <c r="AY155" s="6"/>
      <c r="AZ155" s="6"/>
      <c r="BA155" s="6"/>
      <c r="BB155" s="6"/>
      <c r="BC155" s="6"/>
      <c r="BD155" s="6"/>
      <c r="BE155" s="6"/>
      <c r="BF155" s="26"/>
      <c r="BG155" s="26"/>
      <c r="BH155" s="26"/>
      <c r="BI155" s="26"/>
      <c r="BJ155" s="26"/>
      <c r="BK155" s="26"/>
      <c r="BL155" s="26"/>
      <c r="BM155" s="26"/>
      <c r="BN155" s="26"/>
      <c r="BO155" s="26"/>
      <c r="BP155" s="26"/>
      <c r="BQ155" s="26"/>
      <c r="BR155" s="26"/>
      <c r="BS155" s="26"/>
      <c r="BT155" s="26"/>
      <c r="BU155" s="26"/>
      <c r="BV155" s="26"/>
      <c r="BW155" s="26"/>
      <c r="BX155" s="26"/>
      <c r="BY155" s="26"/>
      <c r="BZ155" s="26"/>
      <c r="CA155" s="26"/>
      <c r="CB155" s="26"/>
      <c r="CC155" s="26"/>
      <c r="CD155" s="26"/>
      <c r="CE155" s="26"/>
      <c r="CF155" s="26"/>
      <c r="CG155" s="26"/>
      <c r="CH155" s="26"/>
      <c r="CI155" s="26"/>
      <c r="CJ155" s="26"/>
      <c r="CK155" s="26"/>
      <c r="CL155" s="26"/>
      <c r="CM155" s="26"/>
      <c r="CN155" s="26"/>
      <c r="CO155" s="26"/>
    </row>
    <row r="156" spans="3:93" ht="12.75" hidden="1" customHeight="1" x14ac:dyDescent="0.25">
      <c r="E156" s="9" t="s">
        <v>48</v>
      </c>
      <c r="G156" s="236" t="e">
        <f>IF(I142&gt;400,1,0)</f>
        <v>#REF!</v>
      </c>
      <c r="H156" s="236" t="e">
        <f>IF(I142&gt;=401,1,0)</f>
        <v>#REF!</v>
      </c>
      <c r="I156" s="236" t="e">
        <f>IF(G156+H156=2,"Note 1",0)</f>
        <v>#REF!</v>
      </c>
      <c r="J156" s="236">
        <v>2</v>
      </c>
      <c r="L156" s="236">
        <f>IF(L160&gt;280,1,0)</f>
        <v>0</v>
      </c>
      <c r="M156" s="236">
        <f>IF(L160&lt;=310,1,0)</f>
        <v>1</v>
      </c>
      <c r="N156" s="238">
        <f t="shared" si="21"/>
        <v>0</v>
      </c>
      <c r="O156" s="240" t="s">
        <v>163</v>
      </c>
      <c r="P156" s="6"/>
      <c r="Q156" s="6"/>
      <c r="R156" s="6" t="b">
        <v>0</v>
      </c>
      <c r="S156" s="6" t="s">
        <v>190</v>
      </c>
      <c r="T156" s="6"/>
      <c r="U156" s="243">
        <f>IF(W154&gt;100,1,0)</f>
        <v>1</v>
      </c>
      <c r="V156" s="243">
        <f>IF(W154&lt;=110,1,0)</f>
        <v>0</v>
      </c>
      <c r="W156" s="243">
        <f>IF(SUM(U156+V156)=2,110,0)</f>
        <v>0</v>
      </c>
      <c r="X156" s="6"/>
      <c r="Y156" s="6"/>
      <c r="Z156" s="6">
        <f>IF(Z155=0," ",Z155)</f>
        <v>200</v>
      </c>
      <c r="AA156" s="6"/>
      <c r="AB156" s="52">
        <v>300</v>
      </c>
      <c r="AC156" s="6"/>
      <c r="AD156" s="6"/>
      <c r="AE156" s="6"/>
      <c r="AF156" s="6"/>
      <c r="AG156" s="6"/>
      <c r="AH156" s="6"/>
      <c r="AI156" s="6"/>
      <c r="AJ156" s="6"/>
      <c r="AK156" s="6"/>
      <c r="AL156" s="6"/>
      <c r="AM156" s="6"/>
      <c r="AN156" s="6"/>
      <c r="AO156" s="6"/>
      <c r="AP156" s="6"/>
      <c r="AQ156" s="6"/>
      <c r="AR156" s="6"/>
      <c r="AS156" s="6"/>
      <c r="AT156" s="6"/>
      <c r="AU156" s="6"/>
      <c r="AV156" s="6"/>
      <c r="AW156" s="6"/>
      <c r="AX156" s="6"/>
      <c r="AY156" s="6"/>
      <c r="AZ156" s="6"/>
      <c r="BA156" s="6"/>
      <c r="BB156" s="6"/>
      <c r="BC156" s="6"/>
      <c r="BD156" s="6"/>
      <c r="BE156" s="6"/>
      <c r="BF156" s="26"/>
      <c r="BG156" s="26"/>
      <c r="BH156" s="26"/>
      <c r="BI156" s="26"/>
      <c r="BJ156" s="26"/>
      <c r="BK156" s="26"/>
      <c r="BL156" s="26"/>
      <c r="BM156" s="26"/>
      <c r="BN156" s="26"/>
      <c r="BO156" s="26"/>
      <c r="BP156" s="26"/>
      <c r="BQ156" s="26"/>
      <c r="BR156" s="26"/>
      <c r="BS156" s="26"/>
      <c r="BT156" s="26"/>
      <c r="BU156" s="26"/>
      <c r="BV156" s="26"/>
      <c r="BW156" s="26"/>
      <c r="BX156" s="26"/>
      <c r="BY156" s="26"/>
      <c r="BZ156" s="26"/>
      <c r="CA156" s="26"/>
      <c r="CB156" s="26"/>
      <c r="CC156" s="26"/>
      <c r="CD156" s="26"/>
      <c r="CE156" s="26"/>
      <c r="CF156" s="26"/>
      <c r="CG156" s="26"/>
      <c r="CH156" s="26"/>
      <c r="CI156" s="26"/>
      <c r="CJ156" s="26"/>
      <c r="CK156" s="26"/>
      <c r="CL156" s="26"/>
      <c r="CM156" s="26"/>
      <c r="CN156" s="26"/>
      <c r="CO156" s="26"/>
    </row>
    <row r="157" spans="3:93" ht="12.75" hidden="1" customHeight="1" x14ac:dyDescent="0.25">
      <c r="E157" s="9" t="s">
        <v>50</v>
      </c>
      <c r="G157" s="236"/>
      <c r="H157" s="236"/>
      <c r="I157" s="236"/>
      <c r="J157" s="236" t="s">
        <v>191</v>
      </c>
      <c r="L157" s="236">
        <f>IF(L160&gt;310,1,0)</f>
        <v>0</v>
      </c>
      <c r="M157" s="236">
        <f>IF(L160&lt;=335,1,0)</f>
        <v>1</v>
      </c>
      <c r="N157" s="238">
        <f t="shared" si="21"/>
        <v>0</v>
      </c>
      <c r="O157" s="240" t="s">
        <v>165</v>
      </c>
      <c r="P157" s="6"/>
      <c r="Q157" s="6"/>
      <c r="R157" s="6"/>
      <c r="S157" s="6"/>
      <c r="T157" s="6"/>
      <c r="U157" s="243">
        <f>IF(W154&gt;110,1,0)</f>
        <v>1</v>
      </c>
      <c r="V157" s="243">
        <f>IF(W154&lt;=125,1,0)</f>
        <v>0</v>
      </c>
      <c r="W157" s="243">
        <f>IF(U157+V157=2,125,0)</f>
        <v>0</v>
      </c>
      <c r="X157" s="6"/>
      <c r="Y157" s="6"/>
      <c r="Z157" s="6"/>
      <c r="AA157" s="6"/>
      <c r="AB157" s="52">
        <v>400</v>
      </c>
      <c r="AC157" s="6"/>
      <c r="AD157" s="6"/>
      <c r="AE157" s="6"/>
      <c r="AF157" s="6"/>
      <c r="AG157" s="6"/>
      <c r="AH157" s="6"/>
      <c r="AI157" s="6"/>
      <c r="AJ157" s="6"/>
      <c r="AK157" s="6"/>
      <c r="AL157" s="6"/>
      <c r="AM157" s="6"/>
      <c r="AN157" s="6"/>
      <c r="AO157" s="6"/>
      <c r="AP157" s="6"/>
      <c r="AQ157" s="6"/>
      <c r="AR157" s="6"/>
      <c r="AS157" s="6"/>
      <c r="AT157" s="6"/>
      <c r="AU157" s="6"/>
      <c r="AV157" s="6"/>
      <c r="AW157" s="6"/>
      <c r="AX157" s="6"/>
      <c r="AY157" s="6"/>
      <c r="AZ157" s="6"/>
      <c r="BA157" s="6"/>
      <c r="BB157" s="6"/>
      <c r="BC157" s="6"/>
      <c r="BD157" s="6"/>
      <c r="BE157" s="6"/>
      <c r="BF157" s="26"/>
      <c r="BG157" s="26"/>
      <c r="BH157" s="26"/>
      <c r="BI157" s="26"/>
      <c r="BJ157" s="26"/>
      <c r="BK157" s="26"/>
      <c r="BL157" s="26"/>
      <c r="BM157" s="26"/>
      <c r="BN157" s="26"/>
      <c r="BO157" s="26"/>
      <c r="BP157" s="26"/>
      <c r="BQ157" s="26"/>
      <c r="BR157" s="26"/>
      <c r="BS157" s="26"/>
      <c r="BT157" s="26"/>
      <c r="BU157" s="26"/>
      <c r="BV157" s="26"/>
      <c r="BW157" s="26"/>
      <c r="BX157" s="26"/>
      <c r="BY157" s="26"/>
      <c r="BZ157" s="26"/>
      <c r="CA157" s="26"/>
      <c r="CB157" s="26"/>
      <c r="CC157" s="26"/>
      <c r="CD157" s="26"/>
      <c r="CE157" s="26"/>
      <c r="CF157" s="26"/>
      <c r="CG157" s="26"/>
      <c r="CH157" s="26"/>
      <c r="CI157" s="26"/>
      <c r="CJ157" s="26"/>
      <c r="CK157" s="26"/>
      <c r="CL157" s="26"/>
      <c r="CM157" s="26"/>
      <c r="CN157" s="26"/>
      <c r="CO157" s="26"/>
    </row>
    <row r="158" spans="3:93" ht="12.75" hidden="1" customHeight="1" x14ac:dyDescent="0.25">
      <c r="E158" s="9" t="s">
        <v>52</v>
      </c>
      <c r="G158" s="245" t="e">
        <f>IF(I142&lt;30,0,I158)</f>
        <v>#REF!</v>
      </c>
      <c r="H158" s="245" t="e">
        <f>SUM(H145:H157)</f>
        <v>#REF!</v>
      </c>
      <c r="I158" s="242" t="e">
        <f>CHOOSE(H158,8,6,6,6,6,6,4,4,4,4,3,"Note 1")</f>
        <v>#REF!</v>
      </c>
      <c r="L158" s="236">
        <f>IF(L160&gt;335,1,0)</f>
        <v>0</v>
      </c>
      <c r="M158" s="236">
        <f>IF(L160&lt;=380,1,0)</f>
        <v>1</v>
      </c>
      <c r="N158" s="238">
        <f t="shared" si="21"/>
        <v>0</v>
      </c>
      <c r="O158" s="240" t="s">
        <v>192</v>
      </c>
      <c r="P158" s="6"/>
      <c r="Q158" s="6"/>
      <c r="R158" s="6"/>
      <c r="S158" s="6"/>
      <c r="T158" s="6"/>
      <c r="U158" s="243">
        <f>IF(W154&gt;125,1,0)</f>
        <v>1</v>
      </c>
      <c r="V158" s="243">
        <f>IF(W154&lt;=150,1,0)</f>
        <v>0</v>
      </c>
      <c r="W158" s="243">
        <f>IF(U158+V158=2,150,0)</f>
        <v>0</v>
      </c>
      <c r="X158" s="6"/>
      <c r="Y158" s="6"/>
      <c r="Z158" s="6" t="s">
        <v>193</v>
      </c>
      <c r="AA158" s="6"/>
      <c r="AB158" s="52">
        <v>0</v>
      </c>
      <c r="AC158" s="6"/>
      <c r="AD158" s="6"/>
      <c r="AE158" s="6"/>
      <c r="AF158" s="6"/>
      <c r="AG158" s="6"/>
      <c r="AH158" s="6"/>
      <c r="AI158" s="6"/>
      <c r="AJ158" s="6"/>
      <c r="AK158" s="6"/>
      <c r="AL158" s="6"/>
      <c r="AM158" s="6"/>
      <c r="AN158" s="6"/>
      <c r="AO158" s="6"/>
      <c r="AP158" s="6"/>
      <c r="AQ158" s="6"/>
      <c r="AR158" s="6"/>
      <c r="AS158" s="6"/>
      <c r="AT158" s="6"/>
      <c r="AU158" s="6"/>
      <c r="AV158" s="6"/>
      <c r="AW158" s="6"/>
      <c r="AX158" s="6"/>
      <c r="AY158" s="6"/>
      <c r="AZ158" s="6"/>
      <c r="BA158" s="6"/>
      <c r="BB158" s="6"/>
      <c r="BC158" s="6"/>
      <c r="BD158" s="6"/>
      <c r="BE158" s="6"/>
      <c r="BF158" s="26"/>
      <c r="BG158" s="26"/>
      <c r="BH158" s="26"/>
      <c r="BI158" s="26"/>
      <c r="BJ158" s="26"/>
      <c r="BK158" s="26"/>
      <c r="BL158" s="26"/>
      <c r="BM158" s="26"/>
      <c r="BN158" s="26"/>
      <c r="BO158" s="26"/>
      <c r="BP158" s="26"/>
      <c r="BQ158" s="26"/>
      <c r="BR158" s="26"/>
      <c r="BS158" s="26"/>
      <c r="BT158" s="26"/>
      <c r="BU158" s="26"/>
      <c r="BV158" s="26"/>
      <c r="BW158" s="26"/>
      <c r="BX158" s="26"/>
      <c r="BY158" s="26"/>
      <c r="BZ158" s="26"/>
      <c r="CA158" s="26"/>
      <c r="CB158" s="26"/>
      <c r="CC158" s="26"/>
      <c r="CD158" s="26"/>
      <c r="CE158" s="26"/>
      <c r="CF158" s="26"/>
      <c r="CG158" s="26"/>
      <c r="CH158" s="26"/>
      <c r="CI158" s="26"/>
      <c r="CJ158" s="26"/>
      <c r="CK158" s="26"/>
      <c r="CL158" s="26"/>
      <c r="CM158" s="26"/>
      <c r="CN158" s="26"/>
      <c r="CO158" s="26"/>
    </row>
    <row r="159" spans="3:93" ht="12.75" hidden="1" customHeight="1" x14ac:dyDescent="0.25">
      <c r="E159" s="9" t="s">
        <v>53</v>
      </c>
      <c r="G159" s="246"/>
      <c r="H159" s="246"/>
      <c r="I159" s="243"/>
      <c r="J159" s="6"/>
      <c r="K159" s="6"/>
      <c r="L159" s="236">
        <f>IF(L160&gt;380,1,0)</f>
        <v>0</v>
      </c>
      <c r="M159" s="236">
        <f>IF(L160&gt;380,1,0)</f>
        <v>0</v>
      </c>
      <c r="N159" s="238">
        <f t="shared" si="21"/>
        <v>0</v>
      </c>
      <c r="O159" s="240" t="s">
        <v>191</v>
      </c>
      <c r="P159" s="6"/>
      <c r="Q159" s="6"/>
      <c r="R159" s="6"/>
      <c r="S159" s="6"/>
      <c r="T159" s="6"/>
      <c r="U159" s="243"/>
      <c r="V159" s="243"/>
      <c r="W159" s="243"/>
      <c r="X159" s="6"/>
      <c r="Y159" s="6"/>
      <c r="Z159" s="6"/>
      <c r="AA159" s="6"/>
      <c r="AB159" s="52"/>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c r="BD159" s="6"/>
      <c r="BE159" s="6"/>
      <c r="BF159" s="26"/>
      <c r="BG159" s="26"/>
      <c r="BH159" s="26"/>
      <c r="BI159" s="26"/>
      <c r="BJ159" s="26"/>
      <c r="BK159" s="26"/>
      <c r="BL159" s="26"/>
      <c r="BM159" s="26"/>
      <c r="BN159" s="26"/>
      <c r="BO159" s="26"/>
      <c r="BP159" s="26"/>
      <c r="BQ159" s="26"/>
      <c r="BR159" s="26"/>
      <c r="BS159" s="26"/>
      <c r="BT159" s="26"/>
      <c r="BU159" s="26"/>
      <c r="BV159" s="26"/>
      <c r="BW159" s="26"/>
      <c r="BX159" s="26"/>
      <c r="BY159" s="26"/>
      <c r="BZ159" s="26"/>
      <c r="CA159" s="26"/>
      <c r="CB159" s="26"/>
      <c r="CC159" s="26"/>
      <c r="CD159" s="26"/>
      <c r="CE159" s="26"/>
      <c r="CF159" s="26"/>
      <c r="CG159" s="26"/>
      <c r="CH159" s="26"/>
      <c r="CI159" s="26"/>
      <c r="CJ159" s="26"/>
      <c r="CK159" s="26"/>
      <c r="CL159" s="26"/>
      <c r="CM159" s="26"/>
      <c r="CN159" s="26"/>
      <c r="CO159" s="26"/>
    </row>
    <row r="160" spans="3:93" ht="12.75" hidden="1" customHeight="1" x14ac:dyDescent="0.25">
      <c r="E160" s="9" t="s">
        <v>21</v>
      </c>
      <c r="G160" s="246"/>
      <c r="H160" s="246"/>
      <c r="I160" s="243"/>
      <c r="J160" s="6"/>
      <c r="K160" s="6"/>
      <c r="L160" s="150">
        <f>N29</f>
        <v>0</v>
      </c>
      <c r="M160" s="242">
        <f>SUM(L145:L159)</f>
        <v>0</v>
      </c>
      <c r="N160" s="242" t="e">
        <f>CHOOSE(O144,6,4,3,2,1,"1/0","2/0","3/0","4/0",250,300,350,400,500,"Note 1")</f>
        <v>#VALUE!</v>
      </c>
      <c r="O160" s="9">
        <f>IF(Y147,N123,M160)</f>
        <v>0</v>
      </c>
      <c r="P160" s="6"/>
      <c r="Q160" s="6"/>
      <c r="R160" s="6"/>
      <c r="S160" s="6"/>
      <c r="T160" s="6"/>
      <c r="U160" s="243"/>
      <c r="V160" s="243"/>
      <c r="W160" s="243"/>
      <c r="X160" s="6"/>
      <c r="Y160" s="6"/>
      <c r="Z160" s="6"/>
      <c r="AA160" s="6"/>
      <c r="AB160" s="52"/>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c r="BD160" s="6"/>
      <c r="BE160" s="6"/>
      <c r="BF160" s="26"/>
      <c r="BG160" s="26"/>
      <c r="BH160" s="26"/>
      <c r="BI160" s="26"/>
      <c r="BJ160" s="26"/>
      <c r="BK160" s="26"/>
      <c r="BL160" s="26"/>
      <c r="BM160" s="26"/>
      <c r="BN160" s="26"/>
      <c r="BO160" s="26"/>
      <c r="BP160" s="26"/>
      <c r="BQ160" s="26"/>
      <c r="BR160" s="26"/>
      <c r="BS160" s="26"/>
      <c r="BT160" s="26"/>
      <c r="BU160" s="26"/>
      <c r="BV160" s="26"/>
      <c r="BW160" s="26"/>
      <c r="BX160" s="26"/>
      <c r="BY160" s="26"/>
      <c r="BZ160" s="26"/>
      <c r="CA160" s="26"/>
      <c r="CB160" s="26"/>
      <c r="CC160" s="26"/>
      <c r="CD160" s="26"/>
      <c r="CE160" s="26"/>
      <c r="CF160" s="26"/>
      <c r="CG160" s="26"/>
      <c r="CH160" s="26"/>
      <c r="CI160" s="26"/>
      <c r="CJ160" s="26"/>
      <c r="CK160" s="26"/>
      <c r="CL160" s="26"/>
      <c r="CM160" s="26"/>
      <c r="CN160" s="26"/>
      <c r="CO160" s="26"/>
    </row>
    <row r="161" spans="5:93" ht="12.75" hidden="1" customHeight="1" x14ac:dyDescent="0.25">
      <c r="G161" s="246"/>
      <c r="H161" s="246"/>
      <c r="I161" s="243"/>
      <c r="J161" s="6"/>
      <c r="K161" s="6"/>
      <c r="L161" s="150"/>
      <c r="M161" s="243"/>
      <c r="N161" s="243"/>
      <c r="P161" s="6"/>
      <c r="Q161" s="6"/>
      <c r="R161" s="6"/>
      <c r="S161" s="6"/>
      <c r="T161" s="6"/>
      <c r="U161" s="243"/>
      <c r="V161" s="243"/>
      <c r="W161" s="243"/>
      <c r="X161" s="6"/>
      <c r="Y161" s="6"/>
      <c r="Z161" s="6"/>
      <c r="AA161" s="6"/>
      <c r="AB161" s="52"/>
      <c r="AC161" s="6"/>
      <c r="AD161" s="6"/>
      <c r="AE161" s="6"/>
      <c r="AF161" s="6"/>
      <c r="AG161" s="6"/>
      <c r="AH161" s="6"/>
      <c r="AI161" s="6"/>
      <c r="AJ161" s="6"/>
      <c r="AK161" s="6"/>
      <c r="AL161" s="6"/>
      <c r="AM161" s="6"/>
      <c r="AN161" s="6"/>
      <c r="AO161" s="6"/>
      <c r="AP161" s="6"/>
      <c r="AQ161" s="6"/>
      <c r="AR161" s="6"/>
      <c r="AS161" s="6"/>
      <c r="AT161" s="6"/>
      <c r="AU161" s="6"/>
      <c r="AV161" s="6"/>
      <c r="AW161" s="6"/>
      <c r="AX161" s="6"/>
      <c r="AY161" s="6"/>
      <c r="AZ161" s="6"/>
      <c r="BA161" s="6"/>
      <c r="BB161" s="6"/>
      <c r="BC161" s="6"/>
      <c r="BD161" s="6"/>
      <c r="BE161" s="6"/>
      <c r="BF161" s="26"/>
      <c r="BG161" s="26"/>
      <c r="BH161" s="26"/>
      <c r="BI161" s="26"/>
      <c r="BJ161" s="26"/>
      <c r="BK161" s="26"/>
      <c r="BL161" s="26"/>
      <c r="BM161" s="26"/>
      <c r="BN161" s="26"/>
      <c r="BO161" s="26"/>
      <c r="BP161" s="26"/>
      <c r="BQ161" s="26"/>
      <c r="BR161" s="26"/>
      <c r="BS161" s="26"/>
      <c r="BT161" s="26"/>
      <c r="BU161" s="26"/>
      <c r="BV161" s="26"/>
      <c r="BW161" s="26"/>
      <c r="BX161" s="26"/>
      <c r="BY161" s="26"/>
      <c r="BZ161" s="26"/>
      <c r="CA161" s="26"/>
      <c r="CB161" s="26"/>
      <c r="CC161" s="26"/>
      <c r="CD161" s="26"/>
      <c r="CE161" s="26"/>
      <c r="CF161" s="26"/>
      <c r="CG161" s="26"/>
      <c r="CH161" s="26"/>
      <c r="CI161" s="26"/>
      <c r="CJ161" s="26"/>
      <c r="CK161" s="26"/>
      <c r="CL161" s="26"/>
      <c r="CM161" s="26"/>
      <c r="CN161" s="26"/>
      <c r="CO161" s="26"/>
    </row>
    <row r="162" spans="5:93" ht="12.75" hidden="1" customHeight="1" x14ac:dyDescent="0.25">
      <c r="E162" s="6"/>
      <c r="P162" s="6"/>
      <c r="Q162" s="6"/>
      <c r="R162" s="6"/>
      <c r="S162" s="6"/>
      <c r="T162" s="6"/>
      <c r="U162" s="243">
        <f>IF(W154&gt;150,1,0)</f>
        <v>1</v>
      </c>
      <c r="V162" s="243">
        <f>IF(W154&lt;=175,1,0)</f>
        <v>0</v>
      </c>
      <c r="W162" s="243">
        <f>IF(U162+V162=2,175,0)</f>
        <v>0</v>
      </c>
      <c r="X162" s="6" t="s">
        <v>194</v>
      </c>
      <c r="Y162" s="6"/>
      <c r="Z162" s="6">
        <v>5</v>
      </c>
      <c r="AA162" s="6"/>
      <c r="AB162" s="52">
        <v>125</v>
      </c>
      <c r="AC162" s="6"/>
      <c r="AD162" s="6"/>
      <c r="AE162" s="6"/>
      <c r="AF162" s="6"/>
      <c r="AG162" s="6"/>
      <c r="AH162" s="6"/>
      <c r="AI162" s="6"/>
      <c r="AJ162" s="6"/>
      <c r="AK162" s="6"/>
      <c r="AL162" s="6"/>
      <c r="AM162" s="6"/>
      <c r="AN162" s="6"/>
      <c r="AO162" s="6"/>
      <c r="AP162" s="6"/>
      <c r="AQ162" s="6"/>
      <c r="AR162" s="6"/>
      <c r="AS162" s="6"/>
      <c r="AT162" s="6"/>
      <c r="AU162" s="6"/>
      <c r="AV162" s="6"/>
      <c r="AW162" s="6"/>
      <c r="AX162" s="6"/>
      <c r="AY162" s="6"/>
      <c r="AZ162" s="6"/>
      <c r="BA162" s="6"/>
      <c r="BB162" s="6"/>
      <c r="BC162" s="6"/>
      <c r="BD162" s="6"/>
      <c r="BE162" s="6"/>
      <c r="BF162" s="26"/>
      <c r="BG162" s="26"/>
      <c r="BH162" s="26"/>
      <c r="BI162" s="26"/>
      <c r="BJ162" s="26"/>
      <c r="BK162" s="26"/>
      <c r="BL162" s="26"/>
      <c r="BM162" s="26"/>
      <c r="BN162" s="26"/>
      <c r="BO162" s="26"/>
      <c r="BP162" s="26"/>
      <c r="BQ162" s="26"/>
      <c r="BR162" s="26"/>
      <c r="BS162" s="26"/>
      <c r="BT162" s="26"/>
      <c r="BU162" s="26"/>
      <c r="BV162" s="26"/>
      <c r="BW162" s="26"/>
      <c r="BX162" s="26"/>
      <c r="BY162" s="26"/>
      <c r="BZ162" s="26"/>
      <c r="CA162" s="26"/>
      <c r="CB162" s="26"/>
      <c r="CC162" s="26"/>
      <c r="CD162" s="26"/>
      <c r="CE162" s="26"/>
      <c r="CF162" s="26"/>
      <c r="CG162" s="26"/>
      <c r="CH162" s="26"/>
      <c r="CI162" s="26"/>
      <c r="CJ162" s="26"/>
      <c r="CK162" s="26"/>
      <c r="CL162" s="26"/>
      <c r="CM162" s="26"/>
      <c r="CN162" s="26"/>
      <c r="CO162" s="26"/>
    </row>
    <row r="163" spans="5:93" ht="12.75" hidden="1" customHeight="1" x14ac:dyDescent="0.25">
      <c r="E163" s="6"/>
      <c r="G163" s="9" t="s">
        <v>195</v>
      </c>
      <c r="J163" s="9">
        <f>BE7</f>
        <v>0</v>
      </c>
      <c r="L163" s="9" t="s">
        <v>196</v>
      </c>
      <c r="N163" s="234" t="e">
        <f>IF(I123&lt;30,0,N178)</f>
        <v>#REF!</v>
      </c>
      <c r="O163" s="235" t="e">
        <f>(14-M178)</f>
        <v>#REF!</v>
      </c>
      <c r="P163" s="6"/>
      <c r="Q163" s="6"/>
      <c r="R163" s="6"/>
      <c r="S163" s="6"/>
      <c r="T163" s="6"/>
      <c r="U163" s="243">
        <f>IF(W154&gt;175,1,0)</f>
        <v>1</v>
      </c>
      <c r="V163" s="243">
        <f>IF(W154&lt;=200,1,0)</f>
        <v>0</v>
      </c>
      <c r="W163" s="243">
        <f>IF(U163+V163=2,200,0)</f>
        <v>0</v>
      </c>
      <c r="X163" s="6"/>
      <c r="Y163" s="6"/>
      <c r="Z163" s="6">
        <f>CHOOSE(Z162,0,125,150,175,200,225,250,300,350,400, )</f>
        <v>200</v>
      </c>
      <c r="AA163" s="6"/>
      <c r="AB163" s="52">
        <v>150</v>
      </c>
      <c r="AC163" s="6"/>
      <c r="AD163" s="6"/>
      <c r="AE163" s="6"/>
      <c r="AF163" s="6"/>
      <c r="AG163" s="6"/>
      <c r="AH163" s="6"/>
      <c r="AI163" s="6"/>
      <c r="AJ163" s="6"/>
      <c r="AK163" s="6"/>
      <c r="AL163" s="6"/>
      <c r="AM163" s="6"/>
      <c r="AN163" s="6"/>
      <c r="AO163" s="6"/>
      <c r="AP163" s="6"/>
      <c r="AQ163" s="6"/>
      <c r="AR163" s="6"/>
      <c r="AS163" s="6"/>
      <c r="AT163" s="6"/>
      <c r="AU163" s="6"/>
      <c r="AV163" s="6"/>
      <c r="AW163" s="6"/>
      <c r="AX163" s="6"/>
      <c r="AY163" s="6"/>
      <c r="AZ163" s="6"/>
      <c r="BA163" s="6"/>
      <c r="BB163" s="6"/>
      <c r="BC163" s="6"/>
      <c r="BD163" s="6"/>
      <c r="BE163" s="6"/>
      <c r="BF163" s="26"/>
      <c r="BG163" s="26"/>
      <c r="BH163" s="26"/>
      <c r="BI163" s="26"/>
      <c r="BJ163" s="26"/>
      <c r="BK163" s="26"/>
      <c r="BL163" s="26"/>
      <c r="BM163" s="26"/>
      <c r="BN163" s="26"/>
      <c r="BO163" s="26"/>
      <c r="BP163" s="26"/>
      <c r="BQ163" s="26"/>
      <c r="BR163" s="26"/>
      <c r="BS163" s="26"/>
      <c r="BT163" s="26"/>
      <c r="BU163" s="26"/>
      <c r="BV163" s="26"/>
      <c r="BW163" s="26"/>
      <c r="BX163" s="26"/>
      <c r="BY163" s="26"/>
      <c r="BZ163" s="26"/>
      <c r="CA163" s="26"/>
      <c r="CB163" s="26"/>
      <c r="CC163" s="26"/>
      <c r="CD163" s="26"/>
      <c r="CE163" s="26"/>
      <c r="CF163" s="26"/>
      <c r="CG163" s="26"/>
      <c r="CH163" s="26"/>
      <c r="CI163" s="26"/>
      <c r="CJ163" s="26"/>
      <c r="CK163" s="26"/>
      <c r="CL163" s="26"/>
      <c r="CM163" s="26"/>
      <c r="CN163" s="26"/>
      <c r="CO163" s="26"/>
    </row>
    <row r="164" spans="5:93" ht="12.75" hidden="1" customHeight="1" x14ac:dyDescent="0.25">
      <c r="G164" s="236" t="e">
        <f>IF(I142&gt;1,1,0)</f>
        <v>#REF!</v>
      </c>
      <c r="H164" s="236" t="e">
        <f>IF(I142&gt;=100,1,0)</f>
        <v>#REF!</v>
      </c>
      <c r="I164" s="236" t="e">
        <f>IF(H164+G164=2,100,0)</f>
        <v>#REF!</v>
      </c>
      <c r="J164" s="236">
        <v>6</v>
      </c>
      <c r="L164" s="236" t="e">
        <f>IF(L137=100,1,0)</f>
        <v>#REF!</v>
      </c>
      <c r="M164" s="236" t="e">
        <f>IF(L137&lt;=100,1,0)</f>
        <v>#REF!</v>
      </c>
      <c r="N164" s="236" t="e">
        <f>IF(M164+L164=2,O164,0)</f>
        <v>#REF!</v>
      </c>
      <c r="O164" s="237">
        <v>2</v>
      </c>
      <c r="P164" s="6"/>
      <c r="Q164" s="6"/>
      <c r="R164" s="6"/>
      <c r="S164" s="6"/>
      <c r="T164" s="6"/>
      <c r="U164" s="243">
        <f>IF(W154&gt;200,1,0)</f>
        <v>1</v>
      </c>
      <c r="V164" s="243">
        <f>IF(W154&lt;=225,1,0)</f>
        <v>0</v>
      </c>
      <c r="W164" s="243">
        <f>IF(U164+V164=2,225,0)</f>
        <v>0</v>
      </c>
      <c r="X164" s="243">
        <v>100</v>
      </c>
      <c r="Y164" s="6"/>
      <c r="Z164" s="6">
        <f>IF(Z163=0," ",Z163)</f>
        <v>200</v>
      </c>
      <c r="AA164" s="6"/>
      <c r="AB164" s="52">
        <v>175</v>
      </c>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c r="BD164" s="6"/>
      <c r="BE164" s="6"/>
      <c r="BF164" s="26"/>
      <c r="BG164" s="26"/>
      <c r="BH164" s="26"/>
      <c r="BI164" s="26"/>
      <c r="BJ164" s="26"/>
      <c r="BK164" s="26"/>
      <c r="BL164" s="26"/>
      <c r="BM164" s="26"/>
      <c r="BN164" s="26"/>
      <c r="BO164" s="26"/>
      <c r="BP164" s="26"/>
      <c r="BQ164" s="26"/>
      <c r="BR164" s="26"/>
      <c r="BS164" s="26"/>
      <c r="BT164" s="26"/>
      <c r="BU164" s="26"/>
      <c r="BV164" s="26"/>
      <c r="BW164" s="26"/>
      <c r="BX164" s="26"/>
      <c r="BY164" s="26"/>
      <c r="BZ164" s="26"/>
      <c r="CA164" s="26"/>
      <c r="CB164" s="26"/>
      <c r="CC164" s="26"/>
      <c r="CD164" s="26"/>
      <c r="CE164" s="26"/>
      <c r="CF164" s="26"/>
      <c r="CG164" s="26"/>
      <c r="CH164" s="26"/>
      <c r="CI164" s="26"/>
      <c r="CJ164" s="26"/>
      <c r="CK164" s="26"/>
      <c r="CL164" s="26"/>
      <c r="CM164" s="26"/>
      <c r="CN164" s="26"/>
      <c r="CO164" s="26"/>
    </row>
    <row r="165" spans="5:93" ht="12.75" hidden="1" customHeight="1" x14ac:dyDescent="0.25">
      <c r="E165" s="6">
        <v>1</v>
      </c>
      <c r="G165" s="236" t="e">
        <f>IF(I142&gt;100,1,0)</f>
        <v>#REF!</v>
      </c>
      <c r="H165" s="236" t="e">
        <f>IF(I142&gt;=110,1,0)</f>
        <v>#REF!</v>
      </c>
      <c r="I165" s="236" t="e">
        <f>IF(SUM(G165+H165)=2,110,0)</f>
        <v>#REF!</v>
      </c>
      <c r="J165" s="236">
        <v>4</v>
      </c>
      <c r="L165" s="236">
        <f>IF(L37=110,1,0)</f>
        <v>0</v>
      </c>
      <c r="M165" s="236" t="e">
        <f>IF(L137&lt;111,1,0)</f>
        <v>#REF!</v>
      </c>
      <c r="N165" s="238" t="e">
        <f t="shared" ref="N165:N176" si="22">IF(SUM(L165+M165)=2,O165,0)</f>
        <v>#REF!</v>
      </c>
      <c r="O165" s="239">
        <v>1</v>
      </c>
      <c r="P165" s="6"/>
      <c r="Q165" s="6"/>
      <c r="R165" s="6"/>
      <c r="S165" s="6"/>
      <c r="T165" s="6"/>
      <c r="U165" s="243">
        <f>IF(W154&gt;225,1,0)</f>
        <v>1</v>
      </c>
      <c r="V165" s="243">
        <f>IF(W154&lt;=250,1,0)</f>
        <v>0</v>
      </c>
      <c r="W165" s="243">
        <f>IF(U165+V165=2,250,0)</f>
        <v>0</v>
      </c>
      <c r="X165" s="243">
        <v>110</v>
      </c>
      <c r="Y165" s="6"/>
      <c r="Z165" s="6" t="s">
        <v>197</v>
      </c>
      <c r="AA165" s="6"/>
      <c r="AB165" s="52">
        <v>200</v>
      </c>
      <c r="AC165" s="6"/>
      <c r="AD165" s="6"/>
      <c r="AE165" s="6"/>
      <c r="AF165" s="6"/>
      <c r="AG165" s="6"/>
      <c r="AH165" s="6"/>
      <c r="AI165" s="6"/>
      <c r="AJ165" s="6"/>
      <c r="AK165" s="6"/>
      <c r="AL165" s="6"/>
      <c r="AM165" s="6"/>
      <c r="AN165" s="6"/>
      <c r="AO165" s="6"/>
      <c r="AP165" s="6"/>
      <c r="AQ165" s="6"/>
      <c r="AR165" s="6"/>
      <c r="AS165" s="6"/>
      <c r="AT165" s="6"/>
      <c r="AU165" s="6"/>
      <c r="AV165" s="6"/>
      <c r="AW165" s="6"/>
      <c r="AX165" s="6"/>
      <c r="AY165" s="6"/>
      <c r="AZ165" s="6"/>
      <c r="BA165" s="6"/>
      <c r="BB165" s="6"/>
      <c r="BC165" s="6"/>
      <c r="BD165" s="6"/>
      <c r="BE165" s="6"/>
      <c r="BF165" s="26"/>
      <c r="BG165" s="26"/>
      <c r="BH165" s="26"/>
      <c r="BI165" s="26"/>
      <c r="BJ165" s="26"/>
      <c r="BK165" s="26"/>
      <c r="BL165" s="26"/>
      <c r="BM165" s="26"/>
      <c r="BN165" s="26"/>
      <c r="BO165" s="26"/>
      <c r="BP165" s="26"/>
      <c r="BQ165" s="26"/>
      <c r="BR165" s="26"/>
      <c r="BS165" s="26"/>
      <c r="BT165" s="26"/>
      <c r="BU165" s="26"/>
      <c r="BV165" s="26"/>
      <c r="BW165" s="26"/>
      <c r="BX165" s="26"/>
      <c r="BY165" s="26"/>
      <c r="BZ165" s="26"/>
      <c r="CA165" s="26"/>
      <c r="CB165" s="26"/>
      <c r="CC165" s="26"/>
      <c r="CD165" s="26"/>
      <c r="CE165" s="26"/>
      <c r="CF165" s="26"/>
      <c r="CG165" s="26"/>
      <c r="CH165" s="26"/>
      <c r="CI165" s="26"/>
      <c r="CJ165" s="26"/>
      <c r="CK165" s="26"/>
      <c r="CL165" s="26"/>
      <c r="CM165" s="26"/>
      <c r="CN165" s="26"/>
      <c r="CO165" s="26"/>
    </row>
    <row r="166" spans="5:93" ht="12.75" hidden="1" customHeight="1" x14ac:dyDescent="0.25">
      <c r="E166" s="9">
        <f>CHOOSE(E165,0,2900,3750,4400,4700,5800,6300,8900)</f>
        <v>0</v>
      </c>
      <c r="G166" s="236" t="e">
        <f>IF(I142&gt;110,1,0)</f>
        <v>#REF!</v>
      </c>
      <c r="H166" s="236" t="e">
        <f>IF(I142&gt;=125,1,0)</f>
        <v>#REF!</v>
      </c>
      <c r="I166" s="236" t="e">
        <f>IF(G166+H166=2,125,0)</f>
        <v>#REF!</v>
      </c>
      <c r="J166" s="236">
        <v>4</v>
      </c>
      <c r="L166" s="236" t="e">
        <f>IF(L137=125,1,0)</f>
        <v>#REF!</v>
      </c>
      <c r="M166" s="236" t="e">
        <f>IF(L137&lt;126,1,0)</f>
        <v>#REF!</v>
      </c>
      <c r="N166" s="238" t="e">
        <f t="shared" si="22"/>
        <v>#REF!</v>
      </c>
      <c r="O166" s="240" t="s">
        <v>153</v>
      </c>
      <c r="P166" s="6"/>
      <c r="Q166" s="6"/>
      <c r="R166" s="6"/>
      <c r="S166" s="6"/>
      <c r="T166" s="6"/>
      <c r="U166" s="243">
        <f>IF(W154&gt;250,1,0)</f>
        <v>1</v>
      </c>
      <c r="V166" s="243">
        <f>IF(W154&lt;=300,1,0)</f>
        <v>0</v>
      </c>
      <c r="W166" s="243">
        <f>IF(U166+V166=2,300,0)</f>
        <v>0</v>
      </c>
      <c r="X166" s="243">
        <v>125</v>
      </c>
      <c r="Y166" s="6"/>
      <c r="Z166" s="6">
        <v>5</v>
      </c>
      <c r="AA166" s="6"/>
      <c r="AB166" s="52">
        <v>225</v>
      </c>
      <c r="AC166" s="6"/>
      <c r="AD166" s="6"/>
      <c r="AE166" s="6"/>
      <c r="AF166" s="6"/>
      <c r="AG166" s="6"/>
      <c r="AH166" s="6"/>
      <c r="AI166" s="6"/>
      <c r="AJ166" s="6"/>
      <c r="AK166" s="6"/>
      <c r="AL166" s="6"/>
      <c r="AM166" s="6"/>
      <c r="AN166" s="6"/>
      <c r="AO166" s="6"/>
      <c r="AP166" s="6"/>
      <c r="AQ166" s="6"/>
      <c r="AR166" s="6"/>
      <c r="AS166" s="6"/>
      <c r="AT166" s="6"/>
      <c r="AU166" s="6"/>
      <c r="AV166" s="6"/>
      <c r="AW166" s="6"/>
      <c r="AX166" s="6"/>
      <c r="AY166" s="6"/>
      <c r="AZ166" s="6"/>
      <c r="BA166" s="6"/>
      <c r="BB166" s="6"/>
      <c r="BC166" s="6"/>
      <c r="BD166" s="6"/>
      <c r="BE166" s="6"/>
      <c r="BF166" s="26"/>
      <c r="BG166" s="26"/>
      <c r="BH166" s="26"/>
      <c r="BI166" s="26"/>
      <c r="BJ166" s="26"/>
      <c r="BK166" s="26"/>
      <c r="BL166" s="26"/>
      <c r="BM166" s="26"/>
      <c r="BN166" s="26"/>
      <c r="BO166" s="26"/>
      <c r="BP166" s="26"/>
      <c r="BQ166" s="26"/>
      <c r="BR166" s="26"/>
      <c r="BS166" s="26"/>
      <c r="BT166" s="26"/>
      <c r="BU166" s="26"/>
      <c r="BV166" s="26"/>
      <c r="BW166" s="26"/>
      <c r="BX166" s="26"/>
      <c r="BY166" s="26"/>
      <c r="BZ166" s="26"/>
      <c r="CA166" s="26"/>
      <c r="CB166" s="26"/>
      <c r="CC166" s="26"/>
      <c r="CD166" s="26"/>
      <c r="CE166" s="26"/>
      <c r="CF166" s="26"/>
      <c r="CG166" s="26"/>
      <c r="CH166" s="26"/>
      <c r="CI166" s="26"/>
      <c r="CJ166" s="26"/>
      <c r="CK166" s="26"/>
      <c r="CL166" s="26"/>
      <c r="CM166" s="26"/>
      <c r="CN166" s="26"/>
      <c r="CO166" s="26"/>
    </row>
    <row r="167" spans="5:93" ht="12.75" hidden="1" customHeight="1" x14ac:dyDescent="0.25">
      <c r="E167" s="6">
        <v>1</v>
      </c>
      <c r="G167" s="236" t="e">
        <f>IF(I142&gt;125,1,0)</f>
        <v>#REF!</v>
      </c>
      <c r="H167" s="236" t="e">
        <f>IF(I142&gt;=150,1,0)</f>
        <v>#REF!</v>
      </c>
      <c r="I167" s="236" t="e">
        <f>IF(G167+H167=2,150,0)</f>
        <v>#REF!</v>
      </c>
      <c r="J167" s="236">
        <v>4</v>
      </c>
      <c r="L167" s="236" t="e">
        <f>IF(I137=150,1,0)</f>
        <v>#REF!</v>
      </c>
      <c r="M167" s="236" t="e">
        <f>IF(L137&lt;151,1,0)</f>
        <v>#REF!</v>
      </c>
      <c r="N167" s="238" t="e">
        <f t="shared" si="22"/>
        <v>#REF!</v>
      </c>
      <c r="O167" s="240" t="s">
        <v>198</v>
      </c>
      <c r="P167" s="6"/>
      <c r="Q167" s="6"/>
      <c r="R167" s="6"/>
      <c r="S167" s="6"/>
      <c r="T167" s="6"/>
      <c r="U167" s="243">
        <f>IF(W154&gt;300,1,0)</f>
        <v>1</v>
      </c>
      <c r="V167" s="243">
        <f>IF(W154&lt;=350,1,0)</f>
        <v>0</v>
      </c>
      <c r="W167" s="243">
        <f>IF(U167+V167=2,350,0)</f>
        <v>0</v>
      </c>
      <c r="X167" s="243">
        <v>150</v>
      </c>
      <c r="Y167" s="6"/>
      <c r="Z167" s="6">
        <f>CHOOSE(Z166,0,125,150,175,200,225,250,300,350,400, )</f>
        <v>200</v>
      </c>
      <c r="AA167" s="6"/>
      <c r="AB167" s="52">
        <v>250</v>
      </c>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26"/>
      <c r="BG167" s="26"/>
      <c r="BH167" s="26"/>
      <c r="BI167" s="26"/>
      <c r="BJ167" s="26"/>
      <c r="BK167" s="26"/>
      <c r="BL167" s="26"/>
      <c r="BM167" s="26"/>
      <c r="BN167" s="26"/>
      <c r="BO167" s="26"/>
      <c r="BP167" s="26"/>
      <c r="BQ167" s="26"/>
      <c r="BR167" s="26"/>
      <c r="BS167" s="26"/>
      <c r="BT167" s="26"/>
      <c r="BU167" s="26"/>
      <c r="BV167" s="26"/>
      <c r="BW167" s="26"/>
      <c r="BX167" s="26"/>
      <c r="BY167" s="26"/>
      <c r="BZ167" s="26"/>
      <c r="CA167" s="26"/>
      <c r="CB167" s="26"/>
      <c r="CC167" s="26"/>
      <c r="CD167" s="26"/>
      <c r="CE167" s="26"/>
      <c r="CF167" s="26"/>
      <c r="CG167" s="26"/>
      <c r="CH167" s="26"/>
      <c r="CI167" s="26"/>
      <c r="CJ167" s="26"/>
      <c r="CK167" s="26"/>
      <c r="CL167" s="26"/>
      <c r="CM167" s="26"/>
      <c r="CN167" s="26"/>
      <c r="CO167" s="26"/>
    </row>
    <row r="168" spans="5:93" ht="12.75" hidden="1" customHeight="1" x14ac:dyDescent="0.25">
      <c r="E168" s="9">
        <f>CHOOSE(E167,0,2900,3750,4400,4700,5800,6300,8900)</f>
        <v>0</v>
      </c>
      <c r="G168" s="236" t="e">
        <f>IF(I142&gt;150,1,0)</f>
        <v>#REF!</v>
      </c>
      <c r="H168" s="236" t="e">
        <f>IF(I142&gt;=175,1,0)</f>
        <v>#REF!</v>
      </c>
      <c r="I168" s="236" t="e">
        <f>IF(G168+H168=2,175,0)</f>
        <v>#REF!</v>
      </c>
      <c r="J168" s="236">
        <v>4</v>
      </c>
      <c r="L168" s="236" t="e">
        <f>IF(L137=175,1,0)</f>
        <v>#REF!</v>
      </c>
      <c r="M168" s="236" t="e">
        <f>IF(L137&lt;176,1,0)</f>
        <v>#REF!</v>
      </c>
      <c r="N168" s="238" t="e">
        <f t="shared" si="22"/>
        <v>#REF!</v>
      </c>
      <c r="O168" s="240" t="s">
        <v>199</v>
      </c>
      <c r="P168" s="6"/>
      <c r="Q168" s="6"/>
      <c r="R168" s="6"/>
      <c r="S168" s="6"/>
      <c r="T168" s="6"/>
      <c r="U168" s="243">
        <f>IF(W154&gt;350,1,0)</f>
        <v>1</v>
      </c>
      <c r="V168" s="243">
        <f>IF(W154&lt;=400,1,0)</f>
        <v>0</v>
      </c>
      <c r="W168" s="243">
        <f>IF(U168+V168=2,400,0)</f>
        <v>0</v>
      </c>
      <c r="X168" s="243">
        <v>175</v>
      </c>
      <c r="Y168" s="6"/>
      <c r="Z168" s="6">
        <f>IF(Z167=0," ",Z167)</f>
        <v>200</v>
      </c>
      <c r="AA168" s="6"/>
      <c r="AB168" s="52">
        <v>300</v>
      </c>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26"/>
      <c r="BG168" s="26"/>
      <c r="BH168" s="26"/>
      <c r="BI168" s="26"/>
      <c r="BJ168" s="26"/>
      <c r="BK168" s="26"/>
      <c r="BL168" s="26"/>
      <c r="BM168" s="26"/>
      <c r="BN168" s="26"/>
      <c r="BO168" s="26"/>
      <c r="BP168" s="26"/>
      <c r="BQ168" s="26"/>
      <c r="BR168" s="26"/>
      <c r="BS168" s="26"/>
      <c r="BT168" s="26"/>
      <c r="BU168" s="26"/>
      <c r="BV168" s="26"/>
      <c r="BW168" s="26"/>
      <c r="BX168" s="26"/>
      <c r="BY168" s="26"/>
      <c r="BZ168" s="26"/>
      <c r="CA168" s="26"/>
      <c r="CB168" s="26"/>
      <c r="CC168" s="26"/>
      <c r="CD168" s="26"/>
      <c r="CE168" s="26"/>
      <c r="CF168" s="26"/>
      <c r="CG168" s="26"/>
      <c r="CH168" s="26"/>
      <c r="CI168" s="26"/>
      <c r="CJ168" s="26"/>
      <c r="CK168" s="26"/>
      <c r="CL168" s="26"/>
      <c r="CM168" s="26"/>
      <c r="CN168" s="26"/>
      <c r="CO168" s="26"/>
    </row>
    <row r="169" spans="5:93" ht="12.75" hidden="1" customHeight="1" x14ac:dyDescent="0.25">
      <c r="E169" s="6">
        <v>1</v>
      </c>
      <c r="G169" s="236" t="e">
        <f>IF(I142&gt;175,1,0)</f>
        <v>#REF!</v>
      </c>
      <c r="H169" s="236" t="e">
        <f>IF(I142&gt;=200,1,0)</f>
        <v>#REF!</v>
      </c>
      <c r="I169" s="236" t="e">
        <f>IF(G169+H169=2,200,0)</f>
        <v>#REF!</v>
      </c>
      <c r="J169" s="236">
        <v>4</v>
      </c>
      <c r="L169" s="236" t="e">
        <f>IF(L137=200,1,0)</f>
        <v>#REF!</v>
      </c>
      <c r="M169" s="236" t="e">
        <f>IF(L137&lt;201,1,0)</f>
        <v>#REF!</v>
      </c>
      <c r="N169" s="238" t="e">
        <f t="shared" si="22"/>
        <v>#REF!</v>
      </c>
      <c r="O169" s="240" t="s">
        <v>200</v>
      </c>
      <c r="P169" s="6"/>
      <c r="Q169" s="6"/>
      <c r="R169" s="6"/>
      <c r="S169" s="6"/>
      <c r="T169" s="6"/>
      <c r="U169" s="243">
        <f>IF(W154&gt;400,1,0)</f>
        <v>1</v>
      </c>
      <c r="V169" s="243">
        <f>IF(W154&lt;=450,1,0)</f>
        <v>0</v>
      </c>
      <c r="W169" s="243">
        <f>IF(U169+V169=2,450,0)</f>
        <v>0</v>
      </c>
      <c r="X169" s="243">
        <v>200</v>
      </c>
      <c r="Y169" s="6"/>
      <c r="Z169" s="6"/>
      <c r="AA169" s="6"/>
      <c r="AB169" s="52">
        <v>400</v>
      </c>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c r="BD169" s="6"/>
      <c r="BE169" s="6"/>
      <c r="BF169" s="26"/>
      <c r="BG169" s="26"/>
      <c r="BH169" s="26"/>
      <c r="BI169" s="26"/>
      <c r="BJ169" s="26"/>
      <c r="BK169" s="26"/>
      <c r="BL169" s="26"/>
      <c r="BM169" s="26"/>
      <c r="BN169" s="26"/>
      <c r="BO169" s="26"/>
      <c r="BP169" s="26"/>
      <c r="BQ169" s="26"/>
      <c r="BR169" s="26"/>
      <c r="BS169" s="26"/>
      <c r="BT169" s="26"/>
      <c r="BU169" s="26"/>
      <c r="BV169" s="26"/>
      <c r="BW169" s="26"/>
      <c r="BX169" s="26"/>
      <c r="BY169" s="26"/>
      <c r="BZ169" s="26"/>
      <c r="CA169" s="26"/>
      <c r="CB169" s="26"/>
      <c r="CC169" s="26"/>
      <c r="CD169" s="26"/>
      <c r="CE169" s="26"/>
      <c r="CF169" s="26"/>
      <c r="CG169" s="26"/>
      <c r="CH169" s="26"/>
      <c r="CI169" s="26"/>
      <c r="CJ169" s="26"/>
      <c r="CK169" s="26"/>
      <c r="CL169" s="26"/>
      <c r="CM169" s="26"/>
      <c r="CN169" s="26"/>
      <c r="CO169" s="26"/>
    </row>
    <row r="170" spans="5:93" ht="12.75" hidden="1" customHeight="1" x14ac:dyDescent="0.25">
      <c r="E170" s="9">
        <f>CHOOSE(E169,0,2900,3750,4400,4700,5800,6300,8900)</f>
        <v>0</v>
      </c>
      <c r="G170" s="236" t="e">
        <f>IF(I142&gt;200,1,0)</f>
        <v>#REF!</v>
      </c>
      <c r="H170" s="236" t="e">
        <f>IF(I142&gt;=225,1,0)</f>
        <v>#REF!</v>
      </c>
      <c r="I170" s="236" t="e">
        <f>IF(G170+H170=2,225,0)</f>
        <v>#REF!</v>
      </c>
      <c r="J170" s="236">
        <v>2</v>
      </c>
      <c r="L170" s="236" t="e">
        <f>IF(L137=225,1,0)</f>
        <v>#REF!</v>
      </c>
      <c r="M170" s="236" t="e">
        <f>IF(L137&lt;226,1,0)</f>
        <v>#REF!</v>
      </c>
      <c r="N170" s="238" t="e">
        <f t="shared" si="22"/>
        <v>#REF!</v>
      </c>
      <c r="O170" s="240" t="s">
        <v>161</v>
      </c>
      <c r="P170" s="6"/>
      <c r="Q170" s="6"/>
      <c r="R170" s="6"/>
      <c r="S170" s="6"/>
      <c r="T170" s="6"/>
      <c r="U170" s="243">
        <f>IF(W154&gt;450,1,0)</f>
        <v>1</v>
      </c>
      <c r="V170" s="243">
        <f>IF(W154&lt;501,1,0)</f>
        <v>0</v>
      </c>
      <c r="W170" s="243">
        <f>IF(U170+V170=2,500,0)</f>
        <v>0</v>
      </c>
      <c r="X170" s="243">
        <v>225</v>
      </c>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c r="AX170" s="6"/>
      <c r="AY170" s="6"/>
      <c r="AZ170" s="6"/>
      <c r="BA170" s="6"/>
      <c r="BB170" s="6"/>
      <c r="BC170" s="6"/>
      <c r="BD170" s="6"/>
      <c r="BE170" s="6"/>
      <c r="BF170" s="26"/>
      <c r="BG170" s="26"/>
      <c r="BH170" s="26"/>
      <c r="BI170" s="26"/>
      <c r="BJ170" s="26"/>
      <c r="BK170" s="26"/>
      <c r="BL170" s="26"/>
      <c r="BM170" s="26"/>
      <c r="BN170" s="26"/>
      <c r="BO170" s="26"/>
      <c r="BP170" s="26"/>
      <c r="BQ170" s="26"/>
      <c r="BR170" s="26"/>
      <c r="BS170" s="26"/>
      <c r="BT170" s="26"/>
      <c r="BU170" s="26"/>
      <c r="BV170" s="26"/>
      <c r="BW170" s="26"/>
      <c r="BX170" s="26"/>
      <c r="BY170" s="26"/>
      <c r="BZ170" s="26"/>
      <c r="CA170" s="26"/>
      <c r="CB170" s="26"/>
      <c r="CC170" s="26"/>
      <c r="CD170" s="26"/>
      <c r="CE170" s="26"/>
      <c r="CF170" s="26"/>
      <c r="CG170" s="26"/>
      <c r="CH170" s="26"/>
      <c r="CI170" s="26"/>
      <c r="CJ170" s="26"/>
      <c r="CK170" s="26"/>
      <c r="CL170" s="26"/>
      <c r="CM170" s="26"/>
      <c r="CN170" s="26"/>
      <c r="CO170" s="26"/>
    </row>
    <row r="171" spans="5:93" ht="12.75" hidden="1" customHeight="1" x14ac:dyDescent="0.25">
      <c r="G171" s="236">
        <f>IF(J142&gt;225,1,0)</f>
        <v>0</v>
      </c>
      <c r="H171" s="236" t="e">
        <f>IF(I142&gt;=250,1,0)</f>
        <v>#REF!</v>
      </c>
      <c r="I171" s="236" t="e">
        <f>IF(G171+H171=2,250,0)</f>
        <v>#REF!</v>
      </c>
      <c r="J171" s="236">
        <v>2</v>
      </c>
      <c r="L171" s="236" t="e">
        <f>IF(L137=250,1,0)</f>
        <v>#REF!</v>
      </c>
      <c r="M171" s="236" t="e">
        <f>IF(L137&lt;251,1,0)</f>
        <v>#REF!</v>
      </c>
      <c r="N171" s="238" t="e">
        <f t="shared" si="22"/>
        <v>#REF!</v>
      </c>
      <c r="O171" s="240" t="s">
        <v>188</v>
      </c>
      <c r="P171" s="6"/>
      <c r="Q171" s="6"/>
      <c r="R171" s="6"/>
      <c r="S171" s="6"/>
      <c r="T171" s="6"/>
      <c r="U171" s="6"/>
      <c r="V171" s="6"/>
      <c r="W171" s="6">
        <f>SUM(W155:W170)</f>
        <v>0</v>
      </c>
      <c r="X171" s="243">
        <v>250</v>
      </c>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c r="AZ171" s="6"/>
      <c r="BA171" s="6"/>
      <c r="BB171" s="6"/>
      <c r="BC171" s="6"/>
      <c r="BD171" s="6"/>
      <c r="BE171" s="6"/>
      <c r="BF171" s="26"/>
      <c r="BG171" s="26"/>
      <c r="BH171" s="26"/>
      <c r="BI171" s="26"/>
      <c r="BJ171" s="26"/>
      <c r="BK171" s="26"/>
      <c r="BL171" s="26"/>
      <c r="BM171" s="26"/>
      <c r="BN171" s="26"/>
      <c r="BO171" s="26"/>
      <c r="BP171" s="26"/>
      <c r="BQ171" s="26"/>
      <c r="BR171" s="26"/>
      <c r="BS171" s="26"/>
      <c r="BT171" s="26"/>
      <c r="BU171" s="26"/>
      <c r="BV171" s="26"/>
      <c r="BW171" s="26"/>
      <c r="BX171" s="26"/>
      <c r="BY171" s="26"/>
      <c r="BZ171" s="26"/>
      <c r="CA171" s="26"/>
      <c r="CB171" s="26"/>
      <c r="CC171" s="26"/>
      <c r="CD171" s="26"/>
      <c r="CE171" s="26"/>
      <c r="CF171" s="26"/>
      <c r="CG171" s="26"/>
      <c r="CH171" s="26"/>
      <c r="CI171" s="26"/>
      <c r="CJ171" s="26"/>
      <c r="CK171" s="26"/>
      <c r="CL171" s="26"/>
      <c r="CM171" s="26"/>
      <c r="CN171" s="26"/>
      <c r="CO171" s="26"/>
    </row>
    <row r="172" spans="5:93" ht="12.75" hidden="1" customHeight="1" x14ac:dyDescent="0.25">
      <c r="E172" s="25" t="s">
        <v>201</v>
      </c>
      <c r="G172" s="236">
        <f>IF(J142&gt;250,1,0)</f>
        <v>0</v>
      </c>
      <c r="H172" s="236" t="e">
        <f>IF(I142&gt;=300,1,0)</f>
        <v>#REF!</v>
      </c>
      <c r="I172" s="236" t="e">
        <f>IF(G172+H172=2,300,0)</f>
        <v>#REF!</v>
      </c>
      <c r="J172" s="236">
        <v>2</v>
      </c>
      <c r="L172" s="236" t="e">
        <f>IF(L137=300,1,0)</f>
        <v>#REF!</v>
      </c>
      <c r="M172" s="236" t="e">
        <f>IF(L137&lt;301,1,0)</f>
        <v>#REF!</v>
      </c>
      <c r="N172" s="238" t="e">
        <f t="shared" si="22"/>
        <v>#REF!</v>
      </c>
      <c r="O172" s="240" t="s">
        <v>163</v>
      </c>
      <c r="P172" s="6"/>
      <c r="Q172" s="6"/>
      <c r="R172" s="6"/>
      <c r="S172" s="6"/>
      <c r="T172" s="6"/>
      <c r="U172" s="6"/>
      <c r="V172" s="6"/>
      <c r="W172" s="6"/>
      <c r="X172" s="243">
        <v>300</v>
      </c>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c r="AZ172" s="6"/>
      <c r="BA172" s="6"/>
      <c r="BB172" s="6"/>
      <c r="BC172" s="6"/>
      <c r="BD172" s="6"/>
      <c r="BE172" s="6"/>
      <c r="BF172" s="26"/>
      <c r="BG172" s="26"/>
      <c r="BH172" s="26"/>
      <c r="BI172" s="26"/>
      <c r="BJ172" s="26"/>
      <c r="BK172" s="26"/>
      <c r="BL172" s="26"/>
      <c r="BM172" s="26"/>
      <c r="BN172" s="26"/>
      <c r="BO172" s="26"/>
      <c r="BP172" s="26"/>
      <c r="BQ172" s="26"/>
      <c r="BR172" s="26"/>
      <c r="BS172" s="26"/>
      <c r="BT172" s="26"/>
      <c r="BU172" s="26"/>
      <c r="BV172" s="26"/>
      <c r="BW172" s="26"/>
      <c r="BX172" s="26"/>
      <c r="BY172" s="26"/>
      <c r="BZ172" s="26"/>
      <c r="CA172" s="26"/>
      <c r="CB172" s="26"/>
      <c r="CC172" s="26"/>
      <c r="CD172" s="26"/>
      <c r="CE172" s="26"/>
      <c r="CF172" s="26"/>
      <c r="CG172" s="26"/>
      <c r="CH172" s="26"/>
      <c r="CI172" s="26"/>
      <c r="CJ172" s="26"/>
      <c r="CK172" s="26"/>
      <c r="CL172" s="26"/>
      <c r="CM172" s="26"/>
      <c r="CN172" s="26"/>
      <c r="CO172" s="26"/>
    </row>
    <row r="173" spans="5:93" ht="12.75" hidden="1" customHeight="1" x14ac:dyDescent="0.25">
      <c r="E173" s="9" t="s">
        <v>43</v>
      </c>
      <c r="G173" s="236">
        <f>IF(J142&gt;301,1,0)</f>
        <v>0</v>
      </c>
      <c r="H173" s="236" t="e">
        <f>IF(I142&gt;=350,1,0)</f>
        <v>#REF!</v>
      </c>
      <c r="I173" s="236" t="e">
        <f>IF(G173+H173=2,350,0)</f>
        <v>#REF!</v>
      </c>
      <c r="J173" s="236">
        <v>1</v>
      </c>
      <c r="L173" s="236" t="e">
        <f>IF(L137=350,1,0)</f>
        <v>#REF!</v>
      </c>
      <c r="M173" s="236" t="e">
        <f>IF(L137&lt;351,1,0)</f>
        <v>#REF!</v>
      </c>
      <c r="N173" s="238" t="e">
        <f t="shared" si="22"/>
        <v>#REF!</v>
      </c>
      <c r="O173" s="240" t="s">
        <v>192</v>
      </c>
      <c r="P173" s="6"/>
      <c r="Q173" s="6"/>
      <c r="R173" s="6"/>
      <c r="S173" s="6"/>
      <c r="T173" s="6"/>
      <c r="U173" s="6"/>
      <c r="V173" s="6"/>
      <c r="W173" s="6"/>
      <c r="X173" s="243">
        <v>350</v>
      </c>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c r="BE173" s="6"/>
      <c r="BF173" s="26"/>
      <c r="BG173" s="26"/>
      <c r="BH173" s="26"/>
      <c r="BI173" s="26"/>
      <c r="BJ173" s="26"/>
      <c r="BK173" s="26"/>
      <c r="BL173" s="26"/>
      <c r="BM173" s="26"/>
      <c r="BN173" s="26"/>
      <c r="BO173" s="26"/>
      <c r="BP173" s="26"/>
      <c r="BQ173" s="26"/>
      <c r="BR173" s="26"/>
      <c r="BS173" s="26"/>
      <c r="BT173" s="26"/>
      <c r="BU173" s="26"/>
      <c r="BV173" s="26"/>
      <c r="BW173" s="26"/>
      <c r="BX173" s="26"/>
      <c r="BY173" s="26"/>
      <c r="BZ173" s="26"/>
      <c r="CA173" s="26"/>
      <c r="CB173" s="26"/>
      <c r="CC173" s="26"/>
      <c r="CD173" s="26"/>
      <c r="CE173" s="26"/>
      <c r="CF173" s="26"/>
      <c r="CG173" s="26"/>
      <c r="CH173" s="26"/>
      <c r="CI173" s="26"/>
      <c r="CJ173" s="26"/>
      <c r="CK173" s="26"/>
      <c r="CL173" s="26"/>
      <c r="CM173" s="26"/>
      <c r="CN173" s="26"/>
      <c r="CO173" s="26"/>
    </row>
    <row r="174" spans="5:93" ht="12.75" hidden="1" customHeight="1" x14ac:dyDescent="0.25">
      <c r="E174" s="9" t="s">
        <v>46</v>
      </c>
      <c r="G174" s="236">
        <f>IF(J142&gt;350,1,0)</f>
        <v>0</v>
      </c>
      <c r="H174" s="236" t="e">
        <f>IF(I142&gt;=400,1,0)</f>
        <v>#REF!</v>
      </c>
      <c r="I174" s="236" t="e">
        <f>IF(G174+H174=2,400,0)</f>
        <v>#REF!</v>
      </c>
      <c r="J174" s="236">
        <v>1</v>
      </c>
      <c r="L174" s="236" t="e">
        <f>IF(L137=400,1,0)</f>
        <v>#REF!</v>
      </c>
      <c r="M174" s="236" t="e">
        <f>IF(L137&lt;401,1,0)</f>
        <v>#REF!</v>
      </c>
      <c r="N174" s="238" t="e">
        <f t="shared" si="22"/>
        <v>#REF!</v>
      </c>
      <c r="O174" s="240" t="s">
        <v>202</v>
      </c>
      <c r="P174" s="6"/>
      <c r="Q174" s="6"/>
      <c r="R174" s="6"/>
      <c r="S174" s="6"/>
      <c r="T174" s="6"/>
      <c r="U174" s="6"/>
      <c r="V174" s="6"/>
      <c r="W174" s="6"/>
      <c r="X174" s="243">
        <v>400</v>
      </c>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c r="AX174" s="6"/>
      <c r="AY174" s="6"/>
      <c r="AZ174" s="6"/>
      <c r="BA174" s="6"/>
      <c r="BB174" s="6"/>
      <c r="BC174" s="6"/>
      <c r="BD174" s="6"/>
      <c r="BE174" s="6"/>
      <c r="BF174" s="26"/>
      <c r="BG174" s="26"/>
      <c r="BH174" s="26"/>
      <c r="BI174" s="26"/>
      <c r="BJ174" s="26"/>
      <c r="BK174" s="26"/>
      <c r="BL174" s="26"/>
      <c r="BM174" s="26"/>
      <c r="BN174" s="26"/>
      <c r="BO174" s="26"/>
      <c r="BP174" s="26"/>
      <c r="BQ174" s="26"/>
      <c r="BR174" s="26"/>
      <c r="BS174" s="26"/>
      <c r="BT174" s="26"/>
      <c r="BU174" s="26"/>
      <c r="BV174" s="26"/>
      <c r="BW174" s="26"/>
      <c r="BX174" s="26"/>
      <c r="BY174" s="26"/>
      <c r="BZ174" s="26"/>
      <c r="CA174" s="26"/>
      <c r="CB174" s="26"/>
      <c r="CC174" s="26"/>
      <c r="CD174" s="26"/>
      <c r="CE174" s="26"/>
      <c r="CF174" s="26"/>
      <c r="CG174" s="26"/>
      <c r="CH174" s="26"/>
      <c r="CI174" s="26"/>
      <c r="CJ174" s="26"/>
      <c r="CK174" s="26"/>
      <c r="CL174" s="26"/>
      <c r="CM174" s="26"/>
      <c r="CN174" s="26"/>
      <c r="CO174" s="26"/>
    </row>
    <row r="175" spans="5:93" ht="12.75" hidden="1" customHeight="1" x14ac:dyDescent="0.25">
      <c r="E175" s="9" t="s">
        <v>48</v>
      </c>
      <c r="G175" s="236">
        <f>IF(J142&gt;400,1,0)</f>
        <v>0</v>
      </c>
      <c r="H175" s="236" t="e">
        <f>IF(I142&gt;=450,1,0)</f>
        <v>#REF!</v>
      </c>
      <c r="I175" s="236" t="e">
        <f>IF(G175+H175=2,450,0)</f>
        <v>#REF!</v>
      </c>
      <c r="J175" s="240" t="s">
        <v>191</v>
      </c>
      <c r="L175" s="236" t="e">
        <f>IF(L137=450,1,0)</f>
        <v>#REF!</v>
      </c>
      <c r="M175" s="236" t="e">
        <f>IF(L137&lt;451,1,0)</f>
        <v>#REF!</v>
      </c>
      <c r="N175" s="238" t="e">
        <f t="shared" si="22"/>
        <v>#REF!</v>
      </c>
      <c r="O175" s="240" t="s">
        <v>203</v>
      </c>
      <c r="P175" s="6"/>
      <c r="Q175" s="6"/>
      <c r="R175" s="6"/>
      <c r="S175" s="6"/>
      <c r="T175" s="6"/>
      <c r="U175" s="6"/>
      <c r="V175" s="6"/>
      <c r="W175" s="6"/>
      <c r="X175" s="243">
        <v>450</v>
      </c>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c r="AX175" s="6"/>
      <c r="AY175" s="6"/>
      <c r="AZ175" s="6"/>
      <c r="BA175" s="6"/>
      <c r="BB175" s="6"/>
      <c r="BC175" s="6"/>
      <c r="BD175" s="6"/>
      <c r="BE175" s="6"/>
      <c r="BF175" s="26"/>
      <c r="BG175" s="26"/>
      <c r="BH175" s="26"/>
      <c r="BI175" s="26"/>
      <c r="BJ175" s="26"/>
      <c r="BK175" s="26"/>
      <c r="BL175" s="26"/>
      <c r="BM175" s="26"/>
      <c r="BN175" s="26"/>
      <c r="BO175" s="26"/>
      <c r="BP175" s="26"/>
      <c r="BQ175" s="26"/>
      <c r="BR175" s="26"/>
      <c r="BS175" s="26"/>
      <c r="BT175" s="26"/>
      <c r="BU175" s="26"/>
      <c r="BV175" s="26"/>
      <c r="BW175" s="26"/>
      <c r="BX175" s="26"/>
      <c r="BY175" s="26"/>
      <c r="BZ175" s="26"/>
      <c r="CA175" s="26"/>
      <c r="CB175" s="26"/>
      <c r="CC175" s="26"/>
      <c r="CD175" s="26"/>
      <c r="CE175" s="26"/>
      <c r="CF175" s="26"/>
      <c r="CG175" s="26"/>
      <c r="CH175" s="26"/>
      <c r="CI175" s="26"/>
      <c r="CJ175" s="26"/>
      <c r="CK175" s="26"/>
      <c r="CL175" s="26"/>
      <c r="CM175" s="26"/>
      <c r="CN175" s="26"/>
      <c r="CO175" s="26"/>
    </row>
    <row r="176" spans="5:93" ht="12.75" hidden="1" customHeight="1" x14ac:dyDescent="0.25">
      <c r="E176" s="9" t="s">
        <v>50</v>
      </c>
      <c r="G176" s="236">
        <f>IF(J142&gt;450,1,0)</f>
        <v>0</v>
      </c>
      <c r="H176" s="236" t="e">
        <f>IF(I142&gt;=500,1,0)</f>
        <v>#REF!</v>
      </c>
      <c r="I176" s="236" t="e">
        <f>IF(G176+H176=2,500,0)</f>
        <v>#REF!</v>
      </c>
      <c r="J176" s="240" t="s">
        <v>191</v>
      </c>
      <c r="L176" s="236" t="e">
        <f>IF(L137=500,1,0)</f>
        <v>#REF!</v>
      </c>
      <c r="M176" s="236" t="e">
        <f>IF(L137&lt;501,1,0)</f>
        <v>#REF!</v>
      </c>
      <c r="N176" s="238" t="e">
        <f t="shared" si="22"/>
        <v>#REF!</v>
      </c>
      <c r="O176" s="240" t="s">
        <v>204</v>
      </c>
      <c r="P176" s="6"/>
      <c r="Q176" s="6"/>
      <c r="R176" s="6"/>
      <c r="S176" s="6"/>
      <c r="T176" s="6"/>
      <c r="U176" s="6"/>
      <c r="V176" s="6"/>
      <c r="W176" s="6"/>
      <c r="X176" s="243">
        <v>500</v>
      </c>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c r="AZ176" s="6"/>
      <c r="BA176" s="6"/>
      <c r="BB176" s="6"/>
      <c r="BC176" s="6"/>
      <c r="BD176" s="6"/>
      <c r="BE176" s="6"/>
      <c r="BF176" s="26"/>
      <c r="BG176" s="26"/>
      <c r="BH176" s="26"/>
      <c r="BI176" s="26"/>
      <c r="BJ176" s="26"/>
      <c r="BK176" s="26"/>
      <c r="BL176" s="26"/>
      <c r="BM176" s="26"/>
      <c r="BN176" s="26"/>
      <c r="BO176" s="26"/>
      <c r="BP176" s="26"/>
      <c r="BQ176" s="26"/>
      <c r="BR176" s="26"/>
      <c r="BS176" s="26"/>
      <c r="BT176" s="26"/>
      <c r="BU176" s="26"/>
      <c r="BV176" s="26"/>
      <c r="BW176" s="26"/>
      <c r="BX176" s="26"/>
      <c r="BY176" s="26"/>
      <c r="BZ176" s="26"/>
      <c r="CA176" s="26"/>
      <c r="CB176" s="26"/>
      <c r="CC176" s="26"/>
      <c r="CD176" s="26"/>
      <c r="CE176" s="26"/>
      <c r="CF176" s="26"/>
      <c r="CG176" s="26"/>
      <c r="CH176" s="26"/>
      <c r="CI176" s="26"/>
      <c r="CJ176" s="26"/>
      <c r="CK176" s="26"/>
      <c r="CL176" s="26"/>
      <c r="CM176" s="26"/>
      <c r="CN176" s="26"/>
      <c r="CO176" s="26"/>
    </row>
    <row r="177" spans="5:93" ht="12.75" hidden="1" customHeight="1" x14ac:dyDescent="0.25">
      <c r="E177" s="9" t="s">
        <v>52</v>
      </c>
      <c r="G177" s="236"/>
      <c r="H177" s="236"/>
      <c r="I177" s="236"/>
      <c r="J177" s="240"/>
      <c r="L177" s="236"/>
      <c r="M177" s="236"/>
      <c r="N177" s="238"/>
      <c r="O177" s="240"/>
      <c r="P177" s="6"/>
      <c r="Q177" s="6"/>
      <c r="R177" s="6"/>
      <c r="S177" s="6"/>
      <c r="T177" s="6"/>
      <c r="U177" s="6"/>
      <c r="V177" s="6"/>
      <c r="W177" s="6"/>
      <c r="X177" s="243"/>
      <c r="Y177" s="6"/>
      <c r="Z177" s="6"/>
      <c r="AA177" s="6"/>
      <c r="BF177" s="26"/>
      <c r="BG177" s="26"/>
      <c r="BH177" s="26"/>
      <c r="BI177" s="26"/>
      <c r="BJ177" s="26"/>
      <c r="BK177" s="26"/>
      <c r="BL177" s="26"/>
      <c r="BM177" s="26"/>
      <c r="BN177" s="26"/>
      <c r="BO177" s="26"/>
      <c r="BP177" s="26"/>
      <c r="BQ177" s="26"/>
      <c r="BR177" s="26"/>
      <c r="BS177" s="26"/>
      <c r="BT177" s="26"/>
      <c r="BU177" s="26"/>
      <c r="BV177" s="26"/>
      <c r="BW177" s="26"/>
      <c r="BX177" s="26"/>
      <c r="BY177" s="26"/>
      <c r="BZ177" s="26"/>
      <c r="CA177" s="26"/>
      <c r="CB177" s="26"/>
      <c r="CC177" s="26"/>
      <c r="CD177" s="26"/>
      <c r="CE177" s="26"/>
      <c r="CF177" s="26"/>
      <c r="CG177" s="26"/>
      <c r="CH177" s="26"/>
      <c r="CI177" s="26"/>
      <c r="CJ177" s="26"/>
      <c r="CK177" s="26"/>
      <c r="CL177" s="26"/>
      <c r="CM177" s="26"/>
      <c r="CN177" s="26"/>
      <c r="CO177" s="26"/>
    </row>
    <row r="178" spans="5:93" ht="12.75" hidden="1" customHeight="1" x14ac:dyDescent="0.25">
      <c r="E178" s="9" t="s">
        <v>53</v>
      </c>
      <c r="G178" s="245" t="e">
        <f>IF(I142&lt;30,0,I178)</f>
        <v>#REF!</v>
      </c>
      <c r="H178" s="245" t="e">
        <f>SUM(H164:H177)</f>
        <v>#REF!</v>
      </c>
      <c r="I178" s="242" t="e">
        <f>CHOOSE(H178,6,4,4,4,4,4,2,2,2,1,1,"Note 1","Note 1")</f>
        <v>#REF!</v>
      </c>
      <c r="L178" s="241">
        <f>BH87</f>
        <v>0</v>
      </c>
      <c r="M178" s="242" t="e">
        <f>SUM(M164:M176)</f>
        <v>#REF!</v>
      </c>
      <c r="N178" s="242" t="e">
        <f>CHOOSE(O163,2,1,"1/0","2/0","3/0","4/0",250,300,350,500,600,"Note 1","Note 1")</f>
        <v>#REF!</v>
      </c>
      <c r="P178" s="6"/>
      <c r="Q178" s="6"/>
      <c r="R178" s="6"/>
      <c r="S178" s="6"/>
      <c r="T178" s="6"/>
      <c r="U178" s="6"/>
      <c r="V178" s="6"/>
      <c r="W178" s="6"/>
      <c r="X178" s="6"/>
      <c r="Y178" s="6"/>
      <c r="Z178" s="6"/>
      <c r="AA178" s="6"/>
      <c r="BF178" s="26"/>
      <c r="BG178" s="26"/>
      <c r="BH178" s="26"/>
      <c r="BI178" s="26"/>
      <c r="BJ178" s="26"/>
      <c r="BK178" s="26"/>
      <c r="BL178" s="26"/>
      <c r="BM178" s="26"/>
      <c r="BN178" s="26"/>
      <c r="BO178" s="26"/>
      <c r="BP178" s="26"/>
      <c r="BQ178" s="26"/>
      <c r="BR178" s="26"/>
      <c r="BS178" s="26"/>
      <c r="BT178" s="26"/>
      <c r="BU178" s="26"/>
      <c r="BV178" s="26"/>
      <c r="BW178" s="26"/>
      <c r="BX178" s="26"/>
      <c r="BY178" s="26"/>
      <c r="BZ178" s="26"/>
      <c r="CA178" s="26"/>
      <c r="CB178" s="26"/>
      <c r="CC178" s="26"/>
      <c r="CD178" s="26"/>
      <c r="CE178" s="26"/>
      <c r="CF178" s="26"/>
      <c r="CG178" s="26"/>
      <c r="CH178" s="26"/>
      <c r="CI178" s="26"/>
      <c r="CJ178" s="26"/>
      <c r="CK178" s="26"/>
      <c r="CL178" s="26"/>
      <c r="CM178" s="26"/>
      <c r="CN178" s="26"/>
      <c r="CO178" s="26"/>
    </row>
    <row r="179" spans="5:93" ht="12.75" hidden="1" customHeight="1" x14ac:dyDescent="0.25">
      <c r="E179" s="9" t="s">
        <v>21</v>
      </c>
      <c r="L179" s="9" t="s">
        <v>205</v>
      </c>
      <c r="N179" s="234">
        <f>IF(L193=0,0,N193)</f>
        <v>0</v>
      </c>
      <c r="O179" s="235">
        <f>M193</f>
        <v>0</v>
      </c>
      <c r="P179" s="6"/>
      <c r="Q179" s="6"/>
      <c r="R179" s="6"/>
      <c r="S179" s="6"/>
      <c r="T179" s="6"/>
      <c r="U179" s="6" t="s">
        <v>171</v>
      </c>
      <c r="V179" s="6"/>
      <c r="W179" s="6"/>
      <c r="X179" s="6"/>
      <c r="Y179" s="6"/>
      <c r="Z179" s="6"/>
      <c r="AA179" s="6"/>
      <c r="BF179" s="26"/>
      <c r="BG179" s="26"/>
      <c r="BH179" s="26"/>
      <c r="BI179" s="26"/>
      <c r="BJ179" s="26"/>
      <c r="BK179" s="26"/>
      <c r="BL179" s="26"/>
      <c r="BM179" s="26"/>
      <c r="BN179" s="26"/>
      <c r="BO179" s="26"/>
      <c r="BP179" s="26"/>
      <c r="BQ179" s="26"/>
      <c r="BR179" s="26"/>
      <c r="BS179" s="26"/>
      <c r="BT179" s="26"/>
      <c r="BU179" s="26"/>
      <c r="BV179" s="26"/>
      <c r="BW179" s="26"/>
      <c r="BX179" s="26"/>
      <c r="BY179" s="26"/>
      <c r="BZ179" s="26"/>
      <c r="CA179" s="26"/>
      <c r="CB179" s="26"/>
      <c r="CC179" s="26"/>
      <c r="CD179" s="26"/>
      <c r="CE179" s="26"/>
      <c r="CF179" s="26"/>
      <c r="CG179" s="26"/>
      <c r="CH179" s="26"/>
      <c r="CI179" s="26"/>
      <c r="CJ179" s="26"/>
      <c r="CK179" s="26"/>
      <c r="CL179" s="26"/>
      <c r="CM179" s="26"/>
      <c r="CN179" s="26"/>
      <c r="CO179" s="26"/>
    </row>
    <row r="180" spans="5:93" ht="12.75" hidden="1" customHeight="1" x14ac:dyDescent="0.25">
      <c r="E180" s="6"/>
      <c r="L180" s="236">
        <f>IF(L193&gt;1,1,0)</f>
        <v>0</v>
      </c>
      <c r="M180" s="236">
        <f>IF(L193&lt;=65,1,0)</f>
        <v>1</v>
      </c>
      <c r="N180" s="236">
        <f>IF(M180+L180=2,O180,0)</f>
        <v>0</v>
      </c>
      <c r="O180" s="236">
        <v>4</v>
      </c>
      <c r="P180" s="6"/>
      <c r="Q180" s="6"/>
      <c r="R180" s="6"/>
      <c r="S180" s="6"/>
      <c r="T180" s="6"/>
      <c r="U180" s="243">
        <f>IF(U193&gt;1,1,0)</f>
        <v>0</v>
      </c>
      <c r="V180" s="243">
        <f>IF(U193&gt;=100,1,0)</f>
        <v>0</v>
      </c>
      <c r="W180" s="243">
        <f>IF(V180+U180=2,100,0)</f>
        <v>0</v>
      </c>
      <c r="X180" s="243">
        <v>8</v>
      </c>
      <c r="Y180" s="6"/>
      <c r="Z180" s="6"/>
      <c r="AA180" s="6"/>
      <c r="BF180" s="26"/>
      <c r="BG180" s="26"/>
      <c r="BH180" s="26"/>
      <c r="BI180" s="26"/>
      <c r="BJ180" s="26"/>
      <c r="BK180" s="26"/>
      <c r="BL180" s="26"/>
      <c r="BM180" s="26"/>
      <c r="BN180" s="26"/>
      <c r="BO180" s="26"/>
      <c r="BP180" s="26"/>
      <c r="BQ180" s="26"/>
      <c r="BR180" s="26"/>
      <c r="BS180" s="26"/>
      <c r="BT180" s="26"/>
      <c r="BU180" s="26"/>
      <c r="BV180" s="26"/>
      <c r="BW180" s="26"/>
      <c r="BX180" s="26"/>
      <c r="BY180" s="26"/>
      <c r="BZ180" s="26"/>
      <c r="CA180" s="26"/>
      <c r="CB180" s="26"/>
      <c r="CC180" s="26"/>
      <c r="CD180" s="26"/>
      <c r="CE180" s="26"/>
      <c r="CF180" s="26"/>
      <c r="CG180" s="26"/>
      <c r="CH180" s="26"/>
      <c r="CI180" s="26"/>
      <c r="CJ180" s="26"/>
      <c r="CK180" s="26"/>
      <c r="CL180" s="26"/>
      <c r="CM180" s="26"/>
      <c r="CN180" s="26"/>
      <c r="CO180" s="26"/>
    </row>
    <row r="181" spans="5:93" ht="12.75" hidden="1" customHeight="1" x14ac:dyDescent="0.25">
      <c r="G181" s="9" t="s">
        <v>206</v>
      </c>
      <c r="L181" s="236">
        <f>IF(L193&gt;65,1,0)</f>
        <v>0</v>
      </c>
      <c r="M181" s="236">
        <f>IF(L193&lt;=75,1,0)</f>
        <v>1</v>
      </c>
      <c r="N181" s="236">
        <f>IF(SUM(L181+M181)=2,O181,0)</f>
        <v>0</v>
      </c>
      <c r="O181" s="236">
        <v>3</v>
      </c>
      <c r="P181" s="6"/>
      <c r="Q181" s="6"/>
      <c r="R181" s="6"/>
      <c r="S181" s="6"/>
      <c r="T181" s="6"/>
      <c r="U181" s="243">
        <f>IF(U193&gt;100,1,0)</f>
        <v>0</v>
      </c>
      <c r="V181" s="243">
        <f>IF(U193&gt;=110,1,0)</f>
        <v>0</v>
      </c>
      <c r="W181" s="243">
        <f>IF(SUM(U181+V181)=2,110,0)</f>
        <v>0</v>
      </c>
      <c r="X181" s="243">
        <v>6</v>
      </c>
      <c r="Y181" s="6"/>
      <c r="Z181" s="6"/>
      <c r="AA181" s="6"/>
      <c r="BF181" s="26"/>
      <c r="BG181" s="26"/>
      <c r="BH181" s="26"/>
      <c r="BI181" s="26"/>
      <c r="BJ181" s="26"/>
      <c r="BK181" s="26"/>
      <c r="BL181" s="26"/>
      <c r="BM181" s="26"/>
      <c r="BN181" s="26"/>
      <c r="BO181" s="26"/>
      <c r="BP181" s="26"/>
      <c r="BQ181" s="26"/>
      <c r="BR181" s="26"/>
      <c r="BS181" s="26"/>
      <c r="BT181" s="26"/>
      <c r="BU181" s="26"/>
      <c r="BV181" s="26"/>
      <c r="BW181" s="26"/>
      <c r="BX181" s="26"/>
      <c r="BY181" s="26"/>
      <c r="BZ181" s="26"/>
      <c r="CA181" s="26"/>
      <c r="CB181" s="26"/>
      <c r="CC181" s="26"/>
      <c r="CD181" s="26"/>
      <c r="CE181" s="26"/>
      <c r="CF181" s="26"/>
      <c r="CG181" s="26"/>
      <c r="CH181" s="26"/>
      <c r="CI181" s="26"/>
      <c r="CJ181" s="26"/>
      <c r="CK181" s="26"/>
      <c r="CL181" s="26"/>
      <c r="CM181" s="26"/>
      <c r="CN181" s="26"/>
      <c r="CO181" s="26"/>
    </row>
    <row r="182" spans="5:93" ht="12.75" hidden="1" customHeight="1" x14ac:dyDescent="0.25">
      <c r="E182" s="25" t="s">
        <v>207</v>
      </c>
      <c r="G182" s="247"/>
      <c r="H182" s="247">
        <v>0</v>
      </c>
      <c r="I182" s="247">
        <f>IF(E122,E31,0)</f>
        <v>0</v>
      </c>
      <c r="L182" s="236">
        <f>IF(L193&gt;75,1,0)</f>
        <v>0</v>
      </c>
      <c r="M182" s="236">
        <f>IF(L193&lt;=90,1,0)</f>
        <v>1</v>
      </c>
      <c r="N182" s="236">
        <f>IF(L182+M182=2,O182,0)</f>
        <v>0</v>
      </c>
      <c r="O182" s="236">
        <v>2</v>
      </c>
      <c r="P182" s="6"/>
      <c r="Q182" s="6"/>
      <c r="R182" s="6"/>
      <c r="S182" s="6"/>
      <c r="T182" s="6"/>
      <c r="U182" s="243">
        <f>IF(U193&gt;110,1,0)</f>
        <v>0</v>
      </c>
      <c r="V182" s="243">
        <f>IF(U193&gt;=125,1,0)</f>
        <v>0</v>
      </c>
      <c r="W182" s="243">
        <f>IF(U182+V182=2,125,0)</f>
        <v>0</v>
      </c>
      <c r="X182" s="243">
        <v>6</v>
      </c>
      <c r="Y182" s="6"/>
      <c r="Z182" s="6"/>
      <c r="AA182" s="6"/>
      <c r="BF182" s="26"/>
      <c r="BG182" s="26"/>
      <c r="BH182" s="26"/>
      <c r="BI182" s="26"/>
      <c r="BJ182" s="26"/>
      <c r="BK182" s="26"/>
      <c r="BL182" s="26"/>
      <c r="BM182" s="26"/>
      <c r="BN182" s="26"/>
      <c r="BO182" s="26"/>
      <c r="BP182" s="26"/>
      <c r="BQ182" s="26"/>
      <c r="BR182" s="26"/>
      <c r="BS182" s="26"/>
      <c r="BT182" s="26"/>
      <c r="BU182" s="26"/>
      <c r="BV182" s="26"/>
      <c r="BW182" s="26"/>
      <c r="BX182" s="26"/>
      <c r="BY182" s="26"/>
      <c r="BZ182" s="26"/>
      <c r="CA182" s="26"/>
      <c r="CB182" s="26"/>
      <c r="CC182" s="26"/>
      <c r="CD182" s="26"/>
      <c r="CE182" s="26"/>
      <c r="CF182" s="26"/>
      <c r="CG182" s="26"/>
      <c r="CH182" s="26"/>
      <c r="CI182" s="26"/>
      <c r="CJ182" s="26"/>
      <c r="CK182" s="26"/>
      <c r="CL182" s="26"/>
      <c r="CM182" s="26"/>
      <c r="CN182" s="26"/>
      <c r="CO182" s="26"/>
    </row>
    <row r="183" spans="5:93" ht="12.75" hidden="1" customHeight="1" x14ac:dyDescent="0.25">
      <c r="E183" s="9" t="s">
        <v>43</v>
      </c>
      <c r="G183" s="247"/>
      <c r="H183" s="247">
        <f>IF(E123,H27,0)</f>
        <v>0</v>
      </c>
      <c r="I183" s="247">
        <f>IF(E123,E27,0)</f>
        <v>0</v>
      </c>
      <c r="L183" s="236">
        <f>IF(L193&gt;90,1,0)</f>
        <v>0</v>
      </c>
      <c r="M183" s="236">
        <f>IF(L193&lt;=100,1,0)</f>
        <v>1</v>
      </c>
      <c r="N183" s="236">
        <f>IF(L183+M183=2,1,0)</f>
        <v>0</v>
      </c>
      <c r="O183" s="236">
        <v>1</v>
      </c>
      <c r="P183" s="6"/>
      <c r="Q183" s="6"/>
      <c r="R183" s="6"/>
      <c r="S183" s="6"/>
      <c r="T183" s="6"/>
      <c r="U183" s="243">
        <f>IF(U193&gt;125,1,0)</f>
        <v>0</v>
      </c>
      <c r="V183" s="243">
        <f>IF(U193&gt;=150,1,0)</f>
        <v>0</v>
      </c>
      <c r="W183" s="243">
        <f>IF(U183+V183=2,150,0)</f>
        <v>0</v>
      </c>
      <c r="X183" s="243">
        <v>6</v>
      </c>
      <c r="Y183" s="6"/>
      <c r="Z183" s="6"/>
      <c r="AA183" s="6"/>
      <c r="BF183" s="26"/>
      <c r="BG183" s="26"/>
      <c r="BH183" s="26"/>
      <c r="BI183" s="26"/>
      <c r="BJ183" s="26"/>
      <c r="BK183" s="26"/>
      <c r="BL183" s="26"/>
      <c r="BM183" s="26"/>
      <c r="BN183" s="26"/>
      <c r="BO183" s="26"/>
      <c r="BP183" s="26"/>
      <c r="BQ183" s="26"/>
      <c r="BR183" s="26"/>
      <c r="BS183" s="26"/>
      <c r="BT183" s="26"/>
      <c r="BU183" s="26"/>
      <c r="BV183" s="26"/>
      <c r="BW183" s="26"/>
      <c r="BX183" s="26"/>
      <c r="BY183" s="26"/>
      <c r="BZ183" s="26"/>
      <c r="CA183" s="26"/>
      <c r="CB183" s="26"/>
      <c r="CC183" s="26"/>
      <c r="CD183" s="26"/>
      <c r="CE183" s="26"/>
      <c r="CF183" s="26"/>
      <c r="CG183" s="26"/>
      <c r="CH183" s="26"/>
      <c r="CI183" s="26"/>
      <c r="CJ183" s="26"/>
      <c r="CK183" s="26"/>
      <c r="CL183" s="26"/>
      <c r="CM183" s="26"/>
      <c r="CN183" s="26"/>
      <c r="CO183" s="26"/>
    </row>
    <row r="184" spans="5:93" ht="12.75" hidden="1" customHeight="1" x14ac:dyDescent="0.25">
      <c r="E184" s="9" t="s">
        <v>46</v>
      </c>
      <c r="G184" s="247">
        <f t="shared" ref="G184:G185" si="23">IF(E131,H38,0)</f>
        <v>0</v>
      </c>
      <c r="H184" s="247">
        <f t="shared" ref="H184:H185" si="24">IF(E124,H29,0)</f>
        <v>0</v>
      </c>
      <c r="I184" s="247">
        <f t="shared" ref="I184:I185" si="25">IF(E124,E29,0)</f>
        <v>0</v>
      </c>
      <c r="L184" s="236">
        <f>IF(L193&gt;100,1,0)</f>
        <v>0</v>
      </c>
      <c r="M184" s="236">
        <f>IF(L193&lt;=120,1,0)</f>
        <v>1</v>
      </c>
      <c r="N184" s="236">
        <f t="shared" ref="N184:N192" si="26">IF(L184+M184=2,O184,0)</f>
        <v>0</v>
      </c>
      <c r="O184" s="240" t="s">
        <v>153</v>
      </c>
      <c r="P184" s="6"/>
      <c r="Q184" s="6"/>
      <c r="R184" s="6"/>
      <c r="S184" s="6"/>
      <c r="T184" s="6"/>
      <c r="U184" s="243">
        <f>IF(U193&gt;150,1,0)</f>
        <v>0</v>
      </c>
      <c r="V184" s="243">
        <f>IF(U193&gt;=175,1,0)</f>
        <v>0</v>
      </c>
      <c r="W184" s="243">
        <f>IF(U184+V184=2,175,0)</f>
        <v>0</v>
      </c>
      <c r="X184" s="243">
        <v>6</v>
      </c>
      <c r="Y184" s="6"/>
      <c r="Z184" s="6"/>
      <c r="AA184" s="6"/>
      <c r="BF184" s="26"/>
      <c r="BG184" s="26"/>
      <c r="BH184" s="26"/>
      <c r="BI184" s="26"/>
      <c r="BJ184" s="26"/>
      <c r="BK184" s="26"/>
      <c r="BL184" s="26"/>
      <c r="BM184" s="26"/>
      <c r="BN184" s="26"/>
      <c r="BO184" s="26"/>
      <c r="BP184" s="26"/>
      <c r="BQ184" s="26"/>
      <c r="BR184" s="26"/>
      <c r="BS184" s="26"/>
      <c r="BT184" s="26"/>
      <c r="BU184" s="26"/>
      <c r="BV184" s="26"/>
      <c r="BW184" s="26"/>
      <c r="BX184" s="26"/>
      <c r="BY184" s="26"/>
      <c r="BZ184" s="26"/>
      <c r="CA184" s="26"/>
      <c r="CB184" s="26"/>
      <c r="CC184" s="26"/>
      <c r="CD184" s="26"/>
      <c r="CE184" s="26"/>
      <c r="CF184" s="26"/>
      <c r="CG184" s="26"/>
      <c r="CH184" s="26"/>
      <c r="CI184" s="26"/>
      <c r="CJ184" s="26"/>
      <c r="CK184" s="26"/>
      <c r="CL184" s="26"/>
      <c r="CM184" s="26"/>
      <c r="CN184" s="26"/>
      <c r="CO184" s="26"/>
    </row>
    <row r="185" spans="5:93" ht="12.75" hidden="1" customHeight="1" x14ac:dyDescent="0.25">
      <c r="E185" s="9" t="s">
        <v>48</v>
      </c>
      <c r="G185" s="247">
        <f t="shared" si="23"/>
        <v>0</v>
      </c>
      <c r="H185" s="247">
        <f t="shared" si="24"/>
        <v>0</v>
      </c>
      <c r="I185" s="247">
        <f t="shared" si="25"/>
        <v>0</v>
      </c>
      <c r="L185" s="236">
        <f>IF(L193&gt;120,1,0)</f>
        <v>0</v>
      </c>
      <c r="M185" s="236">
        <f>IF(L193&lt;=135,1,0)</f>
        <v>1</v>
      </c>
      <c r="N185" s="236">
        <f t="shared" si="26"/>
        <v>0</v>
      </c>
      <c r="O185" s="240" t="s">
        <v>198</v>
      </c>
      <c r="P185" s="6"/>
      <c r="Q185" s="6"/>
      <c r="R185" s="6"/>
      <c r="S185" s="6"/>
      <c r="T185" s="6"/>
      <c r="U185" s="243">
        <f>IF(U193&gt;175,1,0)</f>
        <v>0</v>
      </c>
      <c r="V185" s="243">
        <f>IF(U193&gt;=200,1,0)</f>
        <v>0</v>
      </c>
      <c r="W185" s="243">
        <f>IF(U185+V185=2,200,0)</f>
        <v>0</v>
      </c>
      <c r="X185" s="243">
        <v>6</v>
      </c>
      <c r="Y185" s="6"/>
      <c r="Z185" s="6"/>
      <c r="AA185" s="6"/>
      <c r="BF185" s="26"/>
      <c r="BG185" s="26"/>
      <c r="BH185" s="26"/>
      <c r="BI185" s="26"/>
      <c r="BJ185" s="26"/>
      <c r="BK185" s="26"/>
      <c r="BL185" s="26"/>
      <c r="BM185" s="26"/>
      <c r="BN185" s="26"/>
      <c r="BO185" s="26"/>
      <c r="BP185" s="26"/>
      <c r="BQ185" s="26"/>
      <c r="BR185" s="26"/>
      <c r="BS185" s="26"/>
      <c r="BT185" s="26"/>
      <c r="BU185" s="26"/>
      <c r="BV185" s="26"/>
      <c r="BW185" s="26"/>
      <c r="BX185" s="26"/>
      <c r="BY185" s="26"/>
      <c r="BZ185" s="26"/>
      <c r="CA185" s="26"/>
      <c r="CB185" s="26"/>
      <c r="CC185" s="26"/>
      <c r="CD185" s="26"/>
      <c r="CE185" s="26"/>
      <c r="CF185" s="26"/>
      <c r="CG185" s="26"/>
      <c r="CH185" s="26"/>
      <c r="CI185" s="26"/>
      <c r="CJ185" s="26"/>
      <c r="CK185" s="26"/>
      <c r="CL185" s="26"/>
      <c r="CM185" s="26"/>
      <c r="CN185" s="26"/>
      <c r="CO185" s="26"/>
    </row>
    <row r="186" spans="5:93" ht="12.75" hidden="1" customHeight="1" x14ac:dyDescent="0.25">
      <c r="E186" s="9" t="s">
        <v>50</v>
      </c>
      <c r="G186" s="247">
        <f>SUM(G184:G185)</f>
        <v>0</v>
      </c>
      <c r="H186" s="247">
        <f t="shared" ref="H186:H188" si="27">IF(E126,H32,0)</f>
        <v>0</v>
      </c>
      <c r="I186" s="247">
        <f t="shared" ref="I186:I188" si="28">IF(E126,E32,0)</f>
        <v>0</v>
      </c>
      <c r="L186" s="236">
        <f>IF(L193&gt;135,1,0)</f>
        <v>0</v>
      </c>
      <c r="M186" s="236">
        <f>IF(L193&lt;=155,1,0)</f>
        <v>1</v>
      </c>
      <c r="N186" s="236">
        <f t="shared" si="26"/>
        <v>0</v>
      </c>
      <c r="O186" s="240" t="s">
        <v>199</v>
      </c>
      <c r="P186" s="6"/>
      <c r="Q186" s="6"/>
      <c r="R186" s="6"/>
      <c r="S186" s="6"/>
      <c r="T186" s="6"/>
      <c r="U186" s="243">
        <f>IF(U193&gt;200,1,0)</f>
        <v>0</v>
      </c>
      <c r="V186" s="243">
        <f>IF(U193&gt;=225,1,0)</f>
        <v>0</v>
      </c>
      <c r="W186" s="243">
        <f>IF(U186+V186=2,225,0)</f>
        <v>0</v>
      </c>
      <c r="X186" s="243">
        <v>6</v>
      </c>
      <c r="Y186" s="6"/>
      <c r="Z186" s="6"/>
      <c r="AA186" s="6"/>
      <c r="BF186" s="26"/>
      <c r="BG186" s="26"/>
      <c r="BH186" s="26"/>
      <c r="BI186" s="26"/>
      <c r="BJ186" s="26"/>
      <c r="BK186" s="26"/>
      <c r="BL186" s="26"/>
      <c r="BM186" s="26"/>
      <c r="BN186" s="26"/>
      <c r="BO186" s="26"/>
      <c r="BP186" s="26"/>
      <c r="BQ186" s="26"/>
      <c r="BR186" s="26"/>
      <c r="BS186" s="26"/>
      <c r="BT186" s="26"/>
      <c r="BU186" s="26"/>
      <c r="BV186" s="26"/>
      <c r="BW186" s="26"/>
      <c r="BX186" s="26"/>
      <c r="BY186" s="26"/>
      <c r="BZ186" s="26"/>
      <c r="CA186" s="26"/>
      <c r="CB186" s="26"/>
      <c r="CC186" s="26"/>
      <c r="CD186" s="26"/>
      <c r="CE186" s="26"/>
      <c r="CF186" s="26"/>
      <c r="CG186" s="26"/>
      <c r="CH186" s="26"/>
      <c r="CI186" s="26"/>
      <c r="CJ186" s="26"/>
      <c r="CK186" s="26"/>
      <c r="CL186" s="26"/>
      <c r="CM186" s="26"/>
      <c r="CN186" s="26"/>
      <c r="CO186" s="26"/>
    </row>
    <row r="187" spans="5:93" ht="12.75" hidden="1" customHeight="1" x14ac:dyDescent="0.25">
      <c r="E187" s="9" t="s">
        <v>52</v>
      </c>
      <c r="G187" s="247"/>
      <c r="H187" s="247">
        <f t="shared" si="27"/>
        <v>0</v>
      </c>
      <c r="I187" s="247">
        <f t="shared" si="28"/>
        <v>0</v>
      </c>
      <c r="L187" s="236">
        <f>IF(L193&gt;155,1,0)</f>
        <v>0</v>
      </c>
      <c r="M187" s="236">
        <f>IF(L193&lt;=180,1,0)</f>
        <v>1</v>
      </c>
      <c r="N187" s="236">
        <f t="shared" si="26"/>
        <v>0</v>
      </c>
      <c r="O187" s="240" t="s">
        <v>200</v>
      </c>
      <c r="P187" s="6"/>
      <c r="Q187" s="6"/>
      <c r="R187" s="6"/>
      <c r="S187" s="6"/>
      <c r="T187" s="6"/>
      <c r="U187" s="243">
        <f>IF(U193&gt;225,1,0)</f>
        <v>0</v>
      </c>
      <c r="V187" s="243">
        <f>IF(U193&gt;=250,1,0)</f>
        <v>0</v>
      </c>
      <c r="W187" s="243">
        <f>IF(U187+V187=2,250,0)</f>
        <v>0</v>
      </c>
      <c r="X187" s="243">
        <v>6</v>
      </c>
      <c r="Y187" s="6"/>
      <c r="Z187" s="6"/>
      <c r="AA187" s="6"/>
      <c r="BF187" s="26"/>
      <c r="BG187" s="26"/>
      <c r="BH187" s="26"/>
      <c r="BI187" s="26"/>
      <c r="BJ187" s="26"/>
      <c r="BK187" s="26"/>
      <c r="BL187" s="26"/>
      <c r="BM187" s="26"/>
      <c r="BN187" s="26"/>
      <c r="BO187" s="26"/>
      <c r="BP187" s="26"/>
      <c r="BQ187" s="26"/>
      <c r="BR187" s="26"/>
      <c r="BS187" s="26"/>
      <c r="BT187" s="26"/>
      <c r="BU187" s="26"/>
      <c r="BV187" s="26"/>
      <c r="BW187" s="26"/>
      <c r="BX187" s="26"/>
      <c r="BY187" s="26"/>
      <c r="BZ187" s="26"/>
      <c r="CA187" s="26"/>
      <c r="CB187" s="26"/>
      <c r="CC187" s="26"/>
      <c r="CD187" s="26"/>
      <c r="CE187" s="26"/>
      <c r="CF187" s="26"/>
      <c r="CG187" s="26"/>
      <c r="CH187" s="26"/>
      <c r="CI187" s="26"/>
      <c r="CJ187" s="26"/>
      <c r="CK187" s="26"/>
      <c r="CL187" s="26"/>
      <c r="CM187" s="26"/>
      <c r="CN187" s="26"/>
      <c r="CO187" s="26"/>
    </row>
    <row r="188" spans="5:93" ht="12.75" hidden="1" customHeight="1" x14ac:dyDescent="0.25">
      <c r="E188" s="9" t="s">
        <v>53</v>
      </c>
      <c r="G188" s="247"/>
      <c r="H188" s="247">
        <f t="shared" si="27"/>
        <v>0</v>
      </c>
      <c r="I188" s="247">
        <f t="shared" si="28"/>
        <v>0</v>
      </c>
      <c r="L188" s="236">
        <f>IF(L193&gt;=180,1,0)</f>
        <v>0</v>
      </c>
      <c r="M188" s="236">
        <f>IF(L193&lt;=205,1,0)</f>
        <v>1</v>
      </c>
      <c r="N188" s="236">
        <f t="shared" si="26"/>
        <v>0</v>
      </c>
      <c r="O188" s="236">
        <v>250</v>
      </c>
      <c r="P188" s="6"/>
      <c r="Q188" s="6"/>
      <c r="R188" s="6"/>
      <c r="S188" s="6"/>
      <c r="T188" s="6"/>
      <c r="U188" s="243">
        <f>IF(U193&gt;250,1,0)</f>
        <v>0</v>
      </c>
      <c r="V188" s="243">
        <f>IF(U193&gt;=300,1,0)</f>
        <v>0</v>
      </c>
      <c r="W188" s="243">
        <f>IF(U188+V188=2,300,0)</f>
        <v>0</v>
      </c>
      <c r="X188" s="243">
        <v>4</v>
      </c>
      <c r="Y188" s="6"/>
      <c r="Z188" s="6"/>
      <c r="AA188" s="6"/>
      <c r="BF188" s="26"/>
      <c r="BG188" s="26"/>
      <c r="BH188" s="26"/>
      <c r="BI188" s="26"/>
      <c r="BJ188" s="26"/>
      <c r="BK188" s="26"/>
      <c r="BL188" s="26"/>
      <c r="BM188" s="26"/>
      <c r="BN188" s="26"/>
      <c r="BO188" s="26"/>
      <c r="BP188" s="26"/>
      <c r="BQ188" s="26"/>
      <c r="BR188" s="26"/>
      <c r="BS188" s="26"/>
      <c r="BT188" s="26"/>
      <c r="BU188" s="26"/>
      <c r="BV188" s="26"/>
      <c r="BW188" s="26"/>
      <c r="BX188" s="26"/>
      <c r="BY188" s="26"/>
      <c r="BZ188" s="26"/>
      <c r="CA188" s="26"/>
      <c r="CB188" s="26"/>
      <c r="CC188" s="26"/>
      <c r="CD188" s="26"/>
      <c r="CE188" s="26"/>
      <c r="CF188" s="26"/>
      <c r="CG188" s="26"/>
      <c r="CH188" s="26"/>
      <c r="CI188" s="26"/>
      <c r="CJ188" s="26"/>
      <c r="CK188" s="26"/>
      <c r="CL188" s="26"/>
      <c r="CM188" s="26"/>
      <c r="CN188" s="26"/>
      <c r="CO188" s="26"/>
    </row>
    <row r="189" spans="5:93" ht="12.75" hidden="1" customHeight="1" x14ac:dyDescent="0.25">
      <c r="E189" s="9" t="s">
        <v>21</v>
      </c>
      <c r="G189" s="247"/>
      <c r="H189" s="247">
        <f t="shared" ref="H189:H190" si="29">IF(E129,H38,0)</f>
        <v>0</v>
      </c>
      <c r="I189" s="247">
        <f t="shared" ref="I189:I190" si="30">IF(E129,E38,0)</f>
        <v>0</v>
      </c>
      <c r="L189" s="236">
        <f>IF(L193&gt;205,1,0)</f>
        <v>0</v>
      </c>
      <c r="M189" s="236">
        <f>IF(L193&lt;=230,1,0)</f>
        <v>1</v>
      </c>
      <c r="N189" s="236">
        <f t="shared" si="26"/>
        <v>0</v>
      </c>
      <c r="O189" s="236">
        <v>300</v>
      </c>
      <c r="P189" s="6"/>
      <c r="Q189" s="6"/>
      <c r="R189" s="6"/>
      <c r="S189" s="6"/>
      <c r="T189" s="6"/>
      <c r="U189" s="243">
        <f>IF(U193&gt;301,1,0)</f>
        <v>0</v>
      </c>
      <c r="V189" s="243">
        <f>IF(U193&gt;=350,1,0)</f>
        <v>0</v>
      </c>
      <c r="W189" s="243">
        <f>IF(U189+V189=2,350,0)</f>
        <v>0</v>
      </c>
      <c r="X189" s="243">
        <v>4</v>
      </c>
      <c r="Y189" s="6"/>
      <c r="Z189" s="6"/>
      <c r="AA189" s="6"/>
      <c r="BF189" s="26"/>
      <c r="BG189" s="26"/>
      <c r="BH189" s="26"/>
      <c r="BI189" s="26"/>
      <c r="BJ189" s="26"/>
      <c r="BK189" s="26"/>
      <c r="BL189" s="26"/>
      <c r="BM189" s="26"/>
      <c r="BN189" s="26"/>
      <c r="BO189" s="26"/>
      <c r="BP189" s="26"/>
      <c r="BQ189" s="26"/>
      <c r="BR189" s="26"/>
      <c r="BS189" s="26"/>
      <c r="BT189" s="26"/>
      <c r="BU189" s="26"/>
      <c r="BV189" s="26"/>
      <c r="BW189" s="26"/>
      <c r="BX189" s="26"/>
      <c r="BY189" s="26"/>
      <c r="BZ189" s="26"/>
      <c r="CA189" s="26"/>
      <c r="CB189" s="26"/>
      <c r="CC189" s="26"/>
      <c r="CD189" s="26"/>
      <c r="CE189" s="26"/>
      <c r="CF189" s="26"/>
      <c r="CG189" s="26"/>
      <c r="CH189" s="26"/>
      <c r="CI189" s="26"/>
      <c r="CJ189" s="26"/>
      <c r="CK189" s="26"/>
      <c r="CL189" s="26"/>
      <c r="CM189" s="26"/>
      <c r="CN189" s="26"/>
      <c r="CO189" s="26"/>
    </row>
    <row r="190" spans="5:93" ht="12.75" hidden="1" customHeight="1" x14ac:dyDescent="0.25">
      <c r="G190" s="247"/>
      <c r="H190" s="247">
        <f t="shared" si="29"/>
        <v>0</v>
      </c>
      <c r="I190" s="247">
        <f t="shared" si="30"/>
        <v>0</v>
      </c>
      <c r="L190" s="236">
        <f>IF(L193&gt;230,1,0)</f>
        <v>0</v>
      </c>
      <c r="M190" s="236">
        <f>IF(L193&lt;=250,1,0)</f>
        <v>1</v>
      </c>
      <c r="N190" s="236">
        <f t="shared" si="26"/>
        <v>0</v>
      </c>
      <c r="O190" s="236">
        <v>350</v>
      </c>
      <c r="P190" s="6"/>
      <c r="Q190" s="6"/>
      <c r="R190" s="6"/>
      <c r="S190" s="6"/>
      <c r="T190" s="6"/>
      <c r="U190" s="243">
        <f>IF(U193&gt;350,1,0)</f>
        <v>0</v>
      </c>
      <c r="V190" s="243">
        <f>IF(U193&gt;=400,1,0)</f>
        <v>0</v>
      </c>
      <c r="W190" s="243">
        <f>IF(U190+V190=2,400,0)</f>
        <v>0</v>
      </c>
      <c r="X190" s="243">
        <v>3</v>
      </c>
      <c r="Y190" s="6"/>
      <c r="Z190" s="6"/>
      <c r="AA190" s="6"/>
      <c r="BF190" s="26"/>
      <c r="BG190" s="26"/>
      <c r="BH190" s="26"/>
      <c r="BI190" s="26"/>
      <c r="BJ190" s="26"/>
      <c r="BK190" s="26"/>
      <c r="BL190" s="26"/>
      <c r="BM190" s="26"/>
      <c r="BN190" s="26"/>
      <c r="BO190" s="26"/>
      <c r="BP190" s="26"/>
      <c r="BQ190" s="26"/>
      <c r="BR190" s="26"/>
      <c r="BS190" s="26"/>
      <c r="BT190" s="26"/>
      <c r="BU190" s="26"/>
      <c r="BV190" s="26"/>
      <c r="BW190" s="26"/>
      <c r="BX190" s="26"/>
      <c r="BY190" s="26"/>
      <c r="BZ190" s="26"/>
      <c r="CA190" s="26"/>
      <c r="CB190" s="26"/>
      <c r="CC190" s="26"/>
      <c r="CD190" s="26"/>
      <c r="CE190" s="26"/>
      <c r="CF190" s="26"/>
      <c r="CG190" s="26"/>
      <c r="CH190" s="26"/>
      <c r="CI190" s="26"/>
      <c r="CJ190" s="26"/>
      <c r="CK190" s="26"/>
      <c r="CL190" s="26"/>
      <c r="CM190" s="26"/>
      <c r="CN190" s="26"/>
      <c r="CO190" s="26"/>
    </row>
    <row r="191" spans="5:93" ht="12.75" hidden="1" customHeight="1" x14ac:dyDescent="0.25">
      <c r="E191" s="150">
        <f>SUM(E20+E21+E22+E23+E24+E25+E26+E27+E28+E31+E32+E33+E34)</f>
        <v>0</v>
      </c>
      <c r="G191" s="247">
        <f>COUNTIF(E122:E130,TRUE)</f>
        <v>0</v>
      </c>
      <c r="H191" s="247">
        <f t="shared" ref="H191:I191" si="31">SUM(H182:H190)</f>
        <v>0</v>
      </c>
      <c r="I191" s="247">
        <f t="shared" si="31"/>
        <v>0</v>
      </c>
      <c r="L191" s="236">
        <f>IF(L193&gt;250,1,0)</f>
        <v>0</v>
      </c>
      <c r="M191" s="236">
        <f>IF(L193&lt;=270,1,0)</f>
        <v>1</v>
      </c>
      <c r="N191" s="236">
        <f t="shared" si="26"/>
        <v>0</v>
      </c>
      <c r="O191" s="236">
        <v>400</v>
      </c>
      <c r="P191" s="6"/>
      <c r="Q191" s="6"/>
      <c r="R191" s="6"/>
      <c r="S191" s="6"/>
      <c r="T191" s="6"/>
      <c r="U191" s="243">
        <f>IF(U193&gt;400,1,0)</f>
        <v>0</v>
      </c>
      <c r="V191" s="243">
        <f>IF(U193&gt;=450,1,0)</f>
        <v>0</v>
      </c>
      <c r="W191" s="243">
        <f>IF(U191+V191=2,450,0)</f>
        <v>0</v>
      </c>
      <c r="X191" s="243">
        <v>3</v>
      </c>
      <c r="Y191" s="6"/>
      <c r="Z191" s="6"/>
      <c r="AA191" s="6"/>
      <c r="BF191" s="26"/>
      <c r="BG191" s="26"/>
      <c r="BH191" s="26"/>
      <c r="BI191" s="26"/>
      <c r="BJ191" s="26"/>
      <c r="BK191" s="26"/>
      <c r="BL191" s="26"/>
      <c r="BM191" s="26"/>
      <c r="BN191" s="26"/>
      <c r="BO191" s="26"/>
      <c r="BP191" s="26"/>
      <c r="BQ191" s="26"/>
      <c r="BR191" s="26"/>
      <c r="BS191" s="26"/>
      <c r="BT191" s="26"/>
      <c r="BU191" s="26"/>
      <c r="BV191" s="26"/>
      <c r="BW191" s="26"/>
      <c r="BX191" s="26"/>
      <c r="BY191" s="26"/>
      <c r="BZ191" s="26"/>
      <c r="CA191" s="26"/>
      <c r="CB191" s="26"/>
      <c r="CC191" s="26"/>
      <c r="CD191" s="26"/>
      <c r="CE191" s="26"/>
      <c r="CF191" s="26"/>
      <c r="CG191" s="26"/>
      <c r="CH191" s="26"/>
      <c r="CI191" s="26"/>
      <c r="CJ191" s="26"/>
      <c r="CK191" s="26"/>
      <c r="CL191" s="26"/>
      <c r="CM191" s="26"/>
      <c r="CN191" s="26"/>
      <c r="CO191" s="26"/>
    </row>
    <row r="192" spans="5:93" ht="12.75" hidden="1" customHeight="1" x14ac:dyDescent="0.25">
      <c r="G192" s="247"/>
      <c r="H192" s="247"/>
      <c r="I192" s="247"/>
      <c r="L192" s="236">
        <f>IF(L193&gt;270,1,0)</f>
        <v>0</v>
      </c>
      <c r="M192" s="236">
        <f>IF(L193&lt;=310,1,0)</f>
        <v>1</v>
      </c>
      <c r="N192" s="236">
        <f t="shared" si="26"/>
        <v>0</v>
      </c>
      <c r="O192" s="236">
        <v>500</v>
      </c>
      <c r="P192" s="6"/>
      <c r="Q192" s="6"/>
      <c r="R192" s="6"/>
      <c r="S192" s="6"/>
      <c r="T192" s="6"/>
      <c r="U192" s="243">
        <f>IF(U193&gt;450,1,0)</f>
        <v>0</v>
      </c>
      <c r="V192" s="243">
        <f>IF(U193&gt;=500,1,0)</f>
        <v>0</v>
      </c>
      <c r="W192" s="243">
        <f>IF(U192+V192=2,500,0)</f>
        <v>0</v>
      </c>
      <c r="X192" s="243">
        <v>2</v>
      </c>
      <c r="Y192" s="6"/>
      <c r="Z192" s="6"/>
      <c r="AA192" s="6"/>
      <c r="BF192" s="26"/>
      <c r="BG192" s="26"/>
      <c r="BH192" s="26"/>
      <c r="BI192" s="26"/>
      <c r="BJ192" s="26"/>
      <c r="BK192" s="26"/>
      <c r="BL192" s="26"/>
      <c r="BM192" s="26"/>
      <c r="BN192" s="26"/>
      <c r="BO192" s="26"/>
      <c r="BP192" s="26"/>
      <c r="BQ192" s="26"/>
      <c r="BR192" s="26"/>
      <c r="BS192" s="26"/>
      <c r="BT192" s="26"/>
      <c r="BU192" s="26"/>
      <c r="BV192" s="26"/>
      <c r="BW192" s="26"/>
      <c r="BX192" s="26"/>
      <c r="BY192" s="26"/>
      <c r="BZ192" s="26"/>
      <c r="CA192" s="26"/>
      <c r="CB192" s="26"/>
      <c r="CC192" s="26"/>
      <c r="CD192" s="26"/>
      <c r="CE192" s="26"/>
      <c r="CF192" s="26"/>
      <c r="CG192" s="26"/>
      <c r="CH192" s="26"/>
      <c r="CI192" s="26"/>
      <c r="CJ192" s="26"/>
      <c r="CK192" s="26"/>
      <c r="CL192" s="26"/>
      <c r="CM192" s="26"/>
      <c r="CN192" s="26"/>
      <c r="CO192" s="26"/>
    </row>
    <row r="193" spans="3:93" ht="12.75" hidden="1" customHeight="1" x14ac:dyDescent="0.25">
      <c r="E193" s="9">
        <f t="shared" ref="E193:E196" si="32">IF(I46=0,0,1)</f>
        <v>0</v>
      </c>
      <c r="G193" s="247"/>
      <c r="H193" s="247"/>
      <c r="I193" s="247"/>
      <c r="L193" s="150">
        <f>L160</f>
        <v>0</v>
      </c>
      <c r="M193" s="242">
        <f>SUM(L180:L192)</f>
        <v>0</v>
      </c>
      <c r="N193" s="242" t="e">
        <f>CHOOSE(O179,4,3,2,1,"1/0","2/0","3/0","4/0",250,300,350,400,500)</f>
        <v>#VALUE!</v>
      </c>
      <c r="O193" s="9">
        <f>IF(Y147,N163,M193)</f>
        <v>0</v>
      </c>
      <c r="P193" s="6"/>
      <c r="Q193" s="6"/>
      <c r="R193" s="6"/>
      <c r="S193" s="6"/>
      <c r="T193" s="6"/>
      <c r="U193" s="246">
        <f>BE4</f>
        <v>0</v>
      </c>
      <c r="V193" s="246">
        <f>SUM(V180:V192)</f>
        <v>0</v>
      </c>
      <c r="W193" s="243" t="e">
        <f>CHOOSE(V193,8,6,6,6,6,6,6,4,4,3,3,2)</f>
        <v>#VALUE!</v>
      </c>
      <c r="X193" s="6"/>
      <c r="Y193" s="6"/>
      <c r="Z193" s="6"/>
      <c r="AA193" s="6"/>
      <c r="BF193" s="26"/>
      <c r="BG193" s="26"/>
      <c r="BH193" s="26"/>
      <c r="BI193" s="26"/>
      <c r="BJ193" s="26"/>
      <c r="BK193" s="26"/>
      <c r="BL193" s="26"/>
      <c r="BM193" s="26"/>
      <c r="BN193" s="26"/>
      <c r="BO193" s="26"/>
      <c r="BP193" s="26"/>
      <c r="BQ193" s="26"/>
      <c r="BR193" s="26"/>
      <c r="BS193" s="26"/>
      <c r="BT193" s="26"/>
      <c r="BU193" s="26"/>
      <c r="BV193" s="26"/>
      <c r="BW193" s="26"/>
      <c r="BX193" s="26"/>
      <c r="BY193" s="26"/>
      <c r="BZ193" s="26"/>
      <c r="CA193" s="26"/>
      <c r="CB193" s="26"/>
      <c r="CC193" s="26"/>
      <c r="CD193" s="26"/>
      <c r="CE193" s="26"/>
      <c r="CF193" s="26"/>
      <c r="CG193" s="26"/>
      <c r="CH193" s="26"/>
      <c r="CI193" s="26"/>
      <c r="CJ193" s="26"/>
      <c r="CK193" s="26"/>
      <c r="CL193" s="26"/>
      <c r="CM193" s="26"/>
      <c r="CN193" s="26"/>
      <c r="CO193" s="26"/>
    </row>
    <row r="194" spans="3:93" ht="12.75" hidden="1" customHeight="1" x14ac:dyDescent="0.25">
      <c r="E194" s="9">
        <f t="shared" si="32"/>
        <v>0</v>
      </c>
      <c r="P194" s="6"/>
      <c r="Q194" s="6"/>
      <c r="R194" s="6"/>
      <c r="S194" s="6"/>
      <c r="T194" s="6"/>
      <c r="U194" s="6"/>
      <c r="V194" s="6"/>
      <c r="W194" s="6"/>
      <c r="X194" s="6"/>
      <c r="Y194" s="6"/>
      <c r="Z194" s="6"/>
      <c r="AA194" s="6"/>
      <c r="BF194" s="26"/>
      <c r="BG194" s="26"/>
      <c r="BH194" s="26"/>
      <c r="BI194" s="26"/>
      <c r="BJ194" s="26"/>
      <c r="BK194" s="26"/>
      <c r="BL194" s="26"/>
      <c r="BM194" s="26"/>
      <c r="BN194" s="26"/>
      <c r="BO194" s="26"/>
      <c r="BP194" s="26"/>
      <c r="BQ194" s="26"/>
      <c r="BR194" s="26"/>
      <c r="BS194" s="26"/>
      <c r="BT194" s="26"/>
      <c r="BU194" s="26"/>
      <c r="BV194" s="26"/>
      <c r="BW194" s="26"/>
      <c r="BX194" s="26"/>
      <c r="BY194" s="26"/>
      <c r="BZ194" s="26"/>
      <c r="CA194" s="26"/>
      <c r="CB194" s="26"/>
      <c r="CC194" s="26"/>
      <c r="CD194" s="26"/>
      <c r="CE194" s="26"/>
      <c r="CF194" s="26"/>
      <c r="CG194" s="26"/>
      <c r="CH194" s="26"/>
      <c r="CI194" s="26"/>
      <c r="CJ194" s="26"/>
      <c r="CK194" s="26"/>
      <c r="CL194" s="26"/>
      <c r="CM194" s="26"/>
      <c r="CN194" s="26"/>
      <c r="CO194" s="26"/>
    </row>
    <row r="195" spans="3:93" ht="12.75" hidden="1" customHeight="1" x14ac:dyDescent="0.25">
      <c r="E195" s="9">
        <f t="shared" si="32"/>
        <v>0</v>
      </c>
      <c r="P195" s="6"/>
      <c r="Q195" s="6"/>
      <c r="R195" s="6"/>
      <c r="S195" s="6"/>
      <c r="T195" s="6"/>
      <c r="U195" s="6" t="s">
        <v>195</v>
      </c>
      <c r="V195" s="6"/>
      <c r="W195" s="6"/>
      <c r="X195" s="6">
        <f>BS38</f>
        <v>0</v>
      </c>
      <c r="Y195" s="6"/>
      <c r="Z195" s="6"/>
      <c r="AA195" s="6"/>
      <c r="BF195" s="26"/>
      <c r="BG195" s="26"/>
      <c r="BH195" s="26"/>
      <c r="BI195" s="26"/>
      <c r="BJ195" s="26"/>
      <c r="BK195" s="26"/>
      <c r="BL195" s="26"/>
      <c r="BM195" s="26"/>
      <c r="BN195" s="26"/>
      <c r="BO195" s="26"/>
      <c r="BP195" s="26"/>
      <c r="BQ195" s="26"/>
      <c r="BR195" s="26"/>
      <c r="BS195" s="26"/>
      <c r="BT195" s="26"/>
      <c r="BU195" s="26"/>
      <c r="BV195" s="26"/>
      <c r="BW195" s="26"/>
      <c r="BX195" s="26"/>
      <c r="BY195" s="26"/>
      <c r="BZ195" s="26"/>
      <c r="CA195" s="26"/>
      <c r="CB195" s="26"/>
      <c r="CC195" s="26"/>
      <c r="CD195" s="26"/>
      <c r="CE195" s="26"/>
      <c r="CF195" s="26"/>
      <c r="CG195" s="26"/>
      <c r="CH195" s="26"/>
      <c r="CI195" s="26"/>
      <c r="CJ195" s="26"/>
      <c r="CK195" s="26"/>
      <c r="CL195" s="26"/>
      <c r="CM195" s="26"/>
      <c r="CN195" s="26"/>
      <c r="CO195" s="26"/>
    </row>
    <row r="196" spans="3:93" ht="12.75" hidden="1" customHeight="1" x14ac:dyDescent="0.25">
      <c r="E196" s="9">
        <f t="shared" si="32"/>
        <v>0</v>
      </c>
      <c r="G196" s="9" t="s">
        <v>208</v>
      </c>
      <c r="P196" s="6"/>
      <c r="Q196" s="6"/>
      <c r="R196" s="6"/>
      <c r="S196" s="6"/>
      <c r="T196" s="6"/>
      <c r="U196" s="243">
        <f>IF(U209&gt;1,1,0)</f>
        <v>0</v>
      </c>
      <c r="V196" s="243">
        <f>IF(U209&gt;=100,1,0)</f>
        <v>0</v>
      </c>
      <c r="W196" s="243">
        <f>IF(V196+U196=2,100,0)</f>
        <v>0</v>
      </c>
      <c r="X196" s="243">
        <v>6</v>
      </c>
      <c r="Y196" s="6"/>
      <c r="Z196" s="6"/>
      <c r="AA196" s="6"/>
      <c r="BF196" s="26"/>
      <c r="BG196" s="26"/>
      <c r="BH196" s="26"/>
      <c r="BI196" s="26"/>
      <c r="BJ196" s="26"/>
      <c r="BK196" s="26"/>
      <c r="BL196" s="26"/>
      <c r="BM196" s="26"/>
      <c r="BN196" s="26"/>
      <c r="BO196" s="26"/>
      <c r="BP196" s="26"/>
      <c r="BQ196" s="26"/>
      <c r="BR196" s="26"/>
      <c r="BS196" s="26"/>
      <c r="BT196" s="26"/>
      <c r="BU196" s="26"/>
      <c r="BV196" s="26"/>
      <c r="BW196" s="26"/>
      <c r="BX196" s="26"/>
      <c r="BY196" s="26"/>
      <c r="BZ196" s="26"/>
      <c r="CA196" s="26"/>
      <c r="CB196" s="26"/>
      <c r="CC196" s="26"/>
      <c r="CD196" s="26"/>
      <c r="CE196" s="26"/>
      <c r="CF196" s="26"/>
      <c r="CG196" s="26"/>
      <c r="CH196" s="26"/>
      <c r="CI196" s="26"/>
      <c r="CJ196" s="26"/>
      <c r="CK196" s="26"/>
      <c r="CL196" s="26"/>
      <c r="CM196" s="26"/>
      <c r="CN196" s="26"/>
      <c r="CO196" s="26"/>
    </row>
    <row r="197" spans="3:93" ht="12.75" hidden="1" customHeight="1" x14ac:dyDescent="0.25">
      <c r="E197" s="9">
        <f>SUM(E193:E196)</f>
        <v>0</v>
      </c>
      <c r="G197" s="248">
        <v>1</v>
      </c>
      <c r="H197" s="9" t="s">
        <v>209</v>
      </c>
      <c r="P197" s="6"/>
      <c r="Q197" s="6"/>
      <c r="R197" s="6"/>
      <c r="S197" s="6"/>
      <c r="T197" s="6"/>
      <c r="U197" s="243">
        <f>IF(U209&gt;100,1,0)</f>
        <v>0</v>
      </c>
      <c r="V197" s="243">
        <f>IF(U209&gt;=110,1,0)</f>
        <v>0</v>
      </c>
      <c r="W197" s="243">
        <f>IF(SUM(U197+V197)=2,110,0)</f>
        <v>0</v>
      </c>
      <c r="X197" s="243">
        <v>4</v>
      </c>
      <c r="Y197" s="6"/>
      <c r="Z197" s="6"/>
      <c r="AA197" s="6"/>
      <c r="BF197" s="26"/>
      <c r="BG197" s="26"/>
      <c r="BH197" s="26"/>
      <c r="BI197" s="26"/>
      <c r="BJ197" s="26"/>
      <c r="BK197" s="26"/>
      <c r="BL197" s="26"/>
      <c r="BM197" s="26"/>
      <c r="BN197" s="26"/>
      <c r="BO197" s="26"/>
      <c r="BP197" s="26"/>
      <c r="BQ197" s="26"/>
      <c r="BR197" s="26"/>
      <c r="BS197" s="26"/>
      <c r="BT197" s="26"/>
      <c r="BU197" s="26"/>
      <c r="BV197" s="26"/>
      <c r="BW197" s="26"/>
      <c r="BX197" s="26"/>
      <c r="BY197" s="26"/>
      <c r="BZ197" s="26"/>
      <c r="CA197" s="26"/>
      <c r="CB197" s="26"/>
      <c r="CC197" s="26"/>
      <c r="CD197" s="26"/>
      <c r="CE197" s="26"/>
      <c r="CF197" s="26"/>
      <c r="CG197" s="26"/>
      <c r="CH197" s="26"/>
      <c r="CI197" s="26"/>
      <c r="CJ197" s="26"/>
      <c r="CK197" s="26"/>
      <c r="CL197" s="26"/>
      <c r="CM197" s="26"/>
      <c r="CN197" s="26"/>
      <c r="CO197" s="26"/>
    </row>
    <row r="198" spans="3:93" ht="12.75" hidden="1" customHeight="1" x14ac:dyDescent="0.25">
      <c r="G198" s="25">
        <f>SUM(H20:H39)</f>
        <v>0</v>
      </c>
      <c r="H198" s="25">
        <f>SUM(G198-H29-H30)*0.75+H29+H30</f>
        <v>0</v>
      </c>
      <c r="P198" s="6"/>
      <c r="Q198" s="6"/>
      <c r="R198" s="6"/>
      <c r="S198" s="6"/>
      <c r="T198" s="6"/>
      <c r="U198" s="243">
        <f>IF(U209&gt;110,1,0)</f>
        <v>0</v>
      </c>
      <c r="V198" s="243">
        <f>IF(U209&gt;=125,1,0)</f>
        <v>0</v>
      </c>
      <c r="W198" s="243">
        <f>IF(U198+V198=2,125,0)</f>
        <v>0</v>
      </c>
      <c r="X198" s="243">
        <v>4</v>
      </c>
      <c r="Y198" s="6"/>
      <c r="Z198" s="6"/>
      <c r="AA198" s="6"/>
      <c r="BF198" s="26"/>
      <c r="BG198" s="26"/>
      <c r="BH198" s="26"/>
      <c r="BI198" s="26"/>
      <c r="BJ198" s="26"/>
      <c r="BK198" s="26"/>
      <c r="BL198" s="26"/>
      <c r="BM198" s="26"/>
      <c r="BN198" s="26"/>
      <c r="BO198" s="26"/>
      <c r="BP198" s="26"/>
      <c r="BQ198" s="26"/>
      <c r="BR198" s="26"/>
      <c r="BS198" s="26"/>
      <c r="BT198" s="26"/>
      <c r="BU198" s="26"/>
      <c r="BV198" s="26"/>
      <c r="BW198" s="26"/>
      <c r="BX198" s="26"/>
      <c r="BY198" s="26"/>
      <c r="BZ198" s="26"/>
      <c r="CA198" s="26"/>
      <c r="CB198" s="26"/>
      <c r="CC198" s="26"/>
      <c r="CD198" s="26"/>
      <c r="CE198" s="26"/>
      <c r="CF198" s="26"/>
      <c r="CG198" s="26"/>
      <c r="CH198" s="26"/>
      <c r="CI198" s="26"/>
      <c r="CJ198" s="26"/>
      <c r="CK198" s="26"/>
      <c r="CL198" s="26"/>
      <c r="CM198" s="26"/>
      <c r="CN198" s="26"/>
      <c r="CO198" s="26"/>
    </row>
    <row r="199" spans="3:93" ht="12.75" hidden="1" customHeight="1" x14ac:dyDescent="0.25">
      <c r="C199" s="249" t="s">
        <v>210</v>
      </c>
      <c r="D199" s="249"/>
      <c r="E199" s="25">
        <f t="shared" ref="E199:E200" si="33">IF(E131,H38,0)</f>
        <v>0</v>
      </c>
      <c r="F199" s="250">
        <f t="shared" ref="F199:F200" si="34">IF(E131,0,H38)</f>
        <v>0</v>
      </c>
      <c r="P199" s="6"/>
      <c r="Q199" s="6"/>
      <c r="R199" s="6"/>
      <c r="S199" s="6"/>
      <c r="T199" s="6"/>
      <c r="U199" s="243">
        <f>IF(U209&gt;125,1,0)</f>
        <v>0</v>
      </c>
      <c r="V199" s="243">
        <f>IF(U209&gt;=150,1,0)</f>
        <v>0</v>
      </c>
      <c r="W199" s="243">
        <f>IF(U199+V199=2,150,0)</f>
        <v>0</v>
      </c>
      <c r="X199" s="243">
        <v>4</v>
      </c>
      <c r="Y199" s="6"/>
      <c r="Z199" s="6"/>
      <c r="AA199" s="6"/>
      <c r="BF199" s="26"/>
      <c r="BG199" s="26"/>
      <c r="BH199" s="26"/>
      <c r="BI199" s="26"/>
      <c r="BJ199" s="26"/>
      <c r="BK199" s="26"/>
      <c r="BL199" s="26"/>
      <c r="BM199" s="26"/>
      <c r="BN199" s="26"/>
      <c r="BO199" s="26"/>
      <c r="BP199" s="26"/>
      <c r="BQ199" s="26"/>
      <c r="BR199" s="26"/>
      <c r="BS199" s="26"/>
      <c r="BT199" s="26"/>
      <c r="BU199" s="26"/>
      <c r="BV199" s="26"/>
      <c r="BW199" s="26"/>
      <c r="BX199" s="26"/>
      <c r="BY199" s="26"/>
      <c r="BZ199" s="26"/>
      <c r="CA199" s="26"/>
      <c r="CB199" s="26"/>
      <c r="CC199" s="26"/>
      <c r="CD199" s="26"/>
      <c r="CE199" s="26"/>
      <c r="CF199" s="26"/>
      <c r="CG199" s="26"/>
      <c r="CH199" s="26"/>
      <c r="CI199" s="26"/>
      <c r="CJ199" s="26"/>
      <c r="CK199" s="26"/>
      <c r="CL199" s="26"/>
      <c r="CM199" s="26"/>
      <c r="CN199" s="26"/>
      <c r="CO199" s="26"/>
    </row>
    <row r="200" spans="3:93" ht="12.75" hidden="1" customHeight="1" x14ac:dyDescent="0.25">
      <c r="C200" s="249" t="s">
        <v>211</v>
      </c>
      <c r="D200" s="249"/>
      <c r="E200" s="25">
        <f t="shared" si="33"/>
        <v>0</v>
      </c>
      <c r="F200" s="250">
        <f t="shared" si="34"/>
        <v>0</v>
      </c>
      <c r="P200" s="6"/>
      <c r="Q200" s="6"/>
      <c r="R200" s="6"/>
      <c r="S200" s="6"/>
      <c r="T200" s="6"/>
      <c r="U200" s="243">
        <f>IF(U209&gt;150,1,0)</f>
        <v>0</v>
      </c>
      <c r="V200" s="243">
        <f>IF(U209&gt;=175,1,0)</f>
        <v>0</v>
      </c>
      <c r="W200" s="243">
        <f>IF(U200+V200=2,175,0)</f>
        <v>0</v>
      </c>
      <c r="X200" s="243">
        <v>4</v>
      </c>
      <c r="Y200" s="6"/>
      <c r="Z200" s="6"/>
      <c r="AA200" s="6"/>
      <c r="BF200" s="26"/>
      <c r="BG200" s="26"/>
      <c r="BH200" s="26"/>
      <c r="BI200" s="26"/>
      <c r="BJ200" s="26"/>
      <c r="BK200" s="26"/>
      <c r="BL200" s="26"/>
      <c r="BM200" s="26"/>
      <c r="BN200" s="26"/>
      <c r="BO200" s="26"/>
      <c r="BP200" s="26"/>
      <c r="BQ200" s="26"/>
      <c r="BR200" s="26"/>
      <c r="BS200" s="26"/>
      <c r="BT200" s="26"/>
      <c r="BU200" s="26"/>
      <c r="BV200" s="26"/>
      <c r="BW200" s="26"/>
      <c r="BX200" s="26"/>
      <c r="BY200" s="26"/>
      <c r="BZ200" s="26"/>
      <c r="CA200" s="26"/>
      <c r="CB200" s="26"/>
      <c r="CC200" s="26"/>
      <c r="CD200" s="26"/>
      <c r="CE200" s="26"/>
      <c r="CF200" s="26"/>
      <c r="CG200" s="26"/>
      <c r="CH200" s="26"/>
      <c r="CI200" s="26"/>
      <c r="CJ200" s="26"/>
      <c r="CK200" s="26"/>
      <c r="CL200" s="26"/>
      <c r="CM200" s="26"/>
      <c r="CN200" s="26"/>
      <c r="CO200" s="26"/>
    </row>
    <row r="201" spans="3:93" ht="12.75" hidden="1" customHeight="1" x14ac:dyDescent="0.25">
      <c r="G201" s="52"/>
      <c r="H201" s="52" t="s">
        <v>212</v>
      </c>
      <c r="I201" s="52"/>
      <c r="P201" s="6"/>
      <c r="Q201" s="6"/>
      <c r="R201" s="6"/>
      <c r="S201" s="6"/>
      <c r="T201" s="6"/>
      <c r="U201" s="243">
        <f>IF(U209&gt;175,1,0)</f>
        <v>0</v>
      </c>
      <c r="V201" s="243">
        <f>IF(U209&gt;=200,1,0)</f>
        <v>0</v>
      </c>
      <c r="W201" s="243">
        <f>IF(U201+V201=2,200,0)</f>
        <v>0</v>
      </c>
      <c r="X201" s="243">
        <v>4</v>
      </c>
      <c r="Y201" s="6"/>
      <c r="Z201" s="6"/>
      <c r="AA201" s="6"/>
      <c r="BF201" s="26"/>
      <c r="BG201" s="26"/>
      <c r="BH201" s="26"/>
      <c r="BI201" s="26"/>
      <c r="BJ201" s="26"/>
      <c r="BK201" s="26"/>
      <c r="BL201" s="26"/>
      <c r="BM201" s="26"/>
      <c r="BN201" s="26"/>
      <c r="BO201" s="26"/>
      <c r="BP201" s="26"/>
      <c r="BQ201" s="26"/>
      <c r="BR201" s="26"/>
      <c r="BS201" s="26"/>
      <c r="BT201" s="26"/>
      <c r="BU201" s="26"/>
      <c r="BV201" s="26"/>
      <c r="BW201" s="26"/>
      <c r="BX201" s="26"/>
      <c r="BY201" s="26"/>
      <c r="BZ201" s="26"/>
      <c r="CA201" s="26"/>
      <c r="CB201" s="26"/>
      <c r="CC201" s="26"/>
      <c r="CD201" s="26"/>
      <c r="CE201" s="26"/>
      <c r="CF201" s="26"/>
      <c r="CG201" s="26"/>
      <c r="CH201" s="26"/>
      <c r="CI201" s="26"/>
      <c r="CJ201" s="26"/>
      <c r="CK201" s="26"/>
      <c r="CL201" s="26"/>
      <c r="CM201" s="26"/>
      <c r="CN201" s="26"/>
      <c r="CO201" s="26"/>
    </row>
    <row r="202" spans="3:93" ht="12.75" hidden="1" customHeight="1" x14ac:dyDescent="0.25">
      <c r="J202" s="9" t="s">
        <v>213</v>
      </c>
      <c r="P202" s="6"/>
      <c r="Q202" s="6"/>
      <c r="R202" s="6"/>
      <c r="S202" s="6"/>
      <c r="T202" s="6"/>
      <c r="U202" s="243">
        <f>IF(U209&gt;200,1,0)</f>
        <v>0</v>
      </c>
      <c r="V202" s="243">
        <f>IF(U209&gt;=225,1,0)</f>
        <v>0</v>
      </c>
      <c r="W202" s="243">
        <f>IF(U202+V202=2,225,0)</f>
        <v>0</v>
      </c>
      <c r="X202" s="243">
        <v>2</v>
      </c>
      <c r="Y202" s="6"/>
      <c r="Z202" s="6"/>
      <c r="AA202" s="6"/>
      <c r="BF202" s="26"/>
      <c r="BG202" s="26"/>
      <c r="BH202" s="26"/>
      <c r="BI202" s="26"/>
      <c r="BJ202" s="26"/>
      <c r="BK202" s="26"/>
      <c r="BL202" s="26"/>
      <c r="BM202" s="26"/>
      <c r="BN202" s="26"/>
      <c r="BO202" s="26"/>
      <c r="BP202" s="26"/>
      <c r="BQ202" s="26"/>
      <c r="BR202" s="26"/>
      <c r="BS202" s="26"/>
      <c r="BT202" s="26"/>
      <c r="BU202" s="26"/>
      <c r="BV202" s="26"/>
      <c r="BW202" s="26"/>
      <c r="BX202" s="26"/>
      <c r="BY202" s="26"/>
      <c r="BZ202" s="26"/>
      <c r="CA202" s="26"/>
      <c r="CB202" s="26"/>
      <c r="CC202" s="26"/>
      <c r="CD202" s="26"/>
      <c r="CE202" s="26"/>
      <c r="CF202" s="26"/>
      <c r="CG202" s="26"/>
      <c r="CH202" s="26"/>
      <c r="CI202" s="26"/>
      <c r="CJ202" s="26"/>
      <c r="CK202" s="26"/>
      <c r="CL202" s="26"/>
      <c r="CM202" s="26"/>
      <c r="CN202" s="26"/>
      <c r="CO202" s="26"/>
    </row>
    <row r="203" spans="3:93" ht="12.75" hidden="1" customHeight="1" x14ac:dyDescent="0.25">
      <c r="G203" s="9" t="s">
        <v>143</v>
      </c>
      <c r="I203" s="150">
        <f>IF(Y147,BE4,I117)</f>
        <v>0</v>
      </c>
      <c r="L203" s="9" t="s">
        <v>144</v>
      </c>
      <c r="N203" s="234">
        <f>IF(I203&lt;30,0,N217)</f>
        <v>0</v>
      </c>
      <c r="O203" s="235">
        <f>(14-M217)</f>
        <v>1</v>
      </c>
      <c r="P203" s="6"/>
      <c r="Q203" s="6"/>
      <c r="R203" s="6"/>
      <c r="S203" s="6"/>
      <c r="T203" s="6"/>
      <c r="U203" s="243">
        <f>IF(U209&gt;225,1,0)</f>
        <v>0</v>
      </c>
      <c r="V203" s="243">
        <f>IF(U209&gt;=250,1,0)</f>
        <v>0</v>
      </c>
      <c r="W203" s="243">
        <f>IF(U203+V203=2,250,0)</f>
        <v>0</v>
      </c>
      <c r="X203" s="243">
        <v>2</v>
      </c>
      <c r="Y203" s="6"/>
      <c r="Z203" s="6"/>
      <c r="AA203" s="6"/>
      <c r="BF203" s="26"/>
      <c r="BG203" s="26"/>
      <c r="BH203" s="26"/>
      <c r="BI203" s="26"/>
      <c r="BJ203" s="26"/>
      <c r="BK203" s="26"/>
      <c r="BL203" s="26"/>
      <c r="BM203" s="26"/>
      <c r="BN203" s="26"/>
      <c r="BO203" s="26"/>
      <c r="BP203" s="26"/>
      <c r="BQ203" s="26"/>
      <c r="BR203" s="26"/>
      <c r="BS203" s="26"/>
      <c r="BT203" s="26"/>
      <c r="BU203" s="26"/>
      <c r="BV203" s="26"/>
      <c r="BW203" s="26"/>
      <c r="BX203" s="26"/>
      <c r="BY203" s="26"/>
      <c r="BZ203" s="26"/>
      <c r="CA203" s="26"/>
      <c r="CB203" s="26"/>
      <c r="CC203" s="26"/>
      <c r="CD203" s="26"/>
      <c r="CE203" s="26"/>
      <c r="CF203" s="26"/>
      <c r="CG203" s="26"/>
      <c r="CH203" s="26"/>
      <c r="CI203" s="26"/>
      <c r="CJ203" s="26"/>
      <c r="CK203" s="26"/>
      <c r="CL203" s="26"/>
      <c r="CM203" s="26"/>
      <c r="CN203" s="26"/>
      <c r="CO203" s="26"/>
    </row>
    <row r="204" spans="3:93" ht="12.75" hidden="1" customHeight="1" x14ac:dyDescent="0.25">
      <c r="E204" s="9" t="s">
        <v>78</v>
      </c>
      <c r="G204" s="251">
        <f>IF(I203&gt;1,1,0)</f>
        <v>0</v>
      </c>
      <c r="H204" s="251">
        <f>IF(I203&lt;=100,1,0)</f>
        <v>1</v>
      </c>
      <c r="I204" s="251">
        <f>IF(H204+G204=2,100,0)</f>
        <v>0</v>
      </c>
      <c r="J204" s="251">
        <v>100</v>
      </c>
      <c r="L204" s="251">
        <f>IF(I217&gt;40,1,0)</f>
        <v>0</v>
      </c>
      <c r="M204" s="251">
        <f>IF(I217&lt;=100,1,0)</f>
        <v>1</v>
      </c>
      <c r="N204" s="251">
        <f>IF(M204+L204=2,O204,0)</f>
        <v>0</v>
      </c>
      <c r="O204" s="252">
        <v>4</v>
      </c>
      <c r="P204" s="6"/>
      <c r="Q204" s="6"/>
      <c r="R204" s="6"/>
      <c r="S204" s="6"/>
      <c r="T204" s="6"/>
      <c r="U204" s="243">
        <f>IF(U209&gt;250,1,0)</f>
        <v>0</v>
      </c>
      <c r="V204" s="243">
        <f>IF(U209&gt;=300,1,0)</f>
        <v>0</v>
      </c>
      <c r="W204" s="243">
        <f>IF(U204+V204=2,300,0)</f>
        <v>0</v>
      </c>
      <c r="X204" s="243">
        <v>2</v>
      </c>
      <c r="Y204" s="6"/>
      <c r="Z204" s="6"/>
      <c r="AA204" s="6"/>
      <c r="BF204" s="26"/>
      <c r="BG204" s="26"/>
      <c r="BH204" s="26"/>
      <c r="BI204" s="26"/>
      <c r="BJ204" s="26"/>
      <c r="BK204" s="26"/>
      <c r="BL204" s="26"/>
      <c r="BM204" s="26"/>
      <c r="BN204" s="26"/>
      <c r="BO204" s="26"/>
      <c r="BP204" s="26"/>
      <c r="BQ204" s="26"/>
      <c r="BR204" s="26"/>
      <c r="BS204" s="26"/>
      <c r="BT204" s="26"/>
      <c r="BU204" s="26"/>
      <c r="BV204" s="26"/>
      <c r="BW204" s="26"/>
      <c r="BX204" s="26"/>
      <c r="BY204" s="26"/>
      <c r="BZ204" s="26"/>
      <c r="CA204" s="26"/>
      <c r="CB204" s="26"/>
      <c r="CC204" s="26"/>
      <c r="CD204" s="26"/>
      <c r="CE204" s="26"/>
      <c r="CF204" s="26"/>
      <c r="CG204" s="26"/>
      <c r="CH204" s="26"/>
      <c r="CI204" s="26"/>
      <c r="CJ204" s="26"/>
      <c r="CK204" s="26"/>
      <c r="CL204" s="26"/>
      <c r="CM204" s="26"/>
      <c r="CN204" s="26"/>
      <c r="CO204" s="26"/>
    </row>
    <row r="205" spans="3:93" ht="12.75" hidden="1" customHeight="1" x14ac:dyDescent="0.25">
      <c r="G205" s="251">
        <f>IF(I203&gt;100,1,0)</f>
        <v>0</v>
      </c>
      <c r="H205" s="251">
        <f>IF(I203&lt;=110,1,0)</f>
        <v>1</v>
      </c>
      <c r="I205" s="251">
        <f>IF(SUM(G205+H205)=2,110,0)</f>
        <v>0</v>
      </c>
      <c r="J205" s="251">
        <v>110</v>
      </c>
      <c r="L205" s="251">
        <f>IF(I217=110,1,0)</f>
        <v>0</v>
      </c>
      <c r="M205" s="251">
        <f>IF(I217&lt;111,1,0)</f>
        <v>1</v>
      </c>
      <c r="N205" s="253">
        <f t="shared" ref="N205:N216" si="35">IF(SUM(L205+M205)=2,O205,0)</f>
        <v>0</v>
      </c>
      <c r="O205" s="254" t="s">
        <v>147</v>
      </c>
      <c r="P205" s="6"/>
      <c r="Q205" s="6"/>
      <c r="R205" s="6"/>
      <c r="S205" s="6"/>
      <c r="T205" s="6"/>
      <c r="U205" s="243">
        <f>IF(U209&gt;301,1,0)</f>
        <v>0</v>
      </c>
      <c r="V205" s="243">
        <f>IF(U209&gt;=350,1,0)</f>
        <v>0</v>
      </c>
      <c r="W205" s="243">
        <f>IF(U205+V205=2,350,0)</f>
        <v>0</v>
      </c>
      <c r="X205" s="243">
        <v>1</v>
      </c>
      <c r="Y205" s="6"/>
      <c r="Z205" s="6"/>
      <c r="AA205" s="6"/>
      <c r="BF205" s="26"/>
      <c r="BG205" s="26"/>
      <c r="BH205" s="26"/>
      <c r="BI205" s="26"/>
      <c r="BJ205" s="26"/>
      <c r="BK205" s="26"/>
      <c r="BL205" s="26"/>
      <c r="BM205" s="26"/>
      <c r="BN205" s="26"/>
      <c r="BO205" s="26"/>
      <c r="BP205" s="26"/>
      <c r="BQ205" s="26"/>
      <c r="BR205" s="26"/>
      <c r="BS205" s="26"/>
      <c r="BT205" s="26"/>
      <c r="BU205" s="26"/>
      <c r="BV205" s="26"/>
      <c r="BW205" s="26"/>
      <c r="BX205" s="26"/>
      <c r="BY205" s="26"/>
      <c r="BZ205" s="26"/>
      <c r="CA205" s="26"/>
      <c r="CB205" s="26"/>
      <c r="CC205" s="26"/>
      <c r="CD205" s="26"/>
      <c r="CE205" s="26"/>
      <c r="CF205" s="26"/>
      <c r="CG205" s="26"/>
      <c r="CH205" s="26"/>
      <c r="CI205" s="26"/>
      <c r="CJ205" s="26"/>
      <c r="CK205" s="26"/>
      <c r="CL205" s="26"/>
      <c r="CM205" s="26"/>
      <c r="CN205" s="26"/>
      <c r="CO205" s="26"/>
    </row>
    <row r="206" spans="3:93" ht="12.75" hidden="1" customHeight="1" x14ac:dyDescent="0.25">
      <c r="G206" s="251">
        <f>IF(I203&gt;110,1,0)</f>
        <v>0</v>
      </c>
      <c r="H206" s="251">
        <f>IF(I203&lt;=125,1,0)</f>
        <v>1</v>
      </c>
      <c r="I206" s="251">
        <f>IF(G206+H206=2,125,0)</f>
        <v>0</v>
      </c>
      <c r="J206" s="251">
        <v>125</v>
      </c>
      <c r="L206" s="251">
        <f>IF(I217=125,1,0)</f>
        <v>0</v>
      </c>
      <c r="M206" s="251">
        <f>IF(I217&lt;126,1,0)</f>
        <v>1</v>
      </c>
      <c r="N206" s="253">
        <f t="shared" si="35"/>
        <v>0</v>
      </c>
      <c r="O206" s="254" t="s">
        <v>149</v>
      </c>
      <c r="P206" s="6"/>
      <c r="Q206" s="6"/>
      <c r="R206" s="6"/>
      <c r="S206" s="6"/>
      <c r="T206" s="6"/>
      <c r="U206" s="243">
        <f>IF(U209&gt;350,1,0)</f>
        <v>0</v>
      </c>
      <c r="V206" s="243">
        <f>IF(U209&gt;=400,1,0)</f>
        <v>0</v>
      </c>
      <c r="W206" s="243">
        <f>IF(U206+V206=2,400,0)</f>
        <v>0</v>
      </c>
      <c r="X206" s="243">
        <v>1</v>
      </c>
      <c r="Y206" s="6"/>
      <c r="Z206" s="6"/>
      <c r="AA206" s="6"/>
      <c r="BF206" s="26"/>
      <c r="BG206" s="26"/>
      <c r="BH206" s="26"/>
      <c r="BI206" s="26"/>
      <c r="BJ206" s="26"/>
      <c r="BK206" s="26"/>
      <c r="BL206" s="26"/>
      <c r="BM206" s="26"/>
      <c r="BN206" s="26"/>
      <c r="BO206" s="26"/>
      <c r="BP206" s="26"/>
      <c r="BQ206" s="26"/>
      <c r="BR206" s="26"/>
      <c r="BS206" s="26"/>
      <c r="BT206" s="26"/>
      <c r="BU206" s="26"/>
      <c r="BV206" s="26"/>
      <c r="BW206" s="26"/>
      <c r="BX206" s="26"/>
      <c r="BY206" s="26"/>
      <c r="BZ206" s="26"/>
      <c r="CA206" s="26"/>
      <c r="CB206" s="26"/>
      <c r="CC206" s="26"/>
      <c r="CD206" s="26"/>
      <c r="CE206" s="26"/>
      <c r="CF206" s="26"/>
      <c r="CG206" s="26"/>
      <c r="CH206" s="26"/>
      <c r="CI206" s="26"/>
      <c r="CJ206" s="26"/>
      <c r="CK206" s="26"/>
      <c r="CL206" s="26"/>
      <c r="CM206" s="26"/>
      <c r="CN206" s="26"/>
      <c r="CO206" s="26"/>
    </row>
    <row r="207" spans="3:93" ht="12.75" hidden="1" customHeight="1" x14ac:dyDescent="0.25">
      <c r="G207" s="251">
        <f>IF(I203&gt;125,1,0)</f>
        <v>0</v>
      </c>
      <c r="H207" s="251">
        <f>IF(I203&lt;=150,1,0)</f>
        <v>1</v>
      </c>
      <c r="I207" s="251">
        <f>IF(G207+H207=2,150,0)</f>
        <v>0</v>
      </c>
      <c r="J207" s="251">
        <v>150</v>
      </c>
      <c r="L207" s="251">
        <f>IF(I217=150,1,0)</f>
        <v>0</v>
      </c>
      <c r="M207" s="251">
        <f>IF(I217&lt;151,1,0)</f>
        <v>1</v>
      </c>
      <c r="N207" s="253">
        <f t="shared" si="35"/>
        <v>0</v>
      </c>
      <c r="O207" s="254" t="s">
        <v>151</v>
      </c>
      <c r="P207" s="6"/>
      <c r="Q207" s="6"/>
      <c r="R207" s="6"/>
      <c r="S207" s="6"/>
      <c r="T207" s="6"/>
      <c r="U207" s="243">
        <f>IF(U209&gt;400,1,0)</f>
        <v>0</v>
      </c>
      <c r="V207" s="243">
        <f>IF(U209&gt;=450,1,0)</f>
        <v>0</v>
      </c>
      <c r="W207" s="243">
        <f>IF(U207+V207=2,450,0)</f>
        <v>0</v>
      </c>
      <c r="X207" s="255" t="s">
        <v>153</v>
      </c>
      <c r="Y207" s="6"/>
      <c r="Z207" s="6"/>
      <c r="AA207" s="6"/>
      <c r="BF207" s="26"/>
      <c r="BG207" s="26"/>
      <c r="BH207" s="26"/>
      <c r="BI207" s="26"/>
      <c r="BJ207" s="26"/>
      <c r="BK207" s="26"/>
      <c r="BL207" s="26"/>
      <c r="BM207" s="26"/>
      <c r="BN207" s="26"/>
      <c r="BO207" s="26"/>
      <c r="BP207" s="26"/>
      <c r="BQ207" s="26"/>
      <c r="BR207" s="26"/>
      <c r="BS207" s="26"/>
      <c r="BT207" s="26"/>
      <c r="BU207" s="26"/>
      <c r="BV207" s="26"/>
      <c r="BW207" s="26"/>
      <c r="BX207" s="26"/>
      <c r="BY207" s="26"/>
      <c r="BZ207" s="26"/>
      <c r="CA207" s="26"/>
      <c r="CB207" s="26"/>
      <c r="CC207" s="26"/>
      <c r="CD207" s="26"/>
      <c r="CE207" s="26"/>
      <c r="CF207" s="26"/>
      <c r="CG207" s="26"/>
      <c r="CH207" s="26"/>
      <c r="CI207" s="26"/>
      <c r="CJ207" s="26"/>
      <c r="CK207" s="26"/>
      <c r="CL207" s="26"/>
      <c r="CM207" s="26"/>
      <c r="CN207" s="26"/>
      <c r="CO207" s="26"/>
    </row>
    <row r="208" spans="3:93" ht="12.75" hidden="1" customHeight="1" x14ac:dyDescent="0.25">
      <c r="E208" s="25" t="s">
        <v>214</v>
      </c>
      <c r="G208" s="251">
        <f>IF(I203&gt;150,1,0)</f>
        <v>0</v>
      </c>
      <c r="H208" s="251">
        <f>IF(I203&lt;=175,1,0)</f>
        <v>1</v>
      </c>
      <c r="I208" s="251">
        <f>IF(G208+H208=2,175,0)</f>
        <v>0</v>
      </c>
      <c r="J208" s="251">
        <v>175</v>
      </c>
      <c r="L208" s="251">
        <f>IF(I217=175,1,0)</f>
        <v>0</v>
      </c>
      <c r="M208" s="251">
        <f>IF(I217&lt;176,1,0)</f>
        <v>1</v>
      </c>
      <c r="N208" s="253">
        <f t="shared" si="35"/>
        <v>0</v>
      </c>
      <c r="O208" s="256" t="s">
        <v>153</v>
      </c>
      <c r="P208" s="6"/>
      <c r="Q208" s="6"/>
      <c r="R208" s="6"/>
      <c r="S208" s="6"/>
      <c r="T208" s="6"/>
      <c r="U208" s="243">
        <f>IF(U209&gt;450,1,0)</f>
        <v>0</v>
      </c>
      <c r="V208" s="243">
        <f>IF(U209&gt;=500,1,0)</f>
        <v>0</v>
      </c>
      <c r="W208" s="243">
        <f>IF(U208+V208=2,500,0)</f>
        <v>0</v>
      </c>
      <c r="X208" s="255" t="s">
        <v>153</v>
      </c>
      <c r="Y208" s="6"/>
      <c r="Z208" s="6"/>
      <c r="AA208" s="6"/>
      <c r="BF208" s="26"/>
      <c r="BG208" s="26"/>
      <c r="BH208" s="26"/>
      <c r="BI208" s="26"/>
      <c r="BJ208" s="26"/>
      <c r="BK208" s="26"/>
      <c r="BL208" s="26"/>
      <c r="BM208" s="26"/>
      <c r="BN208" s="26"/>
      <c r="BO208" s="26"/>
      <c r="BP208" s="26"/>
      <c r="BQ208" s="26"/>
      <c r="BR208" s="26"/>
      <c r="BS208" s="26"/>
      <c r="BT208" s="26"/>
      <c r="BU208" s="26"/>
      <c r="BV208" s="26"/>
      <c r="BW208" s="26"/>
      <c r="BX208" s="26"/>
      <c r="BY208" s="26"/>
      <c r="BZ208" s="26"/>
      <c r="CA208" s="26"/>
      <c r="CB208" s="26"/>
      <c r="CC208" s="26"/>
      <c r="CD208" s="26"/>
      <c r="CE208" s="26"/>
      <c r="CF208" s="26"/>
      <c r="CG208" s="26"/>
      <c r="CH208" s="26"/>
      <c r="CI208" s="26"/>
      <c r="CJ208" s="26"/>
      <c r="CK208" s="26"/>
      <c r="CL208" s="26"/>
      <c r="CM208" s="26"/>
      <c r="CN208" s="26"/>
      <c r="CO208" s="26"/>
    </row>
    <row r="209" spans="5:93" ht="12.75" hidden="1" customHeight="1" x14ac:dyDescent="0.25">
      <c r="E209" s="9" t="s">
        <v>43</v>
      </c>
      <c r="G209" s="251">
        <f>IF(I203&gt;175,1,0)</f>
        <v>0</v>
      </c>
      <c r="H209" s="251">
        <f>IF(I203&lt;=200,1,0)</f>
        <v>1</v>
      </c>
      <c r="I209" s="251">
        <f>IF(G209+H209=2,200,0)</f>
        <v>0</v>
      </c>
      <c r="J209" s="251">
        <v>200</v>
      </c>
      <c r="L209" s="251">
        <f>IF(I217=200,1,0)</f>
        <v>0</v>
      </c>
      <c r="M209" s="251">
        <f>IF(I217&lt;201,1,0)</f>
        <v>1</v>
      </c>
      <c r="N209" s="253">
        <f t="shared" si="35"/>
        <v>0</v>
      </c>
      <c r="O209" s="256" t="s">
        <v>155</v>
      </c>
      <c r="P209" s="6"/>
      <c r="Q209" s="6"/>
      <c r="R209" s="6"/>
      <c r="S209" s="6"/>
      <c r="T209" s="6"/>
      <c r="U209" s="246">
        <f>BE4</f>
        <v>0</v>
      </c>
      <c r="V209" s="246">
        <f>SUM(V196:V208)</f>
        <v>0</v>
      </c>
      <c r="W209" s="243" t="e">
        <f>CHOOSE(V209,6,4,4,4,4,4,2,2,2,1,1,"1/0","1/0")</f>
        <v>#VALUE!</v>
      </c>
      <c r="X209" s="6"/>
      <c r="Y209" s="6"/>
      <c r="Z209" s="6"/>
      <c r="AA209" s="6"/>
      <c r="BF209" s="26"/>
      <c r="BG209" s="26"/>
      <c r="BH209" s="26"/>
      <c r="BI209" s="26"/>
      <c r="BJ209" s="26"/>
      <c r="BK209" s="26"/>
      <c r="BL209" s="26"/>
      <c r="BM209" s="26"/>
      <c r="BN209" s="26"/>
      <c r="BO209" s="26"/>
      <c r="BP209" s="26"/>
      <c r="BQ209" s="26"/>
      <c r="BR209" s="26"/>
      <c r="BS209" s="26"/>
      <c r="BT209" s="26"/>
      <c r="BU209" s="26"/>
      <c r="BV209" s="26"/>
      <c r="BW209" s="26"/>
      <c r="BX209" s="26"/>
      <c r="BY209" s="26"/>
      <c r="BZ209" s="26"/>
      <c r="CA209" s="26"/>
      <c r="CB209" s="26"/>
      <c r="CC209" s="26"/>
      <c r="CD209" s="26"/>
      <c r="CE209" s="26"/>
      <c r="CF209" s="26"/>
      <c r="CG209" s="26"/>
      <c r="CH209" s="26"/>
      <c r="CI209" s="26"/>
      <c r="CJ209" s="26"/>
      <c r="CK209" s="26"/>
      <c r="CL209" s="26"/>
      <c r="CM209" s="26"/>
      <c r="CN209" s="26"/>
      <c r="CO209" s="26"/>
    </row>
    <row r="210" spans="5:93" ht="12.75" hidden="1" customHeight="1" x14ac:dyDescent="0.25">
      <c r="E210" s="9" t="s">
        <v>46</v>
      </c>
      <c r="G210" s="251">
        <f>IF(I203&gt;200,1,0)</f>
        <v>0</v>
      </c>
      <c r="H210" s="251">
        <f>IF(I203&lt;=225,1,0)</f>
        <v>1</v>
      </c>
      <c r="I210" s="251">
        <f>IF(G210+H210=2,225,0)</f>
        <v>0</v>
      </c>
      <c r="J210" s="251">
        <v>225</v>
      </c>
      <c r="L210" s="251">
        <f>IF(I217=225,1,0)</f>
        <v>0</v>
      </c>
      <c r="M210" s="251">
        <f>IF(I217&lt;226,1,0)</f>
        <v>1</v>
      </c>
      <c r="N210" s="253">
        <f t="shared" si="35"/>
        <v>0</v>
      </c>
      <c r="O210" s="256" t="s">
        <v>157</v>
      </c>
      <c r="P210" s="6"/>
      <c r="Q210" s="6"/>
      <c r="R210" s="6"/>
      <c r="S210" s="6"/>
      <c r="T210" s="6"/>
      <c r="U210" s="6"/>
      <c r="V210" s="6"/>
      <c r="W210" s="6"/>
      <c r="X210" s="6"/>
      <c r="Y210" s="6"/>
      <c r="Z210" s="6"/>
      <c r="AA210" s="6"/>
      <c r="BF210" s="26"/>
      <c r="BG210" s="26"/>
      <c r="BH210" s="26"/>
      <c r="BI210" s="26"/>
      <c r="BJ210" s="26"/>
      <c r="BK210" s="26"/>
      <c r="BL210" s="26"/>
      <c r="BM210" s="26"/>
      <c r="BN210" s="26"/>
      <c r="BO210" s="26"/>
      <c r="BP210" s="26"/>
      <c r="BQ210" s="26"/>
      <c r="BR210" s="26"/>
      <c r="BS210" s="26"/>
      <c r="BT210" s="26"/>
      <c r="BU210" s="26"/>
      <c r="BV210" s="26"/>
      <c r="BW210" s="26"/>
      <c r="BX210" s="26"/>
      <c r="BY210" s="26"/>
      <c r="BZ210" s="26"/>
      <c r="CA210" s="26"/>
      <c r="CB210" s="26"/>
      <c r="CC210" s="26"/>
      <c r="CD210" s="26"/>
      <c r="CE210" s="26"/>
      <c r="CF210" s="26"/>
      <c r="CG210" s="26"/>
      <c r="CH210" s="26"/>
      <c r="CI210" s="26"/>
      <c r="CJ210" s="26"/>
      <c r="CK210" s="26"/>
      <c r="CL210" s="26"/>
      <c r="CM210" s="26"/>
      <c r="CN210" s="26"/>
      <c r="CO210" s="26"/>
    </row>
    <row r="211" spans="5:93" ht="12.75" hidden="1" customHeight="1" x14ac:dyDescent="0.25">
      <c r="E211" s="9" t="s">
        <v>48</v>
      </c>
      <c r="G211" s="251">
        <f>IF(I203&gt;225,1,0)</f>
        <v>0</v>
      </c>
      <c r="H211" s="251">
        <f>IF(I203&lt;=250,1,0)</f>
        <v>1</v>
      </c>
      <c r="I211" s="251">
        <f>IF(G211+H211=2,250,0)</f>
        <v>0</v>
      </c>
      <c r="J211" s="251">
        <v>250</v>
      </c>
      <c r="L211" s="251">
        <f>IF(I217=250,1,0)</f>
        <v>0</v>
      </c>
      <c r="M211" s="251">
        <f>IF(I217&lt;251,1,0)</f>
        <v>1</v>
      </c>
      <c r="N211" s="253">
        <f t="shared" si="35"/>
        <v>0</v>
      </c>
      <c r="O211" s="256" t="s">
        <v>159</v>
      </c>
      <c r="P211" s="6"/>
      <c r="Q211" s="6"/>
      <c r="R211" s="6"/>
      <c r="S211" s="6"/>
      <c r="T211" s="6"/>
      <c r="U211" s="6"/>
      <c r="V211" s="6"/>
      <c r="W211" s="6"/>
      <c r="X211" s="6"/>
      <c r="Y211" s="6"/>
      <c r="Z211" s="6"/>
      <c r="AA211" s="6"/>
      <c r="BF211" s="26"/>
      <c r="BG211" s="26"/>
      <c r="BH211" s="26"/>
      <c r="BI211" s="26"/>
      <c r="BJ211" s="26"/>
      <c r="BK211" s="26"/>
      <c r="BL211" s="26"/>
      <c r="BM211" s="26"/>
      <c r="BN211" s="26"/>
      <c r="BO211" s="26"/>
      <c r="BP211" s="26"/>
      <c r="BQ211" s="26"/>
      <c r="BR211" s="26"/>
      <c r="BS211" s="26"/>
      <c r="BT211" s="26"/>
      <c r="BU211" s="26"/>
      <c r="BV211" s="26"/>
      <c r="BW211" s="26"/>
      <c r="BX211" s="26"/>
      <c r="BY211" s="26"/>
      <c r="BZ211" s="26"/>
      <c r="CA211" s="26"/>
      <c r="CB211" s="26"/>
      <c r="CC211" s="26"/>
      <c r="CD211" s="26"/>
      <c r="CE211" s="26"/>
      <c r="CF211" s="26"/>
      <c r="CG211" s="26"/>
      <c r="CH211" s="26"/>
      <c r="CI211" s="26"/>
      <c r="CJ211" s="26"/>
      <c r="CK211" s="26"/>
      <c r="CL211" s="26"/>
      <c r="CM211" s="26"/>
      <c r="CN211" s="26"/>
      <c r="CO211" s="26"/>
    </row>
    <row r="212" spans="5:93" ht="12.75" hidden="1" customHeight="1" x14ac:dyDescent="0.25">
      <c r="E212" s="9" t="s">
        <v>50</v>
      </c>
      <c r="G212" s="251">
        <f>IF(I203&gt;250,1,0)</f>
        <v>0</v>
      </c>
      <c r="H212" s="251">
        <f>IF(I203&lt;=300,1,0)</f>
        <v>1</v>
      </c>
      <c r="I212" s="251">
        <f>IF(G212+H212=2,300,0)</f>
        <v>0</v>
      </c>
      <c r="J212" s="251">
        <v>300</v>
      </c>
      <c r="L212" s="251">
        <f>IF(I217=300,1,0)</f>
        <v>0</v>
      </c>
      <c r="M212" s="251">
        <f>IF(I217&lt;301,1,0)</f>
        <v>1</v>
      </c>
      <c r="N212" s="253">
        <f t="shared" si="35"/>
        <v>0</v>
      </c>
      <c r="O212" s="256" t="s">
        <v>161</v>
      </c>
      <c r="P212" s="6"/>
      <c r="Q212" s="6"/>
      <c r="R212" s="6"/>
      <c r="S212" s="6"/>
      <c r="T212" s="6"/>
      <c r="U212" s="6"/>
      <c r="V212" s="6"/>
      <c r="W212" s="6"/>
      <c r="X212" s="6"/>
      <c r="Y212" s="6"/>
      <c r="Z212" s="6"/>
      <c r="AA212" s="6"/>
      <c r="BF212" s="26"/>
      <c r="BG212" s="26"/>
      <c r="BH212" s="26"/>
      <c r="BI212" s="26"/>
      <c r="BJ212" s="26"/>
      <c r="BK212" s="26"/>
      <c r="BL212" s="26"/>
      <c r="BM212" s="26"/>
      <c r="BN212" s="26"/>
      <c r="BO212" s="26"/>
      <c r="BP212" s="26"/>
      <c r="BQ212" s="26"/>
      <c r="BR212" s="26"/>
      <c r="BS212" s="26"/>
      <c r="BT212" s="26"/>
      <c r="BU212" s="26"/>
      <c r="BV212" s="26"/>
      <c r="BW212" s="26"/>
      <c r="BX212" s="26"/>
      <c r="BY212" s="26"/>
      <c r="BZ212" s="26"/>
      <c r="CA212" s="26"/>
      <c r="CB212" s="26"/>
      <c r="CC212" s="26"/>
      <c r="CD212" s="26"/>
      <c r="CE212" s="26"/>
      <c r="CF212" s="26"/>
      <c r="CG212" s="26"/>
      <c r="CH212" s="26"/>
      <c r="CI212" s="26"/>
      <c r="CJ212" s="26"/>
      <c r="CK212" s="26"/>
      <c r="CL212" s="26"/>
      <c r="CM212" s="26"/>
      <c r="CN212" s="26"/>
      <c r="CO212" s="26"/>
    </row>
    <row r="213" spans="5:93" ht="12.75" hidden="1" customHeight="1" x14ac:dyDescent="0.25">
      <c r="E213" s="9" t="s">
        <v>52</v>
      </c>
      <c r="G213" s="251">
        <f>IF(I203&gt;301,1,0)</f>
        <v>0</v>
      </c>
      <c r="H213" s="251">
        <f>IF(I203&lt;=350,1,0)</f>
        <v>1</v>
      </c>
      <c r="I213" s="251">
        <f>IF(G213+H213=2,350,0)</f>
        <v>0</v>
      </c>
      <c r="J213" s="251">
        <v>350</v>
      </c>
      <c r="L213" s="251">
        <f>IF(I217=350,1,0)</f>
        <v>0</v>
      </c>
      <c r="M213" s="251">
        <f>IF(I217&lt;351,1,0)</f>
        <v>1</v>
      </c>
      <c r="N213" s="253">
        <f t="shared" si="35"/>
        <v>0</v>
      </c>
      <c r="O213" s="256" t="s">
        <v>163</v>
      </c>
      <c r="P213" s="6"/>
      <c r="Q213" s="6"/>
      <c r="R213" s="6"/>
      <c r="S213" s="6"/>
      <c r="T213" s="6"/>
      <c r="U213" s="6"/>
      <c r="V213" s="6"/>
      <c r="W213" s="6"/>
      <c r="X213" s="6"/>
      <c r="Y213" s="6"/>
      <c r="Z213" s="6"/>
      <c r="AA213" s="6"/>
      <c r="BF213" s="26"/>
      <c r="BG213" s="26"/>
      <c r="BH213" s="26"/>
      <c r="BI213" s="26"/>
      <c r="BJ213" s="26"/>
      <c r="BK213" s="26"/>
      <c r="BL213" s="26"/>
      <c r="BM213" s="26"/>
      <c r="BN213" s="26"/>
      <c r="BO213" s="26"/>
      <c r="BP213" s="26"/>
      <c r="BQ213" s="26"/>
      <c r="BR213" s="26"/>
      <c r="BS213" s="26"/>
      <c r="BT213" s="26"/>
      <c r="BU213" s="26"/>
      <c r="BV213" s="26"/>
      <c r="BW213" s="26"/>
      <c r="BX213" s="26"/>
      <c r="BY213" s="26"/>
      <c r="BZ213" s="26"/>
      <c r="CA213" s="26"/>
      <c r="CB213" s="26"/>
      <c r="CC213" s="26"/>
      <c r="CD213" s="26"/>
      <c r="CE213" s="26"/>
      <c r="CF213" s="26"/>
      <c r="CG213" s="26"/>
      <c r="CH213" s="26"/>
      <c r="CI213" s="26"/>
      <c r="CJ213" s="26"/>
      <c r="CK213" s="26"/>
      <c r="CL213" s="26"/>
      <c r="CM213" s="26"/>
      <c r="CN213" s="26"/>
      <c r="CO213" s="26"/>
    </row>
    <row r="214" spans="5:93" ht="12.75" hidden="1" customHeight="1" x14ac:dyDescent="0.25">
      <c r="E214" s="9" t="s">
        <v>53</v>
      </c>
      <c r="G214" s="251">
        <f>IF(I203&gt;350,1,0)</f>
        <v>0</v>
      </c>
      <c r="H214" s="251">
        <f>IF(I203&lt;=400,1,0)</f>
        <v>1</v>
      </c>
      <c r="I214" s="251">
        <f>IF(G214+H214=2,400,0)</f>
        <v>0</v>
      </c>
      <c r="J214" s="251">
        <v>400</v>
      </c>
      <c r="L214" s="251">
        <f>IF(I217=400,1,0)</f>
        <v>0</v>
      </c>
      <c r="M214" s="251">
        <f>IF(I217&lt;401,1,0)</f>
        <v>1</v>
      </c>
      <c r="N214" s="253">
        <f t="shared" si="35"/>
        <v>0</v>
      </c>
      <c r="O214" s="256" t="s">
        <v>165</v>
      </c>
      <c r="P214" s="6"/>
      <c r="Q214" s="6"/>
      <c r="R214" s="6"/>
      <c r="S214" s="6"/>
      <c r="T214" s="6"/>
      <c r="U214" s="6"/>
      <c r="V214" s="6"/>
      <c r="W214" s="6"/>
      <c r="X214" s="6"/>
      <c r="Y214" s="6"/>
      <c r="Z214" s="6"/>
      <c r="AA214" s="6"/>
      <c r="BF214" s="26"/>
      <c r="BG214" s="26"/>
      <c r="BH214" s="26"/>
      <c r="BI214" s="26"/>
      <c r="BJ214" s="26"/>
      <c r="BK214" s="26"/>
      <c r="BL214" s="26"/>
      <c r="BM214" s="26"/>
      <c r="BN214" s="26"/>
      <c r="BO214" s="26"/>
      <c r="BP214" s="26"/>
      <c r="BQ214" s="26"/>
      <c r="BR214" s="26"/>
      <c r="BS214" s="26"/>
      <c r="BT214" s="26"/>
      <c r="BU214" s="26"/>
      <c r="BV214" s="26"/>
      <c r="BW214" s="26"/>
      <c r="BX214" s="26"/>
      <c r="BY214" s="26"/>
      <c r="BZ214" s="26"/>
      <c r="CA214" s="26"/>
      <c r="CB214" s="26"/>
      <c r="CC214" s="26"/>
      <c r="CD214" s="26"/>
      <c r="CE214" s="26"/>
      <c r="CF214" s="26"/>
      <c r="CG214" s="26"/>
      <c r="CH214" s="26"/>
      <c r="CI214" s="26"/>
      <c r="CJ214" s="26"/>
      <c r="CK214" s="26"/>
      <c r="CL214" s="26"/>
      <c r="CM214" s="26"/>
      <c r="CN214" s="26"/>
      <c r="CO214" s="26"/>
    </row>
    <row r="215" spans="5:93" ht="12.75" hidden="1" customHeight="1" x14ac:dyDescent="0.25">
      <c r="E215" s="9" t="s">
        <v>21</v>
      </c>
      <c r="G215" s="251">
        <f>IF(I203&gt;400,1,0)</f>
        <v>0</v>
      </c>
      <c r="H215" s="251">
        <f>IF(I203&lt;=450,1,0)</f>
        <v>1</v>
      </c>
      <c r="I215" s="251">
        <f>IF(G215+H215=2,450,0)</f>
        <v>0</v>
      </c>
      <c r="J215" s="251">
        <v>450</v>
      </c>
      <c r="L215" s="251">
        <f>IF(I217=450,1,0)</f>
        <v>0</v>
      </c>
      <c r="M215" s="251">
        <f>IF(I217&lt;451,1,0)</f>
        <v>1</v>
      </c>
      <c r="N215" s="253">
        <f t="shared" si="35"/>
        <v>0</v>
      </c>
      <c r="O215" s="256" t="s">
        <v>166</v>
      </c>
      <c r="P215" s="6"/>
      <c r="Q215" s="6"/>
      <c r="R215" s="6"/>
      <c r="S215" s="6"/>
      <c r="T215" s="6"/>
      <c r="U215" s="6"/>
      <c r="V215" s="6"/>
      <c r="W215" s="6"/>
      <c r="X215" s="6"/>
      <c r="Y215" s="6"/>
      <c r="Z215" s="6"/>
      <c r="AA215" s="6"/>
      <c r="BF215" s="26"/>
      <c r="BG215" s="26"/>
      <c r="BH215" s="26"/>
      <c r="BI215" s="26"/>
      <c r="BJ215" s="26"/>
      <c r="BK215" s="26"/>
      <c r="BL215" s="26"/>
      <c r="BM215" s="26"/>
      <c r="BN215" s="26"/>
      <c r="BO215" s="26"/>
      <c r="BP215" s="26"/>
      <c r="BQ215" s="26"/>
      <c r="BR215" s="26"/>
      <c r="BS215" s="26"/>
      <c r="BT215" s="26"/>
      <c r="BU215" s="26"/>
      <c r="BV215" s="26"/>
      <c r="BW215" s="26"/>
      <c r="BX215" s="26"/>
      <c r="BY215" s="26"/>
      <c r="BZ215" s="26"/>
      <c r="CA215" s="26"/>
      <c r="CB215" s="26"/>
      <c r="CC215" s="26"/>
      <c r="CD215" s="26"/>
      <c r="CE215" s="26"/>
      <c r="CF215" s="26"/>
      <c r="CG215" s="26"/>
      <c r="CH215" s="26"/>
      <c r="CI215" s="26"/>
      <c r="CJ215" s="26"/>
      <c r="CK215" s="26"/>
      <c r="CL215" s="26"/>
      <c r="CM215" s="26"/>
      <c r="CN215" s="26"/>
      <c r="CO215" s="26"/>
    </row>
    <row r="216" spans="5:93" ht="12.75" hidden="1" customHeight="1" x14ac:dyDescent="0.25">
      <c r="G216" s="251">
        <f>IF(I203&gt;450,1,0)</f>
        <v>0</v>
      </c>
      <c r="H216" s="251">
        <f>IF(I203&lt;501,1,0)</f>
        <v>1</v>
      </c>
      <c r="I216" s="251">
        <f>IF(G216+H216=2,500,0)</f>
        <v>0</v>
      </c>
      <c r="J216" s="251">
        <v>500</v>
      </c>
      <c r="L216" s="251">
        <f>IF(I217=500,1,0)</f>
        <v>0</v>
      </c>
      <c r="M216" s="251">
        <f>IF(I217&lt;501,1,0)</f>
        <v>1</v>
      </c>
      <c r="N216" s="253">
        <f t="shared" si="35"/>
        <v>0</v>
      </c>
      <c r="O216" s="256" t="s">
        <v>168</v>
      </c>
      <c r="P216" s="6"/>
      <c r="Q216" s="6"/>
      <c r="R216" s="6"/>
      <c r="S216" s="6"/>
      <c r="T216" s="6"/>
      <c r="U216" s="6"/>
      <c r="V216" s="6"/>
      <c r="W216" s="6"/>
      <c r="X216" s="6"/>
      <c r="Y216" s="6"/>
      <c r="Z216" s="6"/>
      <c r="AA216" s="6"/>
      <c r="BF216" s="26"/>
      <c r="BG216" s="26"/>
      <c r="BH216" s="26"/>
      <c r="BI216" s="26"/>
      <c r="BJ216" s="26"/>
      <c r="BK216" s="26"/>
      <c r="BL216" s="26"/>
      <c r="BM216" s="26"/>
      <c r="BN216" s="26"/>
      <c r="BO216" s="26"/>
      <c r="BP216" s="26"/>
      <c r="BQ216" s="26"/>
      <c r="BR216" s="26"/>
      <c r="BS216" s="26"/>
      <c r="BT216" s="26"/>
      <c r="BU216" s="26"/>
      <c r="BV216" s="26"/>
      <c r="BW216" s="26"/>
      <c r="BX216" s="26"/>
      <c r="BY216" s="26"/>
      <c r="BZ216" s="26"/>
      <c r="CA216" s="26"/>
      <c r="CB216" s="26"/>
      <c r="CC216" s="26"/>
      <c r="CD216" s="26"/>
      <c r="CE216" s="26"/>
      <c r="CF216" s="26"/>
      <c r="CG216" s="26"/>
      <c r="CH216" s="26"/>
      <c r="CI216" s="26"/>
      <c r="CJ216" s="26"/>
      <c r="CK216" s="26"/>
      <c r="CL216" s="26"/>
      <c r="CM216" s="26"/>
      <c r="CN216" s="26"/>
      <c r="CO216" s="26"/>
    </row>
    <row r="217" spans="5:93" ht="12.75" hidden="1" customHeight="1" x14ac:dyDescent="0.25">
      <c r="E217" s="6">
        <v>7</v>
      </c>
      <c r="I217" s="9">
        <f>SUM(I204:I216)</f>
        <v>0</v>
      </c>
      <c r="J217" s="9">
        <f>IF(Y147,0,I217)</f>
        <v>0</v>
      </c>
      <c r="L217" s="9">
        <f>IF(Y147,0,N203)</f>
        <v>0</v>
      </c>
      <c r="M217" s="242">
        <f>SUM(M204:M216)</f>
        <v>13</v>
      </c>
      <c r="N217" s="242">
        <f>CHOOSE(O203,4,3,2,1,"1/0","2/0","3/0","4/0",250,350,400,700,900)</f>
        <v>4</v>
      </c>
      <c r="P217" s="6"/>
      <c r="Q217" s="6"/>
      <c r="R217" s="6"/>
      <c r="S217" s="6"/>
      <c r="T217" s="6"/>
      <c r="U217" s="6"/>
      <c r="V217" s="6"/>
      <c r="W217" s="6"/>
      <c r="X217" s="6"/>
      <c r="Y217" s="6"/>
      <c r="Z217" s="6"/>
      <c r="AA217" s="6"/>
      <c r="BF217" s="26"/>
      <c r="BG217" s="26"/>
      <c r="BH217" s="26"/>
      <c r="BI217" s="26"/>
      <c r="BJ217" s="26"/>
      <c r="BK217" s="26"/>
      <c r="BL217" s="26"/>
      <c r="BM217" s="26"/>
      <c r="BN217" s="26"/>
      <c r="BO217" s="26"/>
      <c r="BP217" s="26"/>
      <c r="BQ217" s="26"/>
      <c r="BR217" s="26"/>
      <c r="BS217" s="26"/>
      <c r="BT217" s="26"/>
      <c r="BU217" s="26"/>
      <c r="BV217" s="26"/>
      <c r="BW217" s="26"/>
      <c r="BX217" s="26"/>
      <c r="BY217" s="26"/>
      <c r="BZ217" s="26"/>
      <c r="CA217" s="26"/>
      <c r="CB217" s="26"/>
      <c r="CC217" s="26"/>
      <c r="CD217" s="26"/>
      <c r="CE217" s="26"/>
      <c r="CF217" s="26"/>
      <c r="CG217" s="26"/>
      <c r="CH217" s="26"/>
      <c r="CI217" s="26"/>
      <c r="CJ217" s="26"/>
      <c r="CK217" s="26"/>
      <c r="CL217" s="26"/>
      <c r="CM217" s="26"/>
      <c r="CN217" s="26"/>
      <c r="CO217" s="26"/>
    </row>
    <row r="218" spans="5:93" ht="12.75" hidden="1" customHeight="1" x14ac:dyDescent="0.25">
      <c r="E218" s="9">
        <f>CHOOSE(E217,0,2900,3750,4400,4700,5800,6300,8900)</f>
        <v>6300</v>
      </c>
      <c r="G218" s="9" t="s">
        <v>215</v>
      </c>
      <c r="L218" s="9" t="s">
        <v>172</v>
      </c>
      <c r="N218" s="234">
        <f>IF(L232=0,0,N232)</f>
        <v>0</v>
      </c>
      <c r="O218" s="235">
        <f>M232</f>
        <v>0</v>
      </c>
      <c r="P218" s="6"/>
      <c r="Q218" s="6"/>
      <c r="R218" s="6"/>
      <c r="S218" s="6"/>
      <c r="T218" s="6"/>
      <c r="U218" s="6"/>
      <c r="V218" s="6"/>
      <c r="W218" s="6"/>
      <c r="X218" s="6"/>
      <c r="Y218" s="6"/>
      <c r="Z218" s="6"/>
      <c r="AA218" s="6"/>
      <c r="BF218" s="26"/>
      <c r="BG218" s="26"/>
      <c r="BH218" s="26"/>
      <c r="BI218" s="26"/>
      <c r="BJ218" s="26"/>
      <c r="BK218" s="26"/>
      <c r="BL218" s="26"/>
      <c r="BM218" s="26"/>
      <c r="BN218" s="26"/>
      <c r="BO218" s="26"/>
      <c r="BP218" s="26"/>
      <c r="BQ218" s="26"/>
      <c r="BR218" s="26"/>
      <c r="BS218" s="26"/>
      <c r="BT218" s="26"/>
      <c r="BU218" s="26"/>
      <c r="BV218" s="26"/>
      <c r="BW218" s="26"/>
      <c r="BX218" s="26"/>
      <c r="BY218" s="26"/>
      <c r="BZ218" s="26"/>
      <c r="CA218" s="26"/>
      <c r="CB218" s="26"/>
      <c r="CC218" s="26"/>
      <c r="CD218" s="26"/>
      <c r="CE218" s="26"/>
      <c r="CF218" s="26"/>
      <c r="CG218" s="26"/>
      <c r="CH218" s="26"/>
      <c r="CI218" s="26"/>
      <c r="CJ218" s="26"/>
      <c r="CK218" s="26"/>
      <c r="CL218" s="26"/>
      <c r="CM218" s="26"/>
      <c r="CN218" s="26"/>
      <c r="CO218" s="26"/>
    </row>
    <row r="219" spans="5:93" ht="12.75" hidden="1" customHeight="1" x14ac:dyDescent="0.25">
      <c r="G219" s="251">
        <f>IF(I217&gt;1,1,0)</f>
        <v>0</v>
      </c>
      <c r="H219" s="251">
        <f>IF(I217&gt;=100,1,0)</f>
        <v>0</v>
      </c>
      <c r="I219" s="251">
        <f>IF(H219+G219=2,100,0)</f>
        <v>0</v>
      </c>
      <c r="J219" s="251">
        <v>8</v>
      </c>
      <c r="L219" s="251">
        <f>IF(L232&gt;1,1,0)</f>
        <v>0</v>
      </c>
      <c r="M219" s="251">
        <f>IF(L232&lt;=65,1,0)</f>
        <v>1</v>
      </c>
      <c r="N219" s="252">
        <f>IF(M219=1,O219,0)</f>
        <v>6</v>
      </c>
      <c r="O219" s="252">
        <v>6</v>
      </c>
      <c r="P219" s="6"/>
      <c r="Q219" s="6"/>
      <c r="R219" s="6"/>
      <c r="S219" s="6"/>
      <c r="T219" s="6"/>
      <c r="U219" s="6"/>
      <c r="V219" s="6"/>
      <c r="W219" s="6"/>
      <c r="X219" s="6"/>
      <c r="Y219" s="6"/>
      <c r="Z219" s="6"/>
      <c r="AA219" s="6"/>
      <c r="BF219" s="26"/>
      <c r="BG219" s="26"/>
      <c r="BH219" s="26"/>
      <c r="BI219" s="26"/>
      <c r="BJ219" s="26"/>
      <c r="BK219" s="26"/>
      <c r="BL219" s="26"/>
      <c r="BM219" s="26"/>
      <c r="BN219" s="26"/>
      <c r="BO219" s="26"/>
      <c r="BP219" s="26"/>
      <c r="BQ219" s="26"/>
      <c r="BR219" s="26"/>
      <c r="BS219" s="26"/>
      <c r="BT219" s="26"/>
      <c r="BU219" s="26"/>
      <c r="BV219" s="26"/>
      <c r="BW219" s="26"/>
      <c r="BX219" s="26"/>
      <c r="BY219" s="26"/>
      <c r="BZ219" s="26"/>
      <c r="CA219" s="26"/>
      <c r="CB219" s="26"/>
      <c r="CC219" s="26"/>
      <c r="CD219" s="26"/>
      <c r="CE219" s="26"/>
      <c r="CF219" s="26"/>
      <c r="CG219" s="26"/>
      <c r="CH219" s="26"/>
      <c r="CI219" s="26"/>
      <c r="CJ219" s="26"/>
      <c r="CK219" s="26"/>
      <c r="CL219" s="26"/>
      <c r="CM219" s="26"/>
      <c r="CN219" s="26"/>
      <c r="CO219" s="26"/>
    </row>
    <row r="220" spans="5:93" ht="12.75" hidden="1" customHeight="1" x14ac:dyDescent="0.25">
      <c r="E220" s="25" t="s">
        <v>216</v>
      </c>
      <c r="G220" s="251">
        <f>IF(I217&gt;100,1,0)</f>
        <v>0</v>
      </c>
      <c r="H220" s="251">
        <f>IF(I217&gt;=110,1,0)</f>
        <v>0</v>
      </c>
      <c r="I220" s="251">
        <f>IF(SUM(G220+H220)=2,110,0)</f>
        <v>0</v>
      </c>
      <c r="J220" s="251">
        <v>6</v>
      </c>
      <c r="L220" s="251">
        <f>IF(L232&gt;65,1,0)</f>
        <v>0</v>
      </c>
      <c r="M220" s="251">
        <f>IF(L232&lt;=85,1,0)</f>
        <v>1</v>
      </c>
      <c r="N220" s="253">
        <f t="shared" ref="N220:N231" si="36">IF(SUM(L220+M220)=2,O220,0)</f>
        <v>0</v>
      </c>
      <c r="O220" s="254">
        <v>4</v>
      </c>
      <c r="P220" s="6"/>
      <c r="Q220" s="6"/>
      <c r="R220" s="6"/>
      <c r="S220" s="6"/>
      <c r="T220" s="6"/>
      <c r="U220" s="6"/>
      <c r="V220" s="6"/>
      <c r="W220" s="6"/>
      <c r="X220" s="6"/>
      <c r="Y220" s="6"/>
      <c r="Z220" s="6"/>
      <c r="AA220" s="6"/>
      <c r="BF220" s="26"/>
      <c r="BG220" s="26"/>
      <c r="BH220" s="26"/>
      <c r="BI220" s="26"/>
      <c r="BJ220" s="26"/>
      <c r="BK220" s="26"/>
      <c r="BL220" s="26"/>
      <c r="BM220" s="26"/>
      <c r="BN220" s="26"/>
      <c r="BO220" s="26"/>
      <c r="BP220" s="26"/>
      <c r="BQ220" s="26"/>
      <c r="BR220" s="26"/>
      <c r="BS220" s="26"/>
      <c r="BT220" s="26"/>
      <c r="BU220" s="26"/>
      <c r="BV220" s="26"/>
      <c r="BW220" s="26"/>
      <c r="BX220" s="26"/>
      <c r="BY220" s="26"/>
      <c r="BZ220" s="26"/>
      <c r="CA220" s="26"/>
      <c r="CB220" s="26"/>
      <c r="CC220" s="26"/>
      <c r="CD220" s="26"/>
      <c r="CE220" s="26"/>
      <c r="CF220" s="26"/>
      <c r="CG220" s="26"/>
      <c r="CH220" s="26"/>
      <c r="CI220" s="26"/>
      <c r="CJ220" s="26"/>
      <c r="CK220" s="26"/>
      <c r="CL220" s="26"/>
      <c r="CM220" s="26"/>
      <c r="CN220" s="26"/>
      <c r="CO220" s="26"/>
    </row>
    <row r="221" spans="5:93" ht="12.75" hidden="1" customHeight="1" x14ac:dyDescent="0.25">
      <c r="E221" s="9" t="s">
        <v>43</v>
      </c>
      <c r="G221" s="251">
        <f>IF(I217&gt;110,1,0)</f>
        <v>0</v>
      </c>
      <c r="H221" s="251">
        <f>IF(I217&gt;=125,1,0)</f>
        <v>0</v>
      </c>
      <c r="I221" s="251">
        <f>IF(G221+H221=2,125,0)</f>
        <v>0</v>
      </c>
      <c r="J221" s="251">
        <v>6</v>
      </c>
      <c r="L221" s="251">
        <f>IF(L232&gt;85,1,0)</f>
        <v>0</v>
      </c>
      <c r="M221" s="251">
        <f>IF(L232&lt;=100,1,0)</f>
        <v>1</v>
      </c>
      <c r="N221" s="253">
        <f t="shared" si="36"/>
        <v>0</v>
      </c>
      <c r="O221" s="254">
        <v>3</v>
      </c>
      <c r="P221" s="6"/>
      <c r="Q221" s="6"/>
      <c r="R221" s="6"/>
      <c r="S221" s="6"/>
      <c r="T221" s="6"/>
      <c r="U221" s="6"/>
      <c r="V221" s="6"/>
      <c r="W221" s="6"/>
      <c r="X221" s="6"/>
      <c r="Y221" s="6"/>
      <c r="Z221" s="6"/>
      <c r="AA221" s="6"/>
      <c r="BF221" s="26"/>
      <c r="BG221" s="26"/>
      <c r="BH221" s="26"/>
      <c r="BI221" s="26"/>
      <c r="BJ221" s="26"/>
      <c r="BK221" s="26"/>
      <c r="BL221" s="26"/>
      <c r="BM221" s="26"/>
      <c r="BN221" s="26"/>
      <c r="BO221" s="26"/>
      <c r="BP221" s="26"/>
      <c r="BQ221" s="26"/>
      <c r="BR221" s="26"/>
      <c r="BS221" s="26"/>
      <c r="BT221" s="26"/>
      <c r="BU221" s="26"/>
      <c r="BV221" s="26"/>
      <c r="BW221" s="26"/>
      <c r="BX221" s="26"/>
      <c r="BY221" s="26"/>
      <c r="BZ221" s="26"/>
      <c r="CA221" s="26"/>
      <c r="CB221" s="26"/>
      <c r="CC221" s="26"/>
      <c r="CD221" s="26"/>
      <c r="CE221" s="26"/>
      <c r="CF221" s="26"/>
      <c r="CG221" s="26"/>
      <c r="CH221" s="26"/>
      <c r="CI221" s="26"/>
      <c r="CJ221" s="26"/>
      <c r="CK221" s="26"/>
      <c r="CL221" s="26"/>
      <c r="CM221" s="26"/>
      <c r="CN221" s="26"/>
      <c r="CO221" s="26"/>
    </row>
    <row r="222" spans="5:93" ht="12.75" hidden="1" customHeight="1" x14ac:dyDescent="0.25">
      <c r="E222" s="9" t="s">
        <v>46</v>
      </c>
      <c r="G222" s="251">
        <f>IF(I217&gt;125,1,0)</f>
        <v>0</v>
      </c>
      <c r="H222" s="251">
        <f>IF(I217&gt;=150,1,0)</f>
        <v>0</v>
      </c>
      <c r="I222" s="251">
        <f>IF(G222+H222=2,150,0)</f>
        <v>0</v>
      </c>
      <c r="J222" s="251">
        <v>6</v>
      </c>
      <c r="L222" s="251">
        <f>IF(L232&gt;100,1,0)</f>
        <v>0</v>
      </c>
      <c r="M222" s="251">
        <f>IF(L232&lt;=115,1,0)</f>
        <v>1</v>
      </c>
      <c r="N222" s="253">
        <f t="shared" si="36"/>
        <v>0</v>
      </c>
      <c r="O222" s="254">
        <v>2</v>
      </c>
      <c r="P222" s="6"/>
      <c r="Q222" s="6"/>
      <c r="R222" s="6"/>
      <c r="S222" s="6"/>
      <c r="T222" s="6"/>
      <c r="U222" s="6"/>
      <c r="V222" s="6"/>
      <c r="W222" s="6"/>
      <c r="X222" s="6"/>
      <c r="Y222" s="6"/>
      <c r="Z222" s="6"/>
      <c r="AA222" s="6"/>
      <c r="BF222" s="26"/>
      <c r="BG222" s="26"/>
      <c r="BH222" s="26"/>
      <c r="BI222" s="26"/>
      <c r="BJ222" s="26"/>
      <c r="BK222" s="26"/>
      <c r="BL222" s="26"/>
      <c r="BM222" s="26"/>
      <c r="BN222" s="26"/>
      <c r="BO222" s="26"/>
      <c r="BP222" s="26"/>
      <c r="BQ222" s="26"/>
      <c r="BR222" s="26"/>
      <c r="BS222" s="26"/>
      <c r="BT222" s="26"/>
      <c r="BU222" s="26"/>
      <c r="BV222" s="26"/>
      <c r="BW222" s="26"/>
      <c r="BX222" s="26"/>
      <c r="BY222" s="26"/>
      <c r="BZ222" s="26"/>
      <c r="CA222" s="26"/>
      <c r="CB222" s="26"/>
      <c r="CC222" s="26"/>
      <c r="CD222" s="26"/>
      <c r="CE222" s="26"/>
      <c r="CF222" s="26"/>
      <c r="CG222" s="26"/>
      <c r="CH222" s="26"/>
      <c r="CI222" s="26"/>
      <c r="CJ222" s="26"/>
      <c r="CK222" s="26"/>
      <c r="CL222" s="26"/>
      <c r="CM222" s="26"/>
      <c r="CN222" s="26"/>
      <c r="CO222" s="26"/>
    </row>
    <row r="223" spans="5:93" ht="12.75" hidden="1" customHeight="1" x14ac:dyDescent="0.25">
      <c r="E223" s="9" t="s">
        <v>48</v>
      </c>
      <c r="G223" s="251">
        <f>IF(I217&gt;150,1,0)</f>
        <v>0</v>
      </c>
      <c r="H223" s="251">
        <f>IF(I217&gt;=175,1,0)</f>
        <v>0</v>
      </c>
      <c r="I223" s="251">
        <f>IF(G223+H223=2,175,0)</f>
        <v>0</v>
      </c>
      <c r="J223" s="251">
        <v>6</v>
      </c>
      <c r="L223" s="251">
        <f>IF(L232&gt;115,1,0)</f>
        <v>0</v>
      </c>
      <c r="M223" s="251">
        <f>IF(L232&lt;=130,1,0)</f>
        <v>1</v>
      </c>
      <c r="N223" s="253">
        <f t="shared" si="36"/>
        <v>0</v>
      </c>
      <c r="O223" s="256" t="s">
        <v>151</v>
      </c>
      <c r="P223" s="6"/>
      <c r="Q223" s="6"/>
      <c r="R223" s="6"/>
      <c r="S223" s="6"/>
      <c r="T223" s="6"/>
      <c r="U223" s="6"/>
      <c r="V223" s="6"/>
      <c r="W223" s="6"/>
      <c r="X223" s="6"/>
      <c r="Y223" s="6"/>
      <c r="Z223" s="6"/>
      <c r="AA223" s="6"/>
      <c r="BF223" s="26"/>
      <c r="BG223" s="26"/>
      <c r="BH223" s="26"/>
      <c r="BI223" s="26"/>
      <c r="BJ223" s="26"/>
      <c r="BK223" s="26"/>
      <c r="BL223" s="26"/>
      <c r="BM223" s="26"/>
      <c r="BN223" s="26"/>
      <c r="BO223" s="26"/>
      <c r="BP223" s="26"/>
      <c r="BQ223" s="26"/>
      <c r="BR223" s="26"/>
      <c r="BS223" s="26"/>
      <c r="BT223" s="26"/>
      <c r="BU223" s="26"/>
      <c r="BV223" s="26"/>
      <c r="BW223" s="26"/>
      <c r="BX223" s="26"/>
      <c r="BY223" s="26"/>
      <c r="BZ223" s="26"/>
      <c r="CA223" s="26"/>
      <c r="CB223" s="26"/>
      <c r="CC223" s="26"/>
      <c r="CD223" s="26"/>
      <c r="CE223" s="26"/>
      <c r="CF223" s="26"/>
      <c r="CG223" s="26"/>
      <c r="CH223" s="26"/>
      <c r="CI223" s="26"/>
      <c r="CJ223" s="26"/>
      <c r="CK223" s="26"/>
      <c r="CL223" s="26"/>
      <c r="CM223" s="26"/>
      <c r="CN223" s="26"/>
      <c r="CO223" s="26"/>
    </row>
    <row r="224" spans="5:93" ht="12.75" hidden="1" customHeight="1" x14ac:dyDescent="0.25">
      <c r="E224" s="9" t="s">
        <v>50</v>
      </c>
      <c r="G224" s="251">
        <f>IF(I217&gt;175,1,0)</f>
        <v>0</v>
      </c>
      <c r="H224" s="251">
        <f>IF(I217&gt;=200,1,0)</f>
        <v>0</v>
      </c>
      <c r="I224" s="251">
        <f>IF(G224+H224=2,200,0)</f>
        <v>0</v>
      </c>
      <c r="J224" s="251">
        <v>6</v>
      </c>
      <c r="L224" s="251">
        <f>IF(L232&gt;130,1,0)</f>
        <v>0</v>
      </c>
      <c r="M224" s="251">
        <f>IF(L232&lt;=150,1,0)</f>
        <v>1</v>
      </c>
      <c r="N224" s="253">
        <f t="shared" si="36"/>
        <v>0</v>
      </c>
      <c r="O224" s="256" t="s">
        <v>180</v>
      </c>
      <c r="P224" s="6"/>
      <c r="Q224" s="6"/>
      <c r="R224" s="6"/>
      <c r="S224" s="6"/>
      <c r="T224" s="6"/>
      <c r="U224" s="6"/>
      <c r="V224" s="6"/>
      <c r="W224" s="6"/>
      <c r="X224" s="6"/>
      <c r="Y224" s="6"/>
      <c r="Z224" s="6"/>
      <c r="AA224" s="6"/>
      <c r="BF224" s="26"/>
      <c r="BG224" s="26"/>
      <c r="BH224" s="26"/>
      <c r="BI224" s="26"/>
      <c r="BJ224" s="26"/>
      <c r="BK224" s="26"/>
      <c r="BL224" s="26"/>
      <c r="BM224" s="26"/>
      <c r="BN224" s="26"/>
      <c r="BO224" s="26"/>
      <c r="BP224" s="26"/>
      <c r="BQ224" s="26"/>
      <c r="BR224" s="26"/>
      <c r="BS224" s="26"/>
      <c r="BT224" s="26"/>
      <c r="BU224" s="26"/>
      <c r="BV224" s="26"/>
      <c r="BW224" s="26"/>
      <c r="BX224" s="26"/>
      <c r="BY224" s="26"/>
      <c r="BZ224" s="26"/>
      <c r="CA224" s="26"/>
      <c r="CB224" s="26"/>
      <c r="CC224" s="26"/>
      <c r="CD224" s="26"/>
      <c r="CE224" s="26"/>
      <c r="CF224" s="26"/>
      <c r="CG224" s="26"/>
      <c r="CH224" s="26"/>
      <c r="CI224" s="26"/>
      <c r="CJ224" s="26"/>
      <c r="CK224" s="26"/>
      <c r="CL224" s="26"/>
      <c r="CM224" s="26"/>
      <c r="CN224" s="26"/>
      <c r="CO224" s="26"/>
    </row>
    <row r="225" spans="5:93" ht="12.75" hidden="1" customHeight="1" x14ac:dyDescent="0.25">
      <c r="E225" s="9" t="s">
        <v>52</v>
      </c>
      <c r="G225" s="251">
        <f>IF(I217&gt;200,1,0)</f>
        <v>0</v>
      </c>
      <c r="H225" s="251">
        <f>IF(I217&gt;=225,1,0)</f>
        <v>0</v>
      </c>
      <c r="I225" s="251">
        <f>IF(G225+H225=2,225,0)</f>
        <v>0</v>
      </c>
      <c r="J225" s="251">
        <v>6</v>
      </c>
      <c r="L225" s="251">
        <f>IF(L232&gt;150,1,0)</f>
        <v>0</v>
      </c>
      <c r="M225" s="251">
        <f>IF(L232&lt;=175,1,0)</f>
        <v>1</v>
      </c>
      <c r="N225" s="253">
        <f t="shared" si="36"/>
        <v>0</v>
      </c>
      <c r="O225" s="256" t="s">
        <v>155</v>
      </c>
      <c r="P225" s="6"/>
      <c r="Q225" s="6"/>
      <c r="R225" s="6"/>
      <c r="S225" s="6"/>
      <c r="T225" s="6"/>
      <c r="U225" s="6"/>
      <c r="V225" s="6"/>
      <c r="W225" s="6"/>
      <c r="X225" s="6"/>
      <c r="Y225" s="6"/>
      <c r="Z225" s="6"/>
      <c r="AA225" s="6"/>
      <c r="BF225" s="26"/>
      <c r="BG225" s="26"/>
      <c r="BH225" s="26"/>
      <c r="BI225" s="26"/>
      <c r="BJ225" s="26"/>
      <c r="BK225" s="26"/>
      <c r="BL225" s="26"/>
      <c r="BM225" s="26"/>
      <c r="BN225" s="26"/>
      <c r="BO225" s="26"/>
      <c r="BP225" s="26"/>
      <c r="BQ225" s="26"/>
      <c r="BR225" s="26"/>
      <c r="BS225" s="26"/>
      <c r="BT225" s="26"/>
      <c r="BU225" s="26"/>
      <c r="BV225" s="26"/>
      <c r="BW225" s="26"/>
      <c r="BX225" s="26"/>
      <c r="BY225" s="26"/>
      <c r="BZ225" s="26"/>
      <c r="CA225" s="26"/>
      <c r="CB225" s="26"/>
      <c r="CC225" s="26"/>
      <c r="CD225" s="26"/>
      <c r="CE225" s="26"/>
      <c r="CF225" s="26"/>
      <c r="CG225" s="26"/>
      <c r="CH225" s="26"/>
      <c r="CI225" s="26"/>
      <c r="CJ225" s="26"/>
      <c r="CK225" s="26"/>
      <c r="CL225" s="26"/>
      <c r="CM225" s="26"/>
      <c r="CN225" s="26"/>
      <c r="CO225" s="26"/>
    </row>
    <row r="226" spans="5:93" ht="12.75" hidden="1" customHeight="1" x14ac:dyDescent="0.25">
      <c r="E226" s="9" t="s">
        <v>53</v>
      </c>
      <c r="G226" s="251">
        <f>IF(I217&gt;225,1,0)</f>
        <v>0</v>
      </c>
      <c r="H226" s="251">
        <f>IF(I217&gt;=250,1,0)</f>
        <v>0</v>
      </c>
      <c r="I226" s="251">
        <f>IF(G226+H226=2,250,0)</f>
        <v>0</v>
      </c>
      <c r="J226" s="251">
        <v>6</v>
      </c>
      <c r="L226" s="251">
        <f>IF(L232&gt;175,1,0)</f>
        <v>0</v>
      </c>
      <c r="M226" s="251">
        <f>IF(L232&lt;=200,1,0)</f>
        <v>1</v>
      </c>
      <c r="N226" s="253">
        <f t="shared" si="36"/>
        <v>0</v>
      </c>
      <c r="O226" s="256" t="s">
        <v>157</v>
      </c>
      <c r="P226" s="6"/>
      <c r="Q226" s="6"/>
      <c r="R226" s="6"/>
      <c r="S226" s="6"/>
      <c r="T226" s="6"/>
      <c r="U226" s="6"/>
      <c r="V226" s="6"/>
      <c r="W226" s="6"/>
      <c r="X226" s="6"/>
      <c r="Y226" s="6"/>
      <c r="Z226" s="6"/>
      <c r="AA226" s="6"/>
      <c r="BF226" s="26"/>
      <c r="BG226" s="26"/>
      <c r="BH226" s="26"/>
      <c r="BI226" s="26"/>
      <c r="BJ226" s="26"/>
      <c r="BK226" s="26"/>
      <c r="BL226" s="26"/>
      <c r="BM226" s="26"/>
      <c r="BN226" s="26"/>
      <c r="BO226" s="26"/>
      <c r="BP226" s="26"/>
      <c r="BQ226" s="26"/>
      <c r="BR226" s="26"/>
      <c r="BS226" s="26"/>
      <c r="BT226" s="26"/>
      <c r="BU226" s="26"/>
      <c r="BV226" s="26"/>
      <c r="BW226" s="26"/>
      <c r="BX226" s="26"/>
      <c r="BY226" s="26"/>
      <c r="BZ226" s="26"/>
      <c r="CA226" s="26"/>
      <c r="CB226" s="26"/>
      <c r="CC226" s="26"/>
      <c r="CD226" s="26"/>
      <c r="CE226" s="26"/>
      <c r="CF226" s="26"/>
      <c r="CG226" s="26"/>
      <c r="CH226" s="26"/>
      <c r="CI226" s="26"/>
      <c r="CJ226" s="26"/>
      <c r="CK226" s="26"/>
      <c r="CL226" s="26"/>
      <c r="CM226" s="26"/>
      <c r="CN226" s="26"/>
      <c r="CO226" s="26"/>
    </row>
    <row r="227" spans="5:93" ht="12.75" hidden="1" customHeight="1" x14ac:dyDescent="0.25">
      <c r="E227" s="9" t="s">
        <v>21</v>
      </c>
      <c r="G227" s="251">
        <f>IF(I217&gt;250,1,0)</f>
        <v>0</v>
      </c>
      <c r="H227" s="251">
        <f>IF(I217&gt;=300,1,0)</f>
        <v>0</v>
      </c>
      <c r="I227" s="251">
        <f>IF(G227+H227=2,300,0)</f>
        <v>0</v>
      </c>
      <c r="J227" s="251">
        <v>4</v>
      </c>
      <c r="L227" s="251">
        <f>IF(L232&gt;200,1,0)</f>
        <v>0</v>
      </c>
      <c r="M227" s="251">
        <f>IF(L232&lt;=235,1,0)</f>
        <v>1</v>
      </c>
      <c r="N227" s="253">
        <f t="shared" si="36"/>
        <v>0</v>
      </c>
      <c r="O227" s="256" t="s">
        <v>159</v>
      </c>
      <c r="P227" s="6"/>
      <c r="Q227" s="6"/>
      <c r="R227" s="6"/>
      <c r="S227" s="6"/>
      <c r="T227" s="6"/>
      <c r="U227" s="6"/>
      <c r="V227" s="6"/>
      <c r="W227" s="6"/>
      <c r="X227" s="6"/>
      <c r="Y227" s="6"/>
      <c r="Z227" s="6"/>
      <c r="AA227" s="6"/>
      <c r="BF227" s="26"/>
      <c r="BG227" s="26"/>
      <c r="BH227" s="26"/>
      <c r="BI227" s="26"/>
      <c r="BJ227" s="26"/>
      <c r="BK227" s="26"/>
      <c r="BL227" s="26"/>
      <c r="BM227" s="26"/>
      <c r="BN227" s="26"/>
      <c r="BO227" s="26"/>
      <c r="BP227" s="26"/>
      <c r="BQ227" s="26"/>
      <c r="BR227" s="26"/>
      <c r="BS227" s="26"/>
      <c r="BT227" s="26"/>
      <c r="BU227" s="26"/>
      <c r="BV227" s="26"/>
      <c r="BW227" s="26"/>
      <c r="BX227" s="26"/>
      <c r="BY227" s="26"/>
      <c r="BZ227" s="26"/>
      <c r="CA227" s="26"/>
      <c r="CB227" s="26"/>
      <c r="CC227" s="26"/>
      <c r="CD227" s="26"/>
      <c r="CE227" s="26"/>
      <c r="CF227" s="26"/>
      <c r="CG227" s="26"/>
      <c r="CH227" s="26"/>
      <c r="CI227" s="26"/>
      <c r="CJ227" s="26"/>
      <c r="CK227" s="26"/>
      <c r="CL227" s="26"/>
      <c r="CM227" s="26"/>
      <c r="CN227" s="26"/>
      <c r="CO227" s="26"/>
    </row>
    <row r="228" spans="5:93" ht="12.75" hidden="1" customHeight="1" x14ac:dyDescent="0.25">
      <c r="G228" s="251">
        <f>IF(I217&gt;301,1,0)</f>
        <v>0</v>
      </c>
      <c r="H228" s="251">
        <f>IF(I217&gt;=350,1,0)</f>
        <v>0</v>
      </c>
      <c r="I228" s="251">
        <f>IF(G228+H228=2,350,0)</f>
        <v>0</v>
      </c>
      <c r="J228" s="251">
        <v>4</v>
      </c>
      <c r="L228" s="251">
        <f>IF(L232&gt;230,1,0)</f>
        <v>0</v>
      </c>
      <c r="M228" s="251">
        <f>IF(L232&lt;=255,1,0)</f>
        <v>1</v>
      </c>
      <c r="N228" s="253">
        <f t="shared" si="36"/>
        <v>0</v>
      </c>
      <c r="O228" s="256" t="s">
        <v>161</v>
      </c>
      <c r="P228" s="6"/>
      <c r="Q228" s="6"/>
      <c r="R228" s="6"/>
      <c r="S228" s="6"/>
      <c r="T228" s="6"/>
      <c r="U228" s="6"/>
      <c r="V228" s="6"/>
      <c r="W228" s="6"/>
      <c r="X228" s="6"/>
      <c r="Y228" s="6"/>
      <c r="Z228" s="6"/>
      <c r="AA228" s="6"/>
      <c r="BF228" s="26"/>
      <c r="BG228" s="26"/>
      <c r="BH228" s="26"/>
      <c r="BI228" s="26"/>
      <c r="BJ228" s="26"/>
      <c r="BK228" s="26"/>
      <c r="BL228" s="26"/>
      <c r="BM228" s="26"/>
      <c r="BN228" s="26"/>
      <c r="BO228" s="26"/>
      <c r="BP228" s="26"/>
      <c r="BQ228" s="26"/>
      <c r="BR228" s="26"/>
      <c r="BS228" s="26"/>
      <c r="BT228" s="26"/>
      <c r="BU228" s="26"/>
      <c r="BV228" s="26"/>
      <c r="BW228" s="26"/>
      <c r="BX228" s="26"/>
      <c r="BY228" s="26"/>
      <c r="BZ228" s="26"/>
      <c r="CA228" s="26"/>
      <c r="CB228" s="26"/>
      <c r="CC228" s="26"/>
      <c r="CD228" s="26"/>
      <c r="CE228" s="26"/>
      <c r="CF228" s="26"/>
      <c r="CG228" s="26"/>
      <c r="CH228" s="26"/>
      <c r="CI228" s="26"/>
      <c r="CJ228" s="26"/>
      <c r="CK228" s="26"/>
      <c r="CL228" s="26"/>
      <c r="CM228" s="26"/>
      <c r="CN228" s="26"/>
      <c r="CO228" s="26"/>
    </row>
    <row r="229" spans="5:93" ht="12.75" hidden="1" customHeight="1" x14ac:dyDescent="0.25">
      <c r="E229" s="6">
        <v>8</v>
      </c>
      <c r="G229" s="251">
        <f>IF(I217&gt;350,1,0)</f>
        <v>0</v>
      </c>
      <c r="H229" s="251">
        <f>IF(I217&gt;=400,1,0)</f>
        <v>0</v>
      </c>
      <c r="I229" s="251">
        <f>IF(G229+H229=2,400,0)</f>
        <v>0</v>
      </c>
      <c r="J229" s="251">
        <v>3</v>
      </c>
      <c r="L229" s="251">
        <f>IF(L232&gt;255,1,0)</f>
        <v>0</v>
      </c>
      <c r="M229" s="251">
        <f>IF(L232&lt;=280,1,0)</f>
        <v>1</v>
      </c>
      <c r="N229" s="253">
        <f t="shared" si="36"/>
        <v>0</v>
      </c>
      <c r="O229" s="256" t="s">
        <v>188</v>
      </c>
      <c r="P229" s="6"/>
      <c r="Q229" s="6"/>
      <c r="R229" s="6"/>
      <c r="S229" s="6"/>
      <c r="T229" s="6"/>
      <c r="U229" s="6"/>
      <c r="V229" s="6"/>
      <c r="W229" s="6"/>
      <c r="X229" s="6"/>
      <c r="Y229" s="6"/>
      <c r="Z229" s="6"/>
      <c r="AA229" s="6"/>
      <c r="BF229" s="26"/>
      <c r="BG229" s="26"/>
      <c r="BH229" s="26"/>
      <c r="BI229" s="26"/>
      <c r="BJ229" s="26"/>
      <c r="BK229" s="26"/>
      <c r="BL229" s="26"/>
      <c r="BM229" s="26"/>
      <c r="BN229" s="26"/>
      <c r="BO229" s="26"/>
      <c r="BP229" s="26"/>
      <c r="BQ229" s="26"/>
      <c r="BR229" s="26"/>
      <c r="BS229" s="26"/>
      <c r="BT229" s="26"/>
      <c r="BU229" s="26"/>
      <c r="BV229" s="26"/>
      <c r="BW229" s="26"/>
      <c r="BX229" s="26"/>
      <c r="BY229" s="26"/>
      <c r="BZ229" s="26"/>
      <c r="CA229" s="26"/>
      <c r="CB229" s="26"/>
      <c r="CC229" s="26"/>
      <c r="CD229" s="26"/>
      <c r="CE229" s="26"/>
      <c r="CF229" s="26"/>
      <c r="CG229" s="26"/>
      <c r="CH229" s="26"/>
      <c r="CI229" s="26"/>
      <c r="CJ229" s="26"/>
      <c r="CK229" s="26"/>
      <c r="CL229" s="26"/>
      <c r="CM229" s="26"/>
      <c r="CN229" s="26"/>
      <c r="CO229" s="26"/>
    </row>
    <row r="230" spans="5:93" ht="12.75" hidden="1" customHeight="1" x14ac:dyDescent="0.25">
      <c r="E230" s="9">
        <f>CHOOSE(E229,0,2900,3750,4400,4700,5800,6300,8900)</f>
        <v>8900</v>
      </c>
      <c r="G230" s="251">
        <f>IF(I217&gt;400,1,0)</f>
        <v>0</v>
      </c>
      <c r="H230" s="251">
        <f>IF(I217&gt;=450,1,0)</f>
        <v>0</v>
      </c>
      <c r="I230" s="251">
        <f>IF(G230+H230=2,450,0)</f>
        <v>0</v>
      </c>
      <c r="J230" s="251">
        <v>3</v>
      </c>
      <c r="L230" s="251">
        <f>IF(L232&gt;280,1,0)</f>
        <v>0</v>
      </c>
      <c r="M230" s="251">
        <f>IF(L232&lt;=310,1,0)</f>
        <v>1</v>
      </c>
      <c r="N230" s="253">
        <f t="shared" si="36"/>
        <v>0</v>
      </c>
      <c r="O230" s="256" t="s">
        <v>163</v>
      </c>
      <c r="P230" s="6"/>
      <c r="Q230" s="6"/>
      <c r="R230" s="6"/>
      <c r="S230" s="6"/>
      <c r="T230" s="6"/>
      <c r="U230" s="6"/>
      <c r="V230" s="6"/>
      <c r="W230" s="6"/>
      <c r="X230" s="6"/>
      <c r="Y230" s="6"/>
      <c r="Z230" s="6"/>
      <c r="AA230" s="6"/>
      <c r="BF230" s="26"/>
      <c r="BG230" s="26"/>
      <c r="BH230" s="26"/>
      <c r="BI230" s="26"/>
      <c r="BJ230" s="26"/>
      <c r="BK230" s="26"/>
      <c r="BL230" s="26"/>
      <c r="BM230" s="26"/>
      <c r="BN230" s="26"/>
      <c r="BO230" s="26"/>
      <c r="BP230" s="26"/>
      <c r="BQ230" s="26"/>
      <c r="BR230" s="26"/>
      <c r="BS230" s="26"/>
      <c r="BT230" s="26"/>
      <c r="BU230" s="26"/>
      <c r="BV230" s="26"/>
      <c r="BW230" s="26"/>
      <c r="BX230" s="26"/>
      <c r="BY230" s="26"/>
      <c r="BZ230" s="26"/>
      <c r="CA230" s="26"/>
      <c r="CB230" s="26"/>
      <c r="CC230" s="26"/>
      <c r="CD230" s="26"/>
      <c r="CE230" s="26"/>
      <c r="CF230" s="26"/>
      <c r="CG230" s="26"/>
      <c r="CH230" s="26"/>
      <c r="CI230" s="26"/>
      <c r="CJ230" s="26"/>
      <c r="CK230" s="26"/>
      <c r="CL230" s="26"/>
      <c r="CM230" s="26"/>
      <c r="CN230" s="26"/>
      <c r="CO230" s="26"/>
    </row>
    <row r="231" spans="5:93" ht="12.75" hidden="1" customHeight="1" x14ac:dyDescent="0.25">
      <c r="G231" s="251">
        <f>IF(I217&gt;450,1,0)</f>
        <v>0</v>
      </c>
      <c r="H231" s="251">
        <f>IF(I217&gt;=500,1,0)</f>
        <v>0</v>
      </c>
      <c r="I231" s="251">
        <f>IF(G231+H231=2,500,0)</f>
        <v>0</v>
      </c>
      <c r="J231" s="251">
        <v>2</v>
      </c>
      <c r="L231" s="251">
        <f>IF(L232&gt;310,1,0)</f>
        <v>0</v>
      </c>
      <c r="M231" s="251">
        <f>IF(L232&lt;=335,1,0)</f>
        <v>1</v>
      </c>
      <c r="N231" s="253">
        <f t="shared" si="36"/>
        <v>0</v>
      </c>
      <c r="O231" s="256" t="s">
        <v>165</v>
      </c>
      <c r="P231" s="6"/>
      <c r="Q231" s="6"/>
      <c r="R231" s="6"/>
      <c r="S231" s="6"/>
      <c r="T231" s="6"/>
      <c r="U231" s="6"/>
      <c r="V231" s="6"/>
      <c r="W231" s="6"/>
      <c r="X231" s="6"/>
      <c r="Y231" s="6"/>
      <c r="Z231" s="6"/>
      <c r="AA231" s="6"/>
      <c r="BF231" s="26"/>
      <c r="BG231" s="26"/>
      <c r="BH231" s="26"/>
      <c r="BI231" s="26"/>
      <c r="BJ231" s="26"/>
      <c r="BK231" s="26"/>
      <c r="BL231" s="26"/>
      <c r="BM231" s="26"/>
      <c r="BN231" s="26"/>
      <c r="BO231" s="26"/>
      <c r="BP231" s="26"/>
      <c r="BQ231" s="26"/>
      <c r="BR231" s="26"/>
      <c r="BS231" s="26"/>
      <c r="BT231" s="26"/>
      <c r="BU231" s="26"/>
      <c r="BV231" s="26"/>
      <c r="BW231" s="26"/>
      <c r="BX231" s="26"/>
      <c r="BY231" s="26"/>
      <c r="BZ231" s="26"/>
      <c r="CA231" s="26"/>
      <c r="CB231" s="26"/>
      <c r="CC231" s="26"/>
      <c r="CD231" s="26"/>
      <c r="CE231" s="26"/>
      <c r="CF231" s="26"/>
      <c r="CG231" s="26"/>
      <c r="CH231" s="26"/>
      <c r="CI231" s="26"/>
      <c r="CJ231" s="26"/>
      <c r="CK231" s="26"/>
      <c r="CL231" s="26"/>
      <c r="CM231" s="26"/>
      <c r="CN231" s="26"/>
      <c r="CO231" s="26"/>
    </row>
    <row r="232" spans="5:93" ht="12.75" hidden="1" customHeight="1" x14ac:dyDescent="0.25">
      <c r="G232" s="245">
        <f>IF(I217&lt;30,0,I232)</f>
        <v>0</v>
      </c>
      <c r="H232" s="245">
        <f>SUM(H219:H231)</f>
        <v>0</v>
      </c>
      <c r="I232" s="242" t="e">
        <f>CHOOSE(H232,8,6,6,6,6,6,6,4,4,3,3,2)</f>
        <v>#VALUE!</v>
      </c>
      <c r="J232" s="257">
        <f>IF(Y147,0,G232)</f>
        <v>0</v>
      </c>
      <c r="L232" s="150">
        <f>N29</f>
        <v>0</v>
      </c>
      <c r="M232" s="242">
        <f>SUM(L219:L231)</f>
        <v>0</v>
      </c>
      <c r="N232" s="242" t="e">
        <f>CHOOSE(O218,6,4,3,2,1,"1/0","2/0","3/0","4/0",250,300,350,400)</f>
        <v>#VALUE!</v>
      </c>
      <c r="P232" s="6"/>
      <c r="Q232" s="6"/>
      <c r="R232" s="6"/>
      <c r="S232" s="6"/>
      <c r="T232" s="6"/>
      <c r="U232" s="6"/>
      <c r="V232" s="6"/>
      <c r="W232" s="6"/>
      <c r="X232" s="6"/>
      <c r="Y232" s="6"/>
      <c r="Z232" s="6"/>
      <c r="AA232" s="6"/>
      <c r="BF232" s="26"/>
      <c r="BG232" s="26"/>
      <c r="BH232" s="26"/>
      <c r="BI232" s="26"/>
      <c r="BJ232" s="26"/>
      <c r="BK232" s="26"/>
      <c r="BL232" s="26"/>
      <c r="BM232" s="26"/>
      <c r="BN232" s="26"/>
      <c r="BO232" s="26"/>
      <c r="BP232" s="26"/>
      <c r="BQ232" s="26"/>
      <c r="BR232" s="26"/>
      <c r="BS232" s="26"/>
      <c r="BT232" s="26"/>
      <c r="BU232" s="26"/>
      <c r="BV232" s="26"/>
      <c r="BW232" s="26"/>
      <c r="BX232" s="26"/>
      <c r="BY232" s="26"/>
      <c r="BZ232" s="26"/>
      <c r="CA232" s="26"/>
      <c r="CB232" s="26"/>
      <c r="CC232" s="26"/>
      <c r="CD232" s="26"/>
      <c r="CE232" s="26"/>
      <c r="CF232" s="26"/>
      <c r="CG232" s="26"/>
      <c r="CH232" s="26"/>
      <c r="CI232" s="26"/>
      <c r="CJ232" s="26"/>
      <c r="CK232" s="26"/>
      <c r="CL232" s="26"/>
      <c r="CM232" s="26"/>
      <c r="CN232" s="26"/>
      <c r="CO232" s="26"/>
    </row>
    <row r="233" spans="5:93" ht="12.75" hidden="1" customHeight="1" x14ac:dyDescent="0.25">
      <c r="P233" s="6"/>
      <c r="Q233" s="6"/>
      <c r="R233" s="6"/>
      <c r="S233" s="6"/>
      <c r="T233" s="6"/>
      <c r="U233" s="6"/>
      <c r="V233" s="6"/>
      <c r="W233" s="6"/>
      <c r="X233" s="6"/>
      <c r="Y233" s="6"/>
      <c r="Z233" s="6"/>
      <c r="AA233" s="6"/>
      <c r="BF233" s="26"/>
      <c r="BG233" s="26"/>
      <c r="BH233" s="26"/>
      <c r="BI233" s="26"/>
      <c r="BJ233" s="26"/>
      <c r="BK233" s="26"/>
      <c r="BL233" s="26"/>
      <c r="BM233" s="26"/>
      <c r="BN233" s="26"/>
      <c r="BO233" s="26"/>
      <c r="BP233" s="26"/>
      <c r="BQ233" s="26"/>
      <c r="BR233" s="26"/>
      <c r="BS233" s="26"/>
      <c r="BT233" s="26"/>
      <c r="BU233" s="26"/>
      <c r="BV233" s="26"/>
      <c r="BW233" s="26"/>
      <c r="BX233" s="26"/>
      <c r="BY233" s="26"/>
      <c r="BZ233" s="26"/>
      <c r="CA233" s="26"/>
      <c r="CB233" s="26"/>
      <c r="CC233" s="26"/>
      <c r="CD233" s="26"/>
      <c r="CE233" s="26"/>
      <c r="CF233" s="26"/>
      <c r="CG233" s="26"/>
      <c r="CH233" s="26"/>
      <c r="CI233" s="26"/>
      <c r="CJ233" s="26"/>
      <c r="CK233" s="26"/>
      <c r="CL233" s="26"/>
      <c r="CM233" s="26"/>
      <c r="CN233" s="26"/>
      <c r="CO233" s="26"/>
    </row>
    <row r="234" spans="5:93" ht="12.75" hidden="1" customHeight="1" x14ac:dyDescent="0.25">
      <c r="F234" s="20" t="s">
        <v>217</v>
      </c>
      <c r="G234" s="9" t="s">
        <v>215</v>
      </c>
      <c r="J234" s="9">
        <f>I217</f>
        <v>0</v>
      </c>
      <c r="L234" s="9" t="s">
        <v>196</v>
      </c>
      <c r="N234" s="234">
        <f>IF(I203&lt;30,0,N248)</f>
        <v>0</v>
      </c>
      <c r="O234" s="235">
        <f>(14-M248)</f>
        <v>1</v>
      </c>
      <c r="P234" s="6"/>
      <c r="Q234" s="6"/>
      <c r="R234" s="6"/>
      <c r="S234" s="6"/>
      <c r="T234" s="6"/>
      <c r="U234" s="6"/>
      <c r="V234" s="6"/>
      <c r="W234" s="6"/>
      <c r="X234" s="6"/>
      <c r="Y234" s="6"/>
      <c r="Z234" s="6"/>
      <c r="AA234" s="6"/>
      <c r="BF234" s="26"/>
      <c r="BG234" s="26"/>
      <c r="BH234" s="26"/>
      <c r="BI234" s="26"/>
      <c r="BJ234" s="26"/>
      <c r="BK234" s="26"/>
      <c r="BL234" s="26"/>
      <c r="BM234" s="26"/>
      <c r="BN234" s="26"/>
      <c r="BO234" s="26"/>
      <c r="BP234" s="26"/>
      <c r="BQ234" s="26"/>
      <c r="BR234" s="26"/>
      <c r="BS234" s="26"/>
      <c r="BT234" s="26"/>
      <c r="BU234" s="26"/>
      <c r="BV234" s="26"/>
      <c r="BW234" s="26"/>
      <c r="BX234" s="26"/>
      <c r="BY234" s="26"/>
      <c r="BZ234" s="26"/>
      <c r="CA234" s="26"/>
      <c r="CB234" s="26"/>
      <c r="CC234" s="26"/>
      <c r="CD234" s="26"/>
      <c r="CE234" s="26"/>
      <c r="CF234" s="26"/>
      <c r="CG234" s="26"/>
      <c r="CH234" s="26"/>
      <c r="CI234" s="26"/>
      <c r="CJ234" s="26"/>
      <c r="CK234" s="26"/>
      <c r="CL234" s="26"/>
      <c r="CM234" s="26"/>
      <c r="CN234" s="26"/>
      <c r="CO234" s="26"/>
    </row>
    <row r="235" spans="5:93" ht="12.75" hidden="1" customHeight="1" x14ac:dyDescent="0.25">
      <c r="G235" s="251">
        <f>IF(J234&gt;1,1,0)</f>
        <v>0</v>
      </c>
      <c r="H235" s="251">
        <f>IF(I217&gt;=100,1,0)</f>
        <v>0</v>
      </c>
      <c r="I235" s="251">
        <f>IF(H235+G235=2,100,0)</f>
        <v>0</v>
      </c>
      <c r="J235" s="251">
        <v>6</v>
      </c>
      <c r="L235" s="251">
        <f>IF(I217=100,1,0)</f>
        <v>0</v>
      </c>
      <c r="M235" s="251">
        <f>IF(I217&lt;=100,1,0)</f>
        <v>1</v>
      </c>
      <c r="N235" s="251">
        <f>IF(M235+L235=2,O235,0)</f>
        <v>0</v>
      </c>
      <c r="O235" s="252">
        <v>2</v>
      </c>
      <c r="P235" s="6"/>
      <c r="Q235" s="6"/>
      <c r="R235" s="6"/>
      <c r="S235" s="6"/>
      <c r="T235" s="6"/>
      <c r="U235" s="6"/>
      <c r="V235" s="6"/>
      <c r="W235" s="6"/>
      <c r="X235" s="6"/>
      <c r="Y235" s="6"/>
      <c r="Z235" s="6"/>
      <c r="AA235" s="6"/>
      <c r="BF235" s="26"/>
      <c r="BG235" s="26"/>
      <c r="BH235" s="26"/>
      <c r="BI235" s="26"/>
      <c r="BJ235" s="26"/>
      <c r="BK235" s="26"/>
      <c r="BL235" s="26"/>
      <c r="BM235" s="26"/>
      <c r="BN235" s="26"/>
      <c r="BO235" s="26"/>
      <c r="BP235" s="26"/>
      <c r="BQ235" s="26"/>
      <c r="BR235" s="26"/>
      <c r="BS235" s="26"/>
      <c r="BT235" s="26"/>
      <c r="BU235" s="26"/>
      <c r="BV235" s="26"/>
      <c r="BW235" s="26"/>
      <c r="BX235" s="26"/>
      <c r="BY235" s="26"/>
      <c r="BZ235" s="26"/>
      <c r="CA235" s="26"/>
      <c r="CB235" s="26"/>
      <c r="CC235" s="26"/>
      <c r="CD235" s="26"/>
      <c r="CE235" s="26"/>
      <c r="CF235" s="26"/>
      <c r="CG235" s="26"/>
      <c r="CH235" s="26"/>
      <c r="CI235" s="26"/>
      <c r="CJ235" s="26"/>
      <c r="CK235" s="26"/>
      <c r="CL235" s="26"/>
      <c r="CM235" s="26"/>
      <c r="CN235" s="26"/>
      <c r="CO235" s="26"/>
    </row>
    <row r="236" spans="5:93" ht="12.75" hidden="1" customHeight="1" x14ac:dyDescent="0.25">
      <c r="G236" s="251">
        <f>IF(J234&gt;100,1,0)</f>
        <v>0</v>
      </c>
      <c r="H236" s="251">
        <f>IF(I217&gt;=110,1,0)</f>
        <v>0</v>
      </c>
      <c r="I236" s="251">
        <f>IF(SUM(G236+H236)=2,110,0)</f>
        <v>0</v>
      </c>
      <c r="J236" s="251">
        <v>4</v>
      </c>
      <c r="L236" s="251">
        <f>IF(I217=110,1,0)</f>
        <v>0</v>
      </c>
      <c r="M236" s="251">
        <f>IF(I217&lt;111,1,0)</f>
        <v>1</v>
      </c>
      <c r="N236" s="253">
        <f t="shared" ref="N236:N247" si="37">IF(SUM(L236+M236)=2,O236,0)</f>
        <v>0</v>
      </c>
      <c r="O236" s="254">
        <v>1</v>
      </c>
      <c r="P236" s="6"/>
      <c r="Q236" s="6"/>
      <c r="R236" s="6"/>
      <c r="S236" s="6"/>
      <c r="T236" s="6"/>
      <c r="U236" s="6"/>
      <c r="V236" s="6"/>
      <c r="W236" s="6"/>
      <c r="X236" s="6"/>
      <c r="Y236" s="6"/>
      <c r="Z236" s="6"/>
      <c r="AA236" s="6"/>
      <c r="BF236" s="26"/>
      <c r="BG236" s="26"/>
      <c r="BH236" s="26"/>
      <c r="BI236" s="26"/>
      <c r="BJ236" s="26"/>
      <c r="BK236" s="26"/>
      <c r="BL236" s="26"/>
      <c r="BM236" s="26"/>
      <c r="BN236" s="26"/>
      <c r="BO236" s="26"/>
      <c r="BP236" s="26"/>
      <c r="BQ236" s="26"/>
      <c r="BR236" s="26"/>
      <c r="BS236" s="26"/>
      <c r="BT236" s="26"/>
      <c r="BU236" s="26"/>
      <c r="BV236" s="26"/>
      <c r="BW236" s="26"/>
      <c r="BX236" s="26"/>
      <c r="BY236" s="26"/>
      <c r="BZ236" s="26"/>
      <c r="CA236" s="26"/>
      <c r="CB236" s="26"/>
      <c r="CC236" s="26"/>
      <c r="CD236" s="26"/>
      <c r="CE236" s="26"/>
      <c r="CF236" s="26"/>
      <c r="CG236" s="26"/>
      <c r="CH236" s="26"/>
      <c r="CI236" s="26"/>
      <c r="CJ236" s="26"/>
      <c r="CK236" s="26"/>
      <c r="CL236" s="26"/>
      <c r="CM236" s="26"/>
      <c r="CN236" s="26"/>
      <c r="CO236" s="26"/>
    </row>
    <row r="237" spans="5:93" ht="12.75" hidden="1" customHeight="1" x14ac:dyDescent="0.25">
      <c r="G237" s="251">
        <f>IF(J234&gt;110,1,0)</f>
        <v>0</v>
      </c>
      <c r="H237" s="251">
        <f>IF(I217&gt;=125,1,0)</f>
        <v>0</v>
      </c>
      <c r="I237" s="251">
        <f>IF(G237+H237=2,125,0)</f>
        <v>0</v>
      </c>
      <c r="J237" s="251">
        <v>4</v>
      </c>
      <c r="L237" s="251">
        <f>IF(I217=125,1,0)</f>
        <v>0</v>
      </c>
      <c r="M237" s="251">
        <f>IF(I217&lt;126,1,0)</f>
        <v>1</v>
      </c>
      <c r="N237" s="253">
        <f t="shared" si="37"/>
        <v>0</v>
      </c>
      <c r="O237" s="256" t="s">
        <v>153</v>
      </c>
      <c r="P237" s="6"/>
      <c r="Q237" s="6"/>
      <c r="R237" s="6"/>
      <c r="S237" s="6"/>
      <c r="T237" s="6"/>
      <c r="U237" s="6"/>
      <c r="V237" s="6"/>
      <c r="W237" s="6"/>
      <c r="X237" s="6"/>
      <c r="Y237" s="6"/>
      <c r="Z237" s="6"/>
      <c r="AA237" s="6"/>
      <c r="BF237" s="26"/>
      <c r="BG237" s="26"/>
      <c r="BH237" s="26"/>
      <c r="BI237" s="26"/>
      <c r="BJ237" s="26"/>
      <c r="BK237" s="26"/>
      <c r="BL237" s="26"/>
      <c r="BM237" s="26"/>
      <c r="BN237" s="26"/>
      <c r="BO237" s="26"/>
      <c r="BP237" s="26"/>
      <c r="BQ237" s="26"/>
      <c r="BR237" s="26"/>
      <c r="BS237" s="26"/>
      <c r="BT237" s="26"/>
      <c r="BU237" s="26"/>
      <c r="BV237" s="26"/>
      <c r="BW237" s="26"/>
      <c r="BX237" s="26"/>
      <c r="BY237" s="26"/>
      <c r="BZ237" s="26"/>
      <c r="CA237" s="26"/>
      <c r="CB237" s="26"/>
      <c r="CC237" s="26"/>
      <c r="CD237" s="26"/>
      <c r="CE237" s="26"/>
      <c r="CF237" s="26"/>
      <c r="CG237" s="26"/>
      <c r="CH237" s="26"/>
      <c r="CI237" s="26"/>
      <c r="CJ237" s="26"/>
      <c r="CK237" s="26"/>
      <c r="CL237" s="26"/>
      <c r="CM237" s="26"/>
      <c r="CN237" s="26"/>
      <c r="CO237" s="26"/>
    </row>
    <row r="238" spans="5:93" ht="12.75" hidden="1" customHeight="1" x14ac:dyDescent="0.25">
      <c r="G238" s="251">
        <f>IF(J234&gt;125,1,0)</f>
        <v>0</v>
      </c>
      <c r="H238" s="251">
        <f>IF(I217&gt;=150,1,0)</f>
        <v>0</v>
      </c>
      <c r="I238" s="251">
        <f>IF(G238+H238=2,150,0)</f>
        <v>0</v>
      </c>
      <c r="J238" s="251">
        <v>4</v>
      </c>
      <c r="L238" s="251">
        <f>IF(I217=150,1,0)</f>
        <v>0</v>
      </c>
      <c r="M238" s="251">
        <f>IF(I217&lt;151,1,0)</f>
        <v>1</v>
      </c>
      <c r="N238" s="253">
        <f t="shared" si="37"/>
        <v>0</v>
      </c>
      <c r="O238" s="256" t="s">
        <v>198</v>
      </c>
      <c r="P238" s="6"/>
      <c r="Q238" s="6"/>
      <c r="R238" s="6"/>
      <c r="S238" s="6"/>
      <c r="T238" s="6"/>
      <c r="U238" s="6"/>
      <c r="V238" s="6"/>
      <c r="W238" s="6"/>
      <c r="X238" s="6"/>
      <c r="Y238" s="6"/>
      <c r="Z238" s="6"/>
      <c r="AA238" s="6"/>
      <c r="BF238" s="26"/>
      <c r="BG238" s="26"/>
      <c r="BH238" s="26"/>
      <c r="BI238" s="26"/>
      <c r="BJ238" s="26"/>
      <c r="BK238" s="26"/>
      <c r="BL238" s="26"/>
      <c r="BM238" s="26"/>
      <c r="BN238" s="26"/>
      <c r="BO238" s="26"/>
      <c r="BP238" s="26"/>
      <c r="BQ238" s="26"/>
      <c r="BR238" s="26"/>
      <c r="BS238" s="26"/>
      <c r="BT238" s="26"/>
      <c r="BU238" s="26"/>
      <c r="BV238" s="26"/>
      <c r="BW238" s="26"/>
      <c r="BX238" s="26"/>
      <c r="BY238" s="26"/>
      <c r="BZ238" s="26"/>
      <c r="CA238" s="26"/>
      <c r="CB238" s="26"/>
      <c r="CC238" s="26"/>
      <c r="CD238" s="26"/>
      <c r="CE238" s="26"/>
      <c r="CF238" s="26"/>
      <c r="CG238" s="26"/>
      <c r="CH238" s="26"/>
      <c r="CI238" s="26"/>
      <c r="CJ238" s="26"/>
      <c r="CK238" s="26"/>
      <c r="CL238" s="26"/>
      <c r="CM238" s="26"/>
      <c r="CN238" s="26"/>
      <c r="CO238" s="26"/>
    </row>
    <row r="239" spans="5:93" ht="12.75" hidden="1" customHeight="1" x14ac:dyDescent="0.25">
      <c r="G239" s="251">
        <f>IF(J234&gt;150,1,0)</f>
        <v>0</v>
      </c>
      <c r="H239" s="251">
        <f>IF(I217&gt;=175,1,0)</f>
        <v>0</v>
      </c>
      <c r="I239" s="251">
        <f>IF(G239+H239=2,175,0)</f>
        <v>0</v>
      </c>
      <c r="J239" s="251">
        <v>4</v>
      </c>
      <c r="L239" s="251">
        <f>IF(I217=175,1,0)</f>
        <v>0</v>
      </c>
      <c r="M239" s="251">
        <f>IF(I217&lt;176,1,0)</f>
        <v>1</v>
      </c>
      <c r="N239" s="253">
        <f t="shared" si="37"/>
        <v>0</v>
      </c>
      <c r="O239" s="256" t="s">
        <v>199</v>
      </c>
      <c r="P239" s="6"/>
      <c r="Q239" s="6"/>
      <c r="R239" s="6"/>
      <c r="S239" s="6"/>
      <c r="T239" s="6"/>
      <c r="U239" s="6"/>
      <c r="V239" s="6"/>
      <c r="W239" s="6"/>
      <c r="X239" s="6"/>
      <c r="Y239" s="6"/>
      <c r="Z239" s="6"/>
      <c r="AA239" s="6"/>
      <c r="BF239" s="26"/>
      <c r="BG239" s="26"/>
      <c r="BH239" s="26"/>
      <c r="BI239" s="26"/>
      <c r="BJ239" s="26"/>
      <c r="BK239" s="26"/>
      <c r="BL239" s="26"/>
      <c r="BM239" s="26"/>
      <c r="BN239" s="26"/>
      <c r="BO239" s="26"/>
      <c r="BP239" s="26"/>
      <c r="BQ239" s="26"/>
      <c r="BR239" s="26"/>
      <c r="BS239" s="26"/>
      <c r="BT239" s="26"/>
      <c r="BU239" s="26"/>
      <c r="BV239" s="26"/>
      <c r="BW239" s="26"/>
      <c r="BX239" s="26"/>
      <c r="BY239" s="26"/>
      <c r="BZ239" s="26"/>
      <c r="CA239" s="26"/>
      <c r="CB239" s="26"/>
      <c r="CC239" s="26"/>
      <c r="CD239" s="26"/>
      <c r="CE239" s="26"/>
      <c r="CF239" s="26"/>
      <c r="CG239" s="26"/>
      <c r="CH239" s="26"/>
      <c r="CI239" s="26"/>
      <c r="CJ239" s="26"/>
      <c r="CK239" s="26"/>
      <c r="CL239" s="26"/>
      <c r="CM239" s="26"/>
      <c r="CN239" s="26"/>
      <c r="CO239" s="26"/>
    </row>
    <row r="240" spans="5:93" ht="12.75" hidden="1" customHeight="1" x14ac:dyDescent="0.25">
      <c r="G240" s="251">
        <f>IF(J234&gt;175,1,0)</f>
        <v>0</v>
      </c>
      <c r="H240" s="251">
        <f>IF(I217&gt;=200,1,0)</f>
        <v>0</v>
      </c>
      <c r="I240" s="251">
        <f>IF(G240+H240=2,200,0)</f>
        <v>0</v>
      </c>
      <c r="J240" s="251">
        <v>4</v>
      </c>
      <c r="L240" s="251">
        <f>IF(I217=200,1,0)</f>
        <v>0</v>
      </c>
      <c r="M240" s="251">
        <f>IF(I217&lt;201,1,0)</f>
        <v>1</v>
      </c>
      <c r="N240" s="253">
        <f t="shared" si="37"/>
        <v>0</v>
      </c>
      <c r="O240" s="256" t="s">
        <v>200</v>
      </c>
      <c r="P240" s="6"/>
      <c r="Q240" s="6"/>
      <c r="R240" s="6"/>
      <c r="S240" s="6"/>
      <c r="T240" s="6"/>
      <c r="U240" s="6"/>
      <c r="V240" s="6"/>
      <c r="W240" s="6"/>
      <c r="X240" s="6"/>
      <c r="Y240" s="6"/>
      <c r="Z240" s="6"/>
      <c r="AA240" s="6"/>
      <c r="BF240" s="26"/>
      <c r="BG240" s="26"/>
      <c r="BH240" s="26"/>
      <c r="BI240" s="26"/>
      <c r="BJ240" s="26"/>
      <c r="BK240" s="26"/>
      <c r="BL240" s="26"/>
      <c r="BM240" s="26"/>
      <c r="BN240" s="26"/>
      <c r="BO240" s="26"/>
      <c r="BP240" s="26"/>
      <c r="BQ240" s="26"/>
      <c r="BR240" s="26"/>
      <c r="BS240" s="26"/>
      <c r="BT240" s="26"/>
      <c r="BU240" s="26"/>
      <c r="BV240" s="26"/>
      <c r="BW240" s="26"/>
      <c r="BX240" s="26"/>
      <c r="BY240" s="26"/>
      <c r="BZ240" s="26"/>
      <c r="CA240" s="26"/>
      <c r="CB240" s="26"/>
      <c r="CC240" s="26"/>
      <c r="CD240" s="26"/>
      <c r="CE240" s="26"/>
      <c r="CF240" s="26"/>
      <c r="CG240" s="26"/>
      <c r="CH240" s="26"/>
      <c r="CI240" s="26"/>
      <c r="CJ240" s="26"/>
      <c r="CK240" s="26"/>
      <c r="CL240" s="26"/>
      <c r="CM240" s="26"/>
      <c r="CN240" s="26"/>
      <c r="CO240" s="26"/>
    </row>
    <row r="241" spans="7:93" ht="12.75" hidden="1" customHeight="1" x14ac:dyDescent="0.25">
      <c r="G241" s="251">
        <f>IF(J234&gt;200,1,0)</f>
        <v>0</v>
      </c>
      <c r="H241" s="251">
        <f>IF(I217&gt;=225,1,0)</f>
        <v>0</v>
      </c>
      <c r="I241" s="251">
        <f>IF(G241+H241=2,225,0)</f>
        <v>0</v>
      </c>
      <c r="J241" s="251">
        <v>2</v>
      </c>
      <c r="L241" s="251">
        <f>IF(I217=225,1,0)</f>
        <v>0</v>
      </c>
      <c r="M241" s="251">
        <f>IF(I217&lt;226,1,0)</f>
        <v>1</v>
      </c>
      <c r="N241" s="253">
        <f t="shared" si="37"/>
        <v>0</v>
      </c>
      <c r="O241" s="256" t="s">
        <v>161</v>
      </c>
      <c r="P241" s="6"/>
      <c r="Q241" s="6"/>
      <c r="R241" s="6"/>
      <c r="S241" s="6"/>
      <c r="T241" s="6"/>
      <c r="U241" s="6"/>
      <c r="V241" s="6"/>
      <c r="W241" s="6"/>
      <c r="X241" s="6"/>
      <c r="Y241" s="6"/>
      <c r="Z241" s="6"/>
      <c r="AA241" s="6"/>
      <c r="BF241" s="26"/>
      <c r="BG241" s="26"/>
      <c r="BH241" s="26"/>
      <c r="BI241" s="26"/>
      <c r="BJ241" s="26"/>
      <c r="BK241" s="26"/>
      <c r="BL241" s="26"/>
      <c r="BM241" s="26"/>
      <c r="BN241" s="26"/>
      <c r="BO241" s="26"/>
      <c r="BP241" s="26"/>
      <c r="BQ241" s="26"/>
      <c r="BR241" s="26"/>
      <c r="BS241" s="26"/>
      <c r="BT241" s="26"/>
      <c r="BU241" s="26"/>
      <c r="BV241" s="26"/>
      <c r="BW241" s="26"/>
      <c r="BX241" s="26"/>
      <c r="BY241" s="26"/>
      <c r="BZ241" s="26"/>
      <c r="CA241" s="26"/>
      <c r="CB241" s="26"/>
      <c r="CC241" s="26"/>
      <c r="CD241" s="26"/>
      <c r="CE241" s="26"/>
      <c r="CF241" s="26"/>
      <c r="CG241" s="26"/>
      <c r="CH241" s="26"/>
      <c r="CI241" s="26"/>
      <c r="CJ241" s="26"/>
      <c r="CK241" s="26"/>
      <c r="CL241" s="26"/>
      <c r="CM241" s="26"/>
      <c r="CN241" s="26"/>
      <c r="CO241" s="26"/>
    </row>
    <row r="242" spans="7:93" ht="12.75" hidden="1" customHeight="1" x14ac:dyDescent="0.25">
      <c r="G242" s="251">
        <f>IF(J234&gt;225,1,0)</f>
        <v>0</v>
      </c>
      <c r="H242" s="251">
        <f>IF(I217&gt;=250,1,0)</f>
        <v>0</v>
      </c>
      <c r="I242" s="251">
        <f>IF(G242+H242=2,250,0)</f>
        <v>0</v>
      </c>
      <c r="J242" s="251">
        <v>2</v>
      </c>
      <c r="L242" s="251">
        <f>IF(I217=250,1,0)</f>
        <v>0</v>
      </c>
      <c r="M242" s="251">
        <f>IF(I217&lt;251,1,0)</f>
        <v>1</v>
      </c>
      <c r="N242" s="253">
        <f t="shared" si="37"/>
        <v>0</v>
      </c>
      <c r="O242" s="256" t="s">
        <v>188</v>
      </c>
      <c r="P242" s="6"/>
      <c r="Q242" s="6"/>
      <c r="R242" s="6"/>
      <c r="S242" s="6"/>
      <c r="T242" s="6"/>
      <c r="U242" s="6"/>
      <c r="V242" s="6"/>
      <c r="W242" s="6"/>
      <c r="X242" s="6"/>
      <c r="Y242" s="6"/>
      <c r="Z242" s="6"/>
      <c r="AA242" s="6"/>
      <c r="BF242" s="26"/>
      <c r="BG242" s="26"/>
      <c r="BH242" s="26"/>
      <c r="BI242" s="26"/>
      <c r="BJ242" s="26"/>
      <c r="BK242" s="26"/>
      <c r="BL242" s="26"/>
      <c r="BM242" s="26"/>
      <c r="BN242" s="26"/>
      <c r="BO242" s="26"/>
      <c r="BP242" s="26"/>
      <c r="BQ242" s="26"/>
      <c r="BR242" s="26"/>
      <c r="BS242" s="26"/>
      <c r="BT242" s="26"/>
      <c r="BU242" s="26"/>
      <c r="BV242" s="26"/>
      <c r="BW242" s="26"/>
      <c r="BX242" s="26"/>
      <c r="BY242" s="26"/>
      <c r="BZ242" s="26"/>
      <c r="CA242" s="26"/>
      <c r="CB242" s="26"/>
      <c r="CC242" s="26"/>
      <c r="CD242" s="26"/>
      <c r="CE242" s="26"/>
      <c r="CF242" s="26"/>
      <c r="CG242" s="26"/>
      <c r="CH242" s="26"/>
      <c r="CI242" s="26"/>
      <c r="CJ242" s="26"/>
      <c r="CK242" s="26"/>
      <c r="CL242" s="26"/>
      <c r="CM242" s="26"/>
      <c r="CN242" s="26"/>
      <c r="CO242" s="26"/>
    </row>
    <row r="243" spans="7:93" ht="12.75" hidden="1" customHeight="1" x14ac:dyDescent="0.25">
      <c r="G243" s="251">
        <f>IF(J234&gt;250,1,0)</f>
        <v>0</v>
      </c>
      <c r="H243" s="251">
        <f>IF(I217&gt;=300,1,0)</f>
        <v>0</v>
      </c>
      <c r="I243" s="251">
        <f>IF(G243+H243=2,300,0)</f>
        <v>0</v>
      </c>
      <c r="J243" s="251">
        <v>2</v>
      </c>
      <c r="L243" s="251">
        <f>IF(I217=300,1,0)</f>
        <v>0</v>
      </c>
      <c r="M243" s="251">
        <f>IF(I217&lt;301,1,0)</f>
        <v>1</v>
      </c>
      <c r="N243" s="253">
        <f t="shared" si="37"/>
        <v>0</v>
      </c>
      <c r="O243" s="256" t="s">
        <v>163</v>
      </c>
      <c r="P243" s="6"/>
      <c r="Q243" s="6"/>
      <c r="R243" s="6"/>
      <c r="S243" s="6"/>
      <c r="T243" s="6"/>
      <c r="U243" s="6"/>
      <c r="V243" s="6"/>
      <c r="W243" s="6"/>
      <c r="X243" s="6"/>
      <c r="Y243" s="6"/>
      <c r="Z243" s="6"/>
      <c r="AA243" s="6"/>
      <c r="BF243" s="26"/>
      <c r="BG243" s="26"/>
      <c r="BH243" s="26"/>
      <c r="BI243" s="26"/>
      <c r="BJ243" s="26"/>
      <c r="BK243" s="26"/>
      <c r="BL243" s="26"/>
      <c r="BM243" s="26"/>
      <c r="BN243" s="26"/>
      <c r="BO243" s="26"/>
      <c r="BP243" s="26"/>
      <c r="BQ243" s="26"/>
      <c r="BR243" s="26"/>
      <c r="BS243" s="26"/>
      <c r="BT243" s="26"/>
      <c r="BU243" s="26"/>
      <c r="BV243" s="26"/>
      <c r="BW243" s="26"/>
      <c r="BX243" s="26"/>
      <c r="BY243" s="26"/>
      <c r="BZ243" s="26"/>
      <c r="CA243" s="26"/>
      <c r="CB243" s="26"/>
      <c r="CC243" s="26"/>
      <c r="CD243" s="26"/>
      <c r="CE243" s="26"/>
      <c r="CF243" s="26"/>
      <c r="CG243" s="26"/>
      <c r="CH243" s="26"/>
      <c r="CI243" s="26"/>
      <c r="CJ243" s="26"/>
      <c r="CK243" s="26"/>
      <c r="CL243" s="26"/>
      <c r="CM243" s="26"/>
      <c r="CN243" s="26"/>
      <c r="CO243" s="26"/>
    </row>
    <row r="244" spans="7:93" ht="12.75" hidden="1" customHeight="1" x14ac:dyDescent="0.25">
      <c r="G244" s="251">
        <f>IF(J234&gt;301,1,0)</f>
        <v>0</v>
      </c>
      <c r="H244" s="251">
        <f>IF(I217&gt;=350,1,0)</f>
        <v>0</v>
      </c>
      <c r="I244" s="251">
        <f>IF(G244+H244=2,350,0)</f>
        <v>0</v>
      </c>
      <c r="J244" s="251">
        <v>1</v>
      </c>
      <c r="L244" s="251">
        <f>IF(I217=350,1,0)</f>
        <v>0</v>
      </c>
      <c r="M244" s="251">
        <f>IF(I217&lt;351,1,0)</f>
        <v>1</v>
      </c>
      <c r="N244" s="253">
        <f t="shared" si="37"/>
        <v>0</v>
      </c>
      <c r="O244" s="256" t="s">
        <v>192</v>
      </c>
      <c r="P244" s="6"/>
      <c r="Q244" s="6"/>
      <c r="R244" s="6"/>
      <c r="S244" s="6"/>
      <c r="T244" s="6"/>
      <c r="U244" s="6"/>
      <c r="V244" s="6"/>
      <c r="W244" s="6"/>
      <c r="X244" s="6"/>
      <c r="Y244" s="6"/>
      <c r="Z244" s="6"/>
      <c r="AA244" s="6"/>
      <c r="BF244" s="26"/>
      <c r="BG244" s="26"/>
      <c r="BH244" s="26"/>
      <c r="BI244" s="26"/>
      <c r="BJ244" s="26"/>
      <c r="BK244" s="26"/>
      <c r="BL244" s="26"/>
      <c r="BM244" s="26"/>
      <c r="BN244" s="26"/>
      <c r="BO244" s="26"/>
      <c r="BP244" s="26"/>
      <c r="BQ244" s="26"/>
      <c r="BR244" s="26"/>
      <c r="BS244" s="26"/>
      <c r="BT244" s="26"/>
      <c r="BU244" s="26"/>
      <c r="BV244" s="26"/>
      <c r="BW244" s="26"/>
      <c r="BX244" s="26"/>
      <c r="BY244" s="26"/>
      <c r="BZ244" s="26"/>
      <c r="CA244" s="26"/>
      <c r="CB244" s="26"/>
      <c r="CC244" s="26"/>
      <c r="CD244" s="26"/>
      <c r="CE244" s="26"/>
      <c r="CF244" s="26"/>
      <c r="CG244" s="26"/>
      <c r="CH244" s="26"/>
      <c r="CI244" s="26"/>
      <c r="CJ244" s="26"/>
      <c r="CK244" s="26"/>
      <c r="CL244" s="26"/>
      <c r="CM244" s="26"/>
      <c r="CN244" s="26"/>
      <c r="CO244" s="26"/>
    </row>
    <row r="245" spans="7:93" ht="12.75" hidden="1" customHeight="1" x14ac:dyDescent="0.25">
      <c r="G245" s="251">
        <f>IF(J234&gt;350,1,0)</f>
        <v>0</v>
      </c>
      <c r="H245" s="251">
        <f>IF(I217&gt;=400,1,0)</f>
        <v>0</v>
      </c>
      <c r="I245" s="251">
        <f>IF(G245+H245=2,400,0)</f>
        <v>0</v>
      </c>
      <c r="J245" s="251">
        <v>1</v>
      </c>
      <c r="L245" s="251">
        <f>IF(I217=400,1,0)</f>
        <v>0</v>
      </c>
      <c r="M245" s="251">
        <f>IF(I217&lt;401,1,0)</f>
        <v>1</v>
      </c>
      <c r="N245" s="253">
        <f t="shared" si="37"/>
        <v>0</v>
      </c>
      <c r="O245" s="256" t="s">
        <v>202</v>
      </c>
      <c r="P245" s="6"/>
      <c r="Q245" s="6"/>
      <c r="R245" s="6"/>
      <c r="S245" s="6"/>
      <c r="T245" s="6"/>
      <c r="U245" s="6"/>
      <c r="V245" s="6"/>
      <c r="W245" s="6"/>
      <c r="X245" s="6"/>
      <c r="Y245" s="6"/>
      <c r="Z245" s="6"/>
      <c r="AA245" s="6"/>
      <c r="BF245" s="26"/>
      <c r="BG245" s="26"/>
      <c r="BH245" s="26"/>
      <c r="BI245" s="26"/>
      <c r="BJ245" s="26"/>
      <c r="BK245" s="26"/>
      <c r="BL245" s="26"/>
      <c r="BM245" s="26"/>
      <c r="BN245" s="26"/>
      <c r="BO245" s="26"/>
      <c r="BP245" s="26"/>
      <c r="BQ245" s="26"/>
      <c r="BR245" s="26"/>
      <c r="BS245" s="26"/>
      <c r="BT245" s="26"/>
      <c r="BU245" s="26"/>
      <c r="BV245" s="26"/>
      <c r="BW245" s="26"/>
      <c r="BX245" s="26"/>
      <c r="BY245" s="26"/>
      <c r="BZ245" s="26"/>
      <c r="CA245" s="26"/>
      <c r="CB245" s="26"/>
      <c r="CC245" s="26"/>
      <c r="CD245" s="26"/>
      <c r="CE245" s="26"/>
      <c r="CF245" s="26"/>
      <c r="CG245" s="26"/>
      <c r="CH245" s="26"/>
      <c r="CI245" s="26"/>
      <c r="CJ245" s="26"/>
      <c r="CK245" s="26"/>
      <c r="CL245" s="26"/>
      <c r="CM245" s="26"/>
      <c r="CN245" s="26"/>
      <c r="CO245" s="26"/>
    </row>
    <row r="246" spans="7:93" ht="12.75" hidden="1" customHeight="1" x14ac:dyDescent="0.25">
      <c r="G246" s="251">
        <f>IF(J234&gt;400,1,0)</f>
        <v>0</v>
      </c>
      <c r="H246" s="251">
        <f>IF(I217&gt;=450,1,0)</f>
        <v>0</v>
      </c>
      <c r="I246" s="251">
        <f>IF(G246+H246=2,450,0)</f>
        <v>0</v>
      </c>
      <c r="J246" s="256" t="s">
        <v>153</v>
      </c>
      <c r="L246" s="251">
        <f>IF(I217=450,1,0)</f>
        <v>0</v>
      </c>
      <c r="M246" s="251">
        <f>IF(I217&lt;451,1,0)</f>
        <v>1</v>
      </c>
      <c r="N246" s="253">
        <f t="shared" si="37"/>
        <v>0</v>
      </c>
      <c r="O246" s="256" t="s">
        <v>203</v>
      </c>
      <c r="P246" s="6"/>
      <c r="Q246" s="6"/>
      <c r="R246" s="6"/>
      <c r="S246" s="6"/>
      <c r="T246" s="6"/>
      <c r="U246" s="6"/>
      <c r="V246" s="6"/>
      <c r="W246" s="6"/>
      <c r="X246" s="6"/>
      <c r="Y246" s="6"/>
      <c r="Z246" s="6"/>
      <c r="AA246" s="6"/>
      <c r="BF246" s="26"/>
      <c r="BG246" s="26"/>
      <c r="BH246" s="26"/>
      <c r="BI246" s="26"/>
      <c r="BJ246" s="26"/>
      <c r="BK246" s="26"/>
      <c r="BL246" s="26"/>
      <c r="BM246" s="26"/>
      <c r="BN246" s="26"/>
      <c r="BO246" s="26"/>
      <c r="BP246" s="26"/>
      <c r="BQ246" s="26"/>
      <c r="BR246" s="26"/>
      <c r="BS246" s="26"/>
      <c r="BT246" s="26"/>
      <c r="BU246" s="26"/>
      <c r="BV246" s="26"/>
      <c r="BW246" s="26"/>
      <c r="BX246" s="26"/>
      <c r="BY246" s="26"/>
      <c r="BZ246" s="26"/>
      <c r="CA246" s="26"/>
      <c r="CB246" s="26"/>
      <c r="CC246" s="26"/>
      <c r="CD246" s="26"/>
      <c r="CE246" s="26"/>
      <c r="CF246" s="26"/>
      <c r="CG246" s="26"/>
      <c r="CH246" s="26"/>
      <c r="CI246" s="26"/>
      <c r="CJ246" s="26"/>
      <c r="CK246" s="26"/>
      <c r="CL246" s="26"/>
      <c r="CM246" s="26"/>
      <c r="CN246" s="26"/>
      <c r="CO246" s="26"/>
    </row>
    <row r="247" spans="7:93" ht="12.75" hidden="1" customHeight="1" x14ac:dyDescent="0.25">
      <c r="G247" s="251">
        <f>IF(J234&gt;450,1,0)</f>
        <v>0</v>
      </c>
      <c r="H247" s="251">
        <f>IF(I217&gt;=500,1,0)</f>
        <v>0</v>
      </c>
      <c r="I247" s="251">
        <f>IF(G247+H247=2,500,0)</f>
        <v>0</v>
      </c>
      <c r="J247" s="256" t="s">
        <v>153</v>
      </c>
      <c r="L247" s="251">
        <f>IF(I217=500,1,0)</f>
        <v>0</v>
      </c>
      <c r="M247" s="251">
        <f>IF(I217&lt;501,1,0)</f>
        <v>1</v>
      </c>
      <c r="N247" s="253">
        <f t="shared" si="37"/>
        <v>0</v>
      </c>
      <c r="O247" s="256" t="s">
        <v>204</v>
      </c>
      <c r="P247" s="6"/>
      <c r="Q247" s="6"/>
      <c r="R247" s="6"/>
      <c r="S247" s="6"/>
      <c r="T247" s="6"/>
      <c r="U247" s="6"/>
      <c r="V247" s="6"/>
      <c r="W247" s="6"/>
      <c r="X247" s="6"/>
      <c r="Y247" s="6"/>
      <c r="Z247" s="6"/>
      <c r="AA247" s="6"/>
      <c r="BF247" s="26"/>
      <c r="BG247" s="26"/>
      <c r="BH247" s="26"/>
      <c r="BI247" s="26"/>
      <c r="BJ247" s="26"/>
      <c r="BK247" s="26"/>
      <c r="BL247" s="26"/>
      <c r="BM247" s="26"/>
      <c r="BN247" s="26"/>
      <c r="BO247" s="26"/>
      <c r="BP247" s="26"/>
      <c r="BQ247" s="26"/>
      <c r="BR247" s="26"/>
      <c r="BS247" s="26"/>
      <c r="BT247" s="26"/>
      <c r="BU247" s="26"/>
      <c r="BV247" s="26"/>
      <c r="BW247" s="26"/>
      <c r="BX247" s="26"/>
      <c r="BY247" s="26"/>
      <c r="BZ247" s="26"/>
      <c r="CA247" s="26"/>
      <c r="CB247" s="26"/>
      <c r="CC247" s="26"/>
      <c r="CD247" s="26"/>
      <c r="CE247" s="26"/>
      <c r="CF247" s="26"/>
      <c r="CG247" s="26"/>
      <c r="CH247" s="26"/>
      <c r="CI247" s="26"/>
      <c r="CJ247" s="26"/>
      <c r="CK247" s="26"/>
      <c r="CL247" s="26"/>
      <c r="CM247" s="26"/>
      <c r="CN247" s="26"/>
      <c r="CO247" s="26"/>
    </row>
    <row r="248" spans="7:93" ht="12.75" hidden="1" customHeight="1" x14ac:dyDescent="0.25">
      <c r="G248" s="245">
        <f>IF(I217&lt;10,0,I248)</f>
        <v>0</v>
      </c>
      <c r="H248" s="245">
        <f>SUM(H235:H247)</f>
        <v>0</v>
      </c>
      <c r="I248" s="242" t="e">
        <f>CHOOSE(H248,6,4,4,4,4,4,2,2,2,1,1,"1/0","1/0")</f>
        <v>#VALUE!</v>
      </c>
      <c r="J248" s="257">
        <f>IF(Y147,0,G248)</f>
        <v>0</v>
      </c>
      <c r="L248" s="258">
        <f>IF(Y147,0,N234)</f>
        <v>0</v>
      </c>
      <c r="M248" s="242">
        <f>SUM(M235:M247)</f>
        <v>13</v>
      </c>
      <c r="N248" s="242">
        <f>CHOOSE(O234,2,1,"1/0","2/0","3/0","4/0",250,300,350,500,600,1000,1250)</f>
        <v>2</v>
      </c>
      <c r="P248" s="6"/>
      <c r="Q248" s="6"/>
      <c r="R248" s="6"/>
      <c r="S248" s="6"/>
      <c r="T248" s="6"/>
      <c r="U248" s="6"/>
      <c r="V248" s="6"/>
      <c r="W248" s="6"/>
      <c r="X248" s="6"/>
      <c r="Y248" s="6"/>
      <c r="Z248" s="6"/>
      <c r="AA248" s="6"/>
      <c r="BF248" s="26"/>
      <c r="BG248" s="26"/>
      <c r="BH248" s="26"/>
      <c r="BI248" s="26"/>
      <c r="BJ248" s="26"/>
      <c r="BK248" s="26"/>
      <c r="BL248" s="26"/>
      <c r="BM248" s="26"/>
      <c r="BN248" s="26"/>
      <c r="BO248" s="26"/>
      <c r="BP248" s="26"/>
      <c r="BQ248" s="26"/>
      <c r="BR248" s="26"/>
      <c r="BS248" s="26"/>
      <c r="BT248" s="26"/>
      <c r="BU248" s="26"/>
      <c r="BV248" s="26"/>
      <c r="BW248" s="26"/>
      <c r="BX248" s="26"/>
      <c r="BY248" s="26"/>
      <c r="BZ248" s="26"/>
      <c r="CA248" s="26"/>
      <c r="CB248" s="26"/>
      <c r="CC248" s="26"/>
      <c r="CD248" s="26"/>
      <c r="CE248" s="26"/>
      <c r="CF248" s="26"/>
      <c r="CG248" s="26"/>
      <c r="CH248" s="26"/>
      <c r="CI248" s="26"/>
      <c r="CJ248" s="26"/>
      <c r="CK248" s="26"/>
      <c r="CL248" s="26"/>
      <c r="CM248" s="26"/>
      <c r="CN248" s="26"/>
      <c r="CO248" s="26"/>
    </row>
    <row r="249" spans="7:93" ht="12.75" hidden="1" customHeight="1" x14ac:dyDescent="0.25">
      <c r="L249" s="9" t="s">
        <v>205</v>
      </c>
      <c r="N249" s="234">
        <f>IF(L263=0,0,N263)</f>
        <v>0</v>
      </c>
      <c r="O249" s="235">
        <f>M263</f>
        <v>0</v>
      </c>
      <c r="P249" s="6"/>
      <c r="Q249" s="6"/>
      <c r="R249" s="6"/>
      <c r="S249" s="6"/>
      <c r="T249" s="6"/>
      <c r="U249" s="6"/>
      <c r="V249" s="6"/>
      <c r="W249" s="6"/>
      <c r="X249" s="6"/>
      <c r="Y249" s="6"/>
      <c r="Z249" s="6"/>
      <c r="AA249" s="6"/>
      <c r="BF249" s="26"/>
      <c r="BG249" s="26"/>
      <c r="BH249" s="26"/>
      <c r="BI249" s="26"/>
      <c r="BJ249" s="26"/>
      <c r="BK249" s="26"/>
      <c r="BL249" s="26"/>
      <c r="BM249" s="26"/>
      <c r="BN249" s="26"/>
      <c r="BO249" s="26"/>
      <c r="BP249" s="26"/>
      <c r="BQ249" s="26"/>
      <c r="BR249" s="26"/>
      <c r="BS249" s="26"/>
      <c r="BT249" s="26"/>
      <c r="BU249" s="26"/>
      <c r="BV249" s="26"/>
      <c r="BW249" s="26"/>
      <c r="BX249" s="26"/>
      <c r="BY249" s="26"/>
      <c r="BZ249" s="26"/>
      <c r="CA249" s="26"/>
      <c r="CB249" s="26"/>
      <c r="CC249" s="26"/>
      <c r="CD249" s="26"/>
      <c r="CE249" s="26"/>
      <c r="CF249" s="26"/>
      <c r="CG249" s="26"/>
      <c r="CH249" s="26"/>
      <c r="CI249" s="26"/>
      <c r="CJ249" s="26"/>
      <c r="CK249" s="26"/>
      <c r="CL249" s="26"/>
      <c r="CM249" s="26"/>
      <c r="CN249" s="26"/>
      <c r="CO249" s="26"/>
    </row>
    <row r="250" spans="7:93" ht="12.75" hidden="1" customHeight="1" x14ac:dyDescent="0.25">
      <c r="L250" s="251">
        <f>IF(L263&gt;1,1,0)</f>
        <v>0</v>
      </c>
      <c r="M250" s="251">
        <f>IF(L263&lt;=65,1,0)</f>
        <v>1</v>
      </c>
      <c r="N250" s="251">
        <f>IF(M250+L250=2,O250,0)</f>
        <v>0</v>
      </c>
      <c r="O250" s="251">
        <v>4</v>
      </c>
      <c r="P250" s="6"/>
      <c r="Q250" s="6"/>
      <c r="R250" s="6"/>
      <c r="S250" s="6"/>
      <c r="T250" s="6"/>
      <c r="U250" s="6"/>
      <c r="V250" s="6"/>
      <c r="W250" s="6"/>
      <c r="X250" s="6"/>
      <c r="Y250" s="6"/>
      <c r="Z250" s="6"/>
      <c r="AA250" s="6"/>
      <c r="BF250" s="26"/>
      <c r="BG250" s="26"/>
      <c r="BH250" s="26"/>
      <c r="BI250" s="26"/>
      <c r="BJ250" s="26"/>
      <c r="BK250" s="26"/>
      <c r="BL250" s="26"/>
      <c r="BM250" s="26"/>
      <c r="BN250" s="26"/>
      <c r="BO250" s="26"/>
      <c r="BP250" s="26"/>
      <c r="BQ250" s="26"/>
      <c r="BR250" s="26"/>
      <c r="BS250" s="26"/>
      <c r="BT250" s="26"/>
      <c r="BU250" s="26"/>
      <c r="BV250" s="26"/>
      <c r="BW250" s="26"/>
      <c r="BX250" s="26"/>
      <c r="BY250" s="26"/>
      <c r="BZ250" s="26"/>
      <c r="CA250" s="26"/>
      <c r="CB250" s="26"/>
      <c r="CC250" s="26"/>
      <c r="CD250" s="26"/>
      <c r="CE250" s="26"/>
      <c r="CF250" s="26"/>
      <c r="CG250" s="26"/>
      <c r="CH250" s="26"/>
      <c r="CI250" s="26"/>
      <c r="CJ250" s="26"/>
      <c r="CK250" s="26"/>
      <c r="CL250" s="26"/>
      <c r="CM250" s="26"/>
      <c r="CN250" s="26"/>
      <c r="CO250" s="26"/>
    </row>
    <row r="251" spans="7:93" ht="12.75" hidden="1" customHeight="1" x14ac:dyDescent="0.25">
      <c r="L251" s="251">
        <f>IF(L263&gt;65,1,0)</f>
        <v>0</v>
      </c>
      <c r="M251" s="251">
        <f>IF(L263&lt;=75,1,0)</f>
        <v>1</v>
      </c>
      <c r="N251" s="251">
        <f>IF(SUM(L251+M251)=2,O251,0)</f>
        <v>0</v>
      </c>
      <c r="O251" s="251">
        <v>3</v>
      </c>
      <c r="P251" s="6"/>
      <c r="Q251" s="6"/>
      <c r="R251" s="6"/>
      <c r="S251" s="6"/>
      <c r="T251" s="6"/>
      <c r="U251" s="6"/>
      <c r="V251" s="6"/>
      <c r="W251" s="6"/>
      <c r="X251" s="6"/>
      <c r="Y251" s="6"/>
      <c r="Z251" s="6"/>
      <c r="AA251" s="6"/>
      <c r="BF251" s="26"/>
      <c r="BG251" s="26"/>
      <c r="BH251" s="26"/>
      <c r="BI251" s="26"/>
      <c r="BJ251" s="26"/>
      <c r="BK251" s="26"/>
      <c r="BL251" s="26"/>
      <c r="BM251" s="26"/>
      <c r="BN251" s="26"/>
      <c r="BO251" s="26"/>
      <c r="BP251" s="26"/>
      <c r="BQ251" s="26"/>
      <c r="BR251" s="26"/>
      <c r="BS251" s="26"/>
      <c r="BT251" s="26"/>
      <c r="BU251" s="26"/>
      <c r="BV251" s="26"/>
      <c r="BW251" s="26"/>
      <c r="BX251" s="26"/>
      <c r="BY251" s="26"/>
      <c r="BZ251" s="26"/>
      <c r="CA251" s="26"/>
      <c r="CB251" s="26"/>
      <c r="CC251" s="26"/>
      <c r="CD251" s="26"/>
      <c r="CE251" s="26"/>
      <c r="CF251" s="26"/>
      <c r="CG251" s="26"/>
      <c r="CH251" s="26"/>
      <c r="CI251" s="26"/>
      <c r="CJ251" s="26"/>
      <c r="CK251" s="26"/>
      <c r="CL251" s="26"/>
      <c r="CM251" s="26"/>
      <c r="CN251" s="26"/>
      <c r="CO251" s="26"/>
    </row>
    <row r="252" spans="7:93" ht="12.75" hidden="1" customHeight="1" x14ac:dyDescent="0.25">
      <c r="L252" s="251">
        <f>IF(L263&gt;75,1,0)</f>
        <v>0</v>
      </c>
      <c r="M252" s="251">
        <f>IF(L263&lt;=90,1,0)</f>
        <v>1</v>
      </c>
      <c r="N252" s="251">
        <f>IF(L252+M252=2,O252,0)</f>
        <v>0</v>
      </c>
      <c r="O252" s="251">
        <v>2</v>
      </c>
      <c r="P252" s="6"/>
      <c r="Q252" s="6"/>
      <c r="R252" s="6"/>
      <c r="S252" s="6"/>
      <c r="T252" s="6"/>
      <c r="U252" s="6"/>
      <c r="V252" s="6"/>
      <c r="W252" s="6"/>
      <c r="X252" s="6"/>
      <c r="Y252" s="6"/>
      <c r="Z252" s="6"/>
      <c r="AA252" s="6"/>
      <c r="BF252" s="26"/>
      <c r="BG252" s="26"/>
      <c r="BH252" s="26"/>
      <c r="BI252" s="26"/>
      <c r="BJ252" s="26"/>
      <c r="BK252" s="26"/>
      <c r="BL252" s="26"/>
      <c r="BM252" s="26"/>
      <c r="BN252" s="26"/>
      <c r="BO252" s="26"/>
      <c r="BP252" s="26"/>
      <c r="BQ252" s="26"/>
      <c r="BR252" s="26"/>
      <c r="BS252" s="26"/>
      <c r="BT252" s="26"/>
      <c r="BU252" s="26"/>
      <c r="BV252" s="26"/>
      <c r="BW252" s="26"/>
      <c r="BX252" s="26"/>
      <c r="BY252" s="26"/>
      <c r="BZ252" s="26"/>
      <c r="CA252" s="26"/>
      <c r="CB252" s="26"/>
      <c r="CC252" s="26"/>
      <c r="CD252" s="26"/>
      <c r="CE252" s="26"/>
      <c r="CF252" s="26"/>
      <c r="CG252" s="26"/>
      <c r="CH252" s="26"/>
      <c r="CI252" s="26"/>
      <c r="CJ252" s="26"/>
      <c r="CK252" s="26"/>
      <c r="CL252" s="26"/>
      <c r="CM252" s="26"/>
      <c r="CN252" s="26"/>
      <c r="CO252" s="26"/>
    </row>
    <row r="253" spans="7:93" ht="12.75" hidden="1" customHeight="1" x14ac:dyDescent="0.25">
      <c r="H253" s="52" t="s">
        <v>218</v>
      </c>
      <c r="I253" s="52" t="s">
        <v>219</v>
      </c>
      <c r="L253" s="251">
        <f>IF(L263&gt;90,1,0)</f>
        <v>0</v>
      </c>
      <c r="M253" s="251">
        <f>IF(L263&lt;=100,1,0)</f>
        <v>1</v>
      </c>
      <c r="N253" s="251">
        <f>IF(L253+M253=2,1,0)</f>
        <v>0</v>
      </c>
      <c r="O253" s="251">
        <v>1</v>
      </c>
      <c r="P253" s="6"/>
      <c r="Q253" s="6"/>
      <c r="R253" s="6"/>
      <c r="S253" s="6"/>
      <c r="T253" s="6"/>
      <c r="U253" s="6"/>
      <c r="V253" s="52" t="s">
        <v>220</v>
      </c>
      <c r="W253" s="6"/>
      <c r="X253" s="6"/>
      <c r="Y253" s="6"/>
      <c r="Z253" s="6"/>
      <c r="AA253" s="6"/>
      <c r="BF253" s="26"/>
      <c r="BG253" s="26"/>
      <c r="BH253" s="26"/>
      <c r="BI253" s="26"/>
      <c r="BJ253" s="26"/>
      <c r="BK253" s="26"/>
      <c r="BL253" s="26"/>
      <c r="BM253" s="26"/>
      <c r="BN253" s="26"/>
      <c r="BO253" s="26"/>
      <c r="BP253" s="26"/>
      <c r="BQ253" s="26"/>
      <c r="BR253" s="26"/>
      <c r="BS253" s="26"/>
      <c r="BT253" s="26"/>
      <c r="BU253" s="26"/>
      <c r="BV253" s="26"/>
      <c r="BW253" s="26"/>
      <c r="BX253" s="26"/>
      <c r="BY253" s="26"/>
      <c r="BZ253" s="26"/>
      <c r="CA253" s="26"/>
      <c r="CB253" s="26"/>
      <c r="CC253" s="26"/>
      <c r="CD253" s="26"/>
      <c r="CE253" s="26"/>
      <c r="CF253" s="26"/>
      <c r="CG253" s="26"/>
      <c r="CH253" s="26"/>
      <c r="CI253" s="26"/>
      <c r="CJ253" s="26"/>
      <c r="CK253" s="26"/>
      <c r="CL253" s="26"/>
      <c r="CM253" s="26"/>
      <c r="CN253" s="26"/>
      <c r="CO253" s="26"/>
    </row>
    <row r="254" spans="7:93" ht="12.75" hidden="1" customHeight="1" x14ac:dyDescent="0.25">
      <c r="G254" s="259" t="s">
        <v>221</v>
      </c>
      <c r="H254" s="259"/>
      <c r="I254" s="234" t="str">
        <f>IF(G268&lt;30," ",I268)</f>
        <v xml:space="preserve"> </v>
      </c>
      <c r="J254" s="235">
        <f>(14-H268)</f>
        <v>1</v>
      </c>
      <c r="L254" s="251">
        <f>IF(L263&gt;100,1,0)</f>
        <v>0</v>
      </c>
      <c r="M254" s="251">
        <f>IF(L263&lt;=120,1,0)</f>
        <v>1</v>
      </c>
      <c r="N254" s="251">
        <f t="shared" ref="N254:N262" si="38">IF(L254+M254=2,O254,0)</f>
        <v>0</v>
      </c>
      <c r="O254" s="256" t="s">
        <v>153</v>
      </c>
      <c r="P254" s="6"/>
      <c r="Q254" s="6"/>
      <c r="R254" s="6"/>
      <c r="S254" s="6"/>
      <c r="T254" s="6"/>
      <c r="U254" s="227" t="s">
        <v>221</v>
      </c>
      <c r="V254" s="227"/>
      <c r="W254" s="260" t="str">
        <f>IF(U268&lt;30," ",W268)</f>
        <v xml:space="preserve"> </v>
      </c>
      <c r="X254" s="261">
        <f>(14-V268)</f>
        <v>1</v>
      </c>
      <c r="Y254" s="6"/>
      <c r="Z254" s="6"/>
      <c r="AA254" s="6"/>
      <c r="BF254" s="26"/>
      <c r="BG254" s="26"/>
      <c r="BH254" s="26"/>
      <c r="BI254" s="26"/>
      <c r="BJ254" s="26"/>
      <c r="BK254" s="26"/>
      <c r="BL254" s="26"/>
      <c r="BM254" s="26"/>
      <c r="BN254" s="26"/>
      <c r="BO254" s="26"/>
      <c r="BP254" s="26"/>
      <c r="BQ254" s="26"/>
      <c r="BR254" s="26"/>
      <c r="BS254" s="26"/>
      <c r="BT254" s="26"/>
      <c r="BU254" s="26"/>
      <c r="BV254" s="26"/>
      <c r="BW254" s="26"/>
      <c r="BX254" s="26"/>
      <c r="BY254" s="26"/>
      <c r="BZ254" s="26"/>
      <c r="CA254" s="26"/>
      <c r="CB254" s="26"/>
      <c r="CC254" s="26"/>
      <c r="CD254" s="26"/>
      <c r="CE254" s="26"/>
      <c r="CF254" s="26"/>
      <c r="CG254" s="26"/>
      <c r="CH254" s="26"/>
      <c r="CI254" s="26"/>
      <c r="CJ254" s="26"/>
      <c r="CK254" s="26"/>
      <c r="CL254" s="26"/>
      <c r="CM254" s="26"/>
      <c r="CN254" s="26"/>
      <c r="CO254" s="26"/>
    </row>
    <row r="255" spans="7:93" ht="12.75" hidden="1" customHeight="1" x14ac:dyDescent="0.25">
      <c r="G255" s="236">
        <f>IF(G268=100,1,0)</f>
        <v>0</v>
      </c>
      <c r="H255" s="236">
        <f>IF(G268&lt;=100,1,0)</f>
        <v>1</v>
      </c>
      <c r="I255" s="236">
        <f>IF(H255+G255=2,1,0)</f>
        <v>0</v>
      </c>
      <c r="J255" s="237">
        <v>4</v>
      </c>
      <c r="L255" s="251">
        <f>IF(L263&gt;120,1,0)</f>
        <v>0</v>
      </c>
      <c r="M255" s="251">
        <f>IF(L263&lt;=135,1,0)</f>
        <v>1</v>
      </c>
      <c r="N255" s="251">
        <f t="shared" si="38"/>
        <v>0</v>
      </c>
      <c r="O255" s="256" t="s">
        <v>198</v>
      </c>
      <c r="P255" s="6"/>
      <c r="Q255" s="6"/>
      <c r="R255" s="6"/>
      <c r="S255" s="6"/>
      <c r="T255" s="6"/>
      <c r="U255" s="243">
        <f>IF(U268=100,1,0)</f>
        <v>0</v>
      </c>
      <c r="V255" s="243">
        <f>IF(U268&lt;=100,1,0)</f>
        <v>1</v>
      </c>
      <c r="W255" s="243">
        <f>IF(V255+U255=2,1,0)</f>
        <v>0</v>
      </c>
      <c r="X255" s="262">
        <v>4</v>
      </c>
      <c r="Y255" s="6"/>
      <c r="Z255" s="6"/>
      <c r="AA255" s="6"/>
      <c r="BF255" s="26"/>
      <c r="BG255" s="26"/>
      <c r="BH255" s="26"/>
      <c r="BI255" s="26"/>
      <c r="BJ255" s="26"/>
      <c r="BK255" s="26"/>
      <c r="BL255" s="26"/>
      <c r="BM255" s="26"/>
      <c r="BN255" s="26"/>
      <c r="BO255" s="26"/>
      <c r="BP255" s="26"/>
      <c r="BQ255" s="26"/>
      <c r="BR255" s="26"/>
      <c r="BS255" s="26"/>
      <c r="BT255" s="26"/>
      <c r="BU255" s="26"/>
      <c r="BV255" s="26"/>
      <c r="BW255" s="26"/>
      <c r="BX255" s="26"/>
      <c r="BY255" s="26"/>
      <c r="BZ255" s="26"/>
      <c r="CA255" s="26"/>
      <c r="CB255" s="26"/>
      <c r="CC255" s="26"/>
      <c r="CD255" s="26"/>
      <c r="CE255" s="26"/>
      <c r="CF255" s="26"/>
      <c r="CG255" s="26"/>
      <c r="CH255" s="26"/>
      <c r="CI255" s="26"/>
      <c r="CJ255" s="26"/>
      <c r="CK255" s="26"/>
      <c r="CL255" s="26"/>
      <c r="CM255" s="26"/>
      <c r="CN255" s="26"/>
      <c r="CO255" s="26"/>
    </row>
    <row r="256" spans="7:93" ht="12.75" hidden="1" customHeight="1" x14ac:dyDescent="0.25">
      <c r="G256" s="236">
        <f>IF(G268=110,1,0)</f>
        <v>0</v>
      </c>
      <c r="H256" s="236">
        <f>IF(G268&lt;111,1,0)</f>
        <v>1</v>
      </c>
      <c r="I256" s="238">
        <f t="shared" ref="I256:I258" si="39">IF(SUM(G256+H256)=2,1.25,0)</f>
        <v>0</v>
      </c>
      <c r="J256" s="239" t="s">
        <v>147</v>
      </c>
      <c r="L256" s="251">
        <f>IF(L263&gt;135,1,0)</f>
        <v>0</v>
      </c>
      <c r="M256" s="251">
        <f>IF(L263&lt;=155,1,0)</f>
        <v>1</v>
      </c>
      <c r="N256" s="251">
        <f t="shared" si="38"/>
        <v>0</v>
      </c>
      <c r="O256" s="256" t="s">
        <v>199</v>
      </c>
      <c r="P256" s="6"/>
      <c r="Q256" s="6"/>
      <c r="R256" s="6"/>
      <c r="S256" s="6"/>
      <c r="T256" s="6"/>
      <c r="U256" s="243">
        <f>IF(U268=110,1,0)</f>
        <v>0</v>
      </c>
      <c r="V256" s="243">
        <f>IF(U268&lt;111,1,0)</f>
        <v>1</v>
      </c>
      <c r="W256" s="263">
        <f t="shared" ref="W256:W258" si="40">IF(SUM(U256+V256)=2,1.25,0)</f>
        <v>0</v>
      </c>
      <c r="X256" s="264" t="s">
        <v>147</v>
      </c>
      <c r="Y256" s="6"/>
      <c r="Z256" s="6"/>
      <c r="AA256" s="6"/>
      <c r="BF256" s="26"/>
      <c r="BG256" s="26"/>
      <c r="BH256" s="26"/>
      <c r="BI256" s="26"/>
      <c r="BJ256" s="26"/>
      <c r="BK256" s="26"/>
      <c r="BL256" s="26"/>
      <c r="BM256" s="26"/>
      <c r="BN256" s="26"/>
      <c r="BO256" s="26"/>
      <c r="BP256" s="26"/>
      <c r="BQ256" s="26"/>
      <c r="BR256" s="26"/>
      <c r="BS256" s="26"/>
      <c r="BT256" s="26"/>
      <c r="BU256" s="26"/>
      <c r="BV256" s="26"/>
      <c r="BW256" s="26"/>
      <c r="BX256" s="26"/>
      <c r="BY256" s="26"/>
      <c r="BZ256" s="26"/>
      <c r="CA256" s="26"/>
      <c r="CB256" s="26"/>
      <c r="CC256" s="26"/>
      <c r="CD256" s="26"/>
      <c r="CE256" s="26"/>
      <c r="CF256" s="26"/>
      <c r="CG256" s="26"/>
      <c r="CH256" s="26"/>
      <c r="CI256" s="26"/>
      <c r="CJ256" s="26"/>
      <c r="CK256" s="26"/>
      <c r="CL256" s="26"/>
      <c r="CM256" s="26"/>
      <c r="CN256" s="26"/>
      <c r="CO256" s="26"/>
    </row>
    <row r="257" spans="5:93" ht="12.75" hidden="1" customHeight="1" x14ac:dyDescent="0.25">
      <c r="E257" s="85"/>
      <c r="G257" s="236">
        <f>IF(G268=125,1,0)</f>
        <v>0</v>
      </c>
      <c r="H257" s="236">
        <f>IF(G268&lt;126,1,0)</f>
        <v>1</v>
      </c>
      <c r="I257" s="238">
        <f t="shared" si="39"/>
        <v>0</v>
      </c>
      <c r="J257" s="239" t="s">
        <v>149</v>
      </c>
      <c r="L257" s="251">
        <f>IF(L263&gt;155,1,0)</f>
        <v>0</v>
      </c>
      <c r="M257" s="251">
        <f>IF(L263&lt;=180,1,0)</f>
        <v>1</v>
      </c>
      <c r="N257" s="251">
        <f t="shared" si="38"/>
        <v>0</v>
      </c>
      <c r="O257" s="256" t="s">
        <v>200</v>
      </c>
      <c r="P257" s="6"/>
      <c r="Q257" s="6"/>
      <c r="R257" s="6"/>
      <c r="S257" s="6"/>
      <c r="T257" s="6"/>
      <c r="U257" s="243">
        <f>IF(U268=125,1,0)</f>
        <v>0</v>
      </c>
      <c r="V257" s="243">
        <f>IF(U268&lt;126,1,0)</f>
        <v>1</v>
      </c>
      <c r="W257" s="263">
        <f t="shared" si="40"/>
        <v>0</v>
      </c>
      <c r="X257" s="264" t="s">
        <v>149</v>
      </c>
      <c r="Y257" s="6"/>
      <c r="Z257" s="6"/>
      <c r="AA257" s="6"/>
      <c r="BF257" s="26"/>
      <c r="BG257" s="26"/>
      <c r="BH257" s="26"/>
      <c r="BI257" s="26"/>
      <c r="BJ257" s="26"/>
      <c r="BK257" s="26"/>
      <c r="BL257" s="26"/>
      <c r="BM257" s="26"/>
      <c r="BN257" s="26"/>
      <c r="BO257" s="26"/>
      <c r="BP257" s="26"/>
      <c r="BQ257" s="26"/>
      <c r="BR257" s="26"/>
      <c r="BS257" s="26"/>
      <c r="BT257" s="26"/>
      <c r="BU257" s="26"/>
      <c r="BV257" s="26"/>
      <c r="BW257" s="26"/>
      <c r="BX257" s="26"/>
      <c r="BY257" s="26"/>
      <c r="BZ257" s="26"/>
      <c r="CA257" s="26"/>
      <c r="CB257" s="26"/>
      <c r="CC257" s="26"/>
      <c r="CD257" s="26"/>
      <c r="CE257" s="26"/>
      <c r="CF257" s="26"/>
      <c r="CG257" s="26"/>
      <c r="CH257" s="26"/>
      <c r="CI257" s="26"/>
      <c r="CJ257" s="26"/>
      <c r="CK257" s="26"/>
      <c r="CL257" s="26"/>
      <c r="CM257" s="26"/>
      <c r="CN257" s="26"/>
      <c r="CO257" s="26"/>
    </row>
    <row r="258" spans="5:93" ht="12.75" hidden="1" customHeight="1" x14ac:dyDescent="0.25">
      <c r="G258" s="236">
        <f>IF(G268=150,1,0)</f>
        <v>0</v>
      </c>
      <c r="H258" s="236">
        <f>IF(G268&lt;151,1,0)</f>
        <v>1</v>
      </c>
      <c r="I258" s="238">
        <f t="shared" si="39"/>
        <v>0</v>
      </c>
      <c r="J258" s="239" t="s">
        <v>151</v>
      </c>
      <c r="L258" s="251">
        <f>IF(L263&gt;=180,1,0)</f>
        <v>0</v>
      </c>
      <c r="M258" s="251">
        <f>IF(L263&lt;=205,1,0)</f>
        <v>1</v>
      </c>
      <c r="N258" s="251">
        <f t="shared" si="38"/>
        <v>0</v>
      </c>
      <c r="O258" s="251">
        <v>250</v>
      </c>
      <c r="P258" s="6"/>
      <c r="Q258" s="6"/>
      <c r="R258" s="6"/>
      <c r="S258" s="6"/>
      <c r="T258" s="6"/>
      <c r="U258" s="243">
        <f>IF(U268=150,1,0)</f>
        <v>0</v>
      </c>
      <c r="V258" s="243">
        <f>IF(U268&lt;151,1,0)</f>
        <v>1</v>
      </c>
      <c r="W258" s="263">
        <f t="shared" si="40"/>
        <v>0</v>
      </c>
      <c r="X258" s="264" t="s">
        <v>151</v>
      </c>
      <c r="Y258" s="6"/>
      <c r="Z258" s="6"/>
      <c r="AA258" s="6"/>
      <c r="BF258" s="26"/>
      <c r="BG258" s="26"/>
      <c r="BH258" s="26"/>
      <c r="BI258" s="26"/>
      <c r="BJ258" s="26"/>
      <c r="BK258" s="26"/>
      <c r="BL258" s="26"/>
      <c r="BM258" s="26"/>
      <c r="BN258" s="26"/>
      <c r="BO258" s="26"/>
      <c r="BP258" s="26"/>
      <c r="BQ258" s="26"/>
      <c r="BR258" s="26"/>
      <c r="BS258" s="26"/>
      <c r="BT258" s="26"/>
      <c r="BU258" s="26"/>
      <c r="BV258" s="26"/>
      <c r="BW258" s="26"/>
      <c r="BX258" s="26"/>
      <c r="BY258" s="26"/>
      <c r="BZ258" s="26"/>
      <c r="CA258" s="26"/>
      <c r="CB258" s="26"/>
      <c r="CC258" s="26"/>
      <c r="CD258" s="26"/>
      <c r="CE258" s="26"/>
      <c r="CF258" s="26"/>
      <c r="CG258" s="26"/>
      <c r="CH258" s="26"/>
      <c r="CI258" s="26"/>
      <c r="CJ258" s="26"/>
      <c r="CK258" s="26"/>
      <c r="CL258" s="26"/>
      <c r="CM258" s="26"/>
      <c r="CN258" s="26"/>
      <c r="CO258" s="26"/>
    </row>
    <row r="259" spans="5:93" ht="12.75" hidden="1" customHeight="1" x14ac:dyDescent="0.25">
      <c r="G259" s="236">
        <f>IF(G268=175,1,0)</f>
        <v>0</v>
      </c>
      <c r="H259" s="236">
        <f>IF(G268&lt;176,1,0)</f>
        <v>1</v>
      </c>
      <c r="I259" s="238">
        <f t="shared" ref="I259:I260" si="41">IF(SUM(G259+H259)=2,1.5,0)</f>
        <v>0</v>
      </c>
      <c r="J259" s="240" t="s">
        <v>180</v>
      </c>
      <c r="L259" s="251">
        <f>IF(L263&gt;205,1,0)</f>
        <v>0</v>
      </c>
      <c r="M259" s="251">
        <f>IF(L263&lt;=230,1,0)</f>
        <v>1</v>
      </c>
      <c r="N259" s="251">
        <f t="shared" si="38"/>
        <v>0</v>
      </c>
      <c r="O259" s="251">
        <v>300</v>
      </c>
      <c r="P259" s="6"/>
      <c r="Q259" s="6"/>
      <c r="R259" s="6"/>
      <c r="S259" s="6"/>
      <c r="T259" s="6"/>
      <c r="U259" s="243">
        <f>IF(U268=175,1,0)</f>
        <v>0</v>
      </c>
      <c r="V259" s="243">
        <f>IF(U268&lt;176,1,0)</f>
        <v>1</v>
      </c>
      <c r="W259" s="263">
        <f t="shared" ref="W259:W260" si="42">IF(SUM(U259+V259)=2,1.5,0)</f>
        <v>0</v>
      </c>
      <c r="X259" s="255" t="s">
        <v>180</v>
      </c>
      <c r="Y259" s="6"/>
      <c r="Z259" s="6"/>
      <c r="AA259" s="6"/>
      <c r="BF259" s="26"/>
      <c r="BG259" s="26"/>
      <c r="BH259" s="26"/>
      <c r="BI259" s="26"/>
      <c r="BJ259" s="26"/>
      <c r="BK259" s="26"/>
      <c r="BL259" s="26"/>
      <c r="BM259" s="26"/>
      <c r="BN259" s="26"/>
      <c r="BO259" s="26"/>
      <c r="BP259" s="26"/>
      <c r="BQ259" s="26"/>
      <c r="BR259" s="26"/>
      <c r="BS259" s="26"/>
      <c r="BT259" s="26"/>
      <c r="BU259" s="26"/>
      <c r="BV259" s="26"/>
      <c r="BW259" s="26"/>
      <c r="BX259" s="26"/>
      <c r="BY259" s="26"/>
      <c r="BZ259" s="26"/>
      <c r="CA259" s="26"/>
      <c r="CB259" s="26"/>
      <c r="CC259" s="26"/>
      <c r="CD259" s="26"/>
      <c r="CE259" s="26"/>
      <c r="CF259" s="26"/>
      <c r="CG259" s="26"/>
      <c r="CH259" s="26"/>
      <c r="CI259" s="26"/>
      <c r="CJ259" s="26"/>
      <c r="CK259" s="26"/>
      <c r="CL259" s="26"/>
      <c r="CM259" s="26"/>
      <c r="CN259" s="26"/>
      <c r="CO259" s="26"/>
    </row>
    <row r="260" spans="5:93" ht="12.75" hidden="1" customHeight="1" x14ac:dyDescent="0.25">
      <c r="G260" s="236">
        <f>IF(G268=200,1,0)</f>
        <v>0</v>
      </c>
      <c r="H260" s="236">
        <f>IF(G268&lt;201,1,0)</f>
        <v>1</v>
      </c>
      <c r="I260" s="238">
        <f t="shared" si="41"/>
        <v>0</v>
      </c>
      <c r="J260" s="240" t="s">
        <v>155</v>
      </c>
      <c r="L260" s="251">
        <f>IF(L263&gt;230,1,0)</f>
        <v>0</v>
      </c>
      <c r="M260" s="251">
        <f>IF(L263&lt;=250,1,0)</f>
        <v>1</v>
      </c>
      <c r="N260" s="251">
        <f t="shared" si="38"/>
        <v>0</v>
      </c>
      <c r="O260" s="251">
        <v>350</v>
      </c>
      <c r="P260" s="6"/>
      <c r="Q260" s="6"/>
      <c r="R260" s="6"/>
      <c r="S260" s="6"/>
      <c r="T260" s="6"/>
      <c r="U260" s="243">
        <f>IF(U268=200,1,0)</f>
        <v>0</v>
      </c>
      <c r="V260" s="243">
        <f>IF(U268&lt;201,1,0)</f>
        <v>1</v>
      </c>
      <c r="W260" s="263">
        <f t="shared" si="42"/>
        <v>0</v>
      </c>
      <c r="X260" s="255" t="s">
        <v>155</v>
      </c>
      <c r="Y260" s="6"/>
      <c r="Z260" s="6"/>
      <c r="AA260" s="6"/>
      <c r="BF260" s="26"/>
      <c r="BG260" s="26"/>
      <c r="BH260" s="26"/>
      <c r="BI260" s="26"/>
      <c r="BJ260" s="26"/>
      <c r="BK260" s="26"/>
      <c r="BL260" s="26"/>
      <c r="BM260" s="26"/>
      <c r="BN260" s="26"/>
      <c r="BO260" s="26"/>
      <c r="BP260" s="26"/>
      <c r="BQ260" s="26"/>
      <c r="BR260" s="26"/>
      <c r="BS260" s="26"/>
      <c r="BT260" s="26"/>
      <c r="BU260" s="26"/>
      <c r="BV260" s="26"/>
      <c r="BW260" s="26"/>
      <c r="BX260" s="26"/>
      <c r="BY260" s="26"/>
      <c r="BZ260" s="26"/>
      <c r="CA260" s="26"/>
      <c r="CB260" s="26"/>
      <c r="CC260" s="26"/>
      <c r="CD260" s="26"/>
      <c r="CE260" s="26"/>
      <c r="CF260" s="26"/>
      <c r="CG260" s="26"/>
      <c r="CH260" s="26"/>
      <c r="CI260" s="26"/>
      <c r="CJ260" s="26"/>
      <c r="CK260" s="26"/>
      <c r="CL260" s="26"/>
      <c r="CM260" s="26"/>
      <c r="CN260" s="26"/>
      <c r="CO260" s="26"/>
    </row>
    <row r="261" spans="5:93" ht="12.75" hidden="1" customHeight="1" x14ac:dyDescent="0.25">
      <c r="G261" s="236">
        <f>IF(G268=225,1,0)</f>
        <v>0</v>
      </c>
      <c r="H261" s="236">
        <f>IF(G268&lt;226,1,0)</f>
        <v>1</v>
      </c>
      <c r="I261" s="238">
        <f t="shared" ref="I261:I263" si="43">IF(SUM(G261+H261)=2,2,0)</f>
        <v>0</v>
      </c>
      <c r="J261" s="240" t="s">
        <v>157</v>
      </c>
      <c r="L261" s="251">
        <f>IF(L263&gt;250,1,0)</f>
        <v>0</v>
      </c>
      <c r="M261" s="251">
        <f>IF(L263&lt;=270,1,0)</f>
        <v>1</v>
      </c>
      <c r="N261" s="251">
        <f t="shared" si="38"/>
        <v>0</v>
      </c>
      <c r="O261" s="251">
        <v>400</v>
      </c>
      <c r="P261" s="6"/>
      <c r="Q261" s="6"/>
      <c r="R261" s="6"/>
      <c r="S261" s="6"/>
      <c r="T261" s="6"/>
      <c r="U261" s="243">
        <f>IF(U268=225,1,0)</f>
        <v>0</v>
      </c>
      <c r="V261" s="243">
        <f>IF(U268&lt;226,1,0)</f>
        <v>1</v>
      </c>
      <c r="W261" s="263">
        <f t="shared" ref="W261:W263" si="44">IF(SUM(U261+V261)=2,2,0)</f>
        <v>0</v>
      </c>
      <c r="X261" s="255" t="s">
        <v>157</v>
      </c>
      <c r="Y261" s="6"/>
      <c r="Z261" s="6"/>
      <c r="AA261" s="6"/>
      <c r="BF261" s="26"/>
      <c r="BG261" s="26"/>
      <c r="BH261" s="26"/>
      <c r="BI261" s="26"/>
      <c r="BJ261" s="26"/>
      <c r="BK261" s="26"/>
      <c r="BL261" s="26"/>
      <c r="BM261" s="26"/>
      <c r="BN261" s="26"/>
      <c r="BO261" s="26"/>
      <c r="BP261" s="26"/>
      <c r="BQ261" s="26"/>
      <c r="BR261" s="26"/>
      <c r="BS261" s="26"/>
      <c r="BT261" s="26"/>
      <c r="BU261" s="26"/>
      <c r="BV261" s="26"/>
      <c r="BW261" s="26"/>
      <c r="BX261" s="26"/>
      <c r="BY261" s="26"/>
      <c r="BZ261" s="26"/>
      <c r="CA261" s="26"/>
      <c r="CB261" s="26"/>
      <c r="CC261" s="26"/>
      <c r="CD261" s="26"/>
      <c r="CE261" s="26"/>
      <c r="CF261" s="26"/>
      <c r="CG261" s="26"/>
      <c r="CH261" s="26"/>
      <c r="CI261" s="26"/>
      <c r="CJ261" s="26"/>
      <c r="CK261" s="26"/>
      <c r="CL261" s="26"/>
      <c r="CM261" s="26"/>
      <c r="CN261" s="26"/>
      <c r="CO261" s="26"/>
    </row>
    <row r="262" spans="5:93" ht="12.75" hidden="1" customHeight="1" x14ac:dyDescent="0.25">
      <c r="G262" s="236">
        <f>IF(G268=250,1,0)</f>
        <v>0</v>
      </c>
      <c r="H262" s="236">
        <f>IF(G268&lt;251,1,0)</f>
        <v>1</v>
      </c>
      <c r="I262" s="238">
        <f t="shared" si="43"/>
        <v>0</v>
      </c>
      <c r="J262" s="240" t="s">
        <v>159</v>
      </c>
      <c r="L262" s="251">
        <f>IF(L263&gt;270,1,0)</f>
        <v>0</v>
      </c>
      <c r="M262" s="251">
        <f>IF(L263&lt;=310,1,0)</f>
        <v>1</v>
      </c>
      <c r="N262" s="251">
        <f t="shared" si="38"/>
        <v>0</v>
      </c>
      <c r="O262" s="251">
        <v>500</v>
      </c>
      <c r="P262" s="6"/>
      <c r="Q262" s="6"/>
      <c r="R262" s="6"/>
      <c r="S262" s="6"/>
      <c r="T262" s="6"/>
      <c r="U262" s="243">
        <f>IF(U268=250,1,0)</f>
        <v>0</v>
      </c>
      <c r="V262" s="243">
        <f>IF(U268&lt;251,1,0)</f>
        <v>1</v>
      </c>
      <c r="W262" s="263">
        <f t="shared" si="44"/>
        <v>0</v>
      </c>
      <c r="X262" s="255" t="s">
        <v>159</v>
      </c>
      <c r="Y262" s="6"/>
      <c r="Z262" s="6"/>
      <c r="AA262" s="6"/>
      <c r="BF262" s="26"/>
      <c r="BG262" s="26"/>
      <c r="BH262" s="26"/>
      <c r="BI262" s="26"/>
      <c r="BJ262" s="26"/>
      <c r="BK262" s="26"/>
      <c r="BL262" s="26"/>
      <c r="BM262" s="26"/>
      <c r="BN262" s="26"/>
      <c r="BO262" s="26"/>
      <c r="BP262" s="26"/>
      <c r="BQ262" s="26"/>
      <c r="BR262" s="26"/>
      <c r="BS262" s="26"/>
      <c r="BT262" s="26"/>
      <c r="BU262" s="26"/>
      <c r="BV262" s="26"/>
      <c r="BW262" s="26"/>
      <c r="BX262" s="26"/>
      <c r="BY262" s="26"/>
      <c r="BZ262" s="26"/>
      <c r="CA262" s="26"/>
      <c r="CB262" s="26"/>
      <c r="CC262" s="26"/>
      <c r="CD262" s="26"/>
      <c r="CE262" s="26"/>
      <c r="CF262" s="26"/>
      <c r="CG262" s="26"/>
      <c r="CH262" s="26"/>
      <c r="CI262" s="26"/>
      <c r="CJ262" s="26"/>
      <c r="CK262" s="26"/>
      <c r="CL262" s="26"/>
      <c r="CM262" s="26"/>
      <c r="CN262" s="26"/>
      <c r="CO262" s="26"/>
    </row>
    <row r="263" spans="5:93" ht="12.75" hidden="1" customHeight="1" x14ac:dyDescent="0.25">
      <c r="G263" s="236">
        <f>IF(G268=300,1,0)</f>
        <v>0</v>
      </c>
      <c r="H263" s="236">
        <f>IF(G268&lt;301,1,0)</f>
        <v>1</v>
      </c>
      <c r="I263" s="238">
        <f t="shared" si="43"/>
        <v>0</v>
      </c>
      <c r="J263" s="240" t="s">
        <v>161</v>
      </c>
      <c r="L263" s="150">
        <f>L232</f>
        <v>0</v>
      </c>
      <c r="M263" s="242">
        <f>SUM(L250:L262)</f>
        <v>0</v>
      </c>
      <c r="N263" s="242" t="e">
        <f>CHOOSE(O249,4,3,2,1,"1/0","2/0","3/0","4/0",250,300,350,400,500)</f>
        <v>#VALUE!</v>
      </c>
      <c r="P263" s="6"/>
      <c r="Q263" s="6"/>
      <c r="R263" s="6"/>
      <c r="S263" s="6"/>
      <c r="T263" s="6"/>
      <c r="U263" s="243">
        <f>IF(U268=300,1,0)</f>
        <v>0</v>
      </c>
      <c r="V263" s="243">
        <f>IF(U268&lt;301,1,0)</f>
        <v>1</v>
      </c>
      <c r="W263" s="263">
        <f t="shared" si="44"/>
        <v>0</v>
      </c>
      <c r="X263" s="255" t="s">
        <v>161</v>
      </c>
      <c r="Y263" s="6"/>
      <c r="Z263" s="6"/>
      <c r="AA263" s="6"/>
      <c r="BF263" s="26"/>
      <c r="BG263" s="26"/>
      <c r="BH263" s="26"/>
      <c r="BI263" s="26"/>
      <c r="BJ263" s="26"/>
      <c r="BK263" s="26"/>
      <c r="BL263" s="26"/>
      <c r="BM263" s="26"/>
      <c r="BN263" s="26"/>
      <c r="BO263" s="26"/>
      <c r="BP263" s="26"/>
      <c r="BQ263" s="26"/>
      <c r="BR263" s="26"/>
      <c r="BS263" s="26"/>
      <c r="BT263" s="26"/>
      <c r="BU263" s="26"/>
      <c r="BV263" s="26"/>
      <c r="BW263" s="26"/>
      <c r="BX263" s="26"/>
      <c r="BY263" s="26"/>
      <c r="BZ263" s="26"/>
      <c r="CA263" s="26"/>
      <c r="CB263" s="26"/>
      <c r="CC263" s="26"/>
      <c r="CD263" s="26"/>
      <c r="CE263" s="26"/>
      <c r="CF263" s="26"/>
      <c r="CG263" s="26"/>
      <c r="CH263" s="26"/>
      <c r="CI263" s="26"/>
      <c r="CJ263" s="26"/>
      <c r="CK263" s="26"/>
      <c r="CL263" s="26"/>
      <c r="CM263" s="26"/>
      <c r="CN263" s="26"/>
      <c r="CO263" s="26"/>
    </row>
    <row r="264" spans="5:93" ht="12.75" hidden="1" customHeight="1" x14ac:dyDescent="0.25">
      <c r="G264" s="236">
        <f>IF(G268=350,1,0)</f>
        <v>0</v>
      </c>
      <c r="H264" s="236">
        <f>IF(G268&lt;351,1,0)</f>
        <v>1</v>
      </c>
      <c r="I264" s="238">
        <f t="shared" ref="I264:I266" si="45">IF(SUM(G264+H264)=2,2.5,0)</f>
        <v>0</v>
      </c>
      <c r="J264" s="240" t="s">
        <v>188</v>
      </c>
      <c r="P264" s="6"/>
      <c r="Q264" s="6"/>
      <c r="R264" s="6"/>
      <c r="S264" s="6"/>
      <c r="T264" s="6"/>
      <c r="U264" s="243">
        <f>IF(U268=350,1,0)</f>
        <v>0</v>
      </c>
      <c r="V264" s="243">
        <f>IF(U268&lt;351,1,0)</f>
        <v>1</v>
      </c>
      <c r="W264" s="263">
        <f t="shared" ref="W264:W266" si="46">IF(SUM(U264+V264)=2,2.5,0)</f>
        <v>0</v>
      </c>
      <c r="X264" s="255" t="s">
        <v>188</v>
      </c>
      <c r="Y264" s="6"/>
      <c r="Z264" s="6"/>
      <c r="AA264" s="6"/>
      <c r="BF264" s="26"/>
      <c r="BG264" s="26"/>
      <c r="BH264" s="26"/>
      <c r="BI264" s="26"/>
      <c r="BJ264" s="26"/>
      <c r="BK264" s="26"/>
      <c r="BL264" s="26"/>
      <c r="BM264" s="26"/>
      <c r="BN264" s="26"/>
      <c r="BO264" s="26"/>
      <c r="BP264" s="26"/>
      <c r="BQ264" s="26"/>
      <c r="BR264" s="26"/>
      <c r="BS264" s="26"/>
      <c r="BT264" s="26"/>
      <c r="BU264" s="26"/>
      <c r="BV264" s="26"/>
      <c r="BW264" s="26"/>
      <c r="BX264" s="26"/>
      <c r="BY264" s="26"/>
      <c r="BZ264" s="26"/>
      <c r="CA264" s="26"/>
      <c r="CB264" s="26"/>
      <c r="CC264" s="26"/>
      <c r="CD264" s="26"/>
      <c r="CE264" s="26"/>
      <c r="CF264" s="26"/>
      <c r="CG264" s="26"/>
      <c r="CH264" s="26"/>
      <c r="CI264" s="26"/>
      <c r="CJ264" s="26"/>
      <c r="CK264" s="26"/>
      <c r="CL264" s="26"/>
      <c r="CM264" s="26"/>
      <c r="CN264" s="26"/>
      <c r="CO264" s="26"/>
    </row>
    <row r="265" spans="5:93" ht="12.75" hidden="1" customHeight="1" x14ac:dyDescent="0.25">
      <c r="G265" s="236">
        <f>IF(G268=400,1,0)</f>
        <v>0</v>
      </c>
      <c r="H265" s="236">
        <f>IF(G268&lt;401,1,0)</f>
        <v>1</v>
      </c>
      <c r="I265" s="238">
        <f t="shared" si="45"/>
        <v>0</v>
      </c>
      <c r="J265" s="240" t="s">
        <v>163</v>
      </c>
      <c r="L265" s="52" t="s">
        <v>222</v>
      </c>
      <c r="M265" s="52" t="s">
        <v>218</v>
      </c>
      <c r="P265" s="6"/>
      <c r="Q265" s="6"/>
      <c r="R265" s="6"/>
      <c r="S265" s="6"/>
      <c r="T265" s="6"/>
      <c r="U265" s="243">
        <f>IF(U268=400,1,0)</f>
        <v>0</v>
      </c>
      <c r="V265" s="243">
        <f>IF(U268&lt;401,1,0)</f>
        <v>1</v>
      </c>
      <c r="W265" s="263">
        <f t="shared" si="46"/>
        <v>0</v>
      </c>
      <c r="X265" s="255" t="s">
        <v>163</v>
      </c>
      <c r="Y265" s="6"/>
      <c r="Z265" s="6"/>
      <c r="AA265" s="6"/>
      <c r="BF265" s="26"/>
      <c r="BG265" s="26"/>
      <c r="BH265" s="26"/>
      <c r="BI265" s="26"/>
      <c r="BJ265" s="26"/>
      <c r="BK265" s="26"/>
      <c r="BL265" s="26"/>
      <c r="BM265" s="26"/>
      <c r="BN265" s="26"/>
      <c r="BO265" s="26"/>
      <c r="BP265" s="26"/>
      <c r="BQ265" s="26"/>
      <c r="BR265" s="26"/>
      <c r="BS265" s="26"/>
      <c r="BT265" s="26"/>
      <c r="BU265" s="26"/>
      <c r="BV265" s="26"/>
      <c r="BW265" s="26"/>
      <c r="BX265" s="26"/>
      <c r="BY265" s="26"/>
      <c r="BZ265" s="26"/>
      <c r="CA265" s="26"/>
      <c r="CB265" s="26"/>
      <c r="CC265" s="26"/>
      <c r="CD265" s="26"/>
      <c r="CE265" s="26"/>
      <c r="CF265" s="26"/>
      <c r="CG265" s="26"/>
      <c r="CH265" s="26"/>
      <c r="CI265" s="26"/>
      <c r="CJ265" s="26"/>
      <c r="CK265" s="26"/>
      <c r="CL265" s="26"/>
      <c r="CM265" s="26"/>
      <c r="CN265" s="26"/>
      <c r="CO265" s="26"/>
    </row>
    <row r="266" spans="5:93" ht="12.75" hidden="1" customHeight="1" x14ac:dyDescent="0.25">
      <c r="G266" s="236">
        <f>IF(G268=450,1,0)</f>
        <v>0</v>
      </c>
      <c r="H266" s="236">
        <f>IF(G268&lt;451,1,0)</f>
        <v>1</v>
      </c>
      <c r="I266" s="238">
        <f t="shared" si="45"/>
        <v>0</v>
      </c>
      <c r="J266" s="240" t="s">
        <v>165</v>
      </c>
      <c r="L266" s="259" t="s">
        <v>223</v>
      </c>
      <c r="M266" s="259"/>
      <c r="N266" s="234">
        <f>IF(L280&lt;30,0,N280)</f>
        <v>0</v>
      </c>
      <c r="O266" s="235">
        <f>(14-M280)</f>
        <v>1</v>
      </c>
      <c r="P266" s="6"/>
      <c r="Q266" s="6"/>
      <c r="R266" s="6"/>
      <c r="S266" s="6"/>
      <c r="T266" s="6"/>
      <c r="U266" s="243">
        <f>IF(U268=450,1,0)</f>
        <v>0</v>
      </c>
      <c r="V266" s="243">
        <f>IF(U268&lt;451,1,0)</f>
        <v>1</v>
      </c>
      <c r="W266" s="263">
        <f t="shared" si="46"/>
        <v>0</v>
      </c>
      <c r="X266" s="255" t="s">
        <v>165</v>
      </c>
      <c r="Y266" s="6"/>
      <c r="Z266" s="6"/>
      <c r="AA266" s="6"/>
      <c r="BF266" s="26"/>
      <c r="BG266" s="26"/>
      <c r="BH266" s="26"/>
      <c r="BI266" s="26"/>
      <c r="BJ266" s="26"/>
      <c r="BK266" s="26"/>
      <c r="BL266" s="26"/>
      <c r="BM266" s="26"/>
      <c r="BN266" s="26"/>
      <c r="BO266" s="26"/>
      <c r="BP266" s="26"/>
      <c r="BQ266" s="26"/>
      <c r="BR266" s="26"/>
      <c r="BS266" s="26"/>
      <c r="BT266" s="26"/>
      <c r="BU266" s="26"/>
      <c r="BV266" s="26"/>
      <c r="BW266" s="26"/>
      <c r="BX266" s="26"/>
      <c r="BY266" s="26"/>
      <c r="BZ266" s="26"/>
      <c r="CA266" s="26"/>
      <c r="CB266" s="26"/>
      <c r="CC266" s="26"/>
      <c r="CD266" s="26"/>
      <c r="CE266" s="26"/>
      <c r="CF266" s="26"/>
      <c r="CG266" s="26"/>
      <c r="CH266" s="26"/>
      <c r="CI266" s="26"/>
      <c r="CJ266" s="26"/>
      <c r="CK266" s="26"/>
      <c r="CL266" s="26"/>
      <c r="CM266" s="26"/>
      <c r="CN266" s="26"/>
      <c r="CO266" s="26"/>
    </row>
    <row r="267" spans="5:93" ht="12.75" hidden="1" customHeight="1" x14ac:dyDescent="0.25">
      <c r="G267" s="236">
        <f>IF(G268=500,1,0)</f>
        <v>0</v>
      </c>
      <c r="H267" s="236">
        <f>IF(G268&lt;501,1,0)</f>
        <v>1</v>
      </c>
      <c r="I267" s="238">
        <f>IF(SUM(G267+H267)=2,3,0)</f>
        <v>0</v>
      </c>
      <c r="J267" s="240" t="s">
        <v>192</v>
      </c>
      <c r="L267" s="236">
        <f>IF(L280=100,1,0)</f>
        <v>0</v>
      </c>
      <c r="M267" s="236">
        <f>IF(L280&lt;=100,1,0)</f>
        <v>1</v>
      </c>
      <c r="N267" s="236">
        <f>IF(M267+L267=2,1.25,0)</f>
        <v>0</v>
      </c>
      <c r="O267" s="237">
        <v>2</v>
      </c>
      <c r="P267" s="6"/>
      <c r="Q267" s="6"/>
      <c r="R267" s="6"/>
      <c r="S267" s="6"/>
      <c r="T267" s="6"/>
      <c r="U267" s="243">
        <f>IF(U268=500,1,0)</f>
        <v>0</v>
      </c>
      <c r="V267" s="243">
        <f>IF(U268&lt;501,1,0)</f>
        <v>1</v>
      </c>
      <c r="W267" s="263">
        <f>IF(SUM(U267+V267)=2,3,0)</f>
        <v>0</v>
      </c>
      <c r="X267" s="255" t="s">
        <v>192</v>
      </c>
      <c r="Y267" s="6"/>
      <c r="Z267" s="6"/>
      <c r="AA267" s="6"/>
      <c r="BF267" s="26"/>
      <c r="BG267" s="26"/>
      <c r="BH267" s="26"/>
      <c r="BI267" s="26"/>
      <c r="BJ267" s="26"/>
      <c r="BK267" s="26"/>
      <c r="BL267" s="26"/>
      <c r="BM267" s="26"/>
      <c r="BN267" s="26"/>
      <c r="BO267" s="26"/>
      <c r="BP267" s="26"/>
      <c r="BQ267" s="26"/>
      <c r="BR267" s="26"/>
      <c r="BS267" s="26"/>
      <c r="BT267" s="26"/>
      <c r="BU267" s="26"/>
      <c r="BV267" s="26"/>
      <c r="BW267" s="26"/>
      <c r="BX267" s="26"/>
      <c r="BY267" s="26"/>
      <c r="BZ267" s="26"/>
      <c r="CA267" s="26"/>
      <c r="CB267" s="26"/>
      <c r="CC267" s="26"/>
      <c r="CD267" s="26"/>
      <c r="CE267" s="26"/>
      <c r="CF267" s="26"/>
      <c r="CG267" s="26"/>
      <c r="CH267" s="26"/>
      <c r="CI267" s="26"/>
      <c r="CJ267" s="26"/>
      <c r="CK267" s="26"/>
      <c r="CL267" s="26"/>
      <c r="CM267" s="26"/>
      <c r="CN267" s="26"/>
      <c r="CO267" s="26"/>
    </row>
    <row r="268" spans="5:93" ht="12.75" hidden="1" customHeight="1" x14ac:dyDescent="0.25">
      <c r="E268" s="150">
        <f>BH87</f>
        <v>0</v>
      </c>
      <c r="G268" s="150">
        <f>IF(Y147,BE4,BH87)</f>
        <v>0</v>
      </c>
      <c r="H268" s="242">
        <f>SUM(H255:H267)</f>
        <v>13</v>
      </c>
      <c r="I268" s="242">
        <f>CHOOSE(J254,1,1.25,1.25,1.25,1.5,1.5,2,2,2,2.5,2.5,2.5,3)</f>
        <v>1</v>
      </c>
      <c r="L268" s="236">
        <f>IF(L280=110,1,0)</f>
        <v>0</v>
      </c>
      <c r="M268" s="236">
        <f>IF(L280&lt;111,1,0)</f>
        <v>1</v>
      </c>
      <c r="N268" s="238">
        <f>IF(SUM(L268+M268)=2,1.25,0)</f>
        <v>0</v>
      </c>
      <c r="O268" s="239">
        <v>1</v>
      </c>
      <c r="P268" s="6"/>
      <c r="Q268" s="6"/>
      <c r="R268" s="6"/>
      <c r="S268" s="6"/>
      <c r="T268" s="6"/>
      <c r="U268" s="6">
        <f>BS8</f>
        <v>0</v>
      </c>
      <c r="V268" s="243">
        <f>SUM(V255:V267)</f>
        <v>13</v>
      </c>
      <c r="W268" s="243">
        <f>CHOOSE(X254,1,1.25,1.25,1.25,1.5,1.5,2,2,2,2.5,2.5,2.5,3)</f>
        <v>1</v>
      </c>
      <c r="X268" s="6"/>
      <c r="Y268" s="6"/>
      <c r="Z268" s="6"/>
      <c r="AA268" s="6"/>
      <c r="BF268" s="26"/>
      <c r="BG268" s="26"/>
      <c r="BH268" s="26"/>
      <c r="BI268" s="26"/>
      <c r="BJ268" s="26"/>
      <c r="BK268" s="26"/>
      <c r="BL268" s="26"/>
      <c r="BM268" s="26"/>
      <c r="BN268" s="26"/>
      <c r="BO268" s="26"/>
      <c r="BP268" s="26"/>
      <c r="BQ268" s="26"/>
      <c r="BR268" s="26"/>
      <c r="BS268" s="26"/>
      <c r="BT268" s="26"/>
      <c r="BU268" s="26"/>
      <c r="BV268" s="26"/>
      <c r="BW268" s="26"/>
      <c r="BX268" s="26"/>
      <c r="BY268" s="26"/>
      <c r="BZ268" s="26"/>
      <c r="CA268" s="26"/>
      <c r="CB268" s="26"/>
      <c r="CC268" s="26"/>
      <c r="CD268" s="26"/>
      <c r="CE268" s="26"/>
      <c r="CF268" s="26"/>
      <c r="CG268" s="26"/>
      <c r="CH268" s="26"/>
      <c r="CI268" s="26"/>
      <c r="CJ268" s="26"/>
      <c r="CK268" s="26"/>
      <c r="CL268" s="26"/>
      <c r="CM268" s="26"/>
      <c r="CN268" s="26"/>
      <c r="CO268" s="26"/>
    </row>
    <row r="269" spans="5:93" ht="12.75" hidden="1" customHeight="1" x14ac:dyDescent="0.25">
      <c r="L269" s="236">
        <f>IF(L280=125,1,0)</f>
        <v>0</v>
      </c>
      <c r="M269" s="236">
        <f>IF(L280&lt;126,1,0)</f>
        <v>1</v>
      </c>
      <c r="N269" s="238">
        <f t="shared" ref="N269:N270" si="47">IF(SUM(L269+M269)=2,1.5,0)</f>
        <v>0</v>
      </c>
      <c r="O269" s="240" t="s">
        <v>153</v>
      </c>
      <c r="P269" s="6"/>
      <c r="Q269" s="6"/>
      <c r="R269" s="6"/>
      <c r="S269" s="6"/>
      <c r="T269" s="6"/>
      <c r="U269" s="6"/>
      <c r="V269" s="6"/>
      <c r="W269" s="6"/>
      <c r="X269" s="6"/>
      <c r="Y269" s="6"/>
      <c r="Z269" s="6"/>
      <c r="AA269" s="6"/>
      <c r="BF269" s="26"/>
      <c r="BG269" s="26"/>
      <c r="BH269" s="26"/>
      <c r="BI269" s="26"/>
      <c r="BJ269" s="26"/>
      <c r="BK269" s="26"/>
      <c r="BL269" s="26"/>
      <c r="BM269" s="26"/>
      <c r="BN269" s="26"/>
      <c r="BO269" s="26"/>
      <c r="BP269" s="26"/>
      <c r="BQ269" s="26"/>
      <c r="BR269" s="26"/>
      <c r="BS269" s="26"/>
      <c r="BT269" s="26"/>
      <c r="BU269" s="26"/>
      <c r="BV269" s="26"/>
      <c r="BW269" s="26"/>
      <c r="BX269" s="26"/>
      <c r="BY269" s="26"/>
      <c r="BZ269" s="26"/>
      <c r="CA269" s="26"/>
      <c r="CB269" s="26"/>
      <c r="CC269" s="26"/>
      <c r="CD269" s="26"/>
      <c r="CE269" s="26"/>
      <c r="CF269" s="26"/>
      <c r="CG269" s="26"/>
      <c r="CH269" s="26"/>
      <c r="CI269" s="26"/>
      <c r="CJ269" s="26"/>
      <c r="CK269" s="26"/>
      <c r="CL269" s="26"/>
      <c r="CM269" s="26"/>
      <c r="CN269" s="26"/>
      <c r="CO269" s="26"/>
    </row>
    <row r="270" spans="5:93" ht="12.75" hidden="1" customHeight="1" x14ac:dyDescent="0.25">
      <c r="L270" s="236">
        <f>IF(L280=150,1,0)</f>
        <v>0</v>
      </c>
      <c r="M270" s="236">
        <f>IF(L280&lt;151,1,0)</f>
        <v>1</v>
      </c>
      <c r="N270" s="238">
        <f t="shared" si="47"/>
        <v>0</v>
      </c>
      <c r="O270" s="240" t="s">
        <v>198</v>
      </c>
      <c r="P270" s="6"/>
      <c r="Q270" s="6"/>
      <c r="R270" s="6"/>
      <c r="S270" s="6"/>
      <c r="T270" s="6"/>
      <c r="U270" s="6" t="s">
        <v>224</v>
      </c>
      <c r="V270" s="6"/>
      <c r="W270" s="6"/>
      <c r="X270" s="6"/>
      <c r="Y270" s="6"/>
      <c r="Z270" s="6"/>
      <c r="AA270" s="6"/>
      <c r="BF270" s="26"/>
      <c r="BG270" s="26"/>
      <c r="BH270" s="26"/>
      <c r="BI270" s="26"/>
      <c r="BJ270" s="26"/>
      <c r="BK270" s="26"/>
      <c r="BL270" s="26"/>
      <c r="BM270" s="26"/>
      <c r="BN270" s="26"/>
      <c r="BO270" s="26"/>
      <c r="BP270" s="26"/>
      <c r="BQ270" s="26"/>
      <c r="BR270" s="26"/>
      <c r="BS270" s="26"/>
      <c r="BT270" s="26"/>
      <c r="BU270" s="26"/>
      <c r="BV270" s="26"/>
      <c r="BW270" s="26"/>
      <c r="BX270" s="26"/>
      <c r="BY270" s="26"/>
      <c r="BZ270" s="26"/>
      <c r="CA270" s="26"/>
      <c r="CB270" s="26"/>
      <c r="CC270" s="26"/>
      <c r="CD270" s="26"/>
      <c r="CE270" s="26"/>
      <c r="CF270" s="26"/>
      <c r="CG270" s="26"/>
      <c r="CH270" s="26"/>
      <c r="CI270" s="26"/>
      <c r="CJ270" s="26"/>
      <c r="CK270" s="26"/>
      <c r="CL270" s="26"/>
      <c r="CM270" s="26"/>
      <c r="CN270" s="26"/>
      <c r="CO270" s="26"/>
    </row>
    <row r="271" spans="5:93" ht="12.75" hidden="1" customHeight="1" x14ac:dyDescent="0.25">
      <c r="H271" s="52" t="s">
        <v>225</v>
      </c>
      <c r="I271" s="9" t="s">
        <v>226</v>
      </c>
      <c r="L271" s="236">
        <f>IF(L280=175,1,0)</f>
        <v>0</v>
      </c>
      <c r="M271" s="236">
        <f>IF(L280&lt;176,1,0)</f>
        <v>1</v>
      </c>
      <c r="N271" s="238">
        <f t="shared" ref="N271:N274" si="48">IF(SUM(L271+M271)=2,2,0)</f>
        <v>0</v>
      </c>
      <c r="O271" s="240" t="s">
        <v>199</v>
      </c>
      <c r="P271" s="6"/>
      <c r="Q271" s="6"/>
      <c r="R271" s="6"/>
      <c r="S271" s="6"/>
      <c r="T271" s="6"/>
      <c r="U271" s="243">
        <f>IF(X284&gt;1,1,0)</f>
        <v>0</v>
      </c>
      <c r="V271" s="243">
        <f>IF(X284&gt;=100,1,0)</f>
        <v>0</v>
      </c>
      <c r="W271" s="243">
        <f>IF(V271+U271=2,100,0)</f>
        <v>0</v>
      </c>
      <c r="X271" s="243">
        <v>8</v>
      </c>
      <c r="Y271" s="6"/>
      <c r="Z271" s="6"/>
      <c r="AA271" s="6"/>
      <c r="BF271" s="26"/>
      <c r="BG271" s="26"/>
      <c r="BH271" s="26"/>
      <c r="BI271" s="26"/>
      <c r="BJ271" s="26"/>
      <c r="BK271" s="26"/>
      <c r="BL271" s="26"/>
      <c r="BM271" s="26"/>
      <c r="BN271" s="26"/>
      <c r="BO271" s="26"/>
      <c r="BP271" s="26"/>
      <c r="BQ271" s="26"/>
      <c r="BR271" s="26"/>
      <c r="BS271" s="26"/>
      <c r="BT271" s="26"/>
      <c r="BU271" s="26"/>
      <c r="BV271" s="26"/>
      <c r="BW271" s="26"/>
      <c r="BX271" s="26"/>
      <c r="BY271" s="26"/>
      <c r="BZ271" s="26"/>
      <c r="CA271" s="26"/>
      <c r="CB271" s="26"/>
      <c r="CC271" s="26"/>
      <c r="CD271" s="26"/>
      <c r="CE271" s="26"/>
      <c r="CF271" s="26"/>
      <c r="CG271" s="26"/>
      <c r="CH271" s="26"/>
      <c r="CI271" s="26"/>
      <c r="CJ271" s="26"/>
      <c r="CK271" s="26"/>
      <c r="CL271" s="26"/>
      <c r="CM271" s="26"/>
      <c r="CN271" s="26"/>
      <c r="CO271" s="26"/>
    </row>
    <row r="272" spans="5:93" ht="12.75" hidden="1" customHeight="1" x14ac:dyDescent="0.25">
      <c r="G272" s="259" t="s">
        <v>227</v>
      </c>
      <c r="H272" s="259"/>
      <c r="I272" s="265" t="str">
        <f>IF(G285&lt;30," ",I285)</f>
        <v xml:space="preserve"> </v>
      </c>
      <c r="J272" s="266">
        <f>(14-H285)</f>
        <v>2</v>
      </c>
      <c r="L272" s="236">
        <f>IF(L280=200,1,0)</f>
        <v>0</v>
      </c>
      <c r="M272" s="236">
        <f>IF(L280&lt;201,1,0)</f>
        <v>1</v>
      </c>
      <c r="N272" s="238">
        <f t="shared" si="48"/>
        <v>0</v>
      </c>
      <c r="O272" s="240" t="s">
        <v>200</v>
      </c>
      <c r="P272" s="6"/>
      <c r="Q272" s="6"/>
      <c r="R272" s="6"/>
      <c r="S272" s="6"/>
      <c r="T272" s="6"/>
      <c r="U272" s="243">
        <f>IF(X284&gt;100,1,0)</f>
        <v>0</v>
      </c>
      <c r="V272" s="243">
        <f>IF(X284&gt;=110,1,0)</f>
        <v>0</v>
      </c>
      <c r="W272" s="243">
        <f>IF(SUM(U272+V272)=2,110,0)</f>
        <v>0</v>
      </c>
      <c r="X272" s="243">
        <v>6</v>
      </c>
      <c r="Y272" s="6"/>
      <c r="Z272" s="6"/>
      <c r="AA272" s="6"/>
      <c r="BF272" s="26"/>
      <c r="BG272" s="26"/>
      <c r="BH272" s="26"/>
      <c r="BI272" s="26"/>
      <c r="BJ272" s="26"/>
      <c r="BK272" s="26"/>
      <c r="BL272" s="26"/>
      <c r="BM272" s="26"/>
      <c r="BN272" s="26"/>
      <c r="BO272" s="26"/>
      <c r="BP272" s="26"/>
      <c r="BQ272" s="26"/>
      <c r="BR272" s="26"/>
      <c r="BS272" s="26"/>
      <c r="BT272" s="26"/>
      <c r="BU272" s="26"/>
      <c r="BV272" s="26"/>
      <c r="BW272" s="26"/>
      <c r="BX272" s="26"/>
      <c r="BY272" s="26"/>
      <c r="BZ272" s="26"/>
      <c r="CA272" s="26"/>
      <c r="CB272" s="26"/>
      <c r="CC272" s="26"/>
      <c r="CD272" s="26"/>
      <c r="CE272" s="26"/>
      <c r="CF272" s="26"/>
      <c r="CG272" s="26"/>
      <c r="CH272" s="26"/>
      <c r="CI272" s="26"/>
      <c r="CJ272" s="26"/>
      <c r="CK272" s="26"/>
      <c r="CL272" s="26"/>
      <c r="CM272" s="26"/>
      <c r="CN272" s="26"/>
      <c r="CO272" s="26"/>
    </row>
    <row r="273" spans="7:93" ht="12.75" hidden="1" customHeight="1" x14ac:dyDescent="0.25">
      <c r="G273" s="242">
        <f>IF(G285=100,1,0)</f>
        <v>0</v>
      </c>
      <c r="H273" s="242">
        <f>IF(G285&lt;=100,1,0)</f>
        <v>1</v>
      </c>
      <c r="I273" s="242">
        <f>IF(H273+G273=2,1.25,0)</f>
        <v>0</v>
      </c>
      <c r="J273" s="267">
        <v>3</v>
      </c>
      <c r="L273" s="236">
        <f>IF(L280=225,1,0)</f>
        <v>0</v>
      </c>
      <c r="M273" s="236">
        <f>IF(L280&lt;226,1,0)</f>
        <v>1</v>
      </c>
      <c r="N273" s="238">
        <f t="shared" si="48"/>
        <v>0</v>
      </c>
      <c r="O273" s="240" t="s">
        <v>161</v>
      </c>
      <c r="P273" s="6"/>
      <c r="Q273" s="6"/>
      <c r="R273" s="6"/>
      <c r="S273" s="6"/>
      <c r="T273" s="6"/>
      <c r="U273" s="243">
        <f>IF(X284&gt;110,1,0)</f>
        <v>0</v>
      </c>
      <c r="V273" s="243">
        <f>IF(X284&gt;=125,1,0)</f>
        <v>0</v>
      </c>
      <c r="W273" s="243">
        <f>IF(U273+V273=2,125,0)</f>
        <v>0</v>
      </c>
      <c r="X273" s="243">
        <v>6</v>
      </c>
      <c r="Y273" s="6"/>
      <c r="Z273" s="6"/>
      <c r="AA273" s="6"/>
      <c r="BF273" s="26"/>
      <c r="BG273" s="26"/>
      <c r="BH273" s="26"/>
      <c r="BI273" s="26"/>
      <c r="BJ273" s="26"/>
      <c r="BK273" s="26"/>
      <c r="BL273" s="26"/>
      <c r="BM273" s="26"/>
      <c r="BN273" s="26"/>
      <c r="BO273" s="26"/>
      <c r="BP273" s="26"/>
      <c r="BQ273" s="26"/>
      <c r="BR273" s="26"/>
      <c r="BS273" s="26"/>
      <c r="BT273" s="26"/>
      <c r="BU273" s="26"/>
      <c r="BV273" s="26"/>
      <c r="BW273" s="26"/>
      <c r="BX273" s="26"/>
      <c r="BY273" s="26"/>
      <c r="BZ273" s="26"/>
      <c r="CA273" s="26"/>
      <c r="CB273" s="26"/>
      <c r="CC273" s="26"/>
      <c r="CD273" s="26"/>
      <c r="CE273" s="26"/>
      <c r="CF273" s="26"/>
      <c r="CG273" s="26"/>
      <c r="CH273" s="26"/>
      <c r="CI273" s="26"/>
      <c r="CJ273" s="26"/>
      <c r="CK273" s="26"/>
      <c r="CL273" s="26"/>
      <c r="CM273" s="26"/>
      <c r="CN273" s="26"/>
      <c r="CO273" s="26"/>
    </row>
    <row r="274" spans="7:93" ht="12.75" hidden="1" customHeight="1" x14ac:dyDescent="0.25">
      <c r="G274" s="242">
        <f>IF(G285=125,1,0)</f>
        <v>0</v>
      </c>
      <c r="H274" s="242">
        <f>IF(G285&lt;126,1,0)</f>
        <v>1</v>
      </c>
      <c r="I274" s="268">
        <f>IF(SUM(G274+H274)=2,1.25,0)</f>
        <v>0</v>
      </c>
      <c r="J274" s="269">
        <v>1</v>
      </c>
      <c r="L274" s="236">
        <f>IF(L280=250,1,0)</f>
        <v>0</v>
      </c>
      <c r="M274" s="236">
        <f>IF(L280&lt;251,1,0)</f>
        <v>1</v>
      </c>
      <c r="N274" s="238">
        <f t="shared" si="48"/>
        <v>0</v>
      </c>
      <c r="O274" s="240" t="s">
        <v>188</v>
      </c>
      <c r="P274" s="6"/>
      <c r="Q274" s="6"/>
      <c r="R274" s="6"/>
      <c r="S274" s="6"/>
      <c r="T274" s="6"/>
      <c r="U274" s="243">
        <f>IF(X284&gt;125,1,0)</f>
        <v>0</v>
      </c>
      <c r="V274" s="243">
        <f>IF(X284&gt;=150,1,0)</f>
        <v>0</v>
      </c>
      <c r="W274" s="243">
        <f>IF(U274+V274=2,150,0)</f>
        <v>0</v>
      </c>
      <c r="X274" s="243">
        <v>6</v>
      </c>
      <c r="Y274" s="6"/>
      <c r="Z274" s="6"/>
      <c r="AA274" s="6"/>
      <c r="BF274" s="26"/>
      <c r="BG274" s="26"/>
      <c r="BH274" s="26"/>
      <c r="BI274" s="26"/>
      <c r="BJ274" s="26"/>
      <c r="BK274" s="26"/>
      <c r="BL274" s="26"/>
      <c r="BM274" s="26"/>
      <c r="BN274" s="26"/>
      <c r="BO274" s="26"/>
      <c r="BP274" s="26"/>
      <c r="BQ274" s="26"/>
      <c r="BR274" s="26"/>
      <c r="BS274" s="26"/>
      <c r="BT274" s="26"/>
      <c r="BU274" s="26"/>
      <c r="BV274" s="26"/>
      <c r="BW274" s="26"/>
      <c r="BX274" s="26"/>
      <c r="BY274" s="26"/>
      <c r="BZ274" s="26"/>
      <c r="CA274" s="26"/>
      <c r="CB274" s="26"/>
      <c r="CC274" s="26"/>
      <c r="CD274" s="26"/>
      <c r="CE274" s="26"/>
      <c r="CF274" s="26"/>
      <c r="CG274" s="26"/>
      <c r="CH274" s="26"/>
      <c r="CI274" s="26"/>
      <c r="CJ274" s="26"/>
      <c r="CK274" s="26"/>
      <c r="CL274" s="26"/>
      <c r="CM274" s="26"/>
      <c r="CN274" s="26"/>
      <c r="CO274" s="26"/>
    </row>
    <row r="275" spans="7:93" ht="12.75" hidden="1" customHeight="1" x14ac:dyDescent="0.25">
      <c r="G275" s="242">
        <f>IF(G285=150,1,0)</f>
        <v>0</v>
      </c>
      <c r="H275" s="242">
        <f>IF(G285&lt;151,1,0)</f>
        <v>1</v>
      </c>
      <c r="I275" s="268">
        <f t="shared" ref="I275:I276" si="49">IF(SUM(G275+H275)=2,1.5,0)</f>
        <v>0</v>
      </c>
      <c r="J275" s="270" t="s">
        <v>180</v>
      </c>
      <c r="L275" s="236">
        <f>IF(L280=300,1,0)</f>
        <v>0</v>
      </c>
      <c r="M275" s="236">
        <f>IF(L280&lt;301,1,0)</f>
        <v>1</v>
      </c>
      <c r="N275" s="238">
        <f>IF(SUM(L275+M275)=2,2.5,0)</f>
        <v>0</v>
      </c>
      <c r="O275" s="240" t="s">
        <v>163</v>
      </c>
      <c r="P275" s="6"/>
      <c r="Q275" s="6"/>
      <c r="R275" s="6"/>
      <c r="S275" s="6"/>
      <c r="T275" s="6"/>
      <c r="U275" s="243">
        <f>IF(X284&gt;150,1,0)</f>
        <v>0</v>
      </c>
      <c r="V275" s="243">
        <f>IF(X284&gt;=175,1,0)</f>
        <v>0</v>
      </c>
      <c r="W275" s="243">
        <f>IF(U275+V275=2,175,0)</f>
        <v>0</v>
      </c>
      <c r="X275" s="243">
        <v>6</v>
      </c>
      <c r="Y275" s="6"/>
      <c r="Z275" s="6"/>
      <c r="AA275" s="6"/>
      <c r="BF275" s="26"/>
      <c r="BG275" s="26"/>
      <c r="BH275" s="26"/>
      <c r="BI275" s="26"/>
      <c r="BJ275" s="26"/>
      <c r="BK275" s="26"/>
      <c r="BL275" s="26"/>
      <c r="BM275" s="26"/>
      <c r="BN275" s="26"/>
      <c r="BO275" s="26"/>
      <c r="BP275" s="26"/>
      <c r="BQ275" s="26"/>
      <c r="BR275" s="26"/>
      <c r="BS275" s="26"/>
      <c r="BT275" s="26"/>
      <c r="BU275" s="26"/>
      <c r="BV275" s="26"/>
      <c r="BW275" s="26"/>
      <c r="BX275" s="26"/>
      <c r="BY275" s="26"/>
      <c r="BZ275" s="26"/>
      <c r="CA275" s="26"/>
      <c r="CB275" s="26"/>
      <c r="CC275" s="26"/>
      <c r="CD275" s="26"/>
      <c r="CE275" s="26"/>
      <c r="CF275" s="26"/>
      <c r="CG275" s="26"/>
      <c r="CH275" s="26"/>
      <c r="CI275" s="26"/>
      <c r="CJ275" s="26"/>
      <c r="CK275" s="26"/>
      <c r="CL275" s="26"/>
      <c r="CM275" s="26"/>
      <c r="CN275" s="26"/>
      <c r="CO275" s="26"/>
    </row>
    <row r="276" spans="7:93" ht="12.75" hidden="1" customHeight="1" x14ac:dyDescent="0.25">
      <c r="G276" s="242">
        <f>IF(G285=175,1,0)</f>
        <v>0</v>
      </c>
      <c r="H276" s="242">
        <f>IF(G285&lt;176,1,0)</f>
        <v>1</v>
      </c>
      <c r="I276" s="268">
        <f t="shared" si="49"/>
        <v>0</v>
      </c>
      <c r="J276" s="270" t="s">
        <v>155</v>
      </c>
      <c r="L276" s="236">
        <f>IF(L280=350,1,0)</f>
        <v>0</v>
      </c>
      <c r="M276" s="236">
        <f>IF(L280&lt;351,1,0)</f>
        <v>1</v>
      </c>
      <c r="N276" s="238">
        <f t="shared" ref="N276:N277" si="50">IF(SUM(L276+M276)=2,3,0)</f>
        <v>0</v>
      </c>
      <c r="O276" s="240" t="s">
        <v>192</v>
      </c>
      <c r="P276" s="6"/>
      <c r="Q276" s="6"/>
      <c r="R276" s="6"/>
      <c r="S276" s="6"/>
      <c r="T276" s="6"/>
      <c r="U276" s="243">
        <f>IF(X284&gt;175,1,0)</f>
        <v>0</v>
      </c>
      <c r="V276" s="243">
        <f>IF(X284&gt;=200,1,0)</f>
        <v>0</v>
      </c>
      <c r="W276" s="243">
        <f>IF(U276+V276=2,200,0)</f>
        <v>0</v>
      </c>
      <c r="X276" s="243">
        <v>6</v>
      </c>
      <c r="Y276" s="6"/>
      <c r="Z276" s="6"/>
      <c r="AA276" s="6"/>
      <c r="BF276" s="26"/>
      <c r="BG276" s="26"/>
      <c r="BH276" s="26"/>
      <c r="BI276" s="26"/>
      <c r="BJ276" s="26"/>
      <c r="BK276" s="26"/>
      <c r="BL276" s="26"/>
      <c r="BM276" s="26"/>
      <c r="BN276" s="26"/>
      <c r="BO276" s="26"/>
      <c r="BP276" s="26"/>
      <c r="BQ276" s="26"/>
      <c r="BR276" s="26"/>
      <c r="BS276" s="26"/>
      <c r="BT276" s="26"/>
      <c r="BU276" s="26"/>
      <c r="BV276" s="26"/>
      <c r="BW276" s="26"/>
      <c r="BX276" s="26"/>
      <c r="BY276" s="26"/>
      <c r="BZ276" s="26"/>
      <c r="CA276" s="26"/>
      <c r="CB276" s="26"/>
      <c r="CC276" s="26"/>
      <c r="CD276" s="26"/>
      <c r="CE276" s="26"/>
      <c r="CF276" s="26"/>
      <c r="CG276" s="26"/>
      <c r="CH276" s="26"/>
      <c r="CI276" s="26"/>
      <c r="CJ276" s="26"/>
      <c r="CK276" s="26"/>
      <c r="CL276" s="26"/>
      <c r="CM276" s="26"/>
      <c r="CN276" s="26"/>
      <c r="CO276" s="26"/>
    </row>
    <row r="277" spans="7:93" ht="12.75" hidden="1" customHeight="1" x14ac:dyDescent="0.25">
      <c r="G277" s="242">
        <f>IF(G285=200,1,0)</f>
        <v>0</v>
      </c>
      <c r="H277" s="242">
        <f>IF(G285&lt;201,1,0)</f>
        <v>1</v>
      </c>
      <c r="I277" s="268">
        <f t="shared" ref="I277:I279" si="51">IF(SUM(G277+H277)=2,2,0)</f>
        <v>0</v>
      </c>
      <c r="J277" s="270" t="s">
        <v>157</v>
      </c>
      <c r="L277" s="236">
        <f>IF(L280=400,1,0)</f>
        <v>0</v>
      </c>
      <c r="M277" s="236">
        <f>IF(L280&lt;401,1,0)</f>
        <v>1</v>
      </c>
      <c r="N277" s="238">
        <f t="shared" si="50"/>
        <v>0</v>
      </c>
      <c r="O277" s="240" t="s">
        <v>202</v>
      </c>
      <c r="P277" s="6"/>
      <c r="Q277" s="6"/>
      <c r="R277" s="6"/>
      <c r="S277" s="6"/>
      <c r="T277" s="6"/>
      <c r="U277" s="243">
        <f>IF(X284&gt;200,1,0)</f>
        <v>0</v>
      </c>
      <c r="V277" s="243">
        <f>IF(X284&gt;=225,1,0)</f>
        <v>0</v>
      </c>
      <c r="W277" s="243">
        <f>IF(U277+V277=2,225,0)</f>
        <v>0</v>
      </c>
      <c r="X277" s="243">
        <v>6</v>
      </c>
      <c r="Y277" s="6"/>
      <c r="Z277" s="6"/>
      <c r="AA277" s="6"/>
      <c r="BF277" s="26"/>
      <c r="BG277" s="26"/>
      <c r="BH277" s="26"/>
      <c r="BI277" s="26"/>
      <c r="BJ277" s="26"/>
      <c r="BK277" s="26"/>
      <c r="BL277" s="26"/>
      <c r="BM277" s="26"/>
      <c r="BN277" s="26"/>
      <c r="BO277" s="26"/>
      <c r="BP277" s="26"/>
      <c r="BQ277" s="26"/>
      <c r="BR277" s="26"/>
      <c r="BS277" s="26"/>
      <c r="BT277" s="26"/>
      <c r="BU277" s="26"/>
      <c r="BV277" s="26"/>
      <c r="BW277" s="26"/>
      <c r="BX277" s="26"/>
      <c r="BY277" s="26"/>
      <c r="BZ277" s="26"/>
      <c r="CA277" s="26"/>
      <c r="CB277" s="26"/>
      <c r="CC277" s="26"/>
      <c r="CD277" s="26"/>
      <c r="CE277" s="26"/>
      <c r="CF277" s="26"/>
      <c r="CG277" s="26"/>
      <c r="CH277" s="26"/>
      <c r="CI277" s="26"/>
      <c r="CJ277" s="26"/>
      <c r="CK277" s="26"/>
      <c r="CL277" s="26"/>
      <c r="CM277" s="26"/>
      <c r="CN277" s="26"/>
      <c r="CO277" s="26"/>
    </row>
    <row r="278" spans="7:93" ht="12.75" hidden="1" customHeight="1" x14ac:dyDescent="0.25">
      <c r="G278" s="242">
        <f>IF(G285=225,1,0)</f>
        <v>0</v>
      </c>
      <c r="H278" s="242">
        <f>IF(G285&lt;226,1,0)</f>
        <v>1</v>
      </c>
      <c r="I278" s="268">
        <f t="shared" si="51"/>
        <v>0</v>
      </c>
      <c r="J278" s="270" t="s">
        <v>159</v>
      </c>
      <c r="L278" s="236">
        <f>IF(L280=450,1,0)</f>
        <v>0</v>
      </c>
      <c r="M278" s="236">
        <f>IF(L280&lt;451,1,0)</f>
        <v>1</v>
      </c>
      <c r="N278" s="238">
        <f>IF(SUM(L278+M278)=2,4,0)</f>
        <v>0</v>
      </c>
      <c r="O278" s="240" t="s">
        <v>203</v>
      </c>
      <c r="P278" s="6"/>
      <c r="Q278" s="6"/>
      <c r="R278" s="6"/>
      <c r="S278" s="6"/>
      <c r="T278" s="6"/>
      <c r="U278" s="243">
        <f>IF(X284&gt;225,1,0)</f>
        <v>0</v>
      </c>
      <c r="V278" s="243">
        <f>IF(X284&gt;=250,1,0)</f>
        <v>0</v>
      </c>
      <c r="W278" s="243">
        <f>IF(U278+V278=2,250,0)</f>
        <v>0</v>
      </c>
      <c r="X278" s="243">
        <v>6</v>
      </c>
      <c r="Y278" s="6"/>
      <c r="Z278" s="6"/>
      <c r="AA278" s="6"/>
      <c r="BF278" s="26"/>
      <c r="BG278" s="26"/>
      <c r="BH278" s="26"/>
      <c r="BI278" s="26"/>
      <c r="BJ278" s="26"/>
      <c r="BK278" s="26"/>
      <c r="BL278" s="26"/>
      <c r="BM278" s="26"/>
      <c r="BN278" s="26"/>
      <c r="BO278" s="26"/>
      <c r="BP278" s="26"/>
      <c r="BQ278" s="26"/>
      <c r="BR278" s="26"/>
      <c r="BS278" s="26"/>
      <c r="BT278" s="26"/>
      <c r="BU278" s="26"/>
      <c r="BV278" s="26"/>
      <c r="BW278" s="26"/>
      <c r="BX278" s="26"/>
      <c r="BY278" s="26"/>
      <c r="BZ278" s="26"/>
      <c r="CA278" s="26"/>
      <c r="CB278" s="26"/>
      <c r="CC278" s="26"/>
      <c r="CD278" s="26"/>
      <c r="CE278" s="26"/>
      <c r="CF278" s="26"/>
      <c r="CG278" s="26"/>
      <c r="CH278" s="26"/>
      <c r="CI278" s="26"/>
      <c r="CJ278" s="26"/>
      <c r="CK278" s="26"/>
      <c r="CL278" s="26"/>
      <c r="CM278" s="26"/>
      <c r="CN278" s="26"/>
      <c r="CO278" s="26"/>
    </row>
    <row r="279" spans="7:93" ht="12.75" hidden="1" customHeight="1" x14ac:dyDescent="0.25">
      <c r="G279" s="242">
        <f>IF(G285=250,1,0)</f>
        <v>0</v>
      </c>
      <c r="H279" s="242">
        <f>IF(G285&lt;251,1,0)</f>
        <v>1</v>
      </c>
      <c r="I279" s="268">
        <f t="shared" si="51"/>
        <v>0</v>
      </c>
      <c r="J279" s="270" t="s">
        <v>161</v>
      </c>
      <c r="L279" s="236">
        <f>IF(L280=500,1,0)</f>
        <v>0</v>
      </c>
      <c r="M279" s="236">
        <f>IF(L280&lt;501,1,0)</f>
        <v>1</v>
      </c>
      <c r="N279" s="238">
        <f>IF(SUM(L279+M279)=2,5,0)</f>
        <v>0</v>
      </c>
      <c r="O279" s="240" t="s">
        <v>204</v>
      </c>
      <c r="P279" s="6"/>
      <c r="Q279" s="6"/>
      <c r="R279" s="6"/>
      <c r="S279" s="6"/>
      <c r="T279" s="6"/>
      <c r="U279" s="243">
        <f>IF(X284&gt;250,1,0)</f>
        <v>0</v>
      </c>
      <c r="V279" s="243">
        <f>IF(X284&gt;=300,1,0)</f>
        <v>0</v>
      </c>
      <c r="W279" s="243">
        <f>IF(U279+V279=2,300,0)</f>
        <v>0</v>
      </c>
      <c r="X279" s="243">
        <v>4</v>
      </c>
      <c r="Y279" s="6"/>
      <c r="Z279" s="6"/>
      <c r="AA279" s="6"/>
      <c r="BF279" s="26"/>
      <c r="BG279" s="26"/>
      <c r="BH279" s="26"/>
      <c r="BI279" s="26"/>
      <c r="BJ279" s="26"/>
      <c r="BK279" s="26"/>
      <c r="BL279" s="26"/>
      <c r="BM279" s="26"/>
      <c r="BN279" s="26"/>
      <c r="BO279" s="26"/>
      <c r="BP279" s="26"/>
      <c r="BQ279" s="26"/>
      <c r="BR279" s="26"/>
      <c r="BS279" s="26"/>
      <c r="BT279" s="26"/>
      <c r="BU279" s="26"/>
      <c r="BV279" s="26"/>
      <c r="BW279" s="26"/>
      <c r="BX279" s="26"/>
      <c r="BY279" s="26"/>
      <c r="BZ279" s="26"/>
      <c r="CA279" s="26"/>
      <c r="CB279" s="26"/>
      <c r="CC279" s="26"/>
      <c r="CD279" s="26"/>
      <c r="CE279" s="26"/>
      <c r="CF279" s="26"/>
      <c r="CG279" s="26"/>
      <c r="CH279" s="26"/>
      <c r="CI279" s="26"/>
      <c r="CJ279" s="26"/>
      <c r="CK279" s="26"/>
      <c r="CL279" s="26"/>
      <c r="CM279" s="26"/>
      <c r="CN279" s="26"/>
      <c r="CO279" s="26"/>
    </row>
    <row r="280" spans="7:93" ht="12.75" hidden="1" customHeight="1" x14ac:dyDescent="0.25">
      <c r="G280" s="242">
        <f>IF(G285=300,1,0)</f>
        <v>0</v>
      </c>
      <c r="H280" s="242">
        <f>IF(G285&lt;301,1,0)</f>
        <v>1</v>
      </c>
      <c r="I280" s="268">
        <f>IF(SUM(G280+H280)=2,2.5,0)</f>
        <v>0</v>
      </c>
      <c r="J280" s="270" t="s">
        <v>163</v>
      </c>
      <c r="L280" s="150">
        <f>IF(Y147,BE4,BH87)</f>
        <v>0</v>
      </c>
      <c r="M280" s="242">
        <f>SUM(M267:M279)</f>
        <v>13</v>
      </c>
      <c r="N280" s="242">
        <f>CHOOSE(O266,1.25,1.25,1.5,1.5,2,2,2,2,2.5,3,3,4,5)</f>
        <v>1.25</v>
      </c>
      <c r="P280" s="6"/>
      <c r="Q280" s="6"/>
      <c r="R280" s="6"/>
      <c r="S280" s="6"/>
      <c r="T280" s="6"/>
      <c r="U280" s="243">
        <f>IF(X284&gt;301,1,0)</f>
        <v>0</v>
      </c>
      <c r="V280" s="243">
        <f>IF(X284&gt;=350,1,0)</f>
        <v>0</v>
      </c>
      <c r="W280" s="243">
        <f>IF(U280+V280=2,350,0)</f>
        <v>0</v>
      </c>
      <c r="X280" s="243">
        <v>4</v>
      </c>
      <c r="Y280" s="6"/>
      <c r="Z280" s="6"/>
      <c r="AA280" s="6"/>
      <c r="BF280" s="26"/>
      <c r="BG280" s="26"/>
      <c r="BH280" s="26"/>
      <c r="BI280" s="26"/>
      <c r="BJ280" s="26"/>
      <c r="BK280" s="26"/>
      <c r="BL280" s="26"/>
      <c r="BM280" s="26"/>
      <c r="BN280" s="26"/>
      <c r="BO280" s="26"/>
      <c r="BP280" s="26"/>
      <c r="BQ280" s="26"/>
      <c r="BR280" s="26"/>
      <c r="BS280" s="26"/>
      <c r="BT280" s="26"/>
      <c r="BU280" s="26"/>
      <c r="BV280" s="26"/>
      <c r="BW280" s="26"/>
      <c r="BX280" s="26"/>
      <c r="BY280" s="26"/>
      <c r="BZ280" s="26"/>
      <c r="CA280" s="26"/>
      <c r="CB280" s="26"/>
      <c r="CC280" s="26"/>
      <c r="CD280" s="26"/>
      <c r="CE280" s="26"/>
      <c r="CF280" s="26"/>
      <c r="CG280" s="26"/>
      <c r="CH280" s="26"/>
      <c r="CI280" s="26"/>
      <c r="CJ280" s="26"/>
      <c r="CK280" s="26"/>
      <c r="CL280" s="26"/>
      <c r="CM280" s="26"/>
      <c r="CN280" s="26"/>
      <c r="CO280" s="26"/>
    </row>
    <row r="281" spans="7:93" ht="12.75" hidden="1" customHeight="1" x14ac:dyDescent="0.25">
      <c r="G281" s="242">
        <f>IF(G285=350,1,0)</f>
        <v>0</v>
      </c>
      <c r="H281" s="242">
        <f>IF(G285&lt;351,1,0)</f>
        <v>1</v>
      </c>
      <c r="I281" s="268">
        <f t="shared" ref="I281:I282" si="52">IF(SUM(G281+H281)=2,3,0)</f>
        <v>0</v>
      </c>
      <c r="J281" s="270" t="s">
        <v>192</v>
      </c>
      <c r="P281" s="6"/>
      <c r="Q281" s="6"/>
      <c r="R281" s="6"/>
      <c r="S281" s="6"/>
      <c r="T281" s="6"/>
      <c r="U281" s="243">
        <f>IF(X284&gt;350,1,0)</f>
        <v>0</v>
      </c>
      <c r="V281" s="243">
        <f>IF(X284&gt;=400,1,0)</f>
        <v>0</v>
      </c>
      <c r="W281" s="243">
        <f>IF(U281+V281=2,400,0)</f>
        <v>0</v>
      </c>
      <c r="X281" s="243">
        <v>3</v>
      </c>
      <c r="Y281" s="6"/>
      <c r="Z281" s="6"/>
      <c r="AA281" s="6"/>
      <c r="BF281" s="26"/>
      <c r="BG281" s="26"/>
      <c r="BH281" s="26"/>
      <c r="BI281" s="26"/>
      <c r="BJ281" s="26"/>
      <c r="BK281" s="26"/>
      <c r="BL281" s="26"/>
      <c r="BM281" s="26"/>
      <c r="BN281" s="26"/>
      <c r="BO281" s="26"/>
      <c r="BP281" s="26"/>
      <c r="BQ281" s="26"/>
      <c r="BR281" s="26"/>
      <c r="BS281" s="26"/>
      <c r="BT281" s="26"/>
      <c r="BU281" s="26"/>
      <c r="BV281" s="26"/>
      <c r="BW281" s="26"/>
      <c r="BX281" s="26"/>
      <c r="BY281" s="26"/>
      <c r="BZ281" s="26"/>
      <c r="CA281" s="26"/>
      <c r="CB281" s="26"/>
      <c r="CC281" s="26"/>
      <c r="CD281" s="26"/>
      <c r="CE281" s="26"/>
      <c r="CF281" s="26"/>
      <c r="CG281" s="26"/>
      <c r="CH281" s="26"/>
      <c r="CI281" s="26"/>
      <c r="CJ281" s="26"/>
      <c r="CK281" s="26"/>
      <c r="CL281" s="26"/>
      <c r="CM281" s="26"/>
      <c r="CN281" s="26"/>
      <c r="CO281" s="26"/>
    </row>
    <row r="282" spans="7:93" ht="12.75" hidden="1" customHeight="1" x14ac:dyDescent="0.25">
      <c r="G282" s="242">
        <f>IF(G285=400,1,0)</f>
        <v>0</v>
      </c>
      <c r="H282" s="242">
        <f>IF(G285&lt;401,1,0)</f>
        <v>1</v>
      </c>
      <c r="I282" s="268">
        <f t="shared" si="52"/>
        <v>0</v>
      </c>
      <c r="J282" s="270" t="s">
        <v>202</v>
      </c>
      <c r="P282" s="6"/>
      <c r="Q282" s="6"/>
      <c r="R282" s="6"/>
      <c r="S282" s="6"/>
      <c r="T282" s="6"/>
      <c r="U282" s="243">
        <f>IF(X284&gt;400,1,0)</f>
        <v>0</v>
      </c>
      <c r="V282" s="243">
        <f>IF(X284&gt;=450,1,0)</f>
        <v>0</v>
      </c>
      <c r="W282" s="243">
        <f>IF(U282+V282=2,450,0)</f>
        <v>0</v>
      </c>
      <c r="X282" s="243">
        <v>3</v>
      </c>
      <c r="Y282" s="6"/>
      <c r="Z282" s="6"/>
      <c r="AA282" s="6"/>
      <c r="BF282" s="26"/>
      <c r="BG282" s="26"/>
      <c r="BH282" s="26"/>
      <c r="BI282" s="26"/>
      <c r="BJ282" s="26"/>
      <c r="BK282" s="26"/>
      <c r="BL282" s="26"/>
      <c r="BM282" s="26"/>
      <c r="BN282" s="26"/>
      <c r="BO282" s="26"/>
      <c r="BP282" s="26"/>
      <c r="BQ282" s="26"/>
      <c r="BR282" s="26"/>
      <c r="BS282" s="26"/>
      <c r="BT282" s="26"/>
      <c r="BU282" s="26"/>
      <c r="BV282" s="26"/>
      <c r="BW282" s="26"/>
      <c r="BX282" s="26"/>
      <c r="BY282" s="26"/>
      <c r="BZ282" s="26"/>
      <c r="CA282" s="26"/>
      <c r="CB282" s="26"/>
      <c r="CC282" s="26"/>
      <c r="CD282" s="26"/>
      <c r="CE282" s="26"/>
      <c r="CF282" s="26"/>
      <c r="CG282" s="26"/>
      <c r="CH282" s="26"/>
      <c r="CI282" s="26"/>
      <c r="CJ282" s="26"/>
      <c r="CK282" s="26"/>
      <c r="CL282" s="26"/>
      <c r="CM282" s="26"/>
      <c r="CN282" s="26"/>
      <c r="CO282" s="26"/>
    </row>
    <row r="283" spans="7:93" ht="12.75" hidden="1" customHeight="1" x14ac:dyDescent="0.25">
      <c r="G283" s="242">
        <f>IF(G285=450,1,0)</f>
        <v>0</v>
      </c>
      <c r="H283" s="242">
        <f>IF(G285&lt;451,1,0)</f>
        <v>1</v>
      </c>
      <c r="I283" s="268">
        <f>IF(SUM(G283+H283)=2,2.5,0)</f>
        <v>0</v>
      </c>
      <c r="J283" s="270"/>
      <c r="M283" s="52" t="s">
        <v>228</v>
      </c>
      <c r="N283" s="9" t="s">
        <v>226</v>
      </c>
      <c r="P283" s="6"/>
      <c r="Q283" s="6"/>
      <c r="R283" s="6"/>
      <c r="S283" s="6"/>
      <c r="T283" s="6"/>
      <c r="U283" s="243">
        <f>IF(X284&gt;450,1,0)</f>
        <v>0</v>
      </c>
      <c r="V283" s="243">
        <f>IF(X284&gt;=500,1,0)</f>
        <v>0</v>
      </c>
      <c r="W283" s="243">
        <f>IF(U283+V283=2,500,0)</f>
        <v>0</v>
      </c>
      <c r="X283" s="243">
        <v>2</v>
      </c>
      <c r="Y283" s="6"/>
      <c r="Z283" s="6"/>
      <c r="AA283" s="6"/>
      <c r="BF283" s="26"/>
      <c r="BG283" s="26"/>
      <c r="BH283" s="26"/>
      <c r="BI283" s="26"/>
      <c r="BJ283" s="26"/>
      <c r="BK283" s="26"/>
      <c r="BL283" s="26"/>
      <c r="BM283" s="26"/>
      <c r="BN283" s="26"/>
      <c r="BO283" s="26"/>
      <c r="BP283" s="26"/>
      <c r="BQ283" s="26"/>
      <c r="BR283" s="26"/>
      <c r="BS283" s="26"/>
      <c r="BT283" s="26"/>
      <c r="BU283" s="26"/>
      <c r="BV283" s="26"/>
      <c r="BW283" s="26"/>
      <c r="BX283" s="26"/>
      <c r="BY283" s="26"/>
      <c r="BZ283" s="26"/>
      <c r="CA283" s="26"/>
      <c r="CB283" s="26"/>
      <c r="CC283" s="26"/>
      <c r="CD283" s="26"/>
      <c r="CE283" s="26"/>
      <c r="CF283" s="26"/>
      <c r="CG283" s="26"/>
      <c r="CH283" s="26"/>
      <c r="CI283" s="26"/>
      <c r="CJ283" s="26"/>
      <c r="CK283" s="26"/>
      <c r="CL283" s="26"/>
      <c r="CM283" s="26"/>
      <c r="CN283" s="26"/>
      <c r="CO283" s="26"/>
    </row>
    <row r="284" spans="7:93" ht="12.75" hidden="1" customHeight="1" x14ac:dyDescent="0.25">
      <c r="G284" s="242">
        <f>IF(G285=500,1,0)</f>
        <v>0</v>
      </c>
      <c r="H284" s="242">
        <f>IF(G285&lt;501,1,0)</f>
        <v>1</v>
      </c>
      <c r="I284" s="268">
        <f>IF(SUM(G284+H284)=2,3,0)</f>
        <v>0</v>
      </c>
      <c r="J284" s="270"/>
      <c r="L284" s="259" t="s">
        <v>223</v>
      </c>
      <c r="M284" s="259"/>
      <c r="N284" s="271">
        <f>IF(L298&lt;30,0,N298)</f>
        <v>0</v>
      </c>
      <c r="O284" s="271">
        <f>(14-M298)</f>
        <v>1</v>
      </c>
      <c r="P284" s="6"/>
      <c r="Q284" s="6"/>
      <c r="R284" s="6"/>
      <c r="S284" s="6"/>
      <c r="T284" s="6"/>
      <c r="U284" s="246" t="str">
        <f>IF(V284&lt;1," ",W284)</f>
        <v xml:space="preserve"> </v>
      </c>
      <c r="V284" s="246">
        <f>SUM(V271:V283)</f>
        <v>0</v>
      </c>
      <c r="W284" s="243" t="e">
        <f>CHOOSE(V284,8,6,6,6,6,6,6,4,4,3,3,2)</f>
        <v>#VALUE!</v>
      </c>
      <c r="X284" s="6">
        <f>BF85</f>
        <v>0</v>
      </c>
      <c r="Y284" s="6"/>
      <c r="Z284" s="6"/>
      <c r="AA284" s="6"/>
      <c r="BF284" s="26"/>
      <c r="BG284" s="26"/>
      <c r="BH284" s="26"/>
      <c r="BI284" s="26"/>
      <c r="BJ284" s="26"/>
      <c r="BK284" s="26"/>
      <c r="BL284" s="26"/>
      <c r="BM284" s="26"/>
      <c r="BN284" s="26"/>
      <c r="BO284" s="26"/>
      <c r="BP284" s="26"/>
      <c r="BQ284" s="26"/>
      <c r="BR284" s="26"/>
      <c r="BS284" s="26"/>
      <c r="BT284" s="26"/>
      <c r="BU284" s="26"/>
      <c r="BV284" s="26"/>
      <c r="BW284" s="26"/>
      <c r="BX284" s="26"/>
      <c r="BY284" s="26"/>
      <c r="BZ284" s="26"/>
      <c r="CA284" s="26"/>
      <c r="CB284" s="26"/>
      <c r="CC284" s="26"/>
      <c r="CD284" s="26"/>
      <c r="CE284" s="26"/>
      <c r="CF284" s="26"/>
      <c r="CG284" s="26"/>
      <c r="CH284" s="26"/>
      <c r="CI284" s="26"/>
      <c r="CJ284" s="26"/>
      <c r="CK284" s="26"/>
      <c r="CL284" s="26"/>
      <c r="CM284" s="26"/>
      <c r="CN284" s="26"/>
      <c r="CO284" s="26"/>
    </row>
    <row r="285" spans="7:93" ht="12.75" hidden="1" customHeight="1" x14ac:dyDescent="0.25">
      <c r="G285" s="9">
        <f>BF85</f>
        <v>0</v>
      </c>
      <c r="H285" s="242">
        <f>SUM(H273:H284)</f>
        <v>12</v>
      </c>
      <c r="I285" s="242">
        <f>CHOOSE(J272,1.25,1.25,1.5,1.5,2,2,2,2.5,3,3)</f>
        <v>1.25</v>
      </c>
      <c r="L285" s="272">
        <f>IF(L298=100,1,0)</f>
        <v>0</v>
      </c>
      <c r="M285" s="272">
        <f>IF(L298&lt;=100,1,0)</f>
        <v>1</v>
      </c>
      <c r="N285" s="272">
        <f>IF(M285+L285=2,1.25,0)</f>
        <v>0</v>
      </c>
      <c r="O285" s="273">
        <v>2</v>
      </c>
      <c r="P285" s="6"/>
      <c r="Q285" s="6"/>
      <c r="R285" s="6"/>
      <c r="S285" s="6"/>
      <c r="T285" s="6"/>
      <c r="U285" s="6"/>
      <c r="V285" s="6"/>
      <c r="W285" s="6"/>
      <c r="X285" s="6"/>
      <c r="Y285" s="6"/>
      <c r="Z285" s="6"/>
      <c r="AA285" s="6"/>
      <c r="BF285" s="26"/>
      <c r="BG285" s="26"/>
      <c r="BH285" s="26"/>
      <c r="BI285" s="26"/>
      <c r="BJ285" s="26"/>
      <c r="BK285" s="26"/>
      <c r="BL285" s="26"/>
      <c r="BM285" s="26"/>
      <c r="BN285" s="26"/>
      <c r="BO285" s="26"/>
      <c r="BP285" s="26"/>
      <c r="BQ285" s="26"/>
      <c r="BR285" s="26"/>
      <c r="BS285" s="26"/>
      <c r="BT285" s="26"/>
      <c r="BU285" s="26"/>
      <c r="BV285" s="26"/>
      <c r="BW285" s="26"/>
      <c r="BX285" s="26"/>
      <c r="BY285" s="26"/>
      <c r="BZ285" s="26"/>
      <c r="CA285" s="26"/>
      <c r="CB285" s="26"/>
      <c r="CC285" s="26"/>
      <c r="CD285" s="26"/>
      <c r="CE285" s="26"/>
      <c r="CF285" s="26"/>
      <c r="CG285" s="26"/>
      <c r="CH285" s="26"/>
      <c r="CI285" s="26"/>
      <c r="CJ285" s="26"/>
      <c r="CK285" s="26"/>
      <c r="CL285" s="26"/>
      <c r="CM285" s="26"/>
      <c r="CN285" s="26"/>
      <c r="CO285" s="26"/>
    </row>
    <row r="286" spans="7:93" ht="12.75" hidden="1" customHeight="1" x14ac:dyDescent="0.25">
      <c r="L286" s="272">
        <f>IF(L298=110,1,0)</f>
        <v>0</v>
      </c>
      <c r="M286" s="272">
        <f>IF(L298&lt;111,1,0)</f>
        <v>1</v>
      </c>
      <c r="N286" s="274">
        <f>IF(SUM(L286+M286)=2,1.25,0)</f>
        <v>0</v>
      </c>
      <c r="O286" s="275">
        <v>1</v>
      </c>
      <c r="P286" s="6"/>
      <c r="Q286" s="6"/>
      <c r="R286" s="6"/>
      <c r="S286" s="6"/>
      <c r="T286" s="6"/>
      <c r="U286" s="6" t="s">
        <v>229</v>
      </c>
      <c r="V286" s="6"/>
      <c r="W286" s="6"/>
      <c r="X286" s="6"/>
      <c r="Y286" s="6"/>
      <c r="Z286" s="6"/>
      <c r="AA286" s="6"/>
      <c r="BF286" s="26"/>
      <c r="BG286" s="26"/>
      <c r="BH286" s="26"/>
      <c r="BI286" s="26"/>
      <c r="BJ286" s="26"/>
      <c r="BK286" s="26"/>
      <c r="BL286" s="26"/>
      <c r="BM286" s="26"/>
      <c r="BN286" s="26"/>
      <c r="BO286" s="26"/>
      <c r="BP286" s="26"/>
      <c r="BQ286" s="26"/>
      <c r="BR286" s="26"/>
      <c r="BS286" s="26"/>
      <c r="BT286" s="26"/>
      <c r="BU286" s="26"/>
      <c r="BV286" s="26"/>
      <c r="BW286" s="26"/>
      <c r="BX286" s="26"/>
      <c r="BY286" s="26"/>
      <c r="BZ286" s="26"/>
      <c r="CA286" s="26"/>
      <c r="CB286" s="26"/>
      <c r="CC286" s="26"/>
      <c r="CD286" s="26"/>
      <c r="CE286" s="26"/>
      <c r="CF286" s="26"/>
      <c r="CG286" s="26"/>
      <c r="CH286" s="26"/>
      <c r="CI286" s="26"/>
      <c r="CJ286" s="26"/>
      <c r="CK286" s="26"/>
      <c r="CL286" s="26"/>
      <c r="CM286" s="26"/>
      <c r="CN286" s="26"/>
      <c r="CO286" s="26"/>
    </row>
    <row r="287" spans="7:93" ht="12.75" hidden="1" customHeight="1" x14ac:dyDescent="0.25">
      <c r="L287" s="272">
        <f>IF(L298=125,1,0)</f>
        <v>0</v>
      </c>
      <c r="M287" s="272">
        <f>IF(L298&lt;126,1,0)</f>
        <v>1</v>
      </c>
      <c r="N287" s="274">
        <f t="shared" ref="N287:N288" si="53">IF(SUM(L287+M287)=2,1.5,0)</f>
        <v>0</v>
      </c>
      <c r="O287" s="276" t="s">
        <v>153</v>
      </c>
      <c r="P287" s="6"/>
      <c r="Q287" s="6"/>
      <c r="R287" s="6"/>
      <c r="S287" s="6"/>
      <c r="T287" s="6"/>
      <c r="U287" s="243">
        <f>IF(X300&gt;1,1,0)</f>
        <v>0</v>
      </c>
      <c r="V287" s="243">
        <f>IF(X300&gt;=100,1,0)</f>
        <v>0</v>
      </c>
      <c r="W287" s="243">
        <f>IF(V287+U287=2,100,0)</f>
        <v>0</v>
      </c>
      <c r="X287" s="243">
        <v>8</v>
      </c>
      <c r="Y287" s="6"/>
      <c r="Z287" s="6"/>
      <c r="AA287" s="6"/>
      <c r="BF287" s="26"/>
      <c r="BG287" s="26"/>
      <c r="BH287" s="26"/>
      <c r="BI287" s="26"/>
      <c r="BJ287" s="26"/>
      <c r="BK287" s="26"/>
      <c r="BL287" s="26"/>
      <c r="BM287" s="26"/>
      <c r="BN287" s="26"/>
      <c r="BO287" s="26"/>
      <c r="BP287" s="26"/>
      <c r="BQ287" s="26"/>
      <c r="BR287" s="26"/>
      <c r="BS287" s="26"/>
      <c r="BT287" s="26"/>
      <c r="BU287" s="26"/>
      <c r="BV287" s="26"/>
      <c r="BW287" s="26"/>
      <c r="BX287" s="26"/>
      <c r="BY287" s="26"/>
      <c r="BZ287" s="26"/>
      <c r="CA287" s="26"/>
      <c r="CB287" s="26"/>
      <c r="CC287" s="26"/>
      <c r="CD287" s="26"/>
      <c r="CE287" s="26"/>
      <c r="CF287" s="26"/>
      <c r="CG287" s="26"/>
      <c r="CH287" s="26"/>
      <c r="CI287" s="26"/>
      <c r="CJ287" s="26"/>
      <c r="CK287" s="26"/>
      <c r="CL287" s="26"/>
      <c r="CM287" s="26"/>
      <c r="CN287" s="26"/>
      <c r="CO287" s="26"/>
    </row>
    <row r="288" spans="7:93" ht="12.75" hidden="1" customHeight="1" x14ac:dyDescent="0.25">
      <c r="L288" s="272">
        <f>IF(L298=150,1,0)</f>
        <v>0</v>
      </c>
      <c r="M288" s="272">
        <f>IF(L298&lt;151,1,0)</f>
        <v>1</v>
      </c>
      <c r="N288" s="274">
        <f t="shared" si="53"/>
        <v>0</v>
      </c>
      <c r="O288" s="276" t="s">
        <v>198</v>
      </c>
      <c r="P288" s="6"/>
      <c r="Q288" s="6"/>
      <c r="R288" s="6"/>
      <c r="S288" s="6"/>
      <c r="T288" s="6"/>
      <c r="U288" s="243">
        <f>IF(X300&gt;100,1,0)</f>
        <v>0</v>
      </c>
      <c r="V288" s="243">
        <f>IF(X300&gt;=110,1,0)</f>
        <v>0</v>
      </c>
      <c r="W288" s="243">
        <f>IF(SUM(U288+V288)=2,110,0)</f>
        <v>0</v>
      </c>
      <c r="X288" s="243">
        <v>6</v>
      </c>
      <c r="Y288" s="6"/>
      <c r="Z288" s="6"/>
      <c r="AA288" s="6"/>
      <c r="BF288" s="26"/>
      <c r="BG288" s="26"/>
      <c r="BH288" s="26"/>
      <c r="BI288" s="26"/>
      <c r="BJ288" s="26"/>
      <c r="BK288" s="26"/>
      <c r="BL288" s="26"/>
      <c r="BM288" s="26"/>
      <c r="BN288" s="26"/>
      <c r="BO288" s="26"/>
      <c r="BP288" s="26"/>
      <c r="BQ288" s="26"/>
      <c r="BR288" s="26"/>
      <c r="BS288" s="26"/>
      <c r="BT288" s="26"/>
      <c r="BU288" s="26"/>
      <c r="BV288" s="26"/>
      <c r="BW288" s="26"/>
      <c r="BX288" s="26"/>
      <c r="BY288" s="26"/>
      <c r="BZ288" s="26"/>
      <c r="CA288" s="26"/>
      <c r="CB288" s="26"/>
      <c r="CC288" s="26"/>
      <c r="CD288" s="26"/>
      <c r="CE288" s="26"/>
      <c r="CF288" s="26"/>
      <c r="CG288" s="26"/>
      <c r="CH288" s="26"/>
      <c r="CI288" s="26"/>
      <c r="CJ288" s="26"/>
      <c r="CK288" s="26"/>
      <c r="CL288" s="26"/>
      <c r="CM288" s="26"/>
      <c r="CN288" s="26"/>
      <c r="CO288" s="26"/>
    </row>
    <row r="289" spans="7:93" ht="12.75" hidden="1" customHeight="1" x14ac:dyDescent="0.25">
      <c r="H289" s="52" t="s">
        <v>230</v>
      </c>
      <c r="I289" s="9" t="s">
        <v>231</v>
      </c>
      <c r="L289" s="272">
        <f>IF(L298=175,1,0)</f>
        <v>0</v>
      </c>
      <c r="M289" s="272">
        <f>IF(L298&lt;176,1,0)</f>
        <v>1</v>
      </c>
      <c r="N289" s="274">
        <f t="shared" ref="N289:N292" si="54">IF(SUM(L289+M289)=2,2,0)</f>
        <v>0</v>
      </c>
      <c r="O289" s="276" t="s">
        <v>199</v>
      </c>
      <c r="P289" s="6"/>
      <c r="Q289" s="6"/>
      <c r="R289" s="6"/>
      <c r="S289" s="6"/>
      <c r="T289" s="6"/>
      <c r="U289" s="243">
        <f>IF(X300&gt;110,1,0)</f>
        <v>0</v>
      </c>
      <c r="V289" s="243">
        <f>IF(X300&gt;=125,1,0)</f>
        <v>0</v>
      </c>
      <c r="W289" s="243">
        <f>IF(U289+V289=2,125,0)</f>
        <v>0</v>
      </c>
      <c r="X289" s="243">
        <v>6</v>
      </c>
      <c r="Y289" s="6"/>
      <c r="Z289" s="6"/>
      <c r="AA289" s="6"/>
      <c r="BF289" s="26"/>
      <c r="BG289" s="26"/>
      <c r="BH289" s="26"/>
      <c r="BI289" s="26"/>
      <c r="BJ289" s="26"/>
      <c r="BK289" s="26"/>
      <c r="BL289" s="26"/>
      <c r="BM289" s="26"/>
      <c r="BN289" s="26"/>
      <c r="BO289" s="26"/>
      <c r="BP289" s="26"/>
      <c r="BQ289" s="26"/>
      <c r="BR289" s="26"/>
      <c r="BS289" s="26"/>
      <c r="BT289" s="26"/>
      <c r="BU289" s="26"/>
      <c r="BV289" s="26"/>
      <c r="BW289" s="26"/>
      <c r="BX289" s="26"/>
      <c r="BY289" s="26"/>
      <c r="BZ289" s="26"/>
      <c r="CA289" s="26"/>
      <c r="CB289" s="26"/>
      <c r="CC289" s="26"/>
      <c r="CD289" s="26"/>
      <c r="CE289" s="26"/>
      <c r="CF289" s="26"/>
      <c r="CG289" s="26"/>
      <c r="CH289" s="26"/>
      <c r="CI289" s="26"/>
      <c r="CJ289" s="26"/>
      <c r="CK289" s="26"/>
      <c r="CL289" s="26"/>
      <c r="CM289" s="26"/>
      <c r="CN289" s="26"/>
      <c r="CO289" s="26"/>
    </row>
    <row r="290" spans="7:93" ht="12.75" hidden="1" customHeight="1" x14ac:dyDescent="0.25">
      <c r="G290" s="259" t="s">
        <v>227</v>
      </c>
      <c r="H290" s="259"/>
      <c r="I290" s="277" t="str">
        <f>IF(G303&lt;30," ",I303)</f>
        <v xml:space="preserve"> </v>
      </c>
      <c r="J290" s="278">
        <f>(14-H303)</f>
        <v>2</v>
      </c>
      <c r="L290" s="272">
        <f>IF(L298=200,1,0)</f>
        <v>0</v>
      </c>
      <c r="M290" s="272">
        <f>IF(L298&lt;201,1,0)</f>
        <v>1</v>
      </c>
      <c r="N290" s="274">
        <f t="shared" si="54"/>
        <v>0</v>
      </c>
      <c r="O290" s="276" t="s">
        <v>200</v>
      </c>
      <c r="P290" s="6"/>
      <c r="Q290" s="6"/>
      <c r="R290" s="6"/>
      <c r="S290" s="6"/>
      <c r="T290" s="6"/>
      <c r="U290" s="243">
        <f>IF(X300&gt;125,1,0)</f>
        <v>0</v>
      </c>
      <c r="V290" s="243">
        <f>IF(X300&gt;=150,1,0)</f>
        <v>0</v>
      </c>
      <c r="W290" s="243">
        <f>IF(U290+V290=2,150,0)</f>
        <v>0</v>
      </c>
      <c r="X290" s="243">
        <v>6</v>
      </c>
      <c r="Y290" s="6"/>
      <c r="Z290" s="6"/>
      <c r="AA290" s="6"/>
      <c r="BF290" s="26"/>
      <c r="BG290" s="26"/>
      <c r="BH290" s="26"/>
      <c r="BI290" s="26"/>
      <c r="BJ290" s="26"/>
      <c r="BK290" s="26"/>
      <c r="BL290" s="26"/>
      <c r="BM290" s="26"/>
      <c r="BN290" s="26"/>
      <c r="BO290" s="26"/>
      <c r="BP290" s="26"/>
      <c r="BQ290" s="26"/>
      <c r="BR290" s="26"/>
      <c r="BS290" s="26"/>
      <c r="BT290" s="26"/>
      <c r="BU290" s="26"/>
      <c r="BV290" s="26"/>
      <c r="BW290" s="26"/>
      <c r="BX290" s="26"/>
      <c r="BY290" s="26"/>
      <c r="BZ290" s="26"/>
      <c r="CA290" s="26"/>
      <c r="CB290" s="26"/>
      <c r="CC290" s="26"/>
      <c r="CD290" s="26"/>
      <c r="CE290" s="26"/>
      <c r="CF290" s="26"/>
      <c r="CG290" s="26"/>
      <c r="CH290" s="26"/>
      <c r="CI290" s="26"/>
      <c r="CJ290" s="26"/>
      <c r="CK290" s="26"/>
      <c r="CL290" s="26"/>
      <c r="CM290" s="26"/>
      <c r="CN290" s="26"/>
      <c r="CO290" s="26"/>
    </row>
    <row r="291" spans="7:93" ht="12.75" hidden="1" customHeight="1" x14ac:dyDescent="0.25">
      <c r="G291" s="279">
        <f>IF(G303=100,1,0)</f>
        <v>0</v>
      </c>
      <c r="H291" s="279">
        <f>IF(G303&lt;=100,1,0)</f>
        <v>1</v>
      </c>
      <c r="I291" s="279">
        <f>IF(H291+G291=2,1.25,0)</f>
        <v>0</v>
      </c>
      <c r="J291" s="280">
        <v>3</v>
      </c>
      <c r="L291" s="272">
        <f>IF(L298=225,1,0)</f>
        <v>0</v>
      </c>
      <c r="M291" s="272">
        <f>IF(L298&lt;226,1,0)</f>
        <v>1</v>
      </c>
      <c r="N291" s="274">
        <f t="shared" si="54"/>
        <v>0</v>
      </c>
      <c r="O291" s="276" t="s">
        <v>161</v>
      </c>
      <c r="P291" s="6"/>
      <c r="Q291" s="6"/>
      <c r="R291" s="6"/>
      <c r="S291" s="6"/>
      <c r="T291" s="6"/>
      <c r="U291" s="243">
        <f>IF(X300&gt;150,1,0)</f>
        <v>0</v>
      </c>
      <c r="V291" s="243">
        <f>IF(X300&gt;=175,1,0)</f>
        <v>0</v>
      </c>
      <c r="W291" s="243">
        <f>IF(U291+V291=2,175,0)</f>
        <v>0</v>
      </c>
      <c r="X291" s="243">
        <v>6</v>
      </c>
      <c r="Y291" s="6"/>
      <c r="Z291" s="6"/>
      <c r="AA291" s="6"/>
      <c r="BF291" s="26"/>
      <c r="BG291" s="26"/>
      <c r="BH291" s="26"/>
      <c r="BI291" s="26"/>
      <c r="BJ291" s="26"/>
      <c r="BK291" s="26"/>
      <c r="BL291" s="26"/>
      <c r="BM291" s="26"/>
      <c r="BN291" s="26"/>
      <c r="BO291" s="26"/>
      <c r="BP291" s="26"/>
      <c r="BQ291" s="26"/>
      <c r="BR291" s="26"/>
      <c r="BS291" s="26"/>
      <c r="BT291" s="26"/>
      <c r="BU291" s="26"/>
      <c r="BV291" s="26"/>
      <c r="BW291" s="26"/>
      <c r="BX291" s="26"/>
      <c r="BY291" s="26"/>
      <c r="BZ291" s="26"/>
      <c r="CA291" s="26"/>
      <c r="CB291" s="26"/>
      <c r="CC291" s="26"/>
      <c r="CD291" s="26"/>
      <c r="CE291" s="26"/>
      <c r="CF291" s="26"/>
      <c r="CG291" s="26"/>
      <c r="CH291" s="26"/>
      <c r="CI291" s="26"/>
      <c r="CJ291" s="26"/>
      <c r="CK291" s="26"/>
      <c r="CL291" s="26"/>
      <c r="CM291" s="26"/>
      <c r="CN291" s="26"/>
      <c r="CO291" s="26"/>
    </row>
    <row r="292" spans="7:93" ht="12.75" hidden="1" customHeight="1" x14ac:dyDescent="0.25">
      <c r="G292" s="279">
        <f>IF(G303=125,1,0)</f>
        <v>0</v>
      </c>
      <c r="H292" s="279">
        <f>IF(G303&lt;126,1,0)</f>
        <v>1</v>
      </c>
      <c r="I292" s="281">
        <f>IF(SUM(G292+H292)=2,1.25,0)</f>
        <v>0</v>
      </c>
      <c r="J292" s="282">
        <v>1</v>
      </c>
      <c r="L292" s="272">
        <f>IF(L298=250,1,0)</f>
        <v>0</v>
      </c>
      <c r="M292" s="272">
        <f>IF(L298&lt;251,1,0)</f>
        <v>1</v>
      </c>
      <c r="N292" s="274">
        <f t="shared" si="54"/>
        <v>0</v>
      </c>
      <c r="O292" s="276" t="s">
        <v>188</v>
      </c>
      <c r="P292" s="6"/>
      <c r="Q292" s="6"/>
      <c r="R292" s="6"/>
      <c r="S292" s="6"/>
      <c r="T292" s="6"/>
      <c r="U292" s="243">
        <f>IF(X300&gt;175,1,0)</f>
        <v>0</v>
      </c>
      <c r="V292" s="243">
        <f>IF(X300&gt;=200,1,0)</f>
        <v>0</v>
      </c>
      <c r="W292" s="243">
        <f>IF(U292+V292=2,200,0)</f>
        <v>0</v>
      </c>
      <c r="X292" s="243">
        <v>6</v>
      </c>
      <c r="Y292" s="6"/>
      <c r="Z292" s="6"/>
      <c r="AA292" s="6"/>
      <c r="BF292" s="26"/>
      <c r="BG292" s="26"/>
      <c r="BH292" s="26"/>
      <c r="BI292" s="26"/>
      <c r="BJ292" s="26"/>
      <c r="BK292" s="26"/>
      <c r="BL292" s="26"/>
      <c r="BM292" s="26"/>
      <c r="BN292" s="26"/>
      <c r="BO292" s="26"/>
      <c r="BP292" s="26"/>
      <c r="BQ292" s="26"/>
      <c r="BR292" s="26"/>
      <c r="BS292" s="26"/>
      <c r="BT292" s="26"/>
      <c r="BU292" s="26"/>
      <c r="BV292" s="26"/>
      <c r="BW292" s="26"/>
      <c r="BX292" s="26"/>
      <c r="BY292" s="26"/>
      <c r="BZ292" s="26"/>
      <c r="CA292" s="26"/>
      <c r="CB292" s="26"/>
      <c r="CC292" s="26"/>
      <c r="CD292" s="26"/>
      <c r="CE292" s="26"/>
      <c r="CF292" s="26"/>
      <c r="CG292" s="26"/>
      <c r="CH292" s="26"/>
      <c r="CI292" s="26"/>
      <c r="CJ292" s="26"/>
      <c r="CK292" s="26"/>
      <c r="CL292" s="26"/>
      <c r="CM292" s="26"/>
      <c r="CN292" s="26"/>
      <c r="CO292" s="26"/>
    </row>
    <row r="293" spans="7:93" ht="12.75" hidden="1" customHeight="1" x14ac:dyDescent="0.25">
      <c r="G293" s="279">
        <f>IF(G303=150,1,0)</f>
        <v>0</v>
      </c>
      <c r="H293" s="279">
        <f>IF(G303&lt;151,1,0)</f>
        <v>1</v>
      </c>
      <c r="I293" s="281">
        <f t="shared" ref="I293:I294" si="55">IF(SUM(G293+H293)=2,1.5,0)</f>
        <v>0</v>
      </c>
      <c r="J293" s="283" t="s">
        <v>180</v>
      </c>
      <c r="L293" s="272">
        <f>IF(L298=300,1,0)</f>
        <v>0</v>
      </c>
      <c r="M293" s="272">
        <f>IF(L298&lt;301,1,0)</f>
        <v>1</v>
      </c>
      <c r="N293" s="274">
        <f>IF(SUM(L293+M293)=2,2.5,0)</f>
        <v>0</v>
      </c>
      <c r="O293" s="276" t="s">
        <v>163</v>
      </c>
      <c r="P293" s="6"/>
      <c r="Q293" s="6"/>
      <c r="R293" s="6"/>
      <c r="S293" s="6"/>
      <c r="T293" s="6"/>
      <c r="U293" s="243">
        <f>IF(X300&gt;200,1,0)</f>
        <v>0</v>
      </c>
      <c r="V293" s="243">
        <f>IF(X300&gt;=225,1,0)</f>
        <v>0</v>
      </c>
      <c r="W293" s="243">
        <f>IF(U293+V293=2,225,0)</f>
        <v>0</v>
      </c>
      <c r="X293" s="243">
        <v>6</v>
      </c>
      <c r="Y293" s="6"/>
      <c r="Z293" s="6"/>
      <c r="AA293" s="6"/>
      <c r="BF293" s="26"/>
      <c r="BG293" s="26"/>
      <c r="BH293" s="26"/>
      <c r="BI293" s="26"/>
      <c r="BJ293" s="26"/>
      <c r="BK293" s="26"/>
      <c r="BL293" s="26"/>
      <c r="BM293" s="26"/>
      <c r="BN293" s="26"/>
      <c r="BO293" s="26"/>
      <c r="BP293" s="26"/>
      <c r="BQ293" s="26"/>
      <c r="BR293" s="26"/>
      <c r="BS293" s="26"/>
      <c r="BT293" s="26"/>
      <c r="BU293" s="26"/>
      <c r="BV293" s="26"/>
      <c r="BW293" s="26"/>
      <c r="BX293" s="26"/>
      <c r="BY293" s="26"/>
      <c r="BZ293" s="26"/>
      <c r="CA293" s="26"/>
      <c r="CB293" s="26"/>
      <c r="CC293" s="26"/>
      <c r="CD293" s="26"/>
      <c r="CE293" s="26"/>
      <c r="CF293" s="26"/>
      <c r="CG293" s="26"/>
      <c r="CH293" s="26"/>
      <c r="CI293" s="26"/>
      <c r="CJ293" s="26"/>
      <c r="CK293" s="26"/>
      <c r="CL293" s="26"/>
      <c r="CM293" s="26"/>
      <c r="CN293" s="26"/>
      <c r="CO293" s="26"/>
    </row>
    <row r="294" spans="7:93" ht="12.75" hidden="1" customHeight="1" x14ac:dyDescent="0.25">
      <c r="G294" s="279">
        <f>IF(G303=175,1,0)</f>
        <v>0</v>
      </c>
      <c r="H294" s="279">
        <f>IF(G303&lt;176,1,0)</f>
        <v>1</v>
      </c>
      <c r="I294" s="281">
        <f t="shared" si="55"/>
        <v>0</v>
      </c>
      <c r="J294" s="283" t="s">
        <v>155</v>
      </c>
      <c r="L294" s="272">
        <f>IF(L298=350,1,0)</f>
        <v>0</v>
      </c>
      <c r="M294" s="272">
        <f>IF(L298&lt;351,1,0)</f>
        <v>1</v>
      </c>
      <c r="N294" s="274">
        <f t="shared" ref="N294:N295" si="56">IF(SUM(L294+M294)=2,3,0)</f>
        <v>0</v>
      </c>
      <c r="O294" s="276" t="s">
        <v>192</v>
      </c>
      <c r="P294" s="6"/>
      <c r="Q294" s="6"/>
      <c r="R294" s="6"/>
      <c r="S294" s="6"/>
      <c r="T294" s="6"/>
      <c r="U294" s="243">
        <f>IF(X300&gt;225,1,0)</f>
        <v>0</v>
      </c>
      <c r="V294" s="243">
        <f>IF(X300&gt;=250,1,0)</f>
        <v>0</v>
      </c>
      <c r="W294" s="243">
        <f>IF(U294+V294=2,250,0)</f>
        <v>0</v>
      </c>
      <c r="X294" s="243">
        <v>6</v>
      </c>
      <c r="Y294" s="6"/>
      <c r="Z294" s="6"/>
      <c r="AA294" s="6"/>
      <c r="BF294" s="26"/>
      <c r="BG294" s="26"/>
      <c r="BH294" s="26"/>
      <c r="BI294" s="26"/>
      <c r="BJ294" s="26"/>
      <c r="BK294" s="26"/>
      <c r="BL294" s="26"/>
      <c r="BM294" s="26"/>
      <c r="BN294" s="26"/>
      <c r="BO294" s="26"/>
      <c r="BP294" s="26"/>
      <c r="BQ294" s="26"/>
      <c r="BR294" s="26"/>
      <c r="BS294" s="26"/>
      <c r="BT294" s="26"/>
      <c r="BU294" s="26"/>
      <c r="BV294" s="26"/>
      <c r="BW294" s="26"/>
      <c r="BX294" s="26"/>
      <c r="BY294" s="26"/>
      <c r="BZ294" s="26"/>
      <c r="CA294" s="26"/>
      <c r="CB294" s="26"/>
      <c r="CC294" s="26"/>
      <c r="CD294" s="26"/>
      <c r="CE294" s="26"/>
      <c r="CF294" s="26"/>
      <c r="CG294" s="26"/>
      <c r="CH294" s="26"/>
      <c r="CI294" s="26"/>
      <c r="CJ294" s="26"/>
      <c r="CK294" s="26"/>
      <c r="CL294" s="26"/>
      <c r="CM294" s="26"/>
      <c r="CN294" s="26"/>
      <c r="CO294" s="26"/>
    </row>
    <row r="295" spans="7:93" ht="12.75" hidden="1" customHeight="1" x14ac:dyDescent="0.25">
      <c r="G295" s="279">
        <f>IF(G303=200,1,0)</f>
        <v>0</v>
      </c>
      <c r="H295" s="279">
        <f>IF(G303&lt;201,1,0)</f>
        <v>1</v>
      </c>
      <c r="I295" s="281">
        <f t="shared" ref="I295:I297" si="57">IF(SUM(G295+H295)=2,2,0)</f>
        <v>0</v>
      </c>
      <c r="J295" s="283" t="s">
        <v>157</v>
      </c>
      <c r="L295" s="272">
        <f>IF(L298=400,1,0)</f>
        <v>0</v>
      </c>
      <c r="M295" s="272">
        <f>IF(L298&lt;401,1,0)</f>
        <v>1</v>
      </c>
      <c r="N295" s="274">
        <f t="shared" si="56"/>
        <v>0</v>
      </c>
      <c r="O295" s="276" t="s">
        <v>202</v>
      </c>
      <c r="P295" s="6"/>
      <c r="Q295" s="6"/>
      <c r="R295" s="6"/>
      <c r="S295" s="6"/>
      <c r="T295" s="6"/>
      <c r="U295" s="243">
        <f>IF(X300&gt;250,1,0)</f>
        <v>0</v>
      </c>
      <c r="V295" s="243">
        <f>IF(X300&gt;=300,1,0)</f>
        <v>0</v>
      </c>
      <c r="W295" s="243">
        <f>IF(U295+V295=2,300,0)</f>
        <v>0</v>
      </c>
      <c r="X295" s="243">
        <v>4</v>
      </c>
      <c r="Y295" s="6"/>
      <c r="Z295" s="6"/>
      <c r="AA295" s="6"/>
      <c r="BF295" s="26"/>
      <c r="BG295" s="26"/>
      <c r="BH295" s="26"/>
      <c r="BI295" s="26"/>
      <c r="BJ295" s="26"/>
      <c r="BK295" s="26"/>
      <c r="BL295" s="26"/>
      <c r="BM295" s="26"/>
      <c r="BN295" s="26"/>
      <c r="BO295" s="26"/>
      <c r="BP295" s="26"/>
      <c r="BQ295" s="26"/>
      <c r="BR295" s="26"/>
      <c r="BS295" s="26"/>
      <c r="BT295" s="26"/>
      <c r="BU295" s="26"/>
      <c r="BV295" s="26"/>
      <c r="BW295" s="26"/>
      <c r="BX295" s="26"/>
      <c r="BY295" s="26"/>
      <c r="BZ295" s="26"/>
      <c r="CA295" s="26"/>
      <c r="CB295" s="26"/>
      <c r="CC295" s="26"/>
      <c r="CD295" s="26"/>
      <c r="CE295" s="26"/>
      <c r="CF295" s="26"/>
      <c r="CG295" s="26"/>
      <c r="CH295" s="26"/>
      <c r="CI295" s="26"/>
      <c r="CJ295" s="26"/>
      <c r="CK295" s="26"/>
      <c r="CL295" s="26"/>
      <c r="CM295" s="26"/>
      <c r="CN295" s="26"/>
      <c r="CO295" s="26"/>
    </row>
    <row r="296" spans="7:93" ht="12.75" hidden="1" customHeight="1" x14ac:dyDescent="0.25">
      <c r="G296" s="279">
        <f>IF(G303=225,1,0)</f>
        <v>0</v>
      </c>
      <c r="H296" s="279">
        <f>IF(G303&lt;226,1,0)</f>
        <v>1</v>
      </c>
      <c r="I296" s="281">
        <f t="shared" si="57"/>
        <v>0</v>
      </c>
      <c r="J296" s="283" t="s">
        <v>159</v>
      </c>
      <c r="L296" s="272">
        <f>IF(L298=450,1,0)</f>
        <v>0</v>
      </c>
      <c r="M296" s="272">
        <f>IF(L298&lt;451,1,0)</f>
        <v>1</v>
      </c>
      <c r="N296" s="274">
        <f>IF(SUM(L296+M296)=2,4,0)</f>
        <v>0</v>
      </c>
      <c r="O296" s="276" t="s">
        <v>203</v>
      </c>
      <c r="P296" s="6"/>
      <c r="Q296" s="6"/>
      <c r="R296" s="6"/>
      <c r="S296" s="6"/>
      <c r="T296" s="6"/>
      <c r="U296" s="243">
        <f>IF(X300&gt;301,1,0)</f>
        <v>0</v>
      </c>
      <c r="V296" s="243">
        <f>IF(X300&gt;=350,1,0)</f>
        <v>0</v>
      </c>
      <c r="W296" s="243">
        <f>IF(U296+V296=2,350,0)</f>
        <v>0</v>
      </c>
      <c r="X296" s="243">
        <v>4</v>
      </c>
      <c r="Y296" s="6"/>
      <c r="Z296" s="6"/>
      <c r="AA296" s="6"/>
      <c r="BF296" s="26"/>
      <c r="BG296" s="26"/>
      <c r="BH296" s="26"/>
      <c r="BI296" s="26"/>
      <c r="BJ296" s="26"/>
      <c r="BK296" s="26"/>
      <c r="BL296" s="26"/>
      <c r="BM296" s="26"/>
      <c r="BN296" s="26"/>
      <c r="BO296" s="26"/>
      <c r="BP296" s="26"/>
      <c r="BQ296" s="26"/>
      <c r="BR296" s="26"/>
      <c r="BS296" s="26"/>
      <c r="BT296" s="26"/>
      <c r="BU296" s="26"/>
      <c r="BV296" s="26"/>
      <c r="BW296" s="26"/>
      <c r="BX296" s="26"/>
      <c r="BY296" s="26"/>
      <c r="BZ296" s="26"/>
      <c r="CA296" s="26"/>
      <c r="CB296" s="26"/>
      <c r="CC296" s="26"/>
      <c r="CD296" s="26"/>
      <c r="CE296" s="26"/>
      <c r="CF296" s="26"/>
      <c r="CG296" s="26"/>
      <c r="CH296" s="26"/>
      <c r="CI296" s="26"/>
      <c r="CJ296" s="26"/>
      <c r="CK296" s="26"/>
      <c r="CL296" s="26"/>
      <c r="CM296" s="26"/>
      <c r="CN296" s="26"/>
      <c r="CO296" s="26"/>
    </row>
    <row r="297" spans="7:93" ht="12.75" hidden="1" customHeight="1" x14ac:dyDescent="0.25">
      <c r="G297" s="279">
        <f>IF(G303=250,1,0)</f>
        <v>0</v>
      </c>
      <c r="H297" s="279">
        <f>IF(G303&lt;251,1,0)</f>
        <v>1</v>
      </c>
      <c r="I297" s="281">
        <f t="shared" si="57"/>
        <v>0</v>
      </c>
      <c r="J297" s="283" t="s">
        <v>161</v>
      </c>
      <c r="L297" s="272">
        <f>IF(L298=500,1,0)</f>
        <v>0</v>
      </c>
      <c r="M297" s="272">
        <f>IF(L298&lt;501,1,0)</f>
        <v>1</v>
      </c>
      <c r="N297" s="274">
        <f>IF(SUM(L297+M297)=2,5,0)</f>
        <v>0</v>
      </c>
      <c r="O297" s="276" t="s">
        <v>204</v>
      </c>
      <c r="P297" s="6"/>
      <c r="Q297" s="6"/>
      <c r="R297" s="6"/>
      <c r="S297" s="6"/>
      <c r="T297" s="6"/>
      <c r="U297" s="243">
        <f>IF(X300&gt;350,1,0)</f>
        <v>0</v>
      </c>
      <c r="V297" s="243">
        <f>IF(X300&gt;=400,1,0)</f>
        <v>0</v>
      </c>
      <c r="W297" s="243">
        <f>IF(U297+V297=2,400,0)</f>
        <v>0</v>
      </c>
      <c r="X297" s="243">
        <v>3</v>
      </c>
      <c r="Y297" s="6"/>
      <c r="Z297" s="6"/>
      <c r="AA297" s="6"/>
      <c r="BF297" s="26"/>
      <c r="BG297" s="26"/>
      <c r="BH297" s="26"/>
      <c r="BI297" s="26"/>
      <c r="BJ297" s="26"/>
      <c r="BK297" s="26"/>
      <c r="BL297" s="26"/>
      <c r="BM297" s="26"/>
      <c r="BN297" s="26"/>
      <c r="BO297" s="26"/>
      <c r="BP297" s="26"/>
      <c r="BQ297" s="26"/>
      <c r="BR297" s="26"/>
      <c r="BS297" s="26"/>
      <c r="BT297" s="26"/>
      <c r="BU297" s="26"/>
      <c r="BV297" s="26"/>
      <c r="BW297" s="26"/>
      <c r="BX297" s="26"/>
      <c r="BY297" s="26"/>
      <c r="BZ297" s="26"/>
      <c r="CA297" s="26"/>
      <c r="CB297" s="26"/>
      <c r="CC297" s="26"/>
      <c r="CD297" s="26"/>
      <c r="CE297" s="26"/>
      <c r="CF297" s="26"/>
      <c r="CG297" s="26"/>
      <c r="CH297" s="26"/>
      <c r="CI297" s="26"/>
      <c r="CJ297" s="26"/>
      <c r="CK297" s="26"/>
      <c r="CL297" s="26"/>
      <c r="CM297" s="26"/>
      <c r="CN297" s="26"/>
      <c r="CO297" s="26"/>
    </row>
    <row r="298" spans="7:93" ht="12.75" hidden="1" customHeight="1" x14ac:dyDescent="0.25">
      <c r="G298" s="279">
        <f>IF(G303=300,1,0)</f>
        <v>0</v>
      </c>
      <c r="H298" s="279">
        <f>IF(G303&lt;301,1,0)</f>
        <v>1</v>
      </c>
      <c r="I298" s="281">
        <f>IF(SUM(G298+H298)=2,2.5,0)</f>
        <v>0</v>
      </c>
      <c r="J298" s="283" t="s">
        <v>163</v>
      </c>
      <c r="L298" s="9">
        <f>BF85</f>
        <v>0</v>
      </c>
      <c r="M298" s="272">
        <f>SUM(M285:M297)</f>
        <v>13</v>
      </c>
      <c r="N298" s="272">
        <f>CHOOSE(O284,1.25,1.25,1.5,1.5,2,2,2,2,2.5,3,3,4,5)</f>
        <v>1.25</v>
      </c>
      <c r="P298" s="6"/>
      <c r="Q298" s="6"/>
      <c r="R298" s="6"/>
      <c r="S298" s="6"/>
      <c r="T298" s="6"/>
      <c r="U298" s="243">
        <f>IF(X300&gt;400,1,0)</f>
        <v>0</v>
      </c>
      <c r="V298" s="243">
        <f>IF(X300&gt;=450,1,0)</f>
        <v>0</v>
      </c>
      <c r="W298" s="243">
        <f>IF(U298+V298=2,450,0)</f>
        <v>0</v>
      </c>
      <c r="X298" s="243">
        <v>3</v>
      </c>
      <c r="Y298" s="6"/>
      <c r="Z298" s="6"/>
      <c r="AA298" s="6"/>
      <c r="BF298" s="26"/>
      <c r="BG298" s="26"/>
      <c r="BH298" s="26"/>
      <c r="BI298" s="26"/>
      <c r="BJ298" s="26"/>
      <c r="BK298" s="26"/>
      <c r="BL298" s="26"/>
      <c r="BM298" s="26"/>
      <c r="BN298" s="26"/>
      <c r="BO298" s="26"/>
      <c r="BP298" s="26"/>
      <c r="BQ298" s="26"/>
      <c r="BR298" s="26"/>
      <c r="BS298" s="26"/>
      <c r="BT298" s="26"/>
      <c r="BU298" s="26"/>
      <c r="BV298" s="26"/>
      <c r="BW298" s="26"/>
      <c r="BX298" s="26"/>
      <c r="BY298" s="26"/>
      <c r="BZ298" s="26"/>
      <c r="CA298" s="26"/>
      <c r="CB298" s="26"/>
      <c r="CC298" s="26"/>
      <c r="CD298" s="26"/>
      <c r="CE298" s="26"/>
      <c r="CF298" s="26"/>
      <c r="CG298" s="26"/>
      <c r="CH298" s="26"/>
      <c r="CI298" s="26"/>
      <c r="CJ298" s="26"/>
      <c r="CK298" s="26"/>
      <c r="CL298" s="26"/>
      <c r="CM298" s="26"/>
      <c r="CN298" s="26"/>
      <c r="CO298" s="26"/>
    </row>
    <row r="299" spans="7:93" ht="12.75" hidden="1" customHeight="1" x14ac:dyDescent="0.25">
      <c r="G299" s="279">
        <f>IF(G303=350,1,0)</f>
        <v>0</v>
      </c>
      <c r="H299" s="279">
        <f>IF(G303&lt;351,1,0)</f>
        <v>1</v>
      </c>
      <c r="I299" s="281">
        <f t="shared" ref="I299:I300" si="58">IF(SUM(G299+H299)=2,3,0)</f>
        <v>0</v>
      </c>
      <c r="J299" s="283" t="s">
        <v>192</v>
      </c>
      <c r="P299" s="6"/>
      <c r="Q299" s="6"/>
      <c r="R299" s="6"/>
      <c r="S299" s="6"/>
      <c r="T299" s="6"/>
      <c r="U299" s="243">
        <f>IF(X300&gt;450,1,0)</f>
        <v>0</v>
      </c>
      <c r="V299" s="243">
        <f>IF(X300&gt;=500,1,0)</f>
        <v>0</v>
      </c>
      <c r="W299" s="243">
        <f>IF(U299+V299=2,500,0)</f>
        <v>0</v>
      </c>
      <c r="X299" s="243">
        <v>2</v>
      </c>
      <c r="Y299" s="6"/>
      <c r="Z299" s="6"/>
      <c r="AA299" s="6"/>
      <c r="BF299" s="26"/>
      <c r="BG299" s="26"/>
      <c r="BH299" s="26"/>
      <c r="BI299" s="26"/>
      <c r="BJ299" s="26"/>
      <c r="BK299" s="26"/>
      <c r="BL299" s="26"/>
      <c r="BM299" s="26"/>
      <c r="BN299" s="26"/>
      <c r="BO299" s="26"/>
      <c r="BP299" s="26"/>
      <c r="BQ299" s="26"/>
      <c r="BR299" s="26"/>
      <c r="BS299" s="26"/>
      <c r="BT299" s="26"/>
      <c r="BU299" s="26"/>
      <c r="BV299" s="26"/>
      <c r="BW299" s="26"/>
      <c r="BX299" s="26"/>
      <c r="BY299" s="26"/>
      <c r="BZ299" s="26"/>
      <c r="CA299" s="26"/>
      <c r="CB299" s="26"/>
      <c r="CC299" s="26"/>
      <c r="CD299" s="26"/>
      <c r="CE299" s="26"/>
      <c r="CF299" s="26"/>
      <c r="CG299" s="26"/>
      <c r="CH299" s="26"/>
      <c r="CI299" s="26"/>
      <c r="CJ299" s="26"/>
      <c r="CK299" s="26"/>
      <c r="CL299" s="26"/>
      <c r="CM299" s="26"/>
      <c r="CN299" s="26"/>
      <c r="CO299" s="26"/>
    </row>
    <row r="300" spans="7:93" ht="12.75" hidden="1" customHeight="1" x14ac:dyDescent="0.25">
      <c r="G300" s="279">
        <f>IF(G303=400,1,0)</f>
        <v>0</v>
      </c>
      <c r="H300" s="279">
        <f>IF(G303&lt;401,1,0)</f>
        <v>1</v>
      </c>
      <c r="I300" s="281">
        <f t="shared" si="58"/>
        <v>0</v>
      </c>
      <c r="J300" s="283" t="s">
        <v>202</v>
      </c>
      <c r="M300" s="52" t="s">
        <v>232</v>
      </c>
      <c r="N300" s="9" t="s">
        <v>231</v>
      </c>
      <c r="P300" s="6"/>
      <c r="Q300" s="6"/>
      <c r="R300" s="6"/>
      <c r="S300" s="6"/>
      <c r="T300" s="6"/>
      <c r="U300" s="246" t="str">
        <f>IF(V300&lt;1," ",W300)</f>
        <v xml:space="preserve"> </v>
      </c>
      <c r="V300" s="246">
        <f>SUM(V287:V299)</f>
        <v>0</v>
      </c>
      <c r="W300" s="243" t="e">
        <f>CHOOSE(V300,8,6,6,6,6,6,6,4,4,3,3,2)</f>
        <v>#VALUE!</v>
      </c>
      <c r="X300" s="6">
        <f>BG85</f>
        <v>0</v>
      </c>
      <c r="Y300" s="6"/>
      <c r="Z300" s="6"/>
      <c r="AA300" s="6"/>
      <c r="BF300" s="26"/>
      <c r="BG300" s="26"/>
      <c r="BH300" s="26"/>
      <c r="BI300" s="26"/>
      <c r="BJ300" s="26"/>
      <c r="BK300" s="26"/>
      <c r="BL300" s="26"/>
      <c r="BM300" s="26"/>
      <c r="BN300" s="26"/>
      <c r="BO300" s="26"/>
      <c r="BP300" s="26"/>
      <c r="BQ300" s="26"/>
      <c r="BR300" s="26"/>
      <c r="BS300" s="26"/>
      <c r="BT300" s="26"/>
      <c r="BU300" s="26"/>
      <c r="BV300" s="26"/>
      <c r="BW300" s="26"/>
      <c r="BX300" s="26"/>
      <c r="BY300" s="26"/>
      <c r="BZ300" s="26"/>
      <c r="CA300" s="26"/>
      <c r="CB300" s="26"/>
      <c r="CC300" s="26"/>
      <c r="CD300" s="26"/>
      <c r="CE300" s="26"/>
      <c r="CF300" s="26"/>
      <c r="CG300" s="26"/>
      <c r="CH300" s="26"/>
      <c r="CI300" s="26"/>
      <c r="CJ300" s="26"/>
      <c r="CK300" s="26"/>
      <c r="CL300" s="26"/>
      <c r="CM300" s="26"/>
      <c r="CN300" s="26"/>
      <c r="CO300" s="26"/>
    </row>
    <row r="301" spans="7:93" ht="12.75" hidden="1" customHeight="1" x14ac:dyDescent="0.25">
      <c r="G301" s="279">
        <f>IF(G303=450,1,0)</f>
        <v>0</v>
      </c>
      <c r="H301" s="279">
        <f>IF(G303&lt;451,1,0)</f>
        <v>1</v>
      </c>
      <c r="I301" s="281">
        <f>IF(SUM(G301+H301)=2,2.5,0)</f>
        <v>0</v>
      </c>
      <c r="J301" s="283"/>
      <c r="L301" s="259" t="s">
        <v>223</v>
      </c>
      <c r="M301" s="259"/>
      <c r="N301" s="284">
        <f>IF(L315&lt;30,0,N315)</f>
        <v>0</v>
      </c>
      <c r="O301" s="284">
        <f>(14-M315)</f>
        <v>1</v>
      </c>
      <c r="P301" s="6"/>
      <c r="Q301" s="6"/>
      <c r="R301" s="6"/>
      <c r="S301" s="6"/>
      <c r="T301" s="6"/>
      <c r="U301" s="6"/>
      <c r="V301" s="6"/>
      <c r="W301" s="6"/>
      <c r="X301" s="6"/>
      <c r="Y301" s="6"/>
      <c r="Z301" s="6"/>
      <c r="AA301" s="6"/>
      <c r="BF301" s="26"/>
      <c r="BG301" s="26"/>
      <c r="BH301" s="26"/>
      <c r="BI301" s="26"/>
      <c r="BJ301" s="26"/>
      <c r="BK301" s="26"/>
      <c r="BL301" s="26"/>
      <c r="BM301" s="26"/>
      <c r="BN301" s="26"/>
      <c r="BO301" s="26"/>
      <c r="BP301" s="26"/>
      <c r="BQ301" s="26"/>
      <c r="BR301" s="26"/>
      <c r="BS301" s="26"/>
      <c r="BT301" s="26"/>
      <c r="BU301" s="26"/>
      <c r="BV301" s="26"/>
      <c r="BW301" s="26"/>
      <c r="BX301" s="26"/>
      <c r="BY301" s="26"/>
      <c r="BZ301" s="26"/>
      <c r="CA301" s="26"/>
      <c r="CB301" s="26"/>
      <c r="CC301" s="26"/>
      <c r="CD301" s="26"/>
      <c r="CE301" s="26"/>
      <c r="CF301" s="26"/>
      <c r="CG301" s="26"/>
      <c r="CH301" s="26"/>
      <c r="CI301" s="26"/>
      <c r="CJ301" s="26"/>
      <c r="CK301" s="26"/>
      <c r="CL301" s="26"/>
      <c r="CM301" s="26"/>
      <c r="CN301" s="26"/>
      <c r="CO301" s="26"/>
    </row>
    <row r="302" spans="7:93" ht="12.75" hidden="1" customHeight="1" x14ac:dyDescent="0.25">
      <c r="G302" s="279">
        <f>IF(G303=500,1,0)</f>
        <v>0</v>
      </c>
      <c r="H302" s="279">
        <f>IF(G303&lt;501,1,0)</f>
        <v>1</v>
      </c>
      <c r="I302" s="281">
        <f>IF(SUM(G302+H302)=2,3,0)</f>
        <v>0</v>
      </c>
      <c r="J302" s="283"/>
      <c r="L302" s="285">
        <f>IF(L315=100,1,0)</f>
        <v>0</v>
      </c>
      <c r="M302" s="285">
        <f>IF(L315&lt;=100,1,0)</f>
        <v>1</v>
      </c>
      <c r="N302" s="285">
        <f>IF(M302+L302=2,1.25,0)</f>
        <v>0</v>
      </c>
      <c r="O302" s="286">
        <v>2</v>
      </c>
      <c r="P302" s="6"/>
      <c r="Q302" s="6"/>
      <c r="R302" s="6"/>
      <c r="S302" s="6"/>
      <c r="T302" s="6"/>
      <c r="U302" s="6" t="s">
        <v>233</v>
      </c>
      <c r="V302" s="6"/>
      <c r="W302" s="6"/>
      <c r="X302" s="6"/>
      <c r="Y302" s="6"/>
      <c r="Z302" s="6"/>
      <c r="AA302" s="6"/>
      <c r="BF302" s="26"/>
      <c r="BG302" s="26"/>
      <c r="BH302" s="26"/>
      <c r="BI302" s="26"/>
      <c r="BJ302" s="26"/>
      <c r="BK302" s="26"/>
      <c r="BL302" s="26"/>
      <c r="BM302" s="26"/>
      <c r="BN302" s="26"/>
      <c r="BO302" s="26"/>
      <c r="BP302" s="26"/>
      <c r="BQ302" s="26"/>
      <c r="BR302" s="26"/>
      <c r="BS302" s="26"/>
      <c r="BT302" s="26"/>
      <c r="BU302" s="26"/>
      <c r="BV302" s="26"/>
      <c r="BW302" s="26"/>
      <c r="BX302" s="26"/>
      <c r="BY302" s="26"/>
      <c r="BZ302" s="26"/>
      <c r="CA302" s="26"/>
      <c r="CB302" s="26"/>
      <c r="CC302" s="26"/>
      <c r="CD302" s="26"/>
      <c r="CE302" s="26"/>
      <c r="CF302" s="26"/>
      <c r="CG302" s="26"/>
      <c r="CH302" s="26"/>
      <c r="CI302" s="26"/>
      <c r="CJ302" s="26"/>
      <c r="CK302" s="26"/>
      <c r="CL302" s="26"/>
      <c r="CM302" s="26"/>
      <c r="CN302" s="26"/>
      <c r="CO302" s="26"/>
    </row>
    <row r="303" spans="7:93" ht="12.75" hidden="1" customHeight="1" x14ac:dyDescent="0.25">
      <c r="G303" s="9">
        <f>BG85</f>
        <v>0</v>
      </c>
      <c r="H303" s="279">
        <f>SUM(H291:H302)</f>
        <v>12</v>
      </c>
      <c r="I303" s="279">
        <f>CHOOSE(J290,1.25,1.25,1.5,1.5,2,2,2,2.5,3,3)</f>
        <v>1.25</v>
      </c>
      <c r="L303" s="285">
        <f>IF(L315=110,1,0)</f>
        <v>0</v>
      </c>
      <c r="M303" s="285">
        <f>IF(L315&lt;111,1,0)</f>
        <v>1</v>
      </c>
      <c r="N303" s="287">
        <f>IF(SUM(L303+M303)=2,1.25,0)</f>
        <v>0</v>
      </c>
      <c r="O303" s="288">
        <v>1</v>
      </c>
      <c r="P303" s="6"/>
      <c r="Q303" s="6"/>
      <c r="R303" s="6"/>
      <c r="S303" s="6"/>
      <c r="T303" s="6"/>
      <c r="U303" s="243">
        <f>IF(X316&gt;1,1,0)</f>
        <v>0</v>
      </c>
      <c r="V303" s="243">
        <f>IF(X316&gt;=100,1,0)</f>
        <v>0</v>
      </c>
      <c r="W303" s="243">
        <f>IF(V303+U303=2,100,0)</f>
        <v>0</v>
      </c>
      <c r="X303" s="243">
        <v>6</v>
      </c>
      <c r="Y303" s="6"/>
      <c r="Z303" s="6"/>
      <c r="AA303" s="6"/>
      <c r="BF303" s="26"/>
      <c r="BG303" s="26"/>
      <c r="BH303" s="26"/>
      <c r="BI303" s="26"/>
      <c r="BJ303" s="26"/>
      <c r="BK303" s="26"/>
      <c r="BL303" s="26"/>
      <c r="BM303" s="26"/>
      <c r="BN303" s="26"/>
      <c r="BO303" s="26"/>
      <c r="BP303" s="26"/>
      <c r="BQ303" s="26"/>
      <c r="BR303" s="26"/>
      <c r="BS303" s="26"/>
      <c r="BT303" s="26"/>
      <c r="BU303" s="26"/>
      <c r="BV303" s="26"/>
      <c r="BW303" s="26"/>
      <c r="BX303" s="26"/>
      <c r="BY303" s="26"/>
      <c r="BZ303" s="26"/>
      <c r="CA303" s="26"/>
      <c r="CB303" s="26"/>
      <c r="CC303" s="26"/>
      <c r="CD303" s="26"/>
      <c r="CE303" s="26"/>
      <c r="CF303" s="26"/>
      <c r="CG303" s="26"/>
      <c r="CH303" s="26"/>
      <c r="CI303" s="26"/>
      <c r="CJ303" s="26"/>
      <c r="CK303" s="26"/>
      <c r="CL303" s="26"/>
      <c r="CM303" s="26"/>
      <c r="CN303" s="26"/>
      <c r="CO303" s="26"/>
    </row>
    <row r="304" spans="7:93" ht="12.75" hidden="1" customHeight="1" x14ac:dyDescent="0.25">
      <c r="L304" s="285">
        <f>IF(L315=125,1,0)</f>
        <v>0</v>
      </c>
      <c r="M304" s="285">
        <f>IF(L315&lt;126,1,0)</f>
        <v>1</v>
      </c>
      <c r="N304" s="287">
        <f t="shared" ref="N304:N305" si="59">IF(SUM(L304+M304)=2,1.5,0)</f>
        <v>0</v>
      </c>
      <c r="O304" s="289" t="s">
        <v>153</v>
      </c>
      <c r="P304" s="6"/>
      <c r="Q304" s="6"/>
      <c r="R304" s="6"/>
      <c r="S304" s="6"/>
      <c r="T304" s="6"/>
      <c r="U304" s="243">
        <f>IF(X316&gt;100,1,0)</f>
        <v>0</v>
      </c>
      <c r="V304" s="243">
        <f>IF(X316&gt;=110,1,0)</f>
        <v>0</v>
      </c>
      <c r="W304" s="243">
        <f>IF(SUM(U304+V304)=2,110,0)</f>
        <v>0</v>
      </c>
      <c r="X304" s="243">
        <v>4</v>
      </c>
      <c r="Y304" s="6"/>
      <c r="Z304" s="6"/>
      <c r="AA304" s="6"/>
      <c r="BF304" s="26"/>
      <c r="BG304" s="26"/>
      <c r="BH304" s="26"/>
      <c r="BI304" s="26"/>
      <c r="BJ304" s="26"/>
      <c r="BK304" s="26"/>
      <c r="BL304" s="26"/>
      <c r="BM304" s="26"/>
      <c r="BN304" s="26"/>
      <c r="BO304" s="26"/>
      <c r="BP304" s="26"/>
      <c r="BQ304" s="26"/>
      <c r="BR304" s="26"/>
      <c r="BS304" s="26"/>
      <c r="BT304" s="26"/>
      <c r="BU304" s="26"/>
      <c r="BV304" s="26"/>
      <c r="BW304" s="26"/>
      <c r="BX304" s="26"/>
      <c r="BY304" s="26"/>
      <c r="BZ304" s="26"/>
      <c r="CA304" s="26"/>
      <c r="CB304" s="26"/>
      <c r="CC304" s="26"/>
      <c r="CD304" s="26"/>
      <c r="CE304" s="26"/>
      <c r="CF304" s="26"/>
      <c r="CG304" s="26"/>
      <c r="CH304" s="26"/>
      <c r="CI304" s="26"/>
      <c r="CJ304" s="26"/>
      <c r="CK304" s="26"/>
      <c r="CL304" s="26"/>
      <c r="CM304" s="26"/>
      <c r="CN304" s="26"/>
      <c r="CO304" s="26"/>
    </row>
    <row r="305" spans="7:93" ht="12.75" hidden="1" customHeight="1" x14ac:dyDescent="0.25">
      <c r="L305" s="285">
        <f>IF(L315=150,1,0)</f>
        <v>0</v>
      </c>
      <c r="M305" s="285">
        <f>IF(L315&lt;151,1,0)</f>
        <v>1</v>
      </c>
      <c r="N305" s="287">
        <f t="shared" si="59"/>
        <v>0</v>
      </c>
      <c r="O305" s="289" t="s">
        <v>198</v>
      </c>
      <c r="P305" s="6"/>
      <c r="Q305" s="6"/>
      <c r="R305" s="6"/>
      <c r="S305" s="6"/>
      <c r="T305" s="6"/>
      <c r="U305" s="243">
        <f>IF(X316&gt;110,1,0)</f>
        <v>0</v>
      </c>
      <c r="V305" s="243">
        <f>IF(X316&gt;=125,1,0)</f>
        <v>0</v>
      </c>
      <c r="W305" s="243">
        <f>IF(U305+V305=2,125,0)</f>
        <v>0</v>
      </c>
      <c r="X305" s="243">
        <v>4</v>
      </c>
      <c r="Y305" s="6"/>
      <c r="Z305" s="6"/>
      <c r="AA305" s="6"/>
      <c r="BF305" s="26"/>
      <c r="BG305" s="26"/>
      <c r="BH305" s="26"/>
      <c r="BI305" s="26"/>
      <c r="BJ305" s="26"/>
      <c r="BK305" s="26"/>
      <c r="BL305" s="26"/>
      <c r="BM305" s="26"/>
      <c r="BN305" s="26"/>
      <c r="BO305" s="26"/>
      <c r="BP305" s="26"/>
      <c r="BQ305" s="26"/>
      <c r="BR305" s="26"/>
      <c r="BS305" s="26"/>
      <c r="BT305" s="26"/>
      <c r="BU305" s="26"/>
      <c r="BV305" s="26"/>
      <c r="BW305" s="26"/>
      <c r="BX305" s="26"/>
      <c r="BY305" s="26"/>
      <c r="BZ305" s="26"/>
      <c r="CA305" s="26"/>
      <c r="CB305" s="26"/>
      <c r="CC305" s="26"/>
      <c r="CD305" s="26"/>
      <c r="CE305" s="26"/>
      <c r="CF305" s="26"/>
      <c r="CG305" s="26"/>
      <c r="CH305" s="26"/>
      <c r="CI305" s="26"/>
      <c r="CJ305" s="26"/>
      <c r="CK305" s="26"/>
      <c r="CL305" s="26"/>
      <c r="CM305" s="26"/>
      <c r="CN305" s="26"/>
      <c r="CO305" s="26"/>
    </row>
    <row r="306" spans="7:93" ht="12.75" hidden="1" customHeight="1" x14ac:dyDescent="0.25">
      <c r="H306" s="52" t="s">
        <v>234</v>
      </c>
      <c r="I306" s="52" t="s">
        <v>235</v>
      </c>
      <c r="L306" s="285">
        <f>IF(L315=175,1,0)</f>
        <v>0</v>
      </c>
      <c r="M306" s="285">
        <f>IF(L315&lt;176,1,0)</f>
        <v>1</v>
      </c>
      <c r="N306" s="287">
        <f t="shared" ref="N306:N309" si="60">IF(SUM(L306+M306)=2,2,0)</f>
        <v>0</v>
      </c>
      <c r="O306" s="289" t="s">
        <v>199</v>
      </c>
      <c r="P306" s="6"/>
      <c r="Q306" s="6"/>
      <c r="R306" s="6"/>
      <c r="S306" s="6"/>
      <c r="T306" s="6"/>
      <c r="U306" s="243">
        <f>IF(X316&gt;125,1,0)</f>
        <v>0</v>
      </c>
      <c r="V306" s="243">
        <f>IF(X316&gt;=150,1,0)</f>
        <v>0</v>
      </c>
      <c r="W306" s="243">
        <f>IF(U306+V306=2,150,0)</f>
        <v>0</v>
      </c>
      <c r="X306" s="243">
        <v>4</v>
      </c>
      <c r="Y306" s="6"/>
      <c r="Z306" s="6"/>
      <c r="AA306" s="6"/>
      <c r="BF306" s="26"/>
      <c r="BG306" s="26"/>
      <c r="BH306" s="26"/>
      <c r="BI306" s="26"/>
      <c r="BJ306" s="26"/>
      <c r="BK306" s="26"/>
      <c r="BL306" s="26"/>
      <c r="BM306" s="26"/>
      <c r="BN306" s="26"/>
      <c r="BO306" s="26"/>
      <c r="BP306" s="26"/>
      <c r="BQ306" s="26"/>
      <c r="BR306" s="26"/>
      <c r="BS306" s="26"/>
      <c r="BT306" s="26"/>
      <c r="BU306" s="26"/>
      <c r="BV306" s="26"/>
      <c r="BW306" s="26"/>
      <c r="BX306" s="26"/>
      <c r="BY306" s="26"/>
      <c r="BZ306" s="26"/>
      <c r="CA306" s="26"/>
      <c r="CB306" s="26"/>
      <c r="CC306" s="26"/>
      <c r="CD306" s="26"/>
      <c r="CE306" s="26"/>
      <c r="CF306" s="26"/>
      <c r="CG306" s="26"/>
      <c r="CH306" s="26"/>
      <c r="CI306" s="26"/>
      <c r="CJ306" s="26"/>
      <c r="CK306" s="26"/>
      <c r="CL306" s="26"/>
      <c r="CM306" s="26"/>
      <c r="CN306" s="26"/>
      <c r="CO306" s="26"/>
    </row>
    <row r="307" spans="7:93" ht="12.75" hidden="1" customHeight="1" x14ac:dyDescent="0.25">
      <c r="G307" s="259" t="s">
        <v>236</v>
      </c>
      <c r="H307" s="259"/>
      <c r="I307" s="290" t="str">
        <f>IF(G321&lt;30," ",I321)</f>
        <v xml:space="preserve"> </v>
      </c>
      <c r="J307" s="291">
        <f>(14-H321)</f>
        <v>1</v>
      </c>
      <c r="L307" s="285">
        <f>IF(L315=200,1,0)</f>
        <v>0</v>
      </c>
      <c r="M307" s="285">
        <f>IF(L315&lt;201,1,0)</f>
        <v>1</v>
      </c>
      <c r="N307" s="287">
        <f t="shared" si="60"/>
        <v>0</v>
      </c>
      <c r="O307" s="289" t="s">
        <v>200</v>
      </c>
      <c r="P307" s="6"/>
      <c r="Q307" s="6"/>
      <c r="R307" s="6"/>
      <c r="S307" s="6"/>
      <c r="T307" s="6"/>
      <c r="U307" s="243">
        <f>IF(X316&gt;150,1,0)</f>
        <v>0</v>
      </c>
      <c r="V307" s="243">
        <f>IF(X316&gt;=175,1,0)</f>
        <v>0</v>
      </c>
      <c r="W307" s="243">
        <f>IF(U307+V307=2,175,0)</f>
        <v>0</v>
      </c>
      <c r="X307" s="243">
        <v>4</v>
      </c>
      <c r="Y307" s="6"/>
      <c r="Z307" s="6"/>
      <c r="AA307" s="6"/>
      <c r="BF307" s="26"/>
      <c r="BG307" s="26"/>
      <c r="BH307" s="26"/>
      <c r="BI307" s="26"/>
      <c r="BJ307" s="26"/>
      <c r="BK307" s="26"/>
      <c r="BL307" s="26"/>
      <c r="BM307" s="26"/>
      <c r="BN307" s="26"/>
      <c r="BO307" s="26"/>
      <c r="BP307" s="26"/>
      <c r="BQ307" s="26"/>
      <c r="BR307" s="26"/>
      <c r="BS307" s="26"/>
      <c r="BT307" s="26"/>
      <c r="BU307" s="26"/>
      <c r="BV307" s="26"/>
      <c r="BW307" s="26"/>
      <c r="BX307" s="26"/>
      <c r="BY307" s="26"/>
      <c r="BZ307" s="26"/>
      <c r="CA307" s="26"/>
      <c r="CB307" s="26"/>
      <c r="CC307" s="26"/>
      <c r="CD307" s="26"/>
      <c r="CE307" s="26"/>
      <c r="CF307" s="26"/>
      <c r="CG307" s="26"/>
      <c r="CH307" s="26"/>
      <c r="CI307" s="26"/>
      <c r="CJ307" s="26"/>
      <c r="CK307" s="26"/>
      <c r="CL307" s="26"/>
      <c r="CM307" s="26"/>
      <c r="CN307" s="26"/>
      <c r="CO307" s="26"/>
    </row>
    <row r="308" spans="7:93" ht="12.75" hidden="1" customHeight="1" x14ac:dyDescent="0.25">
      <c r="G308" s="292">
        <f>IF(G321=100,1,0)</f>
        <v>0</v>
      </c>
      <c r="H308" s="292">
        <f>IF(G321&lt;=100,1,0)</f>
        <v>1</v>
      </c>
      <c r="I308" s="292">
        <f>IF(H308+G308=2,1,0)</f>
        <v>0</v>
      </c>
      <c r="J308" s="293">
        <v>4</v>
      </c>
      <c r="L308" s="285">
        <f>IF(L315=225,1,0)</f>
        <v>0</v>
      </c>
      <c r="M308" s="285">
        <f>IF(L315&lt;226,1,0)</f>
        <v>1</v>
      </c>
      <c r="N308" s="287">
        <f t="shared" si="60"/>
        <v>0</v>
      </c>
      <c r="O308" s="289" t="s">
        <v>161</v>
      </c>
      <c r="P308" s="6"/>
      <c r="Q308" s="6"/>
      <c r="R308" s="6"/>
      <c r="S308" s="6"/>
      <c r="T308" s="6"/>
      <c r="U308" s="243">
        <f>IF(X316&gt;175,1,0)</f>
        <v>0</v>
      </c>
      <c r="V308" s="243">
        <f>IF(X316&gt;=200,1,0)</f>
        <v>0</v>
      </c>
      <c r="W308" s="243">
        <f>IF(U308+V308=2,200,0)</f>
        <v>0</v>
      </c>
      <c r="X308" s="243">
        <v>4</v>
      </c>
      <c r="Y308" s="6"/>
      <c r="Z308" s="6"/>
      <c r="AA308" s="6"/>
      <c r="BF308" s="26"/>
      <c r="BG308" s="26"/>
      <c r="BH308" s="26"/>
      <c r="BI308" s="26"/>
      <c r="BJ308" s="26"/>
      <c r="BK308" s="26"/>
      <c r="BL308" s="26"/>
      <c r="BM308" s="26"/>
      <c r="BN308" s="26"/>
      <c r="BO308" s="26"/>
      <c r="BP308" s="26"/>
      <c r="BQ308" s="26"/>
      <c r="BR308" s="26"/>
      <c r="BS308" s="26"/>
      <c r="BT308" s="26"/>
      <c r="BU308" s="26"/>
      <c r="BV308" s="26"/>
      <c r="BW308" s="26"/>
      <c r="BX308" s="26"/>
      <c r="BY308" s="26"/>
      <c r="BZ308" s="26"/>
      <c r="CA308" s="26"/>
      <c r="CB308" s="26"/>
      <c r="CC308" s="26"/>
      <c r="CD308" s="26"/>
      <c r="CE308" s="26"/>
      <c r="CF308" s="26"/>
      <c r="CG308" s="26"/>
      <c r="CH308" s="26"/>
      <c r="CI308" s="26"/>
      <c r="CJ308" s="26"/>
      <c r="CK308" s="26"/>
      <c r="CL308" s="26"/>
      <c r="CM308" s="26"/>
      <c r="CN308" s="26"/>
      <c r="CO308" s="26"/>
    </row>
    <row r="309" spans="7:93" ht="12.75" hidden="1" customHeight="1" x14ac:dyDescent="0.25">
      <c r="G309" s="292">
        <f>IF(G321=110,1,0)</f>
        <v>0</v>
      </c>
      <c r="H309" s="292">
        <f>IF(G321&lt;111,1,0)</f>
        <v>1</v>
      </c>
      <c r="I309" s="294">
        <f t="shared" ref="I309:I311" si="61">IF(SUM(G309+H309)=2,1.25,0)</f>
        <v>0</v>
      </c>
      <c r="J309" s="295" t="s">
        <v>147</v>
      </c>
      <c r="L309" s="285">
        <f>IF(L315=250,1,0)</f>
        <v>0</v>
      </c>
      <c r="M309" s="285">
        <f>IF(L315&lt;251,1,0)</f>
        <v>1</v>
      </c>
      <c r="N309" s="287">
        <f t="shared" si="60"/>
        <v>0</v>
      </c>
      <c r="O309" s="289" t="s">
        <v>188</v>
      </c>
      <c r="P309" s="6"/>
      <c r="Q309" s="6"/>
      <c r="R309" s="6"/>
      <c r="S309" s="6"/>
      <c r="T309" s="6"/>
      <c r="U309" s="243">
        <f>IF(X316&gt;200,1,0)</f>
        <v>0</v>
      </c>
      <c r="V309" s="243">
        <f>IF(X316&gt;=225,1,0)</f>
        <v>0</v>
      </c>
      <c r="W309" s="243">
        <f>IF(U309+V309=2,225,0)</f>
        <v>0</v>
      </c>
      <c r="X309" s="243">
        <v>2</v>
      </c>
      <c r="Y309" s="6"/>
      <c r="Z309" s="6"/>
      <c r="AA309" s="6"/>
      <c r="BF309" s="26"/>
      <c r="BG309" s="26"/>
      <c r="BH309" s="26"/>
      <c r="BI309" s="26"/>
      <c r="BJ309" s="26"/>
      <c r="BK309" s="26"/>
      <c r="BL309" s="26"/>
      <c r="BM309" s="26"/>
      <c r="BN309" s="26"/>
      <c r="BO309" s="26"/>
      <c r="BP309" s="26"/>
      <c r="BQ309" s="26"/>
      <c r="BR309" s="26"/>
      <c r="BS309" s="26"/>
      <c r="BT309" s="26"/>
      <c r="BU309" s="26"/>
      <c r="BV309" s="26"/>
      <c r="BW309" s="26"/>
      <c r="BX309" s="26"/>
      <c r="BY309" s="26"/>
      <c r="BZ309" s="26"/>
      <c r="CA309" s="26"/>
      <c r="CB309" s="26"/>
      <c r="CC309" s="26"/>
      <c r="CD309" s="26"/>
      <c r="CE309" s="26"/>
      <c r="CF309" s="26"/>
      <c r="CG309" s="26"/>
      <c r="CH309" s="26"/>
      <c r="CI309" s="26"/>
      <c r="CJ309" s="26"/>
      <c r="CK309" s="26"/>
      <c r="CL309" s="26"/>
      <c r="CM309" s="26"/>
      <c r="CN309" s="26"/>
      <c r="CO309" s="26"/>
    </row>
    <row r="310" spans="7:93" ht="12.75" hidden="1" customHeight="1" x14ac:dyDescent="0.25">
      <c r="G310" s="292">
        <f>IF(G321=125,1,0)</f>
        <v>0</v>
      </c>
      <c r="H310" s="292">
        <f>IF(G321&lt;126,1,0)</f>
        <v>1</v>
      </c>
      <c r="I310" s="294">
        <f t="shared" si="61"/>
        <v>0</v>
      </c>
      <c r="J310" s="295" t="s">
        <v>149</v>
      </c>
      <c r="L310" s="285">
        <f>IF(L315=300,1,0)</f>
        <v>0</v>
      </c>
      <c r="M310" s="285">
        <f>IF(L315&lt;301,1,0)</f>
        <v>1</v>
      </c>
      <c r="N310" s="287">
        <f>IF(SUM(L310+M310)=2,2.5,0)</f>
        <v>0</v>
      </c>
      <c r="O310" s="289" t="s">
        <v>163</v>
      </c>
      <c r="P310" s="6"/>
      <c r="Q310" s="6"/>
      <c r="R310" s="6"/>
      <c r="S310" s="6"/>
      <c r="T310" s="6"/>
      <c r="U310" s="243">
        <f>IF(X316&gt;225,1,0)</f>
        <v>0</v>
      </c>
      <c r="V310" s="243">
        <f>IF(X316&gt;=250,1,0)</f>
        <v>0</v>
      </c>
      <c r="W310" s="243">
        <f>IF(U310+V310=2,250,0)</f>
        <v>0</v>
      </c>
      <c r="X310" s="243">
        <v>2</v>
      </c>
      <c r="Y310" s="6"/>
      <c r="Z310" s="6"/>
      <c r="AA310" s="6"/>
      <c r="BF310" s="26"/>
      <c r="BG310" s="26"/>
      <c r="BH310" s="26"/>
      <c r="BI310" s="26"/>
      <c r="BJ310" s="26"/>
      <c r="BK310" s="26"/>
      <c r="BL310" s="26"/>
      <c r="BM310" s="26"/>
      <c r="BN310" s="26"/>
      <c r="BO310" s="26"/>
      <c r="BP310" s="26"/>
      <c r="BQ310" s="26"/>
      <c r="BR310" s="26"/>
      <c r="BS310" s="26"/>
      <c r="BT310" s="26"/>
      <c r="BU310" s="26"/>
      <c r="BV310" s="26"/>
      <c r="BW310" s="26"/>
      <c r="BX310" s="26"/>
      <c r="BY310" s="26"/>
      <c r="BZ310" s="26"/>
      <c r="CA310" s="26"/>
      <c r="CB310" s="26"/>
      <c r="CC310" s="26"/>
      <c r="CD310" s="26"/>
      <c r="CE310" s="26"/>
      <c r="CF310" s="26"/>
      <c r="CG310" s="26"/>
      <c r="CH310" s="26"/>
      <c r="CI310" s="26"/>
      <c r="CJ310" s="26"/>
      <c r="CK310" s="26"/>
      <c r="CL310" s="26"/>
      <c r="CM310" s="26"/>
      <c r="CN310" s="26"/>
      <c r="CO310" s="26"/>
    </row>
    <row r="311" spans="7:93" ht="12.75" hidden="1" customHeight="1" x14ac:dyDescent="0.25">
      <c r="G311" s="292">
        <f>IF(G321=150,1,0)</f>
        <v>0</v>
      </c>
      <c r="H311" s="292">
        <f>IF(G321&lt;151,1,0)</f>
        <v>1</v>
      </c>
      <c r="I311" s="294">
        <f t="shared" si="61"/>
        <v>0</v>
      </c>
      <c r="J311" s="295" t="s">
        <v>151</v>
      </c>
      <c r="L311" s="285">
        <f>IF(L315=350,1,0)</f>
        <v>0</v>
      </c>
      <c r="M311" s="285">
        <f>IF(L315&lt;351,1,0)</f>
        <v>1</v>
      </c>
      <c r="N311" s="287">
        <f t="shared" ref="N311:N312" si="62">IF(SUM(L311+M311)=2,3,0)</f>
        <v>0</v>
      </c>
      <c r="O311" s="289" t="s">
        <v>192</v>
      </c>
      <c r="P311" s="6"/>
      <c r="Q311" s="6"/>
      <c r="R311" s="6"/>
      <c r="S311" s="6"/>
      <c r="T311" s="6"/>
      <c r="U311" s="243">
        <f>IF(X316&gt;250,1,0)</f>
        <v>0</v>
      </c>
      <c r="V311" s="243">
        <f>IF(X316&gt;=300,1,0)</f>
        <v>0</v>
      </c>
      <c r="W311" s="243">
        <f>IF(U311+V311=2,300,0)</f>
        <v>0</v>
      </c>
      <c r="X311" s="243">
        <v>2</v>
      </c>
      <c r="Y311" s="6"/>
      <c r="Z311" s="6"/>
      <c r="AA311" s="6"/>
      <c r="BF311" s="26"/>
      <c r="BG311" s="26"/>
      <c r="BH311" s="26"/>
      <c r="BI311" s="26"/>
      <c r="BJ311" s="26"/>
      <c r="BK311" s="26"/>
      <c r="BL311" s="26"/>
      <c r="BM311" s="26"/>
      <c r="BN311" s="26"/>
      <c r="BO311" s="26"/>
      <c r="BP311" s="26"/>
      <c r="BQ311" s="26"/>
      <c r="BR311" s="26"/>
      <c r="BS311" s="26"/>
      <c r="BT311" s="26"/>
      <c r="BU311" s="26"/>
      <c r="BV311" s="26"/>
      <c r="BW311" s="26"/>
      <c r="BX311" s="26"/>
      <c r="BY311" s="26"/>
      <c r="BZ311" s="26"/>
      <c r="CA311" s="26"/>
      <c r="CB311" s="26"/>
      <c r="CC311" s="26"/>
      <c r="CD311" s="26"/>
      <c r="CE311" s="26"/>
      <c r="CF311" s="26"/>
      <c r="CG311" s="26"/>
      <c r="CH311" s="26"/>
      <c r="CI311" s="26"/>
      <c r="CJ311" s="26"/>
      <c r="CK311" s="26"/>
      <c r="CL311" s="26"/>
      <c r="CM311" s="26"/>
      <c r="CN311" s="26"/>
      <c r="CO311" s="26"/>
    </row>
    <row r="312" spans="7:93" ht="12.75" hidden="1" customHeight="1" x14ac:dyDescent="0.25">
      <c r="G312" s="292">
        <f>IF(G321=175,1,0)</f>
        <v>0</v>
      </c>
      <c r="H312" s="292">
        <f>IF(G321&lt;176,1,0)</f>
        <v>1</v>
      </c>
      <c r="I312" s="294">
        <f t="shared" ref="I312:I313" si="63">IF(SUM(G312+H312)=2,1.5,0)</f>
        <v>0</v>
      </c>
      <c r="J312" s="296" t="s">
        <v>180</v>
      </c>
      <c r="L312" s="285">
        <f>IF(L315=400,1,0)</f>
        <v>0</v>
      </c>
      <c r="M312" s="285">
        <f>IF(L315&lt;401,1,0)</f>
        <v>1</v>
      </c>
      <c r="N312" s="287">
        <f t="shared" si="62"/>
        <v>0</v>
      </c>
      <c r="O312" s="289" t="s">
        <v>202</v>
      </c>
      <c r="P312" s="6"/>
      <c r="Q312" s="6"/>
      <c r="R312" s="6"/>
      <c r="S312" s="6"/>
      <c r="T312" s="6"/>
      <c r="U312" s="243">
        <f>IF(X316&gt;301,1,0)</f>
        <v>0</v>
      </c>
      <c r="V312" s="243">
        <f>IF(X316&gt;=350,1,0)</f>
        <v>0</v>
      </c>
      <c r="W312" s="243">
        <f>IF(U312+V312=2,350,0)</f>
        <v>0</v>
      </c>
      <c r="X312" s="243">
        <v>1</v>
      </c>
      <c r="Y312" s="6"/>
      <c r="Z312" s="6"/>
      <c r="AA312" s="6"/>
      <c r="BF312" s="26"/>
      <c r="BG312" s="26"/>
      <c r="BH312" s="26"/>
      <c r="BI312" s="26"/>
      <c r="BJ312" s="26"/>
      <c r="BK312" s="26"/>
      <c r="BL312" s="26"/>
      <c r="BM312" s="26"/>
      <c r="BN312" s="26"/>
      <c r="BO312" s="26"/>
      <c r="BP312" s="26"/>
      <c r="BQ312" s="26"/>
      <c r="BR312" s="26"/>
      <c r="BS312" s="26"/>
      <c r="BT312" s="26"/>
      <c r="BU312" s="26"/>
      <c r="BV312" s="26"/>
      <c r="BW312" s="26"/>
      <c r="BX312" s="26"/>
      <c r="BY312" s="26"/>
      <c r="BZ312" s="26"/>
      <c r="CA312" s="26"/>
      <c r="CB312" s="26"/>
      <c r="CC312" s="26"/>
      <c r="CD312" s="26"/>
      <c r="CE312" s="26"/>
      <c r="CF312" s="26"/>
      <c r="CG312" s="26"/>
      <c r="CH312" s="26"/>
      <c r="CI312" s="26"/>
      <c r="CJ312" s="26"/>
      <c r="CK312" s="26"/>
      <c r="CL312" s="26"/>
      <c r="CM312" s="26"/>
      <c r="CN312" s="26"/>
      <c r="CO312" s="26"/>
    </row>
    <row r="313" spans="7:93" ht="12.75" hidden="1" customHeight="1" x14ac:dyDescent="0.25">
      <c r="G313" s="292">
        <f>IF(G321=200,1,0)</f>
        <v>0</v>
      </c>
      <c r="H313" s="292">
        <f>IF(G321&lt;201,1,0)</f>
        <v>1</v>
      </c>
      <c r="I313" s="294">
        <f t="shared" si="63"/>
        <v>0</v>
      </c>
      <c r="J313" s="296" t="s">
        <v>155</v>
      </c>
      <c r="L313" s="285">
        <f>IF(L315=450,1,0)</f>
        <v>0</v>
      </c>
      <c r="M313" s="285">
        <f>IF(L315&lt;451,1,0)</f>
        <v>1</v>
      </c>
      <c r="N313" s="287">
        <f>IF(SUM(L313+M313)=2,4,0)</f>
        <v>0</v>
      </c>
      <c r="O313" s="289" t="s">
        <v>203</v>
      </c>
      <c r="P313" s="6"/>
      <c r="Q313" s="6"/>
      <c r="R313" s="6"/>
      <c r="S313" s="6"/>
      <c r="T313" s="6"/>
      <c r="U313" s="243">
        <f>IF(X316&gt;350,1,0)</f>
        <v>0</v>
      </c>
      <c r="V313" s="243">
        <f>IF(X316&gt;=400,1,0)</f>
        <v>0</v>
      </c>
      <c r="W313" s="243">
        <f>IF(U313+V313=2,400,0)</f>
        <v>0</v>
      </c>
      <c r="X313" s="243">
        <v>1</v>
      </c>
      <c r="Y313" s="6"/>
      <c r="Z313" s="6"/>
      <c r="AA313" s="6"/>
      <c r="BF313" s="26"/>
      <c r="BG313" s="26"/>
      <c r="BH313" s="26"/>
      <c r="BI313" s="26"/>
      <c r="BJ313" s="26"/>
      <c r="BK313" s="26"/>
      <c r="BL313" s="26"/>
      <c r="BM313" s="26"/>
      <c r="BN313" s="26"/>
      <c r="BO313" s="26"/>
      <c r="BP313" s="26"/>
      <c r="BQ313" s="26"/>
      <c r="BR313" s="26"/>
      <c r="BS313" s="26"/>
      <c r="BT313" s="26"/>
      <c r="BU313" s="26"/>
      <c r="BV313" s="26"/>
      <c r="BW313" s="26"/>
      <c r="BX313" s="26"/>
      <c r="BY313" s="26"/>
      <c r="BZ313" s="26"/>
      <c r="CA313" s="26"/>
      <c r="CB313" s="26"/>
      <c r="CC313" s="26"/>
      <c r="CD313" s="26"/>
      <c r="CE313" s="26"/>
      <c r="CF313" s="26"/>
      <c r="CG313" s="26"/>
      <c r="CH313" s="26"/>
      <c r="CI313" s="26"/>
      <c r="CJ313" s="26"/>
      <c r="CK313" s="26"/>
      <c r="CL313" s="26"/>
      <c r="CM313" s="26"/>
      <c r="CN313" s="26"/>
      <c r="CO313" s="26"/>
    </row>
    <row r="314" spans="7:93" ht="12.75" hidden="1" customHeight="1" x14ac:dyDescent="0.25">
      <c r="G314" s="292">
        <f>IF(G321=225,1,0)</f>
        <v>0</v>
      </c>
      <c r="H314" s="292">
        <f>IF(G321&lt;226,1,0)</f>
        <v>1</v>
      </c>
      <c r="I314" s="294">
        <f t="shared" ref="I314:I316" si="64">IF(SUM(G314+H314)=2,2,0)</f>
        <v>0</v>
      </c>
      <c r="J314" s="296" t="s">
        <v>157</v>
      </c>
      <c r="L314" s="285">
        <f>IF(L315=500,1,0)</f>
        <v>0</v>
      </c>
      <c r="M314" s="285">
        <f>IF(L315&lt;501,1,0)</f>
        <v>1</v>
      </c>
      <c r="N314" s="287">
        <f>IF(SUM(L314+M314)=2,5,0)</f>
        <v>0</v>
      </c>
      <c r="O314" s="289" t="s">
        <v>204</v>
      </c>
      <c r="P314" s="6"/>
      <c r="Q314" s="6"/>
      <c r="R314" s="6"/>
      <c r="S314" s="6"/>
      <c r="T314" s="6"/>
      <c r="U314" s="243">
        <f>IF(X316&gt;400,1,0)</f>
        <v>0</v>
      </c>
      <c r="V314" s="243">
        <f>IF(X316&gt;=450,1,0)</f>
        <v>0</v>
      </c>
      <c r="W314" s="243">
        <f>IF(U314+V314=2,450,0)</f>
        <v>0</v>
      </c>
      <c r="X314" s="297" t="s">
        <v>237</v>
      </c>
      <c r="Y314" s="6"/>
      <c r="Z314" s="6"/>
      <c r="AA314" s="6"/>
      <c r="BF314" s="26"/>
      <c r="BG314" s="26"/>
      <c r="BH314" s="26"/>
      <c r="BI314" s="26"/>
      <c r="BJ314" s="26"/>
      <c r="BK314" s="26"/>
      <c r="BL314" s="26"/>
      <c r="BM314" s="26"/>
      <c r="BN314" s="26"/>
      <c r="BO314" s="26"/>
      <c r="BP314" s="26"/>
      <c r="BQ314" s="26"/>
      <c r="BR314" s="26"/>
      <c r="BS314" s="26"/>
      <c r="BT314" s="26"/>
      <c r="BU314" s="26"/>
      <c r="BV314" s="26"/>
      <c r="BW314" s="26"/>
      <c r="BX314" s="26"/>
      <c r="BY314" s="26"/>
      <c r="BZ314" s="26"/>
      <c r="CA314" s="26"/>
      <c r="CB314" s="26"/>
      <c r="CC314" s="26"/>
      <c r="CD314" s="26"/>
      <c r="CE314" s="26"/>
      <c r="CF314" s="26"/>
      <c r="CG314" s="26"/>
      <c r="CH314" s="26"/>
      <c r="CI314" s="26"/>
      <c r="CJ314" s="26"/>
      <c r="CK314" s="26"/>
      <c r="CL314" s="26"/>
      <c r="CM314" s="26"/>
      <c r="CN314" s="26"/>
      <c r="CO314" s="26"/>
    </row>
    <row r="315" spans="7:93" ht="12.75" hidden="1" customHeight="1" x14ac:dyDescent="0.25">
      <c r="G315" s="292">
        <f>IF(G321=250,1,0)</f>
        <v>0</v>
      </c>
      <c r="H315" s="292">
        <f>IF(G321&lt;251,1,0)</f>
        <v>1</v>
      </c>
      <c r="I315" s="294">
        <f t="shared" si="64"/>
        <v>0</v>
      </c>
      <c r="J315" s="296" t="s">
        <v>159</v>
      </c>
      <c r="L315" s="9">
        <f>BG85</f>
        <v>0</v>
      </c>
      <c r="M315" s="285">
        <f>SUM(M302:M314)</f>
        <v>13</v>
      </c>
      <c r="N315" s="285">
        <f>CHOOSE(O301,1.25,1.25,1.5,1.5,2,2,2,2,2.5,3,3,4,5)</f>
        <v>1.25</v>
      </c>
      <c r="P315" s="6"/>
      <c r="Q315" s="6"/>
      <c r="R315" s="6"/>
      <c r="S315" s="6"/>
      <c r="T315" s="6"/>
      <c r="U315" s="243">
        <f>IF(X316&gt;450,1,0)</f>
        <v>0</v>
      </c>
      <c r="V315" s="243">
        <f>IF(X316&gt;=500,1,0)</f>
        <v>0</v>
      </c>
      <c r="W315" s="243">
        <f>IF(U315+V315=2,500,0)</f>
        <v>0</v>
      </c>
      <c r="X315" s="298" t="s">
        <v>237</v>
      </c>
      <c r="Y315" s="6"/>
      <c r="Z315" s="6"/>
      <c r="AA315" s="6"/>
      <c r="BF315" s="26"/>
      <c r="BG315" s="26"/>
      <c r="BH315" s="26"/>
      <c r="BI315" s="26"/>
      <c r="BJ315" s="26"/>
      <c r="BK315" s="26"/>
      <c r="BL315" s="26"/>
      <c r="BM315" s="26"/>
      <c r="BN315" s="26"/>
      <c r="BO315" s="26"/>
      <c r="BP315" s="26"/>
      <c r="BQ315" s="26"/>
      <c r="BR315" s="26"/>
      <c r="BS315" s="26"/>
      <c r="BT315" s="26"/>
      <c r="BU315" s="26"/>
      <c r="BV315" s="26"/>
      <c r="BW315" s="26"/>
      <c r="BX315" s="26"/>
      <c r="BY315" s="26"/>
      <c r="BZ315" s="26"/>
      <c r="CA315" s="26"/>
      <c r="CB315" s="26"/>
      <c r="CC315" s="26"/>
      <c r="CD315" s="26"/>
      <c r="CE315" s="26"/>
      <c r="CF315" s="26"/>
      <c r="CG315" s="26"/>
      <c r="CH315" s="26"/>
      <c r="CI315" s="26"/>
      <c r="CJ315" s="26"/>
      <c r="CK315" s="26"/>
      <c r="CL315" s="26"/>
      <c r="CM315" s="26"/>
      <c r="CN315" s="26"/>
      <c r="CO315" s="26"/>
    </row>
    <row r="316" spans="7:93" ht="12.75" hidden="1" customHeight="1" x14ac:dyDescent="0.25">
      <c r="G316" s="292">
        <f>IF(G321=300,1,0)</f>
        <v>0</v>
      </c>
      <c r="H316" s="292">
        <f>IF(G321&lt;301,1,0)</f>
        <v>1</v>
      </c>
      <c r="I316" s="294">
        <f t="shared" si="64"/>
        <v>0</v>
      </c>
      <c r="J316" s="296" t="s">
        <v>161</v>
      </c>
      <c r="P316" s="6"/>
      <c r="Q316" s="6"/>
      <c r="R316" s="6"/>
      <c r="S316" s="6"/>
      <c r="T316" s="6"/>
      <c r="U316" s="246" t="str">
        <f>IF(V316&lt;1," ",W316)</f>
        <v xml:space="preserve"> </v>
      </c>
      <c r="V316" s="246">
        <f>SUM(V303:V315)</f>
        <v>0</v>
      </c>
      <c r="W316" s="243" t="e">
        <f>CHOOSE(V316,6,4,4,4,4,4,2,2,2,1,1,"1/0","1/0")</f>
        <v>#VALUE!</v>
      </c>
      <c r="X316" s="6">
        <f>BF85</f>
        <v>0</v>
      </c>
      <c r="Y316" s="6"/>
      <c r="Z316" s="6"/>
      <c r="AA316" s="6"/>
      <c r="BF316" s="26"/>
      <c r="BG316" s="26"/>
      <c r="BH316" s="26"/>
      <c r="BI316" s="26"/>
      <c r="BJ316" s="26"/>
      <c r="BK316" s="26"/>
      <c r="BL316" s="26"/>
      <c r="BM316" s="26"/>
      <c r="BN316" s="26"/>
      <c r="BO316" s="26"/>
      <c r="BP316" s="26"/>
      <c r="BQ316" s="26"/>
      <c r="BR316" s="26"/>
      <c r="BS316" s="26"/>
      <c r="BT316" s="26"/>
      <c r="BU316" s="26"/>
      <c r="BV316" s="26"/>
      <c r="BW316" s="26"/>
      <c r="BX316" s="26"/>
      <c r="BY316" s="26"/>
      <c r="BZ316" s="26"/>
      <c r="CA316" s="26"/>
      <c r="CB316" s="26"/>
      <c r="CC316" s="26"/>
      <c r="CD316" s="26"/>
      <c r="CE316" s="26"/>
      <c r="CF316" s="26"/>
      <c r="CG316" s="26"/>
      <c r="CH316" s="26"/>
      <c r="CI316" s="26"/>
      <c r="CJ316" s="26"/>
      <c r="CK316" s="26"/>
      <c r="CL316" s="26"/>
      <c r="CM316" s="26"/>
      <c r="CN316" s="26"/>
      <c r="CO316" s="26"/>
    </row>
    <row r="317" spans="7:93" ht="12.75" hidden="1" customHeight="1" x14ac:dyDescent="0.25">
      <c r="G317" s="292">
        <f>IF(G321=350,1,0)</f>
        <v>0</v>
      </c>
      <c r="H317" s="292">
        <f>IF(G321&lt;351,1,0)</f>
        <v>1</v>
      </c>
      <c r="I317" s="294">
        <f t="shared" ref="I317:I319" si="65">IF(SUM(G317+H317)=2,2.5,0)</f>
        <v>0</v>
      </c>
      <c r="J317" s="296" t="s">
        <v>188</v>
      </c>
      <c r="M317" s="52" t="s">
        <v>238</v>
      </c>
      <c r="P317" s="6"/>
      <c r="Q317" s="6"/>
      <c r="R317" s="6"/>
      <c r="S317" s="6"/>
      <c r="T317" s="6"/>
      <c r="U317" s="6"/>
      <c r="V317" s="6"/>
      <c r="W317" s="6"/>
      <c r="X317" s="6"/>
      <c r="Y317" s="6"/>
      <c r="Z317" s="6"/>
      <c r="AA317" s="6"/>
      <c r="BF317" s="26"/>
      <c r="BG317" s="26"/>
      <c r="BH317" s="26"/>
      <c r="BI317" s="26"/>
      <c r="BJ317" s="26"/>
      <c r="BK317" s="26"/>
      <c r="BL317" s="26"/>
      <c r="BM317" s="26"/>
      <c r="BN317" s="26"/>
      <c r="BO317" s="26"/>
      <c r="BP317" s="26"/>
      <c r="BQ317" s="26"/>
      <c r="BR317" s="26"/>
      <c r="BS317" s="26"/>
      <c r="BT317" s="26"/>
      <c r="BU317" s="26"/>
      <c r="BV317" s="26"/>
      <c r="BW317" s="26"/>
      <c r="BX317" s="26"/>
      <c r="BY317" s="26"/>
      <c r="BZ317" s="26"/>
      <c r="CA317" s="26"/>
      <c r="CB317" s="26"/>
      <c r="CC317" s="26"/>
      <c r="CD317" s="26"/>
      <c r="CE317" s="26"/>
      <c r="CF317" s="26"/>
      <c r="CG317" s="26"/>
      <c r="CH317" s="26"/>
      <c r="CI317" s="26"/>
      <c r="CJ317" s="26"/>
      <c r="CK317" s="26"/>
      <c r="CL317" s="26"/>
      <c r="CM317" s="26"/>
      <c r="CN317" s="26"/>
      <c r="CO317" s="26"/>
    </row>
    <row r="318" spans="7:93" ht="12.75" hidden="1" customHeight="1" x14ac:dyDescent="0.25">
      <c r="G318" s="292">
        <f>IF(G321=400,1,0)</f>
        <v>0</v>
      </c>
      <c r="H318" s="292">
        <f>IF(G321&lt;401,1,0)</f>
        <v>1</v>
      </c>
      <c r="I318" s="294">
        <f t="shared" si="65"/>
        <v>0</v>
      </c>
      <c r="J318" s="296" t="s">
        <v>163</v>
      </c>
      <c r="L318" s="259" t="s">
        <v>223</v>
      </c>
      <c r="M318" s="259"/>
      <c r="N318" s="290" t="str">
        <f>IF(L332&lt;30," ",N332)</f>
        <v xml:space="preserve"> </v>
      </c>
      <c r="O318" s="290">
        <f>(14-M332)</f>
        <v>1</v>
      </c>
      <c r="P318" s="6"/>
      <c r="Q318" s="6"/>
      <c r="R318" s="6"/>
      <c r="S318" s="6"/>
      <c r="T318" s="6"/>
      <c r="U318" s="6" t="s">
        <v>239</v>
      </c>
      <c r="V318" s="6"/>
      <c r="W318" s="6"/>
      <c r="X318" s="6"/>
      <c r="Y318" s="6"/>
      <c r="Z318" s="6"/>
      <c r="AA318" s="6"/>
      <c r="BF318" s="26"/>
      <c r="BG318" s="26"/>
      <c r="BH318" s="26"/>
      <c r="BI318" s="26"/>
      <c r="BJ318" s="26"/>
      <c r="BK318" s="26"/>
      <c r="BL318" s="26"/>
      <c r="BM318" s="26"/>
      <c r="BN318" s="26"/>
      <c r="BO318" s="26"/>
      <c r="BP318" s="26"/>
      <c r="BQ318" s="26"/>
      <c r="BR318" s="26"/>
      <c r="BS318" s="26"/>
      <c r="BT318" s="26"/>
      <c r="BU318" s="26"/>
      <c r="BV318" s="26"/>
      <c r="BW318" s="26"/>
      <c r="BX318" s="26"/>
      <c r="BY318" s="26"/>
      <c r="BZ318" s="26"/>
      <c r="CA318" s="26"/>
      <c r="CB318" s="26"/>
      <c r="CC318" s="26"/>
      <c r="CD318" s="26"/>
      <c r="CE318" s="26"/>
      <c r="CF318" s="26"/>
      <c r="CG318" s="26"/>
      <c r="CH318" s="26"/>
      <c r="CI318" s="26"/>
      <c r="CJ318" s="26"/>
      <c r="CK318" s="26"/>
      <c r="CL318" s="26"/>
      <c r="CM318" s="26"/>
      <c r="CN318" s="26"/>
      <c r="CO318" s="26"/>
    </row>
    <row r="319" spans="7:93" ht="12.75" hidden="1" customHeight="1" x14ac:dyDescent="0.25">
      <c r="G319" s="292">
        <f>IF(G321=450,1,0)</f>
        <v>0</v>
      </c>
      <c r="H319" s="292">
        <f>IF(G321&lt;451,1,0)</f>
        <v>1</v>
      </c>
      <c r="I319" s="294">
        <f t="shared" si="65"/>
        <v>0</v>
      </c>
      <c r="J319" s="296" t="s">
        <v>165</v>
      </c>
      <c r="L319" s="299">
        <f>IF(L332=100,1,0)</f>
        <v>0</v>
      </c>
      <c r="M319" s="299">
        <f>IF(L332&lt;=100,1,0)</f>
        <v>1</v>
      </c>
      <c r="N319" s="299">
        <f>IF(M319+L319=2,1.25,0)</f>
        <v>0</v>
      </c>
      <c r="O319" s="300">
        <v>2</v>
      </c>
      <c r="P319" s="6"/>
      <c r="Q319" s="6"/>
      <c r="R319" s="6"/>
      <c r="S319" s="6"/>
      <c r="T319" s="6"/>
      <c r="U319" s="243">
        <f>IF(X332&gt;1,1,0)</f>
        <v>0</v>
      </c>
      <c r="V319" s="243">
        <f>IF(X332&gt;=100,1,0)</f>
        <v>0</v>
      </c>
      <c r="W319" s="243">
        <f>IF(V319+U319=2,100,0)</f>
        <v>0</v>
      </c>
      <c r="X319" s="243">
        <v>6</v>
      </c>
      <c r="Y319" s="6"/>
      <c r="Z319" s="6"/>
      <c r="AA319" s="6"/>
      <c r="BF319" s="26"/>
      <c r="BG319" s="26"/>
      <c r="BH319" s="26"/>
      <c r="BI319" s="26"/>
      <c r="BJ319" s="26"/>
      <c r="BK319" s="26"/>
      <c r="BL319" s="26"/>
      <c r="BM319" s="26"/>
      <c r="BN319" s="26"/>
      <c r="BO319" s="26"/>
      <c r="BP319" s="26"/>
      <c r="BQ319" s="26"/>
      <c r="BR319" s="26"/>
      <c r="BS319" s="26"/>
      <c r="BT319" s="26"/>
      <c r="BU319" s="26"/>
      <c r="BV319" s="26"/>
      <c r="BW319" s="26"/>
      <c r="BX319" s="26"/>
      <c r="BY319" s="26"/>
      <c r="BZ319" s="26"/>
      <c r="CA319" s="26"/>
      <c r="CB319" s="26"/>
      <c r="CC319" s="26"/>
      <c r="CD319" s="26"/>
      <c r="CE319" s="26"/>
      <c r="CF319" s="26"/>
      <c r="CG319" s="26"/>
      <c r="CH319" s="26"/>
      <c r="CI319" s="26"/>
      <c r="CJ319" s="26"/>
      <c r="CK319" s="26"/>
      <c r="CL319" s="26"/>
      <c r="CM319" s="26"/>
      <c r="CN319" s="26"/>
      <c r="CO319" s="26"/>
    </row>
    <row r="320" spans="7:93" ht="12.75" hidden="1" customHeight="1" x14ac:dyDescent="0.25">
      <c r="G320" s="292">
        <f>IF(G321=500,1,0)</f>
        <v>0</v>
      </c>
      <c r="H320" s="292">
        <f>IF(G321&lt;501,1,0)</f>
        <v>1</v>
      </c>
      <c r="I320" s="294">
        <f>IF(SUM(G320+H320)=2,3,0)</f>
        <v>0</v>
      </c>
      <c r="J320" s="296" t="s">
        <v>192</v>
      </c>
      <c r="L320" s="299">
        <f>IF(L332=110,1,0)</f>
        <v>0</v>
      </c>
      <c r="M320" s="299">
        <f>IF(L332&lt;111,1,0)</f>
        <v>1</v>
      </c>
      <c r="N320" s="301">
        <f>IF(SUM(L320+M320)=2,1.25,0)</f>
        <v>0</v>
      </c>
      <c r="O320" s="302">
        <v>1</v>
      </c>
      <c r="P320" s="6"/>
      <c r="Q320" s="6"/>
      <c r="R320" s="6"/>
      <c r="S320" s="6"/>
      <c r="T320" s="6"/>
      <c r="U320" s="243">
        <f>IF(X332&gt;100,1,0)</f>
        <v>0</v>
      </c>
      <c r="V320" s="243">
        <f>IF(X332&gt;=110,1,0)</f>
        <v>0</v>
      </c>
      <c r="W320" s="243">
        <f>IF(SUM(U320+V320)=2,110,0)</f>
        <v>0</v>
      </c>
      <c r="X320" s="243">
        <v>4</v>
      </c>
      <c r="Y320" s="6"/>
      <c r="Z320" s="6"/>
      <c r="AA320" s="6"/>
      <c r="BF320" s="26"/>
      <c r="BG320" s="26"/>
      <c r="BH320" s="26"/>
      <c r="BI320" s="26"/>
      <c r="BJ320" s="26"/>
      <c r="BK320" s="26"/>
      <c r="BL320" s="26"/>
      <c r="BM320" s="26"/>
      <c r="BN320" s="26"/>
      <c r="BO320" s="26"/>
      <c r="BP320" s="26"/>
      <c r="BQ320" s="26"/>
      <c r="BR320" s="26"/>
      <c r="BS320" s="26"/>
      <c r="BT320" s="26"/>
      <c r="BU320" s="26"/>
      <c r="BV320" s="26"/>
      <c r="BW320" s="26"/>
      <c r="BX320" s="26"/>
      <c r="BY320" s="26"/>
      <c r="BZ320" s="26"/>
      <c r="CA320" s="26"/>
      <c r="CB320" s="26"/>
      <c r="CC320" s="26"/>
      <c r="CD320" s="26"/>
      <c r="CE320" s="26"/>
      <c r="CF320" s="26"/>
      <c r="CG320" s="26"/>
      <c r="CH320" s="26"/>
      <c r="CI320" s="26"/>
      <c r="CJ320" s="26"/>
      <c r="CK320" s="26"/>
      <c r="CL320" s="26"/>
      <c r="CM320" s="26"/>
      <c r="CN320" s="26"/>
      <c r="CO320" s="26"/>
    </row>
    <row r="321" spans="7:93" ht="12.75" hidden="1" customHeight="1" x14ac:dyDescent="0.25">
      <c r="G321" s="9">
        <f>I217</f>
        <v>0</v>
      </c>
      <c r="H321" s="291">
        <f>SUM(H308:H320)</f>
        <v>13</v>
      </c>
      <c r="I321" s="291">
        <f>CHOOSE(J307,1,1.25,1.25,1.25,1.5,1.5,2,2,2,2.5,2.5,2.5,3)</f>
        <v>1</v>
      </c>
      <c r="L321" s="299">
        <f>IF(L332=125,1,0)</f>
        <v>0</v>
      </c>
      <c r="M321" s="299">
        <f>IF(L332&lt;126,1,0)</f>
        <v>1</v>
      </c>
      <c r="N321" s="301">
        <f t="shared" ref="N321:N322" si="66">IF(SUM(L321+M321)=2,1.5,0)</f>
        <v>0</v>
      </c>
      <c r="O321" s="303" t="s">
        <v>153</v>
      </c>
      <c r="P321" s="6"/>
      <c r="Q321" s="6"/>
      <c r="R321" s="6"/>
      <c r="S321" s="6"/>
      <c r="T321" s="6"/>
      <c r="U321" s="243">
        <f>IF(X332&gt;110,1,0)</f>
        <v>0</v>
      </c>
      <c r="V321" s="243">
        <f>IF(X332&gt;=125,1,0)</f>
        <v>0</v>
      </c>
      <c r="W321" s="243">
        <f>IF(U321+V321=2,125,0)</f>
        <v>0</v>
      </c>
      <c r="X321" s="243">
        <v>4</v>
      </c>
      <c r="Y321" s="6"/>
      <c r="Z321" s="6"/>
      <c r="AA321" s="6"/>
      <c r="BF321" s="26"/>
      <c r="BG321" s="26"/>
      <c r="BH321" s="26"/>
      <c r="BI321" s="26"/>
      <c r="BJ321" s="26"/>
      <c r="BK321" s="26"/>
      <c r="BL321" s="26"/>
      <c r="BM321" s="26"/>
      <c r="BN321" s="26"/>
      <c r="BO321" s="26"/>
      <c r="BP321" s="26"/>
      <c r="BQ321" s="26"/>
      <c r="BR321" s="26"/>
      <c r="BS321" s="26"/>
      <c r="BT321" s="26"/>
      <c r="BU321" s="26"/>
      <c r="BV321" s="26"/>
      <c r="BW321" s="26"/>
      <c r="BX321" s="26"/>
      <c r="BY321" s="26"/>
      <c r="BZ321" s="26"/>
      <c r="CA321" s="26"/>
      <c r="CB321" s="26"/>
      <c r="CC321" s="26"/>
      <c r="CD321" s="26"/>
      <c r="CE321" s="26"/>
      <c r="CF321" s="26"/>
      <c r="CG321" s="26"/>
      <c r="CH321" s="26"/>
      <c r="CI321" s="26"/>
      <c r="CJ321" s="26"/>
      <c r="CK321" s="26"/>
      <c r="CL321" s="26"/>
      <c r="CM321" s="26"/>
      <c r="CN321" s="26"/>
      <c r="CO321" s="26"/>
    </row>
    <row r="322" spans="7:93" ht="12.75" hidden="1" customHeight="1" x14ac:dyDescent="0.25">
      <c r="L322" s="299">
        <f>IF(L332=150,1,0)</f>
        <v>0</v>
      </c>
      <c r="M322" s="299">
        <f>IF(L332&lt;151,1,0)</f>
        <v>1</v>
      </c>
      <c r="N322" s="301">
        <f t="shared" si="66"/>
        <v>0</v>
      </c>
      <c r="O322" s="303" t="s">
        <v>198</v>
      </c>
      <c r="P322" s="6"/>
      <c r="Q322" s="6"/>
      <c r="R322" s="6"/>
      <c r="S322" s="6"/>
      <c r="T322" s="6"/>
      <c r="U322" s="243">
        <f>IF(X332&gt;125,1,0)</f>
        <v>0</v>
      </c>
      <c r="V322" s="243">
        <f>IF(X332&gt;=150,1,0)</f>
        <v>0</v>
      </c>
      <c r="W322" s="243">
        <f>IF(U322+V322=2,150,0)</f>
        <v>0</v>
      </c>
      <c r="X322" s="243">
        <v>4</v>
      </c>
      <c r="Y322" s="6"/>
      <c r="Z322" s="6"/>
      <c r="AA322" s="6"/>
      <c r="BF322" s="26"/>
      <c r="BG322" s="26"/>
      <c r="BH322" s="26"/>
      <c r="BI322" s="26"/>
      <c r="BJ322" s="26"/>
      <c r="BK322" s="26"/>
      <c r="BL322" s="26"/>
      <c r="BM322" s="26"/>
      <c r="BN322" s="26"/>
      <c r="BO322" s="26"/>
      <c r="BP322" s="26"/>
      <c r="BQ322" s="26"/>
      <c r="BR322" s="26"/>
      <c r="BS322" s="26"/>
      <c r="BT322" s="26"/>
      <c r="BU322" s="26"/>
      <c r="BV322" s="26"/>
      <c r="BW322" s="26"/>
      <c r="BX322" s="26"/>
      <c r="BY322" s="26"/>
      <c r="BZ322" s="26"/>
      <c r="CA322" s="26"/>
      <c r="CB322" s="26"/>
      <c r="CC322" s="26"/>
      <c r="CD322" s="26"/>
      <c r="CE322" s="26"/>
      <c r="CF322" s="26"/>
      <c r="CG322" s="26"/>
      <c r="CH322" s="26"/>
      <c r="CI322" s="26"/>
      <c r="CJ322" s="26"/>
      <c r="CK322" s="26"/>
      <c r="CL322" s="26"/>
      <c r="CM322" s="26"/>
      <c r="CN322" s="26"/>
      <c r="CO322" s="26"/>
    </row>
    <row r="323" spans="7:93" ht="12.75" hidden="1" customHeight="1" x14ac:dyDescent="0.25">
      <c r="G323" s="259" t="s">
        <v>240</v>
      </c>
      <c r="H323" s="259"/>
      <c r="I323" s="265" t="str">
        <f>IF(G333&lt;30," ",I333)</f>
        <v xml:space="preserve"> </v>
      </c>
      <c r="J323" s="304">
        <f>H333</f>
        <v>0</v>
      </c>
      <c r="L323" s="299">
        <f>IF(L332=175,1,0)</f>
        <v>0</v>
      </c>
      <c r="M323" s="299">
        <f>IF(L332&lt;176,1,0)</f>
        <v>1</v>
      </c>
      <c r="N323" s="301">
        <f t="shared" ref="N323:N326" si="67">IF(SUM(L323+M323)=2,2,0)</f>
        <v>0</v>
      </c>
      <c r="O323" s="303" t="s">
        <v>199</v>
      </c>
      <c r="P323" s="6"/>
      <c r="Q323" s="6"/>
      <c r="R323" s="6"/>
      <c r="S323" s="6"/>
      <c r="T323" s="6"/>
      <c r="U323" s="243">
        <f>IF(X332&gt;150,1,0)</f>
        <v>0</v>
      </c>
      <c r="V323" s="243">
        <f>IF(X332&gt;=175,1,0)</f>
        <v>0</v>
      </c>
      <c r="W323" s="243">
        <f>IF(U323+V323=2,175,0)</f>
        <v>0</v>
      </c>
      <c r="X323" s="243">
        <v>4</v>
      </c>
      <c r="Y323" s="6"/>
      <c r="Z323" s="6"/>
      <c r="AA323" s="6"/>
      <c r="BF323" s="26"/>
      <c r="BG323" s="26"/>
      <c r="BH323" s="26"/>
      <c r="BI323" s="26"/>
      <c r="BJ323" s="26"/>
      <c r="BK323" s="26"/>
      <c r="BL323" s="26"/>
      <c r="BM323" s="26"/>
      <c r="BN323" s="26"/>
      <c r="BO323" s="26"/>
      <c r="BP323" s="26"/>
      <c r="BQ323" s="26"/>
      <c r="BR323" s="26"/>
      <c r="BS323" s="26"/>
      <c r="BT323" s="26"/>
      <c r="BU323" s="26"/>
      <c r="BV323" s="26"/>
      <c r="BW323" s="26"/>
      <c r="BX323" s="26"/>
      <c r="BY323" s="26"/>
      <c r="BZ323" s="26"/>
      <c r="CA323" s="26"/>
      <c r="CB323" s="26"/>
      <c r="CC323" s="26"/>
      <c r="CD323" s="26"/>
      <c r="CE323" s="26"/>
      <c r="CF323" s="26"/>
      <c r="CG323" s="26"/>
      <c r="CH323" s="26"/>
      <c r="CI323" s="26"/>
      <c r="CJ323" s="26"/>
      <c r="CK323" s="26"/>
      <c r="CL323" s="26"/>
      <c r="CM323" s="26"/>
      <c r="CN323" s="26"/>
      <c r="CO323" s="26"/>
    </row>
    <row r="324" spans="7:93" ht="12.75" hidden="1" customHeight="1" x14ac:dyDescent="0.25">
      <c r="G324" s="242">
        <f>IF(G333=100,1,0)</f>
        <v>0</v>
      </c>
      <c r="H324" s="242">
        <f>IF(G333&gt;=100,1,0)</f>
        <v>0</v>
      </c>
      <c r="I324" s="242">
        <f>IF(H324+G324=2,J324,0)</f>
        <v>0</v>
      </c>
      <c r="J324" s="267">
        <v>3</v>
      </c>
      <c r="L324" s="299">
        <f>IF(L332=200,1,0)</f>
        <v>0</v>
      </c>
      <c r="M324" s="299">
        <f>IF(L332&lt;201,1,0)</f>
        <v>1</v>
      </c>
      <c r="N324" s="301">
        <f t="shared" si="67"/>
        <v>0</v>
      </c>
      <c r="O324" s="303" t="s">
        <v>200</v>
      </c>
      <c r="P324" s="6"/>
      <c r="Q324" s="6"/>
      <c r="R324" s="6"/>
      <c r="S324" s="6"/>
      <c r="T324" s="6"/>
      <c r="U324" s="243">
        <f>IF(X332&gt;175,1,0)</f>
        <v>0</v>
      </c>
      <c r="V324" s="243">
        <f>IF(X332&gt;=200,1,0)</f>
        <v>0</v>
      </c>
      <c r="W324" s="243">
        <f>IF(U324+V324=2,200,0)</f>
        <v>0</v>
      </c>
      <c r="X324" s="243">
        <v>4</v>
      </c>
      <c r="Y324" s="6"/>
      <c r="Z324" s="6"/>
      <c r="AA324" s="6"/>
      <c r="BF324" s="26"/>
      <c r="BG324" s="26"/>
      <c r="BH324" s="26"/>
      <c r="BI324" s="26"/>
      <c r="BJ324" s="26"/>
      <c r="BK324" s="26"/>
      <c r="BL324" s="26"/>
      <c r="BM324" s="26"/>
      <c r="BN324" s="26"/>
      <c r="BO324" s="26"/>
      <c r="BP324" s="26"/>
      <c r="BQ324" s="26"/>
      <c r="BR324" s="26"/>
      <c r="BS324" s="26"/>
      <c r="BT324" s="26"/>
      <c r="BU324" s="26"/>
      <c r="BV324" s="26"/>
      <c r="BW324" s="26"/>
      <c r="BX324" s="26"/>
      <c r="BY324" s="26"/>
      <c r="BZ324" s="26"/>
      <c r="CA324" s="26"/>
      <c r="CB324" s="26"/>
      <c r="CC324" s="26"/>
      <c r="CD324" s="26"/>
      <c r="CE324" s="26"/>
      <c r="CF324" s="26"/>
      <c r="CG324" s="26"/>
      <c r="CH324" s="26"/>
      <c r="CI324" s="26"/>
      <c r="CJ324" s="26"/>
      <c r="CK324" s="26"/>
      <c r="CL324" s="26"/>
      <c r="CM324" s="26"/>
      <c r="CN324" s="26"/>
      <c r="CO324" s="26"/>
    </row>
    <row r="325" spans="7:93" ht="12.75" hidden="1" customHeight="1" x14ac:dyDescent="0.25">
      <c r="G325" s="242">
        <f>IF(G333=125,1,0)</f>
        <v>0</v>
      </c>
      <c r="H325" s="242">
        <f>IF(G333&gt;101,1,0)</f>
        <v>0</v>
      </c>
      <c r="I325" s="268">
        <f t="shared" ref="I325:I332" si="68">IF(SUM(G325+H325)=2,J325,0)</f>
        <v>0</v>
      </c>
      <c r="J325" s="269">
        <v>1</v>
      </c>
      <c r="L325" s="299">
        <f>IF(L332=225,1,0)</f>
        <v>0</v>
      </c>
      <c r="M325" s="299">
        <f>IF(L332&lt;226,1,0)</f>
        <v>1</v>
      </c>
      <c r="N325" s="301">
        <f t="shared" si="67"/>
        <v>0</v>
      </c>
      <c r="O325" s="303" t="s">
        <v>161</v>
      </c>
      <c r="P325" s="6"/>
      <c r="Q325" s="6"/>
      <c r="R325" s="6"/>
      <c r="S325" s="6"/>
      <c r="T325" s="6"/>
      <c r="U325" s="243">
        <f>IF(X332&gt;200,1,0)</f>
        <v>0</v>
      </c>
      <c r="V325" s="243">
        <f>IF(X332&gt;=225,1,0)</f>
        <v>0</v>
      </c>
      <c r="W325" s="243">
        <f>IF(U325+V325=2,225,0)</f>
        <v>0</v>
      </c>
      <c r="X325" s="243">
        <v>2</v>
      </c>
      <c r="Y325" s="6"/>
      <c r="Z325" s="6"/>
      <c r="AA325" s="6"/>
      <c r="BF325" s="26"/>
      <c r="BG325" s="26"/>
      <c r="BH325" s="26"/>
      <c r="BI325" s="26"/>
      <c r="BJ325" s="26"/>
      <c r="BK325" s="26"/>
      <c r="BL325" s="26"/>
      <c r="BM325" s="26"/>
      <c r="BN325" s="26"/>
      <c r="BO325" s="26"/>
      <c r="BP325" s="26"/>
      <c r="BQ325" s="26"/>
      <c r="BR325" s="26"/>
      <c r="BS325" s="26"/>
      <c r="BT325" s="26"/>
      <c r="BU325" s="26"/>
      <c r="BV325" s="26"/>
      <c r="BW325" s="26"/>
      <c r="BX325" s="26"/>
      <c r="BY325" s="26"/>
      <c r="BZ325" s="26"/>
      <c r="CA325" s="26"/>
      <c r="CB325" s="26"/>
      <c r="CC325" s="26"/>
      <c r="CD325" s="26"/>
      <c r="CE325" s="26"/>
      <c r="CF325" s="26"/>
      <c r="CG325" s="26"/>
      <c r="CH325" s="26"/>
      <c r="CI325" s="26"/>
      <c r="CJ325" s="26"/>
      <c r="CK325" s="26"/>
      <c r="CL325" s="26"/>
      <c r="CM325" s="26"/>
      <c r="CN325" s="26"/>
      <c r="CO325" s="26"/>
    </row>
    <row r="326" spans="7:93" ht="12.75" hidden="1" customHeight="1" x14ac:dyDescent="0.25">
      <c r="G326" s="242">
        <f>IF(G333=150,1,0)</f>
        <v>0</v>
      </c>
      <c r="H326" s="242">
        <f>IF(G333&gt;126,1,0)</f>
        <v>0</v>
      </c>
      <c r="I326" s="268">
        <f t="shared" si="68"/>
        <v>0</v>
      </c>
      <c r="J326" s="270" t="s">
        <v>180</v>
      </c>
      <c r="L326" s="299">
        <f>IF(L332=250,1,0)</f>
        <v>0</v>
      </c>
      <c r="M326" s="299">
        <f>IF(L332&lt;251,1,0)</f>
        <v>1</v>
      </c>
      <c r="N326" s="301">
        <f t="shared" si="67"/>
        <v>0</v>
      </c>
      <c r="O326" s="303" t="s">
        <v>188</v>
      </c>
      <c r="P326" s="6"/>
      <c r="Q326" s="6"/>
      <c r="R326" s="6"/>
      <c r="S326" s="6"/>
      <c r="T326" s="6"/>
      <c r="U326" s="243">
        <f>IF(X332&gt;225,1,0)</f>
        <v>0</v>
      </c>
      <c r="V326" s="243">
        <f>IF(X332&gt;=250,1,0)</f>
        <v>0</v>
      </c>
      <c r="W326" s="243">
        <f>IF(U326+V326=2,250,0)</f>
        <v>0</v>
      </c>
      <c r="X326" s="243">
        <v>2</v>
      </c>
      <c r="Y326" s="6"/>
      <c r="Z326" s="6"/>
      <c r="AA326" s="6"/>
      <c r="BF326" s="26"/>
      <c r="BG326" s="26"/>
      <c r="BH326" s="26"/>
      <c r="BI326" s="26"/>
      <c r="BJ326" s="26"/>
      <c r="BK326" s="26"/>
      <c r="BL326" s="26"/>
      <c r="BM326" s="26"/>
      <c r="BN326" s="26"/>
      <c r="BO326" s="26"/>
      <c r="BP326" s="26"/>
      <c r="BQ326" s="26"/>
      <c r="BR326" s="26"/>
      <c r="BS326" s="26"/>
      <c r="BT326" s="26"/>
      <c r="BU326" s="26"/>
      <c r="BV326" s="26"/>
      <c r="BW326" s="26"/>
      <c r="BX326" s="26"/>
      <c r="BY326" s="26"/>
      <c r="BZ326" s="26"/>
      <c r="CA326" s="26"/>
      <c r="CB326" s="26"/>
      <c r="CC326" s="26"/>
      <c r="CD326" s="26"/>
      <c r="CE326" s="26"/>
      <c r="CF326" s="26"/>
      <c r="CG326" s="26"/>
      <c r="CH326" s="26"/>
      <c r="CI326" s="26"/>
      <c r="CJ326" s="26"/>
      <c r="CK326" s="26"/>
      <c r="CL326" s="26"/>
      <c r="CM326" s="26"/>
      <c r="CN326" s="26"/>
      <c r="CO326" s="26"/>
    </row>
    <row r="327" spans="7:93" ht="12.75" hidden="1" customHeight="1" x14ac:dyDescent="0.25">
      <c r="G327" s="242">
        <f>IF(G333=200,1,0)</f>
        <v>0</v>
      </c>
      <c r="H327" s="242">
        <f>IF(G333&gt;151,1,0)</f>
        <v>0</v>
      </c>
      <c r="I327" s="268">
        <f t="shared" si="68"/>
        <v>0</v>
      </c>
      <c r="J327" s="270" t="s">
        <v>155</v>
      </c>
      <c r="L327" s="299">
        <f>IF(L332=300,1,0)</f>
        <v>0</v>
      </c>
      <c r="M327" s="299">
        <f>IF(L332&lt;301,1,0)</f>
        <v>1</v>
      </c>
      <c r="N327" s="301">
        <f>IF(SUM(L327+M327)=2,2.5,0)</f>
        <v>0</v>
      </c>
      <c r="O327" s="303" t="s">
        <v>163</v>
      </c>
      <c r="P327" s="6"/>
      <c r="Q327" s="6"/>
      <c r="R327" s="6"/>
      <c r="S327" s="6"/>
      <c r="T327" s="6"/>
      <c r="U327" s="243">
        <f>IF(X332&gt;250,1,0)</f>
        <v>0</v>
      </c>
      <c r="V327" s="243">
        <f>IF(X332&gt;=300,1,0)</f>
        <v>0</v>
      </c>
      <c r="W327" s="243">
        <f>IF(U327+V327=2,300,0)</f>
        <v>0</v>
      </c>
      <c r="X327" s="243">
        <v>2</v>
      </c>
      <c r="Y327" s="6"/>
      <c r="Z327" s="6"/>
      <c r="AA327" s="6"/>
      <c r="BF327" s="26"/>
      <c r="BG327" s="26"/>
      <c r="BH327" s="26"/>
      <c r="BI327" s="26"/>
      <c r="BJ327" s="26"/>
      <c r="BK327" s="26"/>
      <c r="BL327" s="26"/>
      <c r="BM327" s="26"/>
      <c r="BN327" s="26"/>
      <c r="BO327" s="26"/>
      <c r="BP327" s="26"/>
      <c r="BQ327" s="26"/>
      <c r="BR327" s="26"/>
      <c r="BS327" s="26"/>
      <c r="BT327" s="26"/>
      <c r="BU327" s="26"/>
      <c r="BV327" s="26"/>
      <c r="BW327" s="26"/>
      <c r="BX327" s="26"/>
      <c r="BY327" s="26"/>
      <c r="BZ327" s="26"/>
      <c r="CA327" s="26"/>
      <c r="CB327" s="26"/>
      <c r="CC327" s="26"/>
      <c r="CD327" s="26"/>
      <c r="CE327" s="26"/>
      <c r="CF327" s="26"/>
      <c r="CG327" s="26"/>
      <c r="CH327" s="26"/>
      <c r="CI327" s="26"/>
      <c r="CJ327" s="26"/>
      <c r="CK327" s="26"/>
      <c r="CL327" s="26"/>
      <c r="CM327" s="26"/>
      <c r="CN327" s="26"/>
      <c r="CO327" s="26"/>
    </row>
    <row r="328" spans="7:93" ht="12.75" hidden="1" customHeight="1" x14ac:dyDescent="0.25">
      <c r="G328" s="242">
        <f>IF(G333=225,1,0)</f>
        <v>0</v>
      </c>
      <c r="H328" s="242">
        <f>IF(G333&gt;176,1,0)</f>
        <v>0</v>
      </c>
      <c r="I328" s="268">
        <f t="shared" si="68"/>
        <v>0</v>
      </c>
      <c r="J328" s="270" t="s">
        <v>157</v>
      </c>
      <c r="L328" s="299">
        <f>IF(L332=350,1,0)</f>
        <v>0</v>
      </c>
      <c r="M328" s="299">
        <f>IF(L332&lt;351,1,0)</f>
        <v>1</v>
      </c>
      <c r="N328" s="301">
        <f t="shared" ref="N328:N329" si="69">IF(SUM(L328+M328)=2,3,0)</f>
        <v>0</v>
      </c>
      <c r="O328" s="303" t="s">
        <v>192</v>
      </c>
      <c r="P328" s="6"/>
      <c r="Q328" s="6"/>
      <c r="R328" s="6"/>
      <c r="S328" s="6"/>
      <c r="T328" s="6"/>
      <c r="U328" s="243">
        <f>IF(X332&gt;301,1,0)</f>
        <v>0</v>
      </c>
      <c r="V328" s="243">
        <f>IF(X332&gt;=350,1,0)</f>
        <v>0</v>
      </c>
      <c r="W328" s="243">
        <f>IF(U328+V328=2,350,0)</f>
        <v>0</v>
      </c>
      <c r="X328" s="243">
        <v>1</v>
      </c>
      <c r="Y328" s="6"/>
      <c r="Z328" s="6"/>
      <c r="AA328" s="6"/>
      <c r="BF328" s="26"/>
      <c r="BG328" s="26"/>
      <c r="BH328" s="26"/>
      <c r="BI328" s="26"/>
      <c r="BJ328" s="26"/>
      <c r="BK328" s="26"/>
      <c r="BL328" s="26"/>
      <c r="BM328" s="26"/>
      <c r="BN328" s="26"/>
      <c r="BO328" s="26"/>
      <c r="BP328" s="26"/>
      <c r="BQ328" s="26"/>
      <c r="BR328" s="26"/>
      <c r="BS328" s="26"/>
      <c r="BT328" s="26"/>
      <c r="BU328" s="26"/>
      <c r="BV328" s="26"/>
      <c r="BW328" s="26"/>
      <c r="BX328" s="26"/>
      <c r="BY328" s="26"/>
      <c r="BZ328" s="26"/>
      <c r="CA328" s="26"/>
      <c r="CB328" s="26"/>
      <c r="CC328" s="26"/>
      <c r="CD328" s="26"/>
      <c r="CE328" s="26"/>
      <c r="CF328" s="26"/>
      <c r="CG328" s="26"/>
      <c r="CH328" s="26"/>
      <c r="CI328" s="26"/>
      <c r="CJ328" s="26"/>
      <c r="CK328" s="26"/>
      <c r="CL328" s="26"/>
      <c r="CM328" s="26"/>
      <c r="CN328" s="26"/>
      <c r="CO328" s="26"/>
    </row>
    <row r="329" spans="7:93" ht="12.75" hidden="1" customHeight="1" x14ac:dyDescent="0.25">
      <c r="G329" s="242">
        <f>IF(G333=250,1,0)</f>
        <v>0</v>
      </c>
      <c r="H329" s="242">
        <f>IF(G333&gt;201,1,0)</f>
        <v>0</v>
      </c>
      <c r="I329" s="268">
        <f t="shared" si="68"/>
        <v>0</v>
      </c>
      <c r="J329" s="270" t="s">
        <v>159</v>
      </c>
      <c r="L329" s="299">
        <f>IF(L332=400,1,0)</f>
        <v>0</v>
      </c>
      <c r="M329" s="299">
        <f>IF(L332&lt;401,1,0)</f>
        <v>1</v>
      </c>
      <c r="N329" s="301">
        <f t="shared" si="69"/>
        <v>0</v>
      </c>
      <c r="O329" s="303" t="s">
        <v>202</v>
      </c>
      <c r="P329" s="6"/>
      <c r="Q329" s="6"/>
      <c r="R329" s="6"/>
      <c r="S329" s="6"/>
      <c r="T329" s="6"/>
      <c r="U329" s="243">
        <f>IF(X332&gt;350,1,0)</f>
        <v>0</v>
      </c>
      <c r="V329" s="243">
        <f>IF(X332&gt;=400,1,0)</f>
        <v>0</v>
      </c>
      <c r="W329" s="243">
        <f>IF(U329+V329=2,400,0)</f>
        <v>0</v>
      </c>
      <c r="X329" s="243">
        <v>1</v>
      </c>
      <c r="Y329" s="6"/>
      <c r="Z329" s="6"/>
      <c r="AA329" s="6"/>
      <c r="BF329" s="26"/>
      <c r="BG329" s="26"/>
      <c r="BH329" s="26"/>
      <c r="BI329" s="26"/>
      <c r="BJ329" s="26"/>
      <c r="BK329" s="26"/>
      <c r="BL329" s="26"/>
      <c r="BM329" s="26"/>
      <c r="BN329" s="26"/>
      <c r="BO329" s="26"/>
      <c r="BP329" s="26"/>
      <c r="BQ329" s="26"/>
      <c r="BR329" s="26"/>
      <c r="BS329" s="26"/>
      <c r="BT329" s="26"/>
      <c r="BU329" s="26"/>
      <c r="BV329" s="26"/>
      <c r="BW329" s="26"/>
      <c r="BX329" s="26"/>
      <c r="BY329" s="26"/>
      <c r="BZ329" s="26"/>
      <c r="CA329" s="26"/>
      <c r="CB329" s="26"/>
      <c r="CC329" s="26"/>
      <c r="CD329" s="26"/>
      <c r="CE329" s="26"/>
      <c r="CF329" s="26"/>
      <c r="CG329" s="26"/>
      <c r="CH329" s="26"/>
      <c r="CI329" s="26"/>
      <c r="CJ329" s="26"/>
      <c r="CK329" s="26"/>
      <c r="CL329" s="26"/>
      <c r="CM329" s="26"/>
      <c r="CN329" s="26"/>
      <c r="CO329" s="26"/>
    </row>
    <row r="330" spans="7:93" ht="12.75" hidden="1" customHeight="1" x14ac:dyDescent="0.25">
      <c r="G330" s="242">
        <f>IF(G333=300,1,0)</f>
        <v>0</v>
      </c>
      <c r="H330" s="242">
        <f>IF(G333&gt;226,1,0)</f>
        <v>0</v>
      </c>
      <c r="I330" s="268">
        <f t="shared" si="68"/>
        <v>0</v>
      </c>
      <c r="J330" s="270" t="s">
        <v>161</v>
      </c>
      <c r="L330" s="299">
        <f>IF(L332=450,1,0)</f>
        <v>0</v>
      </c>
      <c r="M330" s="299">
        <f>IF(L332&lt;451,1,0)</f>
        <v>1</v>
      </c>
      <c r="N330" s="301">
        <f>IF(SUM(L330+M330)=2,4,0)</f>
        <v>0</v>
      </c>
      <c r="O330" s="303" t="s">
        <v>203</v>
      </c>
      <c r="P330" s="6"/>
      <c r="Q330" s="6"/>
      <c r="R330" s="6"/>
      <c r="S330" s="6"/>
      <c r="T330" s="6"/>
      <c r="U330" s="243">
        <f>IF(X332&gt;400,1,0)</f>
        <v>0</v>
      </c>
      <c r="V330" s="243">
        <f>IF(X332&gt;=450,1,0)</f>
        <v>0</v>
      </c>
      <c r="W330" s="243">
        <f>IF(U330+V330=2,450,0)</f>
        <v>0</v>
      </c>
      <c r="X330" s="263" t="s">
        <v>237</v>
      </c>
      <c r="Y330" s="6"/>
      <c r="Z330" s="6"/>
      <c r="AA330" s="6"/>
      <c r="BF330" s="26"/>
      <c r="BG330" s="26"/>
      <c r="BH330" s="26"/>
      <c r="BI330" s="26"/>
      <c r="BJ330" s="26"/>
      <c r="BK330" s="26"/>
      <c r="BL330" s="26"/>
      <c r="BM330" s="26"/>
      <c r="BN330" s="26"/>
      <c r="BO330" s="26"/>
      <c r="BP330" s="26"/>
      <c r="BQ330" s="26"/>
      <c r="BR330" s="26"/>
      <c r="BS330" s="26"/>
      <c r="BT330" s="26"/>
      <c r="BU330" s="26"/>
      <c r="BV330" s="26"/>
      <c r="BW330" s="26"/>
      <c r="BX330" s="26"/>
      <c r="BY330" s="26"/>
      <c r="BZ330" s="26"/>
      <c r="CA330" s="26"/>
      <c r="CB330" s="26"/>
      <c r="CC330" s="26"/>
      <c r="CD330" s="26"/>
      <c r="CE330" s="26"/>
      <c r="CF330" s="26"/>
      <c r="CG330" s="26"/>
      <c r="CH330" s="26"/>
      <c r="CI330" s="26"/>
      <c r="CJ330" s="26"/>
      <c r="CK330" s="26"/>
      <c r="CL330" s="26"/>
      <c r="CM330" s="26"/>
      <c r="CN330" s="26"/>
      <c r="CO330" s="26"/>
    </row>
    <row r="331" spans="7:93" ht="12.75" hidden="1" customHeight="1" x14ac:dyDescent="0.25">
      <c r="G331" s="242">
        <f>IF(G333=350,1,0)</f>
        <v>0</v>
      </c>
      <c r="H331" s="242">
        <f>IF(G333&gt;251,1,0)</f>
        <v>0</v>
      </c>
      <c r="I331" s="268">
        <f t="shared" si="68"/>
        <v>0</v>
      </c>
      <c r="J331" s="270" t="s">
        <v>163</v>
      </c>
      <c r="L331" s="299">
        <f>IF(L332=500,1,0)</f>
        <v>0</v>
      </c>
      <c r="M331" s="299">
        <f>IF(L332&lt;501,1,0)</f>
        <v>1</v>
      </c>
      <c r="N331" s="301">
        <f>IF(SUM(L331+M331)=2,5,0)</f>
        <v>0</v>
      </c>
      <c r="O331" s="303" t="s">
        <v>204</v>
      </c>
      <c r="P331" s="6"/>
      <c r="Q331" s="6"/>
      <c r="R331" s="6"/>
      <c r="S331" s="6"/>
      <c r="T331" s="6"/>
      <c r="U331" s="243">
        <f>IF(X332&gt;450,1,0)</f>
        <v>0</v>
      </c>
      <c r="V331" s="243">
        <f>IF(X332&gt;=500,1,0)</f>
        <v>0</v>
      </c>
      <c r="W331" s="243">
        <f>IF(U331+V331=2,500,0)</f>
        <v>0</v>
      </c>
      <c r="X331" s="263" t="s">
        <v>237</v>
      </c>
      <c r="Y331" s="6"/>
      <c r="Z331" s="6"/>
      <c r="AA331" s="6"/>
      <c r="BF331" s="26"/>
      <c r="BG331" s="26"/>
      <c r="BH331" s="26"/>
      <c r="BI331" s="26"/>
      <c r="BJ331" s="26"/>
      <c r="BK331" s="26"/>
      <c r="BL331" s="26"/>
      <c r="BM331" s="26"/>
      <c r="BN331" s="26"/>
      <c r="BO331" s="26"/>
      <c r="BP331" s="26"/>
      <c r="BQ331" s="26"/>
      <c r="BR331" s="26"/>
      <c r="BS331" s="26"/>
      <c r="BT331" s="26"/>
      <c r="BU331" s="26"/>
      <c r="BV331" s="26"/>
      <c r="BW331" s="26"/>
      <c r="BX331" s="26"/>
      <c r="BY331" s="26"/>
      <c r="BZ331" s="26"/>
      <c r="CA331" s="26"/>
      <c r="CB331" s="26"/>
      <c r="CC331" s="26"/>
      <c r="CD331" s="26"/>
      <c r="CE331" s="26"/>
      <c r="CF331" s="26"/>
      <c r="CG331" s="26"/>
      <c r="CH331" s="26"/>
      <c r="CI331" s="26"/>
      <c r="CJ331" s="26"/>
      <c r="CK331" s="26"/>
      <c r="CL331" s="26"/>
      <c r="CM331" s="26"/>
      <c r="CN331" s="26"/>
      <c r="CO331" s="26"/>
    </row>
    <row r="332" spans="7:93" ht="12.75" hidden="1" customHeight="1" x14ac:dyDescent="0.25">
      <c r="G332" s="242">
        <f>IF(G333=400,1,0)</f>
        <v>0</v>
      </c>
      <c r="H332" s="242">
        <f>IF(G333&gt;301,1,0)</f>
        <v>0</v>
      </c>
      <c r="I332" s="268">
        <f t="shared" si="68"/>
        <v>0</v>
      </c>
      <c r="J332" s="270" t="s">
        <v>192</v>
      </c>
      <c r="L332" s="9">
        <f>I217</f>
        <v>0</v>
      </c>
      <c r="M332" s="291">
        <f>SUM(M319:M331)</f>
        <v>13</v>
      </c>
      <c r="N332" s="291">
        <f>CHOOSE(O318,1.25,1.25,1.5,1.5,2,2,2,2,2.5,3,3,4,5)</f>
        <v>1.25</v>
      </c>
      <c r="P332" s="6"/>
      <c r="Q332" s="6"/>
      <c r="R332" s="6"/>
      <c r="S332" s="6"/>
      <c r="T332" s="6"/>
      <c r="U332" s="246" t="str">
        <f>IF(V332&lt;1," ",W332)</f>
        <v xml:space="preserve"> </v>
      </c>
      <c r="V332" s="246">
        <f>SUM(V319:V331)</f>
        <v>0</v>
      </c>
      <c r="W332" s="243" t="e">
        <f>CHOOSE(V332,6,4,4,4,4,4,2,2,2,1,1,"1/0","1/0")</f>
        <v>#VALUE!</v>
      </c>
      <c r="X332" s="6">
        <f>BG85</f>
        <v>0</v>
      </c>
      <c r="Y332" s="6"/>
      <c r="Z332" s="6"/>
      <c r="AA332" s="6"/>
      <c r="BF332" s="26"/>
      <c r="BG332" s="26"/>
      <c r="BH332" s="26"/>
      <c r="BI332" s="26"/>
      <c r="BJ332" s="26"/>
      <c r="BK332" s="26"/>
      <c r="BL332" s="26"/>
      <c r="BM332" s="26"/>
      <c r="BN332" s="26"/>
      <c r="BO332" s="26"/>
      <c r="BP332" s="26"/>
      <c r="BQ332" s="26"/>
      <c r="BR332" s="26"/>
      <c r="BS332" s="26"/>
      <c r="BT332" s="26"/>
      <c r="BU332" s="26"/>
      <c r="BV332" s="26"/>
      <c r="BW332" s="26"/>
      <c r="BX332" s="26"/>
      <c r="BY332" s="26"/>
      <c r="BZ332" s="26"/>
      <c r="CA332" s="26"/>
      <c r="CB332" s="26"/>
      <c r="CC332" s="26"/>
      <c r="CD332" s="26"/>
      <c r="CE332" s="26"/>
      <c r="CF332" s="26"/>
      <c r="CG332" s="26"/>
      <c r="CH332" s="26"/>
      <c r="CI332" s="26"/>
      <c r="CJ332" s="26"/>
      <c r="CK332" s="26"/>
      <c r="CL332" s="26"/>
      <c r="CM332" s="26"/>
      <c r="CN332" s="26"/>
      <c r="CO332" s="26"/>
    </row>
    <row r="333" spans="7:93" ht="12.75" hidden="1" customHeight="1" x14ac:dyDescent="0.25">
      <c r="G333" s="9">
        <f>BF85</f>
        <v>0</v>
      </c>
      <c r="H333" s="242">
        <f>SUM(H324:H332)</f>
        <v>0</v>
      </c>
      <c r="I333" s="242" t="e">
        <f>CHOOSE(J323,3,1,"1/0","2/0","3/0","4/0",250,350,500,600)</f>
        <v>#VALUE!</v>
      </c>
      <c r="J333" s="257">
        <v>600</v>
      </c>
      <c r="P333" s="6"/>
      <c r="Q333" s="6"/>
      <c r="R333" s="6"/>
      <c r="S333" s="6"/>
      <c r="T333" s="6"/>
      <c r="U333" s="6"/>
      <c r="V333" s="6"/>
      <c r="W333" s="6"/>
      <c r="X333" s="6"/>
      <c r="Y333" s="6"/>
      <c r="Z333" s="6"/>
      <c r="AA333" s="6"/>
      <c r="BF333" s="26"/>
      <c r="BG333" s="26"/>
      <c r="BH333" s="26"/>
      <c r="BI333" s="26"/>
      <c r="BJ333" s="26"/>
      <c r="BK333" s="26"/>
      <c r="BL333" s="26"/>
      <c r="BM333" s="26"/>
      <c r="BN333" s="26"/>
      <c r="BO333" s="26"/>
      <c r="BP333" s="26"/>
      <c r="BQ333" s="26"/>
      <c r="BR333" s="26"/>
      <c r="BS333" s="26"/>
      <c r="BT333" s="26"/>
      <c r="BU333" s="26"/>
      <c r="BV333" s="26"/>
      <c r="BW333" s="26"/>
      <c r="BX333" s="26"/>
      <c r="BY333" s="26"/>
      <c r="BZ333" s="26"/>
      <c r="CA333" s="26"/>
      <c r="CB333" s="26"/>
      <c r="CC333" s="26"/>
      <c r="CD333" s="26"/>
      <c r="CE333" s="26"/>
      <c r="CF333" s="26"/>
      <c r="CG333" s="26"/>
      <c r="CH333" s="26"/>
      <c r="CI333" s="26"/>
      <c r="CJ333" s="26"/>
      <c r="CK333" s="26"/>
      <c r="CL333" s="26"/>
      <c r="CM333" s="26"/>
      <c r="CN333" s="26"/>
      <c r="CO333" s="26"/>
    </row>
    <row r="334" spans="7:93" ht="12.75" hidden="1" customHeight="1" x14ac:dyDescent="0.25">
      <c r="P334" s="6"/>
      <c r="Q334" s="6"/>
      <c r="R334" s="6"/>
      <c r="S334" s="6"/>
      <c r="T334" s="6"/>
      <c r="U334" s="6"/>
      <c r="V334" s="6"/>
      <c r="W334" s="6"/>
      <c r="X334" s="6"/>
      <c r="Y334" s="6"/>
      <c r="Z334" s="6"/>
      <c r="AA334" s="6"/>
      <c r="BF334" s="26"/>
      <c r="BG334" s="26"/>
      <c r="BH334" s="26"/>
      <c r="BI334" s="26"/>
      <c r="BJ334" s="26"/>
      <c r="BK334" s="26"/>
      <c r="BL334" s="26"/>
      <c r="BM334" s="26"/>
      <c r="BN334" s="26"/>
      <c r="BO334" s="26"/>
      <c r="BP334" s="26"/>
      <c r="BQ334" s="26"/>
      <c r="BR334" s="26"/>
      <c r="BS334" s="26"/>
      <c r="BT334" s="26"/>
      <c r="BU334" s="26"/>
      <c r="BV334" s="26"/>
      <c r="BW334" s="26"/>
      <c r="BX334" s="26"/>
      <c r="BY334" s="26"/>
      <c r="BZ334" s="26"/>
      <c r="CA334" s="26"/>
      <c r="CB334" s="26"/>
      <c r="CC334" s="26"/>
      <c r="CD334" s="26"/>
      <c r="CE334" s="26"/>
      <c r="CF334" s="26"/>
      <c r="CG334" s="26"/>
      <c r="CH334" s="26"/>
      <c r="CI334" s="26"/>
      <c r="CJ334" s="26"/>
      <c r="CK334" s="26"/>
      <c r="CL334" s="26"/>
      <c r="CM334" s="26"/>
      <c r="CN334" s="26"/>
      <c r="CO334" s="26"/>
    </row>
    <row r="335" spans="7:93" ht="12.75" hidden="1" customHeight="1" x14ac:dyDescent="0.25">
      <c r="L335" s="9" t="s">
        <v>241</v>
      </c>
      <c r="P335" s="6"/>
      <c r="Q335" s="6"/>
      <c r="R335" s="6"/>
      <c r="S335" s="6"/>
      <c r="T335" s="6"/>
      <c r="U335" s="6"/>
      <c r="V335" s="6"/>
      <c r="W335" s="6"/>
      <c r="X335" s="6"/>
      <c r="Y335" s="6"/>
      <c r="Z335" s="6"/>
      <c r="AA335" s="6"/>
      <c r="BF335" s="26"/>
      <c r="BG335" s="26"/>
      <c r="BH335" s="26"/>
      <c r="BI335" s="26"/>
      <c r="BJ335" s="26"/>
      <c r="BK335" s="26"/>
      <c r="BL335" s="26"/>
      <c r="BM335" s="26"/>
      <c r="BN335" s="26"/>
      <c r="BO335" s="26"/>
      <c r="BP335" s="26"/>
      <c r="BQ335" s="26"/>
      <c r="BR335" s="26"/>
      <c r="BS335" s="26"/>
      <c r="BT335" s="26"/>
      <c r="BU335" s="26"/>
      <c r="BV335" s="26"/>
      <c r="BW335" s="26"/>
      <c r="BX335" s="26"/>
      <c r="BY335" s="26"/>
      <c r="BZ335" s="26"/>
      <c r="CA335" s="26"/>
      <c r="CB335" s="26"/>
      <c r="CC335" s="26"/>
      <c r="CD335" s="26"/>
      <c r="CE335" s="26"/>
      <c r="CF335" s="26"/>
      <c r="CG335" s="26"/>
      <c r="CH335" s="26"/>
      <c r="CI335" s="26"/>
      <c r="CJ335" s="26"/>
      <c r="CK335" s="26"/>
      <c r="CL335" s="26"/>
      <c r="CM335" s="26"/>
      <c r="CN335" s="26"/>
      <c r="CO335" s="26"/>
    </row>
    <row r="336" spans="7:93" ht="12.75" hidden="1" customHeight="1" x14ac:dyDescent="0.25">
      <c r="L336" s="251">
        <f>IF(I272&gt;1,1,0)</f>
        <v>1</v>
      </c>
      <c r="M336" s="251">
        <f>IF(I272&gt;=100,1,0)</f>
        <v>1</v>
      </c>
      <c r="N336" s="251">
        <f>IF(M336+L336=2,100,0)</f>
        <v>100</v>
      </c>
      <c r="O336" s="251">
        <v>8</v>
      </c>
      <c r="P336" s="6"/>
      <c r="Q336" s="6"/>
      <c r="R336" s="6"/>
      <c r="S336" s="6"/>
      <c r="T336" s="6"/>
      <c r="U336" s="6"/>
      <c r="V336" s="6"/>
      <c r="W336" s="6"/>
      <c r="X336" s="6"/>
      <c r="Y336" s="6"/>
      <c r="Z336" s="6"/>
      <c r="AA336" s="6"/>
      <c r="BF336" s="26"/>
      <c r="BG336" s="26"/>
      <c r="BH336" s="26"/>
      <c r="BI336" s="26"/>
      <c r="BJ336" s="26"/>
      <c r="BK336" s="26"/>
      <c r="BL336" s="26"/>
      <c r="BM336" s="26"/>
      <c r="BN336" s="26"/>
      <c r="BO336" s="26"/>
      <c r="BP336" s="26"/>
      <c r="BQ336" s="26"/>
      <c r="BR336" s="26"/>
      <c r="BS336" s="26"/>
      <c r="BT336" s="26"/>
      <c r="BU336" s="26"/>
      <c r="BV336" s="26"/>
      <c r="BW336" s="26"/>
      <c r="BX336" s="26"/>
      <c r="BY336" s="26"/>
      <c r="BZ336" s="26"/>
      <c r="CA336" s="26"/>
      <c r="CB336" s="26"/>
      <c r="CC336" s="26"/>
      <c r="CD336" s="26"/>
      <c r="CE336" s="26"/>
      <c r="CF336" s="26"/>
      <c r="CG336" s="26"/>
      <c r="CH336" s="26"/>
      <c r="CI336" s="26"/>
      <c r="CJ336" s="26"/>
      <c r="CK336" s="26"/>
      <c r="CL336" s="26"/>
      <c r="CM336" s="26"/>
      <c r="CN336" s="26"/>
      <c r="CO336" s="26"/>
    </row>
    <row r="337" spans="7:93" ht="12.75" hidden="1" customHeight="1" x14ac:dyDescent="0.25">
      <c r="L337" s="251">
        <f>IF(I272&gt;100,1,0)</f>
        <v>1</v>
      </c>
      <c r="M337" s="251">
        <f>IF(I272&gt;=110,1,0)</f>
        <v>1</v>
      </c>
      <c r="N337" s="251">
        <f>IF(SUM(L337+M337)=2,110,0)</f>
        <v>110</v>
      </c>
      <c r="O337" s="251">
        <v>6</v>
      </c>
      <c r="P337" s="6"/>
      <c r="Q337" s="6"/>
      <c r="R337" s="6"/>
      <c r="S337" s="6"/>
      <c r="T337" s="6"/>
      <c r="U337" s="6"/>
      <c r="V337" s="6"/>
      <c r="W337" s="6"/>
      <c r="X337" s="6"/>
      <c r="Y337" s="6"/>
      <c r="Z337" s="6"/>
      <c r="AA337" s="6"/>
      <c r="BF337" s="26"/>
      <c r="BG337" s="26"/>
      <c r="BH337" s="26"/>
      <c r="BI337" s="26"/>
      <c r="BJ337" s="26"/>
      <c r="BK337" s="26"/>
      <c r="BL337" s="26"/>
      <c r="BM337" s="26"/>
      <c r="BN337" s="26"/>
      <c r="BO337" s="26"/>
      <c r="BP337" s="26"/>
      <c r="BQ337" s="26"/>
      <c r="BR337" s="26"/>
      <c r="BS337" s="26"/>
      <c r="BT337" s="26"/>
      <c r="BU337" s="26"/>
      <c r="BV337" s="26"/>
      <c r="BW337" s="26"/>
      <c r="BX337" s="26"/>
      <c r="BY337" s="26"/>
      <c r="BZ337" s="26"/>
      <c r="CA337" s="26"/>
      <c r="CB337" s="26"/>
      <c r="CC337" s="26"/>
      <c r="CD337" s="26"/>
      <c r="CE337" s="26"/>
      <c r="CF337" s="26"/>
      <c r="CG337" s="26"/>
      <c r="CH337" s="26"/>
      <c r="CI337" s="26"/>
      <c r="CJ337" s="26"/>
      <c r="CK337" s="26"/>
      <c r="CL337" s="26"/>
      <c r="CM337" s="26"/>
      <c r="CN337" s="26"/>
      <c r="CO337" s="26"/>
    </row>
    <row r="338" spans="7:93" ht="12.75" hidden="1" customHeight="1" x14ac:dyDescent="0.25">
      <c r="G338" s="259" t="s">
        <v>242</v>
      </c>
      <c r="H338" s="259"/>
      <c r="I338" s="305">
        <f>IF(G347=0,0,I347)</f>
        <v>0</v>
      </c>
      <c r="J338" s="266">
        <f>H347</f>
        <v>0</v>
      </c>
      <c r="L338" s="251">
        <f>IF(I272&gt;110,1,0)</f>
        <v>1</v>
      </c>
      <c r="M338" s="251">
        <f>IF(I272&gt;=125,1,0)</f>
        <v>1</v>
      </c>
      <c r="N338" s="251">
        <f>IF(L338+M338=2,125,0)</f>
        <v>125</v>
      </c>
      <c r="O338" s="251">
        <v>6</v>
      </c>
      <c r="P338" s="6"/>
      <c r="Q338" s="6"/>
      <c r="R338" s="6"/>
      <c r="S338" s="6"/>
      <c r="T338" s="6"/>
      <c r="U338" s="6"/>
      <c r="V338" s="6"/>
      <c r="W338" s="6"/>
      <c r="X338" s="6"/>
      <c r="Y338" s="6"/>
      <c r="Z338" s="6"/>
      <c r="AA338" s="6"/>
      <c r="BF338" s="26"/>
      <c r="BG338" s="26"/>
      <c r="BH338" s="26"/>
      <c r="BI338" s="26"/>
      <c r="BJ338" s="26"/>
      <c r="BK338" s="26"/>
      <c r="BL338" s="26"/>
      <c r="BM338" s="26"/>
      <c r="BN338" s="26"/>
      <c r="BO338" s="26"/>
      <c r="BP338" s="26"/>
      <c r="BQ338" s="26"/>
      <c r="BR338" s="26"/>
      <c r="BS338" s="26"/>
      <c r="BT338" s="26"/>
      <c r="BU338" s="26"/>
      <c r="BV338" s="26"/>
      <c r="BW338" s="26"/>
      <c r="BX338" s="26"/>
      <c r="BY338" s="26"/>
      <c r="BZ338" s="26"/>
      <c r="CA338" s="26"/>
      <c r="CB338" s="26"/>
      <c r="CC338" s="26"/>
      <c r="CD338" s="26"/>
      <c r="CE338" s="26"/>
      <c r="CF338" s="26"/>
      <c r="CG338" s="26"/>
      <c r="CH338" s="26"/>
      <c r="CI338" s="26"/>
      <c r="CJ338" s="26"/>
      <c r="CK338" s="26"/>
      <c r="CL338" s="26"/>
      <c r="CM338" s="26"/>
      <c r="CN338" s="26"/>
      <c r="CO338" s="26"/>
    </row>
    <row r="339" spans="7:93" ht="12.75" hidden="1" customHeight="1" x14ac:dyDescent="0.25">
      <c r="G339" s="242">
        <f>IF(G347&gt;1,1,0)</f>
        <v>0</v>
      </c>
      <c r="H339" s="242">
        <f>IF(G347&lt;=65,1,0)</f>
        <v>1</v>
      </c>
      <c r="I339" s="267">
        <f>IF(H339=1,J339,0)</f>
        <v>6</v>
      </c>
      <c r="J339" s="267">
        <v>6</v>
      </c>
      <c r="L339" s="251">
        <f>IF(I272&gt;125,1,0)</f>
        <v>1</v>
      </c>
      <c r="M339" s="251">
        <f>IF(I272&gt;=150,1,0)</f>
        <v>1</v>
      </c>
      <c r="N339" s="251">
        <f>IF(L339+M339=2,150,0)</f>
        <v>150</v>
      </c>
      <c r="O339" s="251">
        <v>6</v>
      </c>
      <c r="P339" s="6"/>
      <c r="Q339" s="6"/>
      <c r="R339" s="6"/>
      <c r="S339" s="6"/>
      <c r="T339" s="6"/>
      <c r="U339" s="6"/>
      <c r="V339" s="6"/>
      <c r="W339" s="6"/>
      <c r="X339" s="6"/>
      <c r="Y339" s="6"/>
      <c r="Z339" s="6"/>
      <c r="AA339" s="6"/>
      <c r="BF339" s="26"/>
      <c r="BG339" s="26"/>
      <c r="BH339" s="26"/>
      <c r="BI339" s="26"/>
      <c r="BJ339" s="26"/>
      <c r="BK339" s="26"/>
      <c r="BL339" s="26"/>
      <c r="BM339" s="26"/>
      <c r="BN339" s="26"/>
      <c r="BO339" s="26"/>
      <c r="BP339" s="26"/>
      <c r="BQ339" s="26"/>
      <c r="BR339" s="26"/>
      <c r="BS339" s="26"/>
      <c r="BT339" s="26"/>
      <c r="BU339" s="26"/>
      <c r="BV339" s="26"/>
      <c r="BW339" s="26"/>
      <c r="BX339" s="26"/>
      <c r="BY339" s="26"/>
      <c r="BZ339" s="26"/>
      <c r="CA339" s="26"/>
      <c r="CB339" s="26"/>
      <c r="CC339" s="26"/>
      <c r="CD339" s="26"/>
      <c r="CE339" s="26"/>
      <c r="CF339" s="26"/>
      <c r="CG339" s="26"/>
      <c r="CH339" s="26"/>
      <c r="CI339" s="26"/>
      <c r="CJ339" s="26"/>
      <c r="CK339" s="26"/>
      <c r="CL339" s="26"/>
      <c r="CM339" s="26"/>
      <c r="CN339" s="26"/>
      <c r="CO339" s="26"/>
    </row>
    <row r="340" spans="7:93" ht="12.75" hidden="1" customHeight="1" x14ac:dyDescent="0.25">
      <c r="G340" s="242">
        <f>IF(G347&gt;65,1,0)</f>
        <v>0</v>
      </c>
      <c r="H340" s="242">
        <f>IF(G347&lt;=85,1,0)</f>
        <v>1</v>
      </c>
      <c r="I340" s="268">
        <f t="shared" ref="I340:I346" si="70">IF(SUM(G340+H340)=2,J340,0)</f>
        <v>0</v>
      </c>
      <c r="J340" s="269">
        <v>4</v>
      </c>
      <c r="L340" s="251">
        <f>IF(I272&gt;150,1,0)</f>
        <v>1</v>
      </c>
      <c r="M340" s="251">
        <f>IF(I272&gt;=175,1,0)</f>
        <v>1</v>
      </c>
      <c r="N340" s="251">
        <f>IF(L340+M340=2,175,0)</f>
        <v>175</v>
      </c>
      <c r="O340" s="251">
        <v>6</v>
      </c>
      <c r="P340" s="6"/>
      <c r="Q340" s="6"/>
      <c r="R340" s="6"/>
      <c r="S340" s="6"/>
      <c r="T340" s="6"/>
      <c r="U340" s="6"/>
      <c r="V340" s="6"/>
      <c r="W340" s="6"/>
      <c r="X340" s="6"/>
      <c r="Y340" s="6"/>
      <c r="Z340" s="6"/>
      <c r="AA340" s="6"/>
      <c r="BF340" s="26"/>
      <c r="BG340" s="26"/>
      <c r="BH340" s="26"/>
      <c r="BI340" s="26"/>
      <c r="BJ340" s="26"/>
      <c r="BK340" s="26"/>
      <c r="BL340" s="26"/>
      <c r="BM340" s="26"/>
      <c r="BN340" s="26"/>
      <c r="BO340" s="26"/>
      <c r="BP340" s="26"/>
      <c r="BQ340" s="26"/>
      <c r="BR340" s="26"/>
      <c r="BS340" s="26"/>
      <c r="BT340" s="26"/>
      <c r="BU340" s="26"/>
      <c r="BV340" s="26"/>
      <c r="BW340" s="26"/>
      <c r="BX340" s="26"/>
      <c r="BY340" s="26"/>
      <c r="BZ340" s="26"/>
      <c r="CA340" s="26"/>
      <c r="CB340" s="26"/>
      <c r="CC340" s="26"/>
      <c r="CD340" s="26"/>
      <c r="CE340" s="26"/>
      <c r="CF340" s="26"/>
      <c r="CG340" s="26"/>
      <c r="CH340" s="26"/>
      <c r="CI340" s="26"/>
      <c r="CJ340" s="26"/>
      <c r="CK340" s="26"/>
      <c r="CL340" s="26"/>
      <c r="CM340" s="26"/>
      <c r="CN340" s="26"/>
      <c r="CO340" s="26"/>
    </row>
    <row r="341" spans="7:93" ht="12.75" hidden="1" customHeight="1" x14ac:dyDescent="0.25">
      <c r="G341" s="242">
        <f>IF(G347&gt;85,1,0)</f>
        <v>0</v>
      </c>
      <c r="H341" s="242">
        <f>IF(G347&lt;=100,1,0)</f>
        <v>1</v>
      </c>
      <c r="I341" s="268">
        <f t="shared" si="70"/>
        <v>0</v>
      </c>
      <c r="J341" s="269">
        <v>3</v>
      </c>
      <c r="L341" s="251">
        <f>IF(I272&gt;175,1,0)</f>
        <v>1</v>
      </c>
      <c r="M341" s="251">
        <f>IF(I272&gt;=200,1,0)</f>
        <v>1</v>
      </c>
      <c r="N341" s="251">
        <f>IF(L341+M341=2,200,0)</f>
        <v>200</v>
      </c>
      <c r="O341" s="251">
        <v>6</v>
      </c>
      <c r="P341" s="6"/>
      <c r="Q341" s="6"/>
      <c r="R341" s="6"/>
      <c r="S341" s="6"/>
      <c r="T341" s="6"/>
      <c r="U341" s="6"/>
      <c r="V341" s="6"/>
      <c r="W341" s="6"/>
      <c r="X341" s="6"/>
      <c r="Y341" s="6"/>
      <c r="Z341" s="6"/>
      <c r="AA341" s="6"/>
      <c r="BF341" s="26"/>
      <c r="BG341" s="26"/>
      <c r="BH341" s="26"/>
      <c r="BI341" s="26"/>
      <c r="BJ341" s="26"/>
      <c r="BK341" s="26"/>
      <c r="BL341" s="26"/>
      <c r="BM341" s="26"/>
      <c r="BN341" s="26"/>
      <c r="BO341" s="26"/>
      <c r="BP341" s="26"/>
      <c r="BQ341" s="26"/>
      <c r="BR341" s="26"/>
      <c r="BS341" s="26"/>
      <c r="BT341" s="26"/>
      <c r="BU341" s="26"/>
      <c r="BV341" s="26"/>
      <c r="BW341" s="26"/>
      <c r="BX341" s="26"/>
      <c r="BY341" s="26"/>
      <c r="BZ341" s="26"/>
      <c r="CA341" s="26"/>
      <c r="CB341" s="26"/>
      <c r="CC341" s="26"/>
      <c r="CD341" s="26"/>
      <c r="CE341" s="26"/>
      <c r="CF341" s="26"/>
      <c r="CG341" s="26"/>
      <c r="CH341" s="26"/>
      <c r="CI341" s="26"/>
      <c r="CJ341" s="26"/>
      <c r="CK341" s="26"/>
      <c r="CL341" s="26"/>
      <c r="CM341" s="26"/>
      <c r="CN341" s="26"/>
      <c r="CO341" s="26"/>
    </row>
    <row r="342" spans="7:93" ht="12.75" hidden="1" customHeight="1" x14ac:dyDescent="0.25">
      <c r="G342" s="242">
        <f>IF(G347&gt;100,1,0)</f>
        <v>0</v>
      </c>
      <c r="H342" s="242">
        <f>IF(G347&lt;=115,1,0)</f>
        <v>1</v>
      </c>
      <c r="I342" s="268">
        <f t="shared" si="70"/>
        <v>0</v>
      </c>
      <c r="J342" s="269">
        <v>2</v>
      </c>
      <c r="L342" s="251">
        <f>IF(I272&gt;200,1,0)</f>
        <v>1</v>
      </c>
      <c r="M342" s="251">
        <f>IF(I272&gt;=225,1,0)</f>
        <v>1</v>
      </c>
      <c r="N342" s="251">
        <f>IF(L342+M342=2,225,0)</f>
        <v>225</v>
      </c>
      <c r="O342" s="251">
        <v>6</v>
      </c>
      <c r="P342" s="6"/>
      <c r="Q342" s="6"/>
      <c r="R342" s="6"/>
      <c r="S342" s="6"/>
      <c r="T342" s="6"/>
      <c r="U342" s="6"/>
      <c r="V342" s="6"/>
      <c r="W342" s="6"/>
      <c r="X342" s="6"/>
      <c r="Y342" s="6"/>
      <c r="Z342" s="6"/>
      <c r="AA342" s="6"/>
      <c r="BF342" s="26"/>
      <c r="BG342" s="26"/>
      <c r="BH342" s="26"/>
      <c r="BI342" s="26"/>
      <c r="BJ342" s="26"/>
      <c r="BK342" s="26"/>
      <c r="BL342" s="26"/>
      <c r="BM342" s="26"/>
      <c r="BN342" s="26"/>
      <c r="BO342" s="26"/>
      <c r="BP342" s="26"/>
      <c r="BQ342" s="26"/>
      <c r="BR342" s="26"/>
      <c r="BS342" s="26"/>
      <c r="BT342" s="26"/>
      <c r="BU342" s="26"/>
      <c r="BV342" s="26"/>
      <c r="BW342" s="26"/>
      <c r="BX342" s="26"/>
      <c r="BY342" s="26"/>
      <c r="BZ342" s="26"/>
      <c r="CA342" s="26"/>
      <c r="CB342" s="26"/>
      <c r="CC342" s="26"/>
      <c r="CD342" s="26"/>
      <c r="CE342" s="26"/>
      <c r="CF342" s="26"/>
      <c r="CG342" s="26"/>
      <c r="CH342" s="26"/>
      <c r="CI342" s="26"/>
      <c r="CJ342" s="26"/>
      <c r="CK342" s="26"/>
      <c r="CL342" s="26"/>
      <c r="CM342" s="26"/>
      <c r="CN342" s="26"/>
      <c r="CO342" s="26"/>
    </row>
    <row r="343" spans="7:93" ht="12.75" hidden="1" customHeight="1" x14ac:dyDescent="0.25">
      <c r="G343" s="242">
        <f>IF(G347&gt;115,1,0)</f>
        <v>0</v>
      </c>
      <c r="H343" s="242">
        <f>IF(G347&lt;=130,1,0)</f>
        <v>1</v>
      </c>
      <c r="I343" s="268">
        <f t="shared" si="70"/>
        <v>0</v>
      </c>
      <c r="J343" s="270" t="s">
        <v>151</v>
      </c>
      <c r="L343" s="251">
        <f>IF(I272&gt;225,1,0)</f>
        <v>1</v>
      </c>
      <c r="M343" s="251">
        <f>IF(I272&gt;=250,1,0)</f>
        <v>1</v>
      </c>
      <c r="N343" s="251">
        <f>IF(L343+M343=2,250,0)</f>
        <v>250</v>
      </c>
      <c r="O343" s="251">
        <v>6</v>
      </c>
      <c r="P343" s="6"/>
      <c r="Q343" s="6"/>
      <c r="R343" s="6"/>
      <c r="S343" s="6"/>
      <c r="T343" s="6"/>
      <c r="U343" s="6"/>
      <c r="V343" s="6"/>
      <c r="W343" s="6"/>
      <c r="X343" s="6"/>
      <c r="Y343" s="6"/>
      <c r="Z343" s="6"/>
      <c r="AA343" s="6"/>
      <c r="BF343" s="26"/>
      <c r="BG343" s="26"/>
      <c r="BH343" s="26"/>
      <c r="BI343" s="26"/>
      <c r="BJ343" s="26"/>
      <c r="BK343" s="26"/>
      <c r="BL343" s="26"/>
      <c r="BM343" s="26"/>
      <c r="BN343" s="26"/>
      <c r="BO343" s="26"/>
      <c r="BP343" s="26"/>
      <c r="BQ343" s="26"/>
      <c r="BR343" s="26"/>
      <c r="BS343" s="26"/>
      <c r="BT343" s="26"/>
      <c r="BU343" s="26"/>
      <c r="BV343" s="26"/>
      <c r="BW343" s="26"/>
      <c r="BX343" s="26"/>
      <c r="BY343" s="26"/>
      <c r="BZ343" s="26"/>
      <c r="CA343" s="26"/>
      <c r="CB343" s="26"/>
      <c r="CC343" s="26"/>
      <c r="CD343" s="26"/>
      <c r="CE343" s="26"/>
      <c r="CF343" s="26"/>
      <c r="CG343" s="26"/>
      <c r="CH343" s="26"/>
      <c r="CI343" s="26"/>
      <c r="CJ343" s="26"/>
      <c r="CK343" s="26"/>
      <c r="CL343" s="26"/>
      <c r="CM343" s="26"/>
      <c r="CN343" s="26"/>
      <c r="CO343" s="26"/>
    </row>
    <row r="344" spans="7:93" ht="12.75" hidden="1" customHeight="1" x14ac:dyDescent="0.25">
      <c r="G344" s="242">
        <f>IF(G347&gt;130,1,0)</f>
        <v>0</v>
      </c>
      <c r="H344" s="242">
        <f>IF(G347&lt;=150,1,0)</f>
        <v>1</v>
      </c>
      <c r="I344" s="268">
        <f t="shared" si="70"/>
        <v>0</v>
      </c>
      <c r="J344" s="270" t="s">
        <v>180</v>
      </c>
      <c r="L344" s="251">
        <f>IF(I272&gt;250,1,0)</f>
        <v>1</v>
      </c>
      <c r="M344" s="251">
        <f>IF(I272&gt;=300,1,0)</f>
        <v>1</v>
      </c>
      <c r="N344" s="251">
        <f>IF(L344+M344=2,300,0)</f>
        <v>300</v>
      </c>
      <c r="O344" s="251">
        <v>4</v>
      </c>
      <c r="P344" s="6"/>
      <c r="Q344" s="6"/>
      <c r="R344" s="6"/>
      <c r="S344" s="6"/>
      <c r="T344" s="6"/>
      <c r="U344" s="6"/>
      <c r="V344" s="6"/>
      <c r="W344" s="6"/>
      <c r="X344" s="6"/>
      <c r="Y344" s="6"/>
      <c r="Z344" s="6"/>
      <c r="AA344" s="6"/>
      <c r="BF344" s="26"/>
      <c r="BG344" s="26"/>
      <c r="BH344" s="26"/>
      <c r="BI344" s="26"/>
      <c r="BJ344" s="26"/>
      <c r="BK344" s="26"/>
      <c r="BL344" s="26"/>
      <c r="BM344" s="26"/>
      <c r="BN344" s="26"/>
      <c r="BO344" s="26"/>
      <c r="BP344" s="26"/>
      <c r="BQ344" s="26"/>
      <c r="BR344" s="26"/>
      <c r="BS344" s="26"/>
      <c r="BT344" s="26"/>
      <c r="BU344" s="26"/>
      <c r="BV344" s="26"/>
      <c r="BW344" s="26"/>
      <c r="BX344" s="26"/>
      <c r="BY344" s="26"/>
      <c r="BZ344" s="26"/>
      <c r="CA344" s="26"/>
      <c r="CB344" s="26"/>
      <c r="CC344" s="26"/>
      <c r="CD344" s="26"/>
      <c r="CE344" s="26"/>
      <c r="CF344" s="26"/>
      <c r="CG344" s="26"/>
      <c r="CH344" s="26"/>
      <c r="CI344" s="26"/>
      <c r="CJ344" s="26"/>
      <c r="CK344" s="26"/>
      <c r="CL344" s="26"/>
      <c r="CM344" s="26"/>
      <c r="CN344" s="26"/>
      <c r="CO344" s="26"/>
    </row>
    <row r="345" spans="7:93" ht="12.75" hidden="1" customHeight="1" x14ac:dyDescent="0.25">
      <c r="G345" s="242">
        <f>IF(G347&gt;150,1,0)</f>
        <v>0</v>
      </c>
      <c r="H345" s="242">
        <f>IF(G347&lt;=175,1,0)</f>
        <v>1</v>
      </c>
      <c r="I345" s="268">
        <f t="shared" si="70"/>
        <v>0</v>
      </c>
      <c r="J345" s="270" t="s">
        <v>155</v>
      </c>
      <c r="L345" s="251">
        <f>IF(I272&gt;301,1,0)</f>
        <v>1</v>
      </c>
      <c r="M345" s="251">
        <f>IF(I272&gt;=350,1,0)</f>
        <v>1</v>
      </c>
      <c r="N345" s="251">
        <f>IF(L345+M345=2,350,0)</f>
        <v>350</v>
      </c>
      <c r="O345" s="251">
        <v>4</v>
      </c>
      <c r="P345" s="6"/>
      <c r="Q345" s="6"/>
      <c r="R345" s="6"/>
      <c r="S345" s="6"/>
      <c r="T345" s="6"/>
      <c r="U345" s="6"/>
      <c r="V345" s="6"/>
      <c r="W345" s="6"/>
      <c r="X345" s="6"/>
      <c r="Y345" s="6"/>
      <c r="Z345" s="6"/>
      <c r="AA345" s="6"/>
      <c r="BF345" s="26"/>
      <c r="BG345" s="26"/>
      <c r="BH345" s="26"/>
      <c r="BI345" s="26"/>
      <c r="BJ345" s="26"/>
      <c r="BK345" s="26"/>
      <c r="BL345" s="26"/>
      <c r="BM345" s="26"/>
      <c r="BN345" s="26"/>
      <c r="BO345" s="26"/>
      <c r="BP345" s="26"/>
      <c r="BQ345" s="26"/>
      <c r="BR345" s="26"/>
      <c r="BS345" s="26"/>
      <c r="BT345" s="26"/>
      <c r="BU345" s="26"/>
      <c r="BV345" s="26"/>
      <c r="BW345" s="26"/>
      <c r="BX345" s="26"/>
      <c r="BY345" s="26"/>
      <c r="BZ345" s="26"/>
      <c r="CA345" s="26"/>
      <c r="CB345" s="26"/>
      <c r="CC345" s="26"/>
      <c r="CD345" s="26"/>
      <c r="CE345" s="26"/>
      <c r="CF345" s="26"/>
      <c r="CG345" s="26"/>
      <c r="CH345" s="26"/>
      <c r="CI345" s="26"/>
      <c r="CJ345" s="26"/>
      <c r="CK345" s="26"/>
      <c r="CL345" s="26"/>
      <c r="CM345" s="26"/>
      <c r="CN345" s="26"/>
      <c r="CO345" s="26"/>
    </row>
    <row r="346" spans="7:93" ht="12.75" hidden="1" customHeight="1" x14ac:dyDescent="0.25">
      <c r="G346" s="242">
        <f>IF(G347&gt;175,1,0)</f>
        <v>0</v>
      </c>
      <c r="H346" s="242">
        <f>IF(G347&lt;=200,1,0)</f>
        <v>1</v>
      </c>
      <c r="I346" s="268">
        <f t="shared" si="70"/>
        <v>0</v>
      </c>
      <c r="J346" s="270" t="s">
        <v>157</v>
      </c>
      <c r="L346" s="251">
        <f>IF(I272&gt;350,1,0)</f>
        <v>1</v>
      </c>
      <c r="M346" s="251">
        <f>IF(I272&gt;=400,1,0)</f>
        <v>1</v>
      </c>
      <c r="N346" s="251">
        <f>IF(L346+M346=2,400,0)</f>
        <v>400</v>
      </c>
      <c r="O346" s="251">
        <v>3</v>
      </c>
      <c r="P346" s="6"/>
      <c r="Q346" s="6"/>
      <c r="R346" s="6"/>
      <c r="S346" s="6"/>
      <c r="T346" s="6"/>
      <c r="U346" s="6"/>
      <c r="V346" s="6"/>
      <c r="W346" s="6"/>
      <c r="X346" s="6"/>
      <c r="Y346" s="6"/>
      <c r="Z346" s="6"/>
      <c r="AA346" s="6"/>
      <c r="BF346" s="26"/>
      <c r="BG346" s="26"/>
      <c r="BH346" s="26"/>
      <c r="BI346" s="26"/>
      <c r="BJ346" s="26"/>
      <c r="BK346" s="26"/>
      <c r="BL346" s="26"/>
      <c r="BM346" s="26"/>
      <c r="BN346" s="26"/>
      <c r="BO346" s="26"/>
      <c r="BP346" s="26"/>
      <c r="BQ346" s="26"/>
      <c r="BR346" s="26"/>
      <c r="BS346" s="26"/>
      <c r="BT346" s="26"/>
      <c r="BU346" s="26"/>
      <c r="BV346" s="26"/>
      <c r="BW346" s="26"/>
      <c r="BX346" s="26"/>
      <c r="BY346" s="26"/>
      <c r="BZ346" s="26"/>
      <c r="CA346" s="26"/>
      <c r="CB346" s="26"/>
      <c r="CC346" s="26"/>
      <c r="CD346" s="26"/>
      <c r="CE346" s="26"/>
      <c r="CF346" s="26"/>
      <c r="CG346" s="26"/>
      <c r="CH346" s="26"/>
      <c r="CI346" s="26"/>
      <c r="CJ346" s="26"/>
      <c r="CK346" s="26"/>
      <c r="CL346" s="26"/>
      <c r="CM346" s="26"/>
      <c r="CN346" s="26"/>
      <c r="CO346" s="26"/>
    </row>
    <row r="347" spans="7:93" ht="12.75" hidden="1" customHeight="1" x14ac:dyDescent="0.25">
      <c r="G347" s="150">
        <f>BE41/2</f>
        <v>0</v>
      </c>
      <c r="H347" s="242">
        <f>SUM(G339:G346)</f>
        <v>0</v>
      </c>
      <c r="I347" s="242" t="e">
        <f>CHOOSE(J338,6,4,3,2,1,"1/0","2/0","3/0")</f>
        <v>#VALUE!</v>
      </c>
      <c r="L347" s="251">
        <f>IF(I272&gt;400,1,0)</f>
        <v>1</v>
      </c>
      <c r="M347" s="251">
        <f>IF(I272&gt;=450,1,0)</f>
        <v>1</v>
      </c>
      <c r="N347" s="251">
        <f>IF(L347+M347=2,450,0)</f>
        <v>450</v>
      </c>
      <c r="O347" s="251">
        <v>3</v>
      </c>
      <c r="P347" s="6"/>
      <c r="Q347" s="6"/>
      <c r="R347" s="6"/>
      <c r="S347" s="6"/>
      <c r="T347" s="6"/>
      <c r="U347" s="6"/>
      <c r="V347" s="6"/>
      <c r="W347" s="6"/>
      <c r="X347" s="6"/>
      <c r="Y347" s="6"/>
      <c r="Z347" s="6"/>
      <c r="AA347" s="6"/>
      <c r="BF347" s="26"/>
      <c r="BG347" s="26"/>
      <c r="BH347" s="26"/>
      <c r="BI347" s="26"/>
      <c r="BJ347" s="26"/>
      <c r="BK347" s="26"/>
      <c r="BL347" s="26"/>
      <c r="BM347" s="26"/>
      <c r="BN347" s="26"/>
      <c r="BO347" s="26"/>
      <c r="BP347" s="26"/>
      <c r="BQ347" s="26"/>
      <c r="BR347" s="26"/>
      <c r="BS347" s="26"/>
      <c r="BT347" s="26"/>
      <c r="BU347" s="26"/>
      <c r="BV347" s="26"/>
      <c r="BW347" s="26"/>
      <c r="BX347" s="26"/>
      <c r="BY347" s="26"/>
      <c r="BZ347" s="26"/>
      <c r="CA347" s="26"/>
      <c r="CB347" s="26"/>
      <c r="CC347" s="26"/>
      <c r="CD347" s="26"/>
      <c r="CE347" s="26"/>
      <c r="CF347" s="26"/>
      <c r="CG347" s="26"/>
      <c r="CH347" s="26"/>
      <c r="CI347" s="26"/>
      <c r="CJ347" s="26"/>
      <c r="CK347" s="26"/>
      <c r="CL347" s="26"/>
      <c r="CM347" s="26"/>
      <c r="CN347" s="26"/>
      <c r="CO347" s="26"/>
    </row>
    <row r="348" spans="7:93" ht="12.75" hidden="1" customHeight="1" x14ac:dyDescent="0.25">
      <c r="L348" s="251">
        <f>IF(I272&gt;450,1,0)</f>
        <v>1</v>
      </c>
      <c r="M348" s="251">
        <f>IF(I272&gt;=500,1,0)</f>
        <v>1</v>
      </c>
      <c r="N348" s="251">
        <f>IF(L348+M348=2,500,0)</f>
        <v>500</v>
      </c>
      <c r="O348" s="251">
        <v>2</v>
      </c>
      <c r="P348" s="6"/>
      <c r="Q348" s="6"/>
      <c r="R348" s="6"/>
      <c r="S348" s="6"/>
      <c r="T348" s="6"/>
      <c r="U348" s="6"/>
      <c r="V348" s="6"/>
      <c r="W348" s="6"/>
      <c r="X348" s="6"/>
      <c r="Y348" s="6"/>
      <c r="Z348" s="6"/>
      <c r="AA348" s="6"/>
      <c r="BF348" s="26"/>
      <c r="BG348" s="26"/>
      <c r="BH348" s="26"/>
      <c r="BI348" s="26"/>
      <c r="BJ348" s="26"/>
      <c r="BK348" s="26"/>
      <c r="BL348" s="26"/>
      <c r="BM348" s="26"/>
      <c r="BN348" s="26"/>
      <c r="BO348" s="26"/>
      <c r="BP348" s="26"/>
      <c r="BQ348" s="26"/>
      <c r="BR348" s="26"/>
      <c r="BS348" s="26"/>
      <c r="BT348" s="26"/>
      <c r="BU348" s="26"/>
      <c r="BV348" s="26"/>
      <c r="BW348" s="26"/>
      <c r="BX348" s="26"/>
      <c r="BY348" s="26"/>
      <c r="BZ348" s="26"/>
      <c r="CA348" s="26"/>
      <c r="CB348" s="26"/>
      <c r="CC348" s="26"/>
      <c r="CD348" s="26"/>
      <c r="CE348" s="26"/>
      <c r="CF348" s="26"/>
      <c r="CG348" s="26"/>
      <c r="CH348" s="26"/>
      <c r="CI348" s="26"/>
      <c r="CJ348" s="26"/>
      <c r="CK348" s="26"/>
      <c r="CL348" s="26"/>
      <c r="CM348" s="26"/>
      <c r="CN348" s="26"/>
      <c r="CO348" s="26"/>
    </row>
    <row r="349" spans="7:93" ht="12.75" hidden="1" customHeight="1" x14ac:dyDescent="0.25">
      <c r="L349" s="245" t="e">
        <f>IF(I272&lt;30," ",N349)</f>
        <v>#VALUE!</v>
      </c>
      <c r="M349" s="245">
        <f>SUM(M336:M348)</f>
        <v>13</v>
      </c>
      <c r="N349" s="242" t="e">
        <f>CHOOSE(M349,8,6,6,6,6,6,6,4,4,3,3,2)</f>
        <v>#VALUE!</v>
      </c>
      <c r="O349" s="150" t="e">
        <f>I123</f>
        <v>#REF!</v>
      </c>
      <c r="P349" s="6"/>
      <c r="Q349" s="6"/>
      <c r="R349" s="6"/>
      <c r="S349" s="6"/>
      <c r="T349" s="6"/>
      <c r="U349" s="6"/>
      <c r="V349" s="6"/>
      <c r="W349" s="6"/>
      <c r="X349" s="6"/>
      <c r="Y349" s="6"/>
      <c r="Z349" s="6"/>
      <c r="AA349" s="6"/>
      <c r="BF349" s="26"/>
      <c r="BG349" s="26"/>
      <c r="BH349" s="26"/>
      <c r="BI349" s="26"/>
      <c r="BJ349" s="26"/>
      <c r="BK349" s="26"/>
      <c r="BL349" s="26"/>
      <c r="BM349" s="26"/>
      <c r="BN349" s="26"/>
      <c r="BO349" s="26"/>
      <c r="BP349" s="26"/>
      <c r="BQ349" s="26"/>
      <c r="BR349" s="26"/>
      <c r="BS349" s="26"/>
      <c r="BT349" s="26"/>
      <c r="BU349" s="26"/>
      <c r="BV349" s="26"/>
      <c r="BW349" s="26"/>
      <c r="BX349" s="26"/>
      <c r="BY349" s="26"/>
      <c r="BZ349" s="26"/>
      <c r="CA349" s="26"/>
      <c r="CB349" s="26"/>
      <c r="CC349" s="26"/>
      <c r="CD349" s="26"/>
      <c r="CE349" s="26"/>
      <c r="CF349" s="26"/>
      <c r="CG349" s="26"/>
      <c r="CH349" s="26"/>
      <c r="CI349" s="26"/>
      <c r="CJ349" s="26"/>
      <c r="CK349" s="26"/>
      <c r="CL349" s="26"/>
      <c r="CM349" s="26"/>
      <c r="CN349" s="26"/>
      <c r="CO349" s="26"/>
    </row>
    <row r="350" spans="7:93" ht="12.75" hidden="1" customHeight="1" x14ac:dyDescent="0.25">
      <c r="G350" s="259" t="s">
        <v>243</v>
      </c>
      <c r="H350" s="259"/>
      <c r="I350" s="278" t="str">
        <f>IF(G360&lt;30," ",I360)</f>
        <v xml:space="preserve"> </v>
      </c>
      <c r="J350" s="278">
        <f>H360</f>
        <v>0</v>
      </c>
      <c r="P350" s="6"/>
      <c r="Q350" s="6"/>
      <c r="R350" s="6"/>
      <c r="S350" s="6"/>
      <c r="T350" s="6"/>
      <c r="U350" s="6"/>
      <c r="V350" s="6"/>
      <c r="W350" s="6"/>
      <c r="X350" s="6"/>
      <c r="Y350" s="6"/>
      <c r="Z350" s="6"/>
      <c r="AA350" s="6"/>
      <c r="BF350" s="26"/>
      <c r="BG350" s="26"/>
      <c r="BH350" s="26"/>
      <c r="BI350" s="26"/>
      <c r="BJ350" s="26"/>
      <c r="BK350" s="26"/>
      <c r="BL350" s="26"/>
      <c r="BM350" s="26"/>
      <c r="BN350" s="26"/>
      <c r="BO350" s="26"/>
      <c r="BP350" s="26"/>
      <c r="BQ350" s="26"/>
      <c r="BR350" s="26"/>
      <c r="BS350" s="26"/>
      <c r="BT350" s="26"/>
      <c r="BU350" s="26"/>
      <c r="BV350" s="26"/>
      <c r="BW350" s="26"/>
      <c r="BX350" s="26"/>
      <c r="BY350" s="26"/>
      <c r="BZ350" s="26"/>
      <c r="CA350" s="26"/>
      <c r="CB350" s="26"/>
      <c r="CC350" s="26"/>
      <c r="CD350" s="26"/>
      <c r="CE350" s="26"/>
      <c r="CF350" s="26"/>
      <c r="CG350" s="26"/>
      <c r="CH350" s="26"/>
      <c r="CI350" s="26"/>
      <c r="CJ350" s="26"/>
      <c r="CK350" s="26"/>
      <c r="CL350" s="26"/>
      <c r="CM350" s="26"/>
      <c r="CN350" s="26"/>
      <c r="CO350" s="26"/>
    </row>
    <row r="351" spans="7:93" ht="12.75" hidden="1" customHeight="1" x14ac:dyDescent="0.25">
      <c r="G351" s="279">
        <f>IF(G360=100,1,0)</f>
        <v>0</v>
      </c>
      <c r="H351" s="279">
        <f>IF(G360&gt;=100,1,0)</f>
        <v>0</v>
      </c>
      <c r="I351" s="279">
        <f>IF(H351+G351=2,J351,0)</f>
        <v>0</v>
      </c>
      <c r="J351" s="280">
        <v>3</v>
      </c>
      <c r="L351" s="259" t="s">
        <v>244</v>
      </c>
      <c r="M351" s="259"/>
      <c r="N351" s="306" t="str">
        <f>IF(L361&lt;30," ",N361)</f>
        <v xml:space="preserve"> </v>
      </c>
      <c r="O351" s="307">
        <f>M361</f>
        <v>0</v>
      </c>
      <c r="P351" s="6"/>
      <c r="Q351" s="6"/>
      <c r="R351" s="6"/>
      <c r="S351" s="6"/>
      <c r="T351" s="6"/>
      <c r="U351" s="6"/>
      <c r="V351" s="6"/>
      <c r="W351" s="6"/>
      <c r="X351" s="6"/>
      <c r="Y351" s="6"/>
      <c r="Z351" s="6"/>
      <c r="AA351" s="6"/>
      <c r="BF351" s="26"/>
      <c r="BG351" s="26"/>
      <c r="BH351" s="26"/>
      <c r="BI351" s="26"/>
      <c r="BJ351" s="26"/>
      <c r="BK351" s="26"/>
      <c r="BL351" s="26"/>
      <c r="BM351" s="26"/>
      <c r="BN351" s="26"/>
      <c r="BO351" s="26"/>
      <c r="BP351" s="26"/>
      <c r="BQ351" s="26"/>
      <c r="BR351" s="26"/>
      <c r="BS351" s="26"/>
      <c r="BT351" s="26"/>
      <c r="BU351" s="26"/>
      <c r="BV351" s="26"/>
      <c r="BW351" s="26"/>
      <c r="BX351" s="26"/>
      <c r="BY351" s="26"/>
      <c r="BZ351" s="26"/>
      <c r="CA351" s="26"/>
      <c r="CB351" s="26"/>
      <c r="CC351" s="26"/>
      <c r="CD351" s="26"/>
      <c r="CE351" s="26"/>
      <c r="CF351" s="26"/>
      <c r="CG351" s="26"/>
      <c r="CH351" s="26"/>
      <c r="CI351" s="26"/>
      <c r="CJ351" s="26"/>
      <c r="CK351" s="26"/>
      <c r="CL351" s="26"/>
      <c r="CM351" s="26"/>
      <c r="CN351" s="26"/>
      <c r="CO351" s="26"/>
    </row>
    <row r="352" spans="7:93" ht="12.75" hidden="1" customHeight="1" x14ac:dyDescent="0.25">
      <c r="G352" s="279">
        <f>IF(G360=125,1,0)</f>
        <v>0</v>
      </c>
      <c r="H352" s="279">
        <f>IF(G360&gt;101,1,0)</f>
        <v>0</v>
      </c>
      <c r="I352" s="281">
        <f t="shared" ref="I352:I359" si="71">IF(SUM(G352+H352)=2,J352,0)</f>
        <v>0</v>
      </c>
      <c r="J352" s="282">
        <v>1</v>
      </c>
      <c r="L352" s="308">
        <f>IF(L361=100,1,0)</f>
        <v>0</v>
      </c>
      <c r="M352" s="308">
        <f>IF(L361&gt;=100,1,0)</f>
        <v>0</v>
      </c>
      <c r="N352" s="308">
        <f>IF(M352+L352=2,O352,0)</f>
        <v>0</v>
      </c>
      <c r="O352" s="309">
        <v>1</v>
      </c>
      <c r="P352" s="6"/>
      <c r="Q352" s="6"/>
      <c r="R352" s="6"/>
      <c r="S352" s="6"/>
      <c r="T352" s="6"/>
      <c r="U352" s="6"/>
      <c r="V352" s="6"/>
      <c r="W352" s="6"/>
      <c r="X352" s="6"/>
      <c r="Y352" s="6"/>
      <c r="Z352" s="6"/>
      <c r="AA352" s="6"/>
      <c r="BF352" s="26"/>
      <c r="BG352" s="26"/>
      <c r="BH352" s="26"/>
      <c r="BI352" s="26"/>
      <c r="BJ352" s="26"/>
      <c r="BK352" s="26"/>
      <c r="BL352" s="26"/>
      <c r="BM352" s="26"/>
      <c r="BN352" s="26"/>
      <c r="BO352" s="26"/>
      <c r="BP352" s="26"/>
      <c r="BQ352" s="26"/>
      <c r="BR352" s="26"/>
      <c r="BS352" s="26"/>
      <c r="BT352" s="26"/>
      <c r="BU352" s="26"/>
      <c r="BV352" s="26"/>
      <c r="BW352" s="26"/>
      <c r="BX352" s="26"/>
      <c r="BY352" s="26"/>
      <c r="BZ352" s="26"/>
      <c r="CA352" s="26"/>
      <c r="CB352" s="26"/>
      <c r="CC352" s="26"/>
      <c r="CD352" s="26"/>
      <c r="CE352" s="26"/>
      <c r="CF352" s="26"/>
      <c r="CG352" s="26"/>
      <c r="CH352" s="26"/>
      <c r="CI352" s="26"/>
      <c r="CJ352" s="26"/>
      <c r="CK352" s="26"/>
      <c r="CL352" s="26"/>
      <c r="CM352" s="26"/>
      <c r="CN352" s="26"/>
      <c r="CO352" s="26"/>
    </row>
    <row r="353" spans="7:93" ht="12.75" hidden="1" customHeight="1" x14ac:dyDescent="0.25">
      <c r="G353" s="279">
        <f>IF(G360=150,1,0)</f>
        <v>0</v>
      </c>
      <c r="H353" s="279">
        <f>IF(G360&gt;126,1,0)</f>
        <v>0</v>
      </c>
      <c r="I353" s="283">
        <f t="shared" si="71"/>
        <v>0</v>
      </c>
      <c r="J353" s="283" t="s">
        <v>180</v>
      </c>
      <c r="L353" s="308">
        <f>IF(L361=125,1,0)</f>
        <v>0</v>
      </c>
      <c r="M353" s="308">
        <f>IF(L361&gt;101,1,0)</f>
        <v>0</v>
      </c>
      <c r="N353" s="310">
        <f t="shared" ref="N353:N360" si="72">IF(SUM(L353+M353)=2,O353,0)</f>
        <v>0</v>
      </c>
      <c r="O353" s="311" t="s">
        <v>155</v>
      </c>
      <c r="P353" s="6"/>
      <c r="Q353" s="6"/>
      <c r="R353" s="6"/>
      <c r="S353" s="6"/>
      <c r="T353" s="6"/>
      <c r="U353" s="6"/>
      <c r="V353" s="6"/>
      <c r="W353" s="6"/>
      <c r="X353" s="6"/>
      <c r="Y353" s="6"/>
      <c r="Z353" s="6"/>
      <c r="AA353" s="6"/>
      <c r="BF353" s="26"/>
      <c r="BG353" s="26"/>
      <c r="BH353" s="26"/>
      <c r="BI353" s="26"/>
      <c r="BJ353" s="26"/>
      <c r="BK353" s="26"/>
      <c r="BL353" s="26"/>
      <c r="BM353" s="26"/>
      <c r="BN353" s="26"/>
      <c r="BO353" s="26"/>
      <c r="BP353" s="26"/>
      <c r="BQ353" s="26"/>
      <c r="BR353" s="26"/>
      <c r="BS353" s="26"/>
      <c r="BT353" s="26"/>
      <c r="BU353" s="26"/>
      <c r="BV353" s="26"/>
      <c r="BW353" s="26"/>
      <c r="BX353" s="26"/>
      <c r="BY353" s="26"/>
      <c r="BZ353" s="26"/>
      <c r="CA353" s="26"/>
      <c r="CB353" s="26"/>
      <c r="CC353" s="26"/>
      <c r="CD353" s="26"/>
      <c r="CE353" s="26"/>
      <c r="CF353" s="26"/>
      <c r="CG353" s="26"/>
      <c r="CH353" s="26"/>
      <c r="CI353" s="26"/>
      <c r="CJ353" s="26"/>
      <c r="CK353" s="26"/>
      <c r="CL353" s="26"/>
      <c r="CM353" s="26"/>
      <c r="CN353" s="26"/>
      <c r="CO353" s="26"/>
    </row>
    <row r="354" spans="7:93" ht="12.75" hidden="1" customHeight="1" x14ac:dyDescent="0.25">
      <c r="G354" s="279">
        <f>IF(G360=200,1,0)</f>
        <v>0</v>
      </c>
      <c r="H354" s="279">
        <f>IF(G360&gt;151,1,0)</f>
        <v>0</v>
      </c>
      <c r="I354" s="283">
        <f t="shared" si="71"/>
        <v>0</v>
      </c>
      <c r="J354" s="283" t="s">
        <v>155</v>
      </c>
      <c r="L354" s="308">
        <f>IF(L361=150,1,0)</f>
        <v>0</v>
      </c>
      <c r="M354" s="308">
        <f>IF(L361&gt;126,1,0)</f>
        <v>0</v>
      </c>
      <c r="N354" s="310">
        <f t="shared" si="72"/>
        <v>0</v>
      </c>
      <c r="O354" s="311" t="s">
        <v>157</v>
      </c>
      <c r="P354" s="6"/>
      <c r="Q354" s="6"/>
      <c r="R354" s="6"/>
      <c r="S354" s="6"/>
      <c r="T354" s="6"/>
      <c r="U354" s="6"/>
      <c r="V354" s="6"/>
      <c r="W354" s="6"/>
      <c r="X354" s="6"/>
      <c r="Y354" s="6"/>
      <c r="Z354" s="6"/>
      <c r="AA354" s="6"/>
      <c r="BF354" s="26"/>
      <c r="BG354" s="26"/>
      <c r="BH354" s="26"/>
      <c r="BI354" s="26"/>
      <c r="BJ354" s="26"/>
      <c r="BK354" s="26"/>
      <c r="BL354" s="26"/>
      <c r="BM354" s="26"/>
      <c r="BN354" s="26"/>
      <c r="BO354" s="26"/>
      <c r="BP354" s="26"/>
      <c r="BQ354" s="26"/>
      <c r="BR354" s="26"/>
      <c r="BS354" s="26"/>
      <c r="BT354" s="26"/>
      <c r="BU354" s="26"/>
      <c r="BV354" s="26"/>
      <c r="BW354" s="26"/>
      <c r="BX354" s="26"/>
      <c r="BY354" s="26"/>
      <c r="BZ354" s="26"/>
      <c r="CA354" s="26"/>
      <c r="CB354" s="26"/>
      <c r="CC354" s="26"/>
      <c r="CD354" s="26"/>
      <c r="CE354" s="26"/>
      <c r="CF354" s="26"/>
      <c r="CG354" s="26"/>
      <c r="CH354" s="26"/>
      <c r="CI354" s="26"/>
      <c r="CJ354" s="26"/>
      <c r="CK354" s="26"/>
      <c r="CL354" s="26"/>
      <c r="CM354" s="26"/>
      <c r="CN354" s="26"/>
      <c r="CO354" s="26"/>
    </row>
    <row r="355" spans="7:93" ht="12.75" hidden="1" customHeight="1" x14ac:dyDescent="0.25">
      <c r="G355" s="279">
        <f>IF(G360=225,1,0)</f>
        <v>0</v>
      </c>
      <c r="H355" s="279">
        <f>IF(G360&gt;176,1,0)</f>
        <v>0</v>
      </c>
      <c r="I355" s="283">
        <f t="shared" si="71"/>
        <v>0</v>
      </c>
      <c r="J355" s="283" t="s">
        <v>157</v>
      </c>
      <c r="L355" s="308">
        <f>IF(L361=200,1,0)</f>
        <v>0</v>
      </c>
      <c r="M355" s="308">
        <f>IF(L361&gt;151,1,0)</f>
        <v>0</v>
      </c>
      <c r="N355" s="310">
        <f t="shared" si="72"/>
        <v>0</v>
      </c>
      <c r="O355" s="311" t="s">
        <v>161</v>
      </c>
      <c r="P355" s="6"/>
      <c r="Q355" s="6"/>
      <c r="R355" s="6"/>
      <c r="S355" s="6"/>
      <c r="T355" s="6"/>
      <c r="U355" s="6"/>
      <c r="V355" s="6"/>
      <c r="W355" s="6"/>
      <c r="X355" s="6"/>
      <c r="Y355" s="6"/>
      <c r="Z355" s="6"/>
      <c r="AA355" s="6"/>
      <c r="BF355" s="26"/>
      <c r="BG355" s="26"/>
      <c r="BH355" s="26"/>
      <c r="BI355" s="26"/>
      <c r="BJ355" s="26"/>
      <c r="BK355" s="26"/>
      <c r="BL355" s="26"/>
      <c r="BM355" s="26"/>
      <c r="BN355" s="26"/>
      <c r="BO355" s="26"/>
      <c r="BP355" s="26"/>
      <c r="BQ355" s="26"/>
      <c r="BR355" s="26"/>
      <c r="BS355" s="26"/>
      <c r="BT355" s="26"/>
      <c r="BU355" s="26"/>
      <c r="BV355" s="26"/>
      <c r="BW355" s="26"/>
      <c r="BX355" s="26"/>
      <c r="BY355" s="26"/>
      <c r="BZ355" s="26"/>
      <c r="CA355" s="26"/>
      <c r="CB355" s="26"/>
      <c r="CC355" s="26"/>
      <c r="CD355" s="26"/>
      <c r="CE355" s="26"/>
      <c r="CF355" s="26"/>
      <c r="CG355" s="26"/>
      <c r="CH355" s="26"/>
      <c r="CI355" s="26"/>
      <c r="CJ355" s="26"/>
      <c r="CK355" s="26"/>
      <c r="CL355" s="26"/>
      <c r="CM355" s="26"/>
      <c r="CN355" s="26"/>
      <c r="CO355" s="26"/>
    </row>
    <row r="356" spans="7:93" ht="12.75" hidden="1" customHeight="1" x14ac:dyDescent="0.25">
      <c r="G356" s="279">
        <f>IF(G360=250,1,0)</f>
        <v>0</v>
      </c>
      <c r="H356" s="279">
        <f>IF(G360&gt;201,1,0)</f>
        <v>0</v>
      </c>
      <c r="I356" s="281">
        <f t="shared" si="71"/>
        <v>0</v>
      </c>
      <c r="J356" s="283" t="s">
        <v>159</v>
      </c>
      <c r="L356" s="308">
        <f>IF(L361=225,1,0)</f>
        <v>0</v>
      </c>
      <c r="M356" s="308">
        <f>IF(L361&gt;201,1,0)</f>
        <v>0</v>
      </c>
      <c r="N356" s="310">
        <f t="shared" si="72"/>
        <v>0</v>
      </c>
      <c r="O356" s="311" t="s">
        <v>188</v>
      </c>
      <c r="P356" s="6"/>
      <c r="Q356" s="6"/>
      <c r="R356" s="6"/>
      <c r="S356" s="6"/>
      <c r="T356" s="6"/>
      <c r="U356" s="6"/>
      <c r="V356" s="6"/>
      <c r="W356" s="6"/>
      <c r="X356" s="6"/>
      <c r="Y356" s="6"/>
      <c r="Z356" s="6"/>
      <c r="AA356" s="6"/>
      <c r="BF356" s="26"/>
      <c r="BG356" s="26"/>
      <c r="BH356" s="26"/>
      <c r="BI356" s="26"/>
      <c r="BJ356" s="26"/>
      <c r="BK356" s="26"/>
      <c r="BL356" s="26"/>
      <c r="BM356" s="26"/>
      <c r="BN356" s="26"/>
      <c r="BO356" s="26"/>
      <c r="BP356" s="26"/>
      <c r="BQ356" s="26"/>
      <c r="BR356" s="26"/>
      <c r="BS356" s="26"/>
      <c r="BT356" s="26"/>
      <c r="BU356" s="26"/>
      <c r="BV356" s="26"/>
      <c r="BW356" s="26"/>
      <c r="BX356" s="26"/>
      <c r="BY356" s="26"/>
      <c r="BZ356" s="26"/>
      <c r="CA356" s="26"/>
      <c r="CB356" s="26"/>
      <c r="CC356" s="26"/>
      <c r="CD356" s="26"/>
      <c r="CE356" s="26"/>
      <c r="CF356" s="26"/>
      <c r="CG356" s="26"/>
      <c r="CH356" s="26"/>
      <c r="CI356" s="26"/>
      <c r="CJ356" s="26"/>
      <c r="CK356" s="26"/>
      <c r="CL356" s="26"/>
      <c r="CM356" s="26"/>
      <c r="CN356" s="26"/>
      <c r="CO356" s="26"/>
    </row>
    <row r="357" spans="7:93" ht="12.75" hidden="1" customHeight="1" x14ac:dyDescent="0.25">
      <c r="G357" s="279">
        <f>IF(G360=300,1,0)</f>
        <v>0</v>
      </c>
      <c r="H357" s="279">
        <f>IF(G360&gt;226,1,0)</f>
        <v>0</v>
      </c>
      <c r="I357" s="281">
        <f t="shared" si="71"/>
        <v>0</v>
      </c>
      <c r="J357" s="283" t="s">
        <v>161</v>
      </c>
      <c r="L357" s="308">
        <f>IF(L361=250,1,0)</f>
        <v>0</v>
      </c>
      <c r="M357" s="308">
        <f>IF(L361&gt;226,1,0)</f>
        <v>0</v>
      </c>
      <c r="N357" s="310">
        <f t="shared" si="72"/>
        <v>0</v>
      </c>
      <c r="O357" s="311" t="s">
        <v>163</v>
      </c>
      <c r="P357" s="6"/>
      <c r="Q357" s="6"/>
      <c r="R357" s="6"/>
      <c r="S357" s="6"/>
      <c r="T357" s="6"/>
      <c r="U357" s="6"/>
      <c r="V357" s="6"/>
      <c r="W357" s="6"/>
      <c r="X357" s="6"/>
      <c r="Y357" s="6"/>
      <c r="Z357" s="6"/>
      <c r="AA357" s="6"/>
      <c r="BF357" s="26"/>
      <c r="BG357" s="26"/>
      <c r="BH357" s="26"/>
      <c r="BI357" s="26"/>
      <c r="BJ357" s="26"/>
      <c r="BK357" s="26"/>
      <c r="BL357" s="26"/>
      <c r="BM357" s="26"/>
      <c r="BN357" s="26"/>
      <c r="BO357" s="26"/>
      <c r="BP357" s="26"/>
      <c r="BQ357" s="26"/>
      <c r="BR357" s="26"/>
      <c r="BS357" s="26"/>
      <c r="BT357" s="26"/>
      <c r="BU357" s="26"/>
      <c r="BV357" s="26"/>
      <c r="BW357" s="26"/>
      <c r="BX357" s="26"/>
      <c r="BY357" s="26"/>
      <c r="BZ357" s="26"/>
      <c r="CA357" s="26"/>
      <c r="CB357" s="26"/>
      <c r="CC357" s="26"/>
      <c r="CD357" s="26"/>
      <c r="CE357" s="26"/>
      <c r="CF357" s="26"/>
      <c r="CG357" s="26"/>
      <c r="CH357" s="26"/>
      <c r="CI357" s="26"/>
      <c r="CJ357" s="26"/>
      <c r="CK357" s="26"/>
      <c r="CL357" s="26"/>
      <c r="CM357" s="26"/>
      <c r="CN357" s="26"/>
      <c r="CO357" s="26"/>
    </row>
    <row r="358" spans="7:93" ht="12.75" hidden="1" customHeight="1" x14ac:dyDescent="0.25">
      <c r="G358" s="279">
        <f>IF(G360=350,1,0)</f>
        <v>0</v>
      </c>
      <c r="H358" s="279">
        <f>IF(G360&gt;251,1,0)</f>
        <v>0</v>
      </c>
      <c r="I358" s="281">
        <f t="shared" si="71"/>
        <v>0</v>
      </c>
      <c r="J358" s="283" t="s">
        <v>163</v>
      </c>
      <c r="L358" s="308">
        <f>IF(L361=300,1,0)</f>
        <v>0</v>
      </c>
      <c r="M358" s="308">
        <f>IF(L361&gt;251,1,0)</f>
        <v>0</v>
      </c>
      <c r="N358" s="310">
        <f t="shared" si="72"/>
        <v>0</v>
      </c>
      <c r="O358" s="311" t="s">
        <v>192</v>
      </c>
      <c r="P358" s="6"/>
      <c r="Q358" s="6"/>
      <c r="R358" s="6"/>
      <c r="S358" s="6"/>
      <c r="T358" s="6"/>
      <c r="U358" s="6"/>
      <c r="V358" s="6"/>
      <c r="W358" s="6"/>
      <c r="X358" s="6"/>
      <c r="Y358" s="6"/>
      <c r="Z358" s="6"/>
      <c r="AA358" s="6"/>
      <c r="BF358" s="26"/>
      <c r="BG358" s="26"/>
      <c r="BH358" s="26"/>
      <c r="BI358" s="26"/>
      <c r="BJ358" s="26"/>
      <c r="BK358" s="26"/>
      <c r="BL358" s="26"/>
      <c r="BM358" s="26"/>
      <c r="BN358" s="26"/>
      <c r="BO358" s="26"/>
      <c r="BP358" s="26"/>
      <c r="BQ358" s="26"/>
      <c r="BR358" s="26"/>
      <c r="BS358" s="26"/>
      <c r="BT358" s="26"/>
      <c r="BU358" s="26"/>
      <c r="BV358" s="26"/>
      <c r="BW358" s="26"/>
      <c r="BX358" s="26"/>
      <c r="BY358" s="26"/>
      <c r="BZ358" s="26"/>
      <c r="CA358" s="26"/>
      <c r="CB358" s="26"/>
      <c r="CC358" s="26"/>
      <c r="CD358" s="26"/>
      <c r="CE358" s="26"/>
      <c r="CF358" s="26"/>
      <c r="CG358" s="26"/>
      <c r="CH358" s="26"/>
      <c r="CI358" s="26"/>
      <c r="CJ358" s="26"/>
      <c r="CK358" s="26"/>
      <c r="CL358" s="26"/>
      <c r="CM358" s="26"/>
      <c r="CN358" s="26"/>
      <c r="CO358" s="26"/>
    </row>
    <row r="359" spans="7:93" ht="12.75" hidden="1" customHeight="1" x14ac:dyDescent="0.25">
      <c r="G359" s="279">
        <f>IF(G360=400,1,0)</f>
        <v>0</v>
      </c>
      <c r="H359" s="279">
        <f>IF(G360&gt;301,1,0)</f>
        <v>0</v>
      </c>
      <c r="I359" s="281">
        <f t="shared" si="71"/>
        <v>0</v>
      </c>
      <c r="J359" s="283" t="s">
        <v>192</v>
      </c>
      <c r="L359" s="308">
        <f>IF(L361=350,1,0)</f>
        <v>0</v>
      </c>
      <c r="M359" s="308">
        <f>IF(L361&gt;251,1,0)</f>
        <v>0</v>
      </c>
      <c r="N359" s="310">
        <f t="shared" si="72"/>
        <v>0</v>
      </c>
      <c r="O359" s="311" t="s">
        <v>166</v>
      </c>
      <c r="P359" s="6"/>
      <c r="Q359" s="6"/>
      <c r="R359" s="6"/>
      <c r="S359" s="6"/>
      <c r="T359" s="6"/>
      <c r="U359" s="6"/>
      <c r="V359" s="6"/>
      <c r="W359" s="6"/>
      <c r="X359" s="6"/>
      <c r="Y359" s="6"/>
      <c r="Z359" s="6"/>
      <c r="AA359" s="6"/>
      <c r="BF359" s="26"/>
      <c r="BG359" s="26"/>
      <c r="BH359" s="26"/>
      <c r="BI359" s="26"/>
      <c r="BJ359" s="26"/>
      <c r="BK359" s="26"/>
      <c r="BL359" s="26"/>
      <c r="BM359" s="26"/>
      <c r="BN359" s="26"/>
      <c r="BO359" s="26"/>
      <c r="BP359" s="26"/>
      <c r="BQ359" s="26"/>
      <c r="BR359" s="26"/>
      <c r="BS359" s="26"/>
      <c r="BT359" s="26"/>
      <c r="BU359" s="26"/>
      <c r="BV359" s="26"/>
      <c r="BW359" s="26"/>
      <c r="BX359" s="26"/>
      <c r="BY359" s="26"/>
      <c r="BZ359" s="26"/>
      <c r="CA359" s="26"/>
      <c r="CB359" s="26"/>
      <c r="CC359" s="26"/>
      <c r="CD359" s="26"/>
      <c r="CE359" s="26"/>
      <c r="CF359" s="26"/>
      <c r="CG359" s="26"/>
      <c r="CH359" s="26"/>
      <c r="CI359" s="26"/>
      <c r="CJ359" s="26"/>
      <c r="CK359" s="26"/>
      <c r="CL359" s="26"/>
      <c r="CM359" s="26"/>
      <c r="CN359" s="26"/>
      <c r="CO359" s="26"/>
    </row>
    <row r="360" spans="7:93" ht="12.75" hidden="1" customHeight="1" x14ac:dyDescent="0.25">
      <c r="G360" s="9">
        <f>BG85</f>
        <v>0</v>
      </c>
      <c r="H360" s="279">
        <f>SUM(H351:H359)</f>
        <v>0</v>
      </c>
      <c r="I360" s="279" t="e">
        <f>CHOOSE(J350,3,1,"1/0","2/0","3/0","4/0",250,350,500,600)</f>
        <v>#VALUE!</v>
      </c>
      <c r="J360" s="9">
        <v>600</v>
      </c>
      <c r="L360" s="308">
        <f>IF(L361=400,1,0)</f>
        <v>0</v>
      </c>
      <c r="M360" s="308">
        <f>IF(L361&gt;301,1,0)</f>
        <v>0</v>
      </c>
      <c r="N360" s="310">
        <f t="shared" si="72"/>
        <v>0</v>
      </c>
      <c r="O360" s="311" t="s">
        <v>245</v>
      </c>
      <c r="P360" s="6"/>
      <c r="Q360" s="6"/>
      <c r="R360" s="6"/>
      <c r="S360" s="6"/>
      <c r="T360" s="6"/>
      <c r="U360" s="6"/>
      <c r="V360" s="6"/>
      <c r="W360" s="6"/>
      <c r="X360" s="6"/>
      <c r="Y360" s="6"/>
      <c r="Z360" s="6"/>
      <c r="AA360" s="6"/>
      <c r="BF360" s="26"/>
      <c r="BG360" s="26"/>
      <c r="BH360" s="26"/>
      <c r="BI360" s="26"/>
      <c r="BJ360" s="26"/>
      <c r="BK360" s="26"/>
      <c r="BL360" s="26"/>
      <c r="BM360" s="26"/>
      <c r="BN360" s="26"/>
      <c r="BO360" s="26"/>
      <c r="BP360" s="26"/>
      <c r="BQ360" s="26"/>
      <c r="BR360" s="26"/>
      <c r="BS360" s="26"/>
      <c r="BT360" s="26"/>
      <c r="BU360" s="26"/>
      <c r="BV360" s="26"/>
      <c r="BW360" s="26"/>
      <c r="BX360" s="26"/>
      <c r="BY360" s="26"/>
      <c r="BZ360" s="26"/>
      <c r="CA360" s="26"/>
      <c r="CB360" s="26"/>
      <c r="CC360" s="26"/>
      <c r="CD360" s="26"/>
      <c r="CE360" s="26"/>
      <c r="CF360" s="26"/>
      <c r="CG360" s="26"/>
      <c r="CH360" s="26"/>
      <c r="CI360" s="26"/>
      <c r="CJ360" s="26"/>
      <c r="CK360" s="26"/>
      <c r="CL360" s="26"/>
      <c r="CM360" s="26"/>
      <c r="CN360" s="26"/>
      <c r="CO360" s="26"/>
    </row>
    <row r="361" spans="7:93" ht="12.75" hidden="1" customHeight="1" x14ac:dyDescent="0.25">
      <c r="L361" s="312">
        <f>BF85</f>
        <v>0</v>
      </c>
      <c r="M361" s="308">
        <f>SUM(M352:M360)</f>
        <v>0</v>
      </c>
      <c r="N361" s="308" t="e">
        <f>CHOOSE(O351,1,"2/0","3/0",250,300,350,500,700,800)</f>
        <v>#VALUE!</v>
      </c>
      <c r="P361" s="6"/>
      <c r="Q361" s="6"/>
      <c r="R361" s="6"/>
      <c r="S361" s="6"/>
      <c r="T361" s="6"/>
      <c r="U361" s="6"/>
      <c r="V361" s="6"/>
      <c r="W361" s="6"/>
      <c r="X361" s="6"/>
      <c r="Y361" s="6"/>
      <c r="Z361" s="6"/>
      <c r="AA361" s="6"/>
      <c r="BF361" s="26"/>
      <c r="BG361" s="26"/>
      <c r="BH361" s="26"/>
      <c r="BI361" s="26"/>
      <c r="BJ361" s="26"/>
      <c r="BK361" s="26"/>
      <c r="BL361" s="26"/>
      <c r="BM361" s="26"/>
      <c r="BN361" s="26"/>
      <c r="BO361" s="26"/>
      <c r="BP361" s="26"/>
      <c r="BQ361" s="26"/>
      <c r="BR361" s="26"/>
      <c r="BS361" s="26"/>
      <c r="BT361" s="26"/>
      <c r="BU361" s="26"/>
      <c r="BV361" s="26"/>
      <c r="BW361" s="26"/>
      <c r="BX361" s="26"/>
      <c r="BY361" s="26"/>
      <c r="BZ361" s="26"/>
      <c r="CA361" s="26"/>
      <c r="CB361" s="26"/>
      <c r="CC361" s="26"/>
      <c r="CD361" s="26"/>
      <c r="CE361" s="26"/>
      <c r="CF361" s="26"/>
      <c r="CG361" s="26"/>
      <c r="CH361" s="26"/>
      <c r="CI361" s="26"/>
      <c r="CJ361" s="26"/>
      <c r="CK361" s="26"/>
      <c r="CL361" s="26"/>
      <c r="CM361" s="26"/>
      <c r="CN361" s="26"/>
      <c r="CO361" s="26"/>
    </row>
    <row r="362" spans="7:93" ht="12.75" hidden="1" customHeight="1" x14ac:dyDescent="0.25">
      <c r="G362" s="259" t="s">
        <v>246</v>
      </c>
      <c r="H362" s="259"/>
      <c r="I362" s="278">
        <f>IF(G371=0,0,I371)</f>
        <v>0</v>
      </c>
      <c r="J362" s="278">
        <f>H371</f>
        <v>0</v>
      </c>
      <c r="P362" s="6"/>
      <c r="Q362" s="6"/>
      <c r="R362" s="6"/>
      <c r="S362" s="6"/>
      <c r="T362" s="6"/>
      <c r="U362" s="6"/>
      <c r="V362" s="6"/>
      <c r="W362" s="6"/>
      <c r="X362" s="6"/>
      <c r="Y362" s="6"/>
      <c r="Z362" s="6"/>
      <c r="AA362" s="6"/>
      <c r="BF362" s="26"/>
      <c r="BG362" s="26"/>
      <c r="BH362" s="26"/>
      <c r="BI362" s="26"/>
      <c r="BJ362" s="26"/>
      <c r="BK362" s="26"/>
      <c r="BL362" s="26"/>
      <c r="BM362" s="26"/>
      <c r="BN362" s="26"/>
      <c r="BO362" s="26"/>
      <c r="BP362" s="26"/>
      <c r="BQ362" s="26"/>
      <c r="BR362" s="26"/>
      <c r="BS362" s="26"/>
      <c r="BT362" s="26"/>
      <c r="BU362" s="26"/>
      <c r="BV362" s="26"/>
      <c r="BW362" s="26"/>
      <c r="BX362" s="26"/>
      <c r="BY362" s="26"/>
      <c r="BZ362" s="26"/>
      <c r="CA362" s="26"/>
      <c r="CB362" s="26"/>
      <c r="CC362" s="26"/>
      <c r="CD362" s="26"/>
      <c r="CE362" s="26"/>
      <c r="CF362" s="26"/>
      <c r="CG362" s="26"/>
      <c r="CH362" s="26"/>
      <c r="CI362" s="26"/>
      <c r="CJ362" s="26"/>
      <c r="CK362" s="26"/>
      <c r="CL362" s="26"/>
      <c r="CM362" s="26"/>
      <c r="CN362" s="26"/>
      <c r="CO362" s="26"/>
    </row>
    <row r="363" spans="7:93" ht="12.75" hidden="1" customHeight="1" x14ac:dyDescent="0.25">
      <c r="G363" s="279">
        <f>IF(G371&gt;1,1,0)</f>
        <v>0</v>
      </c>
      <c r="H363" s="279">
        <f>IF(G371&lt;=65,1,0)</f>
        <v>1</v>
      </c>
      <c r="I363" s="280">
        <f>IF(H363=1,J363,0)</f>
        <v>6</v>
      </c>
      <c r="J363" s="280">
        <v>6</v>
      </c>
      <c r="L363" s="259" t="s">
        <v>247</v>
      </c>
      <c r="M363" s="259"/>
      <c r="N363" s="306">
        <f>IF(L372=0,0,N372)</f>
        <v>0</v>
      </c>
      <c r="O363" s="307">
        <f>M372</f>
        <v>0</v>
      </c>
      <c r="P363" s="6"/>
      <c r="Q363" s="6"/>
      <c r="R363" s="6"/>
      <c r="S363" s="6"/>
      <c r="T363" s="6"/>
      <c r="U363" s="6"/>
      <c r="V363" s="6"/>
      <c r="W363" s="6"/>
      <c r="X363" s="6"/>
      <c r="Y363" s="6"/>
      <c r="Z363" s="6"/>
      <c r="AA363" s="6"/>
      <c r="BF363" s="26"/>
      <c r="BG363" s="26"/>
      <c r="BH363" s="26"/>
      <c r="BI363" s="26"/>
      <c r="BJ363" s="26"/>
      <c r="BK363" s="26"/>
      <c r="BL363" s="26"/>
      <c r="BM363" s="26"/>
      <c r="BN363" s="26"/>
      <c r="BO363" s="26"/>
      <c r="BP363" s="26"/>
      <c r="BQ363" s="26"/>
      <c r="BR363" s="26"/>
      <c r="BS363" s="26"/>
      <c r="BT363" s="26"/>
      <c r="BU363" s="26"/>
      <c r="BV363" s="26"/>
      <c r="BW363" s="26"/>
      <c r="BX363" s="26"/>
      <c r="BY363" s="26"/>
      <c r="BZ363" s="26"/>
      <c r="CA363" s="26"/>
      <c r="CB363" s="26"/>
      <c r="CC363" s="26"/>
      <c r="CD363" s="26"/>
      <c r="CE363" s="26"/>
      <c r="CF363" s="26"/>
      <c r="CG363" s="26"/>
      <c r="CH363" s="26"/>
      <c r="CI363" s="26"/>
      <c r="CJ363" s="26"/>
      <c r="CK363" s="26"/>
      <c r="CL363" s="26"/>
      <c r="CM363" s="26"/>
      <c r="CN363" s="26"/>
      <c r="CO363" s="26"/>
    </row>
    <row r="364" spans="7:93" ht="12.75" hidden="1" customHeight="1" x14ac:dyDescent="0.25">
      <c r="G364" s="279">
        <f>IF(G371&gt;65,1,0)</f>
        <v>0</v>
      </c>
      <c r="H364" s="279">
        <f>IF(G371&lt;=85,1,0)</f>
        <v>1</v>
      </c>
      <c r="I364" s="281">
        <f t="shared" ref="I364:I370" si="73">IF(SUM(G364+H364)=2,J364,0)</f>
        <v>0</v>
      </c>
      <c r="J364" s="282">
        <v>4</v>
      </c>
      <c r="L364" s="313">
        <f>IF(L372&gt;1,1,0)</f>
        <v>0</v>
      </c>
      <c r="M364" s="313">
        <f>IF(L372&lt;=65,1,0)</f>
        <v>1</v>
      </c>
      <c r="N364" s="314">
        <f>IF(M364=1,O364,0)</f>
        <v>6</v>
      </c>
      <c r="O364" s="314">
        <v>6</v>
      </c>
      <c r="P364" s="6"/>
      <c r="Q364" s="6"/>
      <c r="R364" s="6"/>
      <c r="S364" s="6"/>
      <c r="T364" s="6"/>
      <c r="U364" s="6"/>
      <c r="V364" s="6"/>
      <c r="W364" s="6"/>
      <c r="X364" s="6"/>
      <c r="Y364" s="6"/>
      <c r="Z364" s="6"/>
      <c r="AA364" s="6"/>
      <c r="BF364" s="26"/>
      <c r="BG364" s="26"/>
      <c r="BH364" s="26"/>
      <c r="BI364" s="26"/>
      <c r="BJ364" s="26"/>
      <c r="BK364" s="26"/>
      <c r="BL364" s="26"/>
      <c r="BM364" s="26"/>
      <c r="BN364" s="26"/>
      <c r="BO364" s="26"/>
      <c r="BP364" s="26"/>
      <c r="BQ364" s="26"/>
      <c r="BR364" s="26"/>
      <c r="BS364" s="26"/>
      <c r="BT364" s="26"/>
      <c r="BU364" s="26"/>
      <c r="BV364" s="26"/>
      <c r="BW364" s="26"/>
      <c r="BX364" s="26"/>
      <c r="BY364" s="26"/>
      <c r="BZ364" s="26"/>
      <c r="CA364" s="26"/>
      <c r="CB364" s="26"/>
      <c r="CC364" s="26"/>
      <c r="CD364" s="26"/>
      <c r="CE364" s="26"/>
      <c r="CF364" s="26"/>
      <c r="CG364" s="26"/>
      <c r="CH364" s="26"/>
      <c r="CI364" s="26"/>
      <c r="CJ364" s="26"/>
      <c r="CK364" s="26"/>
      <c r="CL364" s="26"/>
      <c r="CM364" s="26"/>
      <c r="CN364" s="26"/>
      <c r="CO364" s="26"/>
    </row>
    <row r="365" spans="7:93" ht="12.75" hidden="1" customHeight="1" x14ac:dyDescent="0.25">
      <c r="G365" s="279">
        <f>IF(G371&gt;85,1,0)</f>
        <v>0</v>
      </c>
      <c r="H365" s="279">
        <f>IF(G371&lt;=100,1,0)</f>
        <v>1</v>
      </c>
      <c r="I365" s="281">
        <f t="shared" si="73"/>
        <v>0</v>
      </c>
      <c r="J365" s="282">
        <v>3</v>
      </c>
      <c r="L365" s="313">
        <f>IF(L372&gt;50,1,0)</f>
        <v>0</v>
      </c>
      <c r="M365" s="313">
        <f>IF(L372&lt;=85,1,0)</f>
        <v>1</v>
      </c>
      <c r="N365" s="315">
        <f t="shared" ref="N365:N371" si="74">IF(SUM(L365+M365)=2,O365,0)</f>
        <v>0</v>
      </c>
      <c r="O365" s="316">
        <v>4</v>
      </c>
      <c r="P365" s="6"/>
      <c r="Q365" s="6"/>
      <c r="R365" s="6"/>
      <c r="S365" s="6"/>
      <c r="T365" s="6"/>
      <c r="U365" s="6"/>
      <c r="V365" s="6"/>
      <c r="W365" s="6"/>
      <c r="X365" s="6"/>
      <c r="Y365" s="6"/>
      <c r="Z365" s="6"/>
      <c r="AA365" s="6"/>
      <c r="BF365" s="26"/>
      <c r="BG365" s="26"/>
      <c r="BH365" s="26"/>
      <c r="BI365" s="26"/>
      <c r="BJ365" s="26"/>
      <c r="BK365" s="26"/>
      <c r="BL365" s="26"/>
      <c r="BM365" s="26"/>
      <c r="BN365" s="26"/>
      <c r="BO365" s="26"/>
      <c r="BP365" s="26"/>
      <c r="BQ365" s="26"/>
      <c r="BR365" s="26"/>
      <c r="BS365" s="26"/>
      <c r="BT365" s="26"/>
      <c r="BU365" s="26"/>
      <c r="BV365" s="26"/>
      <c r="BW365" s="26"/>
      <c r="BX365" s="26"/>
      <c r="BY365" s="26"/>
      <c r="BZ365" s="26"/>
      <c r="CA365" s="26"/>
      <c r="CB365" s="26"/>
      <c r="CC365" s="26"/>
      <c r="CD365" s="26"/>
      <c r="CE365" s="26"/>
      <c r="CF365" s="26"/>
      <c r="CG365" s="26"/>
      <c r="CH365" s="26"/>
      <c r="CI365" s="26"/>
      <c r="CJ365" s="26"/>
      <c r="CK365" s="26"/>
      <c r="CL365" s="26"/>
      <c r="CM365" s="26"/>
      <c r="CN365" s="26"/>
      <c r="CO365" s="26"/>
    </row>
    <row r="366" spans="7:93" ht="12.75" hidden="1" customHeight="1" x14ac:dyDescent="0.25">
      <c r="G366" s="279">
        <f>IF(G371&gt;100,1,0)</f>
        <v>0</v>
      </c>
      <c r="H366" s="279">
        <f>IF(G371&lt;=115,1,0)</f>
        <v>1</v>
      </c>
      <c r="I366" s="281">
        <f t="shared" si="73"/>
        <v>0</v>
      </c>
      <c r="J366" s="282">
        <v>2</v>
      </c>
      <c r="L366" s="313">
        <f>IF(L372&gt;65,1,0)</f>
        <v>0</v>
      </c>
      <c r="M366" s="313">
        <f>IF(L372&lt;=100,1,0)</f>
        <v>1</v>
      </c>
      <c r="N366" s="315">
        <f t="shared" si="74"/>
        <v>0</v>
      </c>
      <c r="O366" s="316">
        <v>3</v>
      </c>
      <c r="P366" s="6"/>
      <c r="Q366" s="6"/>
      <c r="R366" s="6"/>
      <c r="S366" s="6"/>
      <c r="T366" s="6"/>
      <c r="U366" s="6"/>
      <c r="V366" s="6"/>
      <c r="W366" s="6"/>
      <c r="X366" s="6"/>
      <c r="Y366" s="6"/>
      <c r="Z366" s="6"/>
      <c r="AA366" s="6"/>
      <c r="BF366" s="26"/>
      <c r="BG366" s="26"/>
      <c r="BH366" s="26"/>
      <c r="BI366" s="26"/>
      <c r="BJ366" s="26"/>
      <c r="BK366" s="26"/>
      <c r="BL366" s="26"/>
      <c r="BM366" s="26"/>
      <c r="BN366" s="26"/>
      <c r="BO366" s="26"/>
      <c r="BP366" s="26"/>
      <c r="BQ366" s="26"/>
      <c r="BR366" s="26"/>
      <c r="BS366" s="26"/>
      <c r="BT366" s="26"/>
      <c r="BU366" s="26"/>
      <c r="BV366" s="26"/>
      <c r="BW366" s="26"/>
      <c r="BX366" s="26"/>
      <c r="BY366" s="26"/>
      <c r="BZ366" s="26"/>
      <c r="CA366" s="26"/>
      <c r="CB366" s="26"/>
      <c r="CC366" s="26"/>
      <c r="CD366" s="26"/>
      <c r="CE366" s="26"/>
      <c r="CF366" s="26"/>
      <c r="CG366" s="26"/>
      <c r="CH366" s="26"/>
      <c r="CI366" s="26"/>
      <c r="CJ366" s="26"/>
      <c r="CK366" s="26"/>
      <c r="CL366" s="26"/>
      <c r="CM366" s="26"/>
      <c r="CN366" s="26"/>
      <c r="CO366" s="26"/>
    </row>
    <row r="367" spans="7:93" ht="12.75" hidden="1" customHeight="1" x14ac:dyDescent="0.25">
      <c r="G367" s="279">
        <f>IF(G371&gt;115,1,0)</f>
        <v>0</v>
      </c>
      <c r="H367" s="279">
        <f>IF(G371&lt;=130,1,0)</f>
        <v>1</v>
      </c>
      <c r="I367" s="281">
        <f t="shared" si="73"/>
        <v>0</v>
      </c>
      <c r="J367" s="283" t="s">
        <v>151</v>
      </c>
      <c r="L367" s="313">
        <f>IF(L372&gt;75,1,0)</f>
        <v>0</v>
      </c>
      <c r="M367" s="313">
        <f>IF(L372&lt;=115,1,0)</f>
        <v>1</v>
      </c>
      <c r="N367" s="315">
        <f t="shared" si="74"/>
        <v>0</v>
      </c>
      <c r="O367" s="316">
        <v>2</v>
      </c>
      <c r="P367" s="6"/>
      <c r="Q367" s="6"/>
      <c r="R367" s="6"/>
      <c r="S367" s="6"/>
      <c r="T367" s="6"/>
      <c r="U367" s="6"/>
      <c r="V367" s="6"/>
      <c r="W367" s="6"/>
      <c r="X367" s="6"/>
      <c r="Y367" s="6"/>
      <c r="Z367" s="6"/>
      <c r="AA367" s="6"/>
      <c r="BF367" s="26"/>
      <c r="BG367" s="26"/>
      <c r="BH367" s="26"/>
      <c r="BI367" s="26"/>
      <c r="BJ367" s="26"/>
      <c r="BK367" s="26"/>
      <c r="BL367" s="26"/>
      <c r="BM367" s="26"/>
      <c r="BN367" s="26"/>
      <c r="BO367" s="26"/>
      <c r="BP367" s="26"/>
      <c r="BQ367" s="26"/>
      <c r="BR367" s="26"/>
      <c r="BS367" s="26"/>
      <c r="BT367" s="26"/>
      <c r="BU367" s="26"/>
      <c r="BV367" s="26"/>
      <c r="BW367" s="26"/>
      <c r="BX367" s="26"/>
      <c r="BY367" s="26"/>
      <c r="BZ367" s="26"/>
      <c r="CA367" s="26"/>
      <c r="CB367" s="26"/>
      <c r="CC367" s="26"/>
      <c r="CD367" s="26"/>
      <c r="CE367" s="26"/>
      <c r="CF367" s="26"/>
      <c r="CG367" s="26"/>
      <c r="CH367" s="26"/>
      <c r="CI367" s="26"/>
      <c r="CJ367" s="26"/>
      <c r="CK367" s="26"/>
      <c r="CL367" s="26"/>
      <c r="CM367" s="26"/>
      <c r="CN367" s="26"/>
      <c r="CO367" s="26"/>
    </row>
    <row r="368" spans="7:93" ht="12.75" hidden="1" customHeight="1" x14ac:dyDescent="0.25">
      <c r="G368" s="279">
        <f>IF(G371&gt;130,1,0)</f>
        <v>0</v>
      </c>
      <c r="H368" s="279">
        <f>IF(G371&lt;=150,1,0)</f>
        <v>1</v>
      </c>
      <c r="I368" s="281">
        <f t="shared" si="73"/>
        <v>0</v>
      </c>
      <c r="J368" s="283" t="s">
        <v>180</v>
      </c>
      <c r="L368" s="313">
        <f>IF(L372&gt;90,1,0)</f>
        <v>0</v>
      </c>
      <c r="M368" s="313">
        <f>IF(L372&lt;=130,1,0)</f>
        <v>1</v>
      </c>
      <c r="N368" s="315">
        <f t="shared" si="74"/>
        <v>0</v>
      </c>
      <c r="O368" s="317" t="s">
        <v>151</v>
      </c>
      <c r="P368" s="6"/>
      <c r="Q368" s="6"/>
      <c r="R368" s="6"/>
      <c r="S368" s="6"/>
      <c r="T368" s="6"/>
      <c r="U368" s="6"/>
      <c r="V368" s="6"/>
      <c r="W368" s="6"/>
      <c r="X368" s="6"/>
      <c r="Y368" s="6"/>
      <c r="Z368" s="6"/>
      <c r="AA368" s="6"/>
      <c r="BF368" s="26"/>
      <c r="BG368" s="26"/>
      <c r="BH368" s="26"/>
      <c r="BI368" s="26"/>
      <c r="BJ368" s="26"/>
      <c r="BK368" s="26"/>
      <c r="BL368" s="26"/>
      <c r="BM368" s="26"/>
      <c r="BN368" s="26"/>
      <c r="BO368" s="26"/>
      <c r="BP368" s="26"/>
      <c r="BQ368" s="26"/>
      <c r="BR368" s="26"/>
      <c r="BS368" s="26"/>
      <c r="BT368" s="26"/>
      <c r="BU368" s="26"/>
      <c r="BV368" s="26"/>
      <c r="BW368" s="26"/>
      <c r="BX368" s="26"/>
      <c r="BY368" s="26"/>
      <c r="BZ368" s="26"/>
      <c r="CA368" s="26"/>
      <c r="CB368" s="26"/>
      <c r="CC368" s="26"/>
      <c r="CD368" s="26"/>
      <c r="CE368" s="26"/>
      <c r="CF368" s="26"/>
      <c r="CG368" s="26"/>
      <c r="CH368" s="26"/>
      <c r="CI368" s="26"/>
      <c r="CJ368" s="26"/>
      <c r="CK368" s="26"/>
      <c r="CL368" s="26"/>
      <c r="CM368" s="26"/>
      <c r="CN368" s="26"/>
      <c r="CO368" s="26"/>
    </row>
    <row r="369" spans="1:93" ht="12.75" hidden="1" customHeight="1" x14ac:dyDescent="0.25">
      <c r="G369" s="279">
        <f>IF(G371&gt;150,1,0)</f>
        <v>0</v>
      </c>
      <c r="H369" s="279">
        <f>IF(G371&lt;=175,1,0)</f>
        <v>1</v>
      </c>
      <c r="I369" s="281">
        <f t="shared" si="73"/>
        <v>0</v>
      </c>
      <c r="J369" s="283" t="s">
        <v>155</v>
      </c>
      <c r="L369" s="313">
        <f>IF(L372&gt;100,1,0)</f>
        <v>0</v>
      </c>
      <c r="M369" s="313">
        <f>IF(L372&lt;=150,1,0)</f>
        <v>1</v>
      </c>
      <c r="N369" s="315">
        <f t="shared" si="74"/>
        <v>0</v>
      </c>
      <c r="O369" s="317" t="s">
        <v>180</v>
      </c>
      <c r="P369" s="6"/>
      <c r="Q369" s="6"/>
      <c r="R369" s="6"/>
      <c r="S369" s="6"/>
      <c r="T369" s="6"/>
      <c r="U369" s="6"/>
      <c r="V369" s="6"/>
      <c r="W369" s="6"/>
      <c r="X369" s="6"/>
      <c r="Y369" s="6"/>
      <c r="Z369" s="6"/>
      <c r="AA369" s="6"/>
      <c r="BF369" s="26"/>
      <c r="BG369" s="26"/>
      <c r="BH369" s="26"/>
      <c r="BI369" s="26"/>
      <c r="BJ369" s="26"/>
      <c r="BK369" s="26"/>
      <c r="BL369" s="26"/>
      <c r="BM369" s="26"/>
      <c r="BN369" s="26"/>
      <c r="BO369" s="26"/>
      <c r="BP369" s="26"/>
      <c r="BQ369" s="26"/>
      <c r="BR369" s="26"/>
      <c r="BS369" s="26"/>
      <c r="BT369" s="26"/>
      <c r="BU369" s="26"/>
      <c r="BV369" s="26"/>
      <c r="BW369" s="26"/>
      <c r="BX369" s="26"/>
      <c r="BY369" s="26"/>
      <c r="BZ369" s="26"/>
      <c r="CA369" s="26"/>
      <c r="CB369" s="26"/>
      <c r="CC369" s="26"/>
      <c r="CD369" s="26"/>
      <c r="CE369" s="26"/>
      <c r="CF369" s="26"/>
      <c r="CG369" s="26"/>
      <c r="CH369" s="26"/>
      <c r="CI369" s="26"/>
      <c r="CJ369" s="26"/>
      <c r="CK369" s="26"/>
      <c r="CL369" s="26"/>
      <c r="CM369" s="26"/>
      <c r="CN369" s="26"/>
      <c r="CO369" s="26"/>
    </row>
    <row r="370" spans="1:93" ht="12.75" hidden="1" customHeight="1" x14ac:dyDescent="0.25">
      <c r="G370" s="279">
        <f>IF(G371&gt;175,1,0)</f>
        <v>0</v>
      </c>
      <c r="H370" s="279">
        <f>IF(G371&lt;=200,1,0)</f>
        <v>1</v>
      </c>
      <c r="I370" s="281">
        <f t="shared" si="73"/>
        <v>0</v>
      </c>
      <c r="J370" s="283" t="s">
        <v>157</v>
      </c>
      <c r="L370" s="313">
        <f>IF(L372&gt;120,1,0)</f>
        <v>0</v>
      </c>
      <c r="M370" s="313">
        <f>IF(L372&lt;=175,1,0)</f>
        <v>1</v>
      </c>
      <c r="N370" s="315">
        <f t="shared" si="74"/>
        <v>0</v>
      </c>
      <c r="O370" s="317" t="s">
        <v>155</v>
      </c>
      <c r="P370" s="6"/>
      <c r="Q370" s="6"/>
      <c r="R370" s="6"/>
      <c r="S370" s="6"/>
      <c r="T370" s="6"/>
      <c r="U370" s="6"/>
      <c r="V370" s="6"/>
      <c r="W370" s="6"/>
      <c r="X370" s="6"/>
      <c r="Y370" s="6"/>
      <c r="Z370" s="6"/>
      <c r="AA370" s="6"/>
      <c r="BF370" s="26"/>
      <c r="BG370" s="26"/>
      <c r="BH370" s="26"/>
      <c r="BI370" s="26"/>
      <c r="BJ370" s="26"/>
      <c r="BK370" s="26"/>
      <c r="BL370" s="26"/>
      <c r="BM370" s="26"/>
      <c r="BN370" s="26"/>
      <c r="BO370" s="26"/>
      <c r="BP370" s="26"/>
      <c r="BQ370" s="26"/>
      <c r="BR370" s="26"/>
      <c r="BS370" s="26"/>
      <c r="BT370" s="26"/>
      <c r="BU370" s="26"/>
      <c r="BV370" s="26"/>
      <c r="BW370" s="26"/>
      <c r="BX370" s="26"/>
      <c r="BY370" s="26"/>
      <c r="BZ370" s="26"/>
      <c r="CA370" s="26"/>
      <c r="CB370" s="26"/>
      <c r="CC370" s="26"/>
      <c r="CD370" s="26"/>
      <c r="CE370" s="26"/>
      <c r="CF370" s="26"/>
      <c r="CG370" s="26"/>
      <c r="CH370" s="26"/>
      <c r="CI370" s="26"/>
      <c r="CJ370" s="26"/>
      <c r="CK370" s="26"/>
      <c r="CL370" s="26"/>
      <c r="CM370" s="26"/>
      <c r="CN370" s="26"/>
      <c r="CO370" s="26"/>
    </row>
    <row r="371" spans="1:93" ht="12.75" hidden="1" customHeight="1" x14ac:dyDescent="0.25">
      <c r="G371" s="318">
        <f>BE41/2</f>
        <v>0</v>
      </c>
      <c r="H371" s="279">
        <f>SUM(G363:G370)</f>
        <v>0</v>
      </c>
      <c r="I371" s="279" t="e">
        <f>CHOOSE(J362,6,4,3,2,1,"1/0","2/0","3/0")</f>
        <v>#VALUE!</v>
      </c>
      <c r="L371" s="313">
        <f>IF(L372&gt;135,1,0)</f>
        <v>0</v>
      </c>
      <c r="M371" s="313">
        <f>IF(L372&lt;=200,1,0)</f>
        <v>1</v>
      </c>
      <c r="N371" s="315">
        <f t="shared" si="74"/>
        <v>0</v>
      </c>
      <c r="O371" s="317" t="s">
        <v>157</v>
      </c>
      <c r="P371" s="6"/>
      <c r="Q371" s="6"/>
      <c r="R371" s="6"/>
      <c r="S371" s="6"/>
      <c r="T371" s="6"/>
      <c r="U371" s="6"/>
      <c r="V371" s="6"/>
      <c r="W371" s="6"/>
      <c r="X371" s="6"/>
      <c r="Y371" s="6"/>
      <c r="Z371" s="6"/>
      <c r="AA371" s="6"/>
      <c r="BF371" s="26"/>
      <c r="BG371" s="26"/>
      <c r="BH371" s="26"/>
      <c r="BI371" s="26"/>
      <c r="BJ371" s="26"/>
      <c r="BK371" s="26"/>
      <c r="BL371" s="26"/>
      <c r="BM371" s="26"/>
      <c r="BN371" s="26"/>
      <c r="BO371" s="26"/>
      <c r="BP371" s="26"/>
      <c r="BQ371" s="26"/>
      <c r="BR371" s="26"/>
      <c r="BS371" s="26"/>
      <c r="BT371" s="26"/>
      <c r="BU371" s="26"/>
      <c r="BV371" s="26"/>
      <c r="BW371" s="26"/>
      <c r="BX371" s="26"/>
      <c r="BY371" s="26"/>
      <c r="BZ371" s="26"/>
      <c r="CA371" s="26"/>
      <c r="CB371" s="26"/>
      <c r="CC371" s="26"/>
      <c r="CD371" s="26"/>
      <c r="CE371" s="26"/>
      <c r="CF371" s="26"/>
      <c r="CG371" s="26"/>
      <c r="CH371" s="26"/>
      <c r="CI371" s="26"/>
      <c r="CJ371" s="26"/>
      <c r="CK371" s="26"/>
      <c r="CL371" s="26"/>
      <c r="CM371" s="26"/>
      <c r="CN371" s="26"/>
      <c r="CO371" s="26"/>
    </row>
    <row r="372" spans="1:93" ht="12.75" hidden="1" customHeight="1" x14ac:dyDescent="0.25">
      <c r="L372" s="319">
        <f>BE41/2</f>
        <v>0</v>
      </c>
      <c r="M372" s="308">
        <f>SUM(L364:L371)</f>
        <v>0</v>
      </c>
      <c r="N372" s="308" t="e">
        <f>CHOOSE(O363,6,4,3,2,1,"1/0","2/0","3/0")</f>
        <v>#VALUE!</v>
      </c>
      <c r="P372" s="6"/>
      <c r="Q372" s="6"/>
      <c r="R372" s="6"/>
      <c r="S372" s="6"/>
      <c r="T372" s="6"/>
      <c r="U372" s="6"/>
      <c r="V372" s="6"/>
      <c r="W372" s="6"/>
      <c r="X372" s="6"/>
      <c r="Y372" s="6"/>
      <c r="Z372" s="6"/>
      <c r="AA372" s="6"/>
      <c r="BF372" s="26"/>
      <c r="BG372" s="26"/>
      <c r="BH372" s="26"/>
      <c r="BI372" s="26"/>
      <c r="BJ372" s="26"/>
      <c r="BK372" s="26"/>
      <c r="BL372" s="26"/>
      <c r="BM372" s="26"/>
      <c r="BN372" s="26"/>
      <c r="BO372" s="26"/>
      <c r="BP372" s="26"/>
      <c r="BQ372" s="26"/>
      <c r="BR372" s="26"/>
      <c r="BS372" s="26"/>
      <c r="BT372" s="26"/>
      <c r="BU372" s="26"/>
      <c r="BV372" s="26"/>
      <c r="BW372" s="26"/>
      <c r="BX372" s="26"/>
      <c r="BY372" s="26"/>
      <c r="BZ372" s="26"/>
      <c r="CA372" s="26"/>
      <c r="CB372" s="26"/>
      <c r="CC372" s="26"/>
      <c r="CD372" s="26"/>
      <c r="CE372" s="26"/>
      <c r="CF372" s="26"/>
      <c r="CG372" s="26"/>
      <c r="CH372" s="26"/>
      <c r="CI372" s="26"/>
      <c r="CJ372" s="26"/>
      <c r="CK372" s="26"/>
      <c r="CL372" s="26"/>
      <c r="CM372" s="26"/>
      <c r="CN372" s="26"/>
      <c r="CO372" s="26"/>
    </row>
    <row r="373" spans="1:93" ht="12.75" hidden="1" customHeight="1" x14ac:dyDescent="0.25">
      <c r="G373" s="320" t="s">
        <v>248</v>
      </c>
      <c r="H373" s="321"/>
      <c r="I373" s="322">
        <f>IF(G386&lt;2,0,I386)</f>
        <v>0</v>
      </c>
      <c r="J373" s="323">
        <f>(10-H386)</f>
        <v>1</v>
      </c>
      <c r="P373" s="6"/>
      <c r="Q373" s="6"/>
      <c r="R373" s="6"/>
      <c r="S373" s="6"/>
      <c r="T373" s="6"/>
      <c r="U373" s="6"/>
      <c r="V373" s="6"/>
      <c r="W373" s="6"/>
      <c r="X373" s="6"/>
      <c r="Y373" s="6"/>
      <c r="Z373" s="6"/>
      <c r="AA373" s="6"/>
      <c r="BF373" s="26"/>
      <c r="BG373" s="26"/>
      <c r="BH373" s="26"/>
      <c r="BI373" s="26"/>
      <c r="BJ373" s="26"/>
      <c r="BK373" s="26"/>
      <c r="BL373" s="26"/>
      <c r="BM373" s="26"/>
      <c r="BN373" s="26"/>
      <c r="BO373" s="26"/>
      <c r="BP373" s="26"/>
      <c r="BQ373" s="26"/>
      <c r="BR373" s="26"/>
      <c r="BS373" s="26"/>
      <c r="BT373" s="26"/>
      <c r="BU373" s="26"/>
      <c r="BV373" s="26"/>
      <c r="BW373" s="26"/>
      <c r="BX373" s="26"/>
      <c r="BY373" s="26"/>
      <c r="BZ373" s="26"/>
      <c r="CA373" s="26"/>
      <c r="CB373" s="26"/>
      <c r="CC373" s="26"/>
      <c r="CD373" s="26"/>
      <c r="CE373" s="26"/>
      <c r="CF373" s="26"/>
      <c r="CG373" s="26"/>
      <c r="CH373" s="26"/>
      <c r="CI373" s="26"/>
      <c r="CJ373" s="26"/>
      <c r="CK373" s="26"/>
      <c r="CL373" s="26"/>
      <c r="CM373" s="26"/>
      <c r="CN373" s="26"/>
      <c r="CO373" s="26"/>
    </row>
    <row r="374" spans="1:93" ht="12.75" hidden="1" customHeight="1" x14ac:dyDescent="0.25">
      <c r="G374" s="324">
        <f>IF(G386&gt;3,1,0)</f>
        <v>0</v>
      </c>
      <c r="H374" s="324">
        <f>IF(G386&lt;20,1,0)</f>
        <v>1</v>
      </c>
      <c r="I374" s="324">
        <f>IF(H374+G374=2,J374,0)</f>
        <v>0</v>
      </c>
      <c r="J374" s="325" t="s">
        <v>249</v>
      </c>
      <c r="L374" s="259" t="s">
        <v>250</v>
      </c>
      <c r="M374" s="259"/>
      <c r="N374" s="326">
        <f>IF(L384&lt;30,0,N384)</f>
        <v>0</v>
      </c>
      <c r="O374" s="327">
        <f>M384</f>
        <v>0</v>
      </c>
      <c r="P374" s="6"/>
      <c r="Q374" s="6"/>
      <c r="R374" s="6"/>
      <c r="S374" s="6"/>
      <c r="T374" s="6"/>
      <c r="U374" s="6"/>
      <c r="V374" s="6"/>
      <c r="W374" s="6"/>
      <c r="X374" s="6"/>
      <c r="Y374" s="6"/>
      <c r="Z374" s="6"/>
      <c r="AA374" s="6"/>
      <c r="BF374" s="26"/>
      <c r="BG374" s="26"/>
      <c r="BH374" s="26"/>
      <c r="BI374" s="26"/>
      <c r="BJ374" s="26"/>
      <c r="BK374" s="26"/>
      <c r="BL374" s="26"/>
      <c r="BM374" s="26"/>
      <c r="BN374" s="26"/>
      <c r="BO374" s="26"/>
      <c r="BP374" s="26"/>
      <c r="BQ374" s="26"/>
      <c r="BR374" s="26"/>
      <c r="BS374" s="26"/>
      <c r="BT374" s="26"/>
      <c r="BU374" s="26"/>
      <c r="BV374" s="26"/>
      <c r="BW374" s="26"/>
      <c r="BX374" s="26"/>
      <c r="BY374" s="26"/>
      <c r="BZ374" s="26"/>
      <c r="CA374" s="26"/>
      <c r="CB374" s="26"/>
      <c r="CC374" s="26"/>
      <c r="CD374" s="26"/>
      <c r="CE374" s="26"/>
      <c r="CF374" s="26"/>
      <c r="CG374" s="26"/>
      <c r="CH374" s="26"/>
      <c r="CI374" s="26"/>
      <c r="CJ374" s="26"/>
      <c r="CK374" s="26"/>
      <c r="CL374" s="26"/>
      <c r="CM374" s="26"/>
      <c r="CN374" s="26"/>
      <c r="CO374" s="26"/>
    </row>
    <row r="375" spans="1:93" ht="12.75" hidden="1" customHeight="1" x14ac:dyDescent="0.25">
      <c r="G375" s="324">
        <f>IF(G386&gt;30,1,0)</f>
        <v>0</v>
      </c>
      <c r="H375" s="324">
        <f>IF(G386&lt;30,1,0)</f>
        <v>1</v>
      </c>
      <c r="I375" s="328">
        <f t="shared" ref="I375:I385" si="75">IF(SUM(G375+H375)=2,J375,0)</f>
        <v>0</v>
      </c>
      <c r="J375" s="325" t="s">
        <v>251</v>
      </c>
      <c r="L375" s="329">
        <f>IF(L384=100,1,0)</f>
        <v>0</v>
      </c>
      <c r="M375" s="285">
        <f>IF(L384&gt;=100,1,0)</f>
        <v>0</v>
      </c>
      <c r="N375" s="285">
        <f>IF(M375+L375=2,O375,0)</f>
        <v>0</v>
      </c>
      <c r="O375" s="286">
        <v>1</v>
      </c>
      <c r="P375" s="6"/>
      <c r="Q375" s="6"/>
      <c r="R375" s="6"/>
      <c r="S375" s="6"/>
      <c r="T375" s="6"/>
      <c r="U375" s="6"/>
      <c r="V375" s="6"/>
      <c r="W375" s="6"/>
      <c r="X375" s="6"/>
      <c r="Y375" s="6"/>
      <c r="Z375" s="6"/>
      <c r="AA375" s="6"/>
      <c r="BF375" s="26"/>
      <c r="BG375" s="26"/>
      <c r="BH375" s="26"/>
      <c r="BI375" s="26"/>
      <c r="BJ375" s="26"/>
      <c r="BK375" s="26"/>
      <c r="BL375" s="26"/>
      <c r="BM375" s="26"/>
      <c r="BN375" s="26"/>
      <c r="BO375" s="26"/>
      <c r="BP375" s="26"/>
      <c r="BQ375" s="26"/>
      <c r="BR375" s="26"/>
      <c r="BS375" s="26"/>
      <c r="BT375" s="26"/>
      <c r="BU375" s="26"/>
      <c r="BV375" s="26"/>
      <c r="BW375" s="26"/>
      <c r="BX375" s="26"/>
      <c r="BY375" s="26"/>
      <c r="BZ375" s="26"/>
      <c r="CA375" s="26"/>
      <c r="CB375" s="26"/>
      <c r="CC375" s="26"/>
      <c r="CD375" s="26"/>
      <c r="CE375" s="26"/>
      <c r="CF375" s="26"/>
      <c r="CG375" s="26"/>
      <c r="CH375" s="26"/>
      <c r="CI375" s="26"/>
      <c r="CJ375" s="26"/>
      <c r="CK375" s="26"/>
      <c r="CL375" s="26"/>
      <c r="CM375" s="26"/>
      <c r="CN375" s="26"/>
      <c r="CO375" s="26"/>
    </row>
    <row r="376" spans="1:93" ht="12.75" hidden="1" customHeight="1" x14ac:dyDescent="0.25">
      <c r="G376" s="324">
        <f>IF(G386&gt;60,1,0)</f>
        <v>0</v>
      </c>
      <c r="H376" s="324">
        <f>IF(G386&lt;50,1,0)</f>
        <v>1</v>
      </c>
      <c r="I376" s="328">
        <f t="shared" si="75"/>
        <v>0</v>
      </c>
      <c r="J376" s="330" t="s">
        <v>252</v>
      </c>
      <c r="L376" s="285">
        <f>IF(L384=125,1,0)</f>
        <v>0</v>
      </c>
      <c r="M376" s="285">
        <f>IF(L384&gt;101,1,0)</f>
        <v>0</v>
      </c>
      <c r="N376" s="287">
        <f t="shared" ref="N376:N383" si="76">IF(SUM(L376+M376)=2,O376,0)</f>
        <v>0</v>
      </c>
      <c r="O376" s="289" t="s">
        <v>155</v>
      </c>
      <c r="P376" s="6"/>
      <c r="Q376" s="6"/>
      <c r="R376" s="6"/>
      <c r="S376" s="6"/>
      <c r="T376" s="6"/>
      <c r="U376" s="6"/>
      <c r="V376" s="6"/>
      <c r="W376" s="6"/>
      <c r="X376" s="6"/>
      <c r="Y376" s="6"/>
      <c r="Z376" s="6"/>
      <c r="AA376" s="6"/>
      <c r="BF376" s="26"/>
      <c r="BG376" s="26"/>
      <c r="BH376" s="26"/>
      <c r="BI376" s="26"/>
      <c r="BJ376" s="26"/>
      <c r="BK376" s="26"/>
      <c r="BL376" s="26"/>
      <c r="BM376" s="26"/>
      <c r="BN376" s="26"/>
      <c r="BO376" s="26"/>
      <c r="BP376" s="26"/>
      <c r="BQ376" s="26"/>
      <c r="BR376" s="26"/>
      <c r="BS376" s="26"/>
      <c r="BT376" s="26"/>
      <c r="BU376" s="26"/>
      <c r="BV376" s="26"/>
      <c r="BW376" s="26"/>
      <c r="BX376" s="26"/>
      <c r="BY376" s="26"/>
      <c r="BZ376" s="26"/>
      <c r="CA376" s="26"/>
      <c r="CB376" s="26"/>
      <c r="CC376" s="26"/>
      <c r="CD376" s="26"/>
      <c r="CE376" s="26"/>
      <c r="CF376" s="26"/>
      <c r="CG376" s="26"/>
      <c r="CH376" s="26"/>
      <c r="CI376" s="26"/>
      <c r="CJ376" s="26"/>
      <c r="CK376" s="26"/>
      <c r="CL376" s="26"/>
      <c r="CM376" s="26"/>
      <c r="CN376" s="26"/>
      <c r="CO376" s="26"/>
    </row>
    <row r="377" spans="1:93" ht="12.75" hidden="1" customHeight="1" x14ac:dyDescent="0.25">
      <c r="G377" s="324">
        <f>IF(G386&gt;100,1,0)</f>
        <v>0</v>
      </c>
      <c r="H377" s="324">
        <f>IF(G386&lt;65,1,0)</f>
        <v>1</v>
      </c>
      <c r="I377" s="328">
        <f t="shared" si="75"/>
        <v>0</v>
      </c>
      <c r="J377" s="330" t="s">
        <v>253</v>
      </c>
      <c r="L377" s="285">
        <f>IF(L384=150,1,0)</f>
        <v>0</v>
      </c>
      <c r="M377" s="285">
        <f>IF(L384&gt;126,1,0)</f>
        <v>0</v>
      </c>
      <c r="N377" s="287">
        <f t="shared" si="76"/>
        <v>0</v>
      </c>
      <c r="O377" s="289" t="s">
        <v>157</v>
      </c>
      <c r="P377" s="6"/>
      <c r="Q377" s="6"/>
      <c r="R377" s="6"/>
      <c r="S377" s="6"/>
      <c r="T377" s="6"/>
      <c r="U377" s="6"/>
      <c r="V377" s="6"/>
      <c r="W377" s="6"/>
      <c r="X377" s="6"/>
      <c r="Y377" s="6"/>
      <c r="Z377" s="6"/>
      <c r="AA377" s="6"/>
      <c r="BF377" s="26"/>
      <c r="BG377" s="26"/>
      <c r="BH377" s="26"/>
      <c r="BI377" s="26"/>
      <c r="BJ377" s="26"/>
      <c r="BK377" s="26"/>
      <c r="BL377" s="26"/>
      <c r="BM377" s="26"/>
      <c r="BN377" s="26"/>
      <c r="BO377" s="26"/>
      <c r="BP377" s="26"/>
      <c r="BQ377" s="26"/>
      <c r="BR377" s="26"/>
      <c r="BS377" s="26"/>
      <c r="BT377" s="26"/>
      <c r="BU377" s="26"/>
      <c r="BV377" s="26"/>
      <c r="BW377" s="26"/>
      <c r="BX377" s="26"/>
      <c r="BY377" s="26"/>
      <c r="BZ377" s="26"/>
      <c r="CA377" s="26"/>
      <c r="CB377" s="26"/>
      <c r="CC377" s="26"/>
      <c r="CD377" s="26"/>
      <c r="CE377" s="26"/>
      <c r="CF377" s="26"/>
      <c r="CG377" s="26"/>
      <c r="CH377" s="26"/>
      <c r="CI377" s="26"/>
      <c r="CJ377" s="26"/>
      <c r="CK377" s="26"/>
      <c r="CL377" s="26"/>
      <c r="CM377" s="26"/>
      <c r="CN377" s="26"/>
      <c r="CO377" s="26"/>
    </row>
    <row r="378" spans="1:93" ht="12.75" hidden="1" customHeight="1" x14ac:dyDescent="0.25">
      <c r="G378" s="324">
        <f>IF(G386&gt;110,1,0)</f>
        <v>0</v>
      </c>
      <c r="H378" s="324">
        <f>IF(G386&lt;85,1,0)</f>
        <v>1</v>
      </c>
      <c r="I378" s="328">
        <f t="shared" si="75"/>
        <v>0</v>
      </c>
      <c r="J378" s="330" t="s">
        <v>254</v>
      </c>
      <c r="L378" s="285">
        <f>IF(L384=200,1,0)</f>
        <v>0</v>
      </c>
      <c r="M378" s="285">
        <f>IF(L384&gt;151,1,0)</f>
        <v>0</v>
      </c>
      <c r="N378" s="287">
        <f t="shared" si="76"/>
        <v>0</v>
      </c>
      <c r="O378" s="289" t="s">
        <v>161</v>
      </c>
      <c r="P378" s="6"/>
      <c r="Q378" s="6"/>
      <c r="R378" s="6"/>
      <c r="S378" s="6"/>
      <c r="T378" s="6"/>
      <c r="U378" s="6"/>
      <c r="V378" s="6"/>
      <c r="W378" s="6"/>
      <c r="X378" s="6"/>
      <c r="Y378" s="6"/>
      <c r="Z378" s="6"/>
      <c r="AA378" s="6"/>
      <c r="BF378" s="26"/>
      <c r="BG378" s="26"/>
      <c r="BH378" s="26"/>
      <c r="BI378" s="26"/>
      <c r="BJ378" s="26"/>
      <c r="BK378" s="26"/>
      <c r="BL378" s="26"/>
      <c r="BM378" s="26"/>
      <c r="BN378" s="26"/>
      <c r="BO378" s="26"/>
      <c r="BP378" s="26"/>
      <c r="BQ378" s="26"/>
      <c r="BR378" s="26"/>
      <c r="BS378" s="26"/>
      <c r="BT378" s="26"/>
      <c r="BU378" s="26"/>
      <c r="BV378" s="26"/>
      <c r="BW378" s="26"/>
      <c r="BX378" s="26"/>
      <c r="BY378" s="26"/>
      <c r="BZ378" s="26"/>
      <c r="CA378" s="26"/>
      <c r="CB378" s="26"/>
      <c r="CC378" s="26"/>
      <c r="CD378" s="26"/>
      <c r="CE378" s="26"/>
      <c r="CF378" s="26"/>
      <c r="CG378" s="26"/>
      <c r="CH378" s="26"/>
      <c r="CI378" s="26"/>
      <c r="CJ378" s="26"/>
      <c r="CK378" s="26"/>
      <c r="CL378" s="26"/>
      <c r="CM378" s="26"/>
      <c r="CN378" s="26"/>
      <c r="CO378" s="26"/>
    </row>
    <row r="379" spans="1:93" ht="12.75" hidden="1" customHeight="1" x14ac:dyDescent="0.25">
      <c r="A379" s="9">
        <f>IF(G400&gt;1,1,0)</f>
        <v>0</v>
      </c>
      <c r="C379" s="331">
        <v>20</v>
      </c>
      <c r="D379" s="331"/>
      <c r="G379" s="324">
        <f>IF(G386&gt;125,1,0)</f>
        <v>0</v>
      </c>
      <c r="H379" s="324">
        <f>IF(G386&lt;100,1,0)</f>
        <v>1</v>
      </c>
      <c r="I379" s="328">
        <f t="shared" si="75"/>
        <v>0</v>
      </c>
      <c r="J379" s="330" t="s">
        <v>255</v>
      </c>
      <c r="L379" s="285">
        <f>IF(L384=225,1,0)</f>
        <v>0</v>
      </c>
      <c r="M379" s="285">
        <f>IF(L384&gt;201,1,0)</f>
        <v>0</v>
      </c>
      <c r="N379" s="287">
        <f t="shared" si="76"/>
        <v>0</v>
      </c>
      <c r="O379" s="289" t="s">
        <v>188</v>
      </c>
      <c r="P379" s="6"/>
      <c r="Q379" s="6"/>
      <c r="R379" s="6"/>
      <c r="S379" s="6"/>
      <c r="T379" s="6"/>
      <c r="U379" s="6"/>
      <c r="V379" s="6"/>
      <c r="W379" s="6"/>
      <c r="X379" s="6"/>
      <c r="Y379" s="6"/>
      <c r="Z379" s="6"/>
      <c r="AA379" s="6"/>
      <c r="BF379" s="26"/>
      <c r="BG379" s="26"/>
      <c r="BH379" s="26"/>
      <c r="BI379" s="26"/>
      <c r="BJ379" s="26"/>
      <c r="BK379" s="26"/>
      <c r="BL379" s="26"/>
      <c r="BM379" s="26"/>
      <c r="BN379" s="26"/>
      <c r="BO379" s="26"/>
      <c r="BP379" s="26"/>
      <c r="BQ379" s="26"/>
      <c r="BR379" s="26"/>
      <c r="BS379" s="26"/>
      <c r="BT379" s="26"/>
      <c r="BU379" s="26"/>
      <c r="BV379" s="26"/>
      <c r="BW379" s="26"/>
      <c r="BX379" s="26"/>
      <c r="BY379" s="26"/>
      <c r="BZ379" s="26"/>
      <c r="CA379" s="26"/>
      <c r="CB379" s="26"/>
      <c r="CC379" s="26"/>
      <c r="CD379" s="26"/>
      <c r="CE379" s="26"/>
      <c r="CF379" s="26"/>
      <c r="CG379" s="26"/>
      <c r="CH379" s="26"/>
      <c r="CI379" s="26"/>
      <c r="CJ379" s="26"/>
      <c r="CK379" s="26"/>
      <c r="CL379" s="26"/>
      <c r="CM379" s="26"/>
      <c r="CN379" s="26"/>
      <c r="CO379" s="26"/>
    </row>
    <row r="380" spans="1:93" ht="12.75" hidden="1" customHeight="1" x14ac:dyDescent="0.25">
      <c r="A380" s="9">
        <f>IF(G400&gt;20,1,0)</f>
        <v>0</v>
      </c>
      <c r="C380" s="331">
        <v>30</v>
      </c>
      <c r="D380" s="331"/>
      <c r="G380" s="324">
        <f>IF(G386&gt;150,1,0)</f>
        <v>0</v>
      </c>
      <c r="H380" s="324">
        <f>IF(G386&lt;115,1,0)</f>
        <v>1</v>
      </c>
      <c r="I380" s="328">
        <f t="shared" si="75"/>
        <v>0</v>
      </c>
      <c r="J380" s="330" t="s">
        <v>256</v>
      </c>
      <c r="L380" s="285">
        <f>IF(L384=250,1,0)</f>
        <v>0</v>
      </c>
      <c r="M380" s="285">
        <f>IF(L384&gt;226,1,0)</f>
        <v>0</v>
      </c>
      <c r="N380" s="287">
        <f t="shared" si="76"/>
        <v>0</v>
      </c>
      <c r="O380" s="289" t="s">
        <v>163</v>
      </c>
      <c r="P380" s="6"/>
      <c r="Q380" s="6"/>
      <c r="R380" s="6"/>
      <c r="S380" s="6"/>
      <c r="T380" s="6"/>
      <c r="U380" s="6"/>
      <c r="V380" s="6"/>
      <c r="W380" s="6"/>
      <c r="X380" s="6"/>
      <c r="Y380" s="6"/>
      <c r="Z380" s="6"/>
      <c r="AA380" s="6"/>
      <c r="BF380" s="26"/>
      <c r="BG380" s="26"/>
      <c r="BH380" s="26"/>
      <c r="BI380" s="26"/>
      <c r="BJ380" s="26"/>
      <c r="BK380" s="26"/>
      <c r="BL380" s="26"/>
      <c r="BM380" s="26"/>
      <c r="BN380" s="26"/>
      <c r="BO380" s="26"/>
      <c r="BP380" s="26"/>
      <c r="BQ380" s="26"/>
      <c r="BR380" s="26"/>
      <c r="BS380" s="26"/>
      <c r="BT380" s="26"/>
      <c r="BU380" s="26"/>
      <c r="BV380" s="26"/>
      <c r="BW380" s="26"/>
      <c r="BX380" s="26"/>
      <c r="BY380" s="26"/>
      <c r="BZ380" s="26"/>
      <c r="CA380" s="26"/>
      <c r="CB380" s="26"/>
      <c r="CC380" s="26"/>
      <c r="CD380" s="26"/>
      <c r="CE380" s="26"/>
      <c r="CF380" s="26"/>
      <c r="CG380" s="26"/>
      <c r="CH380" s="26"/>
      <c r="CI380" s="26"/>
      <c r="CJ380" s="26"/>
      <c r="CK380" s="26"/>
      <c r="CL380" s="26"/>
      <c r="CM380" s="26"/>
      <c r="CN380" s="26"/>
      <c r="CO380" s="26"/>
    </row>
    <row r="381" spans="1:93" ht="12.75" hidden="1" customHeight="1" x14ac:dyDescent="0.25">
      <c r="A381" s="9">
        <f>IF(G400&gt;30,1,0)</f>
        <v>0</v>
      </c>
      <c r="C381" s="331">
        <v>40</v>
      </c>
      <c r="D381" s="331"/>
      <c r="G381" s="324">
        <f>IF(G386&gt;175,1,0)</f>
        <v>0</v>
      </c>
      <c r="H381" s="324">
        <f>IF(G386&lt;130,1,0)</f>
        <v>1</v>
      </c>
      <c r="I381" s="328">
        <f t="shared" si="75"/>
        <v>0</v>
      </c>
      <c r="J381" s="330" t="s">
        <v>257</v>
      </c>
      <c r="L381" s="285">
        <f>IF(L384=300,1,0)</f>
        <v>0</v>
      </c>
      <c r="M381" s="285">
        <f>IF(L384&gt;251,1,0)</f>
        <v>0</v>
      </c>
      <c r="N381" s="287">
        <f t="shared" si="76"/>
        <v>0</v>
      </c>
      <c r="O381" s="289" t="s">
        <v>192</v>
      </c>
      <c r="P381" s="6"/>
      <c r="Q381" s="6"/>
      <c r="R381" s="6"/>
      <c r="S381" s="6"/>
      <c r="T381" s="6"/>
      <c r="U381" s="6"/>
      <c r="V381" s="6"/>
      <c r="W381" s="6"/>
      <c r="X381" s="6"/>
      <c r="Y381" s="6"/>
      <c r="Z381" s="6"/>
      <c r="AA381" s="6"/>
      <c r="BF381" s="26"/>
      <c r="BG381" s="26"/>
      <c r="BH381" s="26"/>
      <c r="BI381" s="26"/>
      <c r="BJ381" s="26"/>
      <c r="BK381" s="26"/>
      <c r="BL381" s="26"/>
      <c r="BM381" s="26"/>
      <c r="BN381" s="26"/>
      <c r="BO381" s="26"/>
      <c r="BP381" s="26"/>
      <c r="BQ381" s="26"/>
      <c r="BR381" s="26"/>
      <c r="BS381" s="26"/>
      <c r="BT381" s="26"/>
      <c r="BU381" s="26"/>
      <c r="BV381" s="26"/>
      <c r="BW381" s="26"/>
      <c r="BX381" s="26"/>
      <c r="BY381" s="26"/>
      <c r="BZ381" s="26"/>
      <c r="CA381" s="26"/>
      <c r="CB381" s="26"/>
      <c r="CC381" s="26"/>
      <c r="CD381" s="26"/>
      <c r="CE381" s="26"/>
      <c r="CF381" s="26"/>
      <c r="CG381" s="26"/>
      <c r="CH381" s="26"/>
      <c r="CI381" s="26"/>
      <c r="CJ381" s="26"/>
      <c r="CK381" s="26"/>
      <c r="CL381" s="26"/>
      <c r="CM381" s="26"/>
      <c r="CN381" s="26"/>
      <c r="CO381" s="26"/>
    </row>
    <row r="382" spans="1:93" ht="12.75" hidden="1" customHeight="1" x14ac:dyDescent="0.25">
      <c r="A382" s="9">
        <f>IF(G400&gt;40,1,0)</f>
        <v>0</v>
      </c>
      <c r="C382" s="331">
        <v>50</v>
      </c>
      <c r="D382" s="331"/>
      <c r="G382" s="324">
        <f>IF(G386&gt;200,1,0)</f>
        <v>0</v>
      </c>
      <c r="H382" s="324">
        <f>IF(G386&lt;150,1,0)</f>
        <v>1</v>
      </c>
      <c r="I382" s="328">
        <f t="shared" si="75"/>
        <v>0</v>
      </c>
      <c r="J382" s="330" t="s">
        <v>180</v>
      </c>
      <c r="L382" s="285">
        <f>IF(L384=350,1,0)</f>
        <v>0</v>
      </c>
      <c r="M382" s="285">
        <f>IF(L384&gt;301,1,0)</f>
        <v>0</v>
      </c>
      <c r="N382" s="287">
        <f t="shared" si="76"/>
        <v>0</v>
      </c>
      <c r="O382" s="289" t="s">
        <v>166</v>
      </c>
      <c r="P382" s="6"/>
      <c r="Q382" s="6"/>
      <c r="R382" s="6"/>
      <c r="S382" s="6"/>
      <c r="T382" s="6"/>
      <c r="U382" s="6"/>
      <c r="V382" s="6"/>
      <c r="W382" s="6"/>
      <c r="X382" s="6"/>
      <c r="Y382" s="6"/>
      <c r="Z382" s="6"/>
      <c r="AA382" s="6"/>
      <c r="BF382" s="26"/>
      <c r="BG382" s="26"/>
      <c r="BH382" s="26"/>
      <c r="BI382" s="26"/>
      <c r="BJ382" s="26"/>
      <c r="BK382" s="26"/>
      <c r="BL382" s="26"/>
      <c r="BM382" s="26"/>
      <c r="BN382" s="26"/>
      <c r="BO382" s="26"/>
      <c r="BP382" s="26"/>
      <c r="BQ382" s="26"/>
      <c r="BR382" s="26"/>
      <c r="BS382" s="26"/>
      <c r="BT382" s="26"/>
      <c r="BU382" s="26"/>
      <c r="BV382" s="26"/>
      <c r="BW382" s="26"/>
      <c r="BX382" s="26"/>
      <c r="BY382" s="26"/>
      <c r="BZ382" s="26"/>
      <c r="CA382" s="26"/>
      <c r="CB382" s="26"/>
      <c r="CC382" s="26"/>
      <c r="CD382" s="26"/>
      <c r="CE382" s="26"/>
      <c r="CF382" s="26"/>
      <c r="CG382" s="26"/>
      <c r="CH382" s="26"/>
      <c r="CI382" s="26"/>
      <c r="CJ382" s="26"/>
      <c r="CK382" s="26"/>
      <c r="CL382" s="26"/>
      <c r="CM382" s="26"/>
      <c r="CN382" s="26"/>
      <c r="CO382" s="26"/>
    </row>
    <row r="383" spans="1:93" ht="12.75" hidden="1" customHeight="1" x14ac:dyDescent="0.25">
      <c r="A383" s="9">
        <f>IF(G400&gt;50,1,0)</f>
        <v>0</v>
      </c>
      <c r="C383" s="331">
        <v>60</v>
      </c>
      <c r="D383" s="331"/>
      <c r="G383" s="324">
        <f>IF(G386&gt;200,1,0)</f>
        <v>0</v>
      </c>
      <c r="H383" s="324">
        <f>IF(G387&lt;175,1,0)</f>
        <v>0</v>
      </c>
      <c r="I383" s="328">
        <f t="shared" si="75"/>
        <v>0</v>
      </c>
      <c r="J383" s="330" t="s">
        <v>155</v>
      </c>
      <c r="L383" s="285">
        <f>IF(L384=400,1,0)</f>
        <v>0</v>
      </c>
      <c r="M383" s="285">
        <f>IF(L384&gt;351,1,0)</f>
        <v>0</v>
      </c>
      <c r="N383" s="287">
        <f t="shared" si="76"/>
        <v>0</v>
      </c>
      <c r="O383" s="289" t="s">
        <v>245</v>
      </c>
      <c r="P383" s="6"/>
      <c r="Q383" s="6"/>
      <c r="R383" s="6"/>
      <c r="S383" s="6"/>
      <c r="T383" s="6"/>
      <c r="U383" s="6"/>
      <c r="V383" s="6"/>
      <c r="W383" s="6"/>
      <c r="X383" s="6"/>
      <c r="Y383" s="6"/>
      <c r="Z383" s="6"/>
      <c r="AA383" s="6"/>
      <c r="BF383" s="26"/>
      <c r="BG383" s="26"/>
      <c r="BH383" s="26"/>
      <c r="BI383" s="26"/>
      <c r="BJ383" s="26"/>
      <c r="BK383" s="26"/>
      <c r="BL383" s="26"/>
      <c r="BM383" s="26"/>
      <c r="BN383" s="26"/>
      <c r="BO383" s="26"/>
      <c r="BP383" s="26"/>
      <c r="BQ383" s="26"/>
      <c r="BR383" s="26"/>
      <c r="BS383" s="26"/>
      <c r="BT383" s="26"/>
      <c r="BU383" s="26"/>
      <c r="BV383" s="26"/>
      <c r="BW383" s="26"/>
      <c r="BX383" s="26"/>
      <c r="BY383" s="26"/>
      <c r="BZ383" s="26"/>
      <c r="CA383" s="26"/>
      <c r="CB383" s="26"/>
      <c r="CC383" s="26"/>
      <c r="CD383" s="26"/>
      <c r="CE383" s="26"/>
      <c r="CF383" s="26"/>
      <c r="CG383" s="26"/>
      <c r="CH383" s="26"/>
      <c r="CI383" s="26"/>
      <c r="CJ383" s="26"/>
      <c r="CK383" s="26"/>
      <c r="CL383" s="26"/>
      <c r="CM383" s="26"/>
      <c r="CN383" s="26"/>
      <c r="CO383" s="26"/>
    </row>
    <row r="384" spans="1:93" ht="12.75" hidden="1" customHeight="1" x14ac:dyDescent="0.25">
      <c r="A384" s="9">
        <f>IF(G400&gt;60,1,0)</f>
        <v>0</v>
      </c>
      <c r="C384" s="331">
        <v>70</v>
      </c>
      <c r="D384" s="331"/>
      <c r="G384" s="324">
        <f t="shared" ref="G384:G385" si="77">IF(G388&gt;200,1,0)</f>
        <v>0</v>
      </c>
      <c r="H384" s="324">
        <f>IF(G388&lt;200,1,0)</f>
        <v>1</v>
      </c>
      <c r="I384" s="328">
        <f t="shared" si="75"/>
        <v>0</v>
      </c>
      <c r="J384" s="330" t="s">
        <v>157</v>
      </c>
      <c r="L384" s="329">
        <f>BG85</f>
        <v>0</v>
      </c>
      <c r="M384" s="332">
        <f>SUM(M375:M383)</f>
        <v>0</v>
      </c>
      <c r="N384" s="332" t="e">
        <f>CHOOSE(O374,1,"2/0","3/0",250,300,350,500,700,800)</f>
        <v>#VALUE!</v>
      </c>
      <c r="P384" s="6"/>
      <c r="Q384" s="6"/>
      <c r="R384" s="6"/>
      <c r="S384" s="6"/>
      <c r="T384" s="6"/>
      <c r="U384" s="6"/>
      <c r="V384" s="6"/>
      <c r="W384" s="6"/>
      <c r="X384" s="6"/>
      <c r="Y384" s="6"/>
      <c r="Z384" s="6"/>
      <c r="AA384" s="6"/>
      <c r="BF384" s="26"/>
      <c r="BG384" s="26"/>
      <c r="BH384" s="26"/>
      <c r="BI384" s="26"/>
      <c r="BJ384" s="26"/>
      <c r="BK384" s="26"/>
      <c r="BL384" s="26"/>
      <c r="BM384" s="26"/>
      <c r="BN384" s="26"/>
      <c r="BO384" s="26"/>
      <c r="BP384" s="26"/>
      <c r="BQ384" s="26"/>
      <c r="BR384" s="26"/>
      <c r="BS384" s="26"/>
      <c r="BT384" s="26"/>
      <c r="BU384" s="26"/>
      <c r="BV384" s="26"/>
      <c r="BW384" s="26"/>
      <c r="BX384" s="26"/>
      <c r="BY384" s="26"/>
      <c r="BZ384" s="26"/>
      <c r="CA384" s="26"/>
      <c r="CB384" s="26"/>
      <c r="CC384" s="26"/>
      <c r="CD384" s="26"/>
      <c r="CE384" s="26"/>
      <c r="CF384" s="26"/>
      <c r="CG384" s="26"/>
      <c r="CH384" s="26"/>
      <c r="CI384" s="26"/>
      <c r="CJ384" s="26"/>
      <c r="CK384" s="26"/>
      <c r="CL384" s="26"/>
      <c r="CM384" s="26"/>
      <c r="CN384" s="26"/>
      <c r="CO384" s="26"/>
    </row>
    <row r="385" spans="1:93" ht="12.75" hidden="1" customHeight="1" x14ac:dyDescent="0.25">
      <c r="A385" s="9">
        <f>IF(G400&gt;70,1,0)</f>
        <v>0</v>
      </c>
      <c r="C385" s="331">
        <v>80</v>
      </c>
      <c r="D385" s="331"/>
      <c r="G385" s="324">
        <f t="shared" si="77"/>
        <v>0</v>
      </c>
      <c r="H385" s="324">
        <f>IF(G389&lt;230,1,0)</f>
        <v>1</v>
      </c>
      <c r="I385" s="328">
        <f t="shared" si="75"/>
        <v>0</v>
      </c>
      <c r="J385" s="330" t="s">
        <v>159</v>
      </c>
      <c r="P385" s="6"/>
      <c r="Q385" s="6"/>
      <c r="R385" s="6"/>
      <c r="S385" s="6"/>
      <c r="T385" s="6"/>
      <c r="U385" s="6"/>
      <c r="V385" s="6"/>
      <c r="W385" s="6"/>
      <c r="X385" s="6"/>
      <c r="Y385" s="6"/>
      <c r="Z385" s="6"/>
      <c r="AA385" s="6"/>
      <c r="AB385" s="6"/>
      <c r="AC385" s="6"/>
      <c r="AD385" s="6"/>
      <c r="AE385" s="6"/>
      <c r="AF385" s="6"/>
      <c r="AG385" s="6"/>
      <c r="AH385" s="6"/>
      <c r="AI385" s="6"/>
      <c r="AJ385" s="6"/>
      <c r="AK385" s="6"/>
      <c r="AL385" s="6"/>
      <c r="AM385" s="6"/>
      <c r="AN385" s="6"/>
      <c r="AO385" s="6"/>
      <c r="AP385" s="6"/>
      <c r="AQ385" s="6"/>
      <c r="AR385" s="6"/>
      <c r="AS385" s="6"/>
      <c r="AT385" s="6"/>
      <c r="AU385" s="6"/>
      <c r="AV385" s="6"/>
      <c r="AW385" s="6"/>
      <c r="AX385" s="6"/>
      <c r="AY385" s="6"/>
      <c r="AZ385" s="6"/>
      <c r="BA385" s="6"/>
      <c r="BB385" s="6"/>
      <c r="BC385" s="6"/>
      <c r="BD385" s="6"/>
      <c r="BE385" s="6"/>
      <c r="BF385" s="26"/>
      <c r="BG385" s="26"/>
      <c r="BH385" s="26"/>
      <c r="BI385" s="26"/>
      <c r="BJ385" s="26"/>
      <c r="BK385" s="26"/>
      <c r="BL385" s="26"/>
      <c r="BM385" s="26"/>
      <c r="BN385" s="26"/>
      <c r="BO385" s="26"/>
      <c r="BP385" s="26"/>
      <c r="BQ385" s="26"/>
      <c r="BR385" s="26"/>
      <c r="BS385" s="26"/>
      <c r="BT385" s="26"/>
      <c r="BU385" s="26"/>
      <c r="BV385" s="26"/>
      <c r="BW385" s="26"/>
      <c r="BX385" s="26"/>
      <c r="BY385" s="26"/>
      <c r="BZ385" s="26"/>
      <c r="CA385" s="26"/>
      <c r="CB385" s="26"/>
      <c r="CC385" s="26"/>
      <c r="CD385" s="26"/>
      <c r="CE385" s="26"/>
      <c r="CF385" s="26"/>
      <c r="CG385" s="26"/>
      <c r="CH385" s="26"/>
      <c r="CI385" s="26"/>
      <c r="CJ385" s="26"/>
      <c r="CK385" s="26"/>
      <c r="CL385" s="26"/>
      <c r="CM385" s="26"/>
      <c r="CN385" s="26"/>
      <c r="CO385" s="26"/>
    </row>
    <row r="386" spans="1:93" ht="12.75" hidden="1" customHeight="1" x14ac:dyDescent="0.25">
      <c r="A386" s="9">
        <f>IF(G400&gt;80,1,0)</f>
        <v>0</v>
      </c>
      <c r="C386" s="331">
        <v>90</v>
      </c>
      <c r="D386" s="331"/>
      <c r="G386" s="150">
        <f>I401</f>
        <v>0</v>
      </c>
      <c r="H386" s="333">
        <f>SUM(H374:H382)</f>
        <v>9</v>
      </c>
      <c r="I386" s="334" t="str">
        <f>CHOOSE(J373,"# 12","# 10","# 8","# 6","# 4","# 3","# 2","# 1","1/0","2/0","3/0","4/0")</f>
        <v># 12</v>
      </c>
      <c r="J386" s="9" t="str">
        <f>IF(J373=1," ",I386)</f>
        <v xml:space="preserve"> </v>
      </c>
      <c r="K386" s="9" t="s">
        <v>67</v>
      </c>
      <c r="L386" s="259" t="s">
        <v>258</v>
      </c>
      <c r="M386" s="259"/>
      <c r="N386" s="326">
        <f>IF(L395=0,0,N395)</f>
        <v>0</v>
      </c>
      <c r="O386" s="327">
        <f>M395</f>
        <v>0</v>
      </c>
      <c r="P386" s="6"/>
      <c r="Q386" s="6"/>
      <c r="R386" s="6"/>
      <c r="S386" s="6"/>
      <c r="T386" s="6"/>
      <c r="U386" s="6"/>
      <c r="V386" s="6"/>
      <c r="W386" s="6"/>
      <c r="X386" s="6"/>
      <c r="Y386" s="6"/>
      <c r="Z386" s="6"/>
      <c r="AA386" s="6"/>
      <c r="AB386" s="6"/>
      <c r="AC386" s="6"/>
      <c r="AD386" s="6"/>
      <c r="AE386" s="6"/>
      <c r="AF386" s="6"/>
      <c r="AG386" s="6"/>
      <c r="AH386" s="6"/>
      <c r="AI386" s="6"/>
      <c r="AJ386" s="6"/>
      <c r="AK386" s="6"/>
      <c r="AL386" s="6"/>
      <c r="AM386" s="6"/>
      <c r="AN386" s="6"/>
      <c r="AO386" s="6"/>
      <c r="AP386" s="6"/>
      <c r="AQ386" s="6"/>
      <c r="AR386" s="6"/>
      <c r="AS386" s="6"/>
      <c r="AT386" s="6"/>
      <c r="AU386" s="6"/>
      <c r="AV386" s="6"/>
      <c r="AW386" s="6"/>
      <c r="AX386" s="6"/>
      <c r="AY386" s="6"/>
      <c r="AZ386" s="6"/>
      <c r="BA386" s="6"/>
      <c r="BB386" s="6"/>
      <c r="BC386" s="6"/>
      <c r="BD386" s="6"/>
      <c r="BE386" s="6"/>
      <c r="BF386" s="26"/>
      <c r="BG386" s="26"/>
      <c r="BH386" s="26"/>
      <c r="BI386" s="26"/>
      <c r="BJ386" s="26"/>
      <c r="BK386" s="26"/>
      <c r="BL386" s="26"/>
      <c r="BM386" s="26"/>
      <c r="BN386" s="26"/>
      <c r="BO386" s="26"/>
      <c r="BP386" s="26"/>
      <c r="BQ386" s="26"/>
      <c r="BR386" s="26"/>
      <c r="BS386" s="26"/>
      <c r="BT386" s="26"/>
      <c r="BU386" s="26"/>
      <c r="BV386" s="26"/>
      <c r="BW386" s="26"/>
      <c r="BX386" s="26"/>
      <c r="BY386" s="26"/>
      <c r="BZ386" s="26"/>
      <c r="CA386" s="26"/>
      <c r="CB386" s="26"/>
      <c r="CC386" s="26"/>
      <c r="CD386" s="26"/>
      <c r="CE386" s="26"/>
      <c r="CF386" s="26"/>
      <c r="CG386" s="26"/>
      <c r="CH386" s="26"/>
      <c r="CI386" s="26"/>
      <c r="CJ386" s="26"/>
      <c r="CK386" s="26"/>
      <c r="CL386" s="26"/>
      <c r="CM386" s="26"/>
      <c r="CN386" s="26"/>
      <c r="CO386" s="26"/>
    </row>
    <row r="387" spans="1:93" ht="12.75" hidden="1" customHeight="1" x14ac:dyDescent="0.25">
      <c r="A387" s="9">
        <f>IF(G400&gt;90,1,0)</f>
        <v>0</v>
      </c>
      <c r="C387" s="331">
        <v>100</v>
      </c>
      <c r="D387" s="331"/>
      <c r="G387" s="320" t="s">
        <v>259</v>
      </c>
      <c r="H387" s="321"/>
      <c r="I387" s="322">
        <f>IF(G400&lt;2,0,I400)</f>
        <v>0</v>
      </c>
      <c r="J387" s="323">
        <f>(13-H400)</f>
        <v>1</v>
      </c>
      <c r="K387" s="9" t="s">
        <v>18</v>
      </c>
      <c r="L387" s="332">
        <f>IF(L395&gt;1,1,0)</f>
        <v>0</v>
      </c>
      <c r="M387" s="332">
        <f>IF(L395&lt;=65,1,0)</f>
        <v>1</v>
      </c>
      <c r="N387" s="335">
        <f>IF(M387=1,O387,0)</f>
        <v>6</v>
      </c>
      <c r="O387" s="335">
        <v>6</v>
      </c>
      <c r="P387" s="6"/>
      <c r="Q387" s="6"/>
      <c r="R387" s="6"/>
      <c r="S387" s="6"/>
      <c r="T387" s="6"/>
      <c r="U387" s="6"/>
      <c r="V387" s="6"/>
      <c r="W387" s="6"/>
      <c r="X387" s="6"/>
      <c r="Y387" s="6"/>
      <c r="Z387" s="6"/>
      <c r="AA387" s="6"/>
      <c r="AB387" s="6"/>
      <c r="AC387" s="6"/>
      <c r="AD387" s="6"/>
      <c r="AE387" s="6"/>
      <c r="AF387" s="6"/>
      <c r="AG387" s="6"/>
      <c r="AH387" s="6"/>
      <c r="AI387" s="6"/>
      <c r="AJ387" s="6"/>
      <c r="AK387" s="6"/>
      <c r="AL387" s="6"/>
      <c r="AM387" s="6"/>
      <c r="AN387" s="6"/>
      <c r="AO387" s="6"/>
      <c r="AP387" s="6"/>
      <c r="AQ387" s="6"/>
      <c r="AR387" s="6"/>
      <c r="AS387" s="6"/>
      <c r="AT387" s="6"/>
      <c r="AU387" s="6"/>
      <c r="AV387" s="6"/>
      <c r="AW387" s="6"/>
      <c r="AX387" s="6"/>
      <c r="AY387" s="6"/>
      <c r="AZ387" s="6"/>
      <c r="BA387" s="6"/>
      <c r="BB387" s="6"/>
      <c r="BC387" s="6"/>
      <c r="BD387" s="6"/>
      <c r="BE387" s="6"/>
      <c r="BF387" s="26"/>
      <c r="BG387" s="26"/>
      <c r="BH387" s="26"/>
      <c r="BI387" s="26"/>
      <c r="BJ387" s="26"/>
      <c r="BK387" s="26"/>
      <c r="BL387" s="26"/>
      <c r="BM387" s="26"/>
      <c r="BN387" s="26"/>
      <c r="BO387" s="26"/>
      <c r="BP387" s="26"/>
      <c r="BQ387" s="26"/>
      <c r="BR387" s="26"/>
      <c r="BS387" s="26"/>
      <c r="BT387" s="26"/>
      <c r="BU387" s="26"/>
      <c r="BV387" s="26"/>
      <c r="BW387" s="26"/>
      <c r="BX387" s="26"/>
      <c r="BY387" s="26"/>
      <c r="BZ387" s="26"/>
      <c r="CA387" s="26"/>
      <c r="CB387" s="26"/>
      <c r="CC387" s="26"/>
      <c r="CD387" s="26"/>
      <c r="CE387" s="26"/>
      <c r="CF387" s="26"/>
      <c r="CG387" s="26"/>
      <c r="CH387" s="26"/>
      <c r="CI387" s="26"/>
      <c r="CJ387" s="26"/>
      <c r="CK387" s="26"/>
      <c r="CL387" s="26"/>
      <c r="CM387" s="26"/>
      <c r="CN387" s="26"/>
      <c r="CO387" s="26"/>
    </row>
    <row r="388" spans="1:93" ht="12.75" hidden="1" customHeight="1" x14ac:dyDescent="0.25">
      <c r="A388" s="9">
        <f>IF(G400&gt;100,1,0)</f>
        <v>0</v>
      </c>
      <c r="C388" s="331">
        <v>110</v>
      </c>
      <c r="D388" s="331"/>
      <c r="G388" s="324">
        <f>IF(G400&gt;3,1,0)</f>
        <v>0</v>
      </c>
      <c r="H388" s="324">
        <f>IF(G400&lt;30,1,0)</f>
        <v>1</v>
      </c>
      <c r="I388" s="328">
        <f t="shared" ref="I388:I389" si="78">IF(H388+G388=2,4,0)</f>
        <v>0</v>
      </c>
      <c r="J388" s="325">
        <v>10</v>
      </c>
      <c r="K388" s="9" t="s">
        <v>18</v>
      </c>
      <c r="L388" s="332">
        <f>IF(L395&gt;50,1,0)</f>
        <v>0</v>
      </c>
      <c r="M388" s="332">
        <f>IF(L395&lt;=85,1,0)</f>
        <v>1</v>
      </c>
      <c r="N388" s="336">
        <f t="shared" ref="N388:N394" si="79">IF(SUM(L388+M388)=2,O388,0)</f>
        <v>0</v>
      </c>
      <c r="O388" s="337">
        <v>4</v>
      </c>
      <c r="P388" s="6"/>
      <c r="Q388" s="6"/>
      <c r="R388" s="6"/>
      <c r="S388" s="6"/>
      <c r="T388" s="6"/>
      <c r="U388" s="6"/>
      <c r="V388" s="6"/>
      <c r="W388" s="6"/>
      <c r="X388" s="6"/>
      <c r="Y388" s="6"/>
      <c r="Z388" s="6"/>
      <c r="AA388" s="6"/>
      <c r="AB388" s="6"/>
      <c r="AC388" s="6"/>
      <c r="AD388" s="6"/>
      <c r="AE388" s="6"/>
      <c r="AF388" s="6"/>
      <c r="AG388" s="6"/>
      <c r="AH388" s="6"/>
      <c r="AI388" s="6"/>
      <c r="AJ388" s="6"/>
      <c r="AK388" s="6"/>
      <c r="AL388" s="6"/>
      <c r="AM388" s="6"/>
      <c r="AN388" s="6"/>
      <c r="AO388" s="6"/>
      <c r="AP388" s="6"/>
      <c r="AQ388" s="6"/>
      <c r="AR388" s="6"/>
      <c r="AS388" s="6"/>
      <c r="AT388" s="6"/>
      <c r="AU388" s="6"/>
      <c r="AV388" s="6"/>
      <c r="AW388" s="6"/>
      <c r="AX388" s="6"/>
      <c r="AY388" s="6"/>
      <c r="AZ388" s="6"/>
      <c r="BA388" s="6"/>
      <c r="BB388" s="6"/>
      <c r="BC388" s="6"/>
      <c r="BD388" s="6"/>
      <c r="BE388" s="6"/>
      <c r="BF388" s="26"/>
      <c r="BG388" s="26"/>
      <c r="BH388" s="26"/>
      <c r="BI388" s="26"/>
      <c r="BJ388" s="26"/>
      <c r="BK388" s="26"/>
      <c r="BL388" s="26"/>
      <c r="BM388" s="26"/>
      <c r="BN388" s="26"/>
      <c r="BO388" s="26"/>
      <c r="BP388" s="26"/>
      <c r="BQ388" s="26"/>
      <c r="BR388" s="26"/>
      <c r="BS388" s="26"/>
      <c r="BT388" s="26"/>
      <c r="BU388" s="26"/>
      <c r="BV388" s="26"/>
      <c r="BW388" s="26"/>
      <c r="BX388" s="26"/>
      <c r="BY388" s="26"/>
      <c r="BZ388" s="26"/>
      <c r="CA388" s="26"/>
      <c r="CB388" s="26"/>
      <c r="CC388" s="26"/>
      <c r="CD388" s="26"/>
      <c r="CE388" s="26"/>
      <c r="CF388" s="26"/>
      <c r="CG388" s="26"/>
      <c r="CH388" s="26"/>
      <c r="CI388" s="26"/>
      <c r="CJ388" s="26"/>
      <c r="CK388" s="26"/>
      <c r="CL388" s="26"/>
      <c r="CM388" s="26"/>
      <c r="CN388" s="26"/>
      <c r="CO388" s="26"/>
    </row>
    <row r="389" spans="1:93" ht="12.75" hidden="1" customHeight="1" x14ac:dyDescent="0.25">
      <c r="A389" s="9">
        <f>IF(G400&gt;110,1,0)</f>
        <v>0</v>
      </c>
      <c r="C389" s="331">
        <v>125</v>
      </c>
      <c r="D389" s="331"/>
      <c r="G389" s="324">
        <f>IF(G400&gt;30,1,0)</f>
        <v>0</v>
      </c>
      <c r="H389" s="324">
        <f>IF(G400&lt;40,1,0)</f>
        <v>1</v>
      </c>
      <c r="I389" s="328">
        <f t="shared" si="78"/>
        <v>0</v>
      </c>
      <c r="J389" s="325">
        <v>8</v>
      </c>
      <c r="K389" s="9" t="s">
        <v>18</v>
      </c>
      <c r="L389" s="332">
        <f>IF(L395&gt;65,1,0)</f>
        <v>0</v>
      </c>
      <c r="M389" s="332">
        <f>IF(L395&lt;=100,1,0)</f>
        <v>1</v>
      </c>
      <c r="N389" s="336">
        <f t="shared" si="79"/>
        <v>0</v>
      </c>
      <c r="O389" s="337">
        <v>3</v>
      </c>
      <c r="P389" s="6"/>
      <c r="Q389" s="6"/>
      <c r="R389" s="6"/>
      <c r="S389" s="6"/>
      <c r="T389" s="6"/>
      <c r="U389" s="6"/>
      <c r="V389" s="6"/>
      <c r="W389" s="6"/>
      <c r="X389" s="6"/>
      <c r="Y389" s="6"/>
      <c r="Z389" s="6"/>
      <c r="AA389" s="6"/>
      <c r="AB389" s="6"/>
      <c r="AC389" s="6"/>
      <c r="AD389" s="6"/>
      <c r="AE389" s="6"/>
      <c r="AF389" s="6"/>
      <c r="AG389" s="6"/>
      <c r="AH389" s="6"/>
      <c r="AI389" s="6"/>
      <c r="AJ389" s="6"/>
      <c r="AK389" s="6"/>
      <c r="AL389" s="6"/>
      <c r="AM389" s="6"/>
      <c r="AN389" s="6"/>
      <c r="AO389" s="6"/>
      <c r="AP389" s="6"/>
      <c r="AQ389" s="6"/>
      <c r="AR389" s="6"/>
      <c r="AS389" s="6"/>
      <c r="AT389" s="6"/>
      <c r="AU389" s="6"/>
      <c r="AV389" s="6"/>
      <c r="AW389" s="6"/>
      <c r="AX389" s="6"/>
      <c r="AY389" s="6"/>
      <c r="AZ389" s="6"/>
      <c r="BA389" s="6"/>
      <c r="BB389" s="6"/>
      <c r="BC389" s="6"/>
      <c r="BD389" s="6"/>
      <c r="BE389" s="6"/>
      <c r="BF389" s="26"/>
      <c r="BG389" s="26"/>
      <c r="BH389" s="26"/>
      <c r="BI389" s="26"/>
      <c r="BJ389" s="26"/>
      <c r="BK389" s="26"/>
      <c r="BL389" s="26"/>
      <c r="BM389" s="26"/>
      <c r="BN389" s="26"/>
      <c r="BO389" s="26"/>
      <c r="BP389" s="26"/>
      <c r="BQ389" s="26"/>
      <c r="BR389" s="26"/>
      <c r="BS389" s="26"/>
      <c r="BT389" s="26"/>
      <c r="BU389" s="26"/>
      <c r="BV389" s="26"/>
      <c r="BW389" s="26"/>
      <c r="BX389" s="26"/>
      <c r="BY389" s="26"/>
      <c r="BZ389" s="26"/>
      <c r="CA389" s="26"/>
      <c r="CB389" s="26"/>
      <c r="CC389" s="26"/>
      <c r="CD389" s="26"/>
      <c r="CE389" s="26"/>
      <c r="CF389" s="26"/>
      <c r="CG389" s="26"/>
      <c r="CH389" s="26"/>
      <c r="CI389" s="26"/>
      <c r="CJ389" s="26"/>
      <c r="CK389" s="26"/>
      <c r="CL389" s="26"/>
      <c r="CM389" s="26"/>
      <c r="CN389" s="26"/>
      <c r="CO389" s="26"/>
    </row>
    <row r="390" spans="1:93" ht="12.75" hidden="1" customHeight="1" x14ac:dyDescent="0.25">
      <c r="A390" s="9">
        <f>IF(G400&gt;125,1,0)</f>
        <v>0</v>
      </c>
      <c r="C390" s="331">
        <v>150</v>
      </c>
      <c r="D390" s="331"/>
      <c r="G390" s="324">
        <f>IF(G400&gt;40,1,0)</f>
        <v>0</v>
      </c>
      <c r="H390" s="324">
        <f>IF(G400&lt;50,1,0)</f>
        <v>1</v>
      </c>
      <c r="I390" s="328">
        <f>IF(SUM(G390+H390)=2,4,0)</f>
        <v>0</v>
      </c>
      <c r="J390" s="330" t="s">
        <v>260</v>
      </c>
      <c r="K390" s="9" t="s">
        <v>18</v>
      </c>
      <c r="L390" s="332">
        <f>IF(L395&gt;75,1,0)</f>
        <v>0</v>
      </c>
      <c r="M390" s="332">
        <f>IF(L395&lt;=115,1,0)</f>
        <v>1</v>
      </c>
      <c r="N390" s="336">
        <f t="shared" si="79"/>
        <v>0</v>
      </c>
      <c r="O390" s="337">
        <v>2</v>
      </c>
      <c r="P390" s="6"/>
      <c r="Q390" s="6"/>
      <c r="R390" s="6"/>
      <c r="S390" s="6"/>
      <c r="T390" s="6"/>
      <c r="U390" s="6"/>
      <c r="V390" s="6"/>
      <c r="W390" s="6"/>
      <c r="X390" s="6"/>
      <c r="Y390" s="6"/>
      <c r="Z390" s="6"/>
      <c r="AA390" s="6"/>
      <c r="AB390" s="6"/>
      <c r="AC390" s="6"/>
      <c r="AD390" s="6"/>
      <c r="AE390" s="6"/>
      <c r="AF390" s="6"/>
      <c r="AG390" s="6"/>
      <c r="AH390" s="6"/>
      <c r="AI390" s="6"/>
      <c r="AJ390" s="6"/>
      <c r="AK390" s="6"/>
      <c r="AL390" s="6"/>
      <c r="AM390" s="6"/>
      <c r="AN390" s="6"/>
      <c r="AO390" s="6"/>
      <c r="AP390" s="6"/>
      <c r="AQ390" s="6"/>
      <c r="AR390" s="6"/>
      <c r="AS390" s="6"/>
      <c r="AT390" s="6"/>
      <c r="AU390" s="6"/>
      <c r="AV390" s="6"/>
      <c r="AW390" s="6"/>
      <c r="AX390" s="6"/>
      <c r="AY390" s="6"/>
      <c r="AZ390" s="6"/>
      <c r="BA390" s="6"/>
      <c r="BB390" s="6"/>
      <c r="BC390" s="6"/>
      <c r="BD390" s="6"/>
      <c r="BE390" s="6"/>
      <c r="BF390" s="26"/>
      <c r="BG390" s="26"/>
      <c r="BH390" s="26"/>
      <c r="BI390" s="26"/>
      <c r="BJ390" s="26"/>
      <c r="BK390" s="26"/>
      <c r="BL390" s="26"/>
      <c r="BM390" s="26"/>
      <c r="BN390" s="26"/>
      <c r="BO390" s="26"/>
      <c r="BP390" s="26"/>
      <c r="BQ390" s="26"/>
      <c r="BR390" s="26"/>
      <c r="BS390" s="26"/>
      <c r="BT390" s="26"/>
      <c r="BU390" s="26"/>
      <c r="BV390" s="26"/>
      <c r="BW390" s="26"/>
      <c r="BX390" s="26"/>
      <c r="BY390" s="26"/>
      <c r="BZ390" s="26"/>
      <c r="CA390" s="26"/>
      <c r="CB390" s="26"/>
      <c r="CC390" s="26"/>
      <c r="CD390" s="26"/>
      <c r="CE390" s="26"/>
      <c r="CF390" s="26"/>
      <c r="CG390" s="26"/>
      <c r="CH390" s="26"/>
      <c r="CI390" s="26"/>
      <c r="CJ390" s="26"/>
      <c r="CK390" s="26"/>
      <c r="CL390" s="26"/>
      <c r="CM390" s="26"/>
      <c r="CN390" s="26"/>
      <c r="CO390" s="26"/>
    </row>
    <row r="391" spans="1:93" ht="12.75" hidden="1" customHeight="1" x14ac:dyDescent="0.25">
      <c r="A391" s="9">
        <f>IF(G400&gt;150,1,0)</f>
        <v>0</v>
      </c>
      <c r="C391" s="331">
        <v>175</v>
      </c>
      <c r="D391" s="331"/>
      <c r="G391" s="324">
        <f>IF(G400&gt;50,1,0)</f>
        <v>0</v>
      </c>
      <c r="H391" s="324">
        <f>IF(G400&lt;65,1,0)</f>
        <v>1</v>
      </c>
      <c r="I391" s="328">
        <f t="shared" ref="I391:I399" si="80">IF(SUM(G391+H391)=2,J391,0)</f>
        <v>0</v>
      </c>
      <c r="J391" s="330" t="s">
        <v>261</v>
      </c>
      <c r="K391" s="9" t="s">
        <v>18</v>
      </c>
      <c r="L391" s="332">
        <f>IF(L395&gt;90,1,0)</f>
        <v>0</v>
      </c>
      <c r="M391" s="332">
        <f>IF(L395&lt;=130,1,0)</f>
        <v>1</v>
      </c>
      <c r="N391" s="336">
        <f t="shared" si="79"/>
        <v>0</v>
      </c>
      <c r="O391" s="338" t="s">
        <v>151</v>
      </c>
      <c r="P391" s="6"/>
      <c r="Q391" s="6"/>
      <c r="R391" s="6"/>
      <c r="S391" s="6"/>
      <c r="T391" s="6"/>
      <c r="U391" s="6"/>
      <c r="V391" s="6"/>
      <c r="W391" s="6"/>
      <c r="X391" s="6"/>
      <c r="Y391" s="6"/>
      <c r="Z391" s="6"/>
      <c r="AA391" s="6"/>
      <c r="AB391" s="6"/>
      <c r="AC391" s="6"/>
      <c r="AD391" s="6"/>
      <c r="AE391" s="6"/>
      <c r="AF391" s="6"/>
      <c r="AG391" s="6"/>
      <c r="AH391" s="6"/>
      <c r="AI391" s="6"/>
      <c r="AJ391" s="6"/>
      <c r="AK391" s="6"/>
      <c r="AL391" s="6"/>
      <c r="AM391" s="6"/>
      <c r="AN391" s="6"/>
      <c r="AO391" s="6"/>
      <c r="AP391" s="6"/>
      <c r="AQ391" s="6"/>
      <c r="AR391" s="6"/>
      <c r="AS391" s="6"/>
      <c r="AT391" s="6"/>
      <c r="AU391" s="6"/>
      <c r="AV391" s="6"/>
      <c r="AW391" s="6"/>
      <c r="AX391" s="6"/>
      <c r="AY391" s="6"/>
      <c r="AZ391" s="6"/>
      <c r="BA391" s="6"/>
      <c r="BB391" s="6"/>
      <c r="BC391" s="6"/>
      <c r="BD391" s="6"/>
      <c r="BE391" s="6"/>
      <c r="BF391" s="26"/>
      <c r="BG391" s="26"/>
      <c r="BH391" s="26"/>
      <c r="BI391" s="26"/>
      <c r="BJ391" s="26"/>
      <c r="BK391" s="26"/>
      <c r="BL391" s="26"/>
      <c r="BM391" s="26"/>
      <c r="BN391" s="26"/>
      <c r="BO391" s="26"/>
      <c r="BP391" s="26"/>
      <c r="BQ391" s="26"/>
      <c r="BR391" s="26"/>
      <c r="BS391" s="26"/>
      <c r="BT391" s="26"/>
      <c r="BU391" s="26"/>
      <c r="BV391" s="26"/>
      <c r="BW391" s="26"/>
      <c r="BX391" s="26"/>
      <c r="BY391" s="26"/>
      <c r="BZ391" s="26"/>
      <c r="CA391" s="26"/>
      <c r="CB391" s="26"/>
      <c r="CC391" s="26"/>
      <c r="CD391" s="26"/>
      <c r="CE391" s="26"/>
      <c r="CF391" s="26"/>
      <c r="CG391" s="26"/>
      <c r="CH391" s="26"/>
      <c r="CI391" s="26"/>
      <c r="CJ391" s="26"/>
      <c r="CK391" s="26"/>
      <c r="CL391" s="26"/>
      <c r="CM391" s="26"/>
      <c r="CN391" s="26"/>
      <c r="CO391" s="26"/>
    </row>
    <row r="392" spans="1:93" ht="12.75" hidden="1" customHeight="1" x14ac:dyDescent="0.25">
      <c r="A392" s="9">
        <f>IF(G400&gt;175,1,0)</f>
        <v>0</v>
      </c>
      <c r="C392" s="331">
        <v>200</v>
      </c>
      <c r="D392" s="331"/>
      <c r="G392" s="324">
        <f>IF(G400&gt;65,1,0)</f>
        <v>0</v>
      </c>
      <c r="H392" s="324">
        <f>IF(G400&lt;75,1,0)</f>
        <v>1</v>
      </c>
      <c r="I392" s="328">
        <f t="shared" si="80"/>
        <v>0</v>
      </c>
      <c r="J392" s="330" t="s">
        <v>147</v>
      </c>
      <c r="K392" s="9" t="s">
        <v>18</v>
      </c>
      <c r="L392" s="332">
        <f>IF(L395&gt;100,1,0)</f>
        <v>0</v>
      </c>
      <c r="M392" s="332">
        <f>IF(L395&lt;=150,1,0)</f>
        <v>1</v>
      </c>
      <c r="N392" s="336">
        <f t="shared" si="79"/>
        <v>0</v>
      </c>
      <c r="O392" s="338" t="s">
        <v>180</v>
      </c>
      <c r="P392" s="6"/>
      <c r="Q392" s="6"/>
      <c r="R392" s="6"/>
      <c r="S392" s="6"/>
      <c r="T392" s="6"/>
      <c r="U392" s="6"/>
      <c r="V392" s="6"/>
      <c r="W392" s="6"/>
      <c r="X392" s="6"/>
      <c r="Y392" s="6"/>
      <c r="Z392" s="6"/>
      <c r="AA392" s="6"/>
      <c r="AB392" s="6"/>
      <c r="AC392" s="6"/>
      <c r="AD392" s="6"/>
      <c r="AE392" s="6"/>
      <c r="AF392" s="6"/>
      <c r="AG392" s="6"/>
      <c r="AH392" s="6"/>
      <c r="AI392" s="6"/>
      <c r="AJ392" s="6"/>
      <c r="AK392" s="6"/>
      <c r="AL392" s="6"/>
      <c r="AM392" s="6"/>
      <c r="AN392" s="6"/>
      <c r="AO392" s="6"/>
      <c r="AP392" s="6"/>
      <c r="AQ392" s="6"/>
      <c r="AR392" s="6"/>
      <c r="AS392" s="6"/>
      <c r="AT392" s="6"/>
      <c r="AU392" s="6"/>
      <c r="AV392" s="6"/>
      <c r="AW392" s="6"/>
      <c r="AX392" s="6"/>
      <c r="AY392" s="6"/>
      <c r="AZ392" s="6"/>
      <c r="BA392" s="6"/>
      <c r="BB392" s="6"/>
      <c r="BC392" s="6"/>
      <c r="BD392" s="6"/>
      <c r="BE392" s="6"/>
      <c r="BF392" s="26"/>
      <c r="BG392" s="26"/>
      <c r="BH392" s="26"/>
      <c r="BI392" s="26"/>
      <c r="BJ392" s="26"/>
      <c r="BK392" s="26"/>
      <c r="BL392" s="26"/>
      <c r="BM392" s="26"/>
      <c r="BN392" s="26"/>
      <c r="BO392" s="26"/>
      <c r="BP392" s="26"/>
      <c r="BQ392" s="26"/>
      <c r="BR392" s="26"/>
      <c r="BS392" s="26"/>
      <c r="BT392" s="26"/>
      <c r="BU392" s="26"/>
      <c r="BV392" s="26"/>
      <c r="BW392" s="26"/>
      <c r="BX392" s="26"/>
      <c r="BY392" s="26"/>
      <c r="BZ392" s="26"/>
      <c r="CA392" s="26"/>
      <c r="CB392" s="26"/>
      <c r="CC392" s="26"/>
      <c r="CD392" s="26"/>
      <c r="CE392" s="26"/>
      <c r="CF392" s="26"/>
      <c r="CG392" s="26"/>
      <c r="CH392" s="26"/>
      <c r="CI392" s="26"/>
      <c r="CJ392" s="26"/>
      <c r="CK392" s="26"/>
      <c r="CL392" s="26"/>
      <c r="CM392" s="26"/>
      <c r="CN392" s="26"/>
      <c r="CO392" s="26"/>
    </row>
    <row r="393" spans="1:93" ht="12.75" hidden="1" customHeight="1" x14ac:dyDescent="0.25">
      <c r="A393" s="9">
        <f>IF(G400&gt;200,1,0)</f>
        <v>0</v>
      </c>
      <c r="C393" s="331">
        <v>225</v>
      </c>
      <c r="D393" s="331"/>
      <c r="G393" s="324">
        <f>IF(G400&gt;75,1,0)</f>
        <v>0</v>
      </c>
      <c r="H393" s="324">
        <f>IF(G400&lt;90,1,0)</f>
        <v>1</v>
      </c>
      <c r="I393" s="328">
        <f t="shared" si="80"/>
        <v>0</v>
      </c>
      <c r="J393" s="330" t="s">
        <v>149</v>
      </c>
      <c r="K393" s="9" t="s">
        <v>18</v>
      </c>
      <c r="L393" s="332">
        <f>IF(L395&gt;120,1,0)</f>
        <v>0</v>
      </c>
      <c r="M393" s="332">
        <f>IF(L395&lt;=175,1,0)</f>
        <v>1</v>
      </c>
      <c r="N393" s="336">
        <f t="shared" si="79"/>
        <v>0</v>
      </c>
      <c r="O393" s="338" t="s">
        <v>155</v>
      </c>
      <c r="P393" s="6"/>
      <c r="Q393" s="6"/>
      <c r="R393" s="6"/>
      <c r="S393" s="6"/>
      <c r="T393" s="6"/>
      <c r="U393" s="6"/>
      <c r="V393" s="6"/>
      <c r="W393" s="6"/>
      <c r="X393" s="6"/>
      <c r="Y393" s="6"/>
      <c r="Z393" s="6"/>
      <c r="AA393" s="6"/>
      <c r="AB393" s="6"/>
      <c r="AC393" s="6"/>
      <c r="AD393" s="6"/>
      <c r="AE393" s="6"/>
      <c r="AF393" s="6"/>
      <c r="AG393" s="6"/>
      <c r="AH393" s="6"/>
      <c r="AI393" s="6"/>
      <c r="AJ393" s="6"/>
      <c r="AK393" s="6"/>
      <c r="AL393" s="6"/>
      <c r="AM393" s="6"/>
      <c r="AN393" s="6"/>
      <c r="AO393" s="6"/>
      <c r="AP393" s="6"/>
      <c r="AQ393" s="6"/>
      <c r="AR393" s="6"/>
      <c r="AS393" s="6"/>
      <c r="AT393" s="6"/>
      <c r="AU393" s="6"/>
      <c r="AV393" s="6"/>
      <c r="AW393" s="6"/>
      <c r="AX393" s="6"/>
      <c r="AY393" s="6"/>
      <c r="AZ393" s="6"/>
      <c r="BA393" s="6"/>
      <c r="BB393" s="6"/>
      <c r="BC393" s="6"/>
      <c r="BD393" s="6"/>
      <c r="BE393" s="6"/>
      <c r="BF393" s="26"/>
      <c r="BG393" s="26"/>
      <c r="BH393" s="26"/>
      <c r="BI393" s="26"/>
      <c r="BJ393" s="26"/>
      <c r="BK393" s="26"/>
      <c r="BL393" s="26"/>
      <c r="BM393" s="26"/>
      <c r="BN393" s="26"/>
      <c r="BO393" s="26"/>
      <c r="BP393" s="26"/>
      <c r="BQ393" s="26"/>
      <c r="BR393" s="26"/>
      <c r="BS393" s="26"/>
      <c r="BT393" s="26"/>
      <c r="BU393" s="26"/>
      <c r="BV393" s="26"/>
      <c r="BW393" s="26"/>
      <c r="BX393" s="26"/>
      <c r="BY393" s="26"/>
      <c r="BZ393" s="26"/>
      <c r="CA393" s="26"/>
      <c r="CB393" s="26"/>
      <c r="CC393" s="26"/>
      <c r="CD393" s="26"/>
      <c r="CE393" s="26"/>
      <c r="CF393" s="26"/>
      <c r="CG393" s="26"/>
      <c r="CH393" s="26"/>
      <c r="CI393" s="26"/>
      <c r="CJ393" s="26"/>
      <c r="CK393" s="26"/>
      <c r="CL393" s="26"/>
      <c r="CM393" s="26"/>
      <c r="CN393" s="26"/>
      <c r="CO393" s="26"/>
    </row>
    <row r="394" spans="1:93" ht="12.75" hidden="1" customHeight="1" x14ac:dyDescent="0.25">
      <c r="A394" s="9">
        <f>SUM(A378:A393)</f>
        <v>0</v>
      </c>
      <c r="C394" s="339" t="e">
        <f>CHOOSE(A394,20,30,40,50,60,70,80,90,100,110,125,150,175,200,225)</f>
        <v>#VALUE!</v>
      </c>
      <c r="D394" s="339"/>
      <c r="G394" s="324">
        <f>IF(G400&gt;90,1,0)</f>
        <v>0</v>
      </c>
      <c r="H394" s="324">
        <f>IF(G400&lt;100,1,0)</f>
        <v>1</v>
      </c>
      <c r="I394" s="328">
        <f t="shared" si="80"/>
        <v>0</v>
      </c>
      <c r="J394" s="330" t="s">
        <v>151</v>
      </c>
      <c r="K394" s="340" t="s">
        <v>18</v>
      </c>
      <c r="L394" s="332">
        <f>IF(L395&gt;135,1,0)</f>
        <v>0</v>
      </c>
      <c r="M394" s="332">
        <f>IF(L395&lt;=200,1,0)</f>
        <v>1</v>
      </c>
      <c r="N394" s="336">
        <f t="shared" si="79"/>
        <v>0</v>
      </c>
      <c r="O394" s="338" t="s">
        <v>157</v>
      </c>
      <c r="P394" s="6"/>
      <c r="Q394" s="6"/>
      <c r="R394" s="6"/>
      <c r="S394" s="6"/>
      <c r="T394" s="6"/>
      <c r="U394" s="6"/>
      <c r="V394" s="6"/>
      <c r="W394" s="6"/>
      <c r="X394" s="6"/>
      <c r="Y394" s="6"/>
      <c r="Z394" s="6"/>
      <c r="AA394" s="6"/>
      <c r="AB394" s="6"/>
      <c r="AC394" s="6"/>
      <c r="AD394" s="6"/>
      <c r="AE394" s="6"/>
      <c r="AF394" s="6"/>
      <c r="AG394" s="6"/>
      <c r="AH394" s="6"/>
      <c r="AI394" s="6"/>
      <c r="AJ394" s="6"/>
      <c r="AK394" s="6"/>
      <c r="AL394" s="6"/>
      <c r="AM394" s="6"/>
      <c r="AN394" s="6"/>
      <c r="AO394" s="6"/>
      <c r="AP394" s="6"/>
      <c r="AQ394" s="6"/>
      <c r="AR394" s="6"/>
      <c r="AS394" s="6"/>
      <c r="AT394" s="6"/>
      <c r="AU394" s="6"/>
      <c r="AV394" s="6"/>
      <c r="AW394" s="6"/>
      <c r="AX394" s="6"/>
      <c r="AY394" s="6"/>
      <c r="AZ394" s="6"/>
      <c r="BA394" s="6"/>
      <c r="BB394" s="6"/>
      <c r="BC394" s="6"/>
      <c r="BD394" s="6"/>
      <c r="BE394" s="6"/>
      <c r="BF394" s="26"/>
      <c r="BG394" s="26"/>
      <c r="BH394" s="26"/>
      <c r="BI394" s="26"/>
      <c r="BJ394" s="26"/>
      <c r="BK394" s="26"/>
      <c r="BL394" s="26"/>
      <c r="BM394" s="26"/>
      <c r="BN394" s="26"/>
      <c r="BO394" s="26"/>
      <c r="BP394" s="26"/>
      <c r="BQ394" s="26"/>
      <c r="BR394" s="26"/>
      <c r="BS394" s="26"/>
      <c r="BT394" s="26"/>
      <c r="BU394" s="26"/>
      <c r="BV394" s="26"/>
      <c r="BW394" s="26"/>
      <c r="BX394" s="26"/>
      <c r="BY394" s="26"/>
      <c r="BZ394" s="26"/>
      <c r="CA394" s="26"/>
      <c r="CB394" s="26"/>
      <c r="CC394" s="26"/>
      <c r="CD394" s="26"/>
      <c r="CE394" s="26"/>
      <c r="CF394" s="26"/>
      <c r="CG394" s="26"/>
      <c r="CH394" s="26"/>
      <c r="CI394" s="26"/>
      <c r="CJ394" s="26"/>
      <c r="CK394" s="26"/>
      <c r="CL394" s="26"/>
      <c r="CM394" s="26"/>
      <c r="CN394" s="26"/>
      <c r="CO394" s="26"/>
    </row>
    <row r="395" spans="1:93" ht="12.75" hidden="1" customHeight="1" x14ac:dyDescent="0.25">
      <c r="C395" s="341">
        <f>IF(SUM(A379:A394)=0,0,C394)</f>
        <v>0</v>
      </c>
      <c r="D395" s="341"/>
      <c r="G395" s="324">
        <f>IF(G400&gt;100,1,0)</f>
        <v>0</v>
      </c>
      <c r="H395" s="324">
        <f>IF(G400&lt;120,1,0)</f>
        <v>1</v>
      </c>
      <c r="I395" s="328">
        <f t="shared" si="80"/>
        <v>0</v>
      </c>
      <c r="J395" s="330" t="s">
        <v>237</v>
      </c>
      <c r="L395" s="342">
        <f>BE41/2</f>
        <v>0</v>
      </c>
      <c r="M395" s="332">
        <f>SUM(L387:L394)</f>
        <v>0</v>
      </c>
      <c r="N395" s="332" t="e">
        <f>CHOOSE(O386,6,4,3,2,1,"1/0","2/0","3/0")</f>
        <v>#VALUE!</v>
      </c>
      <c r="P395" s="6"/>
      <c r="Q395" s="6"/>
      <c r="R395" s="6"/>
      <c r="S395" s="6"/>
      <c r="T395" s="6"/>
      <c r="U395" s="6"/>
      <c r="V395" s="6"/>
      <c r="W395" s="6"/>
      <c r="X395" s="6"/>
      <c r="Y395" s="6"/>
      <c r="Z395" s="6"/>
      <c r="AA395" s="6"/>
      <c r="AB395" s="453" t="s">
        <v>262</v>
      </c>
      <c r="AC395" s="409"/>
      <c r="AD395" s="409"/>
      <c r="AE395" s="409"/>
      <c r="AF395" s="409"/>
      <c r="AG395" s="409"/>
      <c r="AH395" s="409"/>
      <c r="AI395" s="409"/>
      <c r="AJ395" s="6"/>
      <c r="AK395" s="6"/>
      <c r="AL395" s="6"/>
      <c r="AM395" s="6"/>
      <c r="AN395" s="6"/>
      <c r="AO395" s="6"/>
      <c r="AP395" s="6"/>
      <c r="AQ395" s="6"/>
      <c r="AR395" s="6"/>
      <c r="AS395" s="6"/>
      <c r="AT395" s="6"/>
      <c r="AU395" s="6"/>
      <c r="AV395" s="6"/>
      <c r="AW395" s="6"/>
      <c r="AX395" s="6"/>
      <c r="AY395" s="6"/>
      <c r="AZ395" s="6"/>
      <c r="BA395" s="6"/>
      <c r="BB395" s="6"/>
      <c r="BC395" s="6"/>
      <c r="BD395" s="6"/>
      <c r="BE395" s="6"/>
      <c r="BF395" s="26"/>
      <c r="BG395" s="26"/>
      <c r="BH395" s="26"/>
      <c r="BI395" s="26"/>
      <c r="BJ395" s="26"/>
      <c r="BK395" s="26"/>
      <c r="BL395" s="26"/>
      <c r="BM395" s="26"/>
      <c r="BN395" s="26"/>
      <c r="BO395" s="26"/>
      <c r="BP395" s="26"/>
      <c r="BQ395" s="26"/>
      <c r="BR395" s="26"/>
      <c r="BS395" s="26"/>
      <c r="BT395" s="26"/>
      <c r="BU395" s="26"/>
      <c r="BV395" s="26"/>
      <c r="BW395" s="26"/>
      <c r="BX395" s="26"/>
      <c r="BY395" s="26"/>
      <c r="BZ395" s="26"/>
      <c r="CA395" s="26"/>
      <c r="CB395" s="26"/>
      <c r="CC395" s="26"/>
      <c r="CD395" s="26"/>
      <c r="CE395" s="26"/>
      <c r="CF395" s="26"/>
      <c r="CG395" s="26"/>
      <c r="CH395" s="26"/>
      <c r="CI395" s="26"/>
      <c r="CJ395" s="26"/>
      <c r="CK395" s="26"/>
      <c r="CL395" s="26"/>
      <c r="CM395" s="26"/>
      <c r="CN395" s="26"/>
      <c r="CO395" s="26"/>
    </row>
    <row r="396" spans="1:93" ht="12.75" hidden="1" customHeight="1" x14ac:dyDescent="0.25">
      <c r="G396" s="324">
        <f>IF(G400&gt;120,1,0)</f>
        <v>0</v>
      </c>
      <c r="H396" s="324">
        <f>IF(G400&lt;135,1,0)</f>
        <v>1</v>
      </c>
      <c r="I396" s="328">
        <f t="shared" si="80"/>
        <v>0</v>
      </c>
      <c r="J396" s="330" t="s">
        <v>263</v>
      </c>
      <c r="P396" s="6"/>
      <c r="Q396" s="6"/>
      <c r="R396" s="6"/>
      <c r="S396" s="6"/>
      <c r="T396" s="6"/>
      <c r="U396" s="6"/>
      <c r="V396" s="6"/>
      <c r="W396" s="6"/>
      <c r="X396" s="6"/>
      <c r="Y396" s="6"/>
      <c r="Z396" s="6"/>
      <c r="AA396" s="6"/>
      <c r="AB396" s="6"/>
      <c r="AC396" s="6"/>
      <c r="AD396" s="6"/>
      <c r="AE396" s="6"/>
      <c r="AF396" s="6"/>
      <c r="AG396" s="6"/>
      <c r="AH396" s="6"/>
      <c r="AI396" s="6"/>
      <c r="AJ396" s="6"/>
      <c r="AK396" s="6"/>
      <c r="AL396" s="6"/>
      <c r="AM396" s="6"/>
      <c r="AN396" s="6"/>
      <c r="AO396" s="6"/>
      <c r="AP396" s="6"/>
      <c r="AQ396" s="6"/>
      <c r="AR396" s="6"/>
      <c r="AS396" s="6"/>
      <c r="AT396" s="6"/>
      <c r="AU396" s="6"/>
      <c r="AV396" s="6"/>
      <c r="AW396" s="6"/>
      <c r="AX396" s="6"/>
      <c r="AY396" s="6"/>
      <c r="AZ396" s="6"/>
      <c r="BA396" s="6"/>
      <c r="BB396" s="6"/>
      <c r="BC396" s="6"/>
      <c r="BD396" s="6"/>
      <c r="BE396" s="6"/>
      <c r="BF396" s="26"/>
      <c r="BG396" s="26"/>
      <c r="BH396" s="26"/>
      <c r="BI396" s="26"/>
      <c r="BJ396" s="26"/>
      <c r="BK396" s="26"/>
      <c r="BL396" s="26"/>
      <c r="BM396" s="26"/>
      <c r="BN396" s="26"/>
      <c r="BO396" s="26"/>
      <c r="BP396" s="26"/>
      <c r="BQ396" s="26"/>
      <c r="BR396" s="26"/>
      <c r="BS396" s="26"/>
      <c r="BT396" s="26"/>
      <c r="BU396" s="26"/>
      <c r="BV396" s="26"/>
      <c r="BW396" s="26"/>
      <c r="BX396" s="26"/>
      <c r="BY396" s="26"/>
      <c r="BZ396" s="26"/>
      <c r="CA396" s="26"/>
      <c r="CB396" s="26"/>
      <c r="CC396" s="26"/>
      <c r="CD396" s="26"/>
      <c r="CE396" s="26"/>
      <c r="CF396" s="26"/>
      <c r="CG396" s="26"/>
      <c r="CH396" s="26"/>
      <c r="CI396" s="26"/>
      <c r="CJ396" s="26"/>
      <c r="CK396" s="26"/>
      <c r="CL396" s="26"/>
      <c r="CM396" s="26"/>
      <c r="CN396" s="26"/>
      <c r="CO396" s="26"/>
    </row>
    <row r="397" spans="1:93" ht="12.75" hidden="1" customHeight="1" x14ac:dyDescent="0.25">
      <c r="E397" s="52"/>
      <c r="G397" s="324">
        <f>IF(G400&gt;135,1,0)</f>
        <v>0</v>
      </c>
      <c r="H397" s="324">
        <f>IF(G400&lt;155,1,0)</f>
        <v>1</v>
      </c>
      <c r="I397" s="328">
        <f t="shared" si="80"/>
        <v>0</v>
      </c>
      <c r="J397" s="330" t="s">
        <v>264</v>
      </c>
      <c r="L397" s="258" t="s">
        <v>215</v>
      </c>
      <c r="M397" s="258"/>
      <c r="N397" s="258"/>
      <c r="O397" s="343"/>
      <c r="P397" s="6"/>
      <c r="Q397" s="6"/>
      <c r="R397" s="6"/>
      <c r="S397" s="6"/>
      <c r="T397" s="6"/>
      <c r="U397" s="344" t="s">
        <v>265</v>
      </c>
      <c r="V397" s="345"/>
      <c r="W397" s="345"/>
      <c r="X397" s="6"/>
      <c r="Y397" s="6"/>
      <c r="Z397" s="150">
        <f>Q606/120</f>
        <v>0</v>
      </c>
      <c r="AA397" s="6"/>
      <c r="AB397" s="18" t="s">
        <v>266</v>
      </c>
      <c r="AC397" s="18" t="s">
        <v>267</v>
      </c>
      <c r="AD397" s="6"/>
      <c r="AE397" s="454" t="s">
        <v>266</v>
      </c>
      <c r="AF397" s="409"/>
      <c r="AG397" s="6"/>
      <c r="AH397" s="454" t="s">
        <v>267</v>
      </c>
      <c r="AI397" s="409"/>
      <c r="AJ397" s="6"/>
      <c r="AK397" s="6"/>
      <c r="AL397" s="6"/>
      <c r="AM397" s="6"/>
      <c r="AN397" s="6"/>
      <c r="AO397" s="6"/>
      <c r="AP397" s="6"/>
      <c r="AQ397" s="6"/>
      <c r="AR397" s="6"/>
      <c r="AS397" s="6"/>
      <c r="AT397" s="6"/>
      <c r="AU397" s="6"/>
      <c r="AV397" s="6"/>
      <c r="AW397" s="6"/>
      <c r="AX397" s="6"/>
      <c r="AY397" s="6"/>
      <c r="AZ397" s="6"/>
      <c r="BA397" s="6"/>
      <c r="BB397" s="6"/>
      <c r="BC397" s="6"/>
      <c r="BD397" s="6"/>
      <c r="BE397" s="6"/>
      <c r="BF397" s="26"/>
      <c r="BG397" s="26"/>
      <c r="BH397" s="26"/>
      <c r="BI397" s="26"/>
      <c r="BJ397" s="26"/>
      <c r="BK397" s="26"/>
      <c r="BL397" s="26"/>
      <c r="BM397" s="26"/>
      <c r="BN397" s="26"/>
      <c r="BO397" s="26"/>
      <c r="BP397" s="26"/>
      <c r="BQ397" s="26"/>
      <c r="BR397" s="26"/>
      <c r="BS397" s="26"/>
      <c r="BT397" s="26"/>
      <c r="BU397" s="26"/>
      <c r="BV397" s="26"/>
      <c r="BW397" s="26"/>
      <c r="BX397" s="26"/>
      <c r="BY397" s="26"/>
      <c r="BZ397" s="26"/>
      <c r="CA397" s="26"/>
      <c r="CB397" s="26"/>
      <c r="CC397" s="26"/>
      <c r="CD397" s="26"/>
      <c r="CE397" s="26"/>
      <c r="CF397" s="26"/>
      <c r="CG397" s="26"/>
      <c r="CH397" s="26"/>
      <c r="CI397" s="26"/>
      <c r="CJ397" s="26"/>
      <c r="CK397" s="26"/>
      <c r="CL397" s="26"/>
      <c r="CM397" s="26"/>
      <c r="CN397" s="26"/>
      <c r="CO397" s="26"/>
    </row>
    <row r="398" spans="1:93" ht="12.75" hidden="1" customHeight="1" x14ac:dyDescent="0.25">
      <c r="G398" s="324">
        <f>IF(G400&gt;155,1,0)</f>
        <v>0</v>
      </c>
      <c r="H398" s="324">
        <f>IF(G400&lt;180,1,0)</f>
        <v>1</v>
      </c>
      <c r="I398" s="328">
        <f t="shared" si="80"/>
        <v>0</v>
      </c>
      <c r="J398" s="330" t="s">
        <v>268</v>
      </c>
      <c r="L398" s="324" t="e">
        <f>IF(C394&gt;1,1,0)</f>
        <v>#VALUE!</v>
      </c>
      <c r="M398" s="324" t="e">
        <f>IF(C394&lt;30,1,0)</f>
        <v>#VALUE!</v>
      </c>
      <c r="N398" s="324" t="e">
        <f>IF(M398+L398=2,20,0)</f>
        <v>#VALUE!</v>
      </c>
      <c r="O398" s="324">
        <v>12</v>
      </c>
      <c r="P398" s="6"/>
      <c r="Q398" s="6"/>
      <c r="R398" s="6"/>
      <c r="S398" s="6"/>
      <c r="T398" s="6"/>
      <c r="U398" s="346">
        <f>IF(K65&gt;1,1,0)</f>
        <v>0</v>
      </c>
      <c r="V398" s="346">
        <f>IF(K65&lt;30,1,0)</f>
        <v>1</v>
      </c>
      <c r="W398" s="346">
        <f>IF(V398+U398=2,20,0)</f>
        <v>0</v>
      </c>
      <c r="X398" s="346">
        <v>12</v>
      </c>
      <c r="Y398" s="6"/>
      <c r="Z398" s="6"/>
      <c r="AA398" s="6"/>
      <c r="AB398" s="18"/>
      <c r="AC398" s="18"/>
      <c r="AD398" s="6"/>
      <c r="AE398" s="6"/>
      <c r="AF398" s="6"/>
      <c r="AG398" s="6"/>
      <c r="AH398" s="6"/>
      <c r="AI398" s="6"/>
      <c r="AJ398" s="6"/>
      <c r="AK398" s="6"/>
      <c r="AL398" s="6"/>
      <c r="AM398" s="6"/>
      <c r="AN398" s="6"/>
      <c r="AO398" s="6"/>
      <c r="AP398" s="6"/>
      <c r="AQ398" s="6"/>
      <c r="AR398" s="6"/>
      <c r="AS398" s="6"/>
      <c r="AT398" s="6"/>
      <c r="AU398" s="6"/>
      <c r="AV398" s="6"/>
      <c r="AW398" s="6"/>
      <c r="AX398" s="6"/>
      <c r="AY398" s="6"/>
      <c r="AZ398" s="6"/>
      <c r="BA398" s="6"/>
      <c r="BB398" s="6"/>
      <c r="BC398" s="6"/>
      <c r="BD398" s="6"/>
      <c r="BE398" s="6"/>
      <c r="BF398" s="26"/>
      <c r="BG398" s="26"/>
      <c r="BH398" s="26"/>
      <c r="BI398" s="26"/>
      <c r="BJ398" s="26"/>
      <c r="BK398" s="26"/>
      <c r="BL398" s="26"/>
      <c r="BM398" s="26"/>
      <c r="BN398" s="26"/>
      <c r="BO398" s="26"/>
      <c r="BP398" s="26"/>
      <c r="BQ398" s="26"/>
      <c r="BR398" s="26"/>
      <c r="BS398" s="26"/>
      <c r="BT398" s="26"/>
      <c r="BU398" s="26"/>
      <c r="BV398" s="26"/>
      <c r="BW398" s="26"/>
      <c r="BX398" s="26"/>
      <c r="BY398" s="26"/>
      <c r="BZ398" s="26"/>
      <c r="CA398" s="26"/>
      <c r="CB398" s="26"/>
      <c r="CC398" s="26"/>
      <c r="CD398" s="26"/>
      <c r="CE398" s="26"/>
      <c r="CF398" s="26"/>
      <c r="CG398" s="26"/>
      <c r="CH398" s="26"/>
      <c r="CI398" s="26"/>
      <c r="CJ398" s="26"/>
      <c r="CK398" s="26"/>
      <c r="CL398" s="26"/>
      <c r="CM398" s="26"/>
      <c r="CN398" s="26"/>
      <c r="CO398" s="26"/>
    </row>
    <row r="399" spans="1:93" ht="12.75" hidden="1" customHeight="1" x14ac:dyDescent="0.25">
      <c r="G399" s="324">
        <f>IF(G400&gt;180,1,0)</f>
        <v>0</v>
      </c>
      <c r="H399" s="324">
        <f>IF(G400&lt;205,1,0)</f>
        <v>1</v>
      </c>
      <c r="I399" s="328">
        <f t="shared" si="80"/>
        <v>0</v>
      </c>
      <c r="J399" s="330" t="s">
        <v>161</v>
      </c>
      <c r="L399" s="324" t="e">
        <f>IF(C394&gt;20,1,0)</f>
        <v>#VALUE!</v>
      </c>
      <c r="M399" s="324" t="e">
        <f>IF(C394&lt;60,1,0)</f>
        <v>#VALUE!</v>
      </c>
      <c r="N399" s="324" t="e">
        <f>IF(SUM(L399+M399)=2,30,0)</f>
        <v>#VALUE!</v>
      </c>
      <c r="O399" s="324">
        <v>10</v>
      </c>
      <c r="P399" s="6"/>
      <c r="Q399" s="6"/>
      <c r="R399" s="6"/>
      <c r="S399" s="6"/>
      <c r="T399" s="6"/>
      <c r="U399" s="346">
        <f>IF(K65&gt;20,1,0)</f>
        <v>0</v>
      </c>
      <c r="V399" s="346">
        <f>IF(K65&lt;60,1,0)</f>
        <v>1</v>
      </c>
      <c r="W399" s="346">
        <f>IF(SUM(U399+V399)=2,30,0)</f>
        <v>0</v>
      </c>
      <c r="X399" s="346">
        <v>10</v>
      </c>
      <c r="Y399" s="6"/>
      <c r="Z399" s="6"/>
      <c r="AA399" s="6"/>
      <c r="AB399" s="18"/>
      <c r="AC399" s="18"/>
      <c r="AD399" s="6"/>
      <c r="AE399" s="6"/>
      <c r="AF399" s="6"/>
      <c r="AG399" s="6"/>
      <c r="AH399" s="6"/>
      <c r="AI399" s="6"/>
      <c r="AJ399" s="6"/>
      <c r="AK399" s="6"/>
      <c r="AL399" s="6"/>
      <c r="AM399" s="6"/>
      <c r="AN399" s="6"/>
      <c r="AO399" s="6"/>
      <c r="AP399" s="6"/>
      <c r="AQ399" s="6"/>
      <c r="AR399" s="6"/>
      <c r="AS399" s="6"/>
      <c r="AT399" s="6"/>
      <c r="AU399" s="6"/>
      <c r="AV399" s="6"/>
      <c r="AW399" s="6"/>
      <c r="AX399" s="6"/>
      <c r="AY399" s="6"/>
      <c r="AZ399" s="6"/>
      <c r="BA399" s="6"/>
      <c r="BB399" s="6"/>
      <c r="BC399" s="6"/>
      <c r="BD399" s="6"/>
      <c r="BE399" s="6"/>
      <c r="BF399" s="26"/>
      <c r="BG399" s="26"/>
      <c r="BH399" s="26"/>
      <c r="BI399" s="26"/>
      <c r="BJ399" s="26"/>
      <c r="BK399" s="26"/>
      <c r="BL399" s="26"/>
      <c r="BM399" s="26"/>
      <c r="BN399" s="26"/>
      <c r="BO399" s="26"/>
      <c r="BP399" s="26"/>
      <c r="BQ399" s="26"/>
      <c r="BR399" s="26"/>
      <c r="BS399" s="26"/>
      <c r="BT399" s="26"/>
      <c r="BU399" s="26"/>
      <c r="BV399" s="26"/>
      <c r="BW399" s="26"/>
      <c r="BX399" s="26"/>
      <c r="BY399" s="26"/>
      <c r="BZ399" s="26"/>
      <c r="CA399" s="26"/>
      <c r="CB399" s="26"/>
      <c r="CC399" s="26"/>
      <c r="CD399" s="26"/>
      <c r="CE399" s="26"/>
      <c r="CF399" s="26"/>
      <c r="CG399" s="26"/>
      <c r="CH399" s="26"/>
      <c r="CI399" s="26"/>
      <c r="CJ399" s="26"/>
      <c r="CK399" s="26"/>
      <c r="CL399" s="26"/>
      <c r="CM399" s="26"/>
      <c r="CN399" s="26"/>
      <c r="CO399" s="26"/>
    </row>
    <row r="400" spans="1:93" ht="12.75" hidden="1" customHeight="1" x14ac:dyDescent="0.25">
      <c r="G400" s="150">
        <f>I401</f>
        <v>0</v>
      </c>
      <c r="H400" s="333">
        <f>SUM(H388:H399)</f>
        <v>12</v>
      </c>
      <c r="I400" s="347" t="str">
        <f>CHOOSE(J387,"# 4","# 4","#4","# 4","# 3","# 2","#1","1/0","2/0","3/0","4/0",250)</f>
        <v># 4</v>
      </c>
      <c r="J400" s="9" t="str">
        <f>IF(J387=1," ",I400)</f>
        <v xml:space="preserve"> </v>
      </c>
      <c r="L400" s="324" t="e">
        <f>IF(C394&gt;30,1,0)</f>
        <v>#VALUE!</v>
      </c>
      <c r="M400" s="324" t="e">
        <f>IF(C394&lt;100,1,0)</f>
        <v>#VALUE!</v>
      </c>
      <c r="N400" s="324" t="e">
        <f>IF(L400+M400=2,60,0)</f>
        <v>#VALUE!</v>
      </c>
      <c r="O400" s="324">
        <v>10</v>
      </c>
      <c r="P400" s="6"/>
      <c r="Q400" s="6"/>
      <c r="R400" s="6"/>
      <c r="S400" s="6"/>
      <c r="T400" s="6"/>
      <c r="U400" s="346">
        <f>IF(K65&gt;30,1,0)</f>
        <v>0</v>
      </c>
      <c r="V400" s="346">
        <f>IF(K65&lt;100,1,0)</f>
        <v>1</v>
      </c>
      <c r="W400" s="346">
        <f>IF(U400+V400=2,60,0)</f>
        <v>0</v>
      </c>
      <c r="X400" s="346">
        <v>8</v>
      </c>
      <c r="Y400" s="6"/>
      <c r="Z400" s="6"/>
      <c r="AA400" s="6"/>
      <c r="AB400" s="348">
        <f t="shared" ref="AB400:AC400" si="81">IF($G$58&gt;1,($G$58-1)*5500+(5500*1.25),5500*1.25)</f>
        <v>6875</v>
      </c>
      <c r="AC400" s="348">
        <f t="shared" si="81"/>
        <v>6875</v>
      </c>
      <c r="AD400" s="6"/>
      <c r="AE400" s="454">
        <f>IF($G$58=0,0,$AB$400)</f>
        <v>0</v>
      </c>
      <c r="AF400" s="409"/>
      <c r="AG400" s="6"/>
      <c r="AH400" s="454">
        <f>IF($G$58=0,0,$AC$400)</f>
        <v>0</v>
      </c>
      <c r="AI400" s="409"/>
      <c r="AJ400" s="6"/>
      <c r="AK400" s="6"/>
      <c r="AL400" s="6"/>
      <c r="AM400" s="6"/>
      <c r="AN400" s="6"/>
      <c r="AO400" s="6"/>
      <c r="AP400" s="6"/>
      <c r="AQ400" s="6"/>
      <c r="AR400" s="6"/>
      <c r="AS400" s="6"/>
      <c r="AT400" s="6"/>
      <c r="AU400" s="6"/>
      <c r="AV400" s="6"/>
      <c r="AW400" s="6"/>
      <c r="AX400" s="6"/>
      <c r="AY400" s="6"/>
      <c r="AZ400" s="6"/>
      <c r="BA400" s="6"/>
      <c r="BB400" s="6"/>
      <c r="BC400" s="6"/>
      <c r="BD400" s="6"/>
      <c r="BE400" s="6"/>
      <c r="BF400" s="26"/>
      <c r="BG400" s="26"/>
      <c r="BH400" s="26"/>
      <c r="BI400" s="26"/>
      <c r="BJ400" s="26"/>
      <c r="BK400" s="26"/>
      <c r="BL400" s="26"/>
      <c r="BM400" s="26"/>
      <c r="BN400" s="26"/>
      <c r="BO400" s="26"/>
      <c r="BP400" s="26"/>
      <c r="BQ400" s="26"/>
      <c r="BR400" s="26"/>
      <c r="BS400" s="26"/>
      <c r="BT400" s="26"/>
      <c r="BU400" s="26"/>
      <c r="BV400" s="26"/>
      <c r="BW400" s="26"/>
      <c r="BX400" s="26"/>
      <c r="BY400" s="26"/>
      <c r="BZ400" s="26"/>
      <c r="CA400" s="26"/>
      <c r="CB400" s="26"/>
      <c r="CC400" s="26"/>
      <c r="CD400" s="26"/>
      <c r="CE400" s="26"/>
      <c r="CF400" s="26"/>
      <c r="CG400" s="26"/>
      <c r="CH400" s="26"/>
      <c r="CI400" s="26"/>
      <c r="CJ400" s="26"/>
      <c r="CK400" s="26"/>
      <c r="CL400" s="26"/>
      <c r="CM400" s="26"/>
      <c r="CN400" s="26"/>
      <c r="CO400" s="26"/>
    </row>
    <row r="401" spans="6:93" ht="12.75" hidden="1" customHeight="1" x14ac:dyDescent="0.25">
      <c r="G401" s="349" t="s">
        <v>269</v>
      </c>
      <c r="H401" s="350"/>
      <c r="I401" s="150">
        <f>IF(I65&gt;J65,I65,J65)</f>
        <v>0</v>
      </c>
      <c r="L401" s="324" t="e">
        <f>IF(C394&gt;60,1,0)</f>
        <v>#VALUE!</v>
      </c>
      <c r="M401" s="324" t="e">
        <f>IF(C394&lt;125,1,0)</f>
        <v>#VALUE!</v>
      </c>
      <c r="N401" s="324" t="e">
        <f>IF(L401+M401=2,100,0)</f>
        <v>#VALUE!</v>
      </c>
      <c r="O401" s="324">
        <v>8</v>
      </c>
      <c r="P401" s="6"/>
      <c r="Q401" s="6"/>
      <c r="R401" s="6"/>
      <c r="S401" s="6"/>
      <c r="T401" s="6"/>
      <c r="U401" s="346">
        <f>IF(K65&gt;60,1,0)</f>
        <v>0</v>
      </c>
      <c r="V401" s="346">
        <f>IF(K65&lt;125,1,0)</f>
        <v>1</v>
      </c>
      <c r="W401" s="346">
        <f>IF(U401+V401=2,100,0)</f>
        <v>0</v>
      </c>
      <c r="X401" s="346">
        <v>6</v>
      </c>
      <c r="Y401" s="6"/>
      <c r="Z401" s="6"/>
      <c r="AA401" s="6"/>
      <c r="AB401" s="348">
        <f t="shared" ref="AB401:AC401" si="82">IF($G$59&gt;1,($G$59-1)*2500+(2500*1.25),2500*1.25)</f>
        <v>3125</v>
      </c>
      <c r="AC401" s="348">
        <f t="shared" si="82"/>
        <v>3125</v>
      </c>
      <c r="AD401" s="6"/>
      <c r="AE401" s="454">
        <f>IF($G$59=0,0,$AB$401)</f>
        <v>0</v>
      </c>
      <c r="AF401" s="409"/>
      <c r="AG401" s="6"/>
      <c r="AH401" s="454">
        <f>IF($G$59=0,0,$AC$401)</f>
        <v>0</v>
      </c>
      <c r="AI401" s="409"/>
      <c r="AJ401" s="6"/>
      <c r="AK401" s="6"/>
      <c r="AL401" s="6"/>
      <c r="AM401" s="6"/>
      <c r="AN401" s="6"/>
      <c r="AO401" s="6"/>
      <c r="AP401" s="6"/>
      <c r="AQ401" s="6"/>
      <c r="AR401" s="6"/>
      <c r="AS401" s="6"/>
      <c r="AT401" s="6"/>
      <c r="AU401" s="6"/>
      <c r="AV401" s="6"/>
      <c r="AW401" s="6"/>
      <c r="AX401" s="6"/>
      <c r="AY401" s="6"/>
      <c r="AZ401" s="6"/>
      <c r="BA401" s="6"/>
      <c r="BB401" s="6"/>
      <c r="BC401" s="6"/>
      <c r="BD401" s="6"/>
      <c r="BE401" s="6"/>
      <c r="BF401" s="26"/>
      <c r="BG401" s="26"/>
      <c r="BH401" s="26"/>
      <c r="BI401" s="26"/>
      <c r="BJ401" s="26"/>
      <c r="BK401" s="26"/>
      <c r="BL401" s="26"/>
      <c r="BM401" s="26"/>
      <c r="BN401" s="26"/>
      <c r="BO401" s="26"/>
      <c r="BP401" s="26"/>
      <c r="BQ401" s="26"/>
      <c r="BR401" s="26"/>
      <c r="BS401" s="26"/>
      <c r="BT401" s="26"/>
      <c r="BU401" s="26"/>
      <c r="BV401" s="26"/>
      <c r="BW401" s="26"/>
      <c r="BX401" s="26"/>
      <c r="BY401" s="26"/>
      <c r="BZ401" s="26"/>
      <c r="CA401" s="26"/>
      <c r="CB401" s="26"/>
      <c r="CC401" s="26"/>
      <c r="CD401" s="26"/>
      <c r="CE401" s="26"/>
      <c r="CF401" s="26"/>
      <c r="CG401" s="26"/>
      <c r="CH401" s="26"/>
      <c r="CI401" s="26"/>
      <c r="CJ401" s="26"/>
      <c r="CK401" s="26"/>
      <c r="CL401" s="26"/>
      <c r="CM401" s="26"/>
      <c r="CN401" s="26"/>
      <c r="CO401" s="26"/>
    </row>
    <row r="402" spans="6:93" ht="12.75" hidden="1" customHeight="1" x14ac:dyDescent="0.25">
      <c r="G402" s="324">
        <f>IF(I401&gt;1,1,0)</f>
        <v>0</v>
      </c>
      <c r="H402" s="324">
        <f>IF(I401&lt;=30,1,0)</f>
        <v>1</v>
      </c>
      <c r="I402" s="324">
        <f>IF(H402+G402=2,30,0)</f>
        <v>0</v>
      </c>
      <c r="J402" s="324">
        <v>30</v>
      </c>
      <c r="L402" s="324" t="e">
        <f>IF(C394&gt;100,1,0)</f>
        <v>#VALUE!</v>
      </c>
      <c r="M402" s="324" t="e">
        <f>IF(C394&lt;200,1,0)</f>
        <v>#VALUE!</v>
      </c>
      <c r="N402" s="324" t="e">
        <f>IF(L402+M402=2,200,0)</f>
        <v>#VALUE!</v>
      </c>
      <c r="O402" s="324">
        <v>6</v>
      </c>
      <c r="P402" s="6"/>
      <c r="Q402" s="6"/>
      <c r="R402" s="6"/>
      <c r="S402" s="6"/>
      <c r="T402" s="6"/>
      <c r="U402" s="346">
        <f>IF(K65&gt;100,1,0)</f>
        <v>0</v>
      </c>
      <c r="V402" s="346">
        <f>IF(K65&lt;200,1,0)</f>
        <v>1</v>
      </c>
      <c r="W402" s="346">
        <f>IF(U402+V402=2,200,0)</f>
        <v>0</v>
      </c>
      <c r="X402" s="346">
        <v>4</v>
      </c>
      <c r="Y402" s="6"/>
      <c r="Z402" s="6"/>
      <c r="AA402" s="6"/>
      <c r="AB402" s="348">
        <f t="shared" ref="AB402:AC402" si="83">IF($G$60&gt;1,($G$60-1)*4050+(4050*1.25),4050*1.25)</f>
        <v>5062.5</v>
      </c>
      <c r="AC402" s="348">
        <f t="shared" si="83"/>
        <v>5062.5</v>
      </c>
      <c r="AD402" s="6"/>
      <c r="AE402" s="455">
        <f>IF($G$60=0,0,$AB$402)</f>
        <v>0</v>
      </c>
      <c r="AF402" s="409"/>
      <c r="AG402" s="6"/>
      <c r="AH402" s="455">
        <f>IF($G$60=0,0,$AC$402)</f>
        <v>0</v>
      </c>
      <c r="AI402" s="409"/>
      <c r="AJ402" s="6"/>
      <c r="AK402" s="6"/>
      <c r="AL402" s="6"/>
      <c r="AM402" s="6"/>
      <c r="AN402" s="6"/>
      <c r="AO402" s="6"/>
      <c r="AP402" s="6"/>
      <c r="AQ402" s="6"/>
      <c r="AR402" s="6"/>
      <c r="AS402" s="6"/>
      <c r="AT402" s="6"/>
      <c r="AU402" s="6"/>
      <c r="AV402" s="6"/>
      <c r="AW402" s="6"/>
      <c r="AX402" s="6"/>
      <c r="AY402" s="6"/>
      <c r="AZ402" s="6"/>
      <c r="BA402" s="6"/>
      <c r="BB402" s="6"/>
      <c r="BC402" s="6"/>
      <c r="BD402" s="6"/>
      <c r="BE402" s="6"/>
      <c r="BF402" s="26"/>
      <c r="BG402" s="26"/>
      <c r="BH402" s="26"/>
      <c r="BI402" s="26"/>
      <c r="BJ402" s="26"/>
      <c r="BK402" s="26"/>
      <c r="BL402" s="26"/>
      <c r="BM402" s="26"/>
      <c r="BN402" s="26"/>
      <c r="BO402" s="26"/>
      <c r="BP402" s="26"/>
      <c r="BQ402" s="26"/>
      <c r="BR402" s="26"/>
      <c r="BS402" s="26"/>
      <c r="BT402" s="26"/>
      <c r="BU402" s="26"/>
      <c r="BV402" s="26"/>
      <c r="BW402" s="26"/>
      <c r="BX402" s="26"/>
      <c r="BY402" s="26"/>
      <c r="BZ402" s="26"/>
      <c r="CA402" s="26"/>
      <c r="CB402" s="26"/>
      <c r="CC402" s="26"/>
      <c r="CD402" s="26"/>
      <c r="CE402" s="26"/>
      <c r="CF402" s="26"/>
      <c r="CG402" s="26"/>
      <c r="CH402" s="26"/>
      <c r="CI402" s="26"/>
      <c r="CJ402" s="26"/>
      <c r="CK402" s="26"/>
      <c r="CL402" s="26"/>
      <c r="CM402" s="26"/>
      <c r="CN402" s="26"/>
      <c r="CO402" s="26"/>
    </row>
    <row r="403" spans="6:93" ht="12.75" hidden="1" customHeight="1" x14ac:dyDescent="0.25">
      <c r="G403" s="324">
        <f>IF(I401&gt;30,1,0)</f>
        <v>0</v>
      </c>
      <c r="H403" s="324">
        <f>IF(I401&lt;=60,1,0)</f>
        <v>1</v>
      </c>
      <c r="I403" s="324">
        <f>IF(SUM(G403+H403)=2,60,0)</f>
        <v>0</v>
      </c>
      <c r="J403" s="324">
        <v>60</v>
      </c>
      <c r="L403" s="333" t="e">
        <f t="shared" ref="L403:M403" si="84">SUM(L398:L402)</f>
        <v>#VALUE!</v>
      </c>
      <c r="M403" s="333" t="e">
        <f t="shared" si="84"/>
        <v>#VALUE!</v>
      </c>
      <c r="N403" s="333" t="e">
        <f>CHOOSE(L403,"# 12","# 10","# 10","# 8","# 6")</f>
        <v>#VALUE!</v>
      </c>
      <c r="O403" s="351" t="str">
        <f>IF(G400=0," ",N403)</f>
        <v xml:space="preserve"> </v>
      </c>
      <c r="P403" s="6"/>
      <c r="Q403" s="6"/>
      <c r="R403" s="6"/>
      <c r="S403" s="6"/>
      <c r="T403" s="6"/>
      <c r="U403" s="346">
        <f t="shared" ref="U403:V403" si="85">SUM(U398:U402)</f>
        <v>0</v>
      </c>
      <c r="V403" s="346">
        <f t="shared" si="85"/>
        <v>5</v>
      </c>
      <c r="W403" s="346" t="e">
        <f>CHOOSE(U403,"# 12","# 10","# 8","# 6","# 4")</f>
        <v>#VALUE!</v>
      </c>
      <c r="X403" s="352" t="str">
        <f>IF(K65=0," ",W403)</f>
        <v xml:space="preserve"> </v>
      </c>
      <c r="Y403" s="6"/>
      <c r="Z403" s="6"/>
      <c r="AA403" s="6"/>
      <c r="AB403" s="18"/>
      <c r="AC403" s="18"/>
      <c r="AD403" s="6"/>
      <c r="AE403" s="6"/>
      <c r="AF403" s="6"/>
      <c r="AG403" s="6"/>
      <c r="AH403" s="6"/>
      <c r="AI403" s="6"/>
      <c r="AJ403" s="6"/>
      <c r="AK403" s="6"/>
      <c r="AL403" s="6"/>
      <c r="AM403" s="6"/>
      <c r="AN403" s="6"/>
      <c r="AO403" s="6"/>
      <c r="AP403" s="6"/>
      <c r="AQ403" s="6"/>
      <c r="AR403" s="6"/>
      <c r="AS403" s="6"/>
      <c r="AT403" s="6"/>
      <c r="AU403" s="6"/>
      <c r="AV403" s="6"/>
      <c r="AW403" s="6"/>
      <c r="AX403" s="6"/>
      <c r="AY403" s="6"/>
      <c r="AZ403" s="6"/>
      <c r="BA403" s="6"/>
      <c r="BB403" s="6"/>
      <c r="BC403" s="6"/>
      <c r="BD403" s="6"/>
      <c r="BE403" s="6"/>
      <c r="BF403" s="26"/>
      <c r="BG403" s="26"/>
      <c r="BH403" s="26"/>
      <c r="BI403" s="26"/>
      <c r="BJ403" s="26"/>
      <c r="BK403" s="26"/>
      <c r="BL403" s="26"/>
      <c r="BM403" s="26"/>
      <c r="BN403" s="26"/>
      <c r="BO403" s="26"/>
      <c r="BP403" s="26"/>
      <c r="BQ403" s="26"/>
      <c r="BR403" s="26"/>
      <c r="BS403" s="26"/>
      <c r="BT403" s="26"/>
      <c r="BU403" s="26"/>
      <c r="BV403" s="26"/>
      <c r="BW403" s="26"/>
      <c r="BX403" s="26"/>
      <c r="BY403" s="26"/>
      <c r="BZ403" s="26"/>
      <c r="CA403" s="26"/>
      <c r="CB403" s="26"/>
      <c r="CC403" s="26"/>
      <c r="CD403" s="26"/>
      <c r="CE403" s="26"/>
      <c r="CF403" s="26"/>
      <c r="CG403" s="26"/>
      <c r="CH403" s="26"/>
      <c r="CI403" s="26"/>
      <c r="CJ403" s="26"/>
      <c r="CK403" s="26"/>
      <c r="CL403" s="26"/>
      <c r="CM403" s="26"/>
      <c r="CN403" s="26"/>
      <c r="CO403" s="26"/>
    </row>
    <row r="404" spans="6:93" ht="12.75" hidden="1" customHeight="1" x14ac:dyDescent="0.25">
      <c r="G404" s="324">
        <f>IF(I401&gt;60,1,0)</f>
        <v>0</v>
      </c>
      <c r="H404" s="324">
        <f>IF(I401&lt;=100,1,0)</f>
        <v>1</v>
      </c>
      <c r="I404" s="324">
        <f>IF(G404+H404=2,100,0)</f>
        <v>0</v>
      </c>
      <c r="J404" s="324">
        <v>100</v>
      </c>
      <c r="L404" s="324" t="e">
        <f>IF(C394&gt;1,1,0)</f>
        <v>#VALUE!</v>
      </c>
      <c r="M404" s="324" t="e">
        <f>IF(C394&lt;30,1,0)</f>
        <v>#VALUE!</v>
      </c>
      <c r="N404" s="324" t="e">
        <f>IF(M404+L404=2,20,0)</f>
        <v>#VALUE!</v>
      </c>
      <c r="O404" s="324">
        <v>8</v>
      </c>
      <c r="P404" s="6"/>
      <c r="Q404" s="6"/>
      <c r="R404" s="6"/>
      <c r="S404" s="6"/>
      <c r="T404" s="6"/>
      <c r="U404" s="346">
        <f>IF(K65&gt;1,1,0)</f>
        <v>0</v>
      </c>
      <c r="V404" s="346">
        <f>IF(K65&lt;30,1,0)</f>
        <v>1</v>
      </c>
      <c r="W404" s="346">
        <f>IF(V404+U404=2,20,0)</f>
        <v>0</v>
      </c>
      <c r="X404" s="346">
        <v>10</v>
      </c>
      <c r="Y404" s="6"/>
      <c r="Z404" s="6"/>
      <c r="AA404" s="6"/>
      <c r="AB404" s="348">
        <f t="shared" ref="AB404:AC404" si="86">IF($G$58&gt;1,($G$58-1)*5500+(5500),5500)</f>
        <v>5500</v>
      </c>
      <c r="AC404" s="348">
        <f t="shared" si="86"/>
        <v>5500</v>
      </c>
      <c r="AD404" s="6"/>
      <c r="AE404" s="6"/>
      <c r="AF404" s="6"/>
      <c r="AG404" s="6"/>
      <c r="AH404" s="6"/>
      <c r="AI404" s="6"/>
      <c r="AJ404" s="6"/>
      <c r="AK404" s="6"/>
      <c r="AL404" s="6"/>
      <c r="AM404" s="6"/>
      <c r="AN404" s="6"/>
      <c r="AO404" s="6"/>
      <c r="AP404" s="6"/>
      <c r="AQ404" s="6"/>
      <c r="AR404" s="6"/>
      <c r="AS404" s="6"/>
      <c r="AT404" s="6"/>
      <c r="AU404" s="6"/>
      <c r="AV404" s="6"/>
      <c r="AW404" s="6"/>
      <c r="AX404" s="6"/>
      <c r="AY404" s="6"/>
      <c r="AZ404" s="6"/>
      <c r="BA404" s="6"/>
      <c r="BB404" s="6"/>
      <c r="BC404" s="6"/>
      <c r="BD404" s="6"/>
      <c r="BE404" s="6"/>
      <c r="BF404" s="26"/>
      <c r="BG404" s="26"/>
      <c r="BH404" s="26"/>
      <c r="BI404" s="26"/>
      <c r="BJ404" s="26"/>
      <c r="BK404" s="26"/>
      <c r="BL404" s="26"/>
      <c r="BM404" s="26"/>
      <c r="BN404" s="26"/>
      <c r="BO404" s="26"/>
      <c r="BP404" s="26"/>
      <c r="BQ404" s="26"/>
      <c r="BR404" s="26"/>
      <c r="BS404" s="26"/>
      <c r="BT404" s="26"/>
      <c r="BU404" s="26"/>
      <c r="BV404" s="26"/>
      <c r="BW404" s="26"/>
      <c r="BX404" s="26"/>
      <c r="BY404" s="26"/>
      <c r="BZ404" s="26"/>
      <c r="CA404" s="26"/>
      <c r="CB404" s="26"/>
      <c r="CC404" s="26"/>
      <c r="CD404" s="26"/>
      <c r="CE404" s="26"/>
      <c r="CF404" s="26"/>
      <c r="CG404" s="26"/>
      <c r="CH404" s="26"/>
      <c r="CI404" s="26"/>
      <c r="CJ404" s="26"/>
      <c r="CK404" s="26"/>
      <c r="CL404" s="26"/>
      <c r="CM404" s="26"/>
      <c r="CN404" s="26"/>
      <c r="CO404" s="26"/>
    </row>
    <row r="405" spans="6:93" ht="12.75" hidden="1" customHeight="1" x14ac:dyDescent="0.25">
      <c r="G405" s="324">
        <f>IF(I401&gt;100,1,0)</f>
        <v>0</v>
      </c>
      <c r="H405" s="324">
        <f>IF(I401&lt;=125,1,0)</f>
        <v>1</v>
      </c>
      <c r="I405" s="324">
        <f>IF(G405+H405=2,125,0)</f>
        <v>0</v>
      </c>
      <c r="J405" s="324">
        <v>125</v>
      </c>
      <c r="L405" s="324" t="e">
        <f>IF(C394&gt;20,1,0)</f>
        <v>#VALUE!</v>
      </c>
      <c r="M405" s="324" t="e">
        <f>IF(C394&lt;60,1,0)</f>
        <v>#VALUE!</v>
      </c>
      <c r="N405" s="324" t="e">
        <f>IF(SUM(L405+M405)=2,30,0)</f>
        <v>#VALUE!</v>
      </c>
      <c r="O405" s="324">
        <v>8</v>
      </c>
      <c r="P405" s="6"/>
      <c r="Q405" s="6"/>
      <c r="R405" s="6"/>
      <c r="S405" s="6"/>
      <c r="T405" s="6"/>
      <c r="U405" s="346">
        <f>IF(K65&gt;20,1,0)</f>
        <v>0</v>
      </c>
      <c r="V405" s="346">
        <f>IF(K65&lt;60,1,0)</f>
        <v>1</v>
      </c>
      <c r="W405" s="346">
        <f>IF(SUM(U405+V405)=2,30,0)</f>
        <v>0</v>
      </c>
      <c r="X405" s="346">
        <v>8</v>
      </c>
      <c r="Y405" s="6"/>
      <c r="Z405" s="6"/>
      <c r="AA405" s="6"/>
      <c r="AB405" s="348">
        <f t="shared" ref="AB405:AC405" si="87">IF($G$59&gt;1,($G$59-1)*2500+(2500),2500)</f>
        <v>2500</v>
      </c>
      <c r="AC405" s="348">
        <f t="shared" si="87"/>
        <v>2500</v>
      </c>
      <c r="AD405" s="6"/>
      <c r="AE405" s="454">
        <f>IF(G63=0,0,AB405)</f>
        <v>0</v>
      </c>
      <c r="AF405" s="409"/>
      <c r="AG405" s="6"/>
      <c r="AH405" s="454">
        <f>IF(G63=0,0,AC405)</f>
        <v>0</v>
      </c>
      <c r="AI405" s="409"/>
      <c r="AJ405" s="6"/>
      <c r="AK405" s="6"/>
      <c r="AL405" s="6"/>
      <c r="AM405" s="6"/>
      <c r="AN405" s="6"/>
      <c r="AO405" s="6"/>
      <c r="AP405" s="6"/>
      <c r="AQ405" s="6"/>
      <c r="AR405" s="6"/>
      <c r="AS405" s="6"/>
      <c r="AT405" s="6"/>
      <c r="AU405" s="6"/>
      <c r="AV405" s="6"/>
      <c r="AW405" s="6"/>
      <c r="AX405" s="6"/>
      <c r="AY405" s="6"/>
      <c r="AZ405" s="6"/>
      <c r="BA405" s="6"/>
      <c r="BB405" s="6"/>
      <c r="BC405" s="6"/>
      <c r="BD405" s="6"/>
      <c r="BE405" s="6"/>
      <c r="BF405" s="26"/>
      <c r="BG405" s="26"/>
      <c r="BH405" s="26"/>
      <c r="BI405" s="26"/>
      <c r="BJ405" s="26"/>
      <c r="BK405" s="26"/>
      <c r="BL405" s="26"/>
      <c r="BM405" s="26"/>
      <c r="BN405" s="26"/>
      <c r="BO405" s="26"/>
      <c r="BP405" s="26"/>
      <c r="BQ405" s="26"/>
      <c r="BR405" s="26"/>
      <c r="BS405" s="26"/>
      <c r="BT405" s="26"/>
      <c r="BU405" s="26"/>
      <c r="BV405" s="26"/>
      <c r="BW405" s="26"/>
      <c r="BX405" s="26"/>
      <c r="BY405" s="26"/>
      <c r="BZ405" s="26"/>
      <c r="CA405" s="26"/>
      <c r="CB405" s="26"/>
      <c r="CC405" s="26"/>
      <c r="CD405" s="26"/>
      <c r="CE405" s="26"/>
      <c r="CF405" s="26"/>
      <c r="CG405" s="26"/>
      <c r="CH405" s="26"/>
      <c r="CI405" s="26"/>
      <c r="CJ405" s="26"/>
      <c r="CK405" s="26"/>
      <c r="CL405" s="26"/>
      <c r="CM405" s="26"/>
      <c r="CN405" s="26"/>
      <c r="CO405" s="26"/>
    </row>
    <row r="406" spans="6:93" ht="12.75" hidden="1" customHeight="1" x14ac:dyDescent="0.25">
      <c r="G406" s="324">
        <f>IF(I401&gt;125,1,0)</f>
        <v>0</v>
      </c>
      <c r="H406" s="324">
        <f>IF(I401&lt;=150,1,0)</f>
        <v>1</v>
      </c>
      <c r="I406" s="324">
        <f>IF(G406+H406=2,150,0)</f>
        <v>0</v>
      </c>
      <c r="J406" s="324">
        <v>150</v>
      </c>
      <c r="L406" s="324" t="e">
        <f>IF(C394&gt;30,1,0)</f>
        <v>#VALUE!</v>
      </c>
      <c r="M406" s="324" t="e">
        <f>IF(C394&lt;100,1,0)</f>
        <v>#VALUE!</v>
      </c>
      <c r="N406" s="324" t="e">
        <f>IF(L406+M406=2,60,0)</f>
        <v>#VALUE!</v>
      </c>
      <c r="O406" s="324">
        <v>8</v>
      </c>
      <c r="P406" s="6"/>
      <c r="Q406" s="6"/>
      <c r="R406" s="6"/>
      <c r="S406" s="6"/>
      <c r="T406" s="6"/>
      <c r="U406" s="346">
        <f>IF(K65&gt;30,1,0)</f>
        <v>0</v>
      </c>
      <c r="V406" s="346">
        <f>IF(K65&lt;100,1,0)</f>
        <v>1</v>
      </c>
      <c r="W406" s="346">
        <f>IF(U406+V406=2,60,0)</f>
        <v>0</v>
      </c>
      <c r="X406" s="346">
        <v>6</v>
      </c>
      <c r="Y406" s="6"/>
      <c r="Z406" s="6"/>
      <c r="AA406" s="6"/>
      <c r="AB406" s="348">
        <f t="shared" ref="AB406:AC406" si="88">IF($G$60&gt;1,($G$60-1)*4050+(4050),4050)</f>
        <v>4050</v>
      </c>
      <c r="AC406" s="348">
        <f t="shared" si="88"/>
        <v>4050</v>
      </c>
      <c r="AD406" s="6"/>
      <c r="AE406" s="454">
        <f>IF(AK406=0,2500,AE401)</f>
        <v>0</v>
      </c>
      <c r="AF406" s="409"/>
      <c r="AG406" s="6"/>
      <c r="AH406" s="454">
        <f>IF(AK406=0,2500,AH401)</f>
        <v>0</v>
      </c>
      <c r="AI406" s="409"/>
      <c r="AJ406" s="6"/>
      <c r="AK406" s="6">
        <f>IF(G60,0,1)</f>
        <v>1</v>
      </c>
      <c r="AL406" s="6"/>
      <c r="AM406" s="6"/>
      <c r="AN406" s="6"/>
      <c r="AO406" s="6"/>
      <c r="AP406" s="6"/>
      <c r="AQ406" s="6"/>
      <c r="AR406" s="6"/>
      <c r="AS406" s="6"/>
      <c r="AT406" s="6"/>
      <c r="AU406" s="6"/>
      <c r="AV406" s="6"/>
      <c r="AW406" s="6"/>
      <c r="AX406" s="6"/>
      <c r="AY406" s="6"/>
      <c r="AZ406" s="6"/>
      <c r="BA406" s="6"/>
      <c r="BB406" s="6"/>
      <c r="BC406" s="6"/>
      <c r="BD406" s="6"/>
      <c r="BE406" s="6"/>
      <c r="BF406" s="26"/>
      <c r="BG406" s="26"/>
      <c r="BH406" s="26"/>
      <c r="BI406" s="26"/>
      <c r="BJ406" s="26"/>
      <c r="BK406" s="26"/>
      <c r="BL406" s="26"/>
      <c r="BM406" s="26"/>
      <c r="BN406" s="26"/>
      <c r="BO406" s="26"/>
      <c r="BP406" s="26"/>
      <c r="BQ406" s="26"/>
      <c r="BR406" s="26"/>
      <c r="BS406" s="26"/>
      <c r="BT406" s="26"/>
      <c r="BU406" s="26"/>
      <c r="BV406" s="26"/>
      <c r="BW406" s="26"/>
      <c r="BX406" s="26"/>
      <c r="BY406" s="26"/>
      <c r="BZ406" s="26"/>
      <c r="CA406" s="26"/>
      <c r="CB406" s="26"/>
      <c r="CC406" s="26"/>
      <c r="CD406" s="26"/>
      <c r="CE406" s="26"/>
      <c r="CF406" s="26"/>
      <c r="CG406" s="26"/>
      <c r="CH406" s="26"/>
      <c r="CI406" s="26"/>
      <c r="CJ406" s="26"/>
      <c r="CK406" s="26"/>
      <c r="CL406" s="26"/>
      <c r="CM406" s="26"/>
      <c r="CN406" s="26"/>
      <c r="CO406" s="26"/>
    </row>
    <row r="407" spans="6:93" ht="12.75" hidden="1" customHeight="1" x14ac:dyDescent="0.25">
      <c r="G407" s="324">
        <f>IF(I401&gt;150,1,0)</f>
        <v>0</v>
      </c>
      <c r="H407" s="324">
        <f>IF(I401&lt;=200,1,0)</f>
        <v>1</v>
      </c>
      <c r="I407" s="324">
        <f>IF(G407+H407=2,200,0)</f>
        <v>0</v>
      </c>
      <c r="J407" s="324">
        <v>200</v>
      </c>
      <c r="L407" s="324" t="e">
        <f>IF(C394&gt;60,1,0)</f>
        <v>#VALUE!</v>
      </c>
      <c r="M407" s="324" t="e">
        <f>IF(C394&lt;125,1,0)</f>
        <v>#VALUE!</v>
      </c>
      <c r="N407" s="324" t="e">
        <f>IF(L407+M407=2,100,0)</f>
        <v>#VALUE!</v>
      </c>
      <c r="O407" s="324">
        <v>6</v>
      </c>
      <c r="P407" s="6"/>
      <c r="Q407" s="6"/>
      <c r="R407" s="6"/>
      <c r="S407" s="6"/>
      <c r="T407" s="6"/>
      <c r="U407" s="346">
        <f>IF(K65&gt;60,1,0)</f>
        <v>0</v>
      </c>
      <c r="V407" s="346">
        <f>IF(K65&lt;125,1,0)</f>
        <v>1</v>
      </c>
      <c r="W407" s="346">
        <f>IF(U407+V407=2,100,0)</f>
        <v>0</v>
      </c>
      <c r="X407" s="346">
        <v>4</v>
      </c>
      <c r="Y407" s="6"/>
      <c r="Z407" s="6"/>
      <c r="AA407" s="6"/>
      <c r="AB407" s="18"/>
      <c r="AC407" s="18"/>
      <c r="AD407" s="6"/>
      <c r="AE407" s="455">
        <f>IF(G65=0,0,AB407)</f>
        <v>0</v>
      </c>
      <c r="AF407" s="409"/>
      <c r="AG407" s="6"/>
      <c r="AH407" s="455">
        <f>IF(G65=0,0,AC407)</f>
        <v>0</v>
      </c>
      <c r="AI407" s="409"/>
      <c r="AJ407" s="6"/>
      <c r="AK407" s="6"/>
      <c r="AL407" s="6"/>
      <c r="AM407" s="6"/>
      <c r="AN407" s="6"/>
      <c r="AO407" s="6"/>
      <c r="AP407" s="6"/>
      <c r="AQ407" s="6"/>
      <c r="AR407" s="6"/>
      <c r="AS407" s="6"/>
      <c r="AT407" s="6"/>
      <c r="AU407" s="6"/>
      <c r="AV407" s="6"/>
      <c r="AW407" s="6"/>
      <c r="AX407" s="6"/>
      <c r="AY407" s="6"/>
      <c r="AZ407" s="6"/>
      <c r="BA407" s="6"/>
      <c r="BB407" s="6"/>
      <c r="BC407" s="6"/>
      <c r="BD407" s="6"/>
      <c r="BE407" s="6"/>
      <c r="BF407" s="26"/>
      <c r="BG407" s="26"/>
      <c r="BH407" s="26"/>
      <c r="BI407" s="26"/>
      <c r="BJ407" s="26"/>
      <c r="BK407" s="26"/>
      <c r="BL407" s="26"/>
      <c r="BM407" s="26"/>
      <c r="BN407" s="26"/>
      <c r="BO407" s="26"/>
      <c r="BP407" s="26"/>
      <c r="BQ407" s="26"/>
      <c r="BR407" s="26"/>
      <c r="BS407" s="26"/>
      <c r="BT407" s="26"/>
      <c r="BU407" s="26"/>
      <c r="BV407" s="26"/>
      <c r="BW407" s="26"/>
      <c r="BX407" s="26"/>
      <c r="BY407" s="26"/>
      <c r="BZ407" s="26"/>
      <c r="CA407" s="26"/>
      <c r="CB407" s="26"/>
      <c r="CC407" s="26"/>
      <c r="CD407" s="26"/>
      <c r="CE407" s="26"/>
      <c r="CF407" s="26"/>
      <c r="CG407" s="26"/>
      <c r="CH407" s="26"/>
      <c r="CI407" s="26"/>
      <c r="CJ407" s="26"/>
      <c r="CK407" s="26"/>
      <c r="CL407" s="26"/>
      <c r="CM407" s="26"/>
      <c r="CN407" s="26"/>
      <c r="CO407" s="26"/>
    </row>
    <row r="408" spans="6:93" ht="12.75" hidden="1" customHeight="1" x14ac:dyDescent="0.25">
      <c r="G408" s="324">
        <f>IF(I401&gt;200,1,0)</f>
        <v>0</v>
      </c>
      <c r="H408" s="324">
        <f>IF(I401&lt;=225,1,0)</f>
        <v>1</v>
      </c>
      <c r="I408" s="324">
        <f>IF(G408+H408=2,225,0)</f>
        <v>0</v>
      </c>
      <c r="J408" s="324">
        <v>225</v>
      </c>
      <c r="L408" s="324" t="e">
        <f>IF(C394&gt;100,1,0)</f>
        <v>#VALUE!</v>
      </c>
      <c r="M408" s="324" t="e">
        <f>IF(C394&lt;200,1,0)</f>
        <v>#VALUE!</v>
      </c>
      <c r="N408" s="324" t="e">
        <f>IF(L408+M408=2,200,0)</f>
        <v>#VALUE!</v>
      </c>
      <c r="O408" s="324">
        <v>4</v>
      </c>
      <c r="P408" s="6"/>
      <c r="Q408" s="6"/>
      <c r="R408" s="6"/>
      <c r="S408" s="6"/>
      <c r="T408" s="6"/>
      <c r="U408" s="346">
        <f>IF(K65&gt;100,1,0)</f>
        <v>0</v>
      </c>
      <c r="V408" s="346">
        <f>IF(K65&lt;200,1,0)</f>
        <v>1</v>
      </c>
      <c r="W408" s="346">
        <f>IF(U408+V408=2,200,0)</f>
        <v>0</v>
      </c>
      <c r="X408" s="346">
        <v>2</v>
      </c>
      <c r="Y408" s="6"/>
      <c r="Z408" s="6"/>
      <c r="AA408" s="6"/>
      <c r="AB408" s="18"/>
      <c r="AC408" s="18"/>
      <c r="AD408" s="6"/>
      <c r="AE408" s="6"/>
      <c r="AF408" s="6"/>
      <c r="AG408" s="6"/>
      <c r="AH408" s="6"/>
      <c r="AI408" s="6"/>
      <c r="AJ408" s="6"/>
      <c r="AK408" s="6"/>
      <c r="AL408" s="6"/>
      <c r="AM408" s="6"/>
      <c r="AN408" s="6"/>
      <c r="AO408" s="6"/>
      <c r="AP408" s="6"/>
      <c r="AQ408" s="6"/>
      <c r="AR408" s="6"/>
      <c r="AS408" s="6"/>
      <c r="AT408" s="6"/>
      <c r="AU408" s="6"/>
      <c r="AV408" s="6"/>
      <c r="AW408" s="6"/>
      <c r="AX408" s="6"/>
      <c r="AY408" s="6"/>
      <c r="AZ408" s="6"/>
      <c r="BA408" s="6"/>
      <c r="BB408" s="6"/>
      <c r="BC408" s="6"/>
      <c r="BD408" s="6"/>
      <c r="BE408" s="6"/>
      <c r="BF408" s="26"/>
      <c r="BG408" s="26"/>
      <c r="BH408" s="26"/>
      <c r="BI408" s="26"/>
      <c r="BJ408" s="26"/>
      <c r="BK408" s="26"/>
      <c r="BL408" s="26"/>
      <c r="BM408" s="26"/>
      <c r="BN408" s="26"/>
      <c r="BO408" s="26"/>
      <c r="BP408" s="26"/>
      <c r="BQ408" s="26"/>
      <c r="BR408" s="26"/>
      <c r="BS408" s="26"/>
      <c r="BT408" s="26"/>
      <c r="BU408" s="26"/>
      <c r="BV408" s="26"/>
      <c r="BW408" s="26"/>
      <c r="BX408" s="26"/>
      <c r="BY408" s="26"/>
      <c r="BZ408" s="26"/>
      <c r="CA408" s="26"/>
      <c r="CB408" s="26"/>
      <c r="CC408" s="26"/>
      <c r="CD408" s="26"/>
      <c r="CE408" s="26"/>
      <c r="CF408" s="26"/>
      <c r="CG408" s="26"/>
      <c r="CH408" s="26"/>
      <c r="CI408" s="26"/>
      <c r="CJ408" s="26"/>
      <c r="CK408" s="26"/>
      <c r="CL408" s="26"/>
      <c r="CM408" s="26"/>
      <c r="CN408" s="26"/>
      <c r="CO408" s="26"/>
    </row>
    <row r="409" spans="6:93" ht="12.75" hidden="1" customHeight="1" x14ac:dyDescent="0.25">
      <c r="I409" s="333">
        <f>SUM(I402:I408)</f>
        <v>0</v>
      </c>
      <c r="L409" s="333" t="e">
        <f t="shared" ref="L409:M409" si="89">SUM(L404:L408)</f>
        <v>#VALUE!</v>
      </c>
      <c r="M409" s="333" t="e">
        <f t="shared" si="89"/>
        <v>#VALUE!</v>
      </c>
      <c r="N409" s="333" t="e">
        <f>CHOOSE(L409,"# 10","# 8","# 8","#6","# 4")</f>
        <v>#VALUE!</v>
      </c>
      <c r="O409" s="351" t="str">
        <f>IF(G400=0," ",N409)</f>
        <v xml:space="preserve"> </v>
      </c>
      <c r="P409" s="6"/>
      <c r="Q409" s="6"/>
      <c r="R409" s="6"/>
      <c r="S409" s="6"/>
      <c r="T409" s="6"/>
      <c r="U409" s="346">
        <f t="shared" ref="U409:V409" si="90">SUM(U404:U408)</f>
        <v>0</v>
      </c>
      <c r="V409" s="346">
        <f t="shared" si="90"/>
        <v>5</v>
      </c>
      <c r="W409" s="346" t="e">
        <f>CHOOSE(U409,"# 4","# 4","# 4","# 4","#2")</f>
        <v>#VALUE!</v>
      </c>
      <c r="X409" s="352" t="str">
        <f>IF(K65=0," ",W409)</f>
        <v xml:space="preserve"> </v>
      </c>
      <c r="Y409" s="6"/>
      <c r="Z409" s="6"/>
      <c r="AA409" s="6"/>
      <c r="AB409" s="6"/>
      <c r="AC409" s="6"/>
      <c r="AD409" s="6"/>
      <c r="AE409" s="454">
        <f>IF($G$58=0,0,$AB$404)</f>
        <v>0</v>
      </c>
      <c r="AF409" s="409"/>
      <c r="AG409" s="6"/>
      <c r="AH409" s="454">
        <f>IF($G$58=0,0,$AC$404)</f>
        <v>0</v>
      </c>
      <c r="AI409" s="409"/>
      <c r="AJ409" s="6"/>
      <c r="AK409" s="6"/>
      <c r="AL409" s="6"/>
      <c r="AM409" s="6"/>
      <c r="AN409" s="6"/>
      <c r="AO409" s="6"/>
      <c r="AP409" s="6"/>
      <c r="AQ409" s="6"/>
      <c r="AR409" s="6"/>
      <c r="AS409" s="6"/>
      <c r="AT409" s="6"/>
      <c r="AU409" s="6"/>
      <c r="AV409" s="6"/>
      <c r="AW409" s="6"/>
      <c r="AX409" s="6"/>
      <c r="AY409" s="6"/>
      <c r="AZ409" s="6"/>
      <c r="BA409" s="6"/>
      <c r="BB409" s="6"/>
      <c r="BC409" s="6"/>
      <c r="BD409" s="6"/>
      <c r="BE409" s="6"/>
      <c r="BF409" s="26"/>
      <c r="BG409" s="26"/>
      <c r="BH409" s="26"/>
      <c r="BI409" s="26"/>
      <c r="BJ409" s="26"/>
      <c r="BK409" s="26"/>
      <c r="BL409" s="26"/>
      <c r="BM409" s="26"/>
      <c r="BN409" s="26"/>
      <c r="BO409" s="26"/>
      <c r="BP409" s="26"/>
      <c r="BQ409" s="26"/>
      <c r="BR409" s="26"/>
      <c r="BS409" s="26"/>
      <c r="BT409" s="26"/>
      <c r="BU409" s="26"/>
      <c r="BV409" s="26"/>
      <c r="BW409" s="26"/>
      <c r="BX409" s="26"/>
      <c r="BY409" s="26"/>
      <c r="BZ409" s="26"/>
      <c r="CA409" s="26"/>
      <c r="CB409" s="26"/>
      <c r="CC409" s="26"/>
      <c r="CD409" s="26"/>
      <c r="CE409" s="26"/>
      <c r="CF409" s="26"/>
      <c r="CG409" s="26"/>
      <c r="CH409" s="26"/>
      <c r="CI409" s="26"/>
      <c r="CJ409" s="26"/>
      <c r="CK409" s="26"/>
      <c r="CL409" s="26"/>
      <c r="CM409" s="26"/>
      <c r="CN409" s="26"/>
      <c r="CO409" s="26"/>
    </row>
    <row r="410" spans="6:93" ht="12.75" hidden="1" customHeight="1" x14ac:dyDescent="0.25">
      <c r="P410" s="6"/>
      <c r="Q410" s="6"/>
      <c r="R410" s="6"/>
      <c r="S410" s="6"/>
      <c r="T410" s="6"/>
      <c r="U410" s="6"/>
      <c r="V410" s="6"/>
      <c r="W410" s="6"/>
      <c r="X410" s="6"/>
      <c r="Y410" s="6"/>
      <c r="Z410" s="6"/>
      <c r="AA410" s="6"/>
      <c r="AB410" s="6"/>
      <c r="AC410" s="6"/>
      <c r="AD410" s="6"/>
      <c r="AE410" s="454">
        <f>IF($G$59=0,0,$AB$405)</f>
        <v>0</v>
      </c>
      <c r="AF410" s="409"/>
      <c r="AG410" s="6"/>
      <c r="AH410" s="454">
        <f>IF($G$59=0,0,$AC$405)</f>
        <v>0</v>
      </c>
      <c r="AI410" s="409"/>
      <c r="AJ410" s="6"/>
      <c r="AK410" s="6"/>
      <c r="AL410" s="6"/>
      <c r="AM410" s="6"/>
      <c r="AN410" s="6"/>
      <c r="AO410" s="6"/>
      <c r="AP410" s="6"/>
      <c r="AQ410" s="6"/>
      <c r="AR410" s="6"/>
      <c r="AS410" s="6"/>
      <c r="AT410" s="6"/>
      <c r="AU410" s="6"/>
      <c r="AV410" s="6"/>
      <c r="AW410" s="6"/>
      <c r="AX410" s="6"/>
      <c r="AY410" s="6"/>
      <c r="AZ410" s="6"/>
      <c r="BA410" s="6"/>
      <c r="BB410" s="6"/>
      <c r="BC410" s="6"/>
      <c r="BD410" s="6"/>
      <c r="BE410" s="6"/>
      <c r="BF410" s="26"/>
      <c r="BG410" s="26"/>
      <c r="BH410" s="26"/>
      <c r="BI410" s="26"/>
      <c r="BJ410" s="26"/>
      <c r="BK410" s="26"/>
      <c r="BL410" s="26"/>
      <c r="BM410" s="26"/>
      <c r="BN410" s="26"/>
      <c r="BO410" s="26"/>
      <c r="BP410" s="26"/>
      <c r="BQ410" s="26"/>
      <c r="BR410" s="26"/>
      <c r="BS410" s="26"/>
      <c r="BT410" s="26"/>
      <c r="BU410" s="26"/>
      <c r="BV410" s="26"/>
      <c r="BW410" s="26"/>
      <c r="BX410" s="26"/>
      <c r="BY410" s="26"/>
      <c r="BZ410" s="26"/>
      <c r="CA410" s="26"/>
      <c r="CB410" s="26"/>
      <c r="CC410" s="26"/>
      <c r="CD410" s="26"/>
      <c r="CE410" s="26"/>
      <c r="CF410" s="26"/>
      <c r="CG410" s="26"/>
      <c r="CH410" s="26"/>
      <c r="CI410" s="26"/>
      <c r="CJ410" s="26"/>
      <c r="CK410" s="26"/>
      <c r="CL410" s="26"/>
      <c r="CM410" s="26"/>
      <c r="CN410" s="26"/>
      <c r="CO410" s="26"/>
    </row>
    <row r="411" spans="6:93" ht="12.75" hidden="1" customHeight="1" x14ac:dyDescent="0.25">
      <c r="P411" s="6"/>
      <c r="Q411" s="6"/>
      <c r="R411" s="6"/>
      <c r="S411" s="6"/>
      <c r="T411" s="6"/>
      <c r="U411" s="6"/>
      <c r="V411" s="6"/>
      <c r="W411" s="6"/>
      <c r="X411" s="6"/>
      <c r="Y411" s="6"/>
      <c r="Z411" s="6"/>
      <c r="AA411" s="6"/>
      <c r="AB411" s="6"/>
      <c r="AC411" s="6"/>
      <c r="AD411" s="6"/>
      <c r="AE411" s="455">
        <f>IF($G$60=0,0,$AB$406)</f>
        <v>0</v>
      </c>
      <c r="AF411" s="409"/>
      <c r="AG411" s="6"/>
      <c r="AH411" s="455">
        <f>IF($G$60=0,0,$AC$406)</f>
        <v>0</v>
      </c>
      <c r="AI411" s="409"/>
      <c r="AJ411" s="6"/>
      <c r="AK411" s="6"/>
      <c r="AL411" s="6"/>
      <c r="AM411" s="6"/>
      <c r="AN411" s="6"/>
      <c r="AO411" s="6"/>
      <c r="AP411" s="6"/>
      <c r="AQ411" s="6"/>
      <c r="AR411" s="6"/>
      <c r="AS411" s="6"/>
      <c r="AT411" s="6"/>
      <c r="AU411" s="6"/>
      <c r="AV411" s="6"/>
      <c r="AW411" s="6"/>
      <c r="AX411" s="6"/>
      <c r="AY411" s="6"/>
      <c r="AZ411" s="6"/>
      <c r="BA411" s="6"/>
      <c r="BB411" s="6"/>
      <c r="BC411" s="6"/>
      <c r="BD411" s="6"/>
      <c r="BE411" s="6"/>
      <c r="BF411" s="26"/>
      <c r="BG411" s="26"/>
      <c r="BH411" s="26"/>
      <c r="BI411" s="26"/>
      <c r="BJ411" s="26"/>
      <c r="BK411" s="26"/>
      <c r="BL411" s="26"/>
      <c r="BM411" s="26"/>
      <c r="BN411" s="26"/>
      <c r="BO411" s="26"/>
      <c r="BP411" s="26"/>
      <c r="BQ411" s="26"/>
      <c r="BR411" s="26"/>
      <c r="BS411" s="26"/>
      <c r="BT411" s="26"/>
      <c r="BU411" s="26"/>
      <c r="BV411" s="26"/>
      <c r="BW411" s="26"/>
      <c r="BX411" s="26"/>
      <c r="BY411" s="26"/>
      <c r="BZ411" s="26"/>
      <c r="CA411" s="26"/>
      <c r="CB411" s="26"/>
      <c r="CC411" s="26"/>
      <c r="CD411" s="26"/>
      <c r="CE411" s="26"/>
      <c r="CF411" s="26"/>
      <c r="CG411" s="26"/>
      <c r="CH411" s="26"/>
      <c r="CI411" s="26"/>
      <c r="CJ411" s="26"/>
      <c r="CK411" s="26"/>
      <c r="CL411" s="26"/>
      <c r="CM411" s="26"/>
      <c r="CN411" s="26"/>
      <c r="CO411" s="26"/>
    </row>
    <row r="412" spans="6:93" ht="12.75" hidden="1" customHeight="1" x14ac:dyDescent="0.25">
      <c r="P412" s="6"/>
      <c r="Q412" s="6"/>
      <c r="R412" s="6"/>
      <c r="S412" s="6"/>
      <c r="T412" s="6"/>
      <c r="U412" s="6"/>
      <c r="V412" s="6"/>
      <c r="W412" s="6"/>
      <c r="X412" s="6"/>
      <c r="Y412" s="6"/>
      <c r="Z412" s="6"/>
      <c r="AA412" s="6"/>
      <c r="AB412" s="6"/>
      <c r="AC412" s="6"/>
      <c r="AD412" s="6"/>
      <c r="AE412" s="6"/>
      <c r="AF412" s="6"/>
      <c r="AG412" s="6"/>
      <c r="AH412" s="6"/>
      <c r="AI412" s="6"/>
      <c r="AJ412" s="6"/>
      <c r="AK412" s="6"/>
      <c r="AL412" s="6"/>
      <c r="AM412" s="6"/>
      <c r="AN412" s="6"/>
      <c r="AO412" s="6"/>
      <c r="AP412" s="6"/>
      <c r="AQ412" s="6"/>
      <c r="AR412" s="6"/>
      <c r="AS412" s="6"/>
      <c r="AT412" s="6"/>
      <c r="AU412" s="6"/>
      <c r="AV412" s="6"/>
      <c r="AW412" s="6"/>
      <c r="AX412" s="6"/>
      <c r="AY412" s="6"/>
      <c r="AZ412" s="6"/>
      <c r="BA412" s="6"/>
      <c r="BB412" s="6"/>
      <c r="BC412" s="6"/>
      <c r="BD412" s="6"/>
      <c r="BE412" s="6"/>
      <c r="BF412" s="26"/>
      <c r="BG412" s="26"/>
      <c r="BH412" s="26"/>
      <c r="BI412" s="26"/>
      <c r="BJ412" s="26"/>
      <c r="BK412" s="26"/>
      <c r="BL412" s="26"/>
      <c r="BM412" s="26"/>
      <c r="BN412" s="26"/>
      <c r="BO412" s="26"/>
      <c r="BP412" s="26"/>
      <c r="BQ412" s="26"/>
      <c r="BR412" s="26"/>
      <c r="BS412" s="26"/>
      <c r="BT412" s="26"/>
      <c r="BU412" s="26"/>
      <c r="BV412" s="26"/>
      <c r="BW412" s="26"/>
      <c r="BX412" s="26"/>
      <c r="BY412" s="26"/>
      <c r="BZ412" s="26"/>
      <c r="CA412" s="26"/>
      <c r="CB412" s="26"/>
      <c r="CC412" s="26"/>
      <c r="CD412" s="26"/>
      <c r="CE412" s="26"/>
      <c r="CF412" s="26"/>
      <c r="CG412" s="26"/>
      <c r="CH412" s="26"/>
      <c r="CI412" s="26"/>
      <c r="CJ412" s="26"/>
      <c r="CK412" s="26"/>
      <c r="CL412" s="26"/>
      <c r="CM412" s="26"/>
      <c r="CN412" s="26"/>
      <c r="CO412" s="26"/>
    </row>
    <row r="413" spans="6:93" ht="12.75" hidden="1" customHeight="1" x14ac:dyDescent="0.25">
      <c r="P413" s="6"/>
      <c r="Q413" s="6"/>
      <c r="R413" s="6"/>
      <c r="S413" s="6"/>
      <c r="T413" s="6"/>
      <c r="U413" s="6"/>
      <c r="V413" s="6"/>
      <c r="W413" s="6"/>
      <c r="X413" s="6"/>
      <c r="Y413" s="6"/>
      <c r="Z413" s="6"/>
      <c r="AA413" s="6"/>
      <c r="AB413" s="6"/>
      <c r="AC413" s="6"/>
      <c r="AD413" s="6"/>
      <c r="AE413" s="6"/>
      <c r="AF413" s="6"/>
      <c r="AG413" s="6"/>
      <c r="AH413" s="6"/>
      <c r="AI413" s="6"/>
      <c r="AJ413" s="6"/>
      <c r="AK413" s="6"/>
      <c r="AL413" s="6"/>
      <c r="AM413" s="6"/>
      <c r="AN413" s="6"/>
      <c r="AO413" s="6"/>
      <c r="AP413" s="6"/>
      <c r="AQ413" s="6"/>
      <c r="AR413" s="6"/>
      <c r="AS413" s="6"/>
      <c r="AT413" s="6"/>
      <c r="AU413" s="6"/>
      <c r="AV413" s="6"/>
      <c r="AW413" s="6"/>
      <c r="AX413" s="6"/>
      <c r="AY413" s="6"/>
      <c r="AZ413" s="6"/>
      <c r="BA413" s="6"/>
      <c r="BB413" s="6"/>
      <c r="BC413" s="6"/>
      <c r="BD413" s="6"/>
      <c r="BE413" s="6"/>
      <c r="BF413" s="26"/>
      <c r="BG413" s="26"/>
      <c r="BH413" s="26"/>
      <c r="BI413" s="26"/>
      <c r="BJ413" s="26"/>
      <c r="BK413" s="26"/>
      <c r="BL413" s="26"/>
      <c r="BM413" s="26"/>
      <c r="BN413" s="26"/>
      <c r="BO413" s="26"/>
      <c r="BP413" s="26"/>
      <c r="BQ413" s="26"/>
      <c r="BR413" s="26"/>
      <c r="BS413" s="26"/>
      <c r="BT413" s="26"/>
      <c r="BU413" s="26"/>
      <c r="BV413" s="26"/>
      <c r="BW413" s="26"/>
      <c r="BX413" s="26"/>
      <c r="BY413" s="26"/>
      <c r="BZ413" s="26"/>
      <c r="CA413" s="26"/>
      <c r="CB413" s="26"/>
      <c r="CC413" s="26"/>
      <c r="CD413" s="26"/>
      <c r="CE413" s="26"/>
      <c r="CF413" s="26"/>
      <c r="CG413" s="26"/>
      <c r="CH413" s="26"/>
      <c r="CI413" s="26"/>
      <c r="CJ413" s="26"/>
      <c r="CK413" s="26"/>
      <c r="CL413" s="26"/>
      <c r="CM413" s="26"/>
      <c r="CN413" s="26"/>
      <c r="CO413" s="26"/>
    </row>
    <row r="414" spans="6:93" ht="12.75" hidden="1" customHeight="1" x14ac:dyDescent="0.25">
      <c r="P414" s="6"/>
      <c r="Q414" s="6"/>
      <c r="R414" s="6"/>
      <c r="S414" s="6"/>
      <c r="T414" s="6"/>
      <c r="U414" s="6"/>
      <c r="V414" s="6"/>
      <c r="W414" s="6"/>
      <c r="X414" s="6"/>
      <c r="Y414" s="6"/>
      <c r="Z414" s="6"/>
      <c r="AA414" s="6"/>
      <c r="AB414" s="6"/>
      <c r="AC414" s="6"/>
      <c r="AD414" s="6"/>
      <c r="AE414" s="6"/>
      <c r="AF414" s="6"/>
      <c r="AG414" s="6"/>
      <c r="AH414" s="6"/>
      <c r="AI414" s="6"/>
      <c r="AJ414" s="6"/>
      <c r="AK414" s="6"/>
      <c r="AL414" s="6"/>
      <c r="AM414" s="6"/>
      <c r="AN414" s="6"/>
      <c r="AO414" s="6"/>
      <c r="AP414" s="6"/>
      <c r="AQ414" s="6"/>
      <c r="AR414" s="6"/>
      <c r="AS414" s="6"/>
      <c r="AT414" s="6"/>
      <c r="AU414" s="6"/>
      <c r="AV414" s="6"/>
      <c r="AW414" s="6"/>
      <c r="AX414" s="6"/>
      <c r="AY414" s="6"/>
      <c r="AZ414" s="6"/>
      <c r="BA414" s="6"/>
      <c r="BB414" s="6"/>
      <c r="BC414" s="6"/>
      <c r="BD414" s="6"/>
      <c r="BE414" s="6"/>
      <c r="BF414" s="26"/>
      <c r="BG414" s="26"/>
      <c r="BH414" s="26"/>
      <c r="BI414" s="26"/>
      <c r="BJ414" s="26"/>
      <c r="BK414" s="26"/>
      <c r="BL414" s="26"/>
      <c r="BM414" s="26"/>
      <c r="BN414" s="26"/>
      <c r="BO414" s="26"/>
      <c r="BP414" s="26"/>
      <c r="BQ414" s="26"/>
      <c r="BR414" s="26"/>
      <c r="BS414" s="26"/>
      <c r="BT414" s="26"/>
      <c r="BU414" s="26"/>
      <c r="BV414" s="26"/>
      <c r="BW414" s="26"/>
      <c r="BX414" s="26"/>
      <c r="BY414" s="26"/>
      <c r="BZ414" s="26"/>
      <c r="CA414" s="26"/>
      <c r="CB414" s="26"/>
      <c r="CC414" s="26"/>
      <c r="CD414" s="26"/>
      <c r="CE414" s="26"/>
      <c r="CF414" s="26"/>
      <c r="CG414" s="26"/>
      <c r="CH414" s="26"/>
      <c r="CI414" s="26"/>
      <c r="CJ414" s="26"/>
      <c r="CK414" s="26"/>
      <c r="CL414" s="26"/>
      <c r="CM414" s="26"/>
      <c r="CN414" s="26"/>
      <c r="CO414" s="26"/>
    </row>
    <row r="415" spans="6:93" ht="59.25" hidden="1" customHeight="1" x14ac:dyDescent="0.95">
      <c r="F415" s="353" t="s">
        <v>270</v>
      </c>
      <c r="P415" s="6"/>
      <c r="Q415" s="6"/>
      <c r="R415" s="6"/>
      <c r="S415" s="6"/>
      <c r="T415" s="6"/>
      <c r="U415" s="6"/>
      <c r="V415" s="6"/>
      <c r="W415" s="6"/>
      <c r="X415" s="6"/>
      <c r="Y415" s="6"/>
      <c r="Z415" s="6"/>
      <c r="AA415" s="6"/>
      <c r="AB415" s="6"/>
      <c r="AC415" s="6"/>
      <c r="AD415" s="6"/>
      <c r="AE415" s="6"/>
      <c r="AF415" s="6"/>
      <c r="AG415" s="6"/>
      <c r="AH415" s="6"/>
      <c r="AI415" s="6"/>
      <c r="AJ415" s="6"/>
      <c r="AK415" s="6"/>
      <c r="AL415" s="6"/>
      <c r="AM415" s="6"/>
      <c r="AN415" s="6"/>
      <c r="AO415" s="6"/>
      <c r="AP415" s="6"/>
      <c r="AQ415" s="6"/>
      <c r="AR415" s="6"/>
      <c r="AS415" s="6"/>
      <c r="AT415" s="6"/>
      <c r="AU415" s="6"/>
      <c r="AV415" s="6"/>
      <c r="AW415" s="6"/>
      <c r="AX415" s="6"/>
      <c r="AY415" s="6"/>
      <c r="AZ415" s="6"/>
      <c r="BA415" s="6"/>
      <c r="BB415" s="6"/>
      <c r="BC415" s="6"/>
      <c r="BD415" s="6"/>
      <c r="BE415" s="6"/>
      <c r="BF415" s="26"/>
      <c r="BG415" s="26"/>
      <c r="BH415" s="26"/>
      <c r="BI415" s="26"/>
      <c r="BJ415" s="26"/>
      <c r="BK415" s="26"/>
      <c r="BL415" s="26"/>
      <c r="BM415" s="26"/>
      <c r="BN415" s="26"/>
      <c r="BO415" s="26"/>
      <c r="BP415" s="26"/>
      <c r="BQ415" s="26"/>
      <c r="BR415" s="26"/>
      <c r="BS415" s="26"/>
      <c r="BT415" s="26"/>
      <c r="BU415" s="26"/>
      <c r="BV415" s="26"/>
      <c r="BW415" s="26"/>
      <c r="BX415" s="26"/>
      <c r="BY415" s="26"/>
      <c r="BZ415" s="26"/>
      <c r="CA415" s="26"/>
      <c r="CB415" s="26"/>
      <c r="CC415" s="26"/>
      <c r="CD415" s="26"/>
      <c r="CE415" s="26"/>
      <c r="CF415" s="26"/>
      <c r="CG415" s="26"/>
      <c r="CH415" s="26"/>
      <c r="CI415" s="26"/>
      <c r="CJ415" s="26"/>
      <c r="CK415" s="26"/>
      <c r="CL415" s="26"/>
      <c r="CM415" s="26"/>
      <c r="CN415" s="26"/>
      <c r="CO415" s="26"/>
    </row>
    <row r="416" spans="6:93" ht="12.75" hidden="1" customHeight="1" x14ac:dyDescent="0.25">
      <c r="P416" s="6"/>
      <c r="Q416" s="6"/>
      <c r="R416" s="6"/>
      <c r="S416" s="6"/>
      <c r="T416" s="6"/>
      <c r="U416" s="6"/>
      <c r="V416" s="6"/>
      <c r="W416" s="6"/>
      <c r="X416" s="6"/>
      <c r="Y416" s="6"/>
      <c r="Z416" s="6"/>
      <c r="AA416" s="6"/>
      <c r="AB416" s="6"/>
      <c r="AC416" s="6"/>
      <c r="AD416" s="6"/>
      <c r="AE416" s="6"/>
      <c r="AF416" s="6"/>
      <c r="AG416" s="6"/>
      <c r="AH416" s="6"/>
      <c r="AI416" s="6"/>
      <c r="AJ416" s="6"/>
      <c r="AK416" s="6"/>
      <c r="AL416" s="6"/>
      <c r="AM416" s="6"/>
      <c r="AN416" s="6"/>
      <c r="AO416" s="6"/>
      <c r="AP416" s="6"/>
      <c r="AQ416" s="6"/>
      <c r="AR416" s="6"/>
      <c r="AS416" s="6"/>
      <c r="AT416" s="6"/>
      <c r="AU416" s="6"/>
      <c r="AV416" s="6"/>
      <c r="AW416" s="6"/>
      <c r="AX416" s="6"/>
      <c r="AY416" s="6"/>
      <c r="AZ416" s="6"/>
      <c r="BA416" s="6"/>
      <c r="BB416" s="6"/>
      <c r="BC416" s="6"/>
      <c r="BD416" s="6"/>
      <c r="BE416" s="6"/>
      <c r="BF416" s="26"/>
      <c r="BG416" s="26"/>
      <c r="BH416" s="26"/>
      <c r="BI416" s="26"/>
      <c r="BJ416" s="26"/>
      <c r="BK416" s="26"/>
      <c r="BL416" s="26"/>
      <c r="BM416" s="26"/>
      <c r="BN416" s="26"/>
      <c r="BO416" s="26"/>
      <c r="BP416" s="26"/>
      <c r="BQ416" s="26"/>
      <c r="BR416" s="26"/>
      <c r="BS416" s="26"/>
      <c r="BT416" s="26"/>
      <c r="BU416" s="26"/>
      <c r="BV416" s="26"/>
      <c r="BW416" s="26"/>
      <c r="BX416" s="26"/>
      <c r="BY416" s="26"/>
      <c r="BZ416" s="26"/>
      <c r="CA416" s="26"/>
      <c r="CB416" s="26"/>
      <c r="CC416" s="26"/>
      <c r="CD416" s="26"/>
      <c r="CE416" s="26"/>
      <c r="CF416" s="26"/>
      <c r="CG416" s="26"/>
      <c r="CH416" s="26"/>
      <c r="CI416" s="26"/>
      <c r="CJ416" s="26"/>
      <c r="CK416" s="26"/>
      <c r="CL416" s="26"/>
      <c r="CM416" s="26"/>
      <c r="CN416" s="26"/>
      <c r="CO416" s="26"/>
    </row>
    <row r="417" spans="6:93" ht="12.75" hidden="1" customHeight="1" x14ac:dyDescent="0.25">
      <c r="P417" s="6"/>
      <c r="Q417" s="6"/>
      <c r="R417" s="6"/>
      <c r="S417" s="6"/>
      <c r="T417" s="6"/>
      <c r="U417" s="6"/>
      <c r="V417" s="6"/>
      <c r="W417" s="6"/>
      <c r="X417" s="6"/>
      <c r="Y417" s="6"/>
      <c r="Z417" s="6"/>
      <c r="AA417" s="6"/>
      <c r="BF417" s="26"/>
      <c r="BG417" s="26"/>
      <c r="BH417" s="26"/>
      <c r="BI417" s="26"/>
      <c r="BJ417" s="26"/>
      <c r="BK417" s="26"/>
      <c r="BL417" s="26"/>
      <c r="BM417" s="26"/>
      <c r="BN417" s="26"/>
      <c r="BO417" s="26"/>
      <c r="BP417" s="26"/>
      <c r="BQ417" s="26"/>
      <c r="BR417" s="26"/>
      <c r="BS417" s="26"/>
      <c r="BT417" s="26"/>
      <c r="BU417" s="26"/>
      <c r="BV417" s="26"/>
      <c r="BW417" s="26"/>
      <c r="BX417" s="26"/>
      <c r="BY417" s="26"/>
      <c r="BZ417" s="26"/>
      <c r="CA417" s="26"/>
      <c r="CB417" s="26"/>
      <c r="CC417" s="26"/>
      <c r="CD417" s="26"/>
      <c r="CE417" s="26"/>
      <c r="CF417" s="26"/>
      <c r="CG417" s="26"/>
      <c r="CH417" s="26"/>
      <c r="CI417" s="26"/>
      <c r="CJ417" s="26"/>
      <c r="CK417" s="26"/>
      <c r="CL417" s="26"/>
      <c r="CM417" s="26"/>
      <c r="CN417" s="26"/>
      <c r="CO417" s="26"/>
    </row>
    <row r="418" spans="6:93" ht="12.75" hidden="1" customHeight="1" x14ac:dyDescent="0.25">
      <c r="F418" s="9" t="s">
        <v>271</v>
      </c>
      <c r="P418" s="6"/>
      <c r="Q418" s="6"/>
      <c r="R418" s="6"/>
      <c r="S418" s="6"/>
      <c r="T418" s="6"/>
      <c r="U418" s="6"/>
      <c r="V418" s="6"/>
      <c r="W418" s="6"/>
      <c r="X418" s="6"/>
      <c r="Y418" s="6"/>
      <c r="Z418" s="6"/>
      <c r="AA418" s="6"/>
      <c r="BF418" s="26"/>
      <c r="BG418" s="26"/>
      <c r="BH418" s="26"/>
      <c r="BI418" s="26"/>
      <c r="BJ418" s="26"/>
      <c r="BK418" s="26"/>
      <c r="BL418" s="26"/>
      <c r="BM418" s="26"/>
      <c r="BN418" s="26"/>
      <c r="BO418" s="26"/>
      <c r="BP418" s="26"/>
      <c r="BQ418" s="26"/>
      <c r="BR418" s="26"/>
      <c r="BS418" s="26"/>
      <c r="BT418" s="26"/>
      <c r="BU418" s="26"/>
      <c r="BV418" s="26"/>
      <c r="BW418" s="26"/>
      <c r="BX418" s="26"/>
      <c r="BY418" s="26"/>
      <c r="BZ418" s="26"/>
      <c r="CA418" s="26"/>
      <c r="CB418" s="26"/>
      <c r="CC418" s="26"/>
      <c r="CD418" s="26"/>
      <c r="CE418" s="26"/>
      <c r="CF418" s="26"/>
      <c r="CG418" s="26"/>
      <c r="CH418" s="26"/>
      <c r="CI418" s="26"/>
      <c r="CJ418" s="26"/>
      <c r="CK418" s="26"/>
      <c r="CL418" s="26"/>
      <c r="CM418" s="26"/>
      <c r="CN418" s="26"/>
      <c r="CO418" s="26"/>
    </row>
    <row r="419" spans="6:93" ht="12.75" hidden="1" customHeight="1" x14ac:dyDescent="0.25">
      <c r="F419" s="9" t="s">
        <v>272</v>
      </c>
      <c r="P419" s="6"/>
      <c r="Q419" s="6"/>
      <c r="R419" s="6"/>
      <c r="S419" s="6"/>
      <c r="T419" s="6"/>
      <c r="U419" s="6"/>
      <c r="V419" s="6"/>
      <c r="W419" s="6"/>
      <c r="X419" s="6"/>
      <c r="Y419" s="6"/>
      <c r="Z419" s="6"/>
      <c r="AA419" s="6"/>
      <c r="BF419" s="26"/>
      <c r="BG419" s="26"/>
      <c r="BH419" s="26"/>
      <c r="BI419" s="26"/>
      <c r="BJ419" s="26"/>
      <c r="BK419" s="26"/>
      <c r="BL419" s="26"/>
      <c r="BM419" s="26"/>
      <c r="BN419" s="26"/>
      <c r="BO419" s="26"/>
      <c r="BP419" s="26"/>
      <c r="BQ419" s="26"/>
      <c r="BR419" s="26"/>
      <c r="BS419" s="26"/>
      <c r="BT419" s="26"/>
      <c r="BU419" s="26"/>
      <c r="BV419" s="26"/>
      <c r="BW419" s="26"/>
      <c r="BX419" s="26"/>
      <c r="BY419" s="26"/>
      <c r="BZ419" s="26"/>
      <c r="CA419" s="26"/>
      <c r="CB419" s="26"/>
      <c r="CC419" s="26"/>
      <c r="CD419" s="26"/>
      <c r="CE419" s="26"/>
      <c r="CF419" s="26"/>
      <c r="CG419" s="26"/>
      <c r="CH419" s="26"/>
      <c r="CI419" s="26"/>
      <c r="CJ419" s="26"/>
      <c r="CK419" s="26"/>
      <c r="CL419" s="26"/>
      <c r="CM419" s="26"/>
      <c r="CN419" s="26"/>
      <c r="CO419" s="26"/>
    </row>
    <row r="420" spans="6:93" ht="12.75" hidden="1" customHeight="1" x14ac:dyDescent="0.25">
      <c r="F420" s="9" t="s">
        <v>273</v>
      </c>
      <c r="P420" s="6"/>
      <c r="Q420" s="6"/>
      <c r="R420" s="6"/>
      <c r="S420" s="6"/>
      <c r="T420" s="6"/>
      <c r="U420" s="6"/>
      <c r="V420" s="6"/>
      <c r="W420" s="6"/>
      <c r="X420" s="6"/>
      <c r="Y420" s="6"/>
      <c r="Z420" s="6"/>
      <c r="AA420" s="6"/>
      <c r="BF420" s="26"/>
      <c r="BG420" s="26"/>
      <c r="BH420" s="26"/>
      <c r="BI420" s="26"/>
      <c r="BJ420" s="26"/>
      <c r="BK420" s="26"/>
      <c r="BL420" s="26"/>
      <c r="BM420" s="26"/>
      <c r="BN420" s="26"/>
      <c r="BO420" s="26"/>
      <c r="BP420" s="26"/>
      <c r="BQ420" s="26"/>
      <c r="BR420" s="26"/>
      <c r="BS420" s="26"/>
      <c r="BT420" s="26"/>
      <c r="BU420" s="26"/>
      <c r="BV420" s="26"/>
      <c r="BW420" s="26"/>
      <c r="BX420" s="26"/>
      <c r="BY420" s="26"/>
      <c r="BZ420" s="26"/>
      <c r="CA420" s="26"/>
      <c r="CB420" s="26"/>
      <c r="CC420" s="26"/>
      <c r="CD420" s="26"/>
      <c r="CE420" s="26"/>
      <c r="CF420" s="26"/>
      <c r="CG420" s="26"/>
      <c r="CH420" s="26"/>
      <c r="CI420" s="26"/>
      <c r="CJ420" s="26"/>
      <c r="CK420" s="26"/>
      <c r="CL420" s="26"/>
      <c r="CM420" s="26"/>
      <c r="CN420" s="26"/>
      <c r="CO420" s="26"/>
    </row>
    <row r="421" spans="6:93" ht="12.75" hidden="1" customHeight="1" x14ac:dyDescent="0.25">
      <c r="F421" s="9" t="s">
        <v>274</v>
      </c>
      <c r="P421" s="6"/>
      <c r="Q421" s="6"/>
      <c r="R421" s="6"/>
      <c r="S421" s="6"/>
      <c r="T421" s="6"/>
      <c r="U421" s="6"/>
      <c r="V421" s="6"/>
      <c r="W421" s="6"/>
      <c r="X421" s="6"/>
      <c r="Y421" s="6"/>
      <c r="Z421" s="6"/>
      <c r="AA421" s="6"/>
      <c r="BF421" s="26"/>
      <c r="BG421" s="26"/>
      <c r="BH421" s="26"/>
      <c r="BI421" s="26"/>
      <c r="BJ421" s="26"/>
      <c r="BK421" s="26"/>
      <c r="BL421" s="26"/>
      <c r="BM421" s="26"/>
      <c r="BN421" s="26"/>
      <c r="BO421" s="26"/>
      <c r="BP421" s="26"/>
      <c r="BQ421" s="26"/>
      <c r="BR421" s="26"/>
      <c r="BS421" s="26"/>
      <c r="BT421" s="26"/>
      <c r="BU421" s="26"/>
      <c r="BV421" s="26"/>
      <c r="BW421" s="26"/>
      <c r="BX421" s="26"/>
      <c r="BY421" s="26"/>
      <c r="BZ421" s="26"/>
      <c r="CA421" s="26"/>
      <c r="CB421" s="26"/>
      <c r="CC421" s="26"/>
      <c r="CD421" s="26"/>
      <c r="CE421" s="26"/>
      <c r="CF421" s="26"/>
      <c r="CG421" s="26"/>
      <c r="CH421" s="26"/>
      <c r="CI421" s="26"/>
      <c r="CJ421" s="26"/>
      <c r="CK421" s="26"/>
      <c r="CL421" s="26"/>
      <c r="CM421" s="26"/>
      <c r="CN421" s="26"/>
      <c r="CO421" s="26"/>
    </row>
    <row r="422" spans="6:93" ht="12.75" hidden="1" customHeight="1" x14ac:dyDescent="0.25">
      <c r="F422" s="9" t="s">
        <v>275</v>
      </c>
      <c r="P422" s="6"/>
      <c r="Q422" s="6"/>
      <c r="R422" s="6"/>
      <c r="S422" s="6"/>
      <c r="T422" s="6"/>
      <c r="U422" s="6"/>
      <c r="V422" s="6"/>
      <c r="W422" s="6"/>
      <c r="X422" s="6"/>
      <c r="Y422" s="6"/>
      <c r="Z422" s="6"/>
      <c r="AA422" s="6"/>
      <c r="BF422" s="26"/>
      <c r="BG422" s="26"/>
      <c r="BH422" s="26"/>
      <c r="BI422" s="26"/>
      <c r="BJ422" s="26"/>
      <c r="BK422" s="26"/>
      <c r="BL422" s="26"/>
      <c r="BM422" s="26"/>
      <c r="BN422" s="26"/>
      <c r="BO422" s="26"/>
      <c r="BP422" s="26"/>
      <c r="BQ422" s="26"/>
      <c r="BR422" s="26"/>
      <c r="BS422" s="26"/>
      <c r="BT422" s="26"/>
      <c r="BU422" s="26"/>
      <c r="BV422" s="26"/>
      <c r="BW422" s="26"/>
      <c r="BX422" s="26"/>
      <c r="BY422" s="26"/>
      <c r="BZ422" s="26"/>
      <c r="CA422" s="26"/>
      <c r="CB422" s="26"/>
      <c r="CC422" s="26"/>
      <c r="CD422" s="26"/>
      <c r="CE422" s="26"/>
      <c r="CF422" s="26"/>
      <c r="CG422" s="26"/>
      <c r="CH422" s="26"/>
      <c r="CI422" s="26"/>
      <c r="CJ422" s="26"/>
      <c r="CK422" s="26"/>
      <c r="CL422" s="26"/>
      <c r="CM422" s="26"/>
      <c r="CN422" s="26"/>
      <c r="CO422" s="26"/>
    </row>
    <row r="423" spans="6:93" ht="12.75" hidden="1" customHeight="1" x14ac:dyDescent="0.25">
      <c r="P423" s="6"/>
      <c r="Q423" s="6"/>
      <c r="R423" s="6"/>
      <c r="S423" s="6"/>
      <c r="T423" s="6"/>
      <c r="U423" s="6"/>
      <c r="V423" s="6"/>
      <c r="W423" s="6"/>
      <c r="X423" s="6"/>
      <c r="Y423" s="6"/>
      <c r="Z423" s="6"/>
      <c r="AA423" s="6"/>
      <c r="BF423" s="26"/>
      <c r="BG423" s="26"/>
      <c r="BH423" s="26"/>
      <c r="BI423" s="26"/>
      <c r="BJ423" s="26"/>
      <c r="BK423" s="26"/>
      <c r="BL423" s="26"/>
      <c r="BM423" s="26"/>
      <c r="BN423" s="26"/>
      <c r="BO423" s="26"/>
      <c r="BP423" s="26"/>
      <c r="BQ423" s="26"/>
      <c r="BR423" s="26"/>
      <c r="BS423" s="26"/>
      <c r="BT423" s="26"/>
      <c r="BU423" s="26"/>
      <c r="BV423" s="26"/>
      <c r="BW423" s="26"/>
      <c r="BX423" s="26"/>
      <c r="BY423" s="26"/>
      <c r="BZ423" s="26"/>
      <c r="CA423" s="26"/>
      <c r="CB423" s="26"/>
      <c r="CC423" s="26"/>
      <c r="CD423" s="26"/>
      <c r="CE423" s="26"/>
      <c r="CF423" s="26"/>
      <c r="CG423" s="26"/>
      <c r="CH423" s="26"/>
      <c r="CI423" s="26"/>
      <c r="CJ423" s="26"/>
      <c r="CK423" s="26"/>
      <c r="CL423" s="26"/>
      <c r="CM423" s="26"/>
      <c r="CN423" s="26"/>
      <c r="CO423" s="26"/>
    </row>
    <row r="424" spans="6:93" ht="12.75" hidden="1" customHeight="1" x14ac:dyDescent="0.25">
      <c r="P424" s="6"/>
      <c r="Q424" s="6"/>
      <c r="R424" s="6"/>
      <c r="S424" s="6"/>
      <c r="T424" s="6"/>
      <c r="U424" s="6"/>
      <c r="V424" s="6"/>
      <c r="W424" s="6"/>
      <c r="X424" s="6"/>
      <c r="Y424" s="6"/>
      <c r="Z424" s="6"/>
      <c r="AA424" s="6"/>
      <c r="BF424" s="26"/>
      <c r="BG424" s="26"/>
      <c r="BH424" s="26"/>
      <c r="BI424" s="26"/>
      <c r="BJ424" s="26"/>
      <c r="BK424" s="26"/>
      <c r="BL424" s="26"/>
      <c r="BM424" s="26"/>
      <c r="BN424" s="26"/>
      <c r="BO424" s="26"/>
      <c r="BP424" s="26"/>
      <c r="BQ424" s="26"/>
      <c r="BR424" s="26"/>
      <c r="BS424" s="26"/>
      <c r="BT424" s="26"/>
      <c r="BU424" s="26"/>
      <c r="BV424" s="26"/>
      <c r="BW424" s="26"/>
      <c r="BX424" s="26"/>
      <c r="BY424" s="26"/>
      <c r="BZ424" s="26"/>
      <c r="CA424" s="26"/>
      <c r="CB424" s="26"/>
      <c r="CC424" s="26"/>
      <c r="CD424" s="26"/>
      <c r="CE424" s="26"/>
      <c r="CF424" s="26"/>
      <c r="CG424" s="26"/>
      <c r="CH424" s="26"/>
      <c r="CI424" s="26"/>
      <c r="CJ424" s="26"/>
      <c r="CK424" s="26"/>
      <c r="CL424" s="26"/>
      <c r="CM424" s="26"/>
      <c r="CN424" s="26"/>
      <c r="CO424" s="26"/>
    </row>
    <row r="425" spans="6:93" ht="12.75" hidden="1" customHeight="1" x14ac:dyDescent="0.25">
      <c r="F425" s="354">
        <f>IF(G45=1,8000,0)</f>
        <v>0</v>
      </c>
      <c r="P425" s="6"/>
      <c r="Q425" s="6"/>
      <c r="R425" s="6"/>
      <c r="S425" s="6"/>
      <c r="T425" s="6"/>
      <c r="U425" s="6"/>
      <c r="V425" s="6"/>
      <c r="W425" s="6"/>
      <c r="X425" s="6"/>
      <c r="Y425" s="6"/>
      <c r="Z425" s="6"/>
      <c r="AA425" s="6"/>
      <c r="BF425" s="26"/>
      <c r="BG425" s="26"/>
      <c r="BH425" s="26"/>
      <c r="BI425" s="26"/>
      <c r="BJ425" s="26"/>
      <c r="BK425" s="26"/>
      <c r="BL425" s="26"/>
      <c r="BM425" s="26"/>
      <c r="BN425" s="26"/>
      <c r="BO425" s="26"/>
      <c r="BP425" s="26"/>
      <c r="BQ425" s="26"/>
      <c r="BR425" s="26"/>
      <c r="BS425" s="26"/>
      <c r="BT425" s="26"/>
      <c r="BU425" s="26"/>
      <c r="BV425" s="26"/>
      <c r="BW425" s="26"/>
      <c r="BX425" s="26"/>
      <c r="BY425" s="26"/>
      <c r="BZ425" s="26"/>
      <c r="CA425" s="26"/>
      <c r="CB425" s="26"/>
      <c r="CC425" s="26"/>
      <c r="CD425" s="26"/>
      <c r="CE425" s="26"/>
      <c r="CF425" s="26"/>
      <c r="CG425" s="26"/>
      <c r="CH425" s="26"/>
      <c r="CI425" s="26"/>
      <c r="CJ425" s="26"/>
      <c r="CK425" s="26"/>
      <c r="CL425" s="26"/>
      <c r="CM425" s="26"/>
      <c r="CN425" s="26"/>
      <c r="CO425" s="26"/>
    </row>
    <row r="426" spans="6:93" ht="12.75" hidden="1" customHeight="1" x14ac:dyDescent="0.25">
      <c r="F426" s="354">
        <f>IF(G45=2,11000,0)</f>
        <v>0</v>
      </c>
      <c r="H426" s="52" t="s">
        <v>276</v>
      </c>
      <c r="L426" s="355">
        <f>IF(E121=FALSE,MIN(J44,L427))</f>
        <v>0</v>
      </c>
      <c r="M426" s="456" t="s">
        <v>277</v>
      </c>
      <c r="N426" s="409"/>
      <c r="O426" s="409"/>
      <c r="P426" s="409"/>
      <c r="Q426" s="409"/>
      <c r="R426" s="409"/>
      <c r="S426" s="6"/>
      <c r="T426" s="6"/>
      <c r="U426" s="6"/>
      <c r="V426" s="6"/>
      <c r="W426" s="6"/>
      <c r="X426" s="6"/>
      <c r="Y426" s="6"/>
      <c r="Z426" s="6"/>
      <c r="AA426" s="6"/>
      <c r="BF426" s="26"/>
      <c r="BG426" s="26"/>
      <c r="BH426" s="26"/>
      <c r="BI426" s="26"/>
      <c r="BJ426" s="26"/>
      <c r="BK426" s="26"/>
      <c r="BL426" s="26"/>
      <c r="BM426" s="26"/>
      <c r="BN426" s="26"/>
      <c r="BO426" s="26"/>
      <c r="BP426" s="26"/>
      <c r="BQ426" s="26"/>
      <c r="BR426" s="26"/>
      <c r="BS426" s="26"/>
      <c r="BT426" s="26"/>
      <c r="BU426" s="26"/>
      <c r="BV426" s="26"/>
      <c r="BW426" s="26"/>
      <c r="BX426" s="26"/>
      <c r="BY426" s="26"/>
      <c r="BZ426" s="26"/>
      <c r="CA426" s="26"/>
      <c r="CB426" s="26"/>
      <c r="CC426" s="26"/>
      <c r="CD426" s="26"/>
      <c r="CE426" s="26"/>
      <c r="CF426" s="26"/>
      <c r="CG426" s="26"/>
      <c r="CH426" s="26"/>
      <c r="CI426" s="26"/>
      <c r="CJ426" s="26"/>
      <c r="CK426" s="26"/>
      <c r="CL426" s="26"/>
      <c r="CM426" s="26"/>
      <c r="CN426" s="26"/>
      <c r="CO426" s="26"/>
    </row>
    <row r="427" spans="6:93" ht="12.75" hidden="1" customHeight="1" x14ac:dyDescent="0.25">
      <c r="F427" s="354">
        <f>IF(G45=3,14000,0)</f>
        <v>0</v>
      </c>
      <c r="K427" s="229">
        <f>IF(G44=0,K51,J44)</f>
        <v>0</v>
      </c>
      <c r="L427" s="229">
        <f>IF(G44=0,K51,MIN(K51,J44))</f>
        <v>0</v>
      </c>
      <c r="M427" s="409"/>
      <c r="N427" s="409"/>
      <c r="O427" s="409"/>
      <c r="P427" s="409"/>
      <c r="Q427" s="409"/>
      <c r="R427" s="409"/>
      <c r="S427" s="6"/>
      <c r="T427" s="6"/>
      <c r="U427" s="6"/>
      <c r="V427" s="6"/>
      <c r="W427" s="6"/>
      <c r="X427" s="6"/>
      <c r="Y427" s="6"/>
      <c r="Z427" s="6"/>
      <c r="AA427" s="6"/>
      <c r="BF427" s="26"/>
      <c r="BG427" s="26"/>
      <c r="BH427" s="26"/>
      <c r="BI427" s="26"/>
      <c r="BJ427" s="26"/>
      <c r="BK427" s="26"/>
      <c r="BL427" s="26"/>
      <c r="BM427" s="26"/>
      <c r="BN427" s="26"/>
      <c r="BO427" s="26"/>
      <c r="BP427" s="26"/>
      <c r="BQ427" s="26"/>
      <c r="BR427" s="26"/>
      <c r="BS427" s="26"/>
      <c r="BT427" s="26"/>
      <c r="BU427" s="26"/>
      <c r="BV427" s="26"/>
      <c r="BW427" s="26"/>
      <c r="BX427" s="26"/>
      <c r="BY427" s="26"/>
      <c r="BZ427" s="26"/>
      <c r="CA427" s="26"/>
      <c r="CB427" s="26"/>
      <c r="CC427" s="26"/>
      <c r="CD427" s="26"/>
      <c r="CE427" s="26"/>
      <c r="CF427" s="26"/>
      <c r="CG427" s="26"/>
      <c r="CH427" s="26"/>
      <c r="CI427" s="26"/>
      <c r="CJ427" s="26"/>
      <c r="CK427" s="26"/>
      <c r="CL427" s="26"/>
      <c r="CM427" s="26"/>
      <c r="CN427" s="26"/>
      <c r="CO427" s="26"/>
    </row>
    <row r="428" spans="6:93" ht="13.5" hidden="1" customHeight="1" x14ac:dyDescent="0.25">
      <c r="F428" s="354">
        <f>IF(G45=4,17000,0)</f>
        <v>0</v>
      </c>
      <c r="P428" s="6"/>
      <c r="Q428" s="6"/>
      <c r="R428" s="6"/>
      <c r="S428" s="6"/>
      <c r="T428" s="6"/>
      <c r="U428" s="6"/>
      <c r="V428" s="6"/>
      <c r="W428" s="6"/>
      <c r="X428" s="6"/>
      <c r="Y428" s="6"/>
      <c r="Z428" s="6"/>
      <c r="AA428" s="6"/>
      <c r="BF428" s="26"/>
      <c r="BG428" s="26"/>
      <c r="BH428" s="26"/>
      <c r="BI428" s="26"/>
      <c r="BJ428" s="26"/>
      <c r="BK428" s="26"/>
      <c r="BL428" s="26"/>
      <c r="BM428" s="26"/>
      <c r="BN428" s="26"/>
      <c r="BO428" s="26"/>
      <c r="BP428" s="26"/>
      <c r="BQ428" s="26"/>
      <c r="BR428" s="26"/>
      <c r="BS428" s="26"/>
      <c r="BT428" s="26"/>
      <c r="BU428" s="26"/>
      <c r="BV428" s="26"/>
      <c r="BW428" s="26"/>
      <c r="BX428" s="26"/>
      <c r="BY428" s="26"/>
      <c r="BZ428" s="26"/>
      <c r="CA428" s="26"/>
      <c r="CB428" s="26"/>
      <c r="CC428" s="26"/>
      <c r="CD428" s="26"/>
      <c r="CE428" s="26"/>
      <c r="CF428" s="26"/>
      <c r="CG428" s="26"/>
      <c r="CH428" s="26"/>
      <c r="CI428" s="26"/>
      <c r="CJ428" s="26"/>
      <c r="CK428" s="26"/>
      <c r="CL428" s="26"/>
      <c r="CM428" s="26"/>
      <c r="CN428" s="26"/>
      <c r="CO428" s="26"/>
    </row>
    <row r="429" spans="6:93" ht="12.75" hidden="1" customHeight="1" x14ac:dyDescent="0.25">
      <c r="F429" s="354">
        <f>IF(G45=5,20000,0)</f>
        <v>0</v>
      </c>
      <c r="H429" s="290">
        <f>IF(I50=1,80%,0)</f>
        <v>0</v>
      </c>
      <c r="I429" s="290">
        <f>IF(I50=11,32%,0)</f>
        <v>0</v>
      </c>
      <c r="J429" s="290">
        <f>IF(I50=21,26%,0)</f>
        <v>0</v>
      </c>
      <c r="K429" s="290">
        <f>IF(I50=31,24%,0)</f>
        <v>0</v>
      </c>
      <c r="L429" s="290">
        <f>IF(I50=41,20%,0)</f>
        <v>0</v>
      </c>
      <c r="M429" s="290">
        <f>IF(I50=51,18%,0)</f>
        <v>0</v>
      </c>
      <c r="N429" s="290"/>
      <c r="P429" s="6"/>
      <c r="Q429" s="6"/>
      <c r="R429" s="6"/>
      <c r="S429" s="6"/>
      <c r="T429" s="6"/>
      <c r="U429" s="6"/>
      <c r="V429" s="6"/>
      <c r="W429" s="6"/>
      <c r="X429" s="6"/>
      <c r="Y429" s="6"/>
      <c r="Z429" s="6"/>
      <c r="AA429" s="6"/>
      <c r="BF429" s="26"/>
      <c r="BG429" s="26"/>
      <c r="BH429" s="26"/>
      <c r="BI429" s="26"/>
      <c r="BJ429" s="26"/>
      <c r="BK429" s="26"/>
      <c r="BL429" s="26"/>
      <c r="BM429" s="26"/>
      <c r="BN429" s="26"/>
      <c r="BO429" s="26"/>
      <c r="BP429" s="26"/>
      <c r="BQ429" s="26"/>
      <c r="BR429" s="26"/>
      <c r="BS429" s="26"/>
      <c r="BT429" s="26"/>
      <c r="BU429" s="26"/>
      <c r="BV429" s="26"/>
      <c r="BW429" s="26"/>
      <c r="BX429" s="26"/>
      <c r="BY429" s="26"/>
      <c r="BZ429" s="26"/>
      <c r="CA429" s="26"/>
      <c r="CB429" s="26"/>
      <c r="CC429" s="26"/>
      <c r="CD429" s="26"/>
      <c r="CE429" s="26"/>
      <c r="CF429" s="26"/>
      <c r="CG429" s="26"/>
      <c r="CH429" s="26"/>
      <c r="CI429" s="26"/>
      <c r="CJ429" s="26"/>
      <c r="CK429" s="26"/>
      <c r="CL429" s="26"/>
      <c r="CM429" s="26"/>
      <c r="CN429" s="26"/>
      <c r="CO429" s="26"/>
    </row>
    <row r="430" spans="6:93" ht="12.75" hidden="1" customHeight="1" x14ac:dyDescent="0.25">
      <c r="F430" s="354">
        <f>IF(G45=6,21000,0)</f>
        <v>0</v>
      </c>
      <c r="H430" s="290">
        <f>IF(I50=2,65%,0)</f>
        <v>0</v>
      </c>
      <c r="I430" s="290">
        <f>IF(I50=12,32%,0)</f>
        <v>0</v>
      </c>
      <c r="J430" s="290">
        <f>IF(I50=22,26%,0)</f>
        <v>0</v>
      </c>
      <c r="K430" s="290">
        <f>IF(I50=32,22%,0)</f>
        <v>0</v>
      </c>
      <c r="L430" s="290">
        <f>IF(I50=42,20%,0)</f>
        <v>0</v>
      </c>
      <c r="M430" s="290">
        <f>IF(I50=52,18%,0)</f>
        <v>0</v>
      </c>
      <c r="N430" s="290"/>
      <c r="P430" s="6"/>
      <c r="Q430" s="6"/>
      <c r="R430" s="6"/>
      <c r="S430" s="6"/>
      <c r="T430" s="6"/>
      <c r="U430" s="6"/>
      <c r="V430" s="6"/>
      <c r="W430" s="6"/>
      <c r="X430" s="6"/>
      <c r="Y430" s="6"/>
      <c r="Z430" s="6"/>
      <c r="AA430" s="6"/>
      <c r="BF430" s="26"/>
      <c r="BG430" s="26"/>
      <c r="BH430" s="26"/>
      <c r="BI430" s="26"/>
      <c r="BJ430" s="26"/>
      <c r="BK430" s="26"/>
      <c r="BL430" s="26"/>
      <c r="BM430" s="26"/>
      <c r="BN430" s="26"/>
      <c r="BO430" s="26"/>
      <c r="BP430" s="26"/>
      <c r="BQ430" s="26"/>
      <c r="BR430" s="26"/>
      <c r="BS430" s="26"/>
      <c r="BT430" s="26"/>
      <c r="BU430" s="26"/>
      <c r="BV430" s="26"/>
      <c r="BW430" s="26"/>
      <c r="BX430" s="26"/>
      <c r="BY430" s="26"/>
      <c r="BZ430" s="26"/>
      <c r="CA430" s="26"/>
      <c r="CB430" s="26"/>
      <c r="CC430" s="26"/>
      <c r="CD430" s="26"/>
      <c r="CE430" s="26"/>
      <c r="CF430" s="26"/>
      <c r="CG430" s="26"/>
      <c r="CH430" s="26"/>
      <c r="CI430" s="26"/>
      <c r="CJ430" s="26"/>
      <c r="CK430" s="26"/>
      <c r="CL430" s="26"/>
      <c r="CM430" s="26"/>
      <c r="CN430" s="26"/>
      <c r="CO430" s="26"/>
    </row>
    <row r="431" spans="6:93" ht="12.75" hidden="1" customHeight="1" x14ac:dyDescent="0.25">
      <c r="F431" s="354">
        <f>IF(G45=7,22000,0)</f>
        <v>0</v>
      </c>
      <c r="H431" s="290">
        <f>IF(I50=3,55%,0)</f>
        <v>0</v>
      </c>
      <c r="I431" s="290">
        <f>IF(I50=13,32%,0)</f>
        <v>0</v>
      </c>
      <c r="J431" s="290">
        <f>IF(I50=23,26%,0)</f>
        <v>0</v>
      </c>
      <c r="K431" s="290">
        <f>IF(I50=32,22%,0)</f>
        <v>0</v>
      </c>
      <c r="L431" s="290">
        <f>IF(I50=43,20%,0)</f>
        <v>0</v>
      </c>
      <c r="M431" s="290">
        <f>IF(I50=53,18%,0)</f>
        <v>0</v>
      </c>
      <c r="N431" s="290"/>
      <c r="P431" s="6"/>
      <c r="Q431" s="6"/>
      <c r="R431" s="6"/>
      <c r="S431" s="6"/>
      <c r="T431" s="6"/>
      <c r="U431" s="6"/>
      <c r="V431" s="6"/>
      <c r="W431" s="6"/>
      <c r="X431" s="6"/>
      <c r="Y431" s="6"/>
      <c r="Z431" s="6"/>
      <c r="AA431" s="6"/>
      <c r="BF431" s="26"/>
      <c r="BG431" s="26"/>
      <c r="BH431" s="26"/>
      <c r="BI431" s="26"/>
      <c r="BJ431" s="26"/>
      <c r="BK431" s="26"/>
      <c r="BL431" s="26"/>
      <c r="BM431" s="26"/>
      <c r="BN431" s="26"/>
      <c r="BO431" s="26"/>
      <c r="BP431" s="26"/>
      <c r="BQ431" s="26"/>
      <c r="BR431" s="26"/>
      <c r="BS431" s="26"/>
      <c r="BT431" s="26"/>
      <c r="BU431" s="26"/>
      <c r="BV431" s="26"/>
      <c r="BW431" s="26"/>
      <c r="BX431" s="26"/>
      <c r="BY431" s="26"/>
      <c r="BZ431" s="26"/>
      <c r="CA431" s="26"/>
      <c r="CB431" s="26"/>
      <c r="CC431" s="26"/>
      <c r="CD431" s="26"/>
      <c r="CE431" s="26"/>
      <c r="CF431" s="26"/>
      <c r="CG431" s="26"/>
      <c r="CH431" s="26"/>
      <c r="CI431" s="26"/>
      <c r="CJ431" s="26"/>
      <c r="CK431" s="26"/>
      <c r="CL431" s="26"/>
      <c r="CM431" s="26"/>
      <c r="CN431" s="26"/>
      <c r="CO431" s="26"/>
    </row>
    <row r="432" spans="6:93" ht="12.75" hidden="1" customHeight="1" x14ac:dyDescent="0.25">
      <c r="F432" s="354">
        <f>IF(G45=8,23000,0)</f>
        <v>0</v>
      </c>
      <c r="H432" s="290">
        <f>IF(I50=4,50%,0)</f>
        <v>0</v>
      </c>
      <c r="I432" s="290">
        <f>IF(I50=14,32%,0)</f>
        <v>0</v>
      </c>
      <c r="J432" s="290">
        <f>IF(I50=24,26%,0)</f>
        <v>0</v>
      </c>
      <c r="K432" s="290">
        <f>IF(I50=34,22%,0)</f>
        <v>0</v>
      </c>
      <c r="L432" s="290">
        <f>IF(I50=44,20%,0)</f>
        <v>0</v>
      </c>
      <c r="M432" s="290">
        <f>IF(I50=54,18%,0)</f>
        <v>0</v>
      </c>
      <c r="N432" s="290"/>
      <c r="P432" s="6"/>
      <c r="Q432" s="6"/>
      <c r="R432" s="6"/>
      <c r="S432" s="6"/>
      <c r="T432" s="6"/>
      <c r="U432" s="6"/>
      <c r="V432" s="6"/>
      <c r="W432" s="6"/>
      <c r="X432" s="6"/>
      <c r="Y432" s="6"/>
      <c r="Z432" s="6"/>
      <c r="AA432" s="6"/>
      <c r="BF432" s="26"/>
      <c r="BG432" s="26"/>
      <c r="BH432" s="26"/>
      <c r="BI432" s="26"/>
      <c r="BJ432" s="26"/>
      <c r="BK432" s="26"/>
      <c r="BL432" s="26"/>
      <c r="BM432" s="26"/>
      <c r="BN432" s="26"/>
      <c r="BO432" s="26"/>
      <c r="BP432" s="26"/>
      <c r="BQ432" s="26"/>
      <c r="BR432" s="26"/>
      <c r="BS432" s="26"/>
      <c r="BT432" s="26"/>
      <c r="BU432" s="26"/>
      <c r="BV432" s="26"/>
      <c r="BW432" s="26"/>
      <c r="BX432" s="26"/>
      <c r="BY432" s="26"/>
      <c r="BZ432" s="26"/>
      <c r="CA432" s="26"/>
      <c r="CB432" s="26"/>
      <c r="CC432" s="26"/>
      <c r="CD432" s="26"/>
      <c r="CE432" s="26"/>
      <c r="CF432" s="26"/>
      <c r="CG432" s="26"/>
      <c r="CH432" s="26"/>
      <c r="CI432" s="26"/>
      <c r="CJ432" s="26"/>
      <c r="CK432" s="26"/>
      <c r="CL432" s="26"/>
      <c r="CM432" s="26"/>
      <c r="CN432" s="26"/>
      <c r="CO432" s="26"/>
    </row>
    <row r="433" spans="6:93" ht="12.75" hidden="1" customHeight="1" x14ac:dyDescent="0.25">
      <c r="F433" s="354">
        <f>IF(G45=9,24000,0)</f>
        <v>0</v>
      </c>
      <c r="H433" s="290">
        <f>IF(I50=5,45%,0)</f>
        <v>0</v>
      </c>
      <c r="I433" s="290">
        <f>IF(I50=15,32%,0)</f>
        <v>0</v>
      </c>
      <c r="J433" s="290">
        <f>IF(I50=25,26%,0)</f>
        <v>0</v>
      </c>
      <c r="K433" s="290">
        <f>IF(I50=35,22%,0)</f>
        <v>0</v>
      </c>
      <c r="L433" s="290">
        <f>IF(I50=45,20%,0)</f>
        <v>0</v>
      </c>
      <c r="M433" s="290">
        <f>IF(I50=55,18%,0)</f>
        <v>0</v>
      </c>
      <c r="N433" s="290"/>
      <c r="P433" s="6"/>
      <c r="Q433" s="6"/>
      <c r="R433" s="6"/>
      <c r="S433" s="6"/>
      <c r="T433" s="6"/>
      <c r="U433" s="6"/>
      <c r="V433" s="6"/>
      <c r="W433" s="6"/>
      <c r="X433" s="6"/>
      <c r="Y433" s="6"/>
      <c r="Z433" s="6"/>
      <c r="AA433" s="6"/>
      <c r="BF433" s="26"/>
      <c r="BG433" s="26"/>
      <c r="BH433" s="26"/>
      <c r="BI433" s="26"/>
      <c r="BJ433" s="26"/>
      <c r="BK433" s="26"/>
      <c r="BL433" s="26"/>
      <c r="BM433" s="26"/>
      <c r="BN433" s="26"/>
      <c r="BO433" s="26"/>
      <c r="BP433" s="26"/>
      <c r="BQ433" s="26"/>
      <c r="BR433" s="26"/>
      <c r="BS433" s="26"/>
      <c r="BT433" s="26"/>
      <c r="BU433" s="26"/>
      <c r="BV433" s="26"/>
      <c r="BW433" s="26"/>
      <c r="BX433" s="26"/>
      <c r="BY433" s="26"/>
      <c r="BZ433" s="26"/>
      <c r="CA433" s="26"/>
      <c r="CB433" s="26"/>
      <c r="CC433" s="26"/>
      <c r="CD433" s="26"/>
      <c r="CE433" s="26"/>
      <c r="CF433" s="26"/>
      <c r="CG433" s="26"/>
      <c r="CH433" s="26"/>
      <c r="CI433" s="26"/>
      <c r="CJ433" s="26"/>
      <c r="CK433" s="26"/>
      <c r="CL433" s="26"/>
      <c r="CM433" s="26"/>
      <c r="CN433" s="26"/>
      <c r="CO433" s="26"/>
    </row>
    <row r="434" spans="6:93" ht="12.75" hidden="1" customHeight="1" x14ac:dyDescent="0.25">
      <c r="F434" s="354">
        <f>IF(G45=10,25000,0)</f>
        <v>0</v>
      </c>
      <c r="H434" s="290">
        <f>IF(I50=6,43%,0)</f>
        <v>0</v>
      </c>
      <c r="I434" s="290">
        <f>IF(I50=16,28%,0)</f>
        <v>0</v>
      </c>
      <c r="J434" s="290">
        <f>IF(I50=26,24%,0)</f>
        <v>0</v>
      </c>
      <c r="K434" s="290">
        <f>IF(I50=36,22%,0)</f>
        <v>0</v>
      </c>
      <c r="L434" s="290">
        <f>IF(I50=46,20%,0)</f>
        <v>0</v>
      </c>
      <c r="M434" s="290">
        <f>IF(I50=56,18%,0)</f>
        <v>0</v>
      </c>
      <c r="N434" s="290"/>
      <c r="P434" s="6"/>
      <c r="Q434" s="6"/>
      <c r="R434" s="6"/>
      <c r="S434" s="6"/>
      <c r="T434" s="6"/>
      <c r="U434" s="6"/>
      <c r="V434" s="6"/>
      <c r="W434" s="6"/>
      <c r="X434" s="6"/>
      <c r="Y434" s="6"/>
      <c r="Z434" s="6"/>
      <c r="AA434" s="6"/>
      <c r="BF434" s="26"/>
      <c r="BG434" s="26"/>
      <c r="BH434" s="26"/>
      <c r="BI434" s="26"/>
      <c r="BJ434" s="26"/>
      <c r="BK434" s="26"/>
      <c r="BL434" s="26"/>
      <c r="BM434" s="26"/>
      <c r="BN434" s="26"/>
      <c r="BO434" s="26"/>
      <c r="BP434" s="26"/>
      <c r="BQ434" s="26"/>
      <c r="BR434" s="26"/>
      <c r="BS434" s="26"/>
      <c r="BT434" s="26"/>
      <c r="BU434" s="26"/>
      <c r="BV434" s="26"/>
      <c r="BW434" s="26"/>
      <c r="BX434" s="26"/>
      <c r="BY434" s="26"/>
      <c r="BZ434" s="26"/>
      <c r="CA434" s="26"/>
      <c r="CB434" s="26"/>
      <c r="CC434" s="26"/>
      <c r="CD434" s="26"/>
      <c r="CE434" s="26"/>
      <c r="CF434" s="26"/>
      <c r="CG434" s="26"/>
      <c r="CH434" s="26"/>
      <c r="CI434" s="26"/>
      <c r="CJ434" s="26"/>
      <c r="CK434" s="26"/>
      <c r="CL434" s="26"/>
      <c r="CM434" s="26"/>
      <c r="CN434" s="26"/>
      <c r="CO434" s="26"/>
    </row>
    <row r="435" spans="6:93" ht="12.75" hidden="1" customHeight="1" x14ac:dyDescent="0.25">
      <c r="F435" s="354">
        <f>IF(G45=11,26000,0)</f>
        <v>0</v>
      </c>
      <c r="H435" s="290">
        <f>IF(I50=7,40%,0)</f>
        <v>0</v>
      </c>
      <c r="I435" s="290">
        <f>IF(I50=17,28%,0)</f>
        <v>0</v>
      </c>
      <c r="J435" s="290">
        <f>IF(I50=27,24%,0)</f>
        <v>0</v>
      </c>
      <c r="K435" s="290">
        <f>IF(I50=37,22%,0)</f>
        <v>0</v>
      </c>
      <c r="L435" s="290">
        <f>IF(I50=47,20%,0)</f>
        <v>0</v>
      </c>
      <c r="M435" s="290">
        <f>IF(I50=57,18%,0)</f>
        <v>0</v>
      </c>
      <c r="N435" s="290"/>
      <c r="P435" s="6"/>
      <c r="Q435" s="6"/>
      <c r="R435" s="6"/>
      <c r="S435" s="6"/>
      <c r="T435" s="6"/>
      <c r="U435" s="6"/>
      <c r="V435" s="6"/>
      <c r="W435" s="6"/>
      <c r="X435" s="6"/>
      <c r="Y435" s="6"/>
      <c r="Z435" s="6"/>
      <c r="AA435" s="6"/>
      <c r="BF435" s="26"/>
      <c r="BG435" s="26"/>
      <c r="BH435" s="26"/>
      <c r="BI435" s="26"/>
      <c r="BJ435" s="26"/>
      <c r="BK435" s="26"/>
      <c r="BL435" s="26"/>
      <c r="BM435" s="26"/>
      <c r="BN435" s="26"/>
      <c r="BO435" s="26"/>
      <c r="BP435" s="26"/>
      <c r="BQ435" s="26"/>
      <c r="BR435" s="26"/>
      <c r="BS435" s="26"/>
      <c r="BT435" s="26"/>
      <c r="BU435" s="26"/>
      <c r="BV435" s="26"/>
      <c r="BW435" s="26"/>
      <c r="BX435" s="26"/>
      <c r="BY435" s="26"/>
      <c r="BZ435" s="26"/>
      <c r="CA435" s="26"/>
      <c r="CB435" s="26"/>
      <c r="CC435" s="26"/>
      <c r="CD435" s="26"/>
      <c r="CE435" s="26"/>
      <c r="CF435" s="26"/>
      <c r="CG435" s="26"/>
      <c r="CH435" s="26"/>
      <c r="CI435" s="26"/>
      <c r="CJ435" s="26"/>
      <c r="CK435" s="26"/>
      <c r="CL435" s="26"/>
      <c r="CM435" s="26"/>
      <c r="CN435" s="26"/>
      <c r="CO435" s="26"/>
    </row>
    <row r="436" spans="6:93" ht="12.75" hidden="1" customHeight="1" x14ac:dyDescent="0.25">
      <c r="F436" s="354">
        <f>IF(G45=12,27000,0)</f>
        <v>0</v>
      </c>
      <c r="H436" s="290">
        <f>IF(I50=8,36%,0)</f>
        <v>0</v>
      </c>
      <c r="I436" s="290">
        <f>IF(I50=18,28%,0)</f>
        <v>0</v>
      </c>
      <c r="J436" s="290">
        <f>IF(I50=28,24%,0)</f>
        <v>0</v>
      </c>
      <c r="K436" s="290">
        <f>IF(I50=38,22%,0)</f>
        <v>0</v>
      </c>
      <c r="L436" s="290">
        <f>IF(I50=48,20%,0)</f>
        <v>0</v>
      </c>
      <c r="M436" s="290">
        <f>IF(I50=58,18%,0)</f>
        <v>0</v>
      </c>
      <c r="N436" s="290"/>
      <c r="P436" s="6"/>
      <c r="Q436" s="6"/>
      <c r="R436" s="6"/>
      <c r="S436" s="6"/>
      <c r="T436" s="6"/>
      <c r="U436" s="6"/>
      <c r="V436" s="6"/>
      <c r="W436" s="6"/>
      <c r="X436" s="6"/>
      <c r="Y436" s="6"/>
      <c r="Z436" s="6"/>
      <c r="AA436" s="6"/>
      <c r="BF436" s="26"/>
      <c r="BG436" s="26"/>
      <c r="BH436" s="26"/>
      <c r="BI436" s="26"/>
      <c r="BJ436" s="26"/>
      <c r="BK436" s="26"/>
      <c r="BL436" s="26"/>
      <c r="BM436" s="26"/>
      <c r="BN436" s="26"/>
      <c r="BO436" s="26"/>
      <c r="BP436" s="26"/>
      <c r="BQ436" s="26"/>
      <c r="BR436" s="26"/>
      <c r="BS436" s="26"/>
      <c r="BT436" s="26"/>
      <c r="BU436" s="26"/>
      <c r="BV436" s="26"/>
      <c r="BW436" s="26"/>
      <c r="BX436" s="26"/>
      <c r="BY436" s="26"/>
      <c r="BZ436" s="26"/>
      <c r="CA436" s="26"/>
      <c r="CB436" s="26"/>
      <c r="CC436" s="26"/>
      <c r="CD436" s="26"/>
      <c r="CE436" s="26"/>
      <c r="CF436" s="26"/>
      <c r="CG436" s="26"/>
      <c r="CH436" s="26"/>
      <c r="CI436" s="26"/>
      <c r="CJ436" s="26"/>
      <c r="CK436" s="26"/>
      <c r="CL436" s="26"/>
      <c r="CM436" s="26"/>
      <c r="CN436" s="26"/>
      <c r="CO436" s="26"/>
    </row>
    <row r="437" spans="6:93" ht="12.75" hidden="1" customHeight="1" x14ac:dyDescent="0.25">
      <c r="F437" s="354">
        <f>IF(G45=13,28000,0)</f>
        <v>0</v>
      </c>
      <c r="H437" s="290">
        <f>IF(I50=9,35%,0)</f>
        <v>0</v>
      </c>
      <c r="I437" s="290">
        <f>IF(I50=19,28%,0)</f>
        <v>0</v>
      </c>
      <c r="J437" s="290">
        <f>IF(I50=29,24%,0)</f>
        <v>0</v>
      </c>
      <c r="K437" s="290">
        <f>IF(I50=39,22%,0)</f>
        <v>0</v>
      </c>
      <c r="L437" s="290">
        <f>IF(I50=49,20%,0)</f>
        <v>0</v>
      </c>
      <c r="M437" s="290">
        <f>IF(I50=59,18%,0)</f>
        <v>0</v>
      </c>
      <c r="N437" s="290"/>
      <c r="P437" s="6"/>
      <c r="Q437" s="6"/>
      <c r="R437" s="6"/>
      <c r="S437" s="6"/>
      <c r="T437" s="6"/>
      <c r="U437" s="6"/>
      <c r="V437" s="6"/>
      <c r="W437" s="6"/>
      <c r="X437" s="6"/>
      <c r="Y437" s="6"/>
      <c r="Z437" s="6"/>
      <c r="AA437" s="6"/>
      <c r="BF437" s="26"/>
      <c r="BG437" s="26"/>
      <c r="BH437" s="26"/>
      <c r="BI437" s="26"/>
      <c r="BJ437" s="26"/>
      <c r="BK437" s="26"/>
      <c r="BL437" s="26"/>
      <c r="BM437" s="26"/>
      <c r="BN437" s="26"/>
      <c r="BO437" s="26"/>
      <c r="BP437" s="26"/>
      <c r="BQ437" s="26"/>
      <c r="BR437" s="26"/>
      <c r="BS437" s="26"/>
      <c r="BT437" s="26"/>
      <c r="BU437" s="26"/>
      <c r="BV437" s="26"/>
      <c r="BW437" s="26"/>
      <c r="BX437" s="26"/>
      <c r="BY437" s="26"/>
      <c r="BZ437" s="26"/>
      <c r="CA437" s="26"/>
      <c r="CB437" s="26"/>
      <c r="CC437" s="26"/>
      <c r="CD437" s="26"/>
      <c r="CE437" s="26"/>
      <c r="CF437" s="26"/>
      <c r="CG437" s="26"/>
      <c r="CH437" s="26"/>
      <c r="CI437" s="26"/>
      <c r="CJ437" s="26"/>
      <c r="CK437" s="26"/>
      <c r="CL437" s="26"/>
      <c r="CM437" s="26"/>
      <c r="CN437" s="26"/>
      <c r="CO437" s="26"/>
    </row>
    <row r="438" spans="6:93" ht="12.75" hidden="1" customHeight="1" x14ac:dyDescent="0.25">
      <c r="F438" s="354">
        <f>IF(G45=14,29000,0)</f>
        <v>0</v>
      </c>
      <c r="H438" s="290">
        <f>IF(I50=10,34%,0)</f>
        <v>0</v>
      </c>
      <c r="I438" s="290">
        <f>IF(I50=20,28%,0)</f>
        <v>0</v>
      </c>
      <c r="J438" s="290">
        <f>IF(I50=30,24%,0)</f>
        <v>0</v>
      </c>
      <c r="K438" s="290">
        <f>IF(I50=40,22%,0)</f>
        <v>0</v>
      </c>
      <c r="L438" s="290">
        <f>IF(I50=50,20%,0)</f>
        <v>0</v>
      </c>
      <c r="M438" s="290">
        <f>IF(I50=60,18%,0)</f>
        <v>0</v>
      </c>
      <c r="N438" s="290"/>
      <c r="P438" s="6"/>
      <c r="Q438" s="6"/>
      <c r="R438" s="6"/>
      <c r="S438" s="6"/>
      <c r="T438" s="6"/>
      <c r="U438" s="6"/>
      <c r="V438" s="6"/>
      <c r="W438" s="6"/>
      <c r="X438" s="6"/>
      <c r="Y438" s="6"/>
      <c r="Z438" s="6"/>
      <c r="AA438" s="6"/>
      <c r="BF438" s="26"/>
      <c r="BG438" s="26"/>
      <c r="BH438" s="26"/>
      <c r="BI438" s="26"/>
      <c r="BJ438" s="26"/>
      <c r="BK438" s="26"/>
      <c r="BL438" s="26"/>
      <c r="BM438" s="26"/>
      <c r="BN438" s="26"/>
      <c r="BO438" s="26"/>
      <c r="BP438" s="26"/>
      <c r="BQ438" s="26"/>
      <c r="BR438" s="26"/>
      <c r="BS438" s="26"/>
      <c r="BT438" s="26"/>
      <c r="BU438" s="26"/>
      <c r="BV438" s="26"/>
      <c r="BW438" s="26"/>
      <c r="BX438" s="26"/>
      <c r="BY438" s="26"/>
      <c r="BZ438" s="26"/>
      <c r="CA438" s="26"/>
      <c r="CB438" s="26"/>
      <c r="CC438" s="26"/>
      <c r="CD438" s="26"/>
      <c r="CE438" s="26"/>
      <c r="CF438" s="26"/>
      <c r="CG438" s="26"/>
      <c r="CH438" s="26"/>
      <c r="CI438" s="26"/>
      <c r="CJ438" s="26"/>
      <c r="CK438" s="26"/>
      <c r="CL438" s="26"/>
      <c r="CM438" s="26"/>
      <c r="CN438" s="26"/>
      <c r="CO438" s="26"/>
    </row>
    <row r="439" spans="6:93" ht="12.75" hidden="1" customHeight="1" x14ac:dyDescent="0.25">
      <c r="F439" s="354">
        <f>IF(G45=15,30000,0)</f>
        <v>0</v>
      </c>
      <c r="H439" s="290">
        <f t="shared" ref="H439:M439" si="91">SUM(H429:H438)</f>
        <v>0</v>
      </c>
      <c r="I439" s="290">
        <f t="shared" si="91"/>
        <v>0</v>
      </c>
      <c r="J439" s="290">
        <f t="shared" si="91"/>
        <v>0</v>
      </c>
      <c r="K439" s="290">
        <f t="shared" si="91"/>
        <v>0</v>
      </c>
      <c r="L439" s="290">
        <f t="shared" si="91"/>
        <v>0</v>
      </c>
      <c r="M439" s="290">
        <f t="shared" si="91"/>
        <v>0</v>
      </c>
      <c r="N439" s="290">
        <f>IF(I50&gt;60,16%,0)</f>
        <v>0</v>
      </c>
      <c r="P439" s="6"/>
      <c r="Q439" s="6"/>
      <c r="R439" s="6"/>
      <c r="S439" s="6"/>
      <c r="T439" s="6"/>
      <c r="U439" s="6"/>
      <c r="V439" s="6"/>
      <c r="W439" s="6"/>
      <c r="X439" s="6"/>
      <c r="Y439" s="6"/>
      <c r="Z439" s="6"/>
      <c r="AA439" s="6"/>
      <c r="BF439" s="26"/>
      <c r="BG439" s="26"/>
      <c r="BH439" s="26"/>
      <c r="BI439" s="26"/>
      <c r="BJ439" s="26"/>
      <c r="BK439" s="26"/>
      <c r="BL439" s="26"/>
      <c r="BM439" s="26"/>
      <c r="BN439" s="26"/>
      <c r="BO439" s="26"/>
      <c r="BP439" s="26"/>
      <c r="BQ439" s="26"/>
      <c r="BR439" s="26"/>
      <c r="BS439" s="26"/>
      <c r="BT439" s="26"/>
      <c r="BU439" s="26"/>
      <c r="BV439" s="26"/>
      <c r="BW439" s="26"/>
      <c r="BX439" s="26"/>
      <c r="BY439" s="26"/>
      <c r="BZ439" s="26"/>
      <c r="CA439" s="26"/>
      <c r="CB439" s="26"/>
      <c r="CC439" s="26"/>
      <c r="CD439" s="26"/>
      <c r="CE439" s="26"/>
      <c r="CF439" s="26"/>
      <c r="CG439" s="26"/>
      <c r="CH439" s="26"/>
      <c r="CI439" s="26"/>
      <c r="CJ439" s="26"/>
      <c r="CK439" s="26"/>
      <c r="CL439" s="26"/>
      <c r="CM439" s="26"/>
      <c r="CN439" s="26"/>
      <c r="CO439" s="26"/>
    </row>
    <row r="440" spans="6:93" ht="12.75" hidden="1" customHeight="1" x14ac:dyDescent="0.25">
      <c r="F440" s="354">
        <f>IF(G45=16,31000,0)</f>
        <v>0</v>
      </c>
      <c r="H440" s="290"/>
      <c r="I440" s="290"/>
      <c r="J440" s="290"/>
      <c r="K440" s="290"/>
      <c r="L440" s="290"/>
      <c r="M440" s="290"/>
      <c r="N440" s="290">
        <f>SUM(H439:N439)</f>
        <v>0</v>
      </c>
      <c r="P440" s="6"/>
      <c r="Q440" s="6"/>
      <c r="R440" s="6"/>
      <c r="S440" s="6"/>
      <c r="T440" s="6"/>
      <c r="U440" s="6"/>
      <c r="V440" s="6"/>
      <c r="W440" s="6"/>
      <c r="X440" s="6"/>
      <c r="Y440" s="6"/>
      <c r="Z440" s="6"/>
      <c r="AA440" s="6"/>
      <c r="BF440" s="26"/>
      <c r="BG440" s="26"/>
      <c r="BH440" s="26"/>
      <c r="BI440" s="26"/>
      <c r="BJ440" s="26"/>
      <c r="BK440" s="26"/>
      <c r="BL440" s="26"/>
      <c r="BM440" s="26"/>
      <c r="BN440" s="26"/>
      <c r="BO440" s="26"/>
      <c r="BP440" s="26"/>
      <c r="BQ440" s="26"/>
      <c r="BR440" s="26"/>
      <c r="BS440" s="26"/>
      <c r="BT440" s="26"/>
      <c r="BU440" s="26"/>
      <c r="BV440" s="26"/>
      <c r="BW440" s="26"/>
      <c r="BX440" s="26"/>
      <c r="BY440" s="26"/>
      <c r="BZ440" s="26"/>
      <c r="CA440" s="26"/>
      <c r="CB440" s="26"/>
      <c r="CC440" s="26"/>
      <c r="CD440" s="26"/>
      <c r="CE440" s="26"/>
      <c r="CF440" s="26"/>
      <c r="CG440" s="26"/>
      <c r="CH440" s="26"/>
      <c r="CI440" s="26"/>
      <c r="CJ440" s="26"/>
      <c r="CK440" s="26"/>
      <c r="CL440" s="26"/>
      <c r="CM440" s="26"/>
      <c r="CN440" s="26"/>
      <c r="CO440" s="26"/>
    </row>
    <row r="441" spans="6:93" ht="12.75" hidden="1" customHeight="1" x14ac:dyDescent="0.25">
      <c r="F441" s="354">
        <f>IF(G45=17,32000,0)</f>
        <v>0</v>
      </c>
      <c r="P441" s="6"/>
      <c r="Q441" s="6"/>
      <c r="R441" s="6"/>
      <c r="S441" s="6"/>
      <c r="T441" s="6"/>
      <c r="U441" s="6"/>
      <c r="V441" s="6"/>
      <c r="W441" s="6"/>
      <c r="X441" s="6"/>
      <c r="Y441" s="6"/>
      <c r="Z441" s="6"/>
      <c r="AA441" s="6"/>
      <c r="BF441" s="26"/>
      <c r="BG441" s="26"/>
      <c r="BH441" s="26"/>
      <c r="BI441" s="26"/>
      <c r="BJ441" s="26"/>
      <c r="BK441" s="26"/>
      <c r="BL441" s="26"/>
      <c r="BM441" s="26"/>
      <c r="BN441" s="26"/>
      <c r="BO441" s="26"/>
      <c r="BP441" s="26"/>
      <c r="BQ441" s="26"/>
      <c r="BR441" s="26"/>
      <c r="BS441" s="26"/>
      <c r="BT441" s="26"/>
      <c r="BU441" s="26"/>
      <c r="BV441" s="26"/>
      <c r="BW441" s="26"/>
      <c r="BX441" s="26"/>
      <c r="BY441" s="26"/>
      <c r="BZ441" s="26"/>
      <c r="CA441" s="26"/>
      <c r="CB441" s="26"/>
      <c r="CC441" s="26"/>
      <c r="CD441" s="26"/>
      <c r="CE441" s="26"/>
      <c r="CF441" s="26"/>
      <c r="CG441" s="26"/>
      <c r="CH441" s="26"/>
      <c r="CI441" s="26"/>
      <c r="CJ441" s="26"/>
      <c r="CK441" s="26"/>
      <c r="CL441" s="26"/>
      <c r="CM441" s="26"/>
      <c r="CN441" s="26"/>
      <c r="CO441" s="26"/>
    </row>
    <row r="442" spans="6:93" ht="12.75" hidden="1" customHeight="1" x14ac:dyDescent="0.25">
      <c r="F442" s="354">
        <f>IF(G45=18,33000,0)</f>
        <v>0</v>
      </c>
      <c r="P442" s="6"/>
      <c r="Q442" s="6"/>
      <c r="R442" s="6"/>
      <c r="S442" s="6"/>
      <c r="T442" s="6"/>
      <c r="U442" s="6"/>
      <c r="V442" s="6"/>
      <c r="W442" s="6"/>
      <c r="X442" s="6"/>
      <c r="Y442" s="6"/>
      <c r="Z442" s="6"/>
      <c r="AA442" s="6"/>
      <c r="BF442" s="26"/>
      <c r="BG442" s="26"/>
      <c r="BH442" s="26"/>
      <c r="BI442" s="26"/>
      <c r="BJ442" s="26"/>
      <c r="BK442" s="26"/>
      <c r="BL442" s="26"/>
      <c r="BM442" s="26"/>
      <c r="BN442" s="26"/>
      <c r="BO442" s="26"/>
      <c r="BP442" s="26"/>
      <c r="BQ442" s="26"/>
      <c r="BR442" s="26"/>
      <c r="BS442" s="26"/>
      <c r="BT442" s="26"/>
      <c r="BU442" s="26"/>
      <c r="BV442" s="26"/>
      <c r="BW442" s="26"/>
      <c r="BX442" s="26"/>
      <c r="BY442" s="26"/>
      <c r="BZ442" s="26"/>
      <c r="CA442" s="26"/>
      <c r="CB442" s="26"/>
      <c r="CC442" s="26"/>
      <c r="CD442" s="26"/>
      <c r="CE442" s="26"/>
      <c r="CF442" s="26"/>
      <c r="CG442" s="26"/>
      <c r="CH442" s="26"/>
      <c r="CI442" s="26"/>
      <c r="CJ442" s="26"/>
      <c r="CK442" s="26"/>
      <c r="CL442" s="26"/>
      <c r="CM442" s="26"/>
      <c r="CN442" s="26"/>
      <c r="CO442" s="26"/>
    </row>
    <row r="443" spans="6:93" ht="12.75" hidden="1" customHeight="1" x14ac:dyDescent="0.25">
      <c r="F443" s="354">
        <f>IF(G45=19,34000,0)</f>
        <v>0</v>
      </c>
      <c r="L443" s="356">
        <f>IF(G44&lt;8750,0,L513)</f>
        <v>0</v>
      </c>
      <c r="P443" s="6"/>
      <c r="Q443" s="6"/>
      <c r="R443" s="6"/>
      <c r="S443" s="6"/>
      <c r="T443" s="6"/>
      <c r="U443" s="6"/>
      <c r="V443" s="6"/>
      <c r="W443" s="6"/>
      <c r="X443" s="6"/>
      <c r="Y443" s="6"/>
      <c r="Z443" s="6"/>
      <c r="AA443" s="6"/>
      <c r="BF443" s="26"/>
      <c r="BG443" s="26"/>
      <c r="BH443" s="26"/>
      <c r="BI443" s="26"/>
      <c r="BJ443" s="26"/>
      <c r="BK443" s="26"/>
      <c r="BL443" s="26"/>
      <c r="BM443" s="26"/>
      <c r="BN443" s="26"/>
      <c r="BO443" s="26"/>
      <c r="BP443" s="26"/>
      <c r="BQ443" s="26"/>
      <c r="BR443" s="26"/>
      <c r="BS443" s="26"/>
      <c r="BT443" s="26"/>
      <c r="BU443" s="26"/>
      <c r="BV443" s="26"/>
      <c r="BW443" s="26"/>
      <c r="BX443" s="26"/>
      <c r="BY443" s="26"/>
      <c r="BZ443" s="26"/>
      <c r="CA443" s="26"/>
      <c r="CB443" s="26"/>
      <c r="CC443" s="26"/>
      <c r="CD443" s="26"/>
      <c r="CE443" s="26"/>
      <c r="CF443" s="26"/>
      <c r="CG443" s="26"/>
      <c r="CH443" s="26"/>
      <c r="CI443" s="26"/>
      <c r="CJ443" s="26"/>
      <c r="CK443" s="26"/>
      <c r="CL443" s="26"/>
      <c r="CM443" s="26"/>
      <c r="CN443" s="26"/>
      <c r="CO443" s="26"/>
    </row>
    <row r="444" spans="6:93" ht="12.75" hidden="1" customHeight="1" x14ac:dyDescent="0.25">
      <c r="F444" s="354">
        <f>IF(G45=20,35000,0)</f>
        <v>0</v>
      </c>
      <c r="I444" s="52" t="s">
        <v>278</v>
      </c>
      <c r="J444" s="52"/>
      <c r="P444" s="6"/>
      <c r="Q444" s="6"/>
      <c r="R444" s="6"/>
      <c r="S444" s="6"/>
      <c r="T444" s="6"/>
      <c r="U444" s="6"/>
      <c r="V444" s="6"/>
      <c r="W444" s="6"/>
      <c r="X444" s="6"/>
      <c r="Y444" s="6"/>
      <c r="Z444" s="6"/>
      <c r="AA444" s="6"/>
      <c r="BF444" s="26"/>
      <c r="BG444" s="26"/>
      <c r="BH444" s="26"/>
      <c r="BI444" s="26"/>
      <c r="BJ444" s="26"/>
      <c r="BK444" s="26"/>
      <c r="BL444" s="26"/>
      <c r="BM444" s="26"/>
      <c r="BN444" s="26"/>
      <c r="BO444" s="26"/>
      <c r="BP444" s="26"/>
      <c r="BQ444" s="26"/>
      <c r="BR444" s="26"/>
      <c r="BS444" s="26"/>
      <c r="BT444" s="26"/>
      <c r="BU444" s="26"/>
      <c r="BV444" s="26"/>
      <c r="BW444" s="26"/>
      <c r="BX444" s="26"/>
      <c r="BY444" s="26"/>
      <c r="BZ444" s="26"/>
      <c r="CA444" s="26"/>
      <c r="CB444" s="26"/>
      <c r="CC444" s="26"/>
      <c r="CD444" s="26"/>
      <c r="CE444" s="26"/>
      <c r="CF444" s="26"/>
      <c r="CG444" s="26"/>
      <c r="CH444" s="26"/>
      <c r="CI444" s="26"/>
      <c r="CJ444" s="26"/>
      <c r="CK444" s="26"/>
      <c r="CL444" s="26"/>
      <c r="CM444" s="26"/>
      <c r="CN444" s="26"/>
      <c r="CO444" s="26"/>
    </row>
    <row r="445" spans="6:93" ht="12.75" hidden="1" customHeight="1" x14ac:dyDescent="0.25">
      <c r="F445" s="354">
        <f>IF(G45=21,36000,0)</f>
        <v>0</v>
      </c>
      <c r="P445" s="6"/>
      <c r="Q445" s="6"/>
      <c r="R445" s="6"/>
      <c r="S445" s="6"/>
      <c r="T445" s="6"/>
      <c r="U445" s="6"/>
      <c r="V445" s="6"/>
      <c r="W445" s="6"/>
      <c r="X445" s="6"/>
      <c r="Y445" s="6"/>
      <c r="Z445" s="6"/>
      <c r="AA445" s="6"/>
      <c r="BF445" s="26"/>
      <c r="BG445" s="26"/>
      <c r="BH445" s="26"/>
      <c r="BI445" s="26"/>
      <c r="BJ445" s="26"/>
      <c r="BK445" s="26"/>
      <c r="BL445" s="26"/>
      <c r="BM445" s="26"/>
      <c r="BN445" s="26"/>
      <c r="BO445" s="26"/>
      <c r="BP445" s="26"/>
      <c r="BQ445" s="26"/>
      <c r="BR445" s="26"/>
      <c r="BS445" s="26"/>
      <c r="BT445" s="26"/>
      <c r="BU445" s="26"/>
      <c r="BV445" s="26"/>
      <c r="BW445" s="26"/>
      <c r="BX445" s="26"/>
      <c r="BY445" s="26"/>
      <c r="BZ445" s="26"/>
      <c r="CA445" s="26"/>
      <c r="CB445" s="26"/>
      <c r="CC445" s="26"/>
      <c r="CD445" s="26"/>
      <c r="CE445" s="26"/>
      <c r="CF445" s="26"/>
      <c r="CG445" s="26"/>
      <c r="CH445" s="26"/>
      <c r="CI445" s="26"/>
      <c r="CJ445" s="26"/>
      <c r="CK445" s="26"/>
      <c r="CL445" s="26"/>
      <c r="CM445" s="26"/>
      <c r="CN445" s="26"/>
      <c r="CO445" s="26"/>
    </row>
    <row r="446" spans="6:93" ht="12.75" hidden="1" customHeight="1" x14ac:dyDescent="0.25">
      <c r="F446" s="354">
        <f>IF(G45=22,37000,0)</f>
        <v>0</v>
      </c>
      <c r="H446" s="357"/>
      <c r="I446" s="357"/>
      <c r="J446" s="357"/>
      <c r="K446" s="357"/>
      <c r="L446" s="357"/>
      <c r="M446" s="26"/>
      <c r="P446" s="6"/>
      <c r="Q446" s="6"/>
      <c r="R446" s="6"/>
      <c r="S446" s="6"/>
      <c r="T446" s="6"/>
      <c r="U446" s="6"/>
      <c r="V446" s="6"/>
      <c r="W446" s="6"/>
      <c r="X446" s="6"/>
      <c r="Y446" s="6"/>
      <c r="Z446" s="6"/>
      <c r="AA446" s="6"/>
      <c r="BF446" s="26"/>
      <c r="BG446" s="26"/>
      <c r="BH446" s="26"/>
      <c r="BI446" s="26"/>
      <c r="BJ446" s="26"/>
      <c r="BK446" s="26"/>
      <c r="BL446" s="26"/>
      <c r="BM446" s="26"/>
      <c r="BN446" s="26"/>
      <c r="BO446" s="26"/>
      <c r="BP446" s="26"/>
      <c r="BQ446" s="26"/>
      <c r="BR446" s="26"/>
      <c r="BS446" s="26"/>
      <c r="BT446" s="26"/>
      <c r="BU446" s="26"/>
      <c r="BV446" s="26"/>
      <c r="BW446" s="26"/>
      <c r="BX446" s="26"/>
      <c r="BY446" s="26"/>
      <c r="BZ446" s="26"/>
      <c r="CA446" s="26"/>
      <c r="CB446" s="26"/>
      <c r="CC446" s="26"/>
      <c r="CD446" s="26"/>
      <c r="CE446" s="26"/>
      <c r="CF446" s="26"/>
      <c r="CG446" s="26"/>
      <c r="CH446" s="26"/>
      <c r="CI446" s="26"/>
      <c r="CJ446" s="26"/>
      <c r="CK446" s="26"/>
      <c r="CL446" s="26"/>
      <c r="CM446" s="26"/>
      <c r="CN446" s="26"/>
      <c r="CO446" s="26"/>
    </row>
    <row r="447" spans="6:93" ht="12.75" hidden="1" customHeight="1" x14ac:dyDescent="0.25">
      <c r="F447" s="354">
        <f>IF(G45=23,38000,0)</f>
        <v>0</v>
      </c>
      <c r="H447" s="357" t="s">
        <v>279</v>
      </c>
      <c r="I447" s="357"/>
      <c r="J447" s="357">
        <f>IF(G44&gt;1,1,0)</f>
        <v>0</v>
      </c>
      <c r="K447" s="357">
        <f>IF(G44&lt;12499,1,0)</f>
        <v>1</v>
      </c>
      <c r="L447" s="357">
        <f t="shared" ref="L447:L462" si="92">SUM(J447+K447)</f>
        <v>1</v>
      </c>
      <c r="M447" s="136">
        <f>IF(L447=2,8000,0)</f>
        <v>0</v>
      </c>
      <c r="P447" s="6"/>
      <c r="Q447" s="6"/>
      <c r="R447" s="6"/>
      <c r="S447" s="6"/>
      <c r="T447" s="6"/>
      <c r="U447" s="6"/>
      <c r="V447" s="6"/>
      <c r="W447" s="6"/>
      <c r="X447" s="6"/>
      <c r="Y447" s="6"/>
      <c r="Z447" s="6"/>
      <c r="AA447" s="6"/>
      <c r="BF447" s="26"/>
      <c r="BG447" s="26"/>
      <c r="BH447" s="26"/>
      <c r="BI447" s="26"/>
      <c r="BJ447" s="26"/>
      <c r="BK447" s="26"/>
      <c r="BL447" s="26"/>
      <c r="BM447" s="26"/>
      <c r="BN447" s="26"/>
      <c r="BO447" s="26"/>
      <c r="BP447" s="26"/>
      <c r="BQ447" s="26"/>
      <c r="BR447" s="26"/>
      <c r="BS447" s="26"/>
      <c r="BT447" s="26"/>
      <c r="BU447" s="26"/>
      <c r="BV447" s="26"/>
      <c r="BW447" s="26"/>
      <c r="BX447" s="26"/>
      <c r="BY447" s="26"/>
      <c r="BZ447" s="26"/>
      <c r="CA447" s="26"/>
      <c r="CB447" s="26"/>
      <c r="CC447" s="26"/>
      <c r="CD447" s="26"/>
      <c r="CE447" s="26"/>
      <c r="CF447" s="26"/>
      <c r="CG447" s="26"/>
      <c r="CH447" s="26"/>
      <c r="CI447" s="26"/>
      <c r="CJ447" s="26"/>
      <c r="CK447" s="26"/>
      <c r="CL447" s="26"/>
      <c r="CM447" s="26"/>
      <c r="CN447" s="26"/>
      <c r="CO447" s="26"/>
    </row>
    <row r="448" spans="6:93" ht="12.75" hidden="1" customHeight="1" x14ac:dyDescent="0.25">
      <c r="F448" s="354">
        <f>IF(G45=24,39000,0)</f>
        <v>0</v>
      </c>
      <c r="H448" s="357" t="s">
        <v>280</v>
      </c>
      <c r="I448" s="357"/>
      <c r="J448" s="357">
        <f>IF(G44&gt;=12500,1,0)</f>
        <v>0</v>
      </c>
      <c r="K448" s="357">
        <f>IF(G44&lt;13499,1,0)</f>
        <v>1</v>
      </c>
      <c r="L448" s="357">
        <f t="shared" si="92"/>
        <v>1</v>
      </c>
      <c r="M448" s="136">
        <f>IF(L448=2,8400,0)</f>
        <v>0</v>
      </c>
      <c r="P448" s="6"/>
      <c r="Q448" s="6"/>
      <c r="R448" s="6"/>
      <c r="S448" s="6"/>
      <c r="T448" s="6"/>
      <c r="U448" s="6"/>
      <c r="V448" s="6"/>
      <c r="W448" s="6"/>
      <c r="X448" s="6"/>
      <c r="Y448" s="6"/>
      <c r="Z448" s="6"/>
      <c r="AA448" s="6"/>
      <c r="BF448" s="26"/>
      <c r="BG448" s="26"/>
      <c r="BH448" s="26"/>
      <c r="BI448" s="26"/>
      <c r="BJ448" s="26"/>
      <c r="BK448" s="26"/>
      <c r="BL448" s="26"/>
      <c r="BM448" s="26"/>
      <c r="BN448" s="26"/>
      <c r="BO448" s="26"/>
      <c r="BP448" s="26"/>
      <c r="BQ448" s="26"/>
      <c r="BR448" s="26"/>
      <c r="BS448" s="26"/>
      <c r="BT448" s="26"/>
      <c r="BU448" s="26"/>
      <c r="BV448" s="26"/>
      <c r="BW448" s="26"/>
      <c r="BX448" s="26"/>
      <c r="BY448" s="26"/>
      <c r="BZ448" s="26"/>
      <c r="CA448" s="26"/>
      <c r="CB448" s="26"/>
      <c r="CC448" s="26"/>
      <c r="CD448" s="26"/>
      <c r="CE448" s="26"/>
      <c r="CF448" s="26"/>
      <c r="CG448" s="26"/>
      <c r="CH448" s="26"/>
      <c r="CI448" s="26"/>
      <c r="CJ448" s="26"/>
      <c r="CK448" s="26"/>
      <c r="CL448" s="26"/>
      <c r="CM448" s="26"/>
      <c r="CN448" s="26"/>
      <c r="CO448" s="26"/>
    </row>
    <row r="449" spans="6:93" ht="12.75" hidden="1" customHeight="1" x14ac:dyDescent="0.25">
      <c r="F449" s="354">
        <f>IF(G45=25,40000,0)</f>
        <v>0</v>
      </c>
      <c r="H449" s="357" t="s">
        <v>281</v>
      </c>
      <c r="I449" s="357"/>
      <c r="J449" s="357">
        <f>IF(G44&gt;=13500,1,0)</f>
        <v>0</v>
      </c>
      <c r="K449" s="357">
        <f>IF(G44&lt;14499,1,0)</f>
        <v>1</v>
      </c>
      <c r="L449" s="357">
        <f t="shared" si="92"/>
        <v>1</v>
      </c>
      <c r="M449" s="136">
        <f>IF(L449=2,8800,0)</f>
        <v>0</v>
      </c>
      <c r="P449" s="6"/>
      <c r="Q449" s="6"/>
      <c r="R449" s="6"/>
      <c r="S449" s="6"/>
      <c r="T449" s="6"/>
      <c r="U449" s="6"/>
      <c r="V449" s="6"/>
      <c r="W449" s="6"/>
      <c r="X449" s="6"/>
      <c r="Y449" s="6"/>
      <c r="Z449" s="6"/>
      <c r="AA449" s="6"/>
      <c r="BF449" s="26"/>
      <c r="BG449" s="26"/>
      <c r="BH449" s="26"/>
      <c r="BI449" s="26"/>
      <c r="BJ449" s="26"/>
      <c r="BK449" s="26"/>
      <c r="BL449" s="26"/>
      <c r="BM449" s="26"/>
      <c r="BN449" s="26"/>
      <c r="BO449" s="26"/>
      <c r="BP449" s="26"/>
      <c r="BQ449" s="26"/>
      <c r="BR449" s="26"/>
      <c r="BS449" s="26"/>
      <c r="BT449" s="26"/>
      <c r="BU449" s="26"/>
      <c r="BV449" s="26"/>
      <c r="BW449" s="26"/>
      <c r="BX449" s="26"/>
      <c r="BY449" s="26"/>
      <c r="BZ449" s="26"/>
      <c r="CA449" s="26"/>
      <c r="CB449" s="26"/>
      <c r="CC449" s="26"/>
      <c r="CD449" s="26"/>
      <c r="CE449" s="26"/>
      <c r="CF449" s="26"/>
      <c r="CG449" s="26"/>
      <c r="CH449" s="26"/>
      <c r="CI449" s="26"/>
      <c r="CJ449" s="26"/>
      <c r="CK449" s="26"/>
      <c r="CL449" s="26"/>
      <c r="CM449" s="26"/>
      <c r="CN449" s="26"/>
      <c r="CO449" s="26"/>
    </row>
    <row r="450" spans="6:93" ht="12.75" hidden="1" customHeight="1" x14ac:dyDescent="0.25">
      <c r="F450" s="354">
        <f>IF(G45=26,15000+(26*1000),0)</f>
        <v>0</v>
      </c>
      <c r="H450" s="357" t="s">
        <v>282</v>
      </c>
      <c r="I450" s="357"/>
      <c r="J450" s="357">
        <f>IF(G44&gt;=14500,1,0)</f>
        <v>0</v>
      </c>
      <c r="K450" s="357">
        <f>IF(G44&lt;15499,1,0)</f>
        <v>1</v>
      </c>
      <c r="L450" s="357">
        <f t="shared" si="92"/>
        <v>1</v>
      </c>
      <c r="M450" s="136">
        <f>IF(L450=2,9200,0)</f>
        <v>0</v>
      </c>
      <c r="P450" s="6"/>
      <c r="Q450" s="6"/>
      <c r="R450" s="6"/>
      <c r="S450" s="6"/>
      <c r="T450" s="6"/>
      <c r="U450" s="6"/>
      <c r="V450" s="6"/>
      <c r="W450" s="6"/>
      <c r="X450" s="6"/>
      <c r="Y450" s="6"/>
      <c r="Z450" s="6"/>
      <c r="AA450" s="6"/>
      <c r="BF450" s="26"/>
      <c r="BG450" s="26"/>
      <c r="BH450" s="26"/>
      <c r="BI450" s="26"/>
      <c r="BJ450" s="26"/>
      <c r="BK450" s="26"/>
      <c r="BL450" s="26"/>
      <c r="BM450" s="26"/>
      <c r="BN450" s="26"/>
      <c r="BO450" s="26"/>
      <c r="BP450" s="26"/>
      <c r="BQ450" s="26"/>
      <c r="BR450" s="26"/>
      <c r="BS450" s="26"/>
      <c r="BT450" s="26"/>
      <c r="BU450" s="26"/>
      <c r="BV450" s="26"/>
      <c r="BW450" s="26"/>
      <c r="BX450" s="26"/>
      <c r="BY450" s="26"/>
      <c r="BZ450" s="26"/>
      <c r="CA450" s="26"/>
      <c r="CB450" s="26"/>
      <c r="CC450" s="26"/>
      <c r="CD450" s="26"/>
      <c r="CE450" s="26"/>
      <c r="CF450" s="26"/>
      <c r="CG450" s="26"/>
      <c r="CH450" s="26"/>
      <c r="CI450" s="26"/>
      <c r="CJ450" s="26"/>
      <c r="CK450" s="26"/>
      <c r="CL450" s="26"/>
      <c r="CM450" s="26"/>
      <c r="CN450" s="26"/>
      <c r="CO450" s="26"/>
    </row>
    <row r="451" spans="6:93" ht="12.75" hidden="1" customHeight="1" x14ac:dyDescent="0.25">
      <c r="F451" s="354">
        <f>IF(G45=27,15000+(27*1000),0)</f>
        <v>0</v>
      </c>
      <c r="H451" s="357" t="s">
        <v>283</v>
      </c>
      <c r="I451" s="357"/>
      <c r="J451" s="357">
        <f>IF(G44&gt;=15500,1,0)</f>
        <v>0</v>
      </c>
      <c r="K451" s="357">
        <f>IF(G44&lt;16499,1,0)</f>
        <v>1</v>
      </c>
      <c r="L451" s="357">
        <f t="shared" si="92"/>
        <v>1</v>
      </c>
      <c r="M451" s="136">
        <f>IF(L451=2,9600,0)</f>
        <v>0</v>
      </c>
      <c r="P451" s="6"/>
      <c r="Q451" s="6"/>
      <c r="R451" s="6"/>
      <c r="S451" s="6"/>
      <c r="T451" s="6"/>
      <c r="U451" s="6"/>
      <c r="V451" s="6"/>
      <c r="W451" s="6"/>
      <c r="X451" s="6"/>
      <c r="Y451" s="6"/>
      <c r="Z451" s="6"/>
      <c r="AA451" s="6"/>
      <c r="BF451" s="26"/>
      <c r="BG451" s="26"/>
      <c r="BH451" s="26"/>
      <c r="BI451" s="26"/>
      <c r="BJ451" s="26"/>
      <c r="BK451" s="26"/>
      <c r="BL451" s="26"/>
      <c r="BM451" s="26"/>
      <c r="BN451" s="26"/>
      <c r="BO451" s="26"/>
      <c r="BP451" s="26"/>
      <c r="BQ451" s="26"/>
      <c r="BR451" s="26"/>
      <c r="BS451" s="26"/>
      <c r="BT451" s="26"/>
      <c r="BU451" s="26"/>
      <c r="BV451" s="26"/>
      <c r="BW451" s="26"/>
      <c r="BX451" s="26"/>
      <c r="BY451" s="26"/>
      <c r="BZ451" s="26"/>
      <c r="CA451" s="26"/>
      <c r="CB451" s="26"/>
      <c r="CC451" s="26"/>
      <c r="CD451" s="26"/>
      <c r="CE451" s="26"/>
      <c r="CF451" s="26"/>
      <c r="CG451" s="26"/>
      <c r="CH451" s="26"/>
      <c r="CI451" s="26"/>
      <c r="CJ451" s="26"/>
      <c r="CK451" s="26"/>
      <c r="CL451" s="26"/>
      <c r="CM451" s="26"/>
      <c r="CN451" s="26"/>
      <c r="CO451" s="26"/>
    </row>
    <row r="452" spans="6:93" ht="12.75" hidden="1" customHeight="1" x14ac:dyDescent="0.25">
      <c r="F452" s="354">
        <f>IF(G45=28,15000+(28*1000),0)</f>
        <v>0</v>
      </c>
      <c r="H452" s="357" t="s">
        <v>284</v>
      </c>
      <c r="I452" s="357"/>
      <c r="J452" s="357">
        <f>IF(G44&gt;=16500,1,0)</f>
        <v>0</v>
      </c>
      <c r="K452" s="357">
        <f>IF(G44&lt;17499,1,0)</f>
        <v>1</v>
      </c>
      <c r="L452" s="357">
        <f t="shared" si="92"/>
        <v>1</v>
      </c>
      <c r="M452" s="136">
        <f>IF(L452=2,10000,0)</f>
        <v>0</v>
      </c>
      <c r="P452" s="6"/>
      <c r="Q452" s="6"/>
      <c r="R452" s="6"/>
      <c r="S452" s="6"/>
      <c r="T452" s="6"/>
      <c r="U452" s="6"/>
      <c r="V452" s="6"/>
      <c r="W452" s="6"/>
      <c r="X452" s="6"/>
      <c r="Y452" s="6"/>
      <c r="Z452" s="6"/>
      <c r="AA452" s="6"/>
      <c r="BF452" s="26"/>
      <c r="BG452" s="26"/>
      <c r="BH452" s="26"/>
      <c r="BI452" s="26"/>
      <c r="BJ452" s="26"/>
      <c r="BK452" s="26"/>
      <c r="BL452" s="26"/>
      <c r="BM452" s="26"/>
      <c r="BN452" s="26"/>
      <c r="BO452" s="26"/>
      <c r="BP452" s="26"/>
      <c r="BQ452" s="26"/>
      <c r="BR452" s="26"/>
      <c r="BS452" s="26"/>
      <c r="BT452" s="26"/>
      <c r="BU452" s="26"/>
      <c r="BV452" s="26"/>
      <c r="BW452" s="26"/>
      <c r="BX452" s="26"/>
      <c r="BY452" s="26"/>
      <c r="BZ452" s="26"/>
      <c r="CA452" s="26"/>
      <c r="CB452" s="26"/>
      <c r="CC452" s="26"/>
      <c r="CD452" s="26"/>
      <c r="CE452" s="26"/>
      <c r="CF452" s="26"/>
      <c r="CG452" s="26"/>
      <c r="CH452" s="26"/>
      <c r="CI452" s="26"/>
      <c r="CJ452" s="26"/>
      <c r="CK452" s="26"/>
      <c r="CL452" s="26"/>
      <c r="CM452" s="26"/>
      <c r="CN452" s="26"/>
      <c r="CO452" s="26"/>
    </row>
    <row r="453" spans="6:93" ht="12.75" hidden="1" customHeight="1" x14ac:dyDescent="0.25">
      <c r="F453" s="354">
        <f>IF(G45=29,15000+(29*1000),0)</f>
        <v>0</v>
      </c>
      <c r="H453" s="357" t="s">
        <v>285</v>
      </c>
      <c r="I453" s="357"/>
      <c r="J453" s="357">
        <f>IF(G44&gt;=17500,1,0)</f>
        <v>0</v>
      </c>
      <c r="K453" s="357">
        <f>IF(G44&lt;18499,1,0)</f>
        <v>1</v>
      </c>
      <c r="L453" s="357">
        <f t="shared" si="92"/>
        <v>1</v>
      </c>
      <c r="M453" s="136">
        <f>IF(L453=2,10400,0)</f>
        <v>0</v>
      </c>
      <c r="P453" s="6"/>
      <c r="Q453" s="6"/>
      <c r="R453" s="6"/>
      <c r="S453" s="6"/>
      <c r="T453" s="6"/>
      <c r="U453" s="6"/>
      <c r="V453" s="6"/>
      <c r="W453" s="6"/>
      <c r="X453" s="6"/>
      <c r="Y453" s="6"/>
      <c r="Z453" s="6"/>
      <c r="AA453" s="6"/>
      <c r="BF453" s="26"/>
      <c r="BG453" s="26"/>
      <c r="BH453" s="26"/>
      <c r="BI453" s="26"/>
      <c r="BJ453" s="26"/>
      <c r="BK453" s="26"/>
      <c r="BL453" s="26"/>
      <c r="BM453" s="26"/>
      <c r="BN453" s="26"/>
      <c r="BO453" s="26"/>
      <c r="BP453" s="26"/>
      <c r="BQ453" s="26"/>
      <c r="BR453" s="26"/>
      <c r="BS453" s="26"/>
      <c r="BT453" s="26"/>
      <c r="BU453" s="26"/>
      <c r="BV453" s="26"/>
      <c r="BW453" s="26"/>
      <c r="BX453" s="26"/>
      <c r="BY453" s="26"/>
      <c r="BZ453" s="26"/>
      <c r="CA453" s="26"/>
      <c r="CB453" s="26"/>
      <c r="CC453" s="26"/>
      <c r="CD453" s="26"/>
      <c r="CE453" s="26"/>
      <c r="CF453" s="26"/>
      <c r="CG453" s="26"/>
      <c r="CH453" s="26"/>
      <c r="CI453" s="26"/>
      <c r="CJ453" s="26"/>
      <c r="CK453" s="26"/>
      <c r="CL453" s="26"/>
      <c r="CM453" s="26"/>
      <c r="CN453" s="26"/>
      <c r="CO453" s="26"/>
    </row>
    <row r="454" spans="6:93" ht="12.75" hidden="1" customHeight="1" x14ac:dyDescent="0.25">
      <c r="F454" s="354">
        <f>IF(G45=30,15000+(30*1000),0)</f>
        <v>0</v>
      </c>
      <c r="H454" s="357" t="s">
        <v>286</v>
      </c>
      <c r="I454" s="357"/>
      <c r="J454" s="357">
        <f>IF(G44&gt;=18500,1,0)</f>
        <v>0</v>
      </c>
      <c r="K454" s="357">
        <f>IF(G44&lt;19499,1,0)</f>
        <v>1</v>
      </c>
      <c r="L454" s="357">
        <f t="shared" si="92"/>
        <v>1</v>
      </c>
      <c r="M454" s="136">
        <f>IF(L454=2,10800,0)</f>
        <v>0</v>
      </c>
      <c r="P454" s="6"/>
      <c r="Q454" s="6"/>
      <c r="R454" s="6"/>
      <c r="S454" s="6"/>
      <c r="T454" s="6"/>
      <c r="U454" s="6"/>
      <c r="V454" s="6"/>
      <c r="W454" s="6"/>
      <c r="X454" s="6"/>
      <c r="Y454" s="6"/>
      <c r="Z454" s="6"/>
      <c r="AA454" s="6"/>
      <c r="BF454" s="26"/>
      <c r="BG454" s="26"/>
      <c r="BH454" s="26"/>
      <c r="BI454" s="26"/>
      <c r="BJ454" s="26"/>
      <c r="BK454" s="26"/>
      <c r="BL454" s="26"/>
      <c r="BM454" s="26"/>
      <c r="BN454" s="26"/>
      <c r="BO454" s="26"/>
      <c r="BP454" s="26"/>
      <c r="BQ454" s="26"/>
      <c r="BR454" s="26"/>
      <c r="BS454" s="26"/>
      <c r="BT454" s="26"/>
      <c r="BU454" s="26"/>
      <c r="BV454" s="26"/>
      <c r="BW454" s="26"/>
      <c r="BX454" s="26"/>
      <c r="BY454" s="26"/>
      <c r="BZ454" s="26"/>
      <c r="CA454" s="26"/>
      <c r="CB454" s="26"/>
      <c r="CC454" s="26"/>
      <c r="CD454" s="26"/>
      <c r="CE454" s="26"/>
      <c r="CF454" s="26"/>
      <c r="CG454" s="26"/>
      <c r="CH454" s="26"/>
      <c r="CI454" s="26"/>
      <c r="CJ454" s="26"/>
      <c r="CK454" s="26"/>
      <c r="CL454" s="26"/>
      <c r="CM454" s="26"/>
      <c r="CN454" s="26"/>
      <c r="CO454" s="26"/>
    </row>
    <row r="455" spans="6:93" ht="12.75" hidden="1" customHeight="1" x14ac:dyDescent="0.25">
      <c r="F455" s="354">
        <f>IF(G45=31,15000+(31*1000),0)</f>
        <v>0</v>
      </c>
      <c r="H455" s="357" t="s">
        <v>287</v>
      </c>
      <c r="I455" s="357"/>
      <c r="J455" s="357">
        <f>IF(G44&gt;=19500,1,0)</f>
        <v>0</v>
      </c>
      <c r="K455" s="357">
        <f>IF(G44&lt;20499,1,0)</f>
        <v>1</v>
      </c>
      <c r="L455" s="357">
        <f t="shared" si="92"/>
        <v>1</v>
      </c>
      <c r="M455" s="136">
        <f>IF(L455=2,11200,0)</f>
        <v>0</v>
      </c>
      <c r="P455" s="6"/>
      <c r="Q455" s="6"/>
      <c r="R455" s="6"/>
      <c r="S455" s="6"/>
      <c r="T455" s="6"/>
      <c r="U455" s="6"/>
      <c r="V455" s="6"/>
      <c r="W455" s="6"/>
      <c r="X455" s="6"/>
      <c r="Y455" s="6"/>
      <c r="Z455" s="6"/>
      <c r="AA455" s="6"/>
      <c r="BF455" s="26"/>
      <c r="BG455" s="26"/>
      <c r="BH455" s="26"/>
      <c r="BI455" s="26"/>
      <c r="BJ455" s="26"/>
      <c r="BK455" s="26"/>
      <c r="BL455" s="26"/>
      <c r="BM455" s="26"/>
      <c r="BN455" s="26"/>
      <c r="BO455" s="26"/>
      <c r="BP455" s="26"/>
      <c r="BQ455" s="26"/>
      <c r="BR455" s="26"/>
      <c r="BS455" s="26"/>
      <c r="BT455" s="26"/>
      <c r="BU455" s="26"/>
      <c r="BV455" s="26"/>
      <c r="BW455" s="26"/>
      <c r="BX455" s="26"/>
      <c r="BY455" s="26"/>
      <c r="BZ455" s="26"/>
      <c r="CA455" s="26"/>
      <c r="CB455" s="26"/>
      <c r="CC455" s="26"/>
      <c r="CD455" s="26"/>
      <c r="CE455" s="26"/>
      <c r="CF455" s="26"/>
      <c r="CG455" s="26"/>
      <c r="CH455" s="26"/>
      <c r="CI455" s="26"/>
      <c r="CJ455" s="26"/>
      <c r="CK455" s="26"/>
      <c r="CL455" s="26"/>
      <c r="CM455" s="26"/>
      <c r="CN455" s="26"/>
      <c r="CO455" s="26"/>
    </row>
    <row r="456" spans="6:93" ht="12.75" hidden="1" customHeight="1" x14ac:dyDescent="0.25">
      <c r="F456" s="354">
        <f>IF(G45=32,15000+(32*1000),0)</f>
        <v>0</v>
      </c>
      <c r="H456" s="357" t="s">
        <v>288</v>
      </c>
      <c r="I456" s="357"/>
      <c r="J456" s="357">
        <f>IF(G44&gt;=20500,1,0)</f>
        <v>0</v>
      </c>
      <c r="K456" s="357">
        <f>IF(G44&lt;21499,1,0)</f>
        <v>1</v>
      </c>
      <c r="L456" s="357">
        <f t="shared" si="92"/>
        <v>1</v>
      </c>
      <c r="M456" s="136">
        <f>IF(L456=2,11600,0)</f>
        <v>0</v>
      </c>
      <c r="P456" s="6"/>
      <c r="Q456" s="6"/>
      <c r="R456" s="6"/>
      <c r="S456" s="6"/>
      <c r="T456" s="6"/>
      <c r="U456" s="6"/>
      <c r="V456" s="6"/>
      <c r="W456" s="6"/>
      <c r="X456" s="6"/>
      <c r="Y456" s="6"/>
      <c r="Z456" s="6"/>
      <c r="AA456" s="6"/>
      <c r="BF456" s="26"/>
      <c r="BG456" s="26"/>
      <c r="BH456" s="26"/>
      <c r="BI456" s="26"/>
      <c r="BJ456" s="26"/>
      <c r="BK456" s="26"/>
      <c r="BL456" s="26"/>
      <c r="BM456" s="26"/>
      <c r="BN456" s="26"/>
      <c r="BO456" s="26"/>
      <c r="BP456" s="26"/>
      <c r="BQ456" s="26"/>
      <c r="BR456" s="26"/>
      <c r="BS456" s="26"/>
      <c r="BT456" s="26"/>
      <c r="BU456" s="26"/>
      <c r="BV456" s="26"/>
      <c r="BW456" s="26"/>
      <c r="BX456" s="26"/>
      <c r="BY456" s="26"/>
      <c r="BZ456" s="26"/>
      <c r="CA456" s="26"/>
      <c r="CB456" s="26"/>
      <c r="CC456" s="26"/>
      <c r="CD456" s="26"/>
      <c r="CE456" s="26"/>
      <c r="CF456" s="26"/>
      <c r="CG456" s="26"/>
      <c r="CH456" s="26"/>
      <c r="CI456" s="26"/>
      <c r="CJ456" s="26"/>
      <c r="CK456" s="26"/>
      <c r="CL456" s="26"/>
      <c r="CM456" s="26"/>
      <c r="CN456" s="26"/>
      <c r="CO456" s="26"/>
    </row>
    <row r="457" spans="6:93" ht="12.75" hidden="1" customHeight="1" x14ac:dyDescent="0.25">
      <c r="F457" s="354">
        <f>IF(G45=33,15000+(33*1000),0)</f>
        <v>0</v>
      </c>
      <c r="H457" s="357" t="s">
        <v>289</v>
      </c>
      <c r="I457" s="357"/>
      <c r="J457" s="357">
        <f>IF(G44&gt;=21500,1,0)</f>
        <v>0</v>
      </c>
      <c r="K457" s="357">
        <f>IF(G44&lt;22499,1,0)</f>
        <v>1</v>
      </c>
      <c r="L457" s="357">
        <f t="shared" si="92"/>
        <v>1</v>
      </c>
      <c r="M457" s="136">
        <f>IF(L457=2,12000,0)</f>
        <v>0</v>
      </c>
      <c r="P457" s="6"/>
      <c r="Q457" s="6"/>
      <c r="R457" s="6"/>
      <c r="S457" s="6"/>
      <c r="T457" s="6"/>
      <c r="U457" s="6"/>
      <c r="V457" s="6"/>
      <c r="W457" s="6"/>
      <c r="X457" s="6"/>
      <c r="Y457" s="6"/>
      <c r="Z457" s="6"/>
      <c r="AA457" s="6"/>
      <c r="BF457" s="26"/>
      <c r="BG457" s="26"/>
      <c r="BH457" s="26"/>
      <c r="BI457" s="26"/>
      <c r="BJ457" s="26"/>
      <c r="BK457" s="26"/>
      <c r="BL457" s="26"/>
      <c r="BM457" s="26"/>
      <c r="BN457" s="26"/>
      <c r="BO457" s="26"/>
      <c r="BP457" s="26"/>
      <c r="BQ457" s="26"/>
      <c r="BR457" s="26"/>
      <c r="BS457" s="26"/>
      <c r="BT457" s="26"/>
      <c r="BU457" s="26"/>
      <c r="BV457" s="26"/>
      <c r="BW457" s="26"/>
      <c r="BX457" s="26"/>
      <c r="BY457" s="26"/>
      <c r="BZ457" s="26"/>
      <c r="CA457" s="26"/>
      <c r="CB457" s="26"/>
      <c r="CC457" s="26"/>
      <c r="CD457" s="26"/>
      <c r="CE457" s="26"/>
      <c r="CF457" s="26"/>
      <c r="CG457" s="26"/>
      <c r="CH457" s="26"/>
      <c r="CI457" s="26"/>
      <c r="CJ457" s="26"/>
      <c r="CK457" s="26"/>
      <c r="CL457" s="26"/>
      <c r="CM457" s="26"/>
      <c r="CN457" s="26"/>
      <c r="CO457" s="26"/>
    </row>
    <row r="458" spans="6:93" ht="12.75" hidden="1" customHeight="1" x14ac:dyDescent="0.25">
      <c r="F458" s="354">
        <f>IF(G45=34,15000+(34*1000),0)</f>
        <v>0</v>
      </c>
      <c r="H458" s="357" t="s">
        <v>290</v>
      </c>
      <c r="I458" s="357"/>
      <c r="J458" s="357">
        <f>IF(G44&gt;=22500,1,0)</f>
        <v>0</v>
      </c>
      <c r="K458" s="357">
        <f>IF(G44&lt;23499,1,0)</f>
        <v>1</v>
      </c>
      <c r="L458" s="357">
        <f t="shared" si="92"/>
        <v>1</v>
      </c>
      <c r="M458" s="136">
        <f>IF(L458=2,12400,0)</f>
        <v>0</v>
      </c>
      <c r="P458" s="6"/>
      <c r="Q458" s="6"/>
      <c r="R458" s="6"/>
      <c r="S458" s="6"/>
      <c r="T458" s="6"/>
      <c r="U458" s="6"/>
      <c r="V458" s="6"/>
      <c r="W458" s="6"/>
      <c r="X458" s="6"/>
      <c r="Y458" s="6"/>
      <c r="Z458" s="6"/>
      <c r="AA458" s="6"/>
      <c r="BF458" s="26"/>
      <c r="BG458" s="26"/>
      <c r="BH458" s="26"/>
      <c r="BI458" s="26"/>
      <c r="BJ458" s="26"/>
      <c r="BK458" s="26"/>
      <c r="BL458" s="26"/>
      <c r="BM458" s="26"/>
      <c r="BN458" s="26"/>
      <c r="BO458" s="26"/>
      <c r="BP458" s="26"/>
      <c r="BQ458" s="26"/>
      <c r="BR458" s="26"/>
      <c r="BS458" s="26"/>
      <c r="BT458" s="26"/>
      <c r="BU458" s="26"/>
      <c r="BV458" s="26"/>
      <c r="BW458" s="26"/>
      <c r="BX458" s="26"/>
      <c r="BY458" s="26"/>
      <c r="BZ458" s="26"/>
      <c r="CA458" s="26"/>
      <c r="CB458" s="26"/>
      <c r="CC458" s="26"/>
      <c r="CD458" s="26"/>
      <c r="CE458" s="26"/>
      <c r="CF458" s="26"/>
      <c r="CG458" s="26"/>
      <c r="CH458" s="26"/>
      <c r="CI458" s="26"/>
      <c r="CJ458" s="26"/>
      <c r="CK458" s="26"/>
      <c r="CL458" s="26"/>
      <c r="CM458" s="26"/>
      <c r="CN458" s="26"/>
      <c r="CO458" s="26"/>
    </row>
    <row r="459" spans="6:93" ht="12.75" hidden="1" customHeight="1" x14ac:dyDescent="0.25">
      <c r="F459" s="354">
        <f>IF(G45=35,15000+(35*1000),0)</f>
        <v>0</v>
      </c>
      <c r="H459" s="357" t="s">
        <v>291</v>
      </c>
      <c r="I459" s="357"/>
      <c r="J459" s="357">
        <f>IF(G44&gt;=23500,1,0)</f>
        <v>0</v>
      </c>
      <c r="K459" s="357">
        <f>IF(G44&lt;24499,1,0)</f>
        <v>1</v>
      </c>
      <c r="L459" s="357">
        <f t="shared" si="92"/>
        <v>1</v>
      </c>
      <c r="M459" s="136">
        <f>IF(L459=2,12800,0)</f>
        <v>0</v>
      </c>
      <c r="P459" s="6"/>
      <c r="Q459" s="6"/>
      <c r="R459" s="6"/>
      <c r="S459" s="6"/>
      <c r="T459" s="6"/>
      <c r="U459" s="6"/>
      <c r="V459" s="6"/>
      <c r="W459" s="6"/>
      <c r="X459" s="6"/>
      <c r="Y459" s="6"/>
      <c r="Z459" s="6"/>
      <c r="AA459" s="6"/>
      <c r="BF459" s="26"/>
      <c r="BG459" s="26"/>
      <c r="BH459" s="26"/>
      <c r="BI459" s="26"/>
      <c r="BJ459" s="26"/>
      <c r="BK459" s="26"/>
      <c r="BL459" s="26"/>
      <c r="BM459" s="26"/>
      <c r="BN459" s="26"/>
      <c r="BO459" s="26"/>
      <c r="BP459" s="26"/>
      <c r="BQ459" s="26"/>
      <c r="BR459" s="26"/>
      <c r="BS459" s="26"/>
      <c r="BT459" s="26"/>
      <c r="BU459" s="26"/>
      <c r="BV459" s="26"/>
      <c r="BW459" s="26"/>
      <c r="BX459" s="26"/>
      <c r="BY459" s="26"/>
      <c r="BZ459" s="26"/>
      <c r="CA459" s="26"/>
      <c r="CB459" s="26"/>
      <c r="CC459" s="26"/>
      <c r="CD459" s="26"/>
      <c r="CE459" s="26"/>
      <c r="CF459" s="26"/>
      <c r="CG459" s="26"/>
      <c r="CH459" s="26"/>
      <c r="CI459" s="26"/>
      <c r="CJ459" s="26"/>
      <c r="CK459" s="26"/>
      <c r="CL459" s="26"/>
      <c r="CM459" s="26"/>
      <c r="CN459" s="26"/>
      <c r="CO459" s="26"/>
    </row>
    <row r="460" spans="6:93" ht="12.75" hidden="1" customHeight="1" x14ac:dyDescent="0.25">
      <c r="F460" s="354">
        <f>IF(G45=36,15000+(36*1000),0)</f>
        <v>0</v>
      </c>
      <c r="H460" s="357" t="s">
        <v>292</v>
      </c>
      <c r="I460" s="357"/>
      <c r="J460" s="357">
        <f>IF(G44&gt;=24500,1,0)</f>
        <v>0</v>
      </c>
      <c r="K460" s="357">
        <f>IF(G44&lt;25499,1,0)</f>
        <v>1</v>
      </c>
      <c r="L460" s="357">
        <f t="shared" si="92"/>
        <v>1</v>
      </c>
      <c r="M460" s="136">
        <f>IF(L460=2,13200,0)</f>
        <v>0</v>
      </c>
      <c r="P460" s="6"/>
      <c r="Q460" s="6"/>
      <c r="R460" s="6"/>
      <c r="S460" s="6"/>
      <c r="T460" s="6"/>
      <c r="U460" s="6"/>
      <c r="V460" s="6"/>
      <c r="W460" s="6"/>
      <c r="X460" s="6"/>
      <c r="Y460" s="6"/>
      <c r="Z460" s="6"/>
      <c r="AA460" s="6"/>
      <c r="BF460" s="26"/>
      <c r="BG460" s="26"/>
      <c r="BH460" s="26"/>
      <c r="BI460" s="26"/>
      <c r="BJ460" s="26"/>
      <c r="BK460" s="26"/>
      <c r="BL460" s="26"/>
      <c r="BM460" s="26"/>
      <c r="BN460" s="26"/>
      <c r="BO460" s="26"/>
      <c r="BP460" s="26"/>
      <c r="BQ460" s="26"/>
      <c r="BR460" s="26"/>
      <c r="BS460" s="26"/>
      <c r="BT460" s="26"/>
      <c r="BU460" s="26"/>
      <c r="BV460" s="26"/>
      <c r="BW460" s="26"/>
      <c r="BX460" s="26"/>
      <c r="BY460" s="26"/>
      <c r="BZ460" s="26"/>
      <c r="CA460" s="26"/>
      <c r="CB460" s="26"/>
      <c r="CC460" s="26"/>
      <c r="CD460" s="26"/>
      <c r="CE460" s="26"/>
      <c r="CF460" s="26"/>
      <c r="CG460" s="26"/>
      <c r="CH460" s="26"/>
      <c r="CI460" s="26"/>
      <c r="CJ460" s="26"/>
      <c r="CK460" s="26"/>
      <c r="CL460" s="26"/>
      <c r="CM460" s="26"/>
      <c r="CN460" s="26"/>
      <c r="CO460" s="26"/>
    </row>
    <row r="461" spans="6:93" ht="12.75" hidden="1" customHeight="1" x14ac:dyDescent="0.25">
      <c r="F461" s="354">
        <f>IF(G45=37,15000+(37*1000),0)</f>
        <v>0</v>
      </c>
      <c r="H461" s="357" t="s">
        <v>293</v>
      </c>
      <c r="I461" s="357"/>
      <c r="J461" s="357">
        <f>IF(G44&gt;=25500,1,0)</f>
        <v>0</v>
      </c>
      <c r="K461" s="357">
        <f>IF(G44&lt;26499,1,0)</f>
        <v>1</v>
      </c>
      <c r="L461" s="357">
        <f t="shared" si="92"/>
        <v>1</v>
      </c>
      <c r="M461" s="136">
        <f>IF(L461=2,13600,0)</f>
        <v>0</v>
      </c>
      <c r="P461" s="6"/>
      <c r="Q461" s="6"/>
      <c r="R461" s="6"/>
      <c r="S461" s="6"/>
      <c r="T461" s="6"/>
      <c r="U461" s="6"/>
      <c r="V461" s="6"/>
      <c r="W461" s="6"/>
      <c r="X461" s="6"/>
      <c r="Y461" s="6"/>
      <c r="Z461" s="6"/>
      <c r="AA461" s="6"/>
      <c r="BF461" s="26"/>
      <c r="BG461" s="26"/>
      <c r="BH461" s="26"/>
      <c r="BI461" s="26"/>
      <c r="BJ461" s="26"/>
      <c r="BK461" s="26"/>
      <c r="BL461" s="26"/>
      <c r="BM461" s="26"/>
      <c r="BN461" s="26"/>
      <c r="BO461" s="26"/>
      <c r="BP461" s="26"/>
      <c r="BQ461" s="26"/>
      <c r="BR461" s="26"/>
      <c r="BS461" s="26"/>
      <c r="BT461" s="26"/>
      <c r="BU461" s="26"/>
      <c r="BV461" s="26"/>
      <c r="BW461" s="26"/>
      <c r="BX461" s="26"/>
      <c r="BY461" s="26"/>
      <c r="BZ461" s="26"/>
      <c r="CA461" s="26"/>
      <c r="CB461" s="26"/>
      <c r="CC461" s="26"/>
      <c r="CD461" s="26"/>
      <c r="CE461" s="26"/>
      <c r="CF461" s="26"/>
      <c r="CG461" s="26"/>
      <c r="CH461" s="26"/>
      <c r="CI461" s="26"/>
      <c r="CJ461" s="26"/>
      <c r="CK461" s="26"/>
      <c r="CL461" s="26"/>
      <c r="CM461" s="26"/>
      <c r="CN461" s="26"/>
      <c r="CO461" s="26"/>
    </row>
    <row r="462" spans="6:93" ht="12.75" hidden="1" customHeight="1" x14ac:dyDescent="0.25">
      <c r="F462" s="354">
        <f>IF(G45=38,15000+(38*1000),0)</f>
        <v>0</v>
      </c>
      <c r="H462" s="357" t="s">
        <v>294</v>
      </c>
      <c r="I462" s="357"/>
      <c r="J462" s="357">
        <f>IF(G44&gt;=26500,1,0)</f>
        <v>0</v>
      </c>
      <c r="K462" s="357">
        <f>IF(G44&lt;=27000,1,0)</f>
        <v>1</v>
      </c>
      <c r="L462" s="357">
        <f t="shared" si="92"/>
        <v>1</v>
      </c>
      <c r="M462" s="136">
        <f>IF(L462=2,14000,0)</f>
        <v>0</v>
      </c>
      <c r="P462" s="6"/>
      <c r="Q462" s="6"/>
      <c r="R462" s="6"/>
      <c r="S462" s="6"/>
      <c r="T462" s="6"/>
      <c r="U462" s="6"/>
      <c r="V462" s="6"/>
      <c r="W462" s="6"/>
      <c r="X462" s="6"/>
      <c r="Y462" s="6"/>
      <c r="Z462" s="6"/>
      <c r="AA462" s="6"/>
      <c r="BF462" s="26"/>
      <c r="BG462" s="26"/>
      <c r="BH462" s="26"/>
      <c r="BI462" s="26"/>
      <c r="BJ462" s="26"/>
      <c r="BK462" s="26"/>
      <c r="BL462" s="26"/>
      <c r="BM462" s="26"/>
      <c r="BN462" s="26"/>
      <c r="BO462" s="26"/>
      <c r="BP462" s="26"/>
      <c r="BQ462" s="26"/>
      <c r="BR462" s="26"/>
      <c r="BS462" s="26"/>
      <c r="BT462" s="26"/>
      <c r="BU462" s="26"/>
      <c r="BV462" s="26"/>
      <c r="BW462" s="26"/>
      <c r="BX462" s="26"/>
      <c r="BY462" s="26"/>
      <c r="BZ462" s="26"/>
      <c r="CA462" s="26"/>
      <c r="CB462" s="26"/>
      <c r="CC462" s="26"/>
      <c r="CD462" s="26"/>
      <c r="CE462" s="26"/>
      <c r="CF462" s="26"/>
      <c r="CG462" s="26"/>
      <c r="CH462" s="26"/>
      <c r="CI462" s="26"/>
      <c r="CJ462" s="26"/>
      <c r="CK462" s="26"/>
      <c r="CL462" s="26"/>
      <c r="CM462" s="26"/>
      <c r="CN462" s="26"/>
      <c r="CO462" s="26"/>
    </row>
    <row r="463" spans="6:93" ht="12.75" hidden="1" customHeight="1" x14ac:dyDescent="0.25">
      <c r="F463" s="354">
        <f>IF(G45=39,15000+(39*1000),0)</f>
        <v>0</v>
      </c>
      <c r="H463" s="357"/>
      <c r="I463" s="357"/>
      <c r="J463" s="357"/>
      <c r="K463" s="357"/>
      <c r="L463" s="357"/>
      <c r="M463" s="136"/>
      <c r="P463" s="6"/>
      <c r="Q463" s="6"/>
      <c r="R463" s="6"/>
      <c r="S463" s="6"/>
      <c r="T463" s="6"/>
      <c r="U463" s="6"/>
      <c r="V463" s="6"/>
      <c r="W463" s="6"/>
      <c r="X463" s="6"/>
      <c r="Y463" s="6"/>
      <c r="Z463" s="6"/>
      <c r="AA463" s="6"/>
      <c r="BF463" s="26"/>
      <c r="BG463" s="26"/>
      <c r="BH463" s="26"/>
      <c r="BI463" s="26"/>
      <c r="BJ463" s="26"/>
      <c r="BK463" s="26"/>
      <c r="BL463" s="26"/>
      <c r="BM463" s="26"/>
      <c r="BN463" s="26"/>
      <c r="BO463" s="26"/>
      <c r="BP463" s="26"/>
      <c r="BQ463" s="26"/>
      <c r="BR463" s="26"/>
      <c r="BS463" s="26"/>
      <c r="BT463" s="26"/>
      <c r="BU463" s="26"/>
      <c r="BV463" s="26"/>
      <c r="BW463" s="26"/>
      <c r="BX463" s="26"/>
      <c r="BY463" s="26"/>
      <c r="BZ463" s="26"/>
      <c r="CA463" s="26"/>
      <c r="CB463" s="26"/>
      <c r="CC463" s="26"/>
      <c r="CD463" s="26"/>
      <c r="CE463" s="26"/>
      <c r="CF463" s="26"/>
      <c r="CG463" s="26"/>
      <c r="CH463" s="26"/>
      <c r="CI463" s="26"/>
      <c r="CJ463" s="26"/>
      <c r="CK463" s="26"/>
      <c r="CL463" s="26"/>
      <c r="CM463" s="26"/>
      <c r="CN463" s="26"/>
      <c r="CO463" s="26"/>
    </row>
    <row r="464" spans="6:93" ht="12.75" hidden="1" customHeight="1" x14ac:dyDescent="0.25">
      <c r="F464" s="354">
        <f>IF(G45=40,15000+(40*1000),0)</f>
        <v>0</v>
      </c>
      <c r="H464" s="357"/>
      <c r="I464" s="357"/>
      <c r="J464" s="357"/>
      <c r="K464" s="357"/>
      <c r="L464" s="357" t="s">
        <v>295</v>
      </c>
      <c r="M464" s="357">
        <f>SUM(M446:M462)</f>
        <v>0</v>
      </c>
      <c r="P464" s="6"/>
      <c r="Q464" s="6"/>
      <c r="R464" s="6"/>
      <c r="S464" s="6"/>
      <c r="T464" s="6"/>
      <c r="U464" s="6"/>
      <c r="V464" s="6"/>
      <c r="W464" s="6"/>
      <c r="X464" s="6"/>
      <c r="Y464" s="6"/>
      <c r="Z464" s="6"/>
      <c r="AA464" s="6"/>
      <c r="BF464" s="26"/>
      <c r="BG464" s="26"/>
      <c r="BH464" s="26"/>
      <c r="BI464" s="26"/>
      <c r="BJ464" s="26"/>
      <c r="BK464" s="26"/>
      <c r="BL464" s="26"/>
      <c r="BM464" s="26"/>
      <c r="BN464" s="26"/>
      <c r="BO464" s="26"/>
      <c r="BP464" s="26"/>
      <c r="BQ464" s="26"/>
      <c r="BR464" s="26"/>
      <c r="BS464" s="26"/>
      <c r="BT464" s="26"/>
      <c r="BU464" s="26"/>
      <c r="BV464" s="26"/>
      <c r="BW464" s="26"/>
      <c r="BX464" s="26"/>
      <c r="BY464" s="26"/>
      <c r="BZ464" s="26"/>
      <c r="CA464" s="26"/>
      <c r="CB464" s="26"/>
      <c r="CC464" s="26"/>
      <c r="CD464" s="26"/>
      <c r="CE464" s="26"/>
      <c r="CF464" s="26"/>
      <c r="CG464" s="26"/>
      <c r="CH464" s="26"/>
      <c r="CI464" s="26"/>
      <c r="CJ464" s="26"/>
      <c r="CK464" s="26"/>
      <c r="CL464" s="26"/>
      <c r="CM464" s="26"/>
      <c r="CN464" s="26"/>
      <c r="CO464" s="26"/>
    </row>
    <row r="465" spans="5:93" ht="12.75" hidden="1" customHeight="1" x14ac:dyDescent="0.25">
      <c r="F465" s="354">
        <f>IF(G45&gt;40,25000+(G45*0.75),0)</f>
        <v>0</v>
      </c>
      <c r="P465" s="6"/>
      <c r="Q465" s="6"/>
      <c r="R465" s="6"/>
      <c r="S465" s="6"/>
      <c r="T465" s="6"/>
      <c r="U465" s="6"/>
      <c r="V465" s="6"/>
      <c r="W465" s="6"/>
      <c r="X465" s="6"/>
      <c r="Y465" s="6"/>
      <c r="Z465" s="6"/>
      <c r="AA465" s="6"/>
      <c r="BF465" s="26"/>
      <c r="BG465" s="26"/>
      <c r="BH465" s="26"/>
      <c r="BI465" s="26"/>
      <c r="BJ465" s="26"/>
      <c r="BK465" s="26"/>
      <c r="BL465" s="26"/>
      <c r="BM465" s="26"/>
      <c r="BN465" s="26"/>
      <c r="BO465" s="26"/>
      <c r="BP465" s="26"/>
      <c r="BQ465" s="26"/>
      <c r="BR465" s="26"/>
      <c r="BS465" s="26"/>
      <c r="BT465" s="26"/>
      <c r="BU465" s="26"/>
      <c r="BV465" s="26"/>
      <c r="BW465" s="26"/>
      <c r="BX465" s="26"/>
      <c r="BY465" s="26"/>
      <c r="BZ465" s="26"/>
      <c r="CA465" s="26"/>
      <c r="CB465" s="26"/>
      <c r="CC465" s="26"/>
      <c r="CD465" s="26"/>
      <c r="CE465" s="26"/>
      <c r="CF465" s="26"/>
      <c r="CG465" s="26"/>
      <c r="CH465" s="26"/>
      <c r="CI465" s="26"/>
      <c r="CJ465" s="26"/>
      <c r="CK465" s="26"/>
      <c r="CL465" s="26"/>
      <c r="CM465" s="26"/>
      <c r="CN465" s="26"/>
      <c r="CO465" s="26"/>
    </row>
    <row r="466" spans="5:93" ht="12.75" hidden="1" customHeight="1" x14ac:dyDescent="0.25">
      <c r="P466" s="6"/>
      <c r="Q466" s="6"/>
      <c r="R466" s="6"/>
      <c r="S466" s="6"/>
      <c r="T466" s="6"/>
      <c r="U466" s="6"/>
      <c r="V466" s="6"/>
      <c r="W466" s="6"/>
      <c r="X466" s="6"/>
      <c r="Y466" s="6"/>
      <c r="Z466" s="6"/>
      <c r="AA466" s="6"/>
      <c r="BF466" s="26"/>
      <c r="BG466" s="26"/>
      <c r="BH466" s="26"/>
      <c r="BI466" s="26"/>
      <c r="BJ466" s="26"/>
      <c r="BK466" s="26"/>
      <c r="BL466" s="26"/>
      <c r="BM466" s="26"/>
      <c r="BN466" s="26"/>
      <c r="BO466" s="26"/>
      <c r="BP466" s="26"/>
      <c r="BQ466" s="26"/>
      <c r="BR466" s="26"/>
      <c r="BS466" s="26"/>
      <c r="BT466" s="26"/>
      <c r="BU466" s="26"/>
      <c r="BV466" s="26"/>
      <c r="BW466" s="26"/>
      <c r="BX466" s="26"/>
      <c r="BY466" s="26"/>
      <c r="BZ466" s="26"/>
      <c r="CA466" s="26"/>
      <c r="CB466" s="26"/>
      <c r="CC466" s="26"/>
      <c r="CD466" s="26"/>
      <c r="CE466" s="26"/>
      <c r="CF466" s="26"/>
      <c r="CG466" s="26"/>
      <c r="CH466" s="26"/>
      <c r="CI466" s="26"/>
      <c r="CJ466" s="26"/>
      <c r="CK466" s="26"/>
      <c r="CL466" s="26"/>
      <c r="CM466" s="26"/>
      <c r="CN466" s="26"/>
      <c r="CO466" s="26"/>
    </row>
    <row r="467" spans="5:93" ht="12.75" hidden="1" customHeight="1" x14ac:dyDescent="0.25">
      <c r="P467" s="6"/>
      <c r="Q467" s="6"/>
      <c r="R467" s="6"/>
      <c r="S467" s="6"/>
      <c r="T467" s="6"/>
      <c r="U467" s="6"/>
      <c r="V467" s="6"/>
      <c r="W467" s="6"/>
      <c r="X467" s="6"/>
      <c r="Y467" s="6"/>
      <c r="Z467" s="6"/>
      <c r="AA467" s="6"/>
      <c r="BF467" s="26"/>
      <c r="BG467" s="26"/>
      <c r="BH467" s="26"/>
      <c r="BI467" s="26"/>
      <c r="BJ467" s="26"/>
      <c r="BK467" s="26"/>
      <c r="BL467" s="26"/>
      <c r="BM467" s="26"/>
      <c r="BN467" s="26"/>
      <c r="BO467" s="26"/>
      <c r="BP467" s="26"/>
      <c r="BQ467" s="26"/>
      <c r="BR467" s="26"/>
      <c r="BS467" s="26"/>
      <c r="BT467" s="26"/>
      <c r="BU467" s="26"/>
      <c r="BV467" s="26"/>
      <c r="BW467" s="26"/>
      <c r="BX467" s="26"/>
      <c r="BY467" s="26"/>
      <c r="BZ467" s="26"/>
      <c r="CA467" s="26"/>
      <c r="CB467" s="26"/>
      <c r="CC467" s="26"/>
      <c r="CD467" s="26"/>
      <c r="CE467" s="26"/>
      <c r="CF467" s="26"/>
      <c r="CG467" s="26"/>
      <c r="CH467" s="26"/>
      <c r="CI467" s="26"/>
      <c r="CJ467" s="26"/>
      <c r="CK467" s="26"/>
      <c r="CL467" s="26"/>
      <c r="CM467" s="26"/>
      <c r="CN467" s="26"/>
      <c r="CO467" s="26"/>
    </row>
    <row r="468" spans="5:93" ht="12.75" hidden="1" customHeight="1" x14ac:dyDescent="0.25">
      <c r="G468" s="52" t="s">
        <v>296</v>
      </c>
      <c r="P468" s="6"/>
      <c r="Q468" s="6"/>
      <c r="R468" s="6"/>
      <c r="S468" s="6"/>
      <c r="T468" s="6"/>
      <c r="U468" s="6"/>
      <c r="V468" s="6"/>
      <c r="W468" s="6"/>
      <c r="X468" s="6"/>
      <c r="Y468" s="6"/>
      <c r="Z468" s="6"/>
      <c r="AA468" s="6"/>
      <c r="BF468" s="26"/>
      <c r="BG468" s="26"/>
      <c r="BH468" s="26"/>
      <c r="BI468" s="26"/>
      <c r="BJ468" s="26"/>
      <c r="BK468" s="26"/>
      <c r="BL468" s="26"/>
      <c r="BM468" s="26"/>
      <c r="BN468" s="26"/>
      <c r="BO468" s="26"/>
      <c r="BP468" s="26"/>
      <c r="BQ468" s="26"/>
      <c r="BR468" s="26"/>
      <c r="BS468" s="26"/>
      <c r="BT468" s="26"/>
      <c r="BU468" s="26"/>
      <c r="BV468" s="26"/>
      <c r="BW468" s="26"/>
      <c r="BX468" s="26"/>
      <c r="BY468" s="26"/>
      <c r="BZ468" s="26"/>
      <c r="CA468" s="26"/>
      <c r="CB468" s="26"/>
      <c r="CC468" s="26"/>
      <c r="CD468" s="26"/>
      <c r="CE468" s="26"/>
      <c r="CF468" s="26"/>
      <c r="CG468" s="26"/>
      <c r="CH468" s="26"/>
      <c r="CI468" s="26"/>
      <c r="CJ468" s="26"/>
      <c r="CK468" s="26"/>
      <c r="CL468" s="26"/>
      <c r="CM468" s="26"/>
      <c r="CN468" s="26"/>
      <c r="CO468" s="26"/>
    </row>
    <row r="469" spans="5:93" ht="12.75" hidden="1" customHeight="1" x14ac:dyDescent="0.25">
      <c r="P469" s="6"/>
      <c r="Q469" s="6"/>
      <c r="R469" s="6"/>
      <c r="S469" s="6"/>
      <c r="T469" s="6"/>
      <c r="U469" s="6"/>
      <c r="V469" s="6"/>
      <c r="W469" s="6"/>
      <c r="X469" s="6"/>
      <c r="Y469" s="6"/>
      <c r="Z469" s="6"/>
      <c r="AA469" s="6"/>
      <c r="BF469" s="26"/>
      <c r="BG469" s="26"/>
      <c r="BH469" s="26"/>
      <c r="BI469" s="26"/>
      <c r="BJ469" s="26"/>
      <c r="BK469" s="26"/>
      <c r="BL469" s="26"/>
      <c r="BM469" s="26"/>
      <c r="BN469" s="26"/>
      <c r="BO469" s="26"/>
      <c r="BP469" s="26"/>
      <c r="BQ469" s="26"/>
      <c r="BR469" s="26"/>
      <c r="BS469" s="26"/>
      <c r="BT469" s="26"/>
      <c r="BU469" s="26"/>
      <c r="BV469" s="26"/>
      <c r="BW469" s="26"/>
      <c r="BX469" s="26"/>
      <c r="BY469" s="26"/>
      <c r="BZ469" s="26"/>
      <c r="CA469" s="26"/>
      <c r="CB469" s="26"/>
      <c r="CC469" s="26"/>
      <c r="CD469" s="26"/>
      <c r="CE469" s="26"/>
      <c r="CF469" s="26"/>
      <c r="CG469" s="26"/>
      <c r="CH469" s="26"/>
      <c r="CI469" s="26"/>
      <c r="CJ469" s="26"/>
      <c r="CK469" s="26"/>
      <c r="CL469" s="26"/>
      <c r="CM469" s="26"/>
      <c r="CN469" s="26"/>
      <c r="CO469" s="26"/>
    </row>
    <row r="470" spans="5:93" ht="12.75" hidden="1" customHeight="1" x14ac:dyDescent="0.25">
      <c r="P470" s="6"/>
      <c r="Q470" s="6"/>
      <c r="R470" s="6"/>
      <c r="S470" s="6"/>
      <c r="T470" s="6"/>
      <c r="U470" s="6"/>
      <c r="V470" s="6"/>
      <c r="W470" s="6"/>
      <c r="X470" s="6"/>
      <c r="Y470" s="6"/>
      <c r="Z470" s="6"/>
      <c r="AA470" s="6"/>
      <c r="BF470" s="26"/>
      <c r="BG470" s="26"/>
      <c r="BH470" s="26"/>
      <c r="BI470" s="26"/>
      <c r="BJ470" s="26"/>
      <c r="BK470" s="26"/>
      <c r="BL470" s="26"/>
      <c r="BM470" s="26"/>
      <c r="BN470" s="26"/>
      <c r="BO470" s="26"/>
      <c r="BP470" s="26"/>
      <c r="BQ470" s="26"/>
      <c r="BR470" s="26"/>
      <c r="BS470" s="26"/>
      <c r="BT470" s="26"/>
      <c r="BU470" s="26"/>
      <c r="BV470" s="26"/>
      <c r="BW470" s="26"/>
      <c r="BX470" s="26"/>
      <c r="BY470" s="26"/>
      <c r="BZ470" s="26"/>
      <c r="CA470" s="26"/>
      <c r="CB470" s="26"/>
      <c r="CC470" s="26"/>
      <c r="CD470" s="26"/>
      <c r="CE470" s="26"/>
      <c r="CF470" s="26"/>
      <c r="CG470" s="26"/>
      <c r="CH470" s="26"/>
      <c r="CI470" s="26"/>
      <c r="CJ470" s="26"/>
      <c r="CK470" s="26"/>
      <c r="CL470" s="26"/>
      <c r="CM470" s="26"/>
      <c r="CN470" s="26"/>
      <c r="CO470" s="26"/>
    </row>
    <row r="471" spans="5:93" ht="13.5" hidden="1" customHeight="1" x14ac:dyDescent="0.25">
      <c r="E471" s="9" t="s">
        <v>297</v>
      </c>
      <c r="J471" s="95"/>
      <c r="P471" s="6"/>
      <c r="Q471" s="6"/>
      <c r="R471" s="6"/>
      <c r="S471" s="6"/>
      <c r="T471" s="6"/>
      <c r="U471" s="6"/>
      <c r="V471" s="6"/>
      <c r="W471" s="6"/>
      <c r="X471" s="6"/>
      <c r="Y471" s="6"/>
      <c r="Z471" s="6"/>
      <c r="AA471" s="6"/>
      <c r="BF471" s="26"/>
      <c r="BG471" s="26"/>
      <c r="BH471" s="26"/>
      <c r="BI471" s="26"/>
      <c r="BJ471" s="26"/>
      <c r="BK471" s="26"/>
      <c r="BL471" s="26"/>
      <c r="BM471" s="26"/>
      <c r="BN471" s="26"/>
      <c r="BO471" s="26"/>
      <c r="BP471" s="26"/>
      <c r="BQ471" s="26"/>
      <c r="BR471" s="26"/>
      <c r="BS471" s="26"/>
      <c r="BT471" s="26"/>
      <c r="BU471" s="26"/>
      <c r="BV471" s="26"/>
      <c r="BW471" s="26"/>
      <c r="BX471" s="26"/>
      <c r="BY471" s="26"/>
      <c r="BZ471" s="26"/>
      <c r="CA471" s="26"/>
      <c r="CB471" s="26"/>
      <c r="CC471" s="26"/>
      <c r="CD471" s="26"/>
      <c r="CE471" s="26"/>
      <c r="CF471" s="26"/>
      <c r="CG471" s="26"/>
      <c r="CH471" s="26"/>
      <c r="CI471" s="26"/>
      <c r="CJ471" s="26"/>
      <c r="CK471" s="26"/>
      <c r="CL471" s="26"/>
      <c r="CM471" s="26"/>
      <c r="CN471" s="26"/>
      <c r="CO471" s="26"/>
    </row>
    <row r="472" spans="5:93" ht="12.75" hidden="1" customHeight="1" x14ac:dyDescent="0.25">
      <c r="E472" s="9" t="s">
        <v>298</v>
      </c>
      <c r="H472" s="9" t="s">
        <v>299</v>
      </c>
      <c r="J472" s="358">
        <f t="shared" ref="J472:J474" si="93">E5</f>
        <v>0</v>
      </c>
      <c r="L472" s="359">
        <f>J472*3</f>
        <v>0</v>
      </c>
      <c r="P472" s="6"/>
      <c r="Q472" s="6"/>
      <c r="R472" s="6"/>
      <c r="S472" s="6"/>
      <c r="T472" s="6"/>
      <c r="U472" s="6"/>
      <c r="V472" s="6"/>
      <c r="W472" s="6"/>
      <c r="X472" s="6"/>
      <c r="Y472" s="6"/>
      <c r="Z472" s="6"/>
      <c r="AA472" s="6"/>
      <c r="BF472" s="26"/>
      <c r="BG472" s="26"/>
      <c r="BH472" s="26"/>
      <c r="BI472" s="26"/>
      <c r="BJ472" s="26"/>
      <c r="BK472" s="26"/>
      <c r="BL472" s="26"/>
      <c r="BM472" s="26"/>
      <c r="BN472" s="26"/>
      <c r="BO472" s="26"/>
      <c r="BP472" s="26"/>
      <c r="BQ472" s="26"/>
      <c r="BR472" s="26"/>
      <c r="BS472" s="26"/>
      <c r="BT472" s="26"/>
      <c r="BU472" s="26"/>
      <c r="BV472" s="26"/>
      <c r="BW472" s="26"/>
      <c r="BX472" s="26"/>
      <c r="BY472" s="26"/>
      <c r="BZ472" s="26"/>
      <c r="CA472" s="26"/>
      <c r="CB472" s="26"/>
      <c r="CC472" s="26"/>
      <c r="CD472" s="26"/>
      <c r="CE472" s="26"/>
      <c r="CF472" s="26"/>
      <c r="CG472" s="26"/>
      <c r="CH472" s="26"/>
      <c r="CI472" s="26"/>
      <c r="CJ472" s="26"/>
      <c r="CK472" s="26"/>
      <c r="CL472" s="26"/>
      <c r="CM472" s="26"/>
      <c r="CN472" s="26"/>
      <c r="CO472" s="26"/>
    </row>
    <row r="473" spans="5:93" ht="12.75" hidden="1" customHeight="1" x14ac:dyDescent="0.25">
      <c r="E473" s="9" t="s">
        <v>300</v>
      </c>
      <c r="H473" s="9" t="s">
        <v>301</v>
      </c>
      <c r="J473" s="358">
        <f t="shared" si="93"/>
        <v>0</v>
      </c>
      <c r="L473" s="359">
        <f t="shared" ref="L473:L474" si="94">J473*1500</f>
        <v>0</v>
      </c>
      <c r="N473" s="25">
        <f>SUM(L472:L503)</f>
        <v>0</v>
      </c>
      <c r="P473" s="6"/>
      <c r="Q473" s="6"/>
      <c r="R473" s="6"/>
      <c r="S473" s="6"/>
      <c r="T473" s="6"/>
      <c r="U473" s="6"/>
      <c r="V473" s="6"/>
      <c r="W473" s="6"/>
      <c r="X473" s="6"/>
      <c r="Y473" s="6"/>
      <c r="Z473" s="6"/>
      <c r="AA473" s="6"/>
      <c r="BF473" s="26"/>
      <c r="BG473" s="26"/>
      <c r="BH473" s="26"/>
      <c r="BI473" s="26"/>
      <c r="BJ473" s="26"/>
      <c r="BK473" s="26"/>
      <c r="BL473" s="26"/>
      <c r="BM473" s="26"/>
      <c r="BN473" s="26"/>
      <c r="BO473" s="26"/>
      <c r="BP473" s="26"/>
      <c r="BQ473" s="26"/>
      <c r="BR473" s="26"/>
      <c r="BS473" s="26"/>
      <c r="BT473" s="26"/>
      <c r="BU473" s="26"/>
      <c r="BV473" s="26"/>
      <c r="BW473" s="26"/>
      <c r="BX473" s="26"/>
      <c r="BY473" s="26"/>
      <c r="BZ473" s="26"/>
      <c r="CA473" s="26"/>
      <c r="CB473" s="26"/>
      <c r="CC473" s="26"/>
      <c r="CD473" s="26"/>
      <c r="CE473" s="26"/>
      <c r="CF473" s="26"/>
      <c r="CG473" s="26"/>
      <c r="CH473" s="26"/>
      <c r="CI473" s="26"/>
      <c r="CJ473" s="26"/>
      <c r="CK473" s="26"/>
      <c r="CL473" s="26"/>
      <c r="CM473" s="26"/>
      <c r="CN473" s="26"/>
      <c r="CO473" s="26"/>
    </row>
    <row r="474" spans="5:93" ht="12.75" hidden="1" customHeight="1" x14ac:dyDescent="0.25">
      <c r="E474" s="9" t="s">
        <v>302</v>
      </c>
      <c r="H474" s="9" t="s">
        <v>303</v>
      </c>
      <c r="J474" s="358">
        <f t="shared" si="93"/>
        <v>0</v>
      </c>
      <c r="L474" s="359">
        <f t="shared" si="94"/>
        <v>0</v>
      </c>
      <c r="N474" s="360">
        <v>0</v>
      </c>
      <c r="O474" s="9" t="s">
        <v>18</v>
      </c>
      <c r="P474" s="6"/>
      <c r="Q474" s="6"/>
      <c r="R474" s="6"/>
      <c r="S474" s="6"/>
      <c r="T474" s="6"/>
      <c r="U474" s="6"/>
      <c r="V474" s="6"/>
      <c r="W474" s="6"/>
      <c r="X474" s="6"/>
      <c r="Y474" s="6"/>
      <c r="Z474" s="6"/>
      <c r="AA474" s="6"/>
      <c r="BF474" s="26"/>
      <c r="BG474" s="26"/>
      <c r="BH474" s="26"/>
      <c r="BI474" s="26"/>
      <c r="BJ474" s="26"/>
      <c r="BK474" s="26"/>
      <c r="BL474" s="26"/>
      <c r="BM474" s="26"/>
      <c r="BN474" s="26"/>
      <c r="BO474" s="26"/>
      <c r="BP474" s="26"/>
      <c r="BQ474" s="26"/>
      <c r="BR474" s="26"/>
      <c r="BS474" s="26"/>
      <c r="BT474" s="26"/>
      <c r="BU474" s="26"/>
      <c r="BV474" s="26"/>
      <c r="BW474" s="26"/>
      <c r="BX474" s="26"/>
      <c r="BY474" s="26"/>
      <c r="BZ474" s="26"/>
      <c r="CA474" s="26"/>
      <c r="CB474" s="26"/>
      <c r="CC474" s="26"/>
      <c r="CD474" s="26"/>
      <c r="CE474" s="26"/>
      <c r="CF474" s="26"/>
      <c r="CG474" s="26"/>
      <c r="CH474" s="26"/>
      <c r="CI474" s="26"/>
      <c r="CJ474" s="26"/>
      <c r="CK474" s="26"/>
      <c r="CL474" s="26"/>
      <c r="CM474" s="26"/>
      <c r="CN474" s="26"/>
      <c r="CO474" s="26"/>
    </row>
    <row r="475" spans="5:93" ht="12.75" hidden="1" customHeight="1" x14ac:dyDescent="0.25">
      <c r="E475" s="9" t="s">
        <v>304</v>
      </c>
      <c r="H475" s="9" t="str">
        <f t="shared" ref="H475:H484" si="95">F20</f>
        <v>Water Heater</v>
      </c>
      <c r="J475" s="358">
        <f t="shared" ref="J475:J484" si="96">E20</f>
        <v>0</v>
      </c>
      <c r="L475" s="359">
        <f t="shared" ref="L475:L488" si="97">H20</f>
        <v>0</v>
      </c>
      <c r="N475" s="25">
        <f>SUM(N473:N474)</f>
        <v>0</v>
      </c>
      <c r="P475" s="6"/>
      <c r="Q475" s="6"/>
      <c r="R475" s="6"/>
      <c r="S475" s="6"/>
      <c r="T475" s="6"/>
      <c r="U475" s="6"/>
      <c r="V475" s="6"/>
      <c r="W475" s="6"/>
      <c r="X475" s="6"/>
      <c r="Y475" s="6"/>
      <c r="Z475" s="6"/>
      <c r="AA475" s="6"/>
      <c r="BF475" s="26"/>
      <c r="BG475" s="26"/>
      <c r="BH475" s="26"/>
      <c r="BI475" s="26"/>
      <c r="BJ475" s="26"/>
      <c r="BK475" s="26"/>
      <c r="BL475" s="26"/>
      <c r="BM475" s="26"/>
      <c r="BN475" s="26"/>
      <c r="BO475" s="26"/>
      <c r="BP475" s="26"/>
      <c r="BQ475" s="26"/>
      <c r="BR475" s="26"/>
      <c r="BS475" s="26"/>
      <c r="BT475" s="26"/>
      <c r="BU475" s="26"/>
      <c r="BV475" s="26"/>
      <c r="BW475" s="26"/>
      <c r="BX475" s="26"/>
      <c r="BY475" s="26"/>
      <c r="BZ475" s="26"/>
      <c r="CA475" s="26"/>
      <c r="CB475" s="26"/>
      <c r="CC475" s="26"/>
      <c r="CD475" s="26"/>
      <c r="CE475" s="26"/>
      <c r="CF475" s="26"/>
      <c r="CG475" s="26"/>
      <c r="CH475" s="26"/>
      <c r="CI475" s="26"/>
      <c r="CJ475" s="26"/>
      <c r="CK475" s="26"/>
      <c r="CL475" s="26"/>
      <c r="CM475" s="26"/>
      <c r="CN475" s="26"/>
      <c r="CO475" s="26"/>
    </row>
    <row r="476" spans="5:93" ht="12.75" hidden="1" customHeight="1" x14ac:dyDescent="0.25">
      <c r="E476" s="9" t="s">
        <v>305</v>
      </c>
      <c r="H476" s="9" t="str">
        <f t="shared" si="95"/>
        <v>Refrigerator</v>
      </c>
      <c r="J476" s="358">
        <f t="shared" si="96"/>
        <v>0</v>
      </c>
      <c r="L476" s="359">
        <f t="shared" si="97"/>
        <v>0</v>
      </c>
      <c r="N476" s="361">
        <v>-10000</v>
      </c>
      <c r="O476" s="9" t="s">
        <v>306</v>
      </c>
      <c r="P476" s="6"/>
      <c r="Q476" s="6"/>
      <c r="R476" s="6"/>
      <c r="S476" s="6"/>
      <c r="T476" s="6"/>
      <c r="U476" s="6"/>
      <c r="V476" s="6"/>
      <c r="W476" s="6"/>
      <c r="X476" s="6"/>
      <c r="Y476" s="6"/>
      <c r="Z476" s="6"/>
      <c r="AA476" s="6"/>
      <c r="BF476" s="26"/>
      <c r="BG476" s="26"/>
      <c r="BH476" s="26"/>
      <c r="BI476" s="26"/>
      <c r="BJ476" s="26"/>
      <c r="BK476" s="26"/>
      <c r="BL476" s="26"/>
      <c r="BM476" s="26"/>
      <c r="BN476" s="26"/>
      <c r="BO476" s="26"/>
      <c r="BP476" s="26"/>
      <c r="BQ476" s="26"/>
      <c r="BR476" s="26"/>
      <c r="BS476" s="26"/>
      <c r="BT476" s="26"/>
      <c r="BU476" s="26"/>
      <c r="BV476" s="26"/>
      <c r="BW476" s="26"/>
      <c r="BX476" s="26"/>
      <c r="BY476" s="26"/>
      <c r="BZ476" s="26"/>
      <c r="CA476" s="26"/>
      <c r="CB476" s="26"/>
      <c r="CC476" s="26"/>
      <c r="CD476" s="26"/>
      <c r="CE476" s="26"/>
      <c r="CF476" s="26"/>
      <c r="CG476" s="26"/>
      <c r="CH476" s="26"/>
      <c r="CI476" s="26"/>
      <c r="CJ476" s="26"/>
      <c r="CK476" s="26"/>
      <c r="CL476" s="26"/>
      <c r="CM476" s="26"/>
      <c r="CN476" s="26"/>
      <c r="CO476" s="26"/>
    </row>
    <row r="477" spans="5:93" ht="12.75" hidden="1" customHeight="1" x14ac:dyDescent="0.25">
      <c r="E477" s="9" t="s">
        <v>307</v>
      </c>
      <c r="H477" s="9" t="str">
        <f t="shared" si="95"/>
        <v>Freezer</v>
      </c>
      <c r="J477" s="358">
        <f t="shared" si="96"/>
        <v>0</v>
      </c>
      <c r="L477" s="359">
        <f t="shared" si="97"/>
        <v>0</v>
      </c>
      <c r="N477" s="25">
        <f>SUM(N475:N476)</f>
        <v>-10000</v>
      </c>
      <c r="P477" s="6"/>
      <c r="Q477" s="6"/>
      <c r="R477" s="6"/>
      <c r="S477" s="6"/>
      <c r="T477" s="6"/>
      <c r="U477" s="6"/>
      <c r="V477" s="6"/>
      <c r="W477" s="6"/>
      <c r="X477" s="6"/>
      <c r="Y477" s="6"/>
      <c r="Z477" s="6"/>
      <c r="AA477" s="6"/>
      <c r="BF477" s="26"/>
      <c r="BG477" s="26"/>
      <c r="BH477" s="26"/>
      <c r="BI477" s="26"/>
      <c r="BJ477" s="26"/>
      <c r="BK477" s="26"/>
      <c r="BL477" s="26"/>
      <c r="BM477" s="26"/>
      <c r="BN477" s="26"/>
      <c r="BO477" s="26"/>
      <c r="BP477" s="26"/>
      <c r="BQ477" s="26"/>
      <c r="BR477" s="26"/>
      <c r="BS477" s="26"/>
      <c r="BT477" s="26"/>
      <c r="BU477" s="26"/>
      <c r="BV477" s="26"/>
      <c r="BW477" s="26"/>
      <c r="BX477" s="26"/>
      <c r="BY477" s="26"/>
      <c r="BZ477" s="26"/>
      <c r="CA477" s="26"/>
      <c r="CB477" s="26"/>
      <c r="CC477" s="26"/>
      <c r="CD477" s="26"/>
      <c r="CE477" s="26"/>
      <c r="CF477" s="26"/>
      <c r="CG477" s="26"/>
      <c r="CH477" s="26"/>
      <c r="CI477" s="26"/>
      <c r="CJ477" s="26"/>
      <c r="CK477" s="26"/>
      <c r="CL477" s="26"/>
      <c r="CM477" s="26"/>
      <c r="CN477" s="26"/>
      <c r="CO477" s="26"/>
    </row>
    <row r="478" spans="5:93" ht="12.75" hidden="1" customHeight="1" x14ac:dyDescent="0.25">
      <c r="H478" s="9" t="str">
        <f t="shared" si="95"/>
        <v>Dishwasher</v>
      </c>
      <c r="J478" s="358">
        <f t="shared" si="96"/>
        <v>0</v>
      </c>
      <c r="L478" s="362">
        <f t="shared" si="97"/>
        <v>0</v>
      </c>
      <c r="N478" s="361">
        <v>0.4</v>
      </c>
      <c r="O478" s="9" t="s">
        <v>308</v>
      </c>
      <c r="P478" s="6"/>
      <c r="Q478" s="6"/>
      <c r="R478" s="6"/>
      <c r="S478" s="6"/>
      <c r="T478" s="6"/>
      <c r="U478" s="6"/>
      <c r="V478" s="6"/>
      <c r="W478" s="6"/>
      <c r="X478" s="6"/>
      <c r="Y478" s="6"/>
      <c r="Z478" s="6"/>
      <c r="AA478" s="6"/>
      <c r="BF478" s="26"/>
      <c r="BG478" s="26"/>
      <c r="BH478" s="26"/>
      <c r="BI478" s="26"/>
      <c r="BJ478" s="26"/>
      <c r="BK478" s="26"/>
      <c r="BL478" s="26"/>
      <c r="BM478" s="26"/>
      <c r="BN478" s="26"/>
      <c r="BO478" s="26"/>
      <c r="BP478" s="26"/>
      <c r="BQ478" s="26"/>
      <c r="BR478" s="26"/>
      <c r="BS478" s="26"/>
      <c r="BT478" s="26"/>
      <c r="BU478" s="26"/>
      <c r="BV478" s="26"/>
      <c r="BW478" s="26"/>
      <c r="BX478" s="26"/>
      <c r="BY478" s="26"/>
      <c r="BZ478" s="26"/>
      <c r="CA478" s="26"/>
      <c r="CB478" s="26"/>
      <c r="CC478" s="26"/>
      <c r="CD478" s="26"/>
      <c r="CE478" s="26"/>
      <c r="CF478" s="26"/>
      <c r="CG478" s="26"/>
      <c r="CH478" s="26"/>
      <c r="CI478" s="26"/>
      <c r="CJ478" s="26"/>
      <c r="CK478" s="26"/>
      <c r="CL478" s="26"/>
      <c r="CM478" s="26"/>
      <c r="CN478" s="26"/>
      <c r="CO478" s="26"/>
    </row>
    <row r="479" spans="5:93" ht="12.75" hidden="1" customHeight="1" x14ac:dyDescent="0.25">
      <c r="H479" s="9" t="str">
        <f t="shared" si="95"/>
        <v>Disposal</v>
      </c>
      <c r="J479" s="358">
        <f t="shared" si="96"/>
        <v>0</v>
      </c>
      <c r="L479" s="362">
        <f t="shared" si="97"/>
        <v>0</v>
      </c>
      <c r="N479" s="9">
        <f>SUM(N477*N478)</f>
        <v>-4000</v>
      </c>
      <c r="P479" s="6"/>
      <c r="Q479" s="6"/>
      <c r="R479" s="6"/>
      <c r="S479" s="6"/>
      <c r="T479" s="6"/>
      <c r="U479" s="6"/>
      <c r="V479" s="6"/>
      <c r="W479" s="6"/>
      <c r="X479" s="6"/>
      <c r="Y479" s="6"/>
      <c r="Z479" s="6"/>
      <c r="AA479" s="6"/>
      <c r="BF479" s="26"/>
      <c r="BG479" s="26"/>
      <c r="BH479" s="26"/>
      <c r="BI479" s="26"/>
      <c r="BJ479" s="26"/>
      <c r="BK479" s="26"/>
      <c r="BL479" s="26"/>
      <c r="BM479" s="26"/>
      <c r="BN479" s="26"/>
      <c r="BO479" s="26"/>
      <c r="BP479" s="26"/>
      <c r="BQ479" s="26"/>
      <c r="BR479" s="26"/>
      <c r="BS479" s="26"/>
      <c r="BT479" s="26"/>
      <c r="BU479" s="26"/>
      <c r="BV479" s="26"/>
      <c r="BW479" s="26"/>
      <c r="BX479" s="26"/>
      <c r="BY479" s="26"/>
      <c r="BZ479" s="26"/>
      <c r="CA479" s="26"/>
      <c r="CB479" s="26"/>
      <c r="CC479" s="26"/>
      <c r="CD479" s="26"/>
      <c r="CE479" s="26"/>
      <c r="CF479" s="26"/>
      <c r="CG479" s="26"/>
      <c r="CH479" s="26"/>
      <c r="CI479" s="26"/>
      <c r="CJ479" s="26"/>
      <c r="CK479" s="26"/>
      <c r="CL479" s="26"/>
      <c r="CM479" s="26"/>
      <c r="CN479" s="26"/>
      <c r="CO479" s="26"/>
    </row>
    <row r="480" spans="5:93" ht="12.75" hidden="1" customHeight="1" x14ac:dyDescent="0.25">
      <c r="H480" s="9" t="str">
        <f t="shared" si="95"/>
        <v>Range Hood</v>
      </c>
      <c r="J480" s="358">
        <f t="shared" si="96"/>
        <v>0</v>
      </c>
      <c r="L480" s="93">
        <f t="shared" si="97"/>
        <v>0</v>
      </c>
      <c r="N480" s="361">
        <v>10000</v>
      </c>
      <c r="O480" s="25"/>
      <c r="P480" s="6"/>
      <c r="Q480" s="6"/>
      <c r="R480" s="6"/>
      <c r="S480" s="6"/>
      <c r="T480" s="6"/>
      <c r="U480" s="6"/>
      <c r="V480" s="6"/>
      <c r="W480" s="6"/>
      <c r="X480" s="6"/>
      <c r="Y480" s="6"/>
      <c r="Z480" s="6"/>
      <c r="AA480" s="6"/>
      <c r="BF480" s="26"/>
      <c r="BG480" s="26"/>
      <c r="BH480" s="26"/>
      <c r="BI480" s="26"/>
      <c r="BJ480" s="26"/>
      <c r="BK480" s="26"/>
      <c r="BL480" s="26"/>
      <c r="BM480" s="26"/>
      <c r="BN480" s="26"/>
      <c r="BO480" s="26"/>
      <c r="BP480" s="26"/>
      <c r="BQ480" s="26"/>
      <c r="BR480" s="26"/>
      <c r="BS480" s="26"/>
      <c r="BT480" s="26"/>
      <c r="BU480" s="26"/>
      <c r="BV480" s="26"/>
      <c r="BW480" s="26"/>
      <c r="BX480" s="26"/>
      <c r="BY480" s="26"/>
      <c r="BZ480" s="26"/>
      <c r="CA480" s="26"/>
      <c r="CB480" s="26"/>
      <c r="CC480" s="26"/>
      <c r="CD480" s="26"/>
      <c r="CE480" s="26"/>
      <c r="CF480" s="26"/>
      <c r="CG480" s="26"/>
      <c r="CH480" s="26"/>
      <c r="CI480" s="26"/>
      <c r="CJ480" s="26"/>
      <c r="CK480" s="26"/>
      <c r="CL480" s="26"/>
      <c r="CM480" s="26"/>
      <c r="CN480" s="26"/>
      <c r="CO480" s="26"/>
    </row>
    <row r="481" spans="4:93" ht="12.75" hidden="1" customHeight="1" x14ac:dyDescent="0.25">
      <c r="H481" s="9" t="str">
        <f t="shared" si="95"/>
        <v>Microwave</v>
      </c>
      <c r="J481" s="358">
        <f t="shared" si="96"/>
        <v>0</v>
      </c>
      <c r="L481" s="93">
        <f t="shared" si="97"/>
        <v>0</v>
      </c>
      <c r="N481" s="9">
        <f>SUM(N479:N480)</f>
        <v>6000</v>
      </c>
      <c r="P481" s="6"/>
      <c r="Q481" s="6"/>
      <c r="R481" s="6"/>
      <c r="S481" s="6"/>
      <c r="T481" s="6"/>
      <c r="U481" s="6"/>
      <c r="V481" s="6"/>
      <c r="W481" s="6"/>
      <c r="X481" s="6"/>
      <c r="Y481" s="6"/>
      <c r="Z481" s="6"/>
      <c r="AA481" s="6"/>
      <c r="BF481" s="26"/>
      <c r="BG481" s="26"/>
      <c r="BH481" s="26"/>
      <c r="BI481" s="26"/>
      <c r="BJ481" s="26"/>
      <c r="BK481" s="26"/>
      <c r="BL481" s="26"/>
      <c r="BM481" s="26"/>
      <c r="BN481" s="26"/>
      <c r="BO481" s="26"/>
      <c r="BP481" s="26"/>
      <c r="BQ481" s="26"/>
      <c r="BR481" s="26"/>
      <c r="BS481" s="26"/>
      <c r="BT481" s="26"/>
      <c r="BU481" s="26"/>
      <c r="BV481" s="26"/>
      <c r="BW481" s="26"/>
      <c r="BX481" s="26"/>
      <c r="BY481" s="26"/>
      <c r="BZ481" s="26"/>
      <c r="CA481" s="26"/>
      <c r="CB481" s="26"/>
      <c r="CC481" s="26"/>
      <c r="CD481" s="26"/>
      <c r="CE481" s="26"/>
      <c r="CF481" s="26"/>
      <c r="CG481" s="26"/>
      <c r="CH481" s="26"/>
      <c r="CI481" s="26"/>
      <c r="CJ481" s="26"/>
      <c r="CK481" s="26"/>
      <c r="CL481" s="26"/>
      <c r="CM481" s="26"/>
      <c r="CN481" s="26"/>
      <c r="CO481" s="26"/>
    </row>
    <row r="482" spans="4:93" ht="12.75" hidden="1" customHeight="1" x14ac:dyDescent="0.25">
      <c r="H482" s="9" t="str">
        <f t="shared" si="95"/>
        <v>Central Vac</v>
      </c>
      <c r="J482" s="358">
        <f t="shared" si="96"/>
        <v>0</v>
      </c>
      <c r="L482" s="359">
        <f t="shared" si="97"/>
        <v>0</v>
      </c>
      <c r="N482" s="360">
        <v>0</v>
      </c>
      <c r="O482" s="9" t="s">
        <v>18</v>
      </c>
      <c r="P482" s="6"/>
      <c r="Q482" s="6"/>
      <c r="R482" s="6"/>
      <c r="S482" s="6"/>
      <c r="T482" s="6"/>
      <c r="U482" s="6"/>
      <c r="V482" s="6"/>
      <c r="W482" s="6"/>
      <c r="X482" s="6"/>
      <c r="Y482" s="6"/>
      <c r="Z482" s="6"/>
      <c r="AA482" s="6"/>
      <c r="BF482" s="26"/>
      <c r="BG482" s="26"/>
      <c r="BH482" s="26"/>
      <c r="BI482" s="26"/>
      <c r="BJ482" s="26"/>
      <c r="BK482" s="26"/>
      <c r="BL482" s="26"/>
      <c r="BM482" s="26"/>
      <c r="BN482" s="26"/>
      <c r="BO482" s="26"/>
      <c r="BP482" s="26"/>
      <c r="BQ482" s="26"/>
      <c r="BR482" s="26"/>
      <c r="BS482" s="26"/>
      <c r="BT482" s="26"/>
      <c r="BU482" s="26"/>
      <c r="BV482" s="26"/>
      <c r="BW482" s="26"/>
      <c r="BX482" s="26"/>
      <c r="BY482" s="26"/>
      <c r="BZ482" s="26"/>
      <c r="CA482" s="26"/>
      <c r="CB482" s="26"/>
      <c r="CC482" s="26"/>
      <c r="CD482" s="26"/>
      <c r="CE482" s="26"/>
      <c r="CF482" s="26"/>
      <c r="CG482" s="26"/>
      <c r="CH482" s="26"/>
      <c r="CI482" s="26"/>
      <c r="CJ482" s="26"/>
      <c r="CK482" s="26"/>
      <c r="CL482" s="26"/>
      <c r="CM482" s="26"/>
      <c r="CN482" s="26"/>
      <c r="CO482" s="26"/>
    </row>
    <row r="483" spans="4:93" ht="12.75" hidden="1" customHeight="1" x14ac:dyDescent="0.25">
      <c r="F483" s="6">
        <f>CHOOSE(D485,F484,F485,F486)</f>
        <v>3</v>
      </c>
      <c r="H483" s="9" t="str">
        <f t="shared" si="95"/>
        <v>Mini Refrig</v>
      </c>
      <c r="J483" s="358">
        <f t="shared" si="96"/>
        <v>0</v>
      </c>
      <c r="L483" s="359">
        <f t="shared" si="97"/>
        <v>0</v>
      </c>
      <c r="N483" s="9">
        <f>SUM(N481:N482)</f>
        <v>6000</v>
      </c>
      <c r="P483" s="6"/>
      <c r="Q483" s="6"/>
      <c r="R483" s="6"/>
      <c r="S483" s="6"/>
      <c r="T483" s="6"/>
      <c r="U483" s="6"/>
      <c r="V483" s="6"/>
      <c r="W483" s="6"/>
      <c r="X483" s="6"/>
      <c r="Y483" s="6"/>
      <c r="Z483" s="6"/>
      <c r="AA483" s="6"/>
      <c r="BF483" s="26"/>
      <c r="BG483" s="26"/>
      <c r="BH483" s="26"/>
      <c r="BI483" s="26"/>
      <c r="BJ483" s="26"/>
      <c r="BK483" s="26"/>
      <c r="BL483" s="26"/>
      <c r="BM483" s="26"/>
      <c r="BN483" s="26"/>
      <c r="BO483" s="26"/>
      <c r="BP483" s="26"/>
      <c r="BQ483" s="26"/>
      <c r="BR483" s="26"/>
      <c r="BS483" s="26"/>
      <c r="BT483" s="26"/>
      <c r="BU483" s="26"/>
      <c r="BV483" s="26"/>
      <c r="BW483" s="26"/>
      <c r="BX483" s="26"/>
      <c r="BY483" s="26"/>
      <c r="BZ483" s="26"/>
      <c r="CA483" s="26"/>
      <c r="CB483" s="26"/>
      <c r="CC483" s="26"/>
      <c r="CD483" s="26"/>
      <c r="CE483" s="26"/>
      <c r="CF483" s="26"/>
      <c r="CG483" s="26"/>
      <c r="CH483" s="26"/>
      <c r="CI483" s="26"/>
      <c r="CJ483" s="26"/>
      <c r="CK483" s="26"/>
      <c r="CL483" s="26"/>
      <c r="CM483" s="26"/>
      <c r="CN483" s="26"/>
      <c r="CO483" s="26"/>
    </row>
    <row r="484" spans="4:93" ht="12.75" hidden="1" customHeight="1" x14ac:dyDescent="0.25">
      <c r="E484" s="9" t="s">
        <v>36</v>
      </c>
      <c r="F484" s="6">
        <v>0</v>
      </c>
      <c r="H484" s="9" t="str">
        <f t="shared" si="95"/>
        <v>Compactor</v>
      </c>
      <c r="J484" s="358">
        <f t="shared" si="96"/>
        <v>0</v>
      </c>
      <c r="L484" s="359">
        <f t="shared" si="97"/>
        <v>0</v>
      </c>
      <c r="N484" s="360" t="e">
        <f>L507</f>
        <v>#REF!</v>
      </c>
      <c r="O484" s="9" t="s">
        <v>309</v>
      </c>
      <c r="P484" s="6"/>
      <c r="Q484" s="6"/>
      <c r="R484" s="6"/>
      <c r="S484" s="6"/>
      <c r="T484" s="6"/>
      <c r="U484" s="6"/>
      <c r="V484" s="363">
        <f>SUM(L475:L493)+L503+L502</f>
        <v>0</v>
      </c>
      <c r="W484" s="6"/>
      <c r="X484" s="6"/>
      <c r="Y484" s="6"/>
      <c r="Z484" s="6"/>
      <c r="AA484" s="6"/>
      <c r="BF484" s="26"/>
      <c r="BG484" s="26"/>
      <c r="BH484" s="26"/>
      <c r="BI484" s="26"/>
      <c r="BJ484" s="26"/>
      <c r="BK484" s="26"/>
      <c r="BL484" s="26"/>
      <c r="BM484" s="26"/>
      <c r="BN484" s="26"/>
      <c r="BO484" s="26"/>
      <c r="BP484" s="26"/>
      <c r="BQ484" s="26"/>
      <c r="BR484" s="26"/>
      <c r="BS484" s="26"/>
      <c r="BT484" s="26"/>
      <c r="BU484" s="26"/>
      <c r="BV484" s="26"/>
      <c r="BW484" s="26"/>
      <c r="BX484" s="26"/>
      <c r="BY484" s="26"/>
      <c r="BZ484" s="26"/>
      <c r="CA484" s="26"/>
      <c r="CB484" s="26"/>
      <c r="CC484" s="26"/>
      <c r="CD484" s="26"/>
      <c r="CE484" s="26"/>
      <c r="CF484" s="26"/>
      <c r="CG484" s="26"/>
      <c r="CH484" s="26"/>
      <c r="CI484" s="26"/>
      <c r="CJ484" s="26"/>
      <c r="CK484" s="26"/>
      <c r="CL484" s="26"/>
      <c r="CM484" s="26"/>
      <c r="CN484" s="26"/>
      <c r="CO484" s="26"/>
    </row>
    <row r="485" spans="4:93" ht="12.75" hidden="1" customHeight="1" x14ac:dyDescent="0.25">
      <c r="D485" s="6">
        <v>2</v>
      </c>
      <c r="E485" s="9" t="s">
        <v>310</v>
      </c>
      <c r="F485" s="6">
        <v>3</v>
      </c>
      <c r="H485" s="9" t="str">
        <f>F34</f>
        <v>Well Pump</v>
      </c>
      <c r="J485" s="358">
        <f>H34</f>
        <v>0</v>
      </c>
      <c r="L485" s="359">
        <f t="shared" si="97"/>
        <v>0</v>
      </c>
      <c r="N485" s="9" t="e">
        <f>SUM(N483:N484)</f>
        <v>#REF!</v>
      </c>
      <c r="P485" s="6"/>
      <c r="Q485" s="6"/>
      <c r="R485" s="6"/>
      <c r="S485" s="6"/>
      <c r="T485" s="6"/>
      <c r="U485" s="6"/>
      <c r="V485" s="6"/>
      <c r="W485" s="6"/>
      <c r="X485" s="6"/>
      <c r="Y485" s="6"/>
      <c r="Z485" s="6"/>
      <c r="AA485" s="6"/>
      <c r="BF485" s="26"/>
      <c r="BG485" s="26"/>
      <c r="BH485" s="26"/>
      <c r="BI485" s="26"/>
      <c r="BJ485" s="26"/>
      <c r="BK485" s="26"/>
      <c r="BL485" s="26"/>
      <c r="BM485" s="26"/>
      <c r="BN485" s="26"/>
      <c r="BO485" s="26"/>
      <c r="BP485" s="26"/>
      <c r="BQ485" s="26"/>
      <c r="BR485" s="26"/>
      <c r="BS485" s="26"/>
      <c r="BT485" s="26"/>
      <c r="BU485" s="26"/>
      <c r="BV485" s="26"/>
      <c r="BW485" s="26"/>
      <c r="BX485" s="26"/>
      <c r="BY485" s="26"/>
      <c r="BZ485" s="26"/>
      <c r="CA485" s="26"/>
      <c r="CB485" s="26"/>
      <c r="CC485" s="26"/>
      <c r="CD485" s="26"/>
      <c r="CE485" s="26"/>
      <c r="CF485" s="26"/>
      <c r="CG485" s="26"/>
      <c r="CH485" s="26"/>
      <c r="CI485" s="26"/>
      <c r="CJ485" s="26"/>
      <c r="CK485" s="26"/>
      <c r="CL485" s="26"/>
      <c r="CM485" s="26"/>
      <c r="CN485" s="26"/>
      <c r="CO485" s="26"/>
    </row>
    <row r="486" spans="4:93" ht="12.75" hidden="1" customHeight="1" x14ac:dyDescent="0.25">
      <c r="E486" s="9" t="s">
        <v>311</v>
      </c>
      <c r="F486" s="6">
        <v>33</v>
      </c>
      <c r="H486" s="9" t="str">
        <f t="shared" ref="H486:H488" si="98">F31</f>
        <v>Wine Cooler</v>
      </c>
      <c r="J486" s="358">
        <f>E31</f>
        <v>0</v>
      </c>
      <c r="L486" s="93">
        <f t="shared" si="97"/>
        <v>0</v>
      </c>
      <c r="N486" s="6"/>
      <c r="P486" s="6"/>
      <c r="Q486" s="6"/>
      <c r="R486" s="6"/>
      <c r="S486" s="6"/>
      <c r="T486" s="6"/>
      <c r="U486" s="6"/>
      <c r="V486" s="6"/>
      <c r="W486" s="6"/>
      <c r="X486" s="6"/>
      <c r="Y486" s="6"/>
      <c r="Z486" s="6"/>
      <c r="AA486" s="6"/>
      <c r="BF486" s="26"/>
      <c r="BG486" s="26"/>
      <c r="BH486" s="26"/>
      <c r="BI486" s="26"/>
      <c r="BJ486" s="26"/>
      <c r="BK486" s="26"/>
      <c r="BL486" s="26"/>
      <c r="BM486" s="26"/>
      <c r="BN486" s="26"/>
      <c r="BO486" s="26"/>
      <c r="BP486" s="26"/>
      <c r="BQ486" s="26"/>
      <c r="BR486" s="26"/>
      <c r="BS486" s="26"/>
      <c r="BT486" s="26"/>
      <c r="BU486" s="26"/>
      <c r="BV486" s="26"/>
      <c r="BW486" s="26"/>
      <c r="BX486" s="26"/>
      <c r="BY486" s="26"/>
      <c r="BZ486" s="26"/>
      <c r="CA486" s="26"/>
      <c r="CB486" s="26"/>
      <c r="CC486" s="26"/>
      <c r="CD486" s="26"/>
      <c r="CE486" s="26"/>
      <c r="CF486" s="26"/>
      <c r="CG486" s="26"/>
      <c r="CH486" s="26"/>
      <c r="CI486" s="26"/>
      <c r="CJ486" s="26"/>
      <c r="CK486" s="26"/>
      <c r="CL486" s="26"/>
      <c r="CM486" s="26"/>
      <c r="CN486" s="26"/>
      <c r="CO486" s="26"/>
    </row>
    <row r="487" spans="4:93" ht="12.75" hidden="1" customHeight="1" x14ac:dyDescent="0.25">
      <c r="F487" s="6"/>
      <c r="H487" s="9" t="str">
        <f t="shared" si="98"/>
        <v xml:space="preserve">Jacuzzi Tub </v>
      </c>
      <c r="J487" s="358">
        <f t="shared" ref="J487:J488" si="99">H32</f>
        <v>0</v>
      </c>
      <c r="L487" s="359">
        <f t="shared" si="97"/>
        <v>0</v>
      </c>
      <c r="N487" s="361" t="e">
        <f>N485</f>
        <v>#REF!</v>
      </c>
      <c r="P487" s="6"/>
      <c r="Q487" s="6"/>
      <c r="R487" s="6"/>
      <c r="S487" s="6"/>
      <c r="T487" s="6"/>
      <c r="U487" s="6"/>
      <c r="V487" s="6"/>
      <c r="W487" s="6"/>
      <c r="X487" s="6"/>
      <c r="Y487" s="6"/>
      <c r="Z487" s="6"/>
      <c r="AA487" s="6"/>
      <c r="BF487" s="26"/>
      <c r="BG487" s="26"/>
      <c r="BH487" s="26"/>
      <c r="BI487" s="26"/>
      <c r="BJ487" s="26"/>
      <c r="BK487" s="26"/>
      <c r="BL487" s="26"/>
      <c r="BM487" s="26"/>
      <c r="BN487" s="26"/>
      <c r="BO487" s="26"/>
      <c r="BP487" s="26"/>
      <c r="BQ487" s="26"/>
      <c r="BR487" s="26"/>
      <c r="BS487" s="26"/>
      <c r="BT487" s="26"/>
      <c r="BU487" s="26"/>
      <c r="BV487" s="26"/>
      <c r="BW487" s="26"/>
      <c r="BX487" s="26"/>
      <c r="BY487" s="26"/>
      <c r="BZ487" s="26"/>
      <c r="CA487" s="26"/>
      <c r="CB487" s="26"/>
      <c r="CC487" s="26"/>
      <c r="CD487" s="26"/>
      <c r="CE487" s="26"/>
      <c r="CF487" s="26"/>
      <c r="CG487" s="26"/>
      <c r="CH487" s="26"/>
      <c r="CI487" s="26"/>
      <c r="CJ487" s="26"/>
      <c r="CK487" s="26"/>
      <c r="CL487" s="26"/>
      <c r="CM487" s="26"/>
      <c r="CN487" s="26"/>
      <c r="CO487" s="26"/>
    </row>
    <row r="488" spans="4:93" ht="12.75" hidden="1" customHeight="1" x14ac:dyDescent="0.25">
      <c r="F488" s="364">
        <v>0.30480000000000002</v>
      </c>
      <c r="H488" s="9" t="str">
        <f t="shared" si="98"/>
        <v>Sprinkler</v>
      </c>
      <c r="J488" s="358">
        <f t="shared" si="99"/>
        <v>0</v>
      </c>
      <c r="L488" s="359">
        <f t="shared" si="97"/>
        <v>0</v>
      </c>
      <c r="N488" s="9">
        <v>240</v>
      </c>
      <c r="O488" s="9" t="s">
        <v>312</v>
      </c>
      <c r="P488" s="457" t="e">
        <f>SUM(N487/N488)</f>
        <v>#REF!</v>
      </c>
      <c r="Q488" s="409"/>
      <c r="R488" s="6"/>
      <c r="S488" s="6"/>
      <c r="T488" s="6"/>
      <c r="U488" s="6"/>
      <c r="V488" s="6"/>
      <c r="W488" s="6"/>
      <c r="X488" s="6"/>
      <c r="Y488" s="6"/>
      <c r="Z488" s="6"/>
      <c r="AA488" s="6"/>
      <c r="BF488" s="26"/>
      <c r="BG488" s="26"/>
      <c r="BH488" s="26"/>
      <c r="BI488" s="26"/>
      <c r="BJ488" s="26"/>
      <c r="BK488" s="26"/>
      <c r="BL488" s="26"/>
      <c r="BM488" s="26"/>
      <c r="BN488" s="26"/>
      <c r="BO488" s="26"/>
      <c r="BP488" s="26"/>
      <c r="BQ488" s="26"/>
      <c r="BR488" s="26"/>
      <c r="BS488" s="26"/>
      <c r="BT488" s="26"/>
      <c r="BU488" s="26"/>
      <c r="BV488" s="26"/>
      <c r="BW488" s="26"/>
      <c r="BX488" s="26"/>
      <c r="BY488" s="26"/>
      <c r="BZ488" s="26"/>
      <c r="CA488" s="26"/>
      <c r="CB488" s="26"/>
      <c r="CC488" s="26"/>
      <c r="CD488" s="26"/>
      <c r="CE488" s="26"/>
      <c r="CF488" s="26"/>
      <c r="CG488" s="26"/>
      <c r="CH488" s="26"/>
      <c r="CI488" s="26"/>
      <c r="CJ488" s="26"/>
      <c r="CK488" s="26"/>
      <c r="CL488" s="26"/>
      <c r="CM488" s="26"/>
      <c r="CN488" s="26"/>
      <c r="CO488" s="26"/>
    </row>
    <row r="489" spans="4:93" ht="12.75" hidden="1" customHeight="1" x14ac:dyDescent="0.25">
      <c r="H489" s="9" t="str">
        <f t="shared" ref="H489:H491" si="100">F35</f>
        <v>Fountain Pump</v>
      </c>
      <c r="J489" s="358"/>
      <c r="L489" s="359">
        <f t="shared" ref="L489:L493" si="101">H35</f>
        <v>0</v>
      </c>
      <c r="P489" s="6"/>
      <c r="Q489" s="6"/>
      <c r="R489" s="6"/>
      <c r="S489" s="6"/>
      <c r="T489" s="6"/>
      <c r="U489" s="6"/>
      <c r="V489" s="6"/>
      <c r="W489" s="6"/>
      <c r="X489" s="6"/>
      <c r="Y489" s="6"/>
      <c r="Z489" s="6"/>
      <c r="AA489" s="6"/>
      <c r="BF489" s="26"/>
      <c r="BG489" s="26"/>
      <c r="BH489" s="26"/>
      <c r="BI489" s="26"/>
      <c r="BJ489" s="26"/>
      <c r="BK489" s="26"/>
      <c r="BL489" s="26"/>
      <c r="BM489" s="26"/>
      <c r="BN489" s="26"/>
      <c r="BO489" s="26"/>
      <c r="BP489" s="26"/>
      <c r="BQ489" s="26"/>
      <c r="BR489" s="26"/>
      <c r="BS489" s="26"/>
      <c r="BT489" s="26"/>
      <c r="BU489" s="26"/>
      <c r="BV489" s="26"/>
      <c r="BW489" s="26"/>
      <c r="BX489" s="26"/>
      <c r="BY489" s="26"/>
      <c r="BZ489" s="26"/>
      <c r="CA489" s="26"/>
      <c r="CB489" s="26"/>
      <c r="CC489" s="26"/>
      <c r="CD489" s="26"/>
      <c r="CE489" s="26"/>
      <c r="CF489" s="26"/>
      <c r="CG489" s="26"/>
      <c r="CH489" s="26"/>
      <c r="CI489" s="26"/>
      <c r="CJ489" s="26"/>
      <c r="CK489" s="26"/>
      <c r="CL489" s="26"/>
      <c r="CM489" s="26"/>
      <c r="CN489" s="26"/>
      <c r="CO489" s="26"/>
    </row>
    <row r="490" spans="4:93" ht="12.75" hidden="1" customHeight="1" x14ac:dyDescent="0.25">
      <c r="H490" s="9" t="str">
        <f t="shared" si="100"/>
        <v>Elevator</v>
      </c>
      <c r="J490" s="358"/>
      <c r="L490" s="359">
        <f t="shared" si="101"/>
        <v>0</v>
      </c>
      <c r="P490" s="6"/>
      <c r="Q490" s="6"/>
      <c r="R490" s="6"/>
      <c r="S490" s="6"/>
      <c r="T490" s="6"/>
      <c r="U490" s="6"/>
      <c r="V490" s="6"/>
      <c r="W490" s="6"/>
      <c r="X490" s="6"/>
      <c r="Y490" s="6"/>
      <c r="Z490" s="6"/>
      <c r="AA490" s="6"/>
      <c r="BF490" s="26"/>
      <c r="BG490" s="26"/>
      <c r="BH490" s="26"/>
      <c r="BI490" s="26"/>
      <c r="BJ490" s="26"/>
      <c r="BK490" s="26"/>
      <c r="BL490" s="26"/>
      <c r="BM490" s="26"/>
      <c r="BN490" s="26"/>
      <c r="BO490" s="26"/>
      <c r="BP490" s="26"/>
      <c r="BQ490" s="26"/>
      <c r="BR490" s="26"/>
      <c r="BS490" s="26"/>
      <c r="BT490" s="26"/>
      <c r="BU490" s="26"/>
      <c r="BV490" s="26"/>
      <c r="BW490" s="26"/>
      <c r="BX490" s="26"/>
      <c r="BY490" s="26"/>
      <c r="BZ490" s="26"/>
      <c r="CA490" s="26"/>
      <c r="CB490" s="26"/>
      <c r="CC490" s="26"/>
      <c r="CD490" s="26"/>
      <c r="CE490" s="26"/>
      <c r="CF490" s="26"/>
      <c r="CG490" s="26"/>
      <c r="CH490" s="26"/>
      <c r="CI490" s="26"/>
      <c r="CJ490" s="26"/>
      <c r="CK490" s="26"/>
      <c r="CL490" s="26"/>
      <c r="CM490" s="26"/>
      <c r="CN490" s="26"/>
      <c r="CO490" s="26"/>
    </row>
    <row r="491" spans="4:93" ht="12.75" hidden="1" customHeight="1" x14ac:dyDescent="0.25">
      <c r="H491" s="9" t="str">
        <f t="shared" si="100"/>
        <v>Pool Equip. Panel</v>
      </c>
      <c r="J491" s="358">
        <f>H37</f>
        <v>0</v>
      </c>
      <c r="L491" s="359">
        <f t="shared" si="101"/>
        <v>0</v>
      </c>
      <c r="O491" s="365" t="e">
        <f>N25</f>
        <v>#REF!</v>
      </c>
      <c r="P491" s="6"/>
      <c r="Q491" s="6"/>
      <c r="R491" s="6"/>
      <c r="S491" s="6"/>
      <c r="T491" s="6"/>
      <c r="U491" s="6"/>
      <c r="V491" s="6"/>
      <c r="W491" s="6"/>
      <c r="X491" s="6"/>
      <c r="Y491" s="6"/>
      <c r="Z491" s="6"/>
      <c r="AA491" s="6"/>
      <c r="BF491" s="26"/>
      <c r="BG491" s="26"/>
      <c r="BH491" s="26"/>
      <c r="BI491" s="26"/>
      <c r="BJ491" s="26"/>
      <c r="BK491" s="26"/>
      <c r="BL491" s="26"/>
      <c r="BM491" s="26"/>
      <c r="BN491" s="26"/>
      <c r="BO491" s="26"/>
      <c r="BP491" s="26"/>
      <c r="BQ491" s="26"/>
      <c r="BR491" s="26"/>
      <c r="BS491" s="26"/>
      <c r="BT491" s="26"/>
      <c r="BU491" s="26"/>
      <c r="BV491" s="26"/>
      <c r="BW491" s="26"/>
      <c r="BX491" s="26"/>
      <c r="BY491" s="26"/>
      <c r="BZ491" s="26"/>
      <c r="CA491" s="26"/>
      <c r="CB491" s="26"/>
      <c r="CC491" s="26"/>
      <c r="CD491" s="26"/>
      <c r="CE491" s="26"/>
      <c r="CF491" s="26"/>
      <c r="CG491" s="26"/>
      <c r="CH491" s="26"/>
      <c r="CI491" s="26"/>
      <c r="CJ491" s="26"/>
      <c r="CK491" s="26"/>
      <c r="CL491" s="26"/>
      <c r="CM491" s="26"/>
      <c r="CN491" s="26"/>
      <c r="CO491" s="26"/>
    </row>
    <row r="492" spans="4:93" ht="12.75" hidden="1" customHeight="1" x14ac:dyDescent="0.25">
      <c r="H492" s="9" t="s">
        <v>313</v>
      </c>
      <c r="J492" s="358"/>
      <c r="L492" s="359">
        <f t="shared" si="101"/>
        <v>0</v>
      </c>
      <c r="P492" s="6"/>
      <c r="Q492" s="6"/>
      <c r="R492" s="6"/>
      <c r="S492" s="6"/>
      <c r="T492" s="6"/>
      <c r="U492" s="6"/>
      <c r="V492" s="6"/>
      <c r="W492" s="6"/>
      <c r="X492" s="6"/>
      <c r="Y492" s="6"/>
      <c r="Z492" s="6"/>
      <c r="AA492" s="6"/>
      <c r="BF492" s="26"/>
      <c r="BG492" s="26"/>
      <c r="BH492" s="26"/>
      <c r="BI492" s="26"/>
      <c r="BJ492" s="26"/>
      <c r="BK492" s="26"/>
      <c r="BL492" s="26"/>
      <c r="BM492" s="26"/>
      <c r="BN492" s="26"/>
      <c r="BO492" s="26"/>
      <c r="BP492" s="26"/>
      <c r="BQ492" s="26"/>
      <c r="BR492" s="26"/>
      <c r="BS492" s="26"/>
      <c r="BT492" s="26"/>
      <c r="BU492" s="26"/>
      <c r="BV492" s="26"/>
      <c r="BW492" s="26"/>
      <c r="BX492" s="26"/>
      <c r="BY492" s="26"/>
      <c r="BZ492" s="26"/>
      <c r="CA492" s="26"/>
      <c r="CB492" s="26"/>
      <c r="CC492" s="26"/>
      <c r="CD492" s="26"/>
      <c r="CE492" s="26"/>
      <c r="CF492" s="26"/>
      <c r="CG492" s="26"/>
      <c r="CH492" s="26"/>
      <c r="CI492" s="26"/>
      <c r="CJ492" s="26"/>
      <c r="CK492" s="26"/>
      <c r="CL492" s="26"/>
      <c r="CM492" s="26"/>
      <c r="CN492" s="26"/>
      <c r="CO492" s="26"/>
    </row>
    <row r="493" spans="4:93" ht="12.75" hidden="1" customHeight="1" x14ac:dyDescent="0.25">
      <c r="H493" s="458" t="s">
        <v>314</v>
      </c>
      <c r="I493" s="459"/>
      <c r="J493" s="358">
        <f>H30</f>
        <v>0</v>
      </c>
      <c r="L493" s="359">
        <f t="shared" si="101"/>
        <v>0</v>
      </c>
      <c r="P493" s="6"/>
      <c r="Q493" s="6"/>
      <c r="R493" s="6"/>
      <c r="S493" s="6"/>
      <c r="T493" s="6"/>
      <c r="U493" s="6"/>
      <c r="V493" s="6"/>
      <c r="W493" s="6"/>
      <c r="X493" s="6"/>
      <c r="Y493" s="6"/>
      <c r="Z493" s="6"/>
      <c r="AA493" s="6"/>
      <c r="BF493" s="26"/>
      <c r="BG493" s="26"/>
      <c r="BH493" s="26"/>
      <c r="BI493" s="26"/>
      <c r="BJ493" s="26"/>
      <c r="BK493" s="26"/>
      <c r="BL493" s="26"/>
      <c r="BM493" s="26"/>
      <c r="BN493" s="26"/>
      <c r="BO493" s="26"/>
      <c r="BP493" s="26"/>
      <c r="BQ493" s="26"/>
      <c r="BR493" s="26"/>
      <c r="BS493" s="26"/>
      <c r="BT493" s="26"/>
      <c r="BU493" s="26"/>
      <c r="BV493" s="26"/>
      <c r="BW493" s="26"/>
      <c r="BX493" s="26"/>
      <c r="BY493" s="26"/>
      <c r="BZ493" s="26"/>
      <c r="CA493" s="26"/>
      <c r="CB493" s="26"/>
      <c r="CC493" s="26"/>
      <c r="CD493" s="26"/>
      <c r="CE493" s="26"/>
      <c r="CF493" s="26"/>
      <c r="CG493" s="26"/>
      <c r="CH493" s="26"/>
      <c r="CI493" s="26"/>
      <c r="CJ493" s="26"/>
      <c r="CK493" s="26"/>
      <c r="CL493" s="26"/>
      <c r="CM493" s="26"/>
      <c r="CN493" s="26"/>
      <c r="CO493" s="26"/>
    </row>
    <row r="494" spans="4:93" ht="12.75" hidden="1" customHeight="1" x14ac:dyDescent="0.25">
      <c r="H494" s="187" t="s">
        <v>315</v>
      </c>
      <c r="J494" s="358"/>
      <c r="L494" s="359">
        <f>H34</f>
        <v>0</v>
      </c>
      <c r="P494" s="6"/>
      <c r="Q494" s="6"/>
      <c r="R494" s="6"/>
      <c r="S494" s="6"/>
      <c r="T494" s="6"/>
      <c r="U494" s="6"/>
      <c r="V494" s="6"/>
      <c r="W494" s="6"/>
      <c r="X494" s="6"/>
      <c r="Y494" s="6"/>
      <c r="Z494" s="6"/>
      <c r="AA494" s="6"/>
      <c r="BF494" s="26"/>
      <c r="BG494" s="26"/>
      <c r="BH494" s="26"/>
      <c r="BI494" s="26"/>
      <c r="BJ494" s="26"/>
      <c r="BK494" s="26"/>
      <c r="BL494" s="26"/>
      <c r="BM494" s="26"/>
      <c r="BN494" s="26"/>
      <c r="BO494" s="26"/>
      <c r="BP494" s="26"/>
      <c r="BQ494" s="26"/>
      <c r="BR494" s="26"/>
      <c r="BS494" s="26"/>
      <c r="BT494" s="26"/>
      <c r="BU494" s="26"/>
      <c r="BV494" s="26"/>
      <c r="BW494" s="26"/>
      <c r="BX494" s="26"/>
      <c r="BY494" s="26"/>
      <c r="BZ494" s="26"/>
      <c r="CA494" s="26"/>
      <c r="CB494" s="26"/>
      <c r="CC494" s="26"/>
      <c r="CD494" s="26"/>
      <c r="CE494" s="26"/>
      <c r="CF494" s="26"/>
      <c r="CG494" s="26"/>
      <c r="CH494" s="26"/>
      <c r="CI494" s="26"/>
      <c r="CJ494" s="26"/>
      <c r="CK494" s="26"/>
      <c r="CL494" s="26"/>
      <c r="CM494" s="26"/>
      <c r="CN494" s="26"/>
      <c r="CO494" s="26"/>
    </row>
    <row r="495" spans="4:93" ht="12.75" hidden="1" customHeight="1" x14ac:dyDescent="0.25">
      <c r="H495" s="9" t="s">
        <v>18</v>
      </c>
      <c r="I495" s="6"/>
      <c r="J495" s="358" t="s">
        <v>18</v>
      </c>
      <c r="L495" s="359" t="s">
        <v>18</v>
      </c>
      <c r="M495" s="366">
        <f>IF(I50&gt;0,0,K497)</f>
        <v>0</v>
      </c>
      <c r="N495" s="25">
        <f>G44</f>
        <v>0</v>
      </c>
      <c r="P495" s="6"/>
      <c r="Q495" s="6"/>
      <c r="R495" s="6"/>
      <c r="S495" s="6"/>
      <c r="T495" s="6"/>
      <c r="U495" s="6"/>
      <c r="V495" s="6"/>
      <c r="W495" s="6"/>
      <c r="X495" s="6"/>
      <c r="Y495" s="6"/>
      <c r="Z495" s="6"/>
      <c r="AA495" s="6"/>
      <c r="BF495" s="26"/>
      <c r="BG495" s="26"/>
      <c r="BH495" s="26"/>
      <c r="BI495" s="26"/>
      <c r="BJ495" s="26"/>
      <c r="BK495" s="26"/>
      <c r="BL495" s="26"/>
      <c r="BM495" s="26"/>
      <c r="BN495" s="26"/>
      <c r="BO495" s="26"/>
      <c r="BP495" s="26"/>
      <c r="BQ495" s="26"/>
      <c r="BR495" s="26"/>
      <c r="BS495" s="26"/>
      <c r="BT495" s="26"/>
      <c r="BU495" s="26"/>
      <c r="BV495" s="26"/>
      <c r="BW495" s="26"/>
      <c r="BX495" s="26"/>
      <c r="BY495" s="26"/>
      <c r="BZ495" s="26"/>
      <c r="CA495" s="26"/>
      <c r="CB495" s="26"/>
      <c r="CC495" s="26"/>
      <c r="CD495" s="26"/>
      <c r="CE495" s="26"/>
      <c r="CF495" s="26"/>
      <c r="CG495" s="26"/>
      <c r="CH495" s="26"/>
      <c r="CI495" s="26"/>
      <c r="CJ495" s="26"/>
      <c r="CK495" s="26"/>
      <c r="CL495" s="26"/>
      <c r="CM495" s="26"/>
      <c r="CN495" s="26"/>
      <c r="CO495" s="26"/>
    </row>
    <row r="496" spans="4:93" ht="12.75" hidden="1" customHeight="1" x14ac:dyDescent="0.25">
      <c r="H496" s="9" t="s">
        <v>316</v>
      </c>
      <c r="J496" s="358">
        <f>H42</f>
        <v>0</v>
      </c>
      <c r="L496" s="359">
        <f>J496</f>
        <v>0</v>
      </c>
      <c r="P496" s="6"/>
      <c r="Q496" s="6"/>
      <c r="R496" s="6"/>
      <c r="S496" s="6"/>
      <c r="T496" s="6"/>
      <c r="U496" s="6"/>
      <c r="V496" s="6"/>
      <c r="W496" s="6"/>
      <c r="X496" s="6"/>
      <c r="Y496" s="6"/>
      <c r="Z496" s="6"/>
      <c r="AA496" s="6"/>
      <c r="BF496" s="26"/>
      <c r="BG496" s="26"/>
      <c r="BH496" s="26"/>
      <c r="BI496" s="26"/>
      <c r="BJ496" s="26"/>
      <c r="BK496" s="26"/>
      <c r="BL496" s="26"/>
      <c r="BM496" s="26"/>
      <c r="BN496" s="26"/>
      <c r="BO496" s="26"/>
      <c r="BP496" s="26"/>
      <c r="BQ496" s="26"/>
      <c r="BR496" s="26"/>
      <c r="BS496" s="26"/>
      <c r="BT496" s="26"/>
      <c r="BU496" s="26"/>
      <c r="BV496" s="26"/>
      <c r="BW496" s="26"/>
      <c r="BX496" s="26"/>
      <c r="BY496" s="26"/>
      <c r="BZ496" s="26"/>
      <c r="CA496" s="26"/>
      <c r="CB496" s="26"/>
      <c r="CC496" s="26"/>
      <c r="CD496" s="26"/>
      <c r="CE496" s="26"/>
      <c r="CF496" s="26"/>
      <c r="CG496" s="26"/>
      <c r="CH496" s="26"/>
      <c r="CI496" s="26"/>
      <c r="CJ496" s="26"/>
      <c r="CK496" s="26"/>
      <c r="CL496" s="26"/>
      <c r="CM496" s="26"/>
      <c r="CN496" s="26"/>
      <c r="CO496" s="26"/>
    </row>
    <row r="497" spans="8:93" ht="12.75" hidden="1" customHeight="1" x14ac:dyDescent="0.25">
      <c r="H497" s="9" t="s">
        <v>273</v>
      </c>
      <c r="J497" s="358">
        <f>IF(E136,0,G44)</f>
        <v>0</v>
      </c>
      <c r="K497" s="367">
        <f>IF(K499&gt;=11600,11600,J497)</f>
        <v>0</v>
      </c>
      <c r="L497" s="359">
        <f>M495</f>
        <v>0</v>
      </c>
      <c r="M497" s="9" t="b">
        <f>IF(SUM(L498:L501)=0,FALSE,TRUE)</f>
        <v>0</v>
      </c>
      <c r="N497" s="9" t="b">
        <f>E136</f>
        <v>0</v>
      </c>
      <c r="P497" s="6"/>
      <c r="Q497" s="6"/>
      <c r="R497" s="6"/>
      <c r="S497" s="6"/>
      <c r="T497" s="6"/>
      <c r="U497" s="6"/>
      <c r="V497" s="6"/>
      <c r="W497" s="6"/>
      <c r="X497" s="6"/>
      <c r="Y497" s="6"/>
      <c r="Z497" s="6"/>
      <c r="AA497" s="6"/>
      <c r="BF497" s="26"/>
      <c r="BG497" s="26"/>
      <c r="BH497" s="26"/>
      <c r="BI497" s="26"/>
      <c r="BJ497" s="26"/>
      <c r="BK497" s="26"/>
      <c r="BL497" s="26"/>
      <c r="BM497" s="26"/>
      <c r="BN497" s="26"/>
      <c r="BO497" s="26"/>
      <c r="BP497" s="26"/>
      <c r="BQ497" s="26"/>
      <c r="BR497" s="26"/>
      <c r="BS497" s="26"/>
      <c r="BT497" s="26"/>
      <c r="BU497" s="26"/>
      <c r="BV497" s="26"/>
      <c r="BW497" s="26"/>
      <c r="BX497" s="26"/>
      <c r="BY497" s="26"/>
      <c r="BZ497" s="26"/>
      <c r="CA497" s="26"/>
      <c r="CB497" s="26"/>
      <c r="CC497" s="26"/>
      <c r="CD497" s="26"/>
      <c r="CE497" s="26"/>
      <c r="CF497" s="26"/>
      <c r="CG497" s="26"/>
      <c r="CH497" s="26"/>
      <c r="CI497" s="26"/>
      <c r="CJ497" s="26"/>
      <c r="CK497" s="26"/>
      <c r="CL497" s="26"/>
      <c r="CM497" s="26"/>
      <c r="CN497" s="26"/>
      <c r="CO497" s="26"/>
    </row>
    <row r="498" spans="8:93" ht="12.75" hidden="1" customHeight="1" x14ac:dyDescent="0.25">
      <c r="H498" s="9" t="s">
        <v>101</v>
      </c>
      <c r="J498" s="358">
        <f t="shared" ref="J498:J501" si="102">I46</f>
        <v>0</v>
      </c>
      <c r="L498" s="359">
        <f t="shared" ref="L498:L501" si="103">J498</f>
        <v>0</v>
      </c>
      <c r="P498" s="6"/>
      <c r="Q498" s="6"/>
      <c r="R498" s="6"/>
      <c r="S498" s="6"/>
      <c r="T498" s="6"/>
      <c r="U498" s="6"/>
      <c r="V498" s="6"/>
      <c r="W498" s="6"/>
      <c r="X498" s="6"/>
      <c r="Y498" s="6"/>
      <c r="Z498" s="6"/>
      <c r="AA498" s="6"/>
      <c r="BF498" s="26"/>
      <c r="BG498" s="26"/>
      <c r="BH498" s="26"/>
      <c r="BI498" s="26"/>
      <c r="BJ498" s="26"/>
      <c r="BK498" s="26"/>
      <c r="BL498" s="26"/>
      <c r="BM498" s="26"/>
      <c r="BN498" s="26"/>
      <c r="BO498" s="26"/>
      <c r="BP498" s="26"/>
      <c r="BQ498" s="26"/>
      <c r="BR498" s="26"/>
      <c r="BS498" s="26"/>
      <c r="BT498" s="26"/>
      <c r="BU498" s="26"/>
      <c r="BV498" s="26"/>
      <c r="BW498" s="26"/>
      <c r="BX498" s="26"/>
      <c r="BY498" s="26"/>
      <c r="BZ498" s="26"/>
      <c r="CA498" s="26"/>
      <c r="CB498" s="26"/>
      <c r="CC498" s="26"/>
      <c r="CD498" s="26"/>
      <c r="CE498" s="26"/>
      <c r="CF498" s="26"/>
      <c r="CG498" s="26"/>
      <c r="CH498" s="26"/>
      <c r="CI498" s="26"/>
      <c r="CJ498" s="26"/>
      <c r="CK498" s="26"/>
      <c r="CL498" s="26"/>
      <c r="CM498" s="26"/>
      <c r="CN498" s="26"/>
      <c r="CO498" s="26"/>
    </row>
    <row r="499" spans="8:93" ht="12.75" hidden="1" customHeight="1" x14ac:dyDescent="0.25">
      <c r="H499" s="9" t="s">
        <v>101</v>
      </c>
      <c r="J499" s="358">
        <f t="shared" si="102"/>
        <v>0</v>
      </c>
      <c r="K499" s="25"/>
      <c r="L499" s="359">
        <f t="shared" si="103"/>
        <v>0</v>
      </c>
      <c r="P499" s="6"/>
      <c r="Q499" s="6"/>
      <c r="R499" s="6"/>
      <c r="S499" s="6"/>
      <c r="T499" s="6"/>
      <c r="U499" s="6"/>
      <c r="V499" s="6"/>
      <c r="W499" s="6"/>
      <c r="X499" s="6"/>
      <c r="Y499" s="6"/>
      <c r="Z499" s="6"/>
      <c r="AA499" s="6"/>
      <c r="BF499" s="26"/>
      <c r="BG499" s="26"/>
      <c r="BH499" s="26"/>
      <c r="BI499" s="26"/>
      <c r="BJ499" s="26"/>
      <c r="BK499" s="26"/>
      <c r="BL499" s="26"/>
      <c r="BM499" s="26"/>
      <c r="BN499" s="26"/>
      <c r="BO499" s="26"/>
      <c r="BP499" s="26"/>
      <c r="BQ499" s="26"/>
      <c r="BR499" s="26"/>
      <c r="BS499" s="26"/>
      <c r="BT499" s="26"/>
      <c r="BU499" s="26"/>
      <c r="BV499" s="26"/>
      <c r="BW499" s="26"/>
      <c r="BX499" s="26"/>
      <c r="BY499" s="26"/>
      <c r="BZ499" s="26"/>
      <c r="CA499" s="26"/>
      <c r="CB499" s="26"/>
      <c r="CC499" s="26"/>
      <c r="CD499" s="26"/>
      <c r="CE499" s="26"/>
      <c r="CF499" s="26"/>
      <c r="CG499" s="26"/>
      <c r="CH499" s="26"/>
      <c r="CI499" s="26"/>
      <c r="CJ499" s="26"/>
      <c r="CK499" s="26"/>
      <c r="CL499" s="26"/>
      <c r="CM499" s="26"/>
      <c r="CN499" s="26"/>
      <c r="CO499" s="26"/>
    </row>
    <row r="500" spans="8:93" ht="12.75" hidden="1" customHeight="1" x14ac:dyDescent="0.25">
      <c r="H500" s="9" t="s">
        <v>103</v>
      </c>
      <c r="J500" s="358">
        <f t="shared" si="102"/>
        <v>0</v>
      </c>
      <c r="L500" s="359">
        <f t="shared" si="103"/>
        <v>0</v>
      </c>
      <c r="P500" s="6"/>
      <c r="Q500" s="6"/>
      <c r="R500" s="6"/>
      <c r="S500" s="6"/>
      <c r="T500" s="6"/>
      <c r="U500" s="6"/>
      <c r="V500" s="6"/>
      <c r="W500" s="6"/>
      <c r="X500" s="6"/>
      <c r="Y500" s="6"/>
      <c r="Z500" s="6"/>
      <c r="AA500" s="6"/>
      <c r="BF500" s="26"/>
      <c r="BG500" s="26"/>
      <c r="BH500" s="26"/>
      <c r="BI500" s="26"/>
      <c r="BJ500" s="26"/>
      <c r="BK500" s="26"/>
      <c r="BL500" s="26"/>
      <c r="BM500" s="26"/>
      <c r="BN500" s="26"/>
      <c r="BO500" s="26"/>
      <c r="BP500" s="26"/>
      <c r="BQ500" s="26"/>
      <c r="BR500" s="26"/>
      <c r="BS500" s="26"/>
      <c r="BT500" s="26"/>
      <c r="BU500" s="26"/>
      <c r="BV500" s="26"/>
      <c r="BW500" s="26"/>
      <c r="BX500" s="26"/>
      <c r="BY500" s="26"/>
      <c r="BZ500" s="26"/>
      <c r="CA500" s="26"/>
      <c r="CB500" s="26"/>
      <c r="CC500" s="26"/>
      <c r="CD500" s="26"/>
      <c r="CE500" s="26"/>
      <c r="CF500" s="26"/>
      <c r="CG500" s="26"/>
      <c r="CH500" s="26"/>
      <c r="CI500" s="26"/>
      <c r="CJ500" s="26"/>
      <c r="CK500" s="26"/>
      <c r="CL500" s="26"/>
      <c r="CM500" s="26"/>
      <c r="CN500" s="26"/>
      <c r="CO500" s="26"/>
    </row>
    <row r="501" spans="8:93" ht="12.75" hidden="1" customHeight="1" x14ac:dyDescent="0.25">
      <c r="H501" s="9" t="s">
        <v>103</v>
      </c>
      <c r="J501" s="358">
        <f t="shared" si="102"/>
        <v>0</v>
      </c>
      <c r="L501" s="359">
        <f t="shared" si="103"/>
        <v>0</v>
      </c>
      <c r="P501" s="6"/>
      <c r="Q501" s="6"/>
      <c r="R501" s="6"/>
      <c r="S501" s="6"/>
      <c r="T501" s="6"/>
      <c r="U501" s="6"/>
      <c r="V501" s="6"/>
      <c r="W501" s="6"/>
      <c r="X501" s="6"/>
      <c r="Y501" s="6"/>
      <c r="Z501" s="6"/>
      <c r="AA501" s="6"/>
      <c r="BF501" s="26"/>
      <c r="BG501" s="26"/>
      <c r="BH501" s="26"/>
      <c r="BI501" s="26"/>
      <c r="BJ501" s="26"/>
      <c r="BK501" s="26"/>
      <c r="BL501" s="26"/>
      <c r="BM501" s="26"/>
      <c r="BN501" s="26"/>
      <c r="BO501" s="26"/>
      <c r="BP501" s="26"/>
      <c r="BQ501" s="26"/>
      <c r="BR501" s="26"/>
      <c r="BS501" s="26"/>
      <c r="BT501" s="26"/>
      <c r="BU501" s="26"/>
      <c r="BV501" s="26"/>
      <c r="BW501" s="26"/>
      <c r="BX501" s="26"/>
      <c r="BY501" s="26"/>
      <c r="BZ501" s="26"/>
      <c r="CA501" s="26"/>
      <c r="CB501" s="26"/>
      <c r="CC501" s="26"/>
      <c r="CD501" s="26"/>
      <c r="CE501" s="26"/>
      <c r="CF501" s="26"/>
      <c r="CG501" s="26"/>
      <c r="CH501" s="26"/>
      <c r="CI501" s="26"/>
      <c r="CJ501" s="26"/>
      <c r="CK501" s="26"/>
      <c r="CL501" s="26"/>
      <c r="CM501" s="26"/>
      <c r="CN501" s="26"/>
      <c r="CO501" s="26"/>
    </row>
    <row r="502" spans="8:93" ht="12.75" hidden="1" customHeight="1" x14ac:dyDescent="0.25">
      <c r="H502" s="6" t="str">
        <f t="shared" ref="H502:H503" si="104">F38</f>
        <v>Other load</v>
      </c>
      <c r="I502" s="150" t="s">
        <v>18</v>
      </c>
      <c r="J502" s="368">
        <f t="shared" ref="J502:J503" si="105">E38</f>
        <v>0</v>
      </c>
      <c r="L502" s="362"/>
      <c r="P502" s="6"/>
      <c r="Q502" s="6"/>
      <c r="R502" s="6"/>
      <c r="S502" s="6"/>
      <c r="T502" s="6"/>
      <c r="U502" s="6"/>
      <c r="V502" s="6"/>
      <c r="W502" s="6"/>
      <c r="X502" s="6"/>
      <c r="Y502" s="6"/>
      <c r="Z502" s="6"/>
      <c r="AA502" s="6"/>
      <c r="BF502" s="26"/>
      <c r="BG502" s="26"/>
      <c r="BH502" s="26"/>
      <c r="BI502" s="26"/>
      <c r="BJ502" s="26"/>
      <c r="BK502" s="26"/>
      <c r="BL502" s="26"/>
      <c r="BM502" s="26"/>
      <c r="BN502" s="26"/>
      <c r="BO502" s="26"/>
      <c r="BP502" s="26"/>
      <c r="BQ502" s="26"/>
      <c r="BR502" s="26"/>
      <c r="BS502" s="26"/>
      <c r="BT502" s="26"/>
      <c r="BU502" s="26"/>
      <c r="BV502" s="26"/>
      <c r="BW502" s="26"/>
      <c r="BX502" s="26"/>
      <c r="BY502" s="26"/>
      <c r="BZ502" s="26"/>
      <c r="CA502" s="26"/>
      <c r="CB502" s="26"/>
      <c r="CC502" s="26"/>
      <c r="CD502" s="26"/>
      <c r="CE502" s="26"/>
      <c r="CF502" s="26"/>
      <c r="CG502" s="26"/>
      <c r="CH502" s="26"/>
      <c r="CI502" s="26"/>
      <c r="CJ502" s="26"/>
      <c r="CK502" s="26"/>
      <c r="CL502" s="26"/>
      <c r="CM502" s="26"/>
      <c r="CN502" s="26"/>
      <c r="CO502" s="26"/>
    </row>
    <row r="503" spans="8:93" ht="12.75" hidden="1" customHeight="1" x14ac:dyDescent="0.25">
      <c r="H503" s="150" t="str">
        <f t="shared" si="104"/>
        <v>Other load</v>
      </c>
      <c r="J503" s="368">
        <f t="shared" si="105"/>
        <v>0</v>
      </c>
      <c r="L503" s="362"/>
      <c r="P503" s="6"/>
      <c r="Q503" s="6"/>
      <c r="R503" s="6"/>
      <c r="S503" s="6"/>
      <c r="T503" s="6"/>
      <c r="U503" s="6"/>
      <c r="V503" s="6"/>
      <c r="W503" s="6"/>
      <c r="X503" s="6"/>
      <c r="Y503" s="6"/>
      <c r="Z503" s="6"/>
      <c r="AA503" s="6"/>
      <c r="BF503" s="26"/>
      <c r="BG503" s="26"/>
      <c r="BH503" s="26"/>
      <c r="BI503" s="26"/>
      <c r="BJ503" s="26"/>
      <c r="BK503" s="26"/>
      <c r="BL503" s="26"/>
      <c r="BM503" s="26"/>
      <c r="BN503" s="26"/>
      <c r="BO503" s="26"/>
      <c r="BP503" s="26"/>
      <c r="BQ503" s="26"/>
      <c r="BR503" s="26"/>
      <c r="BS503" s="26"/>
      <c r="BT503" s="26"/>
      <c r="BU503" s="26"/>
      <c r="BV503" s="26"/>
      <c r="BW503" s="26"/>
      <c r="BX503" s="26"/>
      <c r="BY503" s="26"/>
      <c r="BZ503" s="26"/>
      <c r="CA503" s="26"/>
      <c r="CB503" s="26"/>
      <c r="CC503" s="26"/>
      <c r="CD503" s="26"/>
      <c r="CE503" s="26"/>
      <c r="CF503" s="26"/>
      <c r="CG503" s="26"/>
      <c r="CH503" s="26"/>
      <c r="CI503" s="26"/>
      <c r="CJ503" s="26"/>
      <c r="CK503" s="26"/>
      <c r="CL503" s="26"/>
      <c r="CM503" s="26"/>
      <c r="CN503" s="26"/>
      <c r="CO503" s="26"/>
    </row>
    <row r="504" spans="8:93" ht="12.75" hidden="1" customHeight="1" x14ac:dyDescent="0.25">
      <c r="J504" s="9" t="s">
        <v>317</v>
      </c>
      <c r="M504" s="9" t="b">
        <f>OR(M497,E136)</f>
        <v>0</v>
      </c>
      <c r="P504" s="6"/>
      <c r="Q504" s="6"/>
      <c r="R504" s="6"/>
      <c r="S504" s="6"/>
      <c r="T504" s="6"/>
      <c r="U504" s="6"/>
      <c r="V504" s="6"/>
      <c r="W504" s="6"/>
      <c r="X504" s="6"/>
      <c r="Y504" s="6"/>
      <c r="Z504" s="6"/>
      <c r="AA504" s="6"/>
      <c r="BF504" s="26"/>
      <c r="BG504" s="26"/>
      <c r="BH504" s="26"/>
      <c r="BI504" s="26"/>
      <c r="BJ504" s="26"/>
      <c r="BK504" s="26"/>
      <c r="BL504" s="26"/>
      <c r="BM504" s="26"/>
      <c r="BN504" s="26"/>
      <c r="BO504" s="26"/>
      <c r="BP504" s="26"/>
      <c r="BQ504" s="26"/>
      <c r="BR504" s="26"/>
      <c r="BS504" s="26"/>
      <c r="BT504" s="26"/>
      <c r="BU504" s="26"/>
      <c r="BV504" s="26"/>
      <c r="BW504" s="26"/>
      <c r="BX504" s="26"/>
      <c r="BY504" s="26"/>
      <c r="BZ504" s="26"/>
      <c r="CA504" s="26"/>
      <c r="CB504" s="26"/>
      <c r="CC504" s="26"/>
      <c r="CD504" s="26"/>
      <c r="CE504" s="26"/>
      <c r="CF504" s="26"/>
      <c r="CG504" s="26"/>
      <c r="CH504" s="26"/>
      <c r="CI504" s="26"/>
      <c r="CJ504" s="26"/>
      <c r="CK504" s="26"/>
      <c r="CL504" s="26"/>
      <c r="CM504" s="26"/>
      <c r="CN504" s="26"/>
      <c r="CO504" s="26"/>
    </row>
    <row r="505" spans="8:93" ht="12.75" hidden="1" customHeight="1" x14ac:dyDescent="0.25">
      <c r="M505" s="9" t="b">
        <f>IF(L497&gt;6000,TRUE,FALSE)</f>
        <v>0</v>
      </c>
      <c r="N505" s="9" t="b">
        <f>OR(M504,M497,M505)</f>
        <v>0</v>
      </c>
      <c r="P505" s="6"/>
      <c r="Q505" s="6"/>
      <c r="R505" s="6"/>
      <c r="S505" s="6"/>
      <c r="T505" s="6"/>
      <c r="U505" s="6"/>
      <c r="V505" s="6"/>
      <c r="W505" s="6"/>
      <c r="X505" s="6"/>
      <c r="Y505" s="6"/>
      <c r="Z505" s="6"/>
      <c r="AA505" s="6"/>
      <c r="BF505" s="26"/>
      <c r="BG505" s="26"/>
      <c r="BH505" s="26"/>
      <c r="BI505" s="26"/>
      <c r="BJ505" s="26"/>
      <c r="BK505" s="26"/>
      <c r="BL505" s="26"/>
      <c r="BM505" s="26"/>
      <c r="BN505" s="26"/>
      <c r="BO505" s="26"/>
      <c r="BP505" s="26"/>
      <c r="BQ505" s="26"/>
      <c r="BR505" s="26"/>
      <c r="BS505" s="26"/>
      <c r="BT505" s="26"/>
      <c r="BU505" s="26"/>
      <c r="BV505" s="26"/>
      <c r="BW505" s="26"/>
      <c r="BX505" s="26"/>
      <c r="BY505" s="26"/>
      <c r="BZ505" s="26"/>
      <c r="CA505" s="26"/>
      <c r="CB505" s="26"/>
      <c r="CC505" s="26"/>
      <c r="CD505" s="26"/>
      <c r="CE505" s="26"/>
      <c r="CF505" s="26"/>
      <c r="CG505" s="26"/>
      <c r="CH505" s="26"/>
      <c r="CI505" s="26"/>
      <c r="CJ505" s="26"/>
      <c r="CK505" s="26"/>
      <c r="CL505" s="26"/>
      <c r="CM505" s="26"/>
      <c r="CN505" s="26"/>
      <c r="CO505" s="26"/>
    </row>
    <row r="506" spans="8:93" ht="13.5" hidden="1" customHeight="1" x14ac:dyDescent="0.25">
      <c r="J506" s="95"/>
      <c r="L506" s="95"/>
      <c r="P506" s="6"/>
      <c r="Q506" s="6"/>
      <c r="R506" s="6"/>
      <c r="S506" s="6"/>
      <c r="T506" s="6"/>
      <c r="U506" s="6"/>
      <c r="V506" s="6"/>
      <c r="W506" s="6"/>
      <c r="X506" s="6"/>
      <c r="Y506" s="6"/>
      <c r="Z506" s="6"/>
      <c r="AA506" s="6"/>
      <c r="BF506" s="26"/>
      <c r="BG506" s="26"/>
      <c r="BH506" s="26"/>
      <c r="BI506" s="26"/>
      <c r="BJ506" s="26"/>
      <c r="BK506" s="26"/>
      <c r="BL506" s="26"/>
      <c r="BM506" s="26"/>
      <c r="BN506" s="26"/>
      <c r="BO506" s="26"/>
      <c r="BP506" s="26"/>
      <c r="BQ506" s="26"/>
      <c r="BR506" s="26"/>
      <c r="BS506" s="26"/>
      <c r="BT506" s="26"/>
      <c r="BU506" s="26"/>
      <c r="BV506" s="26"/>
      <c r="BW506" s="26"/>
      <c r="BX506" s="26"/>
      <c r="BY506" s="26"/>
      <c r="BZ506" s="26"/>
      <c r="CA506" s="26"/>
      <c r="CB506" s="26"/>
      <c r="CC506" s="26"/>
      <c r="CD506" s="26"/>
      <c r="CE506" s="26"/>
      <c r="CF506" s="26"/>
      <c r="CG506" s="26"/>
      <c r="CH506" s="26"/>
      <c r="CI506" s="26"/>
      <c r="CJ506" s="26"/>
      <c r="CK506" s="26"/>
      <c r="CL506" s="26"/>
      <c r="CM506" s="26"/>
      <c r="CN506" s="26"/>
      <c r="CO506" s="26"/>
    </row>
    <row r="507" spans="8:93" ht="12.75" hidden="1" customHeight="1" x14ac:dyDescent="0.25">
      <c r="H507" s="9" t="s">
        <v>318</v>
      </c>
      <c r="J507" s="358" t="e">
        <f t="shared" ref="J507:J508" si="106">L14</f>
        <v>#REF!</v>
      </c>
      <c r="L507" s="369" t="e">
        <f>N17</f>
        <v>#REF!</v>
      </c>
      <c r="P507" s="6"/>
      <c r="Q507" s="6"/>
      <c r="R507" s="6"/>
      <c r="S507" s="6"/>
      <c r="T507" s="6"/>
      <c r="U507" s="6"/>
      <c r="V507" s="6"/>
      <c r="W507" s="6"/>
      <c r="X507" s="6"/>
      <c r="Y507" s="6"/>
      <c r="Z507" s="6"/>
      <c r="AA507" s="6"/>
      <c r="BF507" s="26"/>
      <c r="BG507" s="26"/>
      <c r="BH507" s="26"/>
      <c r="BI507" s="26"/>
      <c r="BJ507" s="26"/>
      <c r="BK507" s="26"/>
      <c r="BL507" s="26"/>
      <c r="BM507" s="26"/>
      <c r="BN507" s="26"/>
      <c r="BO507" s="26"/>
      <c r="BP507" s="26"/>
      <c r="BQ507" s="26"/>
      <c r="BR507" s="26"/>
      <c r="BS507" s="26"/>
      <c r="BT507" s="26"/>
      <c r="BU507" s="26"/>
      <c r="BV507" s="26"/>
      <c r="BW507" s="26"/>
      <c r="BX507" s="26"/>
      <c r="BY507" s="26"/>
      <c r="BZ507" s="26"/>
      <c r="CA507" s="26"/>
      <c r="CB507" s="26"/>
      <c r="CC507" s="26"/>
      <c r="CD507" s="26"/>
      <c r="CE507" s="26"/>
      <c r="CF507" s="26"/>
      <c r="CG507" s="26"/>
      <c r="CH507" s="26"/>
      <c r="CI507" s="26"/>
      <c r="CJ507" s="26"/>
      <c r="CK507" s="26"/>
      <c r="CL507" s="26"/>
      <c r="CM507" s="26"/>
      <c r="CN507" s="26"/>
      <c r="CO507" s="26"/>
    </row>
    <row r="508" spans="8:93" ht="12.75" hidden="1" customHeight="1" x14ac:dyDescent="0.25">
      <c r="H508" s="9" t="s">
        <v>319</v>
      </c>
      <c r="J508" s="358">
        <f t="shared" si="106"/>
        <v>0</v>
      </c>
      <c r="P508" s="6"/>
      <c r="Q508" s="6"/>
      <c r="R508" s="6"/>
      <c r="S508" s="6"/>
      <c r="T508" s="6"/>
      <c r="U508" s="6"/>
      <c r="V508" s="6"/>
      <c r="W508" s="6"/>
      <c r="X508" s="6"/>
      <c r="Y508" s="6"/>
      <c r="Z508" s="6"/>
      <c r="AA508" s="6"/>
      <c r="BF508" s="26"/>
      <c r="BG508" s="26"/>
      <c r="BH508" s="26"/>
      <c r="BI508" s="26"/>
      <c r="BJ508" s="26"/>
      <c r="BK508" s="26"/>
      <c r="BL508" s="26"/>
      <c r="BM508" s="26"/>
      <c r="BN508" s="26"/>
      <c r="BO508" s="26"/>
      <c r="BP508" s="26"/>
      <c r="BQ508" s="26"/>
      <c r="BR508" s="26"/>
      <c r="BS508" s="26"/>
      <c r="BT508" s="26"/>
      <c r="BU508" s="26"/>
      <c r="BV508" s="26"/>
      <c r="BW508" s="26"/>
      <c r="BX508" s="26"/>
      <c r="BY508" s="26"/>
      <c r="BZ508" s="26"/>
      <c r="CA508" s="26"/>
      <c r="CB508" s="26"/>
      <c r="CC508" s="26"/>
      <c r="CD508" s="26"/>
      <c r="CE508" s="26"/>
      <c r="CF508" s="26"/>
      <c r="CG508" s="26"/>
      <c r="CH508" s="26"/>
      <c r="CI508" s="26"/>
      <c r="CJ508" s="26"/>
      <c r="CK508" s="26"/>
      <c r="CL508" s="26"/>
      <c r="CM508" s="26"/>
      <c r="CN508" s="26"/>
      <c r="CO508" s="26"/>
    </row>
    <row r="509" spans="8:93" ht="13.5" hidden="1" customHeight="1" x14ac:dyDescent="0.25">
      <c r="L509" s="95"/>
      <c r="P509" s="6"/>
      <c r="Q509" s="6"/>
      <c r="R509" s="6"/>
      <c r="S509" s="6"/>
      <c r="T509" s="6"/>
      <c r="U509" s="6"/>
      <c r="V509" s="6"/>
      <c r="W509" s="6"/>
      <c r="X509" s="6"/>
      <c r="Y509" s="6"/>
      <c r="Z509" s="6"/>
      <c r="AA509" s="6"/>
      <c r="BF509" s="26"/>
      <c r="BG509" s="26"/>
      <c r="BH509" s="26"/>
      <c r="BI509" s="26"/>
      <c r="BJ509" s="26"/>
      <c r="BK509" s="26"/>
      <c r="BL509" s="26"/>
      <c r="BM509" s="26"/>
      <c r="BN509" s="26"/>
      <c r="BO509" s="26"/>
      <c r="BP509" s="26"/>
      <c r="BQ509" s="26"/>
      <c r="BR509" s="26"/>
      <c r="BS509" s="26"/>
      <c r="BT509" s="26"/>
      <c r="BU509" s="26"/>
      <c r="BV509" s="26"/>
      <c r="BW509" s="26"/>
      <c r="BX509" s="26"/>
      <c r="BY509" s="26"/>
      <c r="BZ509" s="26"/>
      <c r="CA509" s="26"/>
      <c r="CB509" s="26"/>
      <c r="CC509" s="26"/>
      <c r="CD509" s="26"/>
      <c r="CE509" s="26"/>
      <c r="CF509" s="26"/>
      <c r="CG509" s="26"/>
      <c r="CH509" s="26"/>
      <c r="CI509" s="26"/>
      <c r="CJ509" s="26"/>
      <c r="CK509" s="26"/>
      <c r="CL509" s="26"/>
      <c r="CM509" s="26"/>
      <c r="CN509" s="26"/>
      <c r="CO509" s="26"/>
    </row>
    <row r="510" spans="8:93" ht="13.5" hidden="1" customHeight="1" x14ac:dyDescent="0.25">
      <c r="I510" s="52" t="s">
        <v>320</v>
      </c>
      <c r="L510" s="370" t="e">
        <f>IF(J507*0.65&gt;J508,J507*0.65,$J$508)+SUM(L472:L488)+SUM(L492:L503)</f>
        <v>#REF!</v>
      </c>
      <c r="M510" s="9" t="s">
        <v>321</v>
      </c>
      <c r="P510" s="6"/>
      <c r="Q510" s="6"/>
      <c r="R510" s="6"/>
      <c r="S510" s="6"/>
      <c r="T510" s="6"/>
      <c r="U510" s="6"/>
      <c r="V510" s="6"/>
      <c r="W510" s="6"/>
      <c r="X510" s="6"/>
      <c r="Y510" s="6"/>
      <c r="Z510" s="6"/>
      <c r="AA510" s="6"/>
      <c r="BF510" s="26"/>
      <c r="BG510" s="26"/>
      <c r="BH510" s="26"/>
      <c r="BI510" s="26"/>
      <c r="BJ510" s="26"/>
      <c r="BK510" s="26"/>
      <c r="BL510" s="26"/>
      <c r="BM510" s="26"/>
      <c r="BN510" s="26"/>
      <c r="BO510" s="26"/>
      <c r="BP510" s="26"/>
      <c r="BQ510" s="26"/>
      <c r="BR510" s="26"/>
      <c r="BS510" s="26"/>
      <c r="BT510" s="26"/>
      <c r="BU510" s="26"/>
      <c r="BV510" s="26"/>
      <c r="BW510" s="26"/>
      <c r="BX510" s="26"/>
      <c r="BY510" s="26"/>
      <c r="BZ510" s="26"/>
      <c r="CA510" s="26"/>
      <c r="CB510" s="26"/>
      <c r="CC510" s="26"/>
      <c r="CD510" s="26"/>
      <c r="CE510" s="26"/>
      <c r="CF510" s="26"/>
      <c r="CG510" s="26"/>
      <c r="CH510" s="26"/>
      <c r="CI510" s="26"/>
      <c r="CJ510" s="26"/>
      <c r="CK510" s="26"/>
      <c r="CL510" s="26"/>
      <c r="CM510" s="26"/>
      <c r="CN510" s="26"/>
      <c r="CO510" s="26"/>
    </row>
    <row r="511" spans="8:93" ht="13.5" hidden="1" customHeight="1" x14ac:dyDescent="0.25">
      <c r="I511" s="52" t="s">
        <v>322</v>
      </c>
      <c r="L511" s="370">
        <f>IF(SUM(L472:L503)&lt;=10000,0,(((SUM(L472:L503)-10000)*0.4)+10000+L507))</f>
        <v>0</v>
      </c>
      <c r="M511" s="9" t="s">
        <v>321</v>
      </c>
      <c r="P511" s="6"/>
      <c r="Q511" s="6"/>
      <c r="R511" s="6"/>
      <c r="S511" s="6"/>
      <c r="T511" s="6"/>
      <c r="U511" s="6"/>
      <c r="V511" s="6"/>
      <c r="W511" s="6"/>
      <c r="X511" s="6"/>
      <c r="Y511" s="6"/>
      <c r="Z511" s="6"/>
      <c r="AA511" s="6"/>
      <c r="BF511" s="26"/>
      <c r="BG511" s="26"/>
      <c r="BH511" s="26"/>
      <c r="BI511" s="26"/>
      <c r="BJ511" s="26"/>
      <c r="BK511" s="26"/>
      <c r="BL511" s="26"/>
      <c r="BM511" s="26"/>
      <c r="BN511" s="26"/>
      <c r="BO511" s="26"/>
      <c r="BP511" s="26"/>
      <c r="BQ511" s="26"/>
      <c r="BR511" s="26"/>
      <c r="BS511" s="26"/>
      <c r="BT511" s="26"/>
      <c r="BU511" s="26"/>
      <c r="BV511" s="26"/>
      <c r="BW511" s="26"/>
      <c r="BX511" s="26"/>
      <c r="BY511" s="26"/>
      <c r="BZ511" s="26"/>
      <c r="CA511" s="26"/>
      <c r="CB511" s="26"/>
      <c r="CC511" s="26"/>
      <c r="CD511" s="26"/>
      <c r="CE511" s="26"/>
      <c r="CF511" s="26"/>
      <c r="CG511" s="26"/>
      <c r="CH511" s="26"/>
      <c r="CI511" s="26"/>
      <c r="CJ511" s="26"/>
      <c r="CK511" s="26"/>
      <c r="CL511" s="26"/>
      <c r="CM511" s="26"/>
      <c r="CN511" s="26"/>
      <c r="CO511" s="26"/>
    </row>
    <row r="512" spans="8:93" ht="13.5" hidden="1" customHeight="1" x14ac:dyDescent="0.25">
      <c r="L512" s="95"/>
      <c r="P512" s="6"/>
      <c r="Q512" s="6"/>
      <c r="R512" s="6"/>
      <c r="S512" s="6"/>
      <c r="T512" s="6"/>
      <c r="U512" s="6"/>
      <c r="V512" s="6"/>
      <c r="W512" s="6"/>
      <c r="X512" s="6"/>
      <c r="Y512" s="6"/>
      <c r="Z512" s="6"/>
      <c r="AA512" s="6"/>
      <c r="BF512" s="26"/>
      <c r="BG512" s="26"/>
      <c r="BH512" s="26"/>
      <c r="BI512" s="26"/>
      <c r="BJ512" s="26"/>
      <c r="BK512" s="26"/>
      <c r="BL512" s="26"/>
      <c r="BM512" s="26"/>
      <c r="BN512" s="26"/>
      <c r="BO512" s="26"/>
      <c r="BP512" s="26"/>
      <c r="BQ512" s="26"/>
      <c r="BR512" s="26"/>
      <c r="BS512" s="26"/>
      <c r="BT512" s="26"/>
      <c r="BU512" s="26"/>
      <c r="BV512" s="26"/>
      <c r="BW512" s="26"/>
      <c r="BX512" s="26"/>
      <c r="BY512" s="26"/>
      <c r="BZ512" s="26"/>
      <c r="CA512" s="26"/>
      <c r="CB512" s="26"/>
      <c r="CC512" s="26"/>
      <c r="CD512" s="26"/>
      <c r="CE512" s="26"/>
      <c r="CF512" s="26"/>
      <c r="CG512" s="26"/>
      <c r="CH512" s="26"/>
      <c r="CI512" s="26"/>
      <c r="CJ512" s="26"/>
      <c r="CK512" s="26"/>
      <c r="CL512" s="26"/>
      <c r="CM512" s="26"/>
      <c r="CN512" s="26"/>
      <c r="CO512" s="26"/>
    </row>
    <row r="513" spans="9:93" ht="13.5" hidden="1" customHeight="1" x14ac:dyDescent="0.25">
      <c r="I513" s="52" t="s">
        <v>323</v>
      </c>
      <c r="L513" s="371">
        <f>IF(N505,(L511/J119),0)</f>
        <v>0</v>
      </c>
      <c r="M513" s="9" t="s">
        <v>324</v>
      </c>
      <c r="P513" s="6"/>
      <c r="Q513" s="6"/>
      <c r="R513" s="6"/>
      <c r="S513" s="6"/>
      <c r="T513" s="6"/>
      <c r="U513" s="6"/>
      <c r="V513" s="6"/>
      <c r="W513" s="6"/>
      <c r="X513" s="6"/>
      <c r="Y513" s="6"/>
      <c r="Z513" s="6"/>
      <c r="AA513" s="6"/>
      <c r="BF513" s="26"/>
      <c r="BG513" s="26"/>
      <c r="BH513" s="26"/>
      <c r="BI513" s="26"/>
      <c r="BJ513" s="26"/>
      <c r="BK513" s="26"/>
      <c r="BL513" s="26"/>
      <c r="BM513" s="26"/>
      <c r="BN513" s="26"/>
      <c r="BO513" s="26"/>
      <c r="BP513" s="26"/>
      <c r="BQ513" s="26"/>
      <c r="BR513" s="26"/>
      <c r="BS513" s="26"/>
      <c r="BT513" s="26"/>
      <c r="BU513" s="26"/>
      <c r="BV513" s="26"/>
      <c r="BW513" s="26"/>
      <c r="BX513" s="26"/>
      <c r="BY513" s="26"/>
      <c r="BZ513" s="26"/>
      <c r="CA513" s="26"/>
      <c r="CB513" s="26"/>
      <c r="CC513" s="26"/>
      <c r="CD513" s="26"/>
      <c r="CE513" s="26"/>
      <c r="CF513" s="26"/>
      <c r="CG513" s="26"/>
      <c r="CH513" s="26"/>
      <c r="CI513" s="26"/>
      <c r="CJ513" s="26"/>
      <c r="CK513" s="26"/>
      <c r="CL513" s="26"/>
      <c r="CM513" s="26"/>
      <c r="CN513" s="26"/>
      <c r="CO513" s="26"/>
    </row>
    <row r="514" spans="9:93" ht="12.75" hidden="1" customHeight="1" x14ac:dyDescent="0.25">
      <c r="P514" s="6"/>
      <c r="Q514" s="6"/>
      <c r="R514" s="6"/>
      <c r="S514" s="6"/>
      <c r="T514" s="6"/>
      <c r="U514" s="6"/>
      <c r="V514" s="6"/>
      <c r="W514" s="6"/>
      <c r="X514" s="6"/>
      <c r="Y514" s="6"/>
      <c r="Z514" s="6"/>
      <c r="AA514" s="6"/>
      <c r="BF514" s="26"/>
      <c r="BG514" s="26"/>
      <c r="BH514" s="26"/>
      <c r="BI514" s="26"/>
      <c r="BJ514" s="26"/>
      <c r="BK514" s="26"/>
      <c r="BL514" s="26"/>
      <c r="BM514" s="26"/>
      <c r="BN514" s="26"/>
      <c r="BO514" s="26"/>
      <c r="BP514" s="26"/>
      <c r="BQ514" s="26"/>
      <c r="BR514" s="26"/>
      <c r="BS514" s="26"/>
      <c r="BT514" s="26"/>
      <c r="BU514" s="26"/>
      <c r="BV514" s="26"/>
      <c r="BW514" s="26"/>
      <c r="BX514" s="26"/>
      <c r="BY514" s="26"/>
      <c r="BZ514" s="26"/>
      <c r="CA514" s="26"/>
      <c r="CB514" s="26"/>
      <c r="CC514" s="26"/>
      <c r="CD514" s="26"/>
      <c r="CE514" s="26"/>
      <c r="CF514" s="26"/>
      <c r="CG514" s="26"/>
      <c r="CH514" s="26"/>
      <c r="CI514" s="26"/>
      <c r="CJ514" s="26"/>
      <c r="CK514" s="26"/>
      <c r="CL514" s="26"/>
      <c r="CM514" s="26"/>
      <c r="CN514" s="26"/>
      <c r="CO514" s="26"/>
    </row>
    <row r="515" spans="9:93" ht="12.75" hidden="1" customHeight="1" x14ac:dyDescent="0.25">
      <c r="P515" s="6"/>
      <c r="Q515" s="6"/>
      <c r="R515" s="6"/>
      <c r="S515" s="6"/>
      <c r="T515" s="6"/>
      <c r="U515" s="6"/>
      <c r="V515" s="6"/>
      <c r="W515" s="6"/>
      <c r="X515" s="6"/>
      <c r="Y515" s="6"/>
      <c r="Z515" s="6"/>
      <c r="AA515" s="6"/>
      <c r="BF515" s="26"/>
      <c r="BG515" s="26"/>
      <c r="BH515" s="26"/>
      <c r="BI515" s="26"/>
      <c r="BJ515" s="26"/>
      <c r="BK515" s="26"/>
      <c r="BL515" s="26"/>
      <c r="BM515" s="26"/>
      <c r="BN515" s="26"/>
      <c r="BO515" s="26"/>
      <c r="BP515" s="26"/>
      <c r="BQ515" s="26"/>
      <c r="BR515" s="26"/>
      <c r="BS515" s="26"/>
      <c r="BT515" s="26"/>
      <c r="BU515" s="26"/>
      <c r="BV515" s="26"/>
      <c r="BW515" s="26"/>
      <c r="BX515" s="26"/>
      <c r="BY515" s="26"/>
      <c r="BZ515" s="26"/>
      <c r="CA515" s="26"/>
      <c r="CB515" s="26"/>
      <c r="CC515" s="26"/>
      <c r="CD515" s="26"/>
      <c r="CE515" s="26"/>
      <c r="CF515" s="26"/>
      <c r="CG515" s="26"/>
      <c r="CH515" s="26"/>
      <c r="CI515" s="26"/>
      <c r="CJ515" s="26"/>
      <c r="CK515" s="26"/>
      <c r="CL515" s="26"/>
      <c r="CM515" s="26"/>
      <c r="CN515" s="26"/>
      <c r="CO515" s="26"/>
    </row>
    <row r="516" spans="9:93" ht="12.75" hidden="1" customHeight="1" x14ac:dyDescent="0.25">
      <c r="P516" s="6"/>
      <c r="Q516" s="6"/>
      <c r="R516" s="6"/>
      <c r="S516" s="6"/>
      <c r="T516" s="6"/>
      <c r="U516" s="6"/>
      <c r="V516" s="6"/>
      <c r="W516" s="6"/>
      <c r="X516" s="6"/>
      <c r="Y516" s="6"/>
      <c r="Z516" s="6"/>
      <c r="AA516" s="6"/>
      <c r="BF516" s="26"/>
      <c r="BG516" s="26"/>
      <c r="BH516" s="26"/>
      <c r="BI516" s="26"/>
      <c r="BJ516" s="26"/>
      <c r="BK516" s="26"/>
      <c r="BL516" s="26"/>
      <c r="BM516" s="26"/>
      <c r="BN516" s="26"/>
      <c r="BO516" s="26"/>
      <c r="BP516" s="26"/>
      <c r="BQ516" s="26"/>
      <c r="BR516" s="26"/>
      <c r="BS516" s="26"/>
      <c r="BT516" s="26"/>
      <c r="BU516" s="26"/>
      <c r="BV516" s="26"/>
      <c r="BW516" s="26"/>
      <c r="BX516" s="26"/>
      <c r="BY516" s="26"/>
      <c r="BZ516" s="26"/>
      <c r="CA516" s="26"/>
      <c r="CB516" s="26"/>
      <c r="CC516" s="26"/>
      <c r="CD516" s="26"/>
      <c r="CE516" s="26"/>
      <c r="CF516" s="26"/>
      <c r="CG516" s="26"/>
      <c r="CH516" s="26"/>
      <c r="CI516" s="26"/>
      <c r="CJ516" s="26"/>
      <c r="CK516" s="26"/>
      <c r="CL516" s="26"/>
      <c r="CM516" s="26"/>
      <c r="CN516" s="26"/>
      <c r="CO516" s="26"/>
    </row>
    <row r="517" spans="9:93" ht="12.75" hidden="1" customHeight="1" x14ac:dyDescent="0.25">
      <c r="P517" s="6"/>
      <c r="Q517" s="6"/>
      <c r="R517" s="6"/>
      <c r="S517" s="6"/>
      <c r="T517" s="6"/>
      <c r="U517" s="6"/>
      <c r="V517" s="6"/>
      <c r="W517" s="6"/>
      <c r="X517" s="6"/>
      <c r="Y517" s="6"/>
      <c r="Z517" s="6"/>
      <c r="AA517" s="6"/>
      <c r="BF517" s="26"/>
      <c r="BG517" s="26"/>
      <c r="BH517" s="26"/>
      <c r="BI517" s="26"/>
      <c r="BJ517" s="26"/>
      <c r="BK517" s="26"/>
      <c r="BL517" s="26"/>
      <c r="BM517" s="26"/>
      <c r="BN517" s="26"/>
      <c r="BO517" s="26"/>
      <c r="BP517" s="26"/>
      <c r="BQ517" s="26"/>
      <c r="BR517" s="26"/>
      <c r="BS517" s="26"/>
      <c r="BT517" s="26"/>
      <c r="BU517" s="26"/>
      <c r="BV517" s="26"/>
      <c r="BW517" s="26"/>
      <c r="BX517" s="26"/>
      <c r="BY517" s="26"/>
      <c r="BZ517" s="26"/>
      <c r="CA517" s="26"/>
      <c r="CB517" s="26"/>
      <c r="CC517" s="26"/>
      <c r="CD517" s="26"/>
      <c r="CE517" s="26"/>
      <c r="CF517" s="26"/>
      <c r="CG517" s="26"/>
      <c r="CH517" s="26"/>
      <c r="CI517" s="26"/>
      <c r="CJ517" s="26"/>
      <c r="CK517" s="26"/>
      <c r="CL517" s="26"/>
      <c r="CM517" s="26"/>
      <c r="CN517" s="26"/>
      <c r="CO517" s="26"/>
    </row>
    <row r="518" spans="9:93" ht="12.75" hidden="1" customHeight="1" x14ac:dyDescent="0.25">
      <c r="P518" s="6"/>
      <c r="Q518" s="6"/>
      <c r="R518" s="6"/>
      <c r="S518" s="6"/>
      <c r="T518" s="6"/>
      <c r="U518" s="6"/>
      <c r="V518" s="6"/>
      <c r="W518" s="6"/>
      <c r="X518" s="6"/>
      <c r="Y518" s="6"/>
      <c r="Z518" s="6"/>
      <c r="AA518" s="6"/>
      <c r="BF518" s="26"/>
      <c r="BG518" s="26"/>
      <c r="BH518" s="26"/>
      <c r="BI518" s="26"/>
      <c r="BJ518" s="26"/>
      <c r="BK518" s="26"/>
      <c r="BL518" s="26"/>
      <c r="BM518" s="26"/>
      <c r="BN518" s="26"/>
      <c r="BO518" s="26"/>
      <c r="BP518" s="26"/>
      <c r="BQ518" s="26"/>
      <c r="BR518" s="26"/>
      <c r="BS518" s="26"/>
      <c r="BT518" s="26"/>
      <c r="BU518" s="26"/>
      <c r="BV518" s="26"/>
      <c r="BW518" s="26"/>
      <c r="BX518" s="26"/>
      <c r="BY518" s="26"/>
      <c r="BZ518" s="26"/>
      <c r="CA518" s="26"/>
      <c r="CB518" s="26"/>
      <c r="CC518" s="26"/>
      <c r="CD518" s="26"/>
      <c r="CE518" s="26"/>
      <c r="CF518" s="26"/>
      <c r="CG518" s="26"/>
      <c r="CH518" s="26"/>
      <c r="CI518" s="26"/>
      <c r="CJ518" s="26"/>
      <c r="CK518" s="26"/>
      <c r="CL518" s="26"/>
      <c r="CM518" s="26"/>
      <c r="CN518" s="26"/>
      <c r="CO518" s="26"/>
    </row>
    <row r="519" spans="9:93" ht="12.75" hidden="1" customHeight="1" x14ac:dyDescent="0.25">
      <c r="P519" s="6"/>
      <c r="Q519" s="6"/>
      <c r="R519" s="6"/>
      <c r="S519" s="6"/>
      <c r="T519" s="6"/>
      <c r="U519" s="6"/>
      <c r="V519" s="6"/>
      <c r="W519" s="6"/>
      <c r="X519" s="6"/>
      <c r="Y519" s="6"/>
      <c r="Z519" s="6"/>
      <c r="AA519" s="6"/>
      <c r="BF519" s="26"/>
      <c r="BG519" s="26"/>
      <c r="BH519" s="26"/>
      <c r="BI519" s="26"/>
      <c r="BJ519" s="26"/>
      <c r="BK519" s="26"/>
      <c r="BL519" s="26"/>
      <c r="BM519" s="26"/>
      <c r="BN519" s="26"/>
      <c r="BO519" s="26"/>
      <c r="BP519" s="26"/>
      <c r="BQ519" s="26"/>
      <c r="BR519" s="26"/>
      <c r="BS519" s="26"/>
      <c r="BT519" s="26"/>
      <c r="BU519" s="26"/>
      <c r="BV519" s="26"/>
      <c r="BW519" s="26"/>
      <c r="BX519" s="26"/>
      <c r="BY519" s="26"/>
      <c r="BZ519" s="26"/>
      <c r="CA519" s="26"/>
      <c r="CB519" s="26"/>
      <c r="CC519" s="26"/>
      <c r="CD519" s="26"/>
      <c r="CE519" s="26"/>
      <c r="CF519" s="26"/>
      <c r="CG519" s="26"/>
      <c r="CH519" s="26"/>
      <c r="CI519" s="26"/>
      <c r="CJ519" s="26"/>
      <c r="CK519" s="26"/>
      <c r="CL519" s="26"/>
      <c r="CM519" s="26"/>
      <c r="CN519" s="26"/>
      <c r="CO519" s="26"/>
    </row>
    <row r="520" spans="9:93" ht="12.75" hidden="1" customHeight="1" x14ac:dyDescent="0.25">
      <c r="P520" s="6"/>
      <c r="Q520" s="6"/>
      <c r="R520" s="6"/>
      <c r="S520" s="6"/>
      <c r="T520" s="6"/>
      <c r="U520" s="6"/>
      <c r="V520" s="6"/>
      <c r="W520" s="6"/>
      <c r="X520" s="6"/>
      <c r="Y520" s="6"/>
      <c r="Z520" s="6"/>
      <c r="AA520" s="6"/>
      <c r="BF520" s="26"/>
      <c r="BG520" s="26"/>
      <c r="BH520" s="26"/>
      <c r="BI520" s="26"/>
      <c r="BJ520" s="26"/>
      <c r="BK520" s="26"/>
      <c r="BL520" s="26"/>
      <c r="BM520" s="26"/>
      <c r="BN520" s="26"/>
      <c r="BO520" s="26"/>
      <c r="BP520" s="26"/>
      <c r="BQ520" s="26"/>
      <c r="BR520" s="26"/>
      <c r="BS520" s="26"/>
      <c r="BT520" s="26"/>
      <c r="BU520" s="26"/>
      <c r="BV520" s="26"/>
      <c r="BW520" s="26"/>
      <c r="BX520" s="26"/>
      <c r="BY520" s="26"/>
      <c r="BZ520" s="26"/>
      <c r="CA520" s="26"/>
      <c r="CB520" s="26"/>
      <c r="CC520" s="26"/>
      <c r="CD520" s="26"/>
      <c r="CE520" s="26"/>
      <c r="CF520" s="26"/>
      <c r="CG520" s="26"/>
      <c r="CH520" s="26"/>
      <c r="CI520" s="26"/>
      <c r="CJ520" s="26"/>
      <c r="CK520" s="26"/>
      <c r="CL520" s="26"/>
      <c r="CM520" s="26"/>
      <c r="CN520" s="26"/>
      <c r="CO520" s="26"/>
    </row>
    <row r="521" spans="9:93" ht="12.75" hidden="1" customHeight="1" x14ac:dyDescent="0.25">
      <c r="P521" s="6"/>
      <c r="Q521" s="6"/>
      <c r="R521" s="6"/>
      <c r="S521" s="6"/>
      <c r="T521" s="6"/>
      <c r="U521" s="6"/>
      <c r="V521" s="6"/>
      <c r="W521" s="6"/>
      <c r="X521" s="6"/>
      <c r="Y521" s="6"/>
      <c r="Z521" s="6"/>
      <c r="AA521" s="6"/>
      <c r="BF521" s="26"/>
      <c r="BG521" s="26"/>
      <c r="BH521" s="26"/>
      <c r="BI521" s="26"/>
      <c r="BJ521" s="26"/>
      <c r="BK521" s="26"/>
      <c r="BL521" s="26"/>
      <c r="BM521" s="26"/>
      <c r="BN521" s="26"/>
      <c r="BO521" s="26"/>
      <c r="BP521" s="26"/>
      <c r="BQ521" s="26"/>
      <c r="BR521" s="26"/>
      <c r="BS521" s="26"/>
      <c r="BT521" s="26"/>
      <c r="BU521" s="26"/>
      <c r="BV521" s="26"/>
      <c r="BW521" s="26"/>
      <c r="BX521" s="26"/>
      <c r="BY521" s="26"/>
      <c r="BZ521" s="26"/>
      <c r="CA521" s="26"/>
      <c r="CB521" s="26"/>
      <c r="CC521" s="26"/>
      <c r="CD521" s="26"/>
      <c r="CE521" s="26"/>
      <c r="CF521" s="26"/>
      <c r="CG521" s="26"/>
      <c r="CH521" s="26"/>
      <c r="CI521" s="26"/>
      <c r="CJ521" s="26"/>
      <c r="CK521" s="26"/>
      <c r="CL521" s="26"/>
      <c r="CM521" s="26"/>
      <c r="CN521" s="26"/>
      <c r="CO521" s="26"/>
    </row>
    <row r="522" spans="9:93" ht="12.75" hidden="1" customHeight="1" x14ac:dyDescent="0.25">
      <c r="P522" s="6"/>
      <c r="Q522" s="6"/>
      <c r="R522" s="6"/>
      <c r="S522" s="6"/>
      <c r="T522" s="6"/>
      <c r="U522" s="6"/>
      <c r="V522" s="6"/>
      <c r="W522" s="6"/>
      <c r="X522" s="6"/>
      <c r="Y522" s="6"/>
      <c r="Z522" s="6"/>
      <c r="AA522" s="6"/>
      <c r="BF522" s="26"/>
      <c r="BG522" s="26"/>
      <c r="BH522" s="26"/>
      <c r="BI522" s="26"/>
      <c r="BJ522" s="26"/>
      <c r="BK522" s="26"/>
      <c r="BL522" s="26"/>
      <c r="BM522" s="26"/>
      <c r="BN522" s="26"/>
      <c r="BO522" s="26"/>
      <c r="BP522" s="26"/>
      <c r="BQ522" s="26"/>
      <c r="BR522" s="26"/>
      <c r="BS522" s="26"/>
      <c r="BT522" s="26"/>
      <c r="BU522" s="26"/>
      <c r="BV522" s="26"/>
      <c r="BW522" s="26"/>
      <c r="BX522" s="26"/>
      <c r="BY522" s="26"/>
      <c r="BZ522" s="26"/>
      <c r="CA522" s="26"/>
      <c r="CB522" s="26"/>
      <c r="CC522" s="26"/>
      <c r="CD522" s="26"/>
      <c r="CE522" s="26"/>
      <c r="CF522" s="26"/>
      <c r="CG522" s="26"/>
      <c r="CH522" s="26"/>
      <c r="CI522" s="26"/>
      <c r="CJ522" s="26"/>
      <c r="CK522" s="26"/>
      <c r="CL522" s="26"/>
      <c r="CM522" s="26"/>
      <c r="CN522" s="26"/>
      <c r="CO522" s="26"/>
    </row>
    <row r="523" spans="9:93" ht="12.75" hidden="1" customHeight="1" x14ac:dyDescent="0.25">
      <c r="P523" s="6"/>
      <c r="Q523" s="6"/>
      <c r="R523" s="6"/>
      <c r="S523" s="6"/>
      <c r="T523" s="6"/>
      <c r="U523" s="6"/>
      <c r="V523" s="6"/>
      <c r="W523" s="6"/>
      <c r="X523" s="6"/>
      <c r="Y523" s="6"/>
      <c r="Z523" s="6"/>
      <c r="AA523" s="6"/>
      <c r="BF523" s="26"/>
      <c r="BG523" s="26"/>
      <c r="BH523" s="26"/>
      <c r="BI523" s="26"/>
      <c r="BJ523" s="26"/>
      <c r="BK523" s="26"/>
      <c r="BL523" s="26"/>
      <c r="BM523" s="26"/>
      <c r="BN523" s="26"/>
      <c r="BO523" s="26"/>
      <c r="BP523" s="26"/>
      <c r="BQ523" s="26"/>
      <c r="BR523" s="26"/>
      <c r="BS523" s="26"/>
      <c r="BT523" s="26"/>
      <c r="BU523" s="26"/>
      <c r="BV523" s="26"/>
      <c r="BW523" s="26"/>
      <c r="BX523" s="26"/>
      <c r="BY523" s="26"/>
      <c r="BZ523" s="26"/>
      <c r="CA523" s="26"/>
      <c r="CB523" s="26"/>
      <c r="CC523" s="26"/>
      <c r="CD523" s="26"/>
      <c r="CE523" s="26"/>
      <c r="CF523" s="26"/>
      <c r="CG523" s="26"/>
      <c r="CH523" s="26"/>
      <c r="CI523" s="26"/>
      <c r="CJ523" s="26"/>
      <c r="CK523" s="26"/>
      <c r="CL523" s="26"/>
      <c r="CM523" s="26"/>
      <c r="CN523" s="26"/>
      <c r="CO523" s="26"/>
    </row>
    <row r="524" spans="9:93" ht="12.75" hidden="1" customHeight="1" x14ac:dyDescent="0.25">
      <c r="P524" s="6"/>
      <c r="Q524" s="6"/>
      <c r="R524" s="6"/>
      <c r="S524" s="6"/>
      <c r="T524" s="6"/>
      <c r="U524" s="6"/>
      <c r="V524" s="6"/>
      <c r="W524" s="6"/>
      <c r="X524" s="6"/>
      <c r="Y524" s="6"/>
      <c r="Z524" s="6"/>
      <c r="AA524" s="6"/>
      <c r="BF524" s="26"/>
      <c r="BG524" s="26"/>
      <c r="BH524" s="26"/>
      <c r="BI524" s="26"/>
      <c r="BJ524" s="26"/>
      <c r="BK524" s="26"/>
      <c r="BL524" s="26"/>
      <c r="BM524" s="26"/>
      <c r="BN524" s="26"/>
      <c r="BO524" s="26"/>
      <c r="BP524" s="26"/>
      <c r="BQ524" s="26"/>
      <c r="BR524" s="26"/>
      <c r="BS524" s="26"/>
      <c r="BT524" s="26"/>
      <c r="BU524" s="26"/>
      <c r="BV524" s="26"/>
      <c r="BW524" s="26"/>
      <c r="BX524" s="26"/>
      <c r="BY524" s="26"/>
      <c r="BZ524" s="26"/>
      <c r="CA524" s="26"/>
      <c r="CB524" s="26"/>
      <c r="CC524" s="26"/>
      <c r="CD524" s="26"/>
      <c r="CE524" s="26"/>
      <c r="CF524" s="26"/>
      <c r="CG524" s="26"/>
      <c r="CH524" s="26"/>
      <c r="CI524" s="26"/>
      <c r="CJ524" s="26"/>
      <c r="CK524" s="26"/>
      <c r="CL524" s="26"/>
      <c r="CM524" s="26"/>
      <c r="CN524" s="26"/>
      <c r="CO524" s="26"/>
    </row>
    <row r="525" spans="9:93" ht="12.75" hidden="1" customHeight="1" x14ac:dyDescent="0.25">
      <c r="P525" s="6"/>
      <c r="Q525" s="6"/>
      <c r="R525" s="6"/>
      <c r="S525" s="6"/>
      <c r="T525" s="6"/>
      <c r="U525" s="6"/>
      <c r="V525" s="6"/>
      <c r="W525" s="6"/>
      <c r="X525" s="6"/>
      <c r="Y525" s="6"/>
      <c r="Z525" s="6"/>
      <c r="AA525" s="6"/>
      <c r="BF525" s="26"/>
      <c r="BG525" s="26"/>
      <c r="BH525" s="26"/>
      <c r="BI525" s="26"/>
      <c r="BJ525" s="26"/>
      <c r="BK525" s="26"/>
      <c r="BL525" s="26"/>
      <c r="BM525" s="26"/>
      <c r="BN525" s="26"/>
      <c r="BO525" s="26"/>
      <c r="BP525" s="26"/>
      <c r="BQ525" s="26"/>
      <c r="BR525" s="26"/>
      <c r="BS525" s="26"/>
      <c r="BT525" s="26"/>
      <c r="BU525" s="26"/>
      <c r="BV525" s="26"/>
      <c r="BW525" s="26"/>
      <c r="BX525" s="26"/>
      <c r="BY525" s="26"/>
      <c r="BZ525" s="26"/>
      <c r="CA525" s="26"/>
      <c r="CB525" s="26"/>
      <c r="CC525" s="26"/>
      <c r="CD525" s="26"/>
      <c r="CE525" s="26"/>
      <c r="CF525" s="26"/>
      <c r="CG525" s="26"/>
      <c r="CH525" s="26"/>
      <c r="CI525" s="26"/>
      <c r="CJ525" s="26"/>
      <c r="CK525" s="26"/>
      <c r="CL525" s="26"/>
      <c r="CM525" s="26"/>
      <c r="CN525" s="26"/>
      <c r="CO525" s="26"/>
    </row>
    <row r="526" spans="9:93" ht="12.75" hidden="1" customHeight="1" x14ac:dyDescent="0.25">
      <c r="P526" s="6"/>
      <c r="Q526" s="6"/>
      <c r="R526" s="6"/>
      <c r="S526" s="6"/>
      <c r="T526" s="6"/>
      <c r="U526" s="6"/>
      <c r="V526" s="6"/>
      <c r="W526" s="6"/>
      <c r="X526" s="6"/>
      <c r="Y526" s="6"/>
      <c r="Z526" s="6"/>
      <c r="AA526" s="6"/>
      <c r="BF526" s="26"/>
      <c r="BG526" s="26"/>
      <c r="BH526" s="26"/>
      <c r="BI526" s="26"/>
      <c r="BJ526" s="26"/>
      <c r="BK526" s="26"/>
      <c r="BL526" s="26"/>
      <c r="BM526" s="26"/>
      <c r="BN526" s="26"/>
      <c r="BO526" s="26"/>
      <c r="BP526" s="26"/>
      <c r="BQ526" s="26"/>
      <c r="BR526" s="26"/>
      <c r="BS526" s="26"/>
      <c r="BT526" s="26"/>
      <c r="BU526" s="26"/>
      <c r="BV526" s="26"/>
      <c r="BW526" s="26"/>
      <c r="BX526" s="26"/>
      <c r="BY526" s="26"/>
      <c r="BZ526" s="26"/>
      <c r="CA526" s="26"/>
      <c r="CB526" s="26"/>
      <c r="CC526" s="26"/>
      <c r="CD526" s="26"/>
      <c r="CE526" s="26"/>
      <c r="CF526" s="26"/>
      <c r="CG526" s="26"/>
      <c r="CH526" s="26"/>
      <c r="CI526" s="26"/>
      <c r="CJ526" s="26"/>
      <c r="CK526" s="26"/>
      <c r="CL526" s="26"/>
      <c r="CM526" s="26"/>
      <c r="CN526" s="26"/>
      <c r="CO526" s="26"/>
    </row>
    <row r="527" spans="9:93" ht="12.75" hidden="1" customHeight="1" x14ac:dyDescent="0.25">
      <c r="P527" s="6"/>
      <c r="Q527" s="6"/>
      <c r="R527" s="6"/>
      <c r="S527" s="6"/>
      <c r="T527" s="6"/>
      <c r="U527" s="6"/>
      <c r="V527" s="6"/>
      <c r="W527" s="6"/>
      <c r="X527" s="6"/>
      <c r="Y527" s="6"/>
      <c r="Z527" s="6"/>
      <c r="AA527" s="6"/>
      <c r="BF527" s="26"/>
      <c r="BG527" s="26"/>
      <c r="BH527" s="26"/>
      <c r="BI527" s="26"/>
      <c r="BJ527" s="26"/>
      <c r="BK527" s="26"/>
      <c r="BL527" s="26"/>
      <c r="BM527" s="26"/>
      <c r="BN527" s="26"/>
      <c r="BO527" s="26"/>
      <c r="BP527" s="26"/>
      <c r="BQ527" s="26"/>
      <c r="BR527" s="26"/>
      <c r="BS527" s="26"/>
      <c r="BT527" s="26"/>
      <c r="BU527" s="26"/>
      <c r="BV527" s="26"/>
      <c r="BW527" s="26"/>
      <c r="BX527" s="26"/>
      <c r="BY527" s="26"/>
      <c r="BZ527" s="26"/>
      <c r="CA527" s="26"/>
      <c r="CB527" s="26"/>
      <c r="CC527" s="26"/>
      <c r="CD527" s="26"/>
      <c r="CE527" s="26"/>
      <c r="CF527" s="26"/>
      <c r="CG527" s="26"/>
      <c r="CH527" s="26"/>
      <c r="CI527" s="26"/>
      <c r="CJ527" s="26"/>
      <c r="CK527" s="26"/>
      <c r="CL527" s="26"/>
      <c r="CM527" s="26"/>
      <c r="CN527" s="26"/>
      <c r="CO527" s="26"/>
    </row>
    <row r="528" spans="9:93" ht="12.75" hidden="1" customHeight="1" x14ac:dyDescent="0.25">
      <c r="P528" s="6"/>
      <c r="Q528" s="6"/>
      <c r="R528" s="6"/>
      <c r="S528" s="6"/>
      <c r="T528" s="6"/>
      <c r="U528" s="6"/>
      <c r="V528" s="6"/>
      <c r="W528" s="6"/>
      <c r="X528" s="6"/>
      <c r="Y528" s="6"/>
      <c r="Z528" s="6"/>
      <c r="AA528" s="6"/>
      <c r="BF528" s="26"/>
      <c r="BG528" s="26"/>
      <c r="BH528" s="26"/>
      <c r="BI528" s="26"/>
      <c r="BJ528" s="26"/>
      <c r="BK528" s="26"/>
      <c r="BL528" s="26"/>
      <c r="BM528" s="26"/>
      <c r="BN528" s="26"/>
      <c r="BO528" s="26"/>
      <c r="BP528" s="26"/>
      <c r="BQ528" s="26"/>
      <c r="BR528" s="26"/>
      <c r="BS528" s="26"/>
      <c r="BT528" s="26"/>
      <c r="BU528" s="26"/>
      <c r="BV528" s="26"/>
      <c r="BW528" s="26"/>
      <c r="BX528" s="26"/>
      <c r="BY528" s="26"/>
      <c r="BZ528" s="26"/>
      <c r="CA528" s="26"/>
      <c r="CB528" s="26"/>
      <c r="CC528" s="26"/>
      <c r="CD528" s="26"/>
      <c r="CE528" s="26"/>
      <c r="CF528" s="26"/>
      <c r="CG528" s="26"/>
      <c r="CH528" s="26"/>
      <c r="CI528" s="26"/>
      <c r="CJ528" s="26"/>
      <c r="CK528" s="26"/>
      <c r="CL528" s="26"/>
      <c r="CM528" s="26"/>
      <c r="CN528" s="26"/>
      <c r="CO528" s="26"/>
    </row>
    <row r="529" spans="5:93" ht="12.75" hidden="1" customHeight="1" x14ac:dyDescent="0.25">
      <c r="P529" s="6"/>
      <c r="Q529" s="6"/>
      <c r="R529" s="6"/>
      <c r="S529" s="6"/>
      <c r="T529" s="6"/>
      <c r="U529" s="6"/>
      <c r="V529" s="6"/>
      <c r="W529" s="6"/>
      <c r="X529" s="6"/>
      <c r="Y529" s="6"/>
      <c r="Z529" s="6"/>
      <c r="AA529" s="6"/>
      <c r="BF529" s="26"/>
      <c r="BG529" s="26"/>
      <c r="BH529" s="26"/>
      <c r="BI529" s="26"/>
      <c r="BJ529" s="26"/>
      <c r="BK529" s="26"/>
      <c r="BL529" s="26"/>
      <c r="BM529" s="26"/>
      <c r="BN529" s="26"/>
      <c r="BO529" s="26"/>
      <c r="BP529" s="26"/>
      <c r="BQ529" s="26"/>
      <c r="BR529" s="26"/>
      <c r="BS529" s="26"/>
      <c r="BT529" s="26"/>
      <c r="BU529" s="26"/>
      <c r="BV529" s="26"/>
      <c r="BW529" s="26"/>
      <c r="BX529" s="26"/>
      <c r="BY529" s="26"/>
      <c r="BZ529" s="26"/>
      <c r="CA529" s="26"/>
      <c r="CB529" s="26"/>
      <c r="CC529" s="26"/>
      <c r="CD529" s="26"/>
      <c r="CE529" s="26"/>
      <c r="CF529" s="26"/>
      <c r="CG529" s="26"/>
      <c r="CH529" s="26"/>
      <c r="CI529" s="26"/>
      <c r="CJ529" s="26"/>
      <c r="CK529" s="26"/>
      <c r="CL529" s="26"/>
      <c r="CM529" s="26"/>
      <c r="CN529" s="26"/>
      <c r="CO529" s="26"/>
    </row>
    <row r="530" spans="5:93" ht="12.75" hidden="1" customHeight="1" x14ac:dyDescent="0.25">
      <c r="P530" s="6"/>
      <c r="Q530" s="6"/>
      <c r="R530" s="6"/>
      <c r="S530" s="6"/>
      <c r="T530" s="6"/>
      <c r="U530" s="6"/>
      <c r="V530" s="6"/>
      <c r="W530" s="6"/>
      <c r="X530" s="6"/>
      <c r="Y530" s="6"/>
      <c r="Z530" s="6"/>
      <c r="AA530" s="6"/>
      <c r="BF530" s="26"/>
      <c r="BG530" s="26"/>
      <c r="BH530" s="26"/>
      <c r="BI530" s="26"/>
      <c r="BJ530" s="26"/>
      <c r="BK530" s="26"/>
      <c r="BL530" s="26"/>
      <c r="BM530" s="26"/>
      <c r="BN530" s="26"/>
      <c r="BO530" s="26"/>
      <c r="BP530" s="26"/>
      <c r="BQ530" s="26"/>
      <c r="BR530" s="26"/>
      <c r="BS530" s="26"/>
      <c r="BT530" s="26"/>
      <c r="BU530" s="26"/>
      <c r="BV530" s="26"/>
      <c r="BW530" s="26"/>
      <c r="BX530" s="26"/>
      <c r="BY530" s="26"/>
      <c r="BZ530" s="26"/>
      <c r="CA530" s="26"/>
      <c r="CB530" s="26"/>
      <c r="CC530" s="26"/>
      <c r="CD530" s="26"/>
      <c r="CE530" s="26"/>
      <c r="CF530" s="26"/>
      <c r="CG530" s="26"/>
      <c r="CH530" s="26"/>
      <c r="CI530" s="26"/>
      <c r="CJ530" s="26"/>
      <c r="CK530" s="26"/>
      <c r="CL530" s="26"/>
      <c r="CM530" s="26"/>
      <c r="CN530" s="26"/>
      <c r="CO530" s="26"/>
    </row>
    <row r="531" spans="5:93" ht="12.75" hidden="1" customHeight="1" x14ac:dyDescent="0.25">
      <c r="P531" s="6"/>
      <c r="Q531" s="6"/>
      <c r="R531" s="6"/>
      <c r="S531" s="6"/>
      <c r="T531" s="6"/>
      <c r="U531" s="6"/>
      <c r="V531" s="6"/>
      <c r="W531" s="6"/>
      <c r="X531" s="6"/>
      <c r="Y531" s="6"/>
      <c r="Z531" s="6"/>
      <c r="AA531" s="6"/>
      <c r="BF531" s="26"/>
      <c r="BG531" s="26"/>
      <c r="BH531" s="26"/>
      <c r="BI531" s="26"/>
      <c r="BJ531" s="26"/>
      <c r="BK531" s="26"/>
      <c r="BL531" s="26"/>
      <c r="BM531" s="26"/>
      <c r="BN531" s="26"/>
      <c r="BO531" s="26"/>
      <c r="BP531" s="26"/>
      <c r="BQ531" s="26"/>
      <c r="BR531" s="26"/>
      <c r="BS531" s="26"/>
      <c r="BT531" s="26"/>
      <c r="BU531" s="26"/>
      <c r="BV531" s="26"/>
      <c r="BW531" s="26"/>
      <c r="BX531" s="26"/>
      <c r="BY531" s="26"/>
      <c r="BZ531" s="26"/>
      <c r="CA531" s="26"/>
      <c r="CB531" s="26"/>
      <c r="CC531" s="26"/>
      <c r="CD531" s="26"/>
      <c r="CE531" s="26"/>
      <c r="CF531" s="26"/>
      <c r="CG531" s="26"/>
      <c r="CH531" s="26"/>
      <c r="CI531" s="26"/>
      <c r="CJ531" s="26"/>
      <c r="CK531" s="26"/>
      <c r="CL531" s="26"/>
      <c r="CM531" s="26"/>
      <c r="CN531" s="26"/>
      <c r="CO531" s="26"/>
    </row>
    <row r="532" spans="5:93" ht="12.75" hidden="1" customHeight="1" x14ac:dyDescent="0.25">
      <c r="P532" s="6"/>
      <c r="Q532" s="6"/>
      <c r="R532" s="6"/>
      <c r="S532" s="6"/>
      <c r="T532" s="6"/>
      <c r="U532" s="6"/>
      <c r="V532" s="6"/>
      <c r="W532" s="6"/>
      <c r="X532" s="6"/>
      <c r="Y532" s="6"/>
      <c r="Z532" s="6"/>
      <c r="AA532" s="6"/>
      <c r="BF532" s="26"/>
      <c r="BG532" s="26"/>
      <c r="BH532" s="26"/>
      <c r="BI532" s="26"/>
      <c r="BJ532" s="26"/>
      <c r="BK532" s="26"/>
      <c r="BL532" s="26"/>
      <c r="BM532" s="26"/>
      <c r="BN532" s="26"/>
      <c r="BO532" s="26"/>
      <c r="BP532" s="26"/>
      <c r="BQ532" s="26"/>
      <c r="BR532" s="26"/>
      <c r="BS532" s="26"/>
      <c r="BT532" s="26"/>
      <c r="BU532" s="26"/>
      <c r="BV532" s="26"/>
      <c r="BW532" s="26"/>
      <c r="BX532" s="26"/>
      <c r="BY532" s="26"/>
      <c r="BZ532" s="26"/>
      <c r="CA532" s="26"/>
      <c r="CB532" s="26"/>
      <c r="CC532" s="26"/>
      <c r="CD532" s="26"/>
      <c r="CE532" s="26"/>
      <c r="CF532" s="26"/>
      <c r="CG532" s="26"/>
      <c r="CH532" s="26"/>
      <c r="CI532" s="26"/>
      <c r="CJ532" s="26"/>
      <c r="CK532" s="26"/>
      <c r="CL532" s="26"/>
      <c r="CM532" s="26"/>
      <c r="CN532" s="26"/>
      <c r="CO532" s="26"/>
    </row>
    <row r="533" spans="5:93" ht="12.75" hidden="1" customHeight="1" x14ac:dyDescent="0.25">
      <c r="P533" s="6"/>
      <c r="Q533" s="6"/>
      <c r="R533" s="6"/>
      <c r="S533" s="6"/>
      <c r="T533" s="6"/>
      <c r="U533" s="6"/>
      <c r="V533" s="6"/>
      <c r="W533" s="6"/>
      <c r="X533" s="6"/>
      <c r="Y533" s="6"/>
      <c r="Z533" s="6"/>
      <c r="AA533" s="6"/>
      <c r="BF533" s="26"/>
      <c r="BG533" s="26"/>
      <c r="BH533" s="26"/>
      <c r="BI533" s="26"/>
      <c r="BJ533" s="26"/>
      <c r="BK533" s="26"/>
      <c r="BL533" s="26"/>
      <c r="BM533" s="26"/>
      <c r="BN533" s="26"/>
      <c r="BO533" s="26"/>
      <c r="BP533" s="26"/>
      <c r="BQ533" s="26"/>
      <c r="BR533" s="26"/>
      <c r="BS533" s="26"/>
      <c r="BT533" s="26"/>
      <c r="BU533" s="26"/>
      <c r="BV533" s="26"/>
      <c r="BW533" s="26"/>
      <c r="BX533" s="26"/>
      <c r="BY533" s="26"/>
      <c r="BZ533" s="26"/>
      <c r="CA533" s="26"/>
      <c r="CB533" s="26"/>
      <c r="CC533" s="26"/>
      <c r="CD533" s="26"/>
      <c r="CE533" s="26"/>
      <c r="CF533" s="26"/>
      <c r="CG533" s="26"/>
      <c r="CH533" s="26"/>
      <c r="CI533" s="26"/>
      <c r="CJ533" s="26"/>
      <c r="CK533" s="26"/>
      <c r="CL533" s="26"/>
      <c r="CM533" s="26"/>
      <c r="CN533" s="26"/>
      <c r="CO533" s="26"/>
    </row>
    <row r="534" spans="5:93" ht="12.75" hidden="1" customHeight="1" x14ac:dyDescent="0.25">
      <c r="P534" s="6"/>
      <c r="Q534" s="6"/>
      <c r="R534" s="6"/>
      <c r="S534" s="6"/>
      <c r="T534" s="6"/>
      <c r="U534" s="6"/>
      <c r="V534" s="6"/>
      <c r="W534" s="6"/>
      <c r="X534" s="6"/>
      <c r="Y534" s="6"/>
      <c r="Z534" s="6"/>
      <c r="AA534" s="6"/>
      <c r="BF534" s="26"/>
      <c r="BG534" s="26"/>
      <c r="BH534" s="26"/>
      <c r="BI534" s="26"/>
      <c r="BJ534" s="26"/>
      <c r="BK534" s="26"/>
      <c r="BL534" s="26"/>
      <c r="BM534" s="26"/>
      <c r="BN534" s="26"/>
      <c r="BO534" s="26"/>
      <c r="BP534" s="26"/>
      <c r="BQ534" s="26"/>
      <c r="BR534" s="26"/>
      <c r="BS534" s="26"/>
      <c r="BT534" s="26"/>
      <c r="BU534" s="26"/>
      <c r="BV534" s="26"/>
      <c r="BW534" s="26"/>
      <c r="BX534" s="26"/>
      <c r="BY534" s="26"/>
      <c r="BZ534" s="26"/>
      <c r="CA534" s="26"/>
      <c r="CB534" s="26"/>
      <c r="CC534" s="26"/>
      <c r="CD534" s="26"/>
      <c r="CE534" s="26"/>
      <c r="CF534" s="26"/>
      <c r="CG534" s="26"/>
      <c r="CH534" s="26"/>
      <c r="CI534" s="26"/>
      <c r="CJ534" s="26"/>
      <c r="CK534" s="26"/>
      <c r="CL534" s="26"/>
      <c r="CM534" s="26"/>
      <c r="CN534" s="26"/>
      <c r="CO534" s="26"/>
    </row>
    <row r="535" spans="5:93" ht="12.75" hidden="1" customHeight="1" x14ac:dyDescent="0.25">
      <c r="P535" s="6"/>
      <c r="Q535" s="6"/>
      <c r="R535" s="6"/>
      <c r="S535" s="6"/>
      <c r="T535" s="6"/>
      <c r="U535" s="6"/>
      <c r="V535" s="6"/>
      <c r="W535" s="6"/>
      <c r="X535" s="6"/>
      <c r="Y535" s="6"/>
      <c r="Z535" s="6"/>
      <c r="AA535" s="6"/>
      <c r="BF535" s="26"/>
      <c r="BG535" s="26"/>
      <c r="BH535" s="26"/>
      <c r="BI535" s="26"/>
      <c r="BJ535" s="26"/>
      <c r="BK535" s="26"/>
      <c r="BL535" s="26"/>
      <c r="BM535" s="26"/>
      <c r="BN535" s="26"/>
      <c r="BO535" s="26"/>
      <c r="BP535" s="26"/>
      <c r="BQ535" s="26"/>
      <c r="BR535" s="26"/>
      <c r="BS535" s="26"/>
      <c r="BT535" s="26"/>
      <c r="BU535" s="26"/>
      <c r="BV535" s="26"/>
      <c r="BW535" s="26"/>
      <c r="BX535" s="26"/>
      <c r="BY535" s="26"/>
      <c r="BZ535" s="26"/>
      <c r="CA535" s="26"/>
      <c r="CB535" s="26"/>
      <c r="CC535" s="26"/>
      <c r="CD535" s="26"/>
      <c r="CE535" s="26"/>
      <c r="CF535" s="26"/>
      <c r="CG535" s="26"/>
      <c r="CH535" s="26"/>
      <c r="CI535" s="26"/>
      <c r="CJ535" s="26"/>
      <c r="CK535" s="26"/>
      <c r="CL535" s="26"/>
      <c r="CM535" s="26"/>
      <c r="CN535" s="26"/>
      <c r="CO535" s="26"/>
    </row>
    <row r="536" spans="5:93" ht="12.75" hidden="1" customHeight="1" x14ac:dyDescent="0.25">
      <c r="P536" s="6"/>
      <c r="Q536" s="6"/>
      <c r="R536" s="6"/>
      <c r="S536" s="6"/>
      <c r="T536" s="6"/>
      <c r="U536" s="6"/>
      <c r="V536" s="6"/>
      <c r="W536" s="6"/>
      <c r="X536" s="6"/>
      <c r="Y536" s="6"/>
      <c r="Z536" s="6"/>
      <c r="AA536" s="6"/>
      <c r="BF536" s="26"/>
      <c r="BG536" s="26"/>
      <c r="BH536" s="26"/>
      <c r="BI536" s="26"/>
      <c r="BJ536" s="26"/>
      <c r="BK536" s="26"/>
      <c r="BL536" s="26"/>
      <c r="BM536" s="26"/>
      <c r="BN536" s="26"/>
      <c r="BO536" s="26"/>
      <c r="BP536" s="26"/>
      <c r="BQ536" s="26"/>
      <c r="BR536" s="26"/>
      <c r="BS536" s="26"/>
      <c r="BT536" s="26"/>
      <c r="BU536" s="26"/>
      <c r="BV536" s="26"/>
      <c r="BW536" s="26"/>
      <c r="BX536" s="26"/>
      <c r="BY536" s="26"/>
      <c r="BZ536" s="26"/>
      <c r="CA536" s="26"/>
      <c r="CB536" s="26"/>
      <c r="CC536" s="26"/>
      <c r="CD536" s="26"/>
      <c r="CE536" s="26"/>
      <c r="CF536" s="26"/>
      <c r="CG536" s="26"/>
      <c r="CH536" s="26"/>
      <c r="CI536" s="26"/>
      <c r="CJ536" s="26"/>
      <c r="CK536" s="26"/>
      <c r="CL536" s="26"/>
      <c r="CM536" s="26"/>
      <c r="CN536" s="26"/>
      <c r="CO536" s="26"/>
    </row>
    <row r="537" spans="5:93" ht="12.75" hidden="1" customHeight="1" x14ac:dyDescent="0.25">
      <c r="P537" s="6"/>
      <c r="Q537" s="6"/>
      <c r="R537" s="6"/>
      <c r="S537" s="6"/>
      <c r="T537" s="6"/>
      <c r="U537" s="6"/>
      <c r="V537" s="6"/>
      <c r="W537" s="6"/>
      <c r="X537" s="6"/>
      <c r="Y537" s="6"/>
      <c r="Z537" s="6"/>
      <c r="AA537" s="6"/>
      <c r="BF537" s="26"/>
      <c r="BG537" s="26"/>
      <c r="BH537" s="26"/>
      <c r="BI537" s="26"/>
      <c r="BJ537" s="26"/>
      <c r="BK537" s="26"/>
      <c r="BL537" s="26"/>
      <c r="BM537" s="26"/>
      <c r="BN537" s="26"/>
      <c r="BO537" s="26"/>
      <c r="BP537" s="26"/>
      <c r="BQ537" s="26"/>
      <c r="BR537" s="26"/>
      <c r="BS537" s="26"/>
      <c r="BT537" s="26"/>
      <c r="BU537" s="26"/>
      <c r="BV537" s="26"/>
      <c r="BW537" s="26"/>
      <c r="BX537" s="26"/>
      <c r="BY537" s="26"/>
      <c r="BZ537" s="26"/>
      <c r="CA537" s="26"/>
      <c r="CB537" s="26"/>
      <c r="CC537" s="26"/>
      <c r="CD537" s="26"/>
      <c r="CE537" s="26"/>
      <c r="CF537" s="26"/>
      <c r="CG537" s="26"/>
      <c r="CH537" s="26"/>
      <c r="CI537" s="26"/>
      <c r="CJ537" s="26"/>
      <c r="CK537" s="26"/>
      <c r="CL537" s="26"/>
      <c r="CM537" s="26"/>
      <c r="CN537" s="26"/>
      <c r="CO537" s="26"/>
    </row>
    <row r="538" spans="5:93" ht="12.75" hidden="1" customHeight="1" x14ac:dyDescent="0.25">
      <c r="P538" s="6"/>
      <c r="Q538" s="6"/>
      <c r="R538" s="6"/>
      <c r="S538" s="6"/>
      <c r="T538" s="6"/>
      <c r="U538" s="6"/>
      <c r="V538" s="6"/>
      <c r="W538" s="6"/>
      <c r="X538" s="6"/>
      <c r="Y538" s="6"/>
      <c r="Z538" s="6"/>
      <c r="AA538" s="6"/>
      <c r="BF538" s="26"/>
      <c r="BG538" s="26"/>
      <c r="BH538" s="26"/>
      <c r="BI538" s="26"/>
      <c r="BJ538" s="26"/>
      <c r="BK538" s="26"/>
      <c r="BL538" s="26"/>
      <c r="BM538" s="26"/>
      <c r="BN538" s="26"/>
      <c r="BO538" s="26"/>
      <c r="BP538" s="26"/>
      <c r="BQ538" s="26"/>
      <c r="BR538" s="26"/>
      <c r="BS538" s="26"/>
      <c r="BT538" s="26"/>
      <c r="BU538" s="26"/>
      <c r="BV538" s="26"/>
      <c r="BW538" s="26"/>
      <c r="BX538" s="26"/>
      <c r="BY538" s="26"/>
      <c r="BZ538" s="26"/>
      <c r="CA538" s="26"/>
      <c r="CB538" s="26"/>
      <c r="CC538" s="26"/>
      <c r="CD538" s="26"/>
      <c r="CE538" s="26"/>
      <c r="CF538" s="26"/>
      <c r="CG538" s="26"/>
      <c r="CH538" s="26"/>
      <c r="CI538" s="26"/>
      <c r="CJ538" s="26"/>
      <c r="CK538" s="26"/>
      <c r="CL538" s="26"/>
      <c r="CM538" s="26"/>
      <c r="CN538" s="26"/>
      <c r="CO538" s="26"/>
    </row>
    <row r="539" spans="5:93" ht="12.75" hidden="1" customHeight="1" x14ac:dyDescent="0.25">
      <c r="P539" s="6"/>
      <c r="Q539" s="6"/>
      <c r="R539" s="6"/>
      <c r="S539" s="6"/>
      <c r="T539" s="6"/>
      <c r="U539" s="6"/>
      <c r="V539" s="6"/>
      <c r="W539" s="6"/>
      <c r="X539" s="6"/>
      <c r="Y539" s="6"/>
      <c r="Z539" s="6"/>
      <c r="AA539" s="6"/>
      <c r="BF539" s="26"/>
      <c r="BG539" s="26"/>
      <c r="BH539" s="26"/>
      <c r="BI539" s="26"/>
      <c r="BJ539" s="26"/>
      <c r="BK539" s="26"/>
      <c r="BL539" s="26"/>
      <c r="BM539" s="26"/>
      <c r="BN539" s="26"/>
      <c r="BO539" s="26"/>
      <c r="BP539" s="26"/>
      <c r="BQ539" s="26"/>
      <c r="BR539" s="26"/>
      <c r="BS539" s="26"/>
      <c r="BT539" s="26"/>
      <c r="BU539" s="26"/>
      <c r="BV539" s="26"/>
      <c r="BW539" s="26"/>
      <c r="BX539" s="26"/>
      <c r="BY539" s="26"/>
      <c r="BZ539" s="26"/>
      <c r="CA539" s="26"/>
      <c r="CB539" s="26"/>
      <c r="CC539" s="26"/>
      <c r="CD539" s="26"/>
      <c r="CE539" s="26"/>
      <c r="CF539" s="26"/>
      <c r="CG539" s="26"/>
      <c r="CH539" s="26"/>
      <c r="CI539" s="26"/>
      <c r="CJ539" s="26"/>
      <c r="CK539" s="26"/>
      <c r="CL539" s="26"/>
      <c r="CM539" s="26"/>
      <c r="CN539" s="26"/>
      <c r="CO539" s="26"/>
    </row>
    <row r="540" spans="5:93" ht="12.75" hidden="1" customHeight="1" x14ac:dyDescent="0.25">
      <c r="P540" s="6"/>
      <c r="Q540" s="6"/>
      <c r="R540" s="6"/>
      <c r="S540" s="6"/>
      <c r="T540" s="6"/>
      <c r="U540" s="6"/>
      <c r="V540" s="6"/>
      <c r="W540" s="6"/>
      <c r="X540" s="6"/>
      <c r="Y540" s="6"/>
      <c r="Z540" s="6"/>
      <c r="AA540" s="6"/>
      <c r="BF540" s="26"/>
      <c r="BG540" s="26"/>
      <c r="BH540" s="26"/>
      <c r="BI540" s="26"/>
      <c r="BJ540" s="26"/>
      <c r="BK540" s="26"/>
      <c r="BL540" s="26"/>
      <c r="BM540" s="26"/>
      <c r="BN540" s="26"/>
      <c r="BO540" s="26"/>
      <c r="BP540" s="26"/>
      <c r="BQ540" s="26"/>
      <c r="BR540" s="26"/>
      <c r="BS540" s="26"/>
      <c r="BT540" s="26"/>
      <c r="BU540" s="26"/>
      <c r="BV540" s="26"/>
      <c r="BW540" s="26"/>
      <c r="BX540" s="26"/>
      <c r="BY540" s="26"/>
      <c r="BZ540" s="26"/>
      <c r="CA540" s="26"/>
      <c r="CB540" s="26"/>
      <c r="CC540" s="26"/>
      <c r="CD540" s="26"/>
      <c r="CE540" s="26"/>
      <c r="CF540" s="26"/>
      <c r="CG540" s="26"/>
      <c r="CH540" s="26"/>
      <c r="CI540" s="26"/>
      <c r="CJ540" s="26"/>
      <c r="CK540" s="26"/>
      <c r="CL540" s="26"/>
      <c r="CM540" s="26"/>
      <c r="CN540" s="26"/>
      <c r="CO540" s="26"/>
    </row>
    <row r="541" spans="5:93" ht="12.75" hidden="1" customHeight="1" x14ac:dyDescent="0.25">
      <c r="E541" s="6">
        <v>1</v>
      </c>
      <c r="F541" s="9" t="s">
        <v>325</v>
      </c>
      <c r="P541" s="6"/>
      <c r="Q541" s="6"/>
      <c r="R541" s="6"/>
      <c r="S541" s="6"/>
      <c r="T541" s="6"/>
      <c r="U541" s="6"/>
      <c r="V541" s="6"/>
      <c r="W541" s="6"/>
      <c r="X541" s="6"/>
      <c r="Y541" s="6"/>
      <c r="Z541" s="6"/>
      <c r="AA541" s="6"/>
      <c r="BF541" s="26"/>
      <c r="BG541" s="26"/>
      <c r="BH541" s="26"/>
      <c r="BI541" s="26"/>
      <c r="BJ541" s="26"/>
      <c r="BK541" s="26"/>
      <c r="BL541" s="26"/>
      <c r="BM541" s="26"/>
      <c r="BN541" s="26"/>
      <c r="BO541" s="26"/>
      <c r="BP541" s="26"/>
      <c r="BQ541" s="26"/>
      <c r="BR541" s="26"/>
      <c r="BS541" s="26"/>
      <c r="BT541" s="26"/>
      <c r="BU541" s="26"/>
      <c r="BV541" s="26"/>
      <c r="BW541" s="26"/>
      <c r="BX541" s="26"/>
      <c r="BY541" s="26"/>
      <c r="BZ541" s="26"/>
      <c r="CA541" s="26"/>
      <c r="CB541" s="26"/>
      <c r="CC541" s="26"/>
      <c r="CD541" s="26"/>
      <c r="CE541" s="26"/>
      <c r="CF541" s="26"/>
      <c r="CG541" s="26"/>
      <c r="CH541" s="26"/>
      <c r="CI541" s="26"/>
      <c r="CJ541" s="26"/>
      <c r="CK541" s="26"/>
      <c r="CL541" s="26"/>
      <c r="CM541" s="26"/>
      <c r="CN541" s="26"/>
      <c r="CO541" s="26"/>
    </row>
    <row r="542" spans="5:93" ht="12.75" hidden="1" customHeight="1" x14ac:dyDescent="0.25">
      <c r="E542" s="6">
        <f>CHOOSE(E541,0,F542,F543,F544,F545,F546,F547,F548,F549,F550,F551,F552,F553,F554,F555)</f>
        <v>0</v>
      </c>
      <c r="F542" s="9">
        <v>100</v>
      </c>
      <c r="G542" s="6">
        <f>CHOOSE(E541,0,F542,F542,F544,F544,F544,F544,F545,F545,F546,F546,F547,F549,F551,0)</f>
        <v>0</v>
      </c>
      <c r="H542" s="6">
        <f>CHOOSE(E541,0,0,F542,0,F542,F543,F544,F544,F545,F545,F546,F547,F548,F551,0)</f>
        <v>0</v>
      </c>
      <c r="I542" s="6">
        <f>G542-H542</f>
        <v>0</v>
      </c>
      <c r="P542" s="6"/>
      <c r="Q542" s="6"/>
      <c r="R542" s="6"/>
      <c r="S542" s="6"/>
      <c r="T542" s="6"/>
      <c r="U542" s="6"/>
      <c r="V542" s="6"/>
      <c r="W542" s="6"/>
      <c r="X542" s="6"/>
      <c r="Y542" s="6"/>
      <c r="Z542" s="6"/>
      <c r="AA542" s="6"/>
      <c r="BF542" s="26"/>
      <c r="BG542" s="26"/>
      <c r="BH542" s="26"/>
      <c r="BI542" s="26"/>
      <c r="BJ542" s="26"/>
      <c r="BK542" s="26"/>
      <c r="BL542" s="26"/>
      <c r="BM542" s="26"/>
      <c r="BN542" s="26"/>
      <c r="BO542" s="26"/>
      <c r="BP542" s="26"/>
      <c r="BQ542" s="26"/>
      <c r="BR542" s="26"/>
      <c r="BS542" s="26"/>
      <c r="BT542" s="26"/>
      <c r="BU542" s="26"/>
      <c r="BV542" s="26"/>
      <c r="BW542" s="26"/>
      <c r="BX542" s="26"/>
      <c r="BY542" s="26"/>
      <c r="BZ542" s="26"/>
      <c r="CA542" s="26"/>
      <c r="CB542" s="26"/>
      <c r="CC542" s="26"/>
      <c r="CD542" s="26"/>
      <c r="CE542" s="26"/>
      <c r="CF542" s="26"/>
      <c r="CG542" s="26"/>
      <c r="CH542" s="26"/>
      <c r="CI542" s="26"/>
      <c r="CJ542" s="26"/>
      <c r="CK542" s="26"/>
      <c r="CL542" s="26"/>
      <c r="CM542" s="26"/>
      <c r="CN542" s="26"/>
      <c r="CO542" s="26"/>
    </row>
    <row r="543" spans="5:93" ht="12.75" hidden="1" customHeight="1" x14ac:dyDescent="0.25">
      <c r="F543" s="9">
        <v>200</v>
      </c>
      <c r="P543" s="6"/>
      <c r="Q543" s="6"/>
      <c r="R543" s="6"/>
      <c r="S543" s="6"/>
      <c r="T543" s="6"/>
      <c r="U543" s="6"/>
      <c r="V543" s="6"/>
      <c r="W543" s="6"/>
      <c r="X543" s="6"/>
      <c r="Y543" s="6"/>
      <c r="Z543" s="6"/>
      <c r="AA543" s="6"/>
      <c r="BF543" s="26"/>
      <c r="BG543" s="26"/>
      <c r="BH543" s="26"/>
      <c r="BI543" s="26"/>
      <c r="BJ543" s="26"/>
      <c r="BK543" s="26"/>
      <c r="BL543" s="26"/>
      <c r="BM543" s="26"/>
      <c r="BN543" s="26"/>
      <c r="BO543" s="26"/>
      <c r="BP543" s="26"/>
      <c r="BQ543" s="26"/>
      <c r="BR543" s="26"/>
      <c r="BS543" s="26"/>
      <c r="BT543" s="26"/>
      <c r="BU543" s="26"/>
      <c r="BV543" s="26"/>
      <c r="BW543" s="26"/>
      <c r="BX543" s="26"/>
      <c r="BY543" s="26"/>
      <c r="BZ543" s="26"/>
      <c r="CA543" s="26"/>
      <c r="CB543" s="26"/>
      <c r="CC543" s="26"/>
      <c r="CD543" s="26"/>
      <c r="CE543" s="26"/>
      <c r="CF543" s="26"/>
      <c r="CG543" s="26"/>
      <c r="CH543" s="26"/>
      <c r="CI543" s="26"/>
      <c r="CJ543" s="26"/>
      <c r="CK543" s="26"/>
      <c r="CL543" s="26"/>
      <c r="CM543" s="26"/>
      <c r="CN543" s="26"/>
      <c r="CO543" s="26"/>
    </row>
    <row r="544" spans="5:93" ht="12.75" hidden="1" customHeight="1" x14ac:dyDescent="0.25">
      <c r="F544" s="9">
        <v>300</v>
      </c>
      <c r="H544" s="9">
        <f>IF(G542&gt;H542,G542,H542)</f>
        <v>0</v>
      </c>
      <c r="P544" s="6"/>
      <c r="Q544" s="6"/>
      <c r="R544" s="6"/>
      <c r="S544" s="6"/>
      <c r="T544" s="6"/>
      <c r="U544" s="6"/>
      <c r="V544" s="6"/>
      <c r="W544" s="6"/>
      <c r="X544" s="6"/>
      <c r="Y544" s="6"/>
      <c r="Z544" s="6"/>
      <c r="AA544" s="6"/>
      <c r="BF544" s="26"/>
      <c r="BG544" s="26"/>
      <c r="BH544" s="26"/>
      <c r="BI544" s="26"/>
      <c r="BJ544" s="26"/>
      <c r="BK544" s="26"/>
      <c r="BL544" s="26"/>
      <c r="BM544" s="26"/>
      <c r="BN544" s="26"/>
      <c r="BO544" s="26"/>
      <c r="BP544" s="26"/>
      <c r="BQ544" s="26"/>
      <c r="BR544" s="26"/>
      <c r="BS544" s="26"/>
      <c r="BT544" s="26"/>
      <c r="BU544" s="26"/>
      <c r="BV544" s="26"/>
      <c r="BW544" s="26"/>
      <c r="BX544" s="26"/>
      <c r="BY544" s="26"/>
      <c r="BZ544" s="26"/>
      <c r="CA544" s="26"/>
      <c r="CB544" s="26"/>
      <c r="CC544" s="26"/>
      <c r="CD544" s="26"/>
      <c r="CE544" s="26"/>
      <c r="CF544" s="26"/>
      <c r="CG544" s="26"/>
      <c r="CH544" s="26"/>
      <c r="CI544" s="26"/>
      <c r="CJ544" s="26"/>
      <c r="CK544" s="26"/>
      <c r="CL544" s="26"/>
      <c r="CM544" s="26"/>
      <c r="CN544" s="26"/>
      <c r="CO544" s="26"/>
    </row>
    <row r="545" spans="6:93" ht="12.75" hidden="1" customHeight="1" x14ac:dyDescent="0.25">
      <c r="F545" s="9">
        <v>400</v>
      </c>
      <c r="P545" s="6"/>
      <c r="Q545" s="6"/>
      <c r="R545" s="6"/>
      <c r="S545" s="6"/>
      <c r="T545" s="6"/>
      <c r="U545" s="6"/>
      <c r="V545" s="6"/>
      <c r="W545" s="6"/>
      <c r="X545" s="6"/>
      <c r="Y545" s="6"/>
      <c r="Z545" s="6"/>
      <c r="AA545" s="6"/>
      <c r="BF545" s="26"/>
      <c r="BG545" s="26"/>
      <c r="BH545" s="26"/>
      <c r="BI545" s="26"/>
      <c r="BJ545" s="26"/>
      <c r="BK545" s="26"/>
      <c r="BL545" s="26"/>
      <c r="BM545" s="26"/>
      <c r="BN545" s="26"/>
      <c r="BO545" s="26"/>
      <c r="BP545" s="26"/>
      <c r="BQ545" s="26"/>
      <c r="BR545" s="26"/>
      <c r="BS545" s="26"/>
      <c r="BT545" s="26"/>
      <c r="BU545" s="26"/>
      <c r="BV545" s="26"/>
      <c r="BW545" s="26"/>
      <c r="BX545" s="26"/>
      <c r="BY545" s="26"/>
      <c r="BZ545" s="26"/>
      <c r="CA545" s="26"/>
      <c r="CB545" s="26"/>
      <c r="CC545" s="26"/>
      <c r="CD545" s="26"/>
      <c r="CE545" s="26"/>
      <c r="CF545" s="26"/>
      <c r="CG545" s="26"/>
      <c r="CH545" s="26"/>
      <c r="CI545" s="26"/>
      <c r="CJ545" s="26"/>
      <c r="CK545" s="26"/>
      <c r="CL545" s="26"/>
      <c r="CM545" s="26"/>
      <c r="CN545" s="26"/>
      <c r="CO545" s="26"/>
    </row>
    <row r="546" spans="6:93" ht="12.75" hidden="1" customHeight="1" x14ac:dyDescent="0.25">
      <c r="F546" s="9">
        <v>500</v>
      </c>
      <c r="P546" s="6"/>
      <c r="Q546" s="6"/>
      <c r="R546" s="6"/>
      <c r="S546" s="6"/>
      <c r="T546" s="6"/>
      <c r="U546" s="6"/>
      <c r="V546" s="6"/>
      <c r="W546" s="6"/>
      <c r="X546" s="6"/>
      <c r="Y546" s="6"/>
      <c r="Z546" s="6"/>
      <c r="AA546" s="6"/>
      <c r="BF546" s="26"/>
      <c r="BG546" s="26"/>
      <c r="BH546" s="26"/>
      <c r="BI546" s="26"/>
      <c r="BJ546" s="26"/>
      <c r="BK546" s="26"/>
      <c r="BL546" s="26"/>
      <c r="BM546" s="26"/>
      <c r="BN546" s="26"/>
      <c r="BO546" s="26"/>
      <c r="BP546" s="26"/>
      <c r="BQ546" s="26"/>
      <c r="BR546" s="26"/>
      <c r="BS546" s="26"/>
      <c r="BT546" s="26"/>
      <c r="BU546" s="26"/>
      <c r="BV546" s="26"/>
      <c r="BW546" s="26"/>
      <c r="BX546" s="26"/>
      <c r="BY546" s="26"/>
      <c r="BZ546" s="26"/>
      <c r="CA546" s="26"/>
      <c r="CB546" s="26"/>
      <c r="CC546" s="26"/>
      <c r="CD546" s="26"/>
      <c r="CE546" s="26"/>
      <c r="CF546" s="26"/>
      <c r="CG546" s="26"/>
      <c r="CH546" s="26"/>
      <c r="CI546" s="26"/>
      <c r="CJ546" s="26"/>
      <c r="CK546" s="26"/>
      <c r="CL546" s="26"/>
      <c r="CM546" s="26"/>
      <c r="CN546" s="26"/>
      <c r="CO546" s="26"/>
    </row>
    <row r="547" spans="6:93" ht="12.75" hidden="1" customHeight="1" x14ac:dyDescent="0.25">
      <c r="F547" s="9">
        <v>600</v>
      </c>
      <c r="P547" s="6"/>
      <c r="Q547" s="6"/>
      <c r="R547" s="6"/>
      <c r="S547" s="6"/>
      <c r="T547" s="6"/>
      <c r="U547" s="6"/>
      <c r="V547" s="6"/>
      <c r="W547" s="6"/>
      <c r="X547" s="6"/>
      <c r="Y547" s="6"/>
      <c r="Z547" s="6"/>
      <c r="AA547" s="6"/>
      <c r="BF547" s="26"/>
      <c r="BG547" s="26"/>
      <c r="BH547" s="26"/>
      <c r="BI547" s="26"/>
      <c r="BJ547" s="26"/>
      <c r="BK547" s="26"/>
      <c r="BL547" s="26"/>
      <c r="BM547" s="26"/>
      <c r="BN547" s="26"/>
      <c r="BO547" s="26"/>
      <c r="BP547" s="26"/>
      <c r="BQ547" s="26"/>
      <c r="BR547" s="26"/>
      <c r="BS547" s="26"/>
      <c r="BT547" s="26"/>
      <c r="BU547" s="26"/>
      <c r="BV547" s="26"/>
      <c r="BW547" s="26"/>
      <c r="BX547" s="26"/>
      <c r="BY547" s="26"/>
      <c r="BZ547" s="26"/>
      <c r="CA547" s="26"/>
      <c r="CB547" s="26"/>
      <c r="CC547" s="26"/>
      <c r="CD547" s="26"/>
      <c r="CE547" s="26"/>
      <c r="CF547" s="26"/>
      <c r="CG547" s="26"/>
      <c r="CH547" s="26"/>
      <c r="CI547" s="26"/>
      <c r="CJ547" s="26"/>
      <c r="CK547" s="26"/>
      <c r="CL547" s="26"/>
      <c r="CM547" s="26"/>
      <c r="CN547" s="26"/>
      <c r="CO547" s="26"/>
    </row>
    <row r="548" spans="6:93" ht="12.75" hidden="1" customHeight="1" x14ac:dyDescent="0.25">
      <c r="F548" s="9">
        <v>700</v>
      </c>
      <c r="H548" s="6"/>
      <c r="I548" s="6"/>
      <c r="J548" s="6"/>
      <c r="K548" s="6"/>
      <c r="L548" s="6"/>
      <c r="M548" s="6"/>
      <c r="N548" s="6"/>
      <c r="O548" s="6"/>
      <c r="P548" s="6"/>
      <c r="Q548" s="6"/>
      <c r="R548" s="6"/>
      <c r="S548" s="6"/>
      <c r="T548" s="6"/>
      <c r="U548" s="6"/>
      <c r="V548" s="6"/>
      <c r="W548" s="6"/>
      <c r="X548" s="6"/>
      <c r="Y548" s="6"/>
      <c r="Z548" s="6"/>
      <c r="AA548" s="6"/>
      <c r="BF548" s="26"/>
      <c r="BG548" s="26"/>
      <c r="BH548" s="26"/>
      <c r="BI548" s="26"/>
      <c r="BJ548" s="26"/>
      <c r="BK548" s="26"/>
      <c r="BL548" s="26"/>
      <c r="BM548" s="26"/>
      <c r="BN548" s="26"/>
      <c r="BO548" s="26"/>
      <c r="BP548" s="26"/>
      <c r="BQ548" s="26"/>
      <c r="BR548" s="26"/>
      <c r="BS548" s="26"/>
      <c r="BT548" s="26"/>
      <c r="BU548" s="26"/>
      <c r="BV548" s="26"/>
      <c r="BW548" s="26"/>
      <c r="BX548" s="26"/>
      <c r="BY548" s="26"/>
      <c r="BZ548" s="26"/>
      <c r="CA548" s="26"/>
      <c r="CB548" s="26"/>
      <c r="CC548" s="26"/>
      <c r="CD548" s="26"/>
      <c r="CE548" s="26"/>
      <c r="CF548" s="26"/>
      <c r="CG548" s="26"/>
      <c r="CH548" s="26"/>
      <c r="CI548" s="26"/>
      <c r="CJ548" s="26"/>
      <c r="CK548" s="26"/>
      <c r="CL548" s="26"/>
      <c r="CM548" s="26"/>
      <c r="CN548" s="26"/>
      <c r="CO548" s="26"/>
    </row>
    <row r="549" spans="6:93" ht="12.75" hidden="1" customHeight="1" x14ac:dyDescent="0.25">
      <c r="F549" s="9">
        <v>800</v>
      </c>
      <c r="H549" s="6"/>
      <c r="I549" s="6"/>
      <c r="J549" s="6"/>
      <c r="K549" s="136">
        <f>IF($H$8&lt;3000,0,3000)</f>
        <v>0</v>
      </c>
      <c r="L549" s="26" t="s">
        <v>326</v>
      </c>
      <c r="M549" s="372">
        <f>IF($H$8&lt;3000,$H$8,$K$549)</f>
        <v>0</v>
      </c>
      <c r="N549" s="26" t="str">
        <f>IF(H227," "," volt-amperes")</f>
        <v xml:space="preserve"> volt-amperes</v>
      </c>
      <c r="O549" s="26"/>
      <c r="P549" s="6"/>
      <c r="Q549" s="6"/>
      <c r="R549" s="6"/>
      <c r="S549" s="6"/>
      <c r="T549" s="6"/>
      <c r="U549" s="6"/>
      <c r="V549" s="6"/>
      <c r="W549" s="6"/>
      <c r="X549" s="6"/>
      <c r="Y549" s="6"/>
      <c r="Z549" s="6"/>
      <c r="AA549" s="6"/>
      <c r="BF549" s="26"/>
      <c r="BG549" s="26"/>
      <c r="BH549" s="26"/>
      <c r="BI549" s="26"/>
      <c r="BJ549" s="26"/>
      <c r="BK549" s="26"/>
      <c r="BL549" s="26"/>
      <c r="BM549" s="26"/>
      <c r="BN549" s="26"/>
      <c r="BO549" s="26"/>
      <c r="BP549" s="26"/>
      <c r="BQ549" s="26"/>
      <c r="BR549" s="26"/>
      <c r="BS549" s="26"/>
      <c r="BT549" s="26"/>
      <c r="BU549" s="26"/>
      <c r="BV549" s="26"/>
      <c r="BW549" s="26"/>
      <c r="BX549" s="26"/>
      <c r="BY549" s="26"/>
      <c r="BZ549" s="26"/>
      <c r="CA549" s="26"/>
      <c r="CB549" s="26"/>
      <c r="CC549" s="26"/>
      <c r="CD549" s="26"/>
      <c r="CE549" s="26"/>
      <c r="CF549" s="26"/>
      <c r="CG549" s="26"/>
      <c r="CH549" s="26"/>
      <c r="CI549" s="26"/>
      <c r="CJ549" s="26"/>
      <c r="CK549" s="26"/>
      <c r="CL549" s="26"/>
      <c r="CM549" s="26"/>
      <c r="CN549" s="26"/>
      <c r="CO549" s="26"/>
    </row>
    <row r="550" spans="6:93" ht="12.75" hidden="1" customHeight="1" x14ac:dyDescent="0.25">
      <c r="F550" s="9">
        <v>900</v>
      </c>
      <c r="H550" s="6"/>
      <c r="I550" s="6"/>
      <c r="J550" s="6"/>
      <c r="K550" s="136">
        <f>IF($H$8&lt;=3000,0,$H$8-$K$549)</f>
        <v>0</v>
      </c>
      <c r="L550" s="26" t="s">
        <v>327</v>
      </c>
      <c r="M550" s="372">
        <f>IF(K550&lt;=117000,K550*0.35,117000*0.35)</f>
        <v>0</v>
      </c>
      <c r="N550" s="26" t="s">
        <v>328</v>
      </c>
      <c r="O550" s="26"/>
      <c r="P550" s="6"/>
      <c r="Q550" s="6"/>
      <c r="R550" s="6"/>
      <c r="S550" s="6"/>
      <c r="T550" s="6"/>
      <c r="U550" s="6"/>
      <c r="V550" s="6"/>
      <c r="W550" s="6"/>
      <c r="X550" s="6"/>
      <c r="Y550" s="6"/>
      <c r="Z550" s="6"/>
      <c r="AA550" s="6"/>
      <c r="BF550" s="26"/>
      <c r="BG550" s="26"/>
      <c r="BH550" s="26"/>
      <c r="BI550" s="26"/>
      <c r="BJ550" s="26"/>
      <c r="BK550" s="26"/>
      <c r="BL550" s="26"/>
      <c r="BM550" s="26"/>
      <c r="BN550" s="26"/>
      <c r="BO550" s="26"/>
      <c r="BP550" s="26"/>
      <c r="BQ550" s="26"/>
      <c r="BR550" s="26"/>
      <c r="BS550" s="26"/>
      <c r="BT550" s="26"/>
      <c r="BU550" s="26"/>
      <c r="BV550" s="26"/>
      <c r="BW550" s="26"/>
      <c r="BX550" s="26"/>
      <c r="BY550" s="26"/>
      <c r="BZ550" s="26"/>
      <c r="CA550" s="26"/>
      <c r="CB550" s="26"/>
      <c r="CC550" s="26"/>
      <c r="CD550" s="26"/>
      <c r="CE550" s="26"/>
      <c r="CF550" s="26"/>
      <c r="CG550" s="26"/>
      <c r="CH550" s="26"/>
      <c r="CI550" s="26"/>
      <c r="CJ550" s="26"/>
      <c r="CK550" s="26"/>
      <c r="CL550" s="26"/>
      <c r="CM550" s="26"/>
      <c r="CN550" s="26"/>
      <c r="CO550" s="26"/>
    </row>
    <row r="551" spans="6:93" ht="12.75" hidden="1" customHeight="1" x14ac:dyDescent="0.25">
      <c r="F551" s="9">
        <v>1000</v>
      </c>
      <c r="H551" s="6"/>
      <c r="I551" s="6"/>
      <c r="J551" s="6"/>
      <c r="K551" s="136">
        <f>IF($K$550&lt;=117000,0,$H$8-120000)</f>
        <v>0</v>
      </c>
      <c r="L551" s="26" t="s">
        <v>329</v>
      </c>
      <c r="M551" s="372">
        <f>IF(K551&lt;1,0,K551*0.25)</f>
        <v>0</v>
      </c>
      <c r="N551" s="26" t="s">
        <v>328</v>
      </c>
      <c r="O551" s="26"/>
      <c r="P551" s="6"/>
      <c r="Q551" s="6"/>
      <c r="R551" s="6"/>
      <c r="S551" s="6"/>
      <c r="T551" s="6"/>
      <c r="U551" s="6"/>
      <c r="V551" s="6"/>
      <c r="W551" s="6"/>
      <c r="X551" s="6"/>
      <c r="Y551" s="6"/>
      <c r="Z551" s="6"/>
      <c r="AA551" s="6"/>
      <c r="BF551" s="26"/>
      <c r="BG551" s="26"/>
      <c r="BH551" s="26"/>
      <c r="BI551" s="26"/>
      <c r="BJ551" s="26"/>
      <c r="BK551" s="26"/>
      <c r="BL551" s="26"/>
      <c r="BM551" s="26"/>
      <c r="BN551" s="26"/>
      <c r="BO551" s="26"/>
      <c r="BP551" s="26"/>
      <c r="BQ551" s="26"/>
      <c r="BR551" s="26"/>
      <c r="BS551" s="26"/>
      <c r="BT551" s="26"/>
      <c r="BU551" s="26"/>
      <c r="BV551" s="26"/>
      <c r="BW551" s="26"/>
      <c r="BX551" s="26"/>
      <c r="BY551" s="26"/>
      <c r="BZ551" s="26"/>
      <c r="CA551" s="26"/>
      <c r="CB551" s="26"/>
      <c r="CC551" s="26"/>
      <c r="CD551" s="26"/>
      <c r="CE551" s="26"/>
      <c r="CF551" s="26"/>
      <c r="CG551" s="26"/>
      <c r="CH551" s="26"/>
      <c r="CI551" s="26"/>
      <c r="CJ551" s="26"/>
      <c r="CK551" s="26"/>
      <c r="CL551" s="26"/>
      <c r="CM551" s="26"/>
      <c r="CN551" s="26"/>
      <c r="CO551" s="26"/>
    </row>
    <row r="552" spans="6:93" ht="13.5" hidden="1" customHeight="1" x14ac:dyDescent="0.25">
      <c r="F552" s="9">
        <v>1200</v>
      </c>
      <c r="H552" s="6"/>
      <c r="I552" s="6"/>
      <c r="J552" s="6"/>
      <c r="K552" s="6"/>
      <c r="L552" s="6"/>
      <c r="M552" s="6"/>
      <c r="N552" s="6"/>
      <c r="O552" s="6"/>
      <c r="P552" s="6"/>
      <c r="Q552" s="6"/>
      <c r="R552" s="6"/>
      <c r="S552" s="6"/>
      <c r="T552" s="6"/>
      <c r="U552" s="6"/>
      <c r="V552" s="6"/>
      <c r="W552" s="6"/>
      <c r="X552" s="6"/>
      <c r="Y552" s="6"/>
      <c r="Z552" s="6"/>
      <c r="AA552" s="6"/>
      <c r="BF552" s="26"/>
      <c r="BG552" s="26"/>
      <c r="BH552" s="26"/>
      <c r="BI552" s="26"/>
      <c r="BJ552" s="26"/>
      <c r="BK552" s="26"/>
      <c r="BL552" s="26"/>
      <c r="BM552" s="26"/>
      <c r="BN552" s="26"/>
      <c r="BO552" s="26"/>
      <c r="BP552" s="26"/>
      <c r="BQ552" s="26"/>
      <c r="BR552" s="26"/>
      <c r="BS552" s="26"/>
      <c r="BT552" s="26"/>
      <c r="BU552" s="26"/>
      <c r="BV552" s="26"/>
      <c r="BW552" s="26"/>
      <c r="BX552" s="26"/>
      <c r="BY552" s="26"/>
      <c r="BZ552" s="26"/>
      <c r="CA552" s="26"/>
      <c r="CB552" s="26"/>
      <c r="CC552" s="26"/>
      <c r="CD552" s="26"/>
      <c r="CE552" s="26"/>
      <c r="CF552" s="26"/>
      <c r="CG552" s="26"/>
      <c r="CH552" s="26"/>
      <c r="CI552" s="26"/>
      <c r="CJ552" s="26"/>
      <c r="CK552" s="26"/>
      <c r="CL552" s="26"/>
      <c r="CM552" s="26"/>
      <c r="CN552" s="26"/>
      <c r="CO552" s="26"/>
    </row>
    <row r="553" spans="6:93" ht="13.5" hidden="1" customHeight="1" x14ac:dyDescent="0.25">
      <c r="F553" s="9">
        <v>1500</v>
      </c>
      <c r="H553" s="6"/>
      <c r="I553" s="373">
        <f>$H$8</f>
        <v>0</v>
      </c>
      <c r="J553" s="460" t="s">
        <v>330</v>
      </c>
      <c r="K553" s="404"/>
      <c r="L553" s="404"/>
      <c r="M553" s="392"/>
      <c r="N553" s="374">
        <f>SUM(M549+M550+M551)</f>
        <v>0</v>
      </c>
      <c r="O553" s="6"/>
      <c r="P553" s="6"/>
      <c r="Q553" s="6"/>
      <c r="R553" s="6"/>
      <c r="S553" s="6"/>
      <c r="T553" s="6"/>
      <c r="U553" s="6"/>
      <c r="V553" s="6"/>
      <c r="W553" s="6"/>
      <c r="X553" s="6"/>
      <c r="Y553" s="6"/>
      <c r="Z553" s="6"/>
      <c r="AA553" s="6"/>
      <c r="BF553" s="26"/>
      <c r="BG553" s="26"/>
      <c r="BH553" s="26"/>
      <c r="BI553" s="26"/>
      <c r="BJ553" s="26"/>
      <c r="BK553" s="26"/>
      <c r="BL553" s="26"/>
      <c r="BM553" s="26"/>
      <c r="BN553" s="26"/>
      <c r="BO553" s="26"/>
      <c r="BP553" s="26"/>
      <c r="BQ553" s="26"/>
      <c r="BR553" s="26"/>
      <c r="BS553" s="26"/>
      <c r="BT553" s="26"/>
      <c r="BU553" s="26"/>
      <c r="BV553" s="26"/>
      <c r="BW553" s="26"/>
      <c r="BX553" s="26"/>
      <c r="BY553" s="26"/>
      <c r="BZ553" s="26"/>
      <c r="CA553" s="26"/>
      <c r="CB553" s="26"/>
      <c r="CC553" s="26"/>
      <c r="CD553" s="26"/>
      <c r="CE553" s="26"/>
      <c r="CF553" s="26"/>
      <c r="CG553" s="26"/>
      <c r="CH553" s="26"/>
      <c r="CI553" s="26"/>
      <c r="CJ553" s="26"/>
      <c r="CK553" s="26"/>
      <c r="CL553" s="26"/>
      <c r="CM553" s="26"/>
      <c r="CN553" s="26"/>
      <c r="CO553" s="26"/>
    </row>
    <row r="554" spans="6:93" ht="13.5" hidden="1" customHeight="1" x14ac:dyDescent="0.25">
      <c r="F554" s="9">
        <v>2000</v>
      </c>
      <c r="H554" s="6"/>
      <c r="I554" s="373" t="e">
        <f>$L$507</f>
        <v>#REF!</v>
      </c>
      <c r="J554" s="227"/>
      <c r="K554" s="227"/>
      <c r="L554" s="227"/>
      <c r="M554" s="227"/>
      <c r="N554" s="375" t="e">
        <f>IF($L$14&gt;$L$15,$L$14,$L$15)</f>
        <v>#REF!</v>
      </c>
      <c r="O554" s="6"/>
      <c r="P554" s="6"/>
      <c r="Q554" s="6"/>
      <c r="R554" s="6"/>
      <c r="S554" s="6"/>
      <c r="T554" s="6"/>
      <c r="U554" s="6"/>
      <c r="V554" s="6"/>
      <c r="W554" s="6"/>
      <c r="X554" s="6"/>
      <c r="Y554" s="6"/>
      <c r="Z554" s="6"/>
      <c r="AA554" s="6"/>
      <c r="BF554" s="26"/>
      <c r="BG554" s="26"/>
      <c r="BH554" s="26"/>
      <c r="BI554" s="26"/>
      <c r="BJ554" s="26"/>
      <c r="BK554" s="26"/>
      <c r="BL554" s="26"/>
      <c r="BM554" s="26"/>
      <c r="BN554" s="26"/>
      <c r="BO554" s="26"/>
      <c r="BP554" s="26"/>
      <c r="BQ554" s="26"/>
      <c r="BR554" s="26"/>
      <c r="BS554" s="26"/>
      <c r="BT554" s="26"/>
      <c r="BU554" s="26"/>
      <c r="BV554" s="26"/>
      <c r="BW554" s="26"/>
      <c r="BX554" s="26"/>
      <c r="BY554" s="26"/>
      <c r="BZ554" s="26"/>
      <c r="CA554" s="26"/>
      <c r="CB554" s="26"/>
      <c r="CC554" s="26"/>
      <c r="CD554" s="26"/>
      <c r="CE554" s="26"/>
      <c r="CF554" s="26"/>
      <c r="CG554" s="26"/>
      <c r="CH554" s="26"/>
      <c r="CI554" s="26"/>
      <c r="CJ554" s="26"/>
      <c r="CK554" s="26"/>
      <c r="CL554" s="26"/>
      <c r="CM554" s="26"/>
      <c r="CN554" s="26"/>
      <c r="CO554" s="26"/>
    </row>
    <row r="555" spans="6:93" ht="13.5" hidden="1" customHeight="1" x14ac:dyDescent="0.25">
      <c r="F555" s="9" t="s">
        <v>331</v>
      </c>
      <c r="H555" s="6"/>
      <c r="I555" s="373">
        <f>$M$39</f>
        <v>0</v>
      </c>
      <c r="J555" s="129"/>
      <c r="K555" s="460" t="s">
        <v>332</v>
      </c>
      <c r="L555" s="404"/>
      <c r="M555" s="406"/>
      <c r="N555" s="376">
        <f>IF(SUM($E$21:$E$28)&gt;=4,$N$40,$M$39)</f>
        <v>0</v>
      </c>
      <c r="O555" s="377">
        <f>IF(SUM($E$20+$E$21+$E$22+$E$23+$E$24+$E$25+$E$26+$E$27+$E$28+$E$32+$E$33+$E$34)&gt;=4,SUM($H$20+$H$21+$H$22+$H$23+$H$24+$H$25+$H$26+$H$27+$H$28+$H$29+$H$30+$H$31+$H$32+$H$33+$H$34+$E$199+$E$200)*0.75+$H$35+$H$36+$H$37+$F$199+$F$200,0)</f>
        <v>0</v>
      </c>
      <c r="P555" s="6"/>
      <c r="Q555" s="6"/>
      <c r="R555" s="6"/>
      <c r="S555" s="6"/>
      <c r="T555" s="6"/>
      <c r="U555" s="6"/>
      <c r="V555" s="6"/>
      <c r="W555" s="6"/>
      <c r="X555" s="6"/>
      <c r="Y555" s="6"/>
      <c r="Z555" s="6"/>
      <c r="AA555" s="6"/>
      <c r="BF555" s="26"/>
      <c r="BG555" s="26"/>
      <c r="BH555" s="26"/>
      <c r="BI555" s="26"/>
      <c r="BJ555" s="26"/>
      <c r="BK555" s="26"/>
      <c r="BL555" s="26"/>
      <c r="BM555" s="26"/>
      <c r="BN555" s="26"/>
      <c r="BO555" s="26"/>
      <c r="BP555" s="26"/>
      <c r="BQ555" s="26"/>
      <c r="BR555" s="26"/>
      <c r="BS555" s="26"/>
      <c r="BT555" s="26"/>
      <c r="BU555" s="26"/>
      <c r="BV555" s="26"/>
      <c r="BW555" s="26"/>
      <c r="BX555" s="26"/>
      <c r="BY555" s="26"/>
      <c r="BZ555" s="26"/>
      <c r="CA555" s="26"/>
      <c r="CB555" s="26"/>
      <c r="CC555" s="26"/>
      <c r="CD555" s="26"/>
      <c r="CE555" s="26"/>
      <c r="CF555" s="26"/>
      <c r="CG555" s="26"/>
      <c r="CH555" s="26"/>
      <c r="CI555" s="26"/>
      <c r="CJ555" s="26"/>
      <c r="CK555" s="26"/>
      <c r="CL555" s="26"/>
      <c r="CM555" s="26"/>
      <c r="CN555" s="26"/>
      <c r="CO555" s="26"/>
    </row>
    <row r="556" spans="6:93" ht="13.5" hidden="1" customHeight="1" x14ac:dyDescent="0.25">
      <c r="H556" s="6"/>
      <c r="I556" s="373">
        <f>$H$42</f>
        <v>0</v>
      </c>
      <c r="J556" s="227"/>
      <c r="K556" s="106" t="s">
        <v>316</v>
      </c>
      <c r="L556" s="227"/>
      <c r="M556" s="227"/>
      <c r="N556" s="373">
        <f>$H$42</f>
        <v>0</v>
      </c>
      <c r="O556" s="6"/>
      <c r="P556" s="6"/>
      <c r="Q556" s="6"/>
      <c r="R556" s="6"/>
      <c r="S556" s="6"/>
      <c r="T556" s="6"/>
      <c r="U556" s="6"/>
      <c r="V556" s="6"/>
      <c r="W556" s="6"/>
      <c r="X556" s="6"/>
      <c r="Y556" s="6"/>
      <c r="Z556" s="6"/>
      <c r="AA556" s="6"/>
      <c r="BF556" s="26"/>
      <c r="BG556" s="26"/>
      <c r="BH556" s="26"/>
      <c r="BI556" s="26"/>
      <c r="BJ556" s="26"/>
      <c r="BK556" s="26"/>
      <c r="BL556" s="26"/>
      <c r="BM556" s="26"/>
      <c r="BN556" s="26"/>
      <c r="BO556" s="26"/>
      <c r="BP556" s="26"/>
      <c r="BQ556" s="26"/>
      <c r="BR556" s="26"/>
      <c r="BS556" s="26"/>
      <c r="BT556" s="26"/>
      <c r="BU556" s="26"/>
      <c r="BV556" s="26"/>
      <c r="BW556" s="26"/>
      <c r="BX556" s="26"/>
      <c r="BY556" s="26"/>
      <c r="BZ556" s="26"/>
      <c r="CA556" s="26"/>
      <c r="CB556" s="26"/>
      <c r="CC556" s="26"/>
      <c r="CD556" s="26"/>
      <c r="CE556" s="26"/>
      <c r="CF556" s="26"/>
      <c r="CG556" s="26"/>
      <c r="CH556" s="26"/>
      <c r="CI556" s="26"/>
      <c r="CJ556" s="26"/>
      <c r="CK556" s="26"/>
      <c r="CL556" s="26"/>
      <c r="CM556" s="26"/>
      <c r="CN556" s="26"/>
      <c r="CO556" s="26"/>
    </row>
    <row r="557" spans="6:93" ht="13.5" hidden="1" customHeight="1" x14ac:dyDescent="0.25">
      <c r="H557" s="6"/>
      <c r="I557" s="378">
        <f>SUM($L$497:$L$501)</f>
        <v>0</v>
      </c>
      <c r="J557" s="227"/>
      <c r="K557" s="100" t="s">
        <v>82</v>
      </c>
      <c r="L557" s="129"/>
      <c r="M557" s="129"/>
      <c r="N557" s="378">
        <f>IF(N561=" ",8000,N561)</f>
        <v>0</v>
      </c>
      <c r="O557" s="6"/>
      <c r="P557" s="6"/>
      <c r="Q557" s="6"/>
      <c r="R557" s="6"/>
      <c r="S557" s="6"/>
      <c r="T557" s="6"/>
      <c r="U557" s="6"/>
      <c r="V557" s="6"/>
      <c r="W557" s="6"/>
      <c r="X557" s="6"/>
      <c r="Y557" s="6"/>
      <c r="Z557" s="6"/>
      <c r="AA557" s="6"/>
      <c r="BF557" s="26"/>
      <c r="BG557" s="26"/>
      <c r="BH557" s="26"/>
      <c r="BI557" s="26"/>
      <c r="BJ557" s="26"/>
      <c r="BK557" s="26"/>
      <c r="BL557" s="26"/>
      <c r="BM557" s="26"/>
      <c r="BN557" s="26"/>
      <c r="BO557" s="26"/>
      <c r="BP557" s="26"/>
      <c r="BQ557" s="26"/>
      <c r="BR557" s="26"/>
      <c r="BS557" s="26"/>
      <c r="BT557" s="26"/>
      <c r="BU557" s="26"/>
      <c r="BV557" s="26"/>
      <c r="BW557" s="26"/>
      <c r="BX557" s="26"/>
      <c r="BY557" s="26"/>
      <c r="BZ557" s="26"/>
      <c r="CA557" s="26"/>
      <c r="CB557" s="26"/>
      <c r="CC557" s="26"/>
      <c r="CD557" s="26"/>
      <c r="CE557" s="26"/>
      <c r="CF557" s="26"/>
      <c r="CG557" s="26"/>
      <c r="CH557" s="26"/>
      <c r="CI557" s="26"/>
      <c r="CJ557" s="26"/>
      <c r="CK557" s="26"/>
      <c r="CL557" s="26"/>
      <c r="CM557" s="26"/>
      <c r="CN557" s="26"/>
      <c r="CO557" s="26"/>
    </row>
    <row r="558" spans="6:93" ht="13.5" hidden="1" customHeight="1" x14ac:dyDescent="0.25">
      <c r="H558" s="6"/>
      <c r="I558" s="6"/>
      <c r="J558" s="6"/>
      <c r="K558" s="6"/>
      <c r="L558" s="6"/>
      <c r="M558" s="6"/>
      <c r="N558" s="6"/>
      <c r="O558" s="6"/>
      <c r="P558" s="6"/>
      <c r="Q558" s="6"/>
      <c r="R558" s="6"/>
      <c r="S558" s="6"/>
      <c r="T558" s="6"/>
      <c r="U558" s="6"/>
      <c r="V558" s="6"/>
      <c r="W558" s="6"/>
      <c r="X558" s="6"/>
      <c r="Y558" s="6"/>
      <c r="Z558" s="6"/>
      <c r="AA558" s="6"/>
      <c r="BF558" s="26"/>
      <c r="BG558" s="26"/>
      <c r="BH558" s="26"/>
      <c r="BI558" s="26"/>
      <c r="BJ558" s="26"/>
      <c r="BK558" s="26"/>
      <c r="BL558" s="26"/>
      <c r="BM558" s="26"/>
      <c r="BN558" s="26"/>
      <c r="BO558" s="26"/>
      <c r="BP558" s="26"/>
      <c r="BQ558" s="26"/>
      <c r="BR558" s="26"/>
      <c r="BS558" s="26"/>
      <c r="BT558" s="26"/>
      <c r="BU558" s="26"/>
      <c r="BV558" s="26"/>
      <c r="BW558" s="26"/>
      <c r="BX558" s="26"/>
      <c r="BY558" s="26"/>
      <c r="BZ558" s="26"/>
      <c r="CA558" s="26"/>
      <c r="CB558" s="26"/>
      <c r="CC558" s="26"/>
      <c r="CD558" s="26"/>
      <c r="CE558" s="26"/>
      <c r="CF558" s="26"/>
      <c r="CG558" s="26"/>
      <c r="CH558" s="26"/>
      <c r="CI558" s="26"/>
      <c r="CJ558" s="26"/>
      <c r="CK558" s="26"/>
      <c r="CL558" s="26"/>
      <c r="CM558" s="26"/>
      <c r="CN558" s="26"/>
      <c r="CO558" s="26"/>
    </row>
    <row r="559" spans="6:93" ht="13.5" hidden="1" customHeight="1" x14ac:dyDescent="0.25">
      <c r="K559" s="20" t="s">
        <v>333</v>
      </c>
      <c r="L559" s="18">
        <f>M464</f>
        <v>0</v>
      </c>
      <c r="N559" s="379">
        <f>IF(E121,L560,N561)</f>
        <v>0</v>
      </c>
      <c r="O559" s="6"/>
      <c r="P559" s="6"/>
      <c r="Q559" s="6"/>
      <c r="R559" s="6"/>
      <c r="S559" s="6"/>
      <c r="T559" s="6"/>
      <c r="U559" s="6"/>
      <c r="V559" s="6"/>
      <c r="W559" s="6"/>
      <c r="X559" s="6"/>
      <c r="Y559" s="6"/>
      <c r="Z559" s="6"/>
      <c r="AA559" s="6"/>
      <c r="BF559" s="26"/>
      <c r="BG559" s="26"/>
      <c r="BH559" s="26"/>
      <c r="BI559" s="26"/>
      <c r="BJ559" s="26"/>
      <c r="BK559" s="26"/>
      <c r="BL559" s="26"/>
      <c r="BM559" s="26"/>
      <c r="BN559" s="26"/>
      <c r="BO559" s="26"/>
      <c r="BP559" s="26"/>
      <c r="BQ559" s="26"/>
      <c r="BR559" s="26"/>
      <c r="BS559" s="26"/>
      <c r="BT559" s="26"/>
      <c r="BU559" s="26"/>
      <c r="BV559" s="26"/>
      <c r="BW559" s="26"/>
      <c r="BX559" s="26"/>
      <c r="BY559" s="26"/>
      <c r="BZ559" s="26"/>
      <c r="CA559" s="26"/>
      <c r="CB559" s="26"/>
      <c r="CC559" s="26"/>
      <c r="CD559" s="26"/>
      <c r="CE559" s="26"/>
      <c r="CF559" s="26"/>
      <c r="CG559" s="26"/>
      <c r="CH559" s="26"/>
      <c r="CI559" s="26"/>
      <c r="CJ559" s="26"/>
      <c r="CK559" s="26"/>
      <c r="CL559" s="26"/>
      <c r="CM559" s="26"/>
      <c r="CN559" s="26"/>
      <c r="CO559" s="26"/>
    </row>
    <row r="560" spans="6:93" ht="12.75" hidden="1" customHeight="1" x14ac:dyDescent="0.25">
      <c r="K560" s="20" t="s">
        <v>334</v>
      </c>
      <c r="L560" s="18">
        <f>IF(I50&gt;0,I557*N440,L559)</f>
        <v>0</v>
      </c>
      <c r="M560" s="366">
        <f>IF(M561,I557,N561)</f>
        <v>0</v>
      </c>
      <c r="O560" s="6"/>
      <c r="P560" s="6"/>
      <c r="Q560" s="6"/>
      <c r="R560" s="6"/>
      <c r="S560" s="6"/>
      <c r="T560" s="6"/>
      <c r="U560" s="6"/>
      <c r="V560" s="6"/>
      <c r="W560" s="6"/>
      <c r="X560" s="6"/>
      <c r="Y560" s="6"/>
      <c r="Z560" s="6"/>
      <c r="AA560" s="6"/>
      <c r="BF560" s="26"/>
      <c r="BG560" s="26"/>
      <c r="BH560" s="26"/>
      <c r="BI560" s="26"/>
      <c r="BJ560" s="26"/>
      <c r="BK560" s="26"/>
      <c r="BL560" s="26"/>
      <c r="BM560" s="26"/>
      <c r="BN560" s="26"/>
      <c r="BO560" s="26"/>
      <c r="BP560" s="26"/>
      <c r="BQ560" s="26"/>
      <c r="BR560" s="26"/>
      <c r="BS560" s="26"/>
      <c r="BT560" s="26"/>
      <c r="BU560" s="26"/>
      <c r="BV560" s="26"/>
      <c r="BW560" s="26"/>
      <c r="BX560" s="26"/>
      <c r="BY560" s="26"/>
      <c r="BZ560" s="26"/>
      <c r="CA560" s="26"/>
      <c r="CB560" s="26"/>
      <c r="CC560" s="26"/>
      <c r="CD560" s="26"/>
      <c r="CE560" s="26"/>
      <c r="CF560" s="26"/>
      <c r="CG560" s="26"/>
      <c r="CH560" s="26"/>
      <c r="CI560" s="26"/>
      <c r="CJ560" s="26"/>
      <c r="CK560" s="26"/>
      <c r="CL560" s="26"/>
      <c r="CM560" s="26"/>
      <c r="CN560" s="26"/>
      <c r="CO560" s="26"/>
    </row>
    <row r="561" spans="3:93" ht="13.5" hidden="1" customHeight="1" x14ac:dyDescent="0.25">
      <c r="I561" s="25"/>
      <c r="M561" s="9" t="b">
        <f>AND(N561=" ",E121,I557)</f>
        <v>0</v>
      </c>
      <c r="N561" s="378">
        <f>IF($J$44&gt;$K$51,$J$44,$K$51)</f>
        <v>0</v>
      </c>
      <c r="O561" s="6"/>
      <c r="P561" s="6"/>
      <c r="Q561" s="6"/>
      <c r="R561" s="6"/>
      <c r="S561" s="6"/>
      <c r="T561" s="6"/>
      <c r="U561" s="6"/>
      <c r="V561" s="6"/>
      <c r="W561" s="6"/>
      <c r="X561" s="6"/>
      <c r="Y561" s="6"/>
      <c r="Z561" s="6"/>
      <c r="AA561" s="6"/>
      <c r="AB561" s="6"/>
      <c r="AC561" s="6"/>
      <c r="AD561" s="6"/>
      <c r="AE561" s="6"/>
      <c r="AF561" s="6"/>
      <c r="AG561" s="6"/>
      <c r="AH561" s="6"/>
      <c r="AI561" s="6"/>
      <c r="AJ561" s="6"/>
      <c r="AK561" s="6"/>
      <c r="AL561" s="6"/>
      <c r="AM561" s="6"/>
      <c r="AN561" s="6"/>
      <c r="AO561" s="6"/>
      <c r="AP561" s="6"/>
      <c r="AQ561" s="6"/>
      <c r="AR561" s="6"/>
      <c r="AS561" s="6"/>
      <c r="AT561" s="6"/>
      <c r="AU561" s="6"/>
      <c r="AV561" s="6"/>
      <c r="AW561" s="6"/>
      <c r="AX561" s="6"/>
      <c r="AY561" s="6"/>
      <c r="AZ561" s="6"/>
      <c r="BA561" s="6"/>
      <c r="BB561" s="6"/>
      <c r="BC561" s="6"/>
      <c r="BD561" s="6"/>
      <c r="BE561" s="6"/>
      <c r="BF561" s="26"/>
      <c r="BG561" s="26"/>
      <c r="BH561" s="26"/>
      <c r="BI561" s="26"/>
      <c r="BJ561" s="26"/>
      <c r="BK561" s="26"/>
      <c r="BL561" s="26"/>
      <c r="BM561" s="26"/>
      <c r="BN561" s="26"/>
      <c r="BO561" s="26"/>
      <c r="BP561" s="26"/>
      <c r="BQ561" s="26"/>
      <c r="BR561" s="26"/>
      <c r="BS561" s="26"/>
      <c r="BT561" s="26"/>
      <c r="BU561" s="26"/>
      <c r="BV561" s="26"/>
      <c r="BW561" s="26"/>
      <c r="BX561" s="26"/>
      <c r="BY561" s="26"/>
      <c r="BZ561" s="26"/>
      <c r="CA561" s="26"/>
      <c r="CB561" s="26"/>
      <c r="CC561" s="26"/>
      <c r="CD561" s="26"/>
      <c r="CE561" s="26"/>
      <c r="CF561" s="26"/>
      <c r="CG561" s="26"/>
      <c r="CH561" s="26"/>
      <c r="CI561" s="26"/>
      <c r="CJ561" s="26"/>
      <c r="CK561" s="26"/>
      <c r="CL561" s="26"/>
      <c r="CM561" s="26"/>
      <c r="CN561" s="26"/>
      <c r="CO561" s="26"/>
    </row>
    <row r="562" spans="3:93" ht="12.75" hidden="1" customHeight="1" x14ac:dyDescent="0.25">
      <c r="Q562" s="6"/>
      <c r="R562" s="6"/>
      <c r="S562" s="6"/>
      <c r="T562" s="6"/>
      <c r="U562" s="6"/>
      <c r="V562" s="6"/>
      <c r="W562" s="6"/>
      <c r="X562" s="6"/>
      <c r="Y562" s="6"/>
      <c r="Z562" s="6"/>
      <c r="AA562" s="6"/>
      <c r="AB562" s="6"/>
      <c r="AC562" s="6"/>
      <c r="AD562" s="6"/>
      <c r="AE562" s="6"/>
      <c r="AF562" s="6"/>
      <c r="AG562" s="6"/>
      <c r="AH562" s="6"/>
      <c r="AI562" s="6"/>
      <c r="AJ562" s="6"/>
      <c r="AK562" s="6"/>
      <c r="AL562" s="6"/>
      <c r="AM562" s="6"/>
      <c r="AN562" s="6"/>
      <c r="AO562" s="6"/>
      <c r="AP562" s="6"/>
      <c r="AQ562" s="6"/>
      <c r="AR562" s="6"/>
      <c r="AS562" s="6"/>
      <c r="AT562" s="6"/>
      <c r="AU562" s="6"/>
      <c r="AV562" s="6"/>
      <c r="AW562" s="6"/>
      <c r="AX562" s="6"/>
      <c r="AY562" s="6"/>
      <c r="AZ562" s="6"/>
      <c r="BA562" s="6"/>
      <c r="BB562" s="6"/>
      <c r="BC562" s="6"/>
      <c r="BD562" s="6"/>
      <c r="BE562" s="6"/>
      <c r="BF562" s="26"/>
      <c r="BG562" s="26"/>
      <c r="BH562" s="26"/>
      <c r="BI562" s="26"/>
      <c r="BJ562" s="26"/>
      <c r="BK562" s="26"/>
      <c r="BL562" s="26"/>
      <c r="BM562" s="26"/>
      <c r="BN562" s="26"/>
      <c r="BO562" s="26"/>
      <c r="BP562" s="26"/>
      <c r="BQ562" s="26"/>
      <c r="BR562" s="26"/>
      <c r="BS562" s="26"/>
      <c r="BT562" s="26"/>
      <c r="BU562" s="26"/>
      <c r="BV562" s="26"/>
      <c r="BW562" s="26"/>
      <c r="BX562" s="26"/>
      <c r="BY562" s="26"/>
      <c r="BZ562" s="26"/>
      <c r="CA562" s="26"/>
      <c r="CB562" s="26"/>
      <c r="CC562" s="26"/>
      <c r="CD562" s="26"/>
      <c r="CE562" s="26"/>
      <c r="CF562" s="26"/>
      <c r="CG562" s="26"/>
      <c r="CH562" s="26"/>
      <c r="CI562" s="26"/>
      <c r="CJ562" s="26"/>
      <c r="CK562" s="26"/>
      <c r="CL562" s="26"/>
      <c r="CM562" s="26"/>
      <c r="CN562" s="26"/>
      <c r="CO562" s="26"/>
    </row>
    <row r="563" spans="3:93" ht="12.75" hidden="1" customHeight="1" x14ac:dyDescent="0.25">
      <c r="Q563" s="6"/>
      <c r="R563" s="6"/>
      <c r="S563" s="6"/>
      <c r="T563" s="6"/>
      <c r="U563" s="6"/>
      <c r="V563" s="6" t="s">
        <v>335</v>
      </c>
      <c r="W563" s="6"/>
      <c r="X563" s="6"/>
      <c r="Y563" s="6"/>
      <c r="Z563" s="6"/>
      <c r="AA563" s="6"/>
      <c r="AB563" s="6"/>
      <c r="AC563" s="6"/>
      <c r="AD563" s="6"/>
      <c r="AE563" s="6"/>
      <c r="AF563" s="6"/>
      <c r="AG563" s="6"/>
      <c r="AH563" s="6"/>
      <c r="AI563" s="6"/>
      <c r="AJ563" s="6"/>
      <c r="AK563" s="6"/>
      <c r="AL563" s="6"/>
      <c r="AM563" s="6"/>
      <c r="AN563" s="6"/>
      <c r="AO563" s="6"/>
      <c r="AP563" s="6"/>
      <c r="AQ563" s="6"/>
      <c r="AR563" s="6"/>
      <c r="AS563" s="6"/>
      <c r="AT563" s="6"/>
      <c r="AU563" s="6"/>
      <c r="AV563" s="6"/>
      <c r="AW563" s="6"/>
      <c r="AX563" s="6"/>
      <c r="AY563" s="6"/>
      <c r="AZ563" s="6"/>
      <c r="BA563" s="6"/>
      <c r="BB563" s="6"/>
      <c r="BC563" s="6"/>
      <c r="BD563" s="6"/>
      <c r="BE563" s="6"/>
      <c r="BF563" s="26"/>
      <c r="BG563" s="26"/>
      <c r="BH563" s="26"/>
      <c r="BI563" s="26"/>
      <c r="BJ563" s="26"/>
      <c r="BK563" s="26"/>
      <c r="BL563" s="26"/>
      <c r="BM563" s="26"/>
      <c r="BN563" s="26"/>
      <c r="BO563" s="26"/>
      <c r="BP563" s="26"/>
      <c r="BQ563" s="26"/>
      <c r="BR563" s="26"/>
      <c r="BS563" s="26"/>
      <c r="BT563" s="26"/>
      <c r="BU563" s="26"/>
      <c r="BV563" s="26"/>
      <c r="BW563" s="26"/>
      <c r="BX563" s="26"/>
      <c r="BY563" s="26"/>
      <c r="BZ563" s="26"/>
      <c r="CA563" s="26"/>
      <c r="CB563" s="26"/>
      <c r="CC563" s="26"/>
      <c r="CD563" s="26"/>
      <c r="CE563" s="26"/>
      <c r="CF563" s="26"/>
      <c r="CG563" s="26"/>
      <c r="CH563" s="26"/>
      <c r="CI563" s="26"/>
      <c r="CJ563" s="26"/>
      <c r="CK563" s="26"/>
      <c r="CL563" s="26"/>
      <c r="CM563" s="26"/>
      <c r="CN563" s="26"/>
      <c r="CO563" s="26"/>
    </row>
    <row r="564" spans="3:93" ht="12.75" hidden="1" customHeight="1" x14ac:dyDescent="0.25">
      <c r="Q564" s="6"/>
      <c r="R564" s="6"/>
      <c r="S564" s="6"/>
      <c r="T564" s="6"/>
      <c r="U564" s="6"/>
      <c r="V564" s="6" t="s">
        <v>266</v>
      </c>
      <c r="W564" s="6" t="s">
        <v>267</v>
      </c>
      <c r="X564" s="6"/>
      <c r="Y564" s="6"/>
      <c r="Z564" s="6"/>
      <c r="AA564" s="6"/>
      <c r="AB564" s="6"/>
      <c r="AC564" s="6"/>
      <c r="AD564" s="6"/>
      <c r="AE564" s="6"/>
      <c r="AF564" s="6"/>
      <c r="AG564" s="6"/>
      <c r="AH564" s="6"/>
      <c r="AI564" s="6"/>
      <c r="AJ564" s="6"/>
      <c r="AK564" s="6"/>
      <c r="AL564" s="6"/>
      <c r="AM564" s="6"/>
      <c r="AN564" s="6"/>
      <c r="AO564" s="6"/>
      <c r="AP564" s="6"/>
      <c r="AQ564" s="6"/>
      <c r="AR564" s="6"/>
      <c r="AS564" s="6"/>
      <c r="AT564" s="6"/>
      <c r="AU564" s="6"/>
      <c r="AV564" s="6"/>
      <c r="AW564" s="6"/>
      <c r="AX564" s="6"/>
      <c r="AY564" s="6"/>
      <c r="AZ564" s="6"/>
      <c r="BA564" s="6"/>
      <c r="BB564" s="6"/>
      <c r="BC564" s="6"/>
      <c r="BD564" s="6"/>
      <c r="BE564" s="6"/>
      <c r="BF564" s="26"/>
      <c r="BG564" s="26"/>
      <c r="BH564" s="26"/>
      <c r="BI564" s="26"/>
      <c r="BJ564" s="26"/>
      <c r="BK564" s="26"/>
      <c r="BL564" s="26"/>
      <c r="BM564" s="26"/>
      <c r="BN564" s="26"/>
      <c r="BO564" s="26"/>
      <c r="BP564" s="26"/>
      <c r="BQ564" s="26"/>
      <c r="BR564" s="26"/>
      <c r="BS564" s="26"/>
      <c r="BT564" s="26"/>
      <c r="BU564" s="26"/>
      <c r="BV564" s="26"/>
      <c r="BW564" s="26"/>
      <c r="BX564" s="26"/>
      <c r="BY564" s="26"/>
      <c r="BZ564" s="26"/>
      <c r="CA564" s="26"/>
      <c r="CB564" s="26"/>
      <c r="CC564" s="26"/>
      <c r="CD564" s="26"/>
      <c r="CE564" s="26"/>
      <c r="CF564" s="26"/>
      <c r="CG564" s="26"/>
      <c r="CH564" s="26"/>
      <c r="CI564" s="26"/>
      <c r="CJ564" s="26"/>
      <c r="CK564" s="26"/>
      <c r="CL564" s="26"/>
      <c r="CM564" s="26"/>
      <c r="CN564" s="26"/>
      <c r="CO564" s="26"/>
    </row>
    <row r="565" spans="3:93" ht="12.75" hidden="1" customHeight="1" x14ac:dyDescent="0.25">
      <c r="Q565" s="6"/>
      <c r="R565" s="6"/>
      <c r="S565" s="6"/>
      <c r="T565" s="6"/>
      <c r="U565" s="6"/>
      <c r="V565" s="6"/>
      <c r="W565" s="6"/>
      <c r="X565" s="6"/>
      <c r="Y565" s="6"/>
      <c r="Z565" s="6"/>
      <c r="AA565" s="6"/>
      <c r="AB565" s="6"/>
      <c r="AC565" s="6"/>
      <c r="AD565" s="6"/>
      <c r="AE565" s="6"/>
      <c r="AF565" s="6"/>
      <c r="AG565" s="6"/>
      <c r="AH565" s="6"/>
      <c r="AI565" s="6"/>
      <c r="AJ565" s="6"/>
      <c r="AK565" s="6"/>
      <c r="AL565" s="6"/>
      <c r="AM565" s="6"/>
      <c r="AN565" s="6"/>
      <c r="AO565" s="6"/>
      <c r="AP565" s="6"/>
      <c r="AQ565" s="6"/>
      <c r="AR565" s="6"/>
      <c r="AS565" s="6"/>
      <c r="AT565" s="6"/>
      <c r="AU565" s="6"/>
      <c r="AV565" s="6"/>
      <c r="AW565" s="6"/>
      <c r="AX565" s="6"/>
      <c r="AY565" s="6"/>
      <c r="AZ565" s="6"/>
      <c r="BA565" s="6"/>
      <c r="BB565" s="6"/>
      <c r="BC565" s="6"/>
      <c r="BD565" s="6"/>
      <c r="BE565" s="6"/>
      <c r="BF565" s="26"/>
      <c r="BG565" s="26"/>
      <c r="BH565" s="26"/>
      <c r="BI565" s="26"/>
      <c r="BJ565" s="26"/>
      <c r="BK565" s="26"/>
      <c r="BL565" s="26"/>
      <c r="BM565" s="26"/>
      <c r="BN565" s="26"/>
      <c r="BO565" s="26"/>
      <c r="BP565" s="26"/>
      <c r="BQ565" s="26"/>
      <c r="BR565" s="26"/>
      <c r="BS565" s="26"/>
      <c r="BT565" s="26"/>
      <c r="BU565" s="26"/>
      <c r="BV565" s="26"/>
      <c r="BW565" s="26"/>
      <c r="BX565" s="26"/>
      <c r="BY565" s="26"/>
      <c r="BZ565" s="26"/>
      <c r="CA565" s="26"/>
      <c r="CB565" s="26"/>
      <c r="CC565" s="26"/>
      <c r="CD565" s="26"/>
      <c r="CE565" s="26"/>
      <c r="CF565" s="26"/>
      <c r="CG565" s="26"/>
      <c r="CH565" s="26"/>
      <c r="CI565" s="26"/>
      <c r="CJ565" s="26"/>
      <c r="CK565" s="26"/>
      <c r="CL565" s="26"/>
      <c r="CM565" s="26"/>
      <c r="CN565" s="26"/>
      <c r="CO565" s="26"/>
    </row>
    <row r="566" spans="3:93" ht="12.75" hidden="1" customHeight="1" x14ac:dyDescent="0.25">
      <c r="G566" s="380">
        <v>1</v>
      </c>
      <c r="H566" s="381" t="s">
        <v>336</v>
      </c>
      <c r="I566" s="381"/>
      <c r="J566" s="380"/>
      <c r="K566" s="380"/>
      <c r="M566" s="9" t="s">
        <v>176</v>
      </c>
      <c r="N566" s="6">
        <f t="shared" ref="N566:N570" si="107">IF(R147,I584,0)</f>
        <v>0</v>
      </c>
      <c r="P566" s="9" t="s">
        <v>111</v>
      </c>
      <c r="Q566" s="6"/>
      <c r="R566" s="6" t="s">
        <v>337</v>
      </c>
      <c r="S566" s="6"/>
      <c r="T566" s="6"/>
      <c r="U566" s="6" t="s">
        <v>111</v>
      </c>
      <c r="V566" s="6">
        <f>IF($R147,I584,I584/2)</f>
        <v>0</v>
      </c>
      <c r="W566" s="6">
        <f>IF($R147,0,I584/2)</f>
        <v>0</v>
      </c>
      <c r="X566" s="6"/>
      <c r="Y566" s="6"/>
      <c r="Z566" s="6">
        <f t="shared" ref="Z566:Z570" si="108">IF(SUM(V566:W566)=$I$590,1,0)</f>
        <v>1</v>
      </c>
      <c r="AA566" s="6"/>
      <c r="AB566" s="6">
        <f t="shared" ref="AB566:AB570" si="109">IF(Z566=0,V566,V566*1.25)</f>
        <v>0</v>
      </c>
      <c r="AC566" s="6">
        <f t="shared" ref="AC566:AC570" si="110">IF(Z566=1,W566*1.25,W566)</f>
        <v>0</v>
      </c>
      <c r="AD566" s="6"/>
      <c r="AE566" s="6"/>
      <c r="AF566" s="6"/>
      <c r="AG566" s="6"/>
      <c r="AH566" s="6"/>
      <c r="AI566" s="6"/>
      <c r="AJ566" s="6"/>
      <c r="AK566" s="6"/>
      <c r="AL566" s="6"/>
      <c r="AM566" s="6"/>
      <c r="AN566" s="6"/>
      <c r="AO566" s="6"/>
      <c r="AP566" s="6"/>
      <c r="AQ566" s="6"/>
      <c r="AR566" s="6"/>
      <c r="AS566" s="6"/>
      <c r="AT566" s="6"/>
      <c r="AU566" s="6"/>
      <c r="AV566" s="6"/>
      <c r="AW566" s="6"/>
      <c r="AX566" s="6"/>
      <c r="AY566" s="6"/>
      <c r="AZ566" s="6"/>
      <c r="BA566" s="6"/>
      <c r="BB566" s="6"/>
      <c r="BC566" s="6"/>
      <c r="BD566" s="6"/>
      <c r="BE566" s="6"/>
      <c r="BF566" s="26"/>
      <c r="BG566" s="26"/>
      <c r="BH566" s="26"/>
      <c r="BI566" s="26"/>
      <c r="BJ566" s="26"/>
      <c r="BK566" s="26"/>
      <c r="BL566" s="26"/>
      <c r="BM566" s="26"/>
      <c r="BN566" s="26"/>
      <c r="BO566" s="26"/>
      <c r="BP566" s="26"/>
      <c r="BQ566" s="26"/>
      <c r="BR566" s="26"/>
      <c r="BS566" s="26"/>
      <c r="BT566" s="26"/>
      <c r="BU566" s="26"/>
      <c r="BV566" s="26"/>
      <c r="BW566" s="26"/>
      <c r="BX566" s="26"/>
      <c r="BY566" s="26"/>
      <c r="BZ566" s="26"/>
      <c r="CA566" s="26"/>
      <c r="CB566" s="26"/>
      <c r="CC566" s="26"/>
      <c r="CD566" s="26"/>
      <c r="CE566" s="26"/>
      <c r="CF566" s="26"/>
      <c r="CG566" s="26"/>
      <c r="CH566" s="26"/>
      <c r="CI566" s="26"/>
      <c r="CJ566" s="26"/>
      <c r="CK566" s="26"/>
      <c r="CL566" s="26"/>
      <c r="CM566" s="26"/>
      <c r="CN566" s="26"/>
      <c r="CO566" s="26"/>
    </row>
    <row r="567" spans="3:93" ht="12.75" hidden="1" customHeight="1" x14ac:dyDescent="0.25">
      <c r="G567" s="380"/>
      <c r="H567" s="380"/>
      <c r="I567" s="380"/>
      <c r="J567" s="380"/>
      <c r="K567" s="380"/>
      <c r="M567" s="9" t="s">
        <v>177</v>
      </c>
      <c r="N567" s="6">
        <f t="shared" si="107"/>
        <v>0</v>
      </c>
      <c r="P567" s="9" t="s">
        <v>112</v>
      </c>
      <c r="Q567" s="6"/>
      <c r="R567" s="6" t="s">
        <v>337</v>
      </c>
      <c r="S567" s="6"/>
      <c r="T567" s="6"/>
      <c r="U567" s="6" t="s">
        <v>112</v>
      </c>
      <c r="V567" s="6">
        <f>IF($R148,0,I585/2)</f>
        <v>0</v>
      </c>
      <c r="W567" s="6">
        <f>IF($R148,I585,I585/2)</f>
        <v>0</v>
      </c>
      <c r="X567" s="6"/>
      <c r="Y567" s="6"/>
      <c r="Z567" s="6">
        <f t="shared" si="108"/>
        <v>1</v>
      </c>
      <c r="AA567" s="6"/>
      <c r="AB567" s="6">
        <f t="shared" si="109"/>
        <v>0</v>
      </c>
      <c r="AC567" s="6">
        <f t="shared" si="110"/>
        <v>0</v>
      </c>
      <c r="AD567" s="6"/>
      <c r="AE567" s="6"/>
      <c r="AF567" s="6"/>
      <c r="AG567" s="6"/>
      <c r="AH567" s="6"/>
      <c r="AI567" s="6"/>
      <c r="AJ567" s="6"/>
      <c r="AK567" s="6"/>
      <c r="AL567" s="6"/>
      <c r="AM567" s="6"/>
      <c r="AN567" s="6"/>
      <c r="AO567" s="6"/>
      <c r="AP567" s="6"/>
      <c r="AQ567" s="6"/>
      <c r="AR567" s="6"/>
      <c r="AS567" s="6"/>
      <c r="AT567" s="6"/>
      <c r="AU567" s="6"/>
      <c r="AV567" s="6"/>
      <c r="AW567" s="6"/>
      <c r="AX567" s="6"/>
      <c r="AY567" s="6"/>
      <c r="AZ567" s="6"/>
      <c r="BA567" s="6"/>
      <c r="BB567" s="6"/>
      <c r="BC567" s="6"/>
      <c r="BD567" s="6"/>
      <c r="BE567" s="6"/>
      <c r="BF567" s="26"/>
      <c r="BG567" s="26"/>
      <c r="BH567" s="26"/>
      <c r="BI567" s="26"/>
      <c r="BJ567" s="26"/>
      <c r="BK567" s="26"/>
      <c r="BL567" s="26"/>
      <c r="BM567" s="26"/>
      <c r="BN567" s="26"/>
      <c r="BO567" s="26"/>
      <c r="BP567" s="26"/>
      <c r="BQ567" s="26"/>
      <c r="BR567" s="26"/>
      <c r="BS567" s="26"/>
      <c r="BT567" s="26"/>
      <c r="BU567" s="26"/>
      <c r="BV567" s="26"/>
      <c r="BW567" s="26"/>
      <c r="BX567" s="26"/>
      <c r="BY567" s="26"/>
      <c r="BZ567" s="26"/>
      <c r="CA567" s="26"/>
      <c r="CB567" s="26"/>
      <c r="CC567" s="26"/>
      <c r="CD567" s="26"/>
      <c r="CE567" s="26"/>
      <c r="CF567" s="26"/>
      <c r="CG567" s="26"/>
      <c r="CH567" s="26"/>
      <c r="CI567" s="26"/>
      <c r="CJ567" s="26"/>
      <c r="CK567" s="26"/>
      <c r="CL567" s="26"/>
      <c r="CM567" s="26"/>
      <c r="CN567" s="26"/>
      <c r="CO567" s="26"/>
    </row>
    <row r="568" spans="3:93" ht="12.75" hidden="1" customHeight="1" x14ac:dyDescent="0.25">
      <c r="G568" s="380"/>
      <c r="H568" s="381">
        <v>115</v>
      </c>
      <c r="I568" s="381">
        <v>200</v>
      </c>
      <c r="J568" s="381">
        <v>208</v>
      </c>
      <c r="K568" s="381">
        <v>230</v>
      </c>
      <c r="M568" s="9" t="s">
        <v>178</v>
      </c>
      <c r="N568" s="6">
        <f t="shared" si="107"/>
        <v>0</v>
      </c>
      <c r="P568" s="9" t="s">
        <v>111</v>
      </c>
      <c r="Q568" s="6"/>
      <c r="R568" s="6" t="s">
        <v>337</v>
      </c>
      <c r="S568" s="6"/>
      <c r="T568" s="6"/>
      <c r="U568" s="6" t="s">
        <v>338</v>
      </c>
      <c r="V568" s="6">
        <f>IF($R149,I586,I586/2)</f>
        <v>0</v>
      </c>
      <c r="W568" s="6">
        <f>IF($R149,0,I586/2)</f>
        <v>0</v>
      </c>
      <c r="X568" s="6"/>
      <c r="Y568" s="6"/>
      <c r="Z568" s="6">
        <f t="shared" si="108"/>
        <v>1</v>
      </c>
      <c r="AA568" s="6"/>
      <c r="AB568" s="6">
        <f t="shared" si="109"/>
        <v>0</v>
      </c>
      <c r="AC568" s="6">
        <f t="shared" si="110"/>
        <v>0</v>
      </c>
      <c r="AD568" s="6"/>
      <c r="AE568" s="6"/>
      <c r="AF568" s="6"/>
      <c r="AG568" s="6"/>
      <c r="AH568" s="6"/>
      <c r="AI568" s="6"/>
      <c r="AJ568" s="6"/>
      <c r="AK568" s="6"/>
      <c r="AL568" s="6"/>
      <c r="AM568" s="6"/>
      <c r="AN568" s="6"/>
      <c r="AO568" s="6"/>
      <c r="AP568" s="6"/>
      <c r="AQ568" s="6"/>
      <c r="AR568" s="6"/>
      <c r="AS568" s="6"/>
      <c r="AT568" s="6"/>
      <c r="AU568" s="6"/>
      <c r="AV568" s="6"/>
      <c r="AW568" s="6"/>
      <c r="AX568" s="6"/>
      <c r="AY568" s="6"/>
      <c r="AZ568" s="6"/>
      <c r="BA568" s="6"/>
      <c r="BB568" s="6"/>
      <c r="BC568" s="6"/>
      <c r="BD568" s="6"/>
      <c r="BE568" s="6"/>
      <c r="BF568" s="26"/>
      <c r="BG568" s="26"/>
      <c r="BH568" s="26"/>
      <c r="BI568" s="26"/>
      <c r="BJ568" s="26"/>
      <c r="BK568" s="26"/>
      <c r="BL568" s="26"/>
      <c r="BM568" s="26"/>
      <c r="BN568" s="26"/>
      <c r="BO568" s="26"/>
      <c r="BP568" s="26"/>
      <c r="BQ568" s="26"/>
      <c r="BR568" s="26"/>
      <c r="BS568" s="26"/>
      <c r="BT568" s="26"/>
      <c r="BU568" s="26"/>
      <c r="BV568" s="26"/>
      <c r="BW568" s="26"/>
      <c r="BX568" s="26"/>
      <c r="BY568" s="26"/>
      <c r="BZ568" s="26"/>
      <c r="CA568" s="26"/>
      <c r="CB568" s="26"/>
      <c r="CC568" s="26"/>
      <c r="CD568" s="26"/>
      <c r="CE568" s="26"/>
      <c r="CF568" s="26"/>
      <c r="CG568" s="26"/>
      <c r="CH568" s="26"/>
      <c r="CI568" s="26"/>
      <c r="CJ568" s="26"/>
      <c r="CK568" s="26"/>
      <c r="CL568" s="26"/>
      <c r="CM568" s="26"/>
      <c r="CN568" s="26"/>
      <c r="CO568" s="26"/>
    </row>
    <row r="569" spans="3:93" ht="12.75" hidden="1" customHeight="1" x14ac:dyDescent="0.25">
      <c r="G569" s="380" t="s">
        <v>325</v>
      </c>
      <c r="H569" s="380">
        <v>0</v>
      </c>
      <c r="I569" s="380">
        <v>0</v>
      </c>
      <c r="J569" s="380">
        <v>0</v>
      </c>
      <c r="K569" s="380">
        <v>0</v>
      </c>
      <c r="M569" s="9" t="s">
        <v>181</v>
      </c>
      <c r="N569" s="6">
        <f t="shared" si="107"/>
        <v>0</v>
      </c>
      <c r="P569" s="9" t="s">
        <v>112</v>
      </c>
      <c r="Q569" s="6"/>
      <c r="R569" s="6" t="s">
        <v>337</v>
      </c>
      <c r="S569" s="6"/>
      <c r="T569" s="6"/>
      <c r="U569" s="6" t="s">
        <v>339</v>
      </c>
      <c r="V569" s="6">
        <f>IF($R150,0,I587/2)</f>
        <v>0</v>
      </c>
      <c r="W569" s="6">
        <f>IF($R150,I587,I587/2)</f>
        <v>0</v>
      </c>
      <c r="X569" s="6"/>
      <c r="Y569" s="6"/>
      <c r="Z569" s="6">
        <f t="shared" si="108"/>
        <v>1</v>
      </c>
      <c r="AA569" s="6"/>
      <c r="AB569" s="6">
        <f t="shared" si="109"/>
        <v>0</v>
      </c>
      <c r="AC569" s="6">
        <f t="shared" si="110"/>
        <v>0</v>
      </c>
      <c r="AD569" s="6"/>
      <c r="AE569" s="6"/>
      <c r="AF569" s="6"/>
      <c r="AG569" s="6"/>
      <c r="AH569" s="6"/>
      <c r="AI569" s="6"/>
      <c r="AJ569" s="6"/>
      <c r="AK569" s="6"/>
      <c r="AL569" s="6"/>
      <c r="AM569" s="6"/>
      <c r="AN569" s="6"/>
      <c r="AO569" s="6"/>
      <c r="AP569" s="6"/>
      <c r="AQ569" s="6"/>
      <c r="AR569" s="6"/>
      <c r="AS569" s="6"/>
      <c r="AT569" s="6"/>
      <c r="AU569" s="6"/>
      <c r="AV569" s="6"/>
      <c r="AW569" s="6"/>
      <c r="AX569" s="6"/>
      <c r="AY569" s="6"/>
      <c r="AZ569" s="6"/>
      <c r="BA569" s="6"/>
      <c r="BB569" s="6"/>
      <c r="BC569" s="6"/>
      <c r="BD569" s="6"/>
      <c r="BE569" s="6"/>
      <c r="BF569" s="26"/>
      <c r="BG569" s="26"/>
      <c r="BH569" s="26"/>
      <c r="BI569" s="26"/>
      <c r="BJ569" s="26"/>
      <c r="BK569" s="26"/>
      <c r="BL569" s="26"/>
      <c r="BM569" s="26"/>
      <c r="BN569" s="26"/>
      <c r="BO569" s="26"/>
      <c r="BP569" s="26"/>
      <c r="BQ569" s="26"/>
      <c r="BR569" s="26"/>
      <c r="BS569" s="26"/>
      <c r="BT569" s="26"/>
      <c r="BU569" s="26"/>
      <c r="BV569" s="26"/>
      <c r="BW569" s="26"/>
      <c r="BX569" s="26"/>
      <c r="BY569" s="26"/>
      <c r="BZ569" s="26"/>
      <c r="CA569" s="26"/>
      <c r="CB569" s="26"/>
      <c r="CC569" s="26"/>
      <c r="CD569" s="26"/>
      <c r="CE569" s="26"/>
      <c r="CF569" s="26"/>
      <c r="CG569" s="26"/>
      <c r="CH569" s="26"/>
      <c r="CI569" s="26"/>
      <c r="CJ569" s="26"/>
      <c r="CK569" s="26"/>
      <c r="CL569" s="26"/>
      <c r="CM569" s="26"/>
      <c r="CN569" s="26"/>
      <c r="CO569" s="26"/>
    </row>
    <row r="570" spans="3:93" ht="12.75" hidden="1" customHeight="1" x14ac:dyDescent="0.25">
      <c r="C570" s="6">
        <v>1</v>
      </c>
      <c r="D570" s="6"/>
      <c r="E570" s="9" t="s">
        <v>340</v>
      </c>
      <c r="G570" s="382" t="s">
        <v>341</v>
      </c>
      <c r="H570" s="380">
        <f>4.4*H568</f>
        <v>506.00000000000006</v>
      </c>
      <c r="I570" s="362">
        <f>2.5*I568</f>
        <v>500</v>
      </c>
      <c r="J570" s="362">
        <f>2.4*J568</f>
        <v>499.2</v>
      </c>
      <c r="K570" s="380">
        <f>2.2*K568</f>
        <v>506.00000000000006</v>
      </c>
      <c r="M570" s="9" t="s">
        <v>182</v>
      </c>
      <c r="N570" s="6">
        <f t="shared" si="107"/>
        <v>0</v>
      </c>
      <c r="P570" s="9" t="s">
        <v>111</v>
      </c>
      <c r="Q570" s="6"/>
      <c r="R570" s="6" t="s">
        <v>337</v>
      </c>
      <c r="S570" s="6"/>
      <c r="T570" s="6"/>
      <c r="U570" s="6" t="s">
        <v>342</v>
      </c>
      <c r="V570" s="6">
        <f>IF($R151,I588,I588/2)</f>
        <v>0</v>
      </c>
      <c r="W570" s="6">
        <f>IF($R151,0,I588/2)</f>
        <v>0</v>
      </c>
      <c r="X570" s="6"/>
      <c r="Y570" s="6"/>
      <c r="Z570" s="6">
        <f t="shared" si="108"/>
        <v>1</v>
      </c>
      <c r="AA570" s="6"/>
      <c r="AB570" s="6">
        <f t="shared" si="109"/>
        <v>0</v>
      </c>
      <c r="AC570" s="6">
        <f t="shared" si="110"/>
        <v>0</v>
      </c>
      <c r="AD570" s="6"/>
      <c r="AE570" s="6"/>
      <c r="AF570" s="6"/>
      <c r="AG570" s="6"/>
      <c r="AH570" s="6"/>
      <c r="AI570" s="6"/>
      <c r="AJ570" s="6"/>
      <c r="AK570" s="6"/>
      <c r="AL570" s="6"/>
      <c r="AM570" s="6"/>
      <c r="AN570" s="6"/>
      <c r="AO570" s="6"/>
      <c r="AP570" s="6"/>
      <c r="AQ570" s="6"/>
      <c r="AR570" s="6"/>
      <c r="AS570" s="6"/>
      <c r="AT570" s="6"/>
      <c r="AU570" s="6"/>
      <c r="AV570" s="6"/>
      <c r="AW570" s="6"/>
      <c r="AX570" s="6"/>
      <c r="AY570" s="6"/>
      <c r="AZ570" s="6"/>
      <c r="BA570" s="6"/>
      <c r="BB570" s="6"/>
      <c r="BC570" s="6"/>
      <c r="BD570" s="6"/>
      <c r="BE570" s="6"/>
      <c r="BF570" s="26"/>
      <c r="BG570" s="26"/>
      <c r="BH570" s="26"/>
      <c r="BI570" s="26"/>
      <c r="BJ570" s="26"/>
      <c r="BK570" s="26"/>
      <c r="BL570" s="26"/>
      <c r="BM570" s="26"/>
      <c r="BN570" s="26"/>
      <c r="BO570" s="26"/>
      <c r="BP570" s="26"/>
      <c r="BQ570" s="26"/>
      <c r="BR570" s="26"/>
      <c r="BS570" s="26"/>
      <c r="BT570" s="26"/>
      <c r="BU570" s="26"/>
      <c r="BV570" s="26"/>
      <c r="BW570" s="26"/>
      <c r="BX570" s="26"/>
      <c r="BY570" s="26"/>
      <c r="BZ570" s="26"/>
      <c r="CA570" s="26"/>
      <c r="CB570" s="26"/>
      <c r="CC570" s="26"/>
      <c r="CD570" s="26"/>
      <c r="CE570" s="26"/>
      <c r="CF570" s="26"/>
      <c r="CG570" s="26"/>
      <c r="CH570" s="26"/>
      <c r="CI570" s="26"/>
      <c r="CJ570" s="26"/>
      <c r="CK570" s="26"/>
      <c r="CL570" s="26"/>
      <c r="CM570" s="26"/>
      <c r="CN570" s="26"/>
      <c r="CO570" s="26"/>
    </row>
    <row r="571" spans="3:93" ht="12.75" hidden="1" customHeight="1" x14ac:dyDescent="0.25">
      <c r="C571" s="6">
        <v>1</v>
      </c>
      <c r="D571" s="6"/>
      <c r="E571" s="9" t="s">
        <v>343</v>
      </c>
      <c r="G571" s="382" t="s">
        <v>344</v>
      </c>
      <c r="H571" s="380">
        <f>5.8*H568</f>
        <v>667</v>
      </c>
      <c r="I571" s="362">
        <f>3.3*I568</f>
        <v>660</v>
      </c>
      <c r="J571" s="362">
        <f>3.2*J568</f>
        <v>665.6</v>
      </c>
      <c r="K571" s="380">
        <f>2.9*K568</f>
        <v>667</v>
      </c>
      <c r="M571" s="9" t="s">
        <v>183</v>
      </c>
      <c r="N571" s="6">
        <f t="shared" ref="N571:N575" si="111">IF(R152,K584,0)</f>
        <v>0</v>
      </c>
      <c r="P571" s="9" t="s">
        <v>112</v>
      </c>
      <c r="Q571" s="6"/>
      <c r="R571" s="6" t="s">
        <v>345</v>
      </c>
      <c r="S571" s="6"/>
      <c r="T571" s="6"/>
      <c r="U571" s="6"/>
      <c r="V571" s="6">
        <f t="shared" ref="V571:W571" si="112">SUM(V566:V570)</f>
        <v>0</v>
      </c>
      <c r="W571" s="6">
        <f t="shared" si="112"/>
        <v>0</v>
      </c>
      <c r="X571" s="6"/>
      <c r="Y571" s="6"/>
      <c r="Z571" s="6"/>
      <c r="AA571" s="6"/>
      <c r="AB571" s="6">
        <f t="shared" ref="AB571:AC571" si="113">SUM(AB566:AB570)</f>
        <v>0</v>
      </c>
      <c r="AC571" s="6">
        <f t="shared" si="113"/>
        <v>0</v>
      </c>
      <c r="AD571" s="6"/>
      <c r="AE571" s="6"/>
      <c r="AF571" s="6"/>
      <c r="AG571" s="6"/>
      <c r="AH571" s="6"/>
      <c r="AI571" s="6"/>
      <c r="AJ571" s="6"/>
      <c r="AK571" s="6"/>
      <c r="AL571" s="6"/>
      <c r="AM571" s="6"/>
      <c r="AN571" s="6"/>
      <c r="AO571" s="6"/>
      <c r="AP571" s="6"/>
      <c r="AQ571" s="6"/>
      <c r="AR571" s="6"/>
      <c r="AS571" s="6"/>
      <c r="AT571" s="6"/>
      <c r="AU571" s="6"/>
      <c r="AV571" s="6"/>
      <c r="AW571" s="6"/>
      <c r="AX571" s="6"/>
      <c r="AY571" s="6"/>
      <c r="AZ571" s="6"/>
      <c r="BA571" s="6"/>
      <c r="BB571" s="6"/>
      <c r="BC571" s="6"/>
      <c r="BD571" s="6"/>
      <c r="BE571" s="6"/>
      <c r="BF571" s="26"/>
      <c r="BG571" s="26"/>
      <c r="BH571" s="26"/>
      <c r="BI571" s="26"/>
      <c r="BJ571" s="26"/>
      <c r="BK571" s="26"/>
      <c r="BL571" s="26"/>
      <c r="BM571" s="26"/>
      <c r="BN571" s="26"/>
      <c r="BO571" s="26"/>
      <c r="BP571" s="26"/>
      <c r="BQ571" s="26"/>
      <c r="BR571" s="26"/>
      <c r="BS571" s="26"/>
      <c r="BT571" s="26"/>
      <c r="BU571" s="26"/>
      <c r="BV571" s="26"/>
      <c r="BW571" s="26"/>
      <c r="BX571" s="26"/>
      <c r="BY571" s="26"/>
      <c r="BZ571" s="26"/>
      <c r="CA571" s="26"/>
      <c r="CB571" s="26"/>
      <c r="CC571" s="26"/>
      <c r="CD571" s="26"/>
      <c r="CE571" s="26"/>
      <c r="CF571" s="26"/>
      <c r="CG571" s="26"/>
      <c r="CH571" s="26"/>
      <c r="CI571" s="26"/>
      <c r="CJ571" s="26"/>
      <c r="CK571" s="26"/>
      <c r="CL571" s="26"/>
      <c r="CM571" s="26"/>
      <c r="CN571" s="26"/>
      <c r="CO571" s="26"/>
    </row>
    <row r="572" spans="3:93" ht="12.75" hidden="1" customHeight="1" x14ac:dyDescent="0.25">
      <c r="C572" s="6">
        <v>1</v>
      </c>
      <c r="D572" s="6"/>
      <c r="E572" s="9" t="s">
        <v>346</v>
      </c>
      <c r="G572" s="382" t="s">
        <v>347</v>
      </c>
      <c r="H572" s="380">
        <f>7.2*H568</f>
        <v>828</v>
      </c>
      <c r="I572" s="362">
        <f>4.1*I568</f>
        <v>819.99999999999989</v>
      </c>
      <c r="J572" s="362">
        <f>4*J568</f>
        <v>832</v>
      </c>
      <c r="K572" s="380">
        <f>3.6*K568</f>
        <v>828</v>
      </c>
      <c r="M572" s="9" t="s">
        <v>185</v>
      </c>
      <c r="N572" s="6">
        <f t="shared" si="111"/>
        <v>0</v>
      </c>
      <c r="P572" s="9" t="s">
        <v>111</v>
      </c>
      <c r="Q572" s="6"/>
      <c r="R572" s="6"/>
      <c r="S572" s="6"/>
      <c r="T572" s="6"/>
      <c r="U572" s="6"/>
      <c r="V572" s="6" t="s">
        <v>348</v>
      </c>
      <c r="W572" s="6"/>
      <c r="X572" s="6"/>
      <c r="Y572" s="6"/>
      <c r="Z572" s="6"/>
      <c r="AA572" s="6"/>
      <c r="AB572" s="6"/>
      <c r="AC572" s="6"/>
      <c r="AD572" s="6"/>
      <c r="AE572" s="6"/>
      <c r="AF572" s="6"/>
      <c r="AG572" s="6"/>
      <c r="AH572" s="6"/>
      <c r="AI572" s="6"/>
      <c r="AJ572" s="6"/>
      <c r="AK572" s="6"/>
      <c r="AL572" s="6"/>
      <c r="AM572" s="6"/>
      <c r="AN572" s="6"/>
      <c r="AO572" s="6"/>
      <c r="AP572" s="6"/>
      <c r="AQ572" s="6"/>
      <c r="AR572" s="6"/>
      <c r="AS572" s="6"/>
      <c r="AT572" s="6"/>
      <c r="AU572" s="6"/>
      <c r="AV572" s="6"/>
      <c r="AW572" s="6"/>
      <c r="AX572" s="6"/>
      <c r="AY572" s="6"/>
      <c r="AZ572" s="6"/>
      <c r="BA572" s="6"/>
      <c r="BB572" s="6"/>
      <c r="BC572" s="6"/>
      <c r="BD572" s="6"/>
      <c r="BE572" s="6"/>
      <c r="BF572" s="26"/>
      <c r="BG572" s="26"/>
      <c r="BH572" s="26"/>
      <c r="BI572" s="26"/>
      <c r="BJ572" s="26"/>
      <c r="BK572" s="26"/>
      <c r="BL572" s="26"/>
      <c r="BM572" s="26"/>
      <c r="BN572" s="26"/>
      <c r="BO572" s="26"/>
      <c r="BP572" s="26"/>
      <c r="BQ572" s="26"/>
      <c r="BR572" s="26"/>
      <c r="BS572" s="26"/>
      <c r="BT572" s="26"/>
      <c r="BU572" s="26"/>
      <c r="BV572" s="26"/>
      <c r="BW572" s="26"/>
      <c r="BX572" s="26"/>
      <c r="BY572" s="26"/>
      <c r="BZ572" s="26"/>
      <c r="CA572" s="26"/>
      <c r="CB572" s="26"/>
      <c r="CC572" s="26"/>
      <c r="CD572" s="26"/>
      <c r="CE572" s="26"/>
      <c r="CF572" s="26"/>
      <c r="CG572" s="26"/>
      <c r="CH572" s="26"/>
      <c r="CI572" s="26"/>
      <c r="CJ572" s="26"/>
      <c r="CK572" s="26"/>
      <c r="CL572" s="26"/>
      <c r="CM572" s="26"/>
      <c r="CN572" s="26"/>
      <c r="CO572" s="26"/>
    </row>
    <row r="573" spans="3:93" ht="12.75" hidden="1" customHeight="1" x14ac:dyDescent="0.25">
      <c r="C573" s="6">
        <v>1</v>
      </c>
      <c r="D573" s="6"/>
      <c r="E573" s="9" t="s">
        <v>349</v>
      </c>
      <c r="G573" s="382" t="s">
        <v>350</v>
      </c>
      <c r="H573" s="380">
        <f>9.8*H568</f>
        <v>1127</v>
      </c>
      <c r="I573" s="362">
        <f>5.6*I568</f>
        <v>1120</v>
      </c>
      <c r="J573" s="362">
        <f>5.4*J568</f>
        <v>1123.2</v>
      </c>
      <c r="K573" s="380">
        <f>4.9*K568</f>
        <v>1127</v>
      </c>
      <c r="M573" s="9" t="s">
        <v>187</v>
      </c>
      <c r="N573" s="6">
        <f t="shared" si="111"/>
        <v>0</v>
      </c>
      <c r="P573" s="9" t="s">
        <v>112</v>
      </c>
      <c r="Q573" s="6"/>
      <c r="R573" s="6"/>
      <c r="S573" s="6"/>
      <c r="T573" s="6"/>
      <c r="U573" s="6"/>
      <c r="V573" s="6" t="s">
        <v>266</v>
      </c>
      <c r="W573" s="6" t="s">
        <v>267</v>
      </c>
      <c r="X573" s="6"/>
      <c r="Y573" s="6"/>
      <c r="Z573" s="6"/>
      <c r="AA573" s="6"/>
      <c r="AB573" s="6">
        <f>IF(AB579=0,AB571,V571)</f>
        <v>0</v>
      </c>
      <c r="AC573" s="6">
        <f>IF(AB579=0,AC571,W571)</f>
        <v>0</v>
      </c>
      <c r="AD573" s="6"/>
      <c r="AE573" s="6"/>
      <c r="AF573" s="6"/>
      <c r="AG573" s="6"/>
      <c r="AH573" s="6"/>
      <c r="AI573" s="6"/>
      <c r="AJ573" s="6"/>
      <c r="AK573" s="6"/>
      <c r="AL573" s="6"/>
      <c r="AM573" s="6"/>
      <c r="AN573" s="6"/>
      <c r="AO573" s="6"/>
      <c r="AP573" s="6"/>
      <c r="AQ573" s="6"/>
      <c r="AR573" s="6"/>
      <c r="AS573" s="6"/>
      <c r="AT573" s="6"/>
      <c r="AU573" s="6"/>
      <c r="AV573" s="6"/>
      <c r="AW573" s="6"/>
      <c r="AX573" s="6"/>
      <c r="AY573" s="6"/>
      <c r="AZ573" s="6"/>
      <c r="BA573" s="6"/>
      <c r="BB573" s="6"/>
      <c r="BC573" s="6"/>
      <c r="BD573" s="6"/>
      <c r="BE573" s="6"/>
      <c r="BF573" s="26"/>
      <c r="BG573" s="26"/>
      <c r="BH573" s="26"/>
      <c r="BI573" s="26"/>
      <c r="BJ573" s="26"/>
      <c r="BK573" s="26"/>
      <c r="BL573" s="26"/>
      <c r="BM573" s="26"/>
      <c r="BN573" s="26"/>
      <c r="BO573" s="26"/>
      <c r="BP573" s="26"/>
      <c r="BQ573" s="26"/>
      <c r="BR573" s="26"/>
      <c r="BS573" s="26"/>
      <c r="BT573" s="26"/>
      <c r="BU573" s="26"/>
      <c r="BV573" s="26"/>
      <c r="BW573" s="26"/>
      <c r="BX573" s="26"/>
      <c r="BY573" s="26"/>
      <c r="BZ573" s="26"/>
      <c r="CA573" s="26"/>
      <c r="CB573" s="26"/>
      <c r="CC573" s="26"/>
      <c r="CD573" s="26"/>
      <c r="CE573" s="26"/>
      <c r="CF573" s="26"/>
      <c r="CG573" s="26"/>
      <c r="CH573" s="26"/>
      <c r="CI573" s="26"/>
      <c r="CJ573" s="26"/>
      <c r="CK573" s="26"/>
      <c r="CL573" s="26"/>
      <c r="CM573" s="26"/>
      <c r="CN573" s="26"/>
      <c r="CO573" s="26"/>
    </row>
    <row r="574" spans="3:93" ht="12.75" hidden="1" customHeight="1" x14ac:dyDescent="0.25">
      <c r="C574" s="6">
        <v>1</v>
      </c>
      <c r="D574" s="6"/>
      <c r="E574" s="9" t="s">
        <v>351</v>
      </c>
      <c r="G574" s="382" t="s">
        <v>352</v>
      </c>
      <c r="H574" s="380">
        <f>13.8*H568</f>
        <v>1587</v>
      </c>
      <c r="I574" s="362">
        <f>7.9*I568</f>
        <v>1580</v>
      </c>
      <c r="J574" s="362">
        <f>7.6*J568</f>
        <v>1580.8</v>
      </c>
      <c r="K574" s="380">
        <f>6.9*K568</f>
        <v>1587</v>
      </c>
      <c r="M574" s="9" t="s">
        <v>189</v>
      </c>
      <c r="N574" s="6">
        <f t="shared" si="111"/>
        <v>0</v>
      </c>
      <c r="P574" s="9" t="s">
        <v>111</v>
      </c>
      <c r="Q574" s="6"/>
      <c r="R574" s="6"/>
      <c r="S574" s="6"/>
      <c r="T574" s="6"/>
      <c r="U574" s="6"/>
      <c r="V574" s="6"/>
      <c r="W574" s="6"/>
      <c r="X574" s="6"/>
      <c r="Y574" s="6"/>
      <c r="Z574" s="6"/>
      <c r="AA574" s="6"/>
      <c r="AB574" s="6"/>
      <c r="AC574" s="6"/>
      <c r="AD574" s="6"/>
      <c r="AE574" s="6"/>
      <c r="AF574" s="6"/>
      <c r="AG574" s="6"/>
      <c r="AH574" s="6"/>
      <c r="AI574" s="6"/>
      <c r="AJ574" s="6"/>
      <c r="AK574" s="6"/>
      <c r="AL574" s="6"/>
      <c r="AM574" s="6"/>
      <c r="AN574" s="6"/>
      <c r="AO574" s="6"/>
      <c r="AP574" s="6"/>
      <c r="AQ574" s="6"/>
      <c r="AR574" s="6"/>
      <c r="AS574" s="6"/>
      <c r="AT574" s="6"/>
      <c r="AU574" s="6"/>
      <c r="AV574" s="6"/>
      <c r="AW574" s="6"/>
      <c r="AX574" s="6"/>
      <c r="AY574" s="6"/>
      <c r="AZ574" s="6"/>
      <c r="BA574" s="6"/>
      <c r="BB574" s="6"/>
      <c r="BC574" s="6"/>
      <c r="BD574" s="6"/>
      <c r="BE574" s="6"/>
      <c r="BF574" s="26"/>
      <c r="BG574" s="26"/>
      <c r="BH574" s="26"/>
      <c r="BI574" s="26"/>
      <c r="BJ574" s="26"/>
      <c r="BK574" s="26"/>
      <c r="BL574" s="26"/>
      <c r="BM574" s="26"/>
      <c r="BN574" s="26"/>
      <c r="BO574" s="26"/>
      <c r="BP574" s="26"/>
      <c r="BQ574" s="26"/>
      <c r="BR574" s="26"/>
      <c r="BS574" s="26"/>
      <c r="BT574" s="26"/>
      <c r="BU574" s="26"/>
      <c r="BV574" s="26"/>
      <c r="BW574" s="26"/>
      <c r="BX574" s="26"/>
      <c r="BY574" s="26"/>
      <c r="BZ574" s="26"/>
      <c r="CA574" s="26"/>
      <c r="CB574" s="26"/>
      <c r="CC574" s="26"/>
      <c r="CD574" s="26"/>
      <c r="CE574" s="26"/>
      <c r="CF574" s="26"/>
      <c r="CG574" s="26"/>
      <c r="CH574" s="26"/>
      <c r="CI574" s="26"/>
      <c r="CJ574" s="26"/>
      <c r="CK574" s="26"/>
      <c r="CL574" s="26"/>
      <c r="CM574" s="26"/>
      <c r="CN574" s="26"/>
      <c r="CO574" s="26"/>
    </row>
    <row r="575" spans="3:93" ht="12.75" hidden="1" customHeight="1" x14ac:dyDescent="0.25">
      <c r="C575" s="6">
        <v>1</v>
      </c>
      <c r="D575" s="6"/>
      <c r="E575" s="9" t="s">
        <v>353</v>
      </c>
      <c r="G575" s="382" t="s">
        <v>11</v>
      </c>
      <c r="H575" s="380">
        <f>16*H568</f>
        <v>1840</v>
      </c>
      <c r="I575" s="362">
        <f>9.2*I568</f>
        <v>1839.9999999999998</v>
      </c>
      <c r="J575" s="362">
        <f>8.8*J568</f>
        <v>1830.4</v>
      </c>
      <c r="K575" s="380">
        <f>8*K568</f>
        <v>1840</v>
      </c>
      <c r="M575" s="9" t="s">
        <v>190</v>
      </c>
      <c r="N575" s="6">
        <f t="shared" si="111"/>
        <v>0</v>
      </c>
      <c r="P575" s="6" t="s">
        <v>112</v>
      </c>
      <c r="Q575" s="6"/>
      <c r="R575" s="6" t="s">
        <v>337</v>
      </c>
      <c r="S575" s="6"/>
      <c r="T575" s="6"/>
      <c r="U575" s="6" t="s">
        <v>111</v>
      </c>
      <c r="V575" s="6">
        <f>IF($R152,0,K584/2)</f>
        <v>0</v>
      </c>
      <c r="W575" s="6">
        <f>IF($R152,K584,K584/2)</f>
        <v>0</v>
      </c>
      <c r="X575" s="6"/>
      <c r="Y575" s="6"/>
      <c r="Z575" s="6"/>
      <c r="AA575" s="6"/>
      <c r="AB575" s="6"/>
      <c r="AC575" s="6"/>
      <c r="AD575" s="6"/>
      <c r="AE575" s="6"/>
      <c r="AF575" s="6"/>
      <c r="AG575" s="6"/>
      <c r="AH575" s="6"/>
      <c r="AI575" s="6"/>
      <c r="AJ575" s="6"/>
      <c r="AK575" s="6"/>
      <c r="AL575" s="6"/>
      <c r="AM575" s="6"/>
      <c r="AN575" s="6"/>
      <c r="AO575" s="6"/>
      <c r="AP575" s="6"/>
      <c r="AQ575" s="6"/>
      <c r="AR575" s="6"/>
      <c r="AS575" s="6"/>
      <c r="AT575" s="6"/>
      <c r="AU575" s="6"/>
      <c r="AV575" s="6"/>
      <c r="AW575" s="6"/>
      <c r="AX575" s="6"/>
      <c r="AY575" s="6"/>
      <c r="AZ575" s="6"/>
      <c r="BA575" s="6"/>
      <c r="BB575" s="6"/>
      <c r="BC575" s="6"/>
      <c r="BD575" s="6"/>
      <c r="BE575" s="6"/>
      <c r="BF575" s="26"/>
      <c r="BG575" s="26"/>
      <c r="BH575" s="26"/>
      <c r="BI575" s="26"/>
      <c r="BJ575" s="26"/>
      <c r="BK575" s="26"/>
      <c r="BL575" s="26"/>
      <c r="BM575" s="26"/>
      <c r="BN575" s="26"/>
      <c r="BO575" s="26"/>
      <c r="BP575" s="26"/>
      <c r="BQ575" s="26"/>
      <c r="BR575" s="26"/>
      <c r="BS575" s="26"/>
      <c r="BT575" s="26"/>
      <c r="BU575" s="26"/>
      <c r="BV575" s="26"/>
      <c r="BW575" s="26"/>
      <c r="BX575" s="26"/>
      <c r="BY575" s="26"/>
      <c r="BZ575" s="26"/>
      <c r="CA575" s="26"/>
      <c r="CB575" s="26"/>
      <c r="CC575" s="26"/>
      <c r="CD575" s="26"/>
      <c r="CE575" s="26"/>
      <c r="CF575" s="26"/>
      <c r="CG575" s="26"/>
      <c r="CH575" s="26"/>
      <c r="CI575" s="26"/>
      <c r="CJ575" s="26"/>
      <c r="CK575" s="26"/>
      <c r="CL575" s="26"/>
      <c r="CM575" s="26"/>
      <c r="CN575" s="26"/>
      <c r="CO575" s="26"/>
    </row>
    <row r="576" spans="3:93" ht="12.75" hidden="1" customHeight="1" x14ac:dyDescent="0.25">
      <c r="C576" s="6">
        <v>1</v>
      </c>
      <c r="D576" s="6"/>
      <c r="E576" s="9" t="s">
        <v>354</v>
      </c>
      <c r="G576" s="382" t="s">
        <v>355</v>
      </c>
      <c r="H576" s="380">
        <f>20*H568</f>
        <v>2300</v>
      </c>
      <c r="I576" s="362">
        <f>11.5*I568</f>
        <v>2300</v>
      </c>
      <c r="J576" s="362">
        <f>11*J568</f>
        <v>2288</v>
      </c>
      <c r="K576" s="380">
        <f>10*K568</f>
        <v>2300</v>
      </c>
      <c r="P576" s="6"/>
      <c r="Q576" s="6"/>
      <c r="R576" s="6" t="s">
        <v>337</v>
      </c>
      <c r="S576" s="6"/>
      <c r="T576" s="6"/>
      <c r="U576" s="6" t="s">
        <v>112</v>
      </c>
      <c r="V576" s="6">
        <f>IF($R153,K585,K585/2)</f>
        <v>0</v>
      </c>
      <c r="W576" s="6">
        <f>IF($R153,0,K585/2)</f>
        <v>0</v>
      </c>
      <c r="X576" s="6"/>
      <c r="Y576" s="6"/>
      <c r="Z576" s="6"/>
      <c r="AA576" s="6"/>
      <c r="AB576" s="6"/>
      <c r="AC576" s="6"/>
      <c r="AD576" s="6"/>
      <c r="AE576" s="6"/>
      <c r="AF576" s="6"/>
      <c r="AG576" s="6"/>
      <c r="AH576" s="6"/>
      <c r="AI576" s="6"/>
      <c r="AJ576" s="6"/>
      <c r="AK576" s="6"/>
      <c r="AL576" s="6"/>
      <c r="AM576" s="6"/>
      <c r="AN576" s="6"/>
      <c r="AO576" s="6"/>
      <c r="AP576" s="6"/>
      <c r="AQ576" s="6"/>
      <c r="AR576" s="6"/>
      <c r="AS576" s="6"/>
      <c r="AT576" s="6"/>
      <c r="AU576" s="6"/>
      <c r="AV576" s="6"/>
      <c r="AW576" s="6"/>
      <c r="AX576" s="6"/>
      <c r="AY576" s="6"/>
      <c r="AZ576" s="6"/>
      <c r="BA576" s="6"/>
      <c r="BB576" s="6"/>
      <c r="BC576" s="6"/>
      <c r="BD576" s="6"/>
      <c r="BE576" s="6"/>
      <c r="BF576" s="26"/>
      <c r="BG576" s="26"/>
      <c r="BH576" s="26"/>
      <c r="BI576" s="26"/>
      <c r="BJ576" s="26"/>
      <c r="BK576" s="26"/>
      <c r="BL576" s="26"/>
      <c r="BM576" s="26"/>
      <c r="BN576" s="26"/>
      <c r="BO576" s="26"/>
      <c r="BP576" s="26"/>
      <c r="BQ576" s="26"/>
      <c r="BR576" s="26"/>
      <c r="BS576" s="26"/>
      <c r="BT576" s="26"/>
      <c r="BU576" s="26"/>
      <c r="BV576" s="26"/>
      <c r="BW576" s="26"/>
      <c r="BX576" s="26"/>
      <c r="BY576" s="26"/>
      <c r="BZ576" s="26"/>
      <c r="CA576" s="26"/>
      <c r="CB576" s="26"/>
      <c r="CC576" s="26"/>
      <c r="CD576" s="26"/>
      <c r="CE576" s="26"/>
      <c r="CF576" s="26"/>
      <c r="CG576" s="26"/>
      <c r="CH576" s="26"/>
      <c r="CI576" s="26"/>
      <c r="CJ576" s="26"/>
      <c r="CK576" s="26"/>
      <c r="CL576" s="26"/>
      <c r="CM576" s="26"/>
      <c r="CN576" s="26"/>
      <c r="CO576" s="26"/>
    </row>
    <row r="577" spans="3:93" ht="12.75" hidden="1" customHeight="1" x14ac:dyDescent="0.25">
      <c r="C577" s="6">
        <v>1</v>
      </c>
      <c r="D577" s="6"/>
      <c r="E577" s="9" t="s">
        <v>356</v>
      </c>
      <c r="G577" s="382" t="s">
        <v>357</v>
      </c>
      <c r="H577" s="380">
        <f>24*H568</f>
        <v>2760</v>
      </c>
      <c r="I577" s="362">
        <f>13.8*I568</f>
        <v>2760</v>
      </c>
      <c r="J577" s="362">
        <f>13.2*J568</f>
        <v>2745.6</v>
      </c>
      <c r="K577" s="380">
        <f>12*K568</f>
        <v>2760</v>
      </c>
      <c r="P577" s="6"/>
      <c r="Q577" s="6"/>
      <c r="R577" s="6" t="s">
        <v>337</v>
      </c>
      <c r="S577" s="6"/>
      <c r="T577" s="6"/>
      <c r="U577" s="6" t="s">
        <v>338</v>
      </c>
      <c r="V577" s="6">
        <f>IF($R154,0,K586/2)</f>
        <v>0</v>
      </c>
      <c r="W577" s="6">
        <f>IF($R154,K586,K586/2)</f>
        <v>0</v>
      </c>
      <c r="X577" s="6"/>
      <c r="Y577" s="6"/>
      <c r="Z577" s="6"/>
      <c r="AA577" s="6"/>
      <c r="AB577" s="25">
        <f t="shared" ref="AB577:AB578" si="114">G59</f>
        <v>0</v>
      </c>
      <c r="AC577" s="6"/>
      <c r="AD577" s="6"/>
      <c r="AE577" s="6"/>
      <c r="AF577" s="6"/>
      <c r="AG577" s="6"/>
      <c r="AH577" s="6"/>
      <c r="AI577" s="6"/>
      <c r="AJ577" s="6"/>
      <c r="AK577" s="6"/>
      <c r="AL577" s="6"/>
      <c r="AM577" s="6"/>
      <c r="AN577" s="6"/>
      <c r="AO577" s="6"/>
      <c r="AP577" s="6"/>
      <c r="AQ577" s="6"/>
      <c r="AR577" s="6"/>
      <c r="AS577" s="6"/>
      <c r="AT577" s="6"/>
      <c r="AU577" s="6"/>
      <c r="AV577" s="6"/>
      <c r="AW577" s="6"/>
      <c r="AX577" s="6"/>
      <c r="AY577" s="6"/>
      <c r="AZ577" s="6"/>
      <c r="BA577" s="6"/>
      <c r="BB577" s="6"/>
      <c r="BC577" s="6"/>
      <c r="BD577" s="6"/>
      <c r="BE577" s="6"/>
      <c r="BF577" s="26"/>
      <c r="BG577" s="26"/>
      <c r="BH577" s="26"/>
      <c r="BI577" s="26"/>
      <c r="BJ577" s="26"/>
      <c r="BK577" s="26"/>
      <c r="BL577" s="26"/>
      <c r="BM577" s="26"/>
      <c r="BN577" s="26"/>
      <c r="BO577" s="26"/>
      <c r="BP577" s="26"/>
      <c r="BQ577" s="26"/>
      <c r="BR577" s="26"/>
      <c r="BS577" s="26"/>
      <c r="BT577" s="26"/>
      <c r="BU577" s="26"/>
      <c r="BV577" s="26"/>
      <c r="BW577" s="26"/>
      <c r="BX577" s="26"/>
      <c r="BY577" s="26"/>
      <c r="BZ577" s="26"/>
      <c r="CA577" s="26"/>
      <c r="CB577" s="26"/>
      <c r="CC577" s="26"/>
      <c r="CD577" s="26"/>
      <c r="CE577" s="26"/>
      <c r="CF577" s="26"/>
      <c r="CG577" s="26"/>
      <c r="CH577" s="26"/>
      <c r="CI577" s="26"/>
      <c r="CJ577" s="26"/>
      <c r="CK577" s="26"/>
      <c r="CL577" s="26"/>
      <c r="CM577" s="26"/>
      <c r="CN577" s="26"/>
      <c r="CO577" s="26"/>
    </row>
    <row r="578" spans="3:93" ht="12.75" hidden="1" customHeight="1" x14ac:dyDescent="0.25">
      <c r="C578" s="6">
        <v>1</v>
      </c>
      <c r="D578" s="6"/>
      <c r="E578" s="9" t="s">
        <v>358</v>
      </c>
      <c r="G578" s="382" t="s">
        <v>359</v>
      </c>
      <c r="H578" s="380">
        <f>34*H568</f>
        <v>3910</v>
      </c>
      <c r="I578" s="362">
        <f>19.6*I568</f>
        <v>3920.0000000000005</v>
      </c>
      <c r="J578" s="362">
        <f>18.7*J568</f>
        <v>3889.6</v>
      </c>
      <c r="K578" s="380">
        <f>17*K568</f>
        <v>3910</v>
      </c>
      <c r="P578" s="6"/>
      <c r="Q578" s="6"/>
      <c r="R578" s="6" t="s">
        <v>337</v>
      </c>
      <c r="S578" s="6"/>
      <c r="T578" s="6"/>
      <c r="U578" s="6" t="s">
        <v>339</v>
      </c>
      <c r="V578" s="6">
        <f>IF($R155,K587,K587/2)</f>
        <v>0</v>
      </c>
      <c r="W578" s="6">
        <f>IF($R155,0,K587/2)</f>
        <v>0</v>
      </c>
      <c r="X578" s="6"/>
      <c r="Y578" s="6"/>
      <c r="Z578" s="6"/>
      <c r="AA578" s="6"/>
      <c r="AB578" s="25">
        <f t="shared" si="114"/>
        <v>0</v>
      </c>
      <c r="AC578" s="6"/>
      <c r="AD578" s="6"/>
      <c r="AE578" s="6"/>
      <c r="AF578" s="6"/>
      <c r="AG578" s="6"/>
      <c r="AH578" s="6"/>
      <c r="AI578" s="6"/>
      <c r="AJ578" s="6"/>
      <c r="AK578" s="6"/>
      <c r="AL578" s="6"/>
      <c r="AM578" s="6"/>
      <c r="AN578" s="6"/>
      <c r="AO578" s="6"/>
      <c r="AP578" s="6"/>
      <c r="AQ578" s="6"/>
      <c r="AR578" s="6"/>
      <c r="AS578" s="6"/>
      <c r="AT578" s="6"/>
      <c r="AU578" s="6"/>
      <c r="AV578" s="6"/>
      <c r="AW578" s="6"/>
      <c r="AX578" s="6"/>
      <c r="AY578" s="6"/>
      <c r="AZ578" s="6"/>
      <c r="BA578" s="6"/>
      <c r="BB578" s="6"/>
      <c r="BC578" s="6"/>
      <c r="BD578" s="6"/>
      <c r="BE578" s="6"/>
      <c r="BF578" s="26"/>
      <c r="BG578" s="26"/>
      <c r="BH578" s="26"/>
      <c r="BI578" s="26"/>
      <c r="BJ578" s="26"/>
      <c r="BK578" s="26"/>
      <c r="BL578" s="26"/>
      <c r="BM578" s="26"/>
      <c r="BN578" s="26"/>
      <c r="BO578" s="26"/>
      <c r="BP578" s="26"/>
      <c r="BQ578" s="26"/>
      <c r="BR578" s="26"/>
      <c r="BS578" s="26"/>
      <c r="BT578" s="26"/>
      <c r="BU578" s="26"/>
      <c r="BV578" s="26"/>
      <c r="BW578" s="26"/>
      <c r="BX578" s="26"/>
      <c r="BY578" s="26"/>
      <c r="BZ578" s="26"/>
      <c r="CA578" s="26"/>
      <c r="CB578" s="26"/>
      <c r="CC578" s="26"/>
      <c r="CD578" s="26"/>
      <c r="CE578" s="26"/>
      <c r="CF578" s="26"/>
      <c r="CG578" s="26"/>
      <c r="CH578" s="26"/>
      <c r="CI578" s="26"/>
      <c r="CJ578" s="26"/>
      <c r="CK578" s="26"/>
      <c r="CL578" s="26"/>
      <c r="CM578" s="26"/>
      <c r="CN578" s="26"/>
      <c r="CO578" s="26"/>
    </row>
    <row r="579" spans="3:93" ht="12.75" hidden="1" customHeight="1" x14ac:dyDescent="0.25">
      <c r="C579" s="6">
        <v>1</v>
      </c>
      <c r="D579" s="6"/>
      <c r="E579" s="9" t="s">
        <v>360</v>
      </c>
      <c r="G579" s="382" t="s">
        <v>361</v>
      </c>
      <c r="H579" s="380">
        <f>56*H568</f>
        <v>6440</v>
      </c>
      <c r="I579" s="362">
        <f>32.2*I568</f>
        <v>6440.0000000000009</v>
      </c>
      <c r="J579" s="362">
        <f>30.8*J568</f>
        <v>6406.4000000000005</v>
      </c>
      <c r="K579" s="380">
        <f>28*K568</f>
        <v>6440</v>
      </c>
      <c r="P579" s="6"/>
      <c r="Q579" s="6"/>
      <c r="R579" s="6" t="s">
        <v>337</v>
      </c>
      <c r="S579" s="6"/>
      <c r="T579" s="6"/>
      <c r="U579" s="6" t="s">
        <v>342</v>
      </c>
      <c r="V579" s="6">
        <f>IF($R156,0,K588/2)</f>
        <v>0</v>
      </c>
      <c r="W579" s="6">
        <f>IF($R156,K588,K588/2)</f>
        <v>0</v>
      </c>
      <c r="X579" s="6"/>
      <c r="Y579" s="6"/>
      <c r="Z579" s="6"/>
      <c r="AA579" s="6"/>
      <c r="AB579" s="25">
        <f>SUM(AB577:AB578)</f>
        <v>0</v>
      </c>
      <c r="AC579" s="6"/>
      <c r="AD579" s="6"/>
      <c r="AE579" s="6"/>
      <c r="AF579" s="6"/>
      <c r="AG579" s="6"/>
      <c r="AH579" s="6"/>
      <c r="AI579" s="6"/>
      <c r="AJ579" s="6"/>
      <c r="AK579" s="6"/>
      <c r="AL579" s="6"/>
      <c r="AM579" s="6"/>
      <c r="AN579" s="6"/>
      <c r="AO579" s="6"/>
      <c r="AP579" s="6"/>
      <c r="AQ579" s="6"/>
      <c r="AR579" s="6"/>
      <c r="AS579" s="6"/>
      <c r="AT579" s="6"/>
      <c r="AU579" s="6"/>
      <c r="AV579" s="6"/>
      <c r="AW579" s="6"/>
      <c r="AX579" s="6"/>
      <c r="AY579" s="6"/>
      <c r="AZ579" s="6"/>
      <c r="BA579" s="6"/>
      <c r="BB579" s="6"/>
      <c r="BC579" s="6"/>
      <c r="BD579" s="6"/>
      <c r="BE579" s="6"/>
      <c r="BF579" s="26"/>
      <c r="BG579" s="26"/>
      <c r="BH579" s="26"/>
      <c r="BI579" s="26"/>
      <c r="BJ579" s="26"/>
      <c r="BK579" s="26"/>
      <c r="BL579" s="26"/>
      <c r="BM579" s="26"/>
      <c r="BN579" s="26"/>
      <c r="BO579" s="26"/>
      <c r="BP579" s="26"/>
      <c r="BQ579" s="26"/>
      <c r="BR579" s="26"/>
      <c r="BS579" s="26"/>
      <c r="BT579" s="26"/>
      <c r="BU579" s="26"/>
      <c r="BV579" s="26"/>
      <c r="BW579" s="26"/>
      <c r="BX579" s="26"/>
      <c r="BY579" s="26"/>
      <c r="BZ579" s="26"/>
      <c r="CA579" s="26"/>
      <c r="CB579" s="26"/>
      <c r="CC579" s="26"/>
      <c r="CD579" s="26"/>
      <c r="CE579" s="26"/>
      <c r="CF579" s="26"/>
      <c r="CG579" s="26"/>
      <c r="CH579" s="26"/>
      <c r="CI579" s="26"/>
      <c r="CJ579" s="26"/>
      <c r="CK579" s="26"/>
      <c r="CL579" s="26"/>
      <c r="CM579" s="26"/>
      <c r="CN579" s="26"/>
      <c r="CO579" s="26"/>
    </row>
    <row r="580" spans="3:93" ht="12.75" hidden="1" customHeight="1" x14ac:dyDescent="0.25">
      <c r="C580" s="6">
        <v>1</v>
      </c>
      <c r="D580" s="6"/>
      <c r="E580" s="9" t="s">
        <v>362</v>
      </c>
      <c r="G580" s="382" t="s">
        <v>363</v>
      </c>
      <c r="H580" s="380">
        <f>80*H568</f>
        <v>9200</v>
      </c>
      <c r="I580" s="362">
        <f>46*I568</f>
        <v>9200</v>
      </c>
      <c r="J580" s="362">
        <f>44*J568</f>
        <v>9152</v>
      </c>
      <c r="K580" s="380">
        <f>40*K568</f>
        <v>9200</v>
      </c>
      <c r="P580" s="6"/>
      <c r="Q580" s="6"/>
      <c r="R580" s="6" t="s">
        <v>364</v>
      </c>
      <c r="S580" s="6"/>
      <c r="T580" s="6"/>
      <c r="U580" s="6"/>
      <c r="V580" s="6">
        <f t="shared" ref="V580:W580" si="115">SUM(V575:V579)</f>
        <v>0</v>
      </c>
      <c r="W580" s="6">
        <f t="shared" si="115"/>
        <v>0</v>
      </c>
      <c r="X580" s="6"/>
      <c r="Y580" s="6"/>
      <c r="Z580" s="6"/>
      <c r="AA580" s="6"/>
      <c r="AB580" s="6"/>
      <c r="AC580" s="6"/>
      <c r="AD580" s="6"/>
      <c r="AE580" s="6"/>
      <c r="AF580" s="6"/>
      <c r="AG580" s="6"/>
      <c r="AH580" s="6"/>
      <c r="AI580" s="6"/>
      <c r="AJ580" s="6"/>
      <c r="AK580" s="6"/>
      <c r="AL580" s="6"/>
      <c r="AM580" s="6"/>
      <c r="AN580" s="6"/>
      <c r="AO580" s="6"/>
      <c r="AP580" s="6"/>
      <c r="AQ580" s="6"/>
      <c r="AR580" s="6"/>
      <c r="AS580" s="6"/>
      <c r="AT580" s="6"/>
      <c r="AU580" s="6"/>
      <c r="AV580" s="6"/>
      <c r="AW580" s="6"/>
      <c r="AX580" s="6"/>
      <c r="AY580" s="6"/>
      <c r="AZ580" s="6"/>
      <c r="BA580" s="6"/>
      <c r="BB580" s="6"/>
      <c r="BC580" s="6"/>
      <c r="BD580" s="6"/>
      <c r="BE580" s="6"/>
      <c r="BF580" s="26"/>
      <c r="BG580" s="26"/>
      <c r="BH580" s="26"/>
      <c r="BI580" s="26"/>
      <c r="BJ580" s="26"/>
      <c r="BK580" s="26"/>
      <c r="BL580" s="26"/>
      <c r="BM580" s="26"/>
      <c r="BN580" s="26"/>
      <c r="BO580" s="26"/>
      <c r="BP580" s="26"/>
      <c r="BQ580" s="26"/>
      <c r="BR580" s="26"/>
      <c r="BS580" s="26"/>
      <c r="BT580" s="26"/>
      <c r="BU580" s="26"/>
      <c r="BV580" s="26"/>
      <c r="BW580" s="26"/>
      <c r="BX580" s="26"/>
      <c r="BY580" s="26"/>
      <c r="BZ580" s="26"/>
      <c r="CA580" s="26"/>
      <c r="CB580" s="26"/>
      <c r="CC580" s="26"/>
      <c r="CD580" s="26"/>
      <c r="CE580" s="26"/>
      <c r="CF580" s="26"/>
      <c r="CG580" s="26"/>
      <c r="CH580" s="26"/>
      <c r="CI580" s="26"/>
      <c r="CJ580" s="26"/>
      <c r="CK580" s="26"/>
      <c r="CL580" s="26"/>
      <c r="CM580" s="26"/>
      <c r="CN580" s="26"/>
      <c r="CO580" s="26"/>
    </row>
    <row r="581" spans="3:93" ht="12.75" hidden="1" customHeight="1" x14ac:dyDescent="0.25">
      <c r="C581" s="6">
        <v>1</v>
      </c>
      <c r="D581" s="6"/>
      <c r="E581" s="9" t="s">
        <v>365</v>
      </c>
      <c r="G581" s="382" t="s">
        <v>366</v>
      </c>
      <c r="H581" s="380">
        <f>100*H568</f>
        <v>11500</v>
      </c>
      <c r="I581" s="362">
        <f>57.5*I568</f>
        <v>11500</v>
      </c>
      <c r="J581" s="362">
        <f>55*J568</f>
        <v>11440</v>
      </c>
      <c r="K581" s="380">
        <f>50*K568</f>
        <v>11500</v>
      </c>
      <c r="P581" s="6"/>
      <c r="Q581" s="6"/>
      <c r="R581" s="6"/>
      <c r="S581" s="6"/>
      <c r="T581" s="6"/>
      <c r="U581" s="6"/>
      <c r="V581" s="6"/>
      <c r="W581" s="6"/>
      <c r="X581" s="6"/>
      <c r="Y581" s="6"/>
      <c r="Z581" s="6"/>
      <c r="AA581" s="6"/>
      <c r="AB581" s="6"/>
      <c r="AC581" s="6"/>
      <c r="AD581" s="6"/>
      <c r="AE581" s="6"/>
      <c r="AF581" s="6"/>
      <c r="AG581" s="6"/>
      <c r="AH581" s="6"/>
      <c r="AI581" s="6"/>
      <c r="AJ581" s="6"/>
      <c r="AK581" s="6"/>
      <c r="AL581" s="6"/>
      <c r="AM581" s="6"/>
      <c r="AN581" s="6"/>
      <c r="AO581" s="6"/>
      <c r="AP581" s="6"/>
      <c r="AQ581" s="6"/>
      <c r="AR581" s="6"/>
      <c r="AS581" s="6"/>
      <c r="AT581" s="6"/>
      <c r="AU581" s="6"/>
      <c r="AV581" s="6"/>
      <c r="AW581" s="6"/>
      <c r="AX581" s="6"/>
      <c r="AY581" s="6"/>
      <c r="AZ581" s="6"/>
      <c r="BA581" s="6"/>
      <c r="BB581" s="6"/>
      <c r="BC581" s="6"/>
      <c r="BD581" s="6"/>
      <c r="BE581" s="6"/>
      <c r="BF581" s="26"/>
      <c r="BG581" s="26"/>
      <c r="BH581" s="26"/>
      <c r="BI581" s="26"/>
      <c r="BJ581" s="26"/>
      <c r="BK581" s="26"/>
      <c r="BL581" s="26"/>
      <c r="BM581" s="26"/>
      <c r="BN581" s="26"/>
      <c r="BO581" s="26"/>
      <c r="BP581" s="26"/>
      <c r="BQ581" s="26"/>
      <c r="BR581" s="26"/>
      <c r="BS581" s="26"/>
      <c r="BT581" s="26"/>
      <c r="BU581" s="26"/>
      <c r="BV581" s="26"/>
      <c r="BW581" s="26"/>
      <c r="BX581" s="26"/>
      <c r="BY581" s="26"/>
      <c r="BZ581" s="26"/>
      <c r="CA581" s="26"/>
      <c r="CB581" s="26"/>
      <c r="CC581" s="26"/>
      <c r="CD581" s="26"/>
      <c r="CE581" s="26"/>
      <c r="CF581" s="26"/>
      <c r="CG581" s="26"/>
      <c r="CH581" s="26"/>
      <c r="CI581" s="26"/>
      <c r="CJ581" s="26"/>
      <c r="CK581" s="26"/>
      <c r="CL581" s="26"/>
      <c r="CM581" s="26"/>
      <c r="CN581" s="26"/>
      <c r="CO581" s="26"/>
    </row>
    <row r="582" spans="3:93" ht="12.75" hidden="1" customHeight="1" x14ac:dyDescent="0.25">
      <c r="C582" s="6">
        <v>1</v>
      </c>
      <c r="D582" s="6"/>
      <c r="E582" s="9" t="s">
        <v>367</v>
      </c>
      <c r="P582" s="6"/>
      <c r="Q582" s="6"/>
      <c r="R582" s="6"/>
      <c r="S582" s="6"/>
      <c r="T582" s="6"/>
      <c r="U582" s="6"/>
      <c r="V582" s="6"/>
      <c r="W582" s="6"/>
      <c r="X582" s="6"/>
      <c r="Y582" s="6"/>
      <c r="Z582" s="6"/>
      <c r="AA582" s="6"/>
      <c r="AB582" s="6"/>
      <c r="AC582" s="6"/>
      <c r="AD582" s="6"/>
      <c r="AE582" s="6"/>
      <c r="AF582" s="6"/>
      <c r="AG582" s="6"/>
      <c r="AH582" s="6"/>
      <c r="AI582" s="6"/>
      <c r="AJ582" s="6"/>
      <c r="AK582" s="6"/>
      <c r="AL582" s="6"/>
      <c r="AM582" s="6"/>
      <c r="AN582" s="6"/>
      <c r="AO582" s="6"/>
      <c r="AP582" s="6"/>
      <c r="AQ582" s="6"/>
      <c r="AR582" s="6"/>
      <c r="AS582" s="6"/>
      <c r="AT582" s="6"/>
      <c r="AU582" s="6"/>
      <c r="AV582" s="6"/>
      <c r="AW582" s="6"/>
      <c r="AX582" s="6"/>
      <c r="AY582" s="6"/>
      <c r="AZ582" s="6"/>
      <c r="BA582" s="6"/>
      <c r="BB582" s="6"/>
      <c r="BC582" s="6"/>
      <c r="BD582" s="6"/>
      <c r="BE582" s="6"/>
      <c r="BF582" s="26"/>
      <c r="BG582" s="26"/>
      <c r="BH582" s="26"/>
      <c r="BI582" s="26"/>
      <c r="BJ582" s="26"/>
      <c r="BK582" s="26"/>
      <c r="BL582" s="26"/>
      <c r="BM582" s="26"/>
      <c r="BN582" s="26"/>
      <c r="BO582" s="26"/>
      <c r="BP582" s="26"/>
      <c r="BQ582" s="26"/>
      <c r="BR582" s="26"/>
      <c r="BS582" s="26"/>
      <c r="BT582" s="26"/>
      <c r="BU582" s="26"/>
      <c r="BV582" s="26"/>
      <c r="BW582" s="26"/>
      <c r="BX582" s="26"/>
      <c r="BY582" s="26"/>
      <c r="BZ582" s="26"/>
      <c r="CA582" s="26"/>
      <c r="CB582" s="26"/>
      <c r="CC582" s="26"/>
      <c r="CD582" s="26"/>
      <c r="CE582" s="26"/>
      <c r="CF582" s="26"/>
      <c r="CG582" s="26"/>
      <c r="CH582" s="26"/>
      <c r="CI582" s="26"/>
      <c r="CJ582" s="26"/>
      <c r="CK582" s="26"/>
      <c r="CL582" s="26"/>
      <c r="CM582" s="26"/>
      <c r="CN582" s="26"/>
      <c r="CO582" s="26"/>
    </row>
    <row r="583" spans="3:93" ht="12.75" hidden="1" customHeight="1" x14ac:dyDescent="0.25">
      <c r="C583" s="6">
        <v>1</v>
      </c>
      <c r="D583" s="6"/>
      <c r="E583" s="9" t="s">
        <v>368</v>
      </c>
      <c r="P583" s="6"/>
      <c r="Q583" s="6"/>
      <c r="R583" s="6"/>
      <c r="S583" s="6"/>
      <c r="T583" s="6"/>
      <c r="U583" s="6"/>
      <c r="V583" s="6"/>
      <c r="W583" s="6"/>
      <c r="X583" s="6"/>
      <c r="Y583" s="6"/>
      <c r="Z583" s="6"/>
      <c r="AA583" s="6"/>
      <c r="AB583" s="6"/>
      <c r="AC583" s="6"/>
      <c r="AD583" s="6"/>
      <c r="AE583" s="6"/>
      <c r="AF583" s="6"/>
      <c r="AG583" s="6"/>
      <c r="AH583" s="6"/>
      <c r="AI583" s="6"/>
      <c r="AJ583" s="6"/>
      <c r="AK583" s="6"/>
      <c r="AL583" s="6"/>
      <c r="AM583" s="6"/>
      <c r="AN583" s="6"/>
      <c r="AO583" s="6"/>
      <c r="AP583" s="6"/>
      <c r="AQ583" s="6"/>
      <c r="AR583" s="6"/>
      <c r="AS583" s="6"/>
      <c r="AT583" s="6"/>
      <c r="AU583" s="6"/>
      <c r="AV583" s="6"/>
      <c r="AW583" s="6"/>
      <c r="AX583" s="6"/>
      <c r="AY583" s="6"/>
      <c r="AZ583" s="6"/>
      <c r="BA583" s="6"/>
      <c r="BB583" s="6"/>
      <c r="BC583" s="6"/>
      <c r="BD583" s="6"/>
      <c r="BE583" s="6"/>
      <c r="BF583" s="26"/>
      <c r="BG583" s="26"/>
      <c r="BH583" s="26"/>
      <c r="BI583" s="26"/>
      <c r="BJ583" s="26"/>
      <c r="BK583" s="26"/>
      <c r="BL583" s="26"/>
      <c r="BM583" s="26"/>
      <c r="BN583" s="26"/>
      <c r="BO583" s="26"/>
      <c r="BP583" s="26"/>
      <c r="BQ583" s="26"/>
      <c r="BR583" s="26"/>
      <c r="BS583" s="26"/>
      <c r="BT583" s="26"/>
      <c r="BU583" s="26"/>
      <c r="BV583" s="26"/>
      <c r="BW583" s="26"/>
      <c r="BX583" s="26"/>
      <c r="BY583" s="26"/>
      <c r="BZ583" s="26"/>
      <c r="CA583" s="26"/>
      <c r="CB583" s="26"/>
      <c r="CC583" s="26"/>
      <c r="CD583" s="26"/>
      <c r="CE583" s="26"/>
      <c r="CF583" s="26"/>
      <c r="CG583" s="26"/>
      <c r="CH583" s="26"/>
      <c r="CI583" s="26"/>
      <c r="CJ583" s="26"/>
      <c r="CK583" s="26"/>
      <c r="CL583" s="26"/>
      <c r="CM583" s="26"/>
      <c r="CN583" s="26"/>
      <c r="CO583" s="26"/>
    </row>
    <row r="584" spans="3:93" ht="12.75" hidden="1" customHeight="1" x14ac:dyDescent="0.25">
      <c r="C584" s="6">
        <v>1</v>
      </c>
      <c r="D584" s="6"/>
      <c r="E584" s="9" t="s">
        <v>369</v>
      </c>
      <c r="F584" s="20" t="s">
        <v>370</v>
      </c>
      <c r="G584" s="9">
        <f t="shared" ref="G584:G588" si="116">CHOOSE(C570,0,$H$570,$H$571,$H$572,$H$573,$H$574,$H$575,$H$576,$H$577,$H$578,$H$579,$H$580,$H$581)</f>
        <v>0</v>
      </c>
      <c r="H584" s="20" t="s">
        <v>371</v>
      </c>
      <c r="I584" s="9">
        <f t="shared" ref="I584:I588" si="117">CHOOSE($C575,0,$H$570,$H$571,$H$572,$H$573,$H$574,$H$575,$H$576,$H$577,$H$578,$H$579,$H$580,$H$581)</f>
        <v>0</v>
      </c>
      <c r="J584" s="20" t="s">
        <v>372</v>
      </c>
      <c r="K584" s="9">
        <f t="shared" ref="K584:K588" si="118">CHOOSE($C580,0,$H$570,$H$571,$H$572,$H$573,$H$574,$H$575,$H$576,$H$577,$H$578,$H$579,$H$580,$H$581)</f>
        <v>0</v>
      </c>
      <c r="P584" s="6"/>
      <c r="Q584" s="6"/>
      <c r="R584" s="6"/>
      <c r="S584" s="6"/>
      <c r="T584" s="6"/>
      <c r="U584" s="6"/>
      <c r="V584" s="6"/>
      <c r="W584" s="6"/>
      <c r="X584" s="6"/>
      <c r="Y584" s="6"/>
      <c r="Z584" s="6"/>
      <c r="AA584" s="6"/>
      <c r="AB584" s="6"/>
      <c r="AC584" s="6"/>
      <c r="AD584" s="6"/>
      <c r="AE584" s="6"/>
      <c r="AF584" s="6"/>
      <c r="AG584" s="6"/>
      <c r="AH584" s="6"/>
      <c r="AI584" s="6"/>
      <c r="AJ584" s="6"/>
      <c r="AK584" s="6"/>
      <c r="AL584" s="6"/>
      <c r="AM584" s="6"/>
      <c r="AN584" s="6"/>
      <c r="AO584" s="6"/>
      <c r="AP584" s="6"/>
      <c r="AQ584" s="6"/>
      <c r="AR584" s="6"/>
      <c r="AS584" s="6"/>
      <c r="AT584" s="6"/>
      <c r="AU584" s="6"/>
      <c r="AV584" s="6"/>
      <c r="AW584" s="6"/>
      <c r="AX584" s="6"/>
      <c r="AY584" s="6"/>
      <c r="AZ584" s="6"/>
      <c r="BA584" s="6"/>
      <c r="BB584" s="6"/>
      <c r="BC584" s="6"/>
      <c r="BD584" s="6"/>
      <c r="BE584" s="6"/>
      <c r="BF584" s="26"/>
      <c r="BG584" s="26"/>
      <c r="BH584" s="26"/>
      <c r="BI584" s="26"/>
      <c r="BJ584" s="26"/>
      <c r="BK584" s="26"/>
      <c r="BL584" s="26"/>
      <c r="BM584" s="26"/>
      <c r="BN584" s="26"/>
      <c r="BO584" s="26"/>
      <c r="BP584" s="26"/>
      <c r="BQ584" s="26"/>
      <c r="BR584" s="26"/>
      <c r="BS584" s="26"/>
      <c r="BT584" s="26"/>
      <c r="BU584" s="26"/>
      <c r="BV584" s="26"/>
      <c r="BW584" s="26"/>
      <c r="BX584" s="26"/>
      <c r="BY584" s="26"/>
      <c r="BZ584" s="26"/>
      <c r="CA584" s="26"/>
      <c r="CB584" s="26"/>
      <c r="CC584" s="26"/>
      <c r="CD584" s="26"/>
      <c r="CE584" s="26"/>
      <c r="CF584" s="26"/>
      <c r="CG584" s="26"/>
      <c r="CH584" s="26"/>
      <c r="CI584" s="26"/>
      <c r="CJ584" s="26"/>
      <c r="CK584" s="26"/>
      <c r="CL584" s="26"/>
      <c r="CM584" s="26"/>
      <c r="CN584" s="26"/>
      <c r="CO584" s="26"/>
    </row>
    <row r="585" spans="3:93" ht="12.75" hidden="1" customHeight="1" x14ac:dyDescent="0.25">
      <c r="F585" s="20" t="s">
        <v>373</v>
      </c>
      <c r="G585" s="9">
        <f t="shared" si="116"/>
        <v>0</v>
      </c>
      <c r="H585" s="20" t="s">
        <v>374</v>
      </c>
      <c r="I585" s="9">
        <f t="shared" si="117"/>
        <v>0</v>
      </c>
      <c r="J585" s="20" t="s">
        <v>375</v>
      </c>
      <c r="K585" s="9">
        <f t="shared" si="118"/>
        <v>0</v>
      </c>
      <c r="P585" s="6"/>
      <c r="Q585" s="6"/>
      <c r="R585" s="6"/>
      <c r="S585" s="6"/>
      <c r="T585" s="6"/>
      <c r="U585" s="6"/>
      <c r="V585" s="6"/>
      <c r="W585" s="6"/>
      <c r="X585" s="6"/>
      <c r="Y585" s="6"/>
      <c r="Z585" s="6"/>
      <c r="AA585" s="6"/>
      <c r="AB585" s="6"/>
      <c r="AC585" s="6"/>
      <c r="AD585" s="6"/>
      <c r="AE585" s="6"/>
      <c r="AF585" s="6"/>
      <c r="AG585" s="6"/>
      <c r="AH585" s="6"/>
      <c r="AI585" s="6"/>
      <c r="AJ585" s="6"/>
      <c r="AK585" s="6"/>
      <c r="AL585" s="6"/>
      <c r="AM585" s="6"/>
      <c r="AN585" s="6"/>
      <c r="AO585" s="6"/>
      <c r="AP585" s="6"/>
      <c r="AQ585" s="6"/>
      <c r="AR585" s="6"/>
      <c r="AS585" s="6"/>
      <c r="AT585" s="6"/>
      <c r="AU585" s="6"/>
      <c r="AV585" s="6"/>
      <c r="AW585" s="6"/>
      <c r="AX585" s="6"/>
      <c r="AY585" s="6"/>
      <c r="AZ585" s="6"/>
      <c r="BA585" s="6"/>
      <c r="BB585" s="6"/>
      <c r="BC585" s="6"/>
      <c r="BD585" s="6"/>
      <c r="BE585" s="6"/>
      <c r="BF585" s="26"/>
      <c r="BG585" s="26"/>
      <c r="BH585" s="26"/>
      <c r="BI585" s="26"/>
      <c r="BJ585" s="26"/>
      <c r="BK585" s="26"/>
      <c r="BL585" s="26"/>
      <c r="BM585" s="26"/>
      <c r="BN585" s="26"/>
      <c r="BO585" s="26"/>
      <c r="BP585" s="26"/>
      <c r="BQ585" s="26"/>
      <c r="BR585" s="26"/>
      <c r="BS585" s="26"/>
      <c r="BT585" s="26"/>
      <c r="BU585" s="26"/>
      <c r="BV585" s="26"/>
      <c r="BW585" s="26"/>
      <c r="BX585" s="26"/>
      <c r="BY585" s="26"/>
      <c r="BZ585" s="26"/>
      <c r="CA585" s="26"/>
      <c r="CB585" s="26"/>
      <c r="CC585" s="26"/>
      <c r="CD585" s="26"/>
      <c r="CE585" s="26"/>
      <c r="CF585" s="26"/>
      <c r="CG585" s="26"/>
      <c r="CH585" s="26"/>
      <c r="CI585" s="26"/>
      <c r="CJ585" s="26"/>
      <c r="CK585" s="26"/>
      <c r="CL585" s="26"/>
      <c r="CM585" s="26"/>
      <c r="CN585" s="26"/>
      <c r="CO585" s="26"/>
    </row>
    <row r="586" spans="3:93" ht="12.75" hidden="1" customHeight="1" x14ac:dyDescent="0.25">
      <c r="F586" s="20" t="s">
        <v>376</v>
      </c>
      <c r="G586" s="9">
        <f t="shared" si="116"/>
        <v>0</v>
      </c>
      <c r="H586" s="20" t="s">
        <v>377</v>
      </c>
      <c r="I586" s="9">
        <f t="shared" si="117"/>
        <v>0</v>
      </c>
      <c r="J586" s="20" t="s">
        <v>378</v>
      </c>
      <c r="K586" s="9">
        <f t="shared" si="118"/>
        <v>0</v>
      </c>
      <c r="P586" s="6"/>
      <c r="Q586" s="6"/>
      <c r="R586" s="453" t="s">
        <v>379</v>
      </c>
      <c r="S586" s="409"/>
      <c r="T586" s="409"/>
      <c r="U586" s="409"/>
      <c r="V586" s="409"/>
      <c r="W586" s="409"/>
      <c r="X586" s="409"/>
      <c r="Y586" s="409"/>
      <c r="Z586" s="409"/>
      <c r="AA586" s="6"/>
      <c r="AB586" s="6"/>
      <c r="AC586" s="6"/>
      <c r="AD586" s="6"/>
      <c r="AE586" s="6"/>
      <c r="AF586" s="6"/>
      <c r="AG586" s="6"/>
      <c r="AH586" s="6"/>
      <c r="AI586" s="6"/>
      <c r="AJ586" s="6"/>
      <c r="AK586" s="6"/>
      <c r="AL586" s="6"/>
      <c r="AM586" s="6"/>
      <c r="AN586" s="6"/>
      <c r="AO586" s="6"/>
      <c r="AP586" s="6"/>
      <c r="AQ586" s="6"/>
      <c r="AR586" s="6"/>
      <c r="AS586" s="6"/>
      <c r="AT586" s="6"/>
      <c r="AU586" s="6"/>
      <c r="AV586" s="6"/>
      <c r="AW586" s="6"/>
      <c r="AX586" s="6"/>
      <c r="AY586" s="6"/>
      <c r="AZ586" s="6"/>
      <c r="BA586" s="6"/>
      <c r="BB586" s="6"/>
      <c r="BC586" s="6"/>
      <c r="BD586" s="6"/>
      <c r="BE586" s="6"/>
      <c r="BF586" s="26"/>
      <c r="BG586" s="26"/>
      <c r="BH586" s="26"/>
      <c r="BI586" s="26"/>
      <c r="BJ586" s="26"/>
      <c r="BK586" s="26"/>
      <c r="BL586" s="26"/>
      <c r="BM586" s="26"/>
      <c r="BN586" s="26"/>
      <c r="BO586" s="26"/>
      <c r="BP586" s="26"/>
      <c r="BQ586" s="26"/>
      <c r="BR586" s="26"/>
      <c r="BS586" s="26"/>
      <c r="BT586" s="26"/>
      <c r="BU586" s="26"/>
      <c r="BV586" s="26"/>
      <c r="BW586" s="26"/>
      <c r="BX586" s="26"/>
      <c r="BY586" s="26"/>
      <c r="BZ586" s="26"/>
      <c r="CA586" s="26"/>
      <c r="CB586" s="26"/>
      <c r="CC586" s="26"/>
      <c r="CD586" s="26"/>
      <c r="CE586" s="26"/>
      <c r="CF586" s="26"/>
      <c r="CG586" s="26"/>
      <c r="CH586" s="26"/>
      <c r="CI586" s="26"/>
      <c r="CJ586" s="26"/>
      <c r="CK586" s="26"/>
      <c r="CL586" s="26"/>
      <c r="CM586" s="26"/>
      <c r="CN586" s="26"/>
      <c r="CO586" s="26"/>
    </row>
    <row r="587" spans="3:93" ht="12.75" hidden="1" customHeight="1" x14ac:dyDescent="0.25">
      <c r="F587" s="20" t="s">
        <v>380</v>
      </c>
      <c r="G587" s="9">
        <f t="shared" si="116"/>
        <v>0</v>
      </c>
      <c r="H587" s="20" t="s">
        <v>381</v>
      </c>
      <c r="I587" s="9">
        <f t="shared" si="117"/>
        <v>0</v>
      </c>
      <c r="J587" s="20" t="s">
        <v>382</v>
      </c>
      <c r="K587" s="9">
        <f t="shared" si="118"/>
        <v>0</v>
      </c>
      <c r="P587" s="6"/>
      <c r="Q587" s="6" t="s">
        <v>383</v>
      </c>
      <c r="R587" s="6"/>
      <c r="S587" s="454" t="s">
        <v>111</v>
      </c>
      <c r="T587" s="409"/>
      <c r="U587" s="6" t="s">
        <v>112</v>
      </c>
      <c r="V587" s="6"/>
      <c r="W587" s="6"/>
      <c r="X587" s="6"/>
      <c r="Y587" s="6"/>
      <c r="Z587" s="6"/>
      <c r="AA587" s="6"/>
      <c r="AB587" s="6"/>
      <c r="AC587" s="6"/>
      <c r="AD587" s="6"/>
      <c r="AE587" s="6"/>
      <c r="AF587" s="6"/>
      <c r="AG587" s="6"/>
      <c r="AH587" s="6"/>
      <c r="AI587" s="6"/>
      <c r="AJ587" s="6"/>
      <c r="AK587" s="6"/>
      <c r="AL587" s="6"/>
      <c r="AM587" s="6"/>
      <c r="AN587" s="6"/>
      <c r="AO587" s="6"/>
      <c r="AP587" s="6"/>
      <c r="AQ587" s="6"/>
      <c r="AR587" s="6"/>
      <c r="AS587" s="6"/>
      <c r="AT587" s="6"/>
      <c r="AU587" s="6"/>
      <c r="AV587" s="6"/>
      <c r="AW587" s="6"/>
      <c r="AX587" s="6"/>
      <c r="AY587" s="6"/>
      <c r="AZ587" s="6"/>
      <c r="BA587" s="6"/>
      <c r="BB587" s="6"/>
      <c r="BC587" s="6"/>
      <c r="BD587" s="6"/>
      <c r="BE587" s="6"/>
      <c r="BF587" s="26"/>
      <c r="BG587" s="26"/>
      <c r="BH587" s="26"/>
      <c r="BI587" s="26"/>
      <c r="BJ587" s="26"/>
      <c r="BK587" s="26"/>
      <c r="BL587" s="26"/>
      <c r="BM587" s="26"/>
      <c r="BN587" s="26"/>
      <c r="BO587" s="26"/>
      <c r="BP587" s="26"/>
      <c r="BQ587" s="26"/>
      <c r="BR587" s="26"/>
      <c r="BS587" s="26"/>
      <c r="BT587" s="26"/>
      <c r="BU587" s="26"/>
      <c r="BV587" s="26"/>
      <c r="BW587" s="26"/>
      <c r="BX587" s="26"/>
      <c r="BY587" s="26"/>
      <c r="BZ587" s="26"/>
      <c r="CA587" s="26"/>
      <c r="CB587" s="26"/>
      <c r="CC587" s="26"/>
      <c r="CD587" s="26"/>
      <c r="CE587" s="26"/>
      <c r="CF587" s="26"/>
      <c r="CG587" s="26"/>
      <c r="CH587" s="26"/>
      <c r="CI587" s="26"/>
      <c r="CJ587" s="26"/>
      <c r="CK587" s="26"/>
      <c r="CL587" s="26"/>
      <c r="CM587" s="26"/>
      <c r="CN587" s="26"/>
      <c r="CO587" s="26"/>
    </row>
    <row r="588" spans="3:93" ht="12.75" hidden="1" customHeight="1" x14ac:dyDescent="0.25">
      <c r="F588" s="20" t="s">
        <v>384</v>
      </c>
      <c r="G588" s="9">
        <f t="shared" si="116"/>
        <v>0</v>
      </c>
      <c r="H588" s="20" t="s">
        <v>385</v>
      </c>
      <c r="I588" s="9">
        <f t="shared" si="117"/>
        <v>0</v>
      </c>
      <c r="J588" s="20" t="s">
        <v>386</v>
      </c>
      <c r="K588" s="9">
        <f t="shared" si="118"/>
        <v>0</v>
      </c>
      <c r="P588" s="6"/>
      <c r="Q588" s="6"/>
      <c r="R588" s="6"/>
      <c r="S588" s="461">
        <f>SUM(N566+N568+N570)</f>
        <v>0</v>
      </c>
      <c r="T588" s="409"/>
      <c r="U588" s="233">
        <f>SUM(N567+N569)</f>
        <v>0</v>
      </c>
      <c r="V588" s="6"/>
      <c r="W588" s="18" t="s">
        <v>387</v>
      </c>
      <c r="X588" s="6"/>
      <c r="Y588" s="6"/>
      <c r="Z588" s="18" t="s">
        <v>388</v>
      </c>
      <c r="AA588" s="6"/>
      <c r="AB588" s="6"/>
      <c r="AC588" s="6"/>
      <c r="AD588" s="6"/>
      <c r="AE588" s="6"/>
      <c r="AF588" s="6"/>
      <c r="AG588" s="6"/>
      <c r="AH588" s="6"/>
      <c r="AI588" s="6"/>
      <c r="AJ588" s="6"/>
      <c r="AK588" s="6"/>
      <c r="AL588" s="6"/>
      <c r="AM588" s="6"/>
      <c r="AN588" s="6"/>
      <c r="AO588" s="6"/>
      <c r="AP588" s="6"/>
      <c r="AQ588" s="6"/>
      <c r="AR588" s="6"/>
      <c r="AS588" s="6"/>
      <c r="AT588" s="6"/>
      <c r="AU588" s="6"/>
      <c r="AV588" s="6"/>
      <c r="AW588" s="6"/>
      <c r="AX588" s="6"/>
      <c r="AY588" s="6"/>
      <c r="AZ588" s="6"/>
      <c r="BA588" s="6"/>
      <c r="BB588" s="6"/>
      <c r="BC588" s="6"/>
      <c r="BD588" s="6"/>
      <c r="BE588" s="6"/>
      <c r="BF588" s="26"/>
      <c r="BG588" s="26"/>
      <c r="BH588" s="26"/>
      <c r="BI588" s="26"/>
      <c r="BJ588" s="26"/>
      <c r="BK588" s="26"/>
      <c r="BL588" s="26"/>
      <c r="BM588" s="26"/>
      <c r="BN588" s="26"/>
      <c r="BO588" s="26"/>
      <c r="BP588" s="26"/>
      <c r="BQ588" s="26"/>
      <c r="BR588" s="26"/>
      <c r="BS588" s="26"/>
      <c r="BT588" s="26"/>
      <c r="BU588" s="26"/>
      <c r="BV588" s="26"/>
      <c r="BW588" s="26"/>
      <c r="BX588" s="26"/>
      <c r="BY588" s="26"/>
      <c r="BZ588" s="26"/>
      <c r="CA588" s="26"/>
      <c r="CB588" s="26"/>
      <c r="CC588" s="26"/>
      <c r="CD588" s="26"/>
      <c r="CE588" s="26"/>
      <c r="CF588" s="26"/>
      <c r="CG588" s="26"/>
      <c r="CH588" s="26"/>
      <c r="CI588" s="26"/>
      <c r="CJ588" s="26"/>
      <c r="CK588" s="26"/>
      <c r="CL588" s="26"/>
      <c r="CM588" s="26"/>
      <c r="CN588" s="26"/>
      <c r="CO588" s="26"/>
    </row>
    <row r="589" spans="3:93" ht="12.75" hidden="1" customHeight="1" x14ac:dyDescent="0.25">
      <c r="H589" s="20" t="s">
        <v>389</v>
      </c>
      <c r="J589" s="20" t="s">
        <v>390</v>
      </c>
      <c r="P589" s="6"/>
      <c r="Q589" s="6"/>
      <c r="R589" s="6"/>
      <c r="S589" s="461"/>
      <c r="T589" s="409"/>
      <c r="U589" s="233"/>
      <c r="V589" s="6"/>
      <c r="W589" s="6" t="b">
        <f>AND(S588&gt;U588,S592&gt;U592,1)</f>
        <v>0</v>
      </c>
      <c r="X589" s="6"/>
      <c r="Y589" s="6"/>
      <c r="Z589" s="6" t="b">
        <f>AND(U588&gt;=S588,U592&gt;=S592,1)</f>
        <v>1</v>
      </c>
      <c r="AA589" s="6"/>
      <c r="AB589" s="6"/>
      <c r="AC589" s="6"/>
      <c r="AD589" s="6"/>
      <c r="AE589" s="6"/>
      <c r="AF589" s="6"/>
      <c r="AG589" s="6"/>
      <c r="AH589" s="6"/>
      <c r="AI589" s="6"/>
      <c r="AJ589" s="6"/>
      <c r="AK589" s="6"/>
      <c r="AL589" s="6"/>
      <c r="AM589" s="6"/>
      <c r="AN589" s="6"/>
      <c r="AO589" s="6"/>
      <c r="AP589" s="6"/>
      <c r="AQ589" s="6"/>
      <c r="AR589" s="6"/>
      <c r="AS589" s="6"/>
      <c r="AT589" s="6"/>
      <c r="AU589" s="6"/>
      <c r="AV589" s="6"/>
      <c r="AW589" s="6"/>
      <c r="AX589" s="6"/>
      <c r="AY589" s="6"/>
      <c r="AZ589" s="6"/>
      <c r="BA589" s="6"/>
      <c r="BB589" s="6"/>
      <c r="BC589" s="6"/>
      <c r="BD589" s="6"/>
      <c r="BE589" s="6"/>
      <c r="BF589" s="26"/>
      <c r="BG589" s="26"/>
      <c r="BH589" s="26"/>
      <c r="BI589" s="26"/>
      <c r="BJ589" s="26"/>
      <c r="BK589" s="26"/>
      <c r="BL589" s="26"/>
      <c r="BM589" s="26"/>
      <c r="BN589" s="26"/>
      <c r="BO589" s="26"/>
      <c r="BP589" s="26"/>
      <c r="BQ589" s="26"/>
      <c r="BR589" s="26"/>
      <c r="BS589" s="26"/>
      <c r="BT589" s="26"/>
      <c r="BU589" s="26"/>
      <c r="BV589" s="26"/>
      <c r="BW589" s="26"/>
      <c r="BX589" s="26"/>
      <c r="BY589" s="26"/>
      <c r="BZ589" s="26"/>
      <c r="CA589" s="26"/>
      <c r="CB589" s="26"/>
      <c r="CC589" s="26"/>
      <c r="CD589" s="26"/>
      <c r="CE589" s="26"/>
      <c r="CF589" s="26"/>
      <c r="CG589" s="26"/>
      <c r="CH589" s="26"/>
      <c r="CI589" s="26"/>
      <c r="CJ589" s="26"/>
      <c r="CK589" s="26"/>
      <c r="CL589" s="26"/>
      <c r="CM589" s="26"/>
      <c r="CN589" s="26"/>
      <c r="CO589" s="26"/>
    </row>
    <row r="590" spans="3:93" ht="12.75" hidden="1" customHeight="1" x14ac:dyDescent="0.25">
      <c r="H590" s="9" t="s">
        <v>391</v>
      </c>
      <c r="I590" s="9">
        <f>MAX(I584,I585,I586,I587,I588)</f>
        <v>0</v>
      </c>
      <c r="J590" s="9" t="s">
        <v>391</v>
      </c>
      <c r="K590" s="9">
        <f>MAX(K584,K585,K586,K587,K588)</f>
        <v>0</v>
      </c>
      <c r="P590" s="6"/>
      <c r="Q590" s="6"/>
      <c r="R590" s="6"/>
      <c r="S590" s="461">
        <f>IF(S588&gt;U588,S588,U588)</f>
        <v>0</v>
      </c>
      <c r="T590" s="409"/>
      <c r="U590" s="233">
        <f>MIN(S588,U588)</f>
        <v>0</v>
      </c>
      <c r="V590" s="6">
        <f>SUM(S590-U590)</f>
        <v>0</v>
      </c>
      <c r="W590" s="6">
        <f>IF(W589,SUM(V590+V594),0)</f>
        <v>0</v>
      </c>
      <c r="X590" s="6"/>
      <c r="Y590" s="6"/>
      <c r="Z590" s="6">
        <f>IF(Z589,SUM(V590+V594),0)</f>
        <v>0</v>
      </c>
      <c r="AA590" s="6"/>
      <c r="AB590" s="6"/>
      <c r="AC590" s="6"/>
      <c r="AD590" s="6"/>
      <c r="AE590" s="6"/>
      <c r="AF590" s="6"/>
      <c r="AG590" s="6"/>
      <c r="AH590" s="6"/>
      <c r="AI590" s="6"/>
      <c r="AJ590" s="6"/>
      <c r="AK590" s="6"/>
      <c r="AL590" s="6"/>
      <c r="AM590" s="6"/>
      <c r="AN590" s="6"/>
      <c r="AO590" s="6"/>
      <c r="AP590" s="6"/>
      <c r="AQ590" s="6"/>
      <c r="AR590" s="6"/>
      <c r="AS590" s="6"/>
      <c r="AT590" s="6"/>
      <c r="AU590" s="6"/>
      <c r="AV590" s="6"/>
      <c r="AW590" s="6"/>
      <c r="AX590" s="6"/>
      <c r="AY590" s="6"/>
      <c r="AZ590" s="6"/>
      <c r="BA590" s="6"/>
      <c r="BB590" s="6"/>
      <c r="BC590" s="6"/>
      <c r="BD590" s="6"/>
      <c r="BE590" s="6"/>
      <c r="BF590" s="26"/>
      <c r="BG590" s="26"/>
      <c r="BH590" s="26"/>
      <c r="BI590" s="26"/>
      <c r="BJ590" s="26"/>
      <c r="BK590" s="26"/>
      <c r="BL590" s="26"/>
      <c r="BM590" s="26"/>
      <c r="BN590" s="26"/>
      <c r="BO590" s="26"/>
      <c r="BP590" s="26"/>
      <c r="BQ590" s="26"/>
      <c r="BR590" s="26"/>
      <c r="BS590" s="26"/>
      <c r="BT590" s="26"/>
      <c r="BU590" s="26"/>
      <c r="BV590" s="26"/>
      <c r="BW590" s="26"/>
      <c r="BX590" s="26"/>
      <c r="BY590" s="26"/>
      <c r="BZ590" s="26"/>
      <c r="CA590" s="26"/>
      <c r="CB590" s="26"/>
      <c r="CC590" s="26"/>
      <c r="CD590" s="26"/>
      <c r="CE590" s="26"/>
      <c r="CF590" s="26"/>
      <c r="CG590" s="26"/>
      <c r="CH590" s="26"/>
      <c r="CI590" s="26"/>
      <c r="CJ590" s="26"/>
      <c r="CK590" s="26"/>
      <c r="CL590" s="26"/>
      <c r="CM590" s="26"/>
      <c r="CN590" s="26"/>
      <c r="CO590" s="26"/>
    </row>
    <row r="591" spans="3:93" ht="12.75" hidden="1" customHeight="1" x14ac:dyDescent="0.25">
      <c r="H591" s="9" t="s">
        <v>392</v>
      </c>
      <c r="I591" s="9">
        <f>SUM(I584:I588)-MAX(I584,I585,I586,I587,I588)</f>
        <v>0</v>
      </c>
      <c r="J591" s="9" t="s">
        <v>392</v>
      </c>
      <c r="K591" s="9">
        <f>SUM(K584:K588)-MAX(K584,K585,K586,K587,K588)</f>
        <v>0</v>
      </c>
      <c r="P591" s="6"/>
      <c r="Q591" s="6"/>
      <c r="R591" s="6"/>
      <c r="S591" s="461"/>
      <c r="T591" s="409"/>
      <c r="U591" s="233"/>
      <c r="V591" s="6"/>
      <c r="W591" s="6"/>
      <c r="X591" s="6"/>
      <c r="Y591" s="6"/>
      <c r="Z591" s="6"/>
      <c r="AA591" s="6"/>
      <c r="AB591" s="6"/>
      <c r="AC591" s="6"/>
      <c r="AD591" s="6"/>
      <c r="AE591" s="6"/>
      <c r="AF591" s="6"/>
      <c r="AG591" s="6"/>
      <c r="AH591" s="6"/>
      <c r="AI591" s="6"/>
      <c r="AJ591" s="6"/>
      <c r="AK591" s="6"/>
      <c r="AL591" s="6"/>
      <c r="AM591" s="6"/>
      <c r="AN591" s="6"/>
      <c r="AO591" s="6"/>
      <c r="AP591" s="6"/>
      <c r="AQ591" s="6"/>
      <c r="AR591" s="6"/>
      <c r="AS591" s="6"/>
      <c r="AT591" s="6"/>
      <c r="AU591" s="6"/>
      <c r="AV591" s="6"/>
      <c r="AW591" s="6"/>
      <c r="AX591" s="6"/>
      <c r="AY591" s="6"/>
      <c r="AZ591" s="6"/>
      <c r="BA591" s="6"/>
      <c r="BB591" s="6"/>
      <c r="BC591" s="6"/>
      <c r="BD591" s="6"/>
      <c r="BE591" s="6"/>
      <c r="BF591" s="26"/>
      <c r="BG591" s="26"/>
      <c r="BH591" s="26"/>
      <c r="BI591" s="26"/>
      <c r="BJ591" s="26"/>
      <c r="BK591" s="26"/>
      <c r="BL591" s="26"/>
      <c r="BM591" s="26"/>
      <c r="BN591" s="26"/>
      <c r="BO591" s="26"/>
      <c r="BP591" s="26"/>
      <c r="BQ591" s="26"/>
      <c r="BR591" s="26"/>
      <c r="BS591" s="26"/>
      <c r="BT591" s="26"/>
      <c r="BU591" s="26"/>
      <c r="BV591" s="26"/>
      <c r="BW591" s="26"/>
      <c r="BX591" s="26"/>
      <c r="BY591" s="26"/>
      <c r="BZ591" s="26"/>
      <c r="CA591" s="26"/>
      <c r="CB591" s="26"/>
      <c r="CC591" s="26"/>
      <c r="CD591" s="26"/>
      <c r="CE591" s="26"/>
      <c r="CF591" s="26"/>
      <c r="CG591" s="26"/>
      <c r="CH591" s="26"/>
      <c r="CI591" s="26"/>
      <c r="CJ591" s="26"/>
      <c r="CK591" s="26"/>
      <c r="CL591" s="26"/>
      <c r="CM591" s="26"/>
      <c r="CN591" s="26"/>
      <c r="CO591" s="26"/>
    </row>
    <row r="592" spans="3:93" ht="12.75" hidden="1" customHeight="1" x14ac:dyDescent="0.25">
      <c r="C592" s="6">
        <v>1</v>
      </c>
      <c r="D592" s="6"/>
      <c r="F592" s="9" t="s">
        <v>73</v>
      </c>
      <c r="H592" s="233" t="s">
        <v>393</v>
      </c>
      <c r="I592" s="52">
        <f>SUM(I590)+I591</f>
        <v>0</v>
      </c>
      <c r="J592" s="233" t="s">
        <v>393</v>
      </c>
      <c r="K592" s="52">
        <f>SUM(K590)+K591</f>
        <v>0</v>
      </c>
      <c r="P592" s="6"/>
      <c r="Q592" s="6" t="s">
        <v>394</v>
      </c>
      <c r="R592" s="6"/>
      <c r="S592" s="461">
        <f>SUM(N572+N574)</f>
        <v>0</v>
      </c>
      <c r="T592" s="409"/>
      <c r="U592" s="233">
        <f>SUM(N571+N573+N575)</f>
        <v>0</v>
      </c>
      <c r="V592" s="6"/>
      <c r="W592" s="6" t="b">
        <f>AND(S588&gt;=U588,U592&gt;=S592,1)</f>
        <v>1</v>
      </c>
      <c r="X592" s="6"/>
      <c r="Y592" s="6"/>
      <c r="Z592" s="6" t="b">
        <f>AND(S592&gt;U592,U588&gt;S588,1)</f>
        <v>0</v>
      </c>
      <c r="AA592" s="6"/>
      <c r="AB592" s="6"/>
      <c r="AC592" s="6"/>
      <c r="AD592" s="6"/>
      <c r="AE592" s="6"/>
      <c r="AF592" s="6"/>
      <c r="AG592" s="6"/>
      <c r="AH592" s="6"/>
      <c r="AI592" s="6"/>
      <c r="AJ592" s="6"/>
      <c r="AK592" s="6"/>
      <c r="AL592" s="6"/>
      <c r="AM592" s="6"/>
      <c r="AN592" s="6"/>
      <c r="AO592" s="6"/>
      <c r="AP592" s="6"/>
      <c r="AQ592" s="6"/>
      <c r="AR592" s="6"/>
      <c r="AS592" s="6"/>
      <c r="AT592" s="6"/>
      <c r="AU592" s="6"/>
      <c r="AV592" s="6"/>
      <c r="AW592" s="6"/>
      <c r="AX592" s="6"/>
      <c r="AY592" s="6"/>
      <c r="AZ592" s="6"/>
      <c r="BA592" s="6"/>
      <c r="BB592" s="6"/>
      <c r="BC592" s="6"/>
      <c r="BD592" s="6"/>
      <c r="BE592" s="6"/>
      <c r="BF592" s="26"/>
      <c r="BG592" s="26"/>
      <c r="BH592" s="26"/>
      <c r="BI592" s="26"/>
      <c r="BJ592" s="26"/>
      <c r="BK592" s="26"/>
      <c r="BL592" s="26"/>
      <c r="BM592" s="26"/>
      <c r="BN592" s="26"/>
      <c r="BO592" s="26"/>
      <c r="BP592" s="26"/>
      <c r="BQ592" s="26"/>
      <c r="BR592" s="26"/>
      <c r="BS592" s="26"/>
      <c r="BT592" s="26"/>
      <c r="BU592" s="26"/>
      <c r="BV592" s="26"/>
      <c r="BW592" s="26"/>
      <c r="BX592" s="26"/>
      <c r="BY592" s="26"/>
      <c r="BZ592" s="26"/>
      <c r="CA592" s="26"/>
      <c r="CB592" s="26"/>
      <c r="CC592" s="26"/>
      <c r="CD592" s="26"/>
      <c r="CE592" s="26"/>
      <c r="CF592" s="26"/>
      <c r="CG592" s="26"/>
      <c r="CH592" s="26"/>
      <c r="CI592" s="26"/>
      <c r="CJ592" s="26"/>
      <c r="CK592" s="26"/>
      <c r="CL592" s="26"/>
      <c r="CM592" s="26"/>
      <c r="CN592" s="26"/>
      <c r="CO592" s="26"/>
    </row>
    <row r="593" spans="6:93" ht="12.75" hidden="1" customHeight="1" x14ac:dyDescent="0.25">
      <c r="F593" s="9" t="s">
        <v>395</v>
      </c>
      <c r="I593" s="9">
        <f>IF($AB$579=0,I592*125%,I592)</f>
        <v>0</v>
      </c>
      <c r="K593" s="9">
        <f>IF($AB$579=0,K592,K590)</f>
        <v>0</v>
      </c>
      <c r="P593" s="6"/>
      <c r="Q593" s="6"/>
      <c r="R593" s="6"/>
      <c r="S593" s="461"/>
      <c r="T593" s="409"/>
      <c r="U593" s="233"/>
      <c r="V593" s="6"/>
      <c r="W593" s="6">
        <f>IF(W592,MAX(V590,V594)-MIN(V590,V594),0)</f>
        <v>0</v>
      </c>
      <c r="X593" s="6"/>
      <c r="Y593" s="6"/>
      <c r="Z593" s="6">
        <f>IF(Z592,MAX(V590,V594)-MIN(V590,V594),0)</f>
        <v>0</v>
      </c>
      <c r="AA593" s="6"/>
      <c r="BF593" s="26"/>
      <c r="BG593" s="26"/>
      <c r="BH593" s="26"/>
      <c r="BI593" s="26"/>
      <c r="BJ593" s="26"/>
      <c r="BK593" s="26"/>
      <c r="BL593" s="26"/>
      <c r="BM593" s="26"/>
      <c r="BN593" s="26"/>
      <c r="BO593" s="26"/>
      <c r="BP593" s="26"/>
      <c r="BQ593" s="26"/>
      <c r="BR593" s="26"/>
      <c r="BS593" s="26"/>
      <c r="BT593" s="26"/>
      <c r="BU593" s="26"/>
      <c r="BV593" s="26"/>
      <c r="BW593" s="26"/>
      <c r="BX593" s="26"/>
      <c r="BY593" s="26"/>
      <c r="BZ593" s="26"/>
      <c r="CA593" s="26"/>
      <c r="CB593" s="26"/>
      <c r="CC593" s="26"/>
      <c r="CD593" s="26"/>
      <c r="CE593" s="26"/>
      <c r="CF593" s="26"/>
      <c r="CG593" s="26"/>
      <c r="CH593" s="26"/>
      <c r="CI593" s="26"/>
      <c r="CJ593" s="26"/>
      <c r="CK593" s="26"/>
      <c r="CL593" s="26"/>
      <c r="CM593" s="26"/>
      <c r="CN593" s="26"/>
      <c r="CO593" s="26"/>
    </row>
    <row r="594" spans="6:93" ht="12.75" hidden="1" customHeight="1" x14ac:dyDescent="0.25">
      <c r="F594" s="6">
        <f>CHOOSE(C592,0,H570,H571,H572,H573,H574,H575,H576,H577)</f>
        <v>0</v>
      </c>
      <c r="P594" s="6"/>
      <c r="Q594" s="6"/>
      <c r="R594" s="6"/>
      <c r="S594" s="461">
        <f>IF(S592&gt;U592,S592,U592)</f>
        <v>0</v>
      </c>
      <c r="T594" s="409"/>
      <c r="U594" s="233">
        <f>MIN(S592,U592)</f>
        <v>0</v>
      </c>
      <c r="V594" s="6">
        <f>SUM(S594-U594)</f>
        <v>0</v>
      </c>
      <c r="W594" s="6"/>
      <c r="X594" s="6"/>
      <c r="Y594" s="6"/>
      <c r="Z594" s="6"/>
      <c r="AA594" s="6"/>
      <c r="BF594" s="26"/>
      <c r="BG594" s="26"/>
      <c r="BH594" s="26"/>
      <c r="BI594" s="26"/>
      <c r="BJ594" s="26"/>
      <c r="BK594" s="26"/>
      <c r="BL594" s="26"/>
      <c r="BM594" s="26"/>
      <c r="BN594" s="26"/>
      <c r="BO594" s="26"/>
      <c r="BP594" s="26"/>
      <c r="BQ594" s="26"/>
      <c r="BR594" s="26"/>
      <c r="BS594" s="26"/>
      <c r="BT594" s="26"/>
      <c r="BU594" s="26"/>
      <c r="BV594" s="26"/>
      <c r="BW594" s="26"/>
      <c r="BX594" s="26"/>
      <c r="BY594" s="26"/>
      <c r="BZ594" s="26"/>
      <c r="CA594" s="26"/>
      <c r="CB594" s="26"/>
      <c r="CC594" s="26"/>
      <c r="CD594" s="26"/>
      <c r="CE594" s="26"/>
      <c r="CF594" s="26"/>
      <c r="CG594" s="26"/>
      <c r="CH594" s="26"/>
      <c r="CI594" s="26"/>
      <c r="CJ594" s="26"/>
      <c r="CK594" s="26"/>
      <c r="CL594" s="26"/>
      <c r="CM594" s="26"/>
      <c r="CN594" s="26"/>
      <c r="CO594" s="26"/>
    </row>
    <row r="595" spans="6:93" ht="12.75" hidden="1" customHeight="1" x14ac:dyDescent="0.25">
      <c r="P595" s="6"/>
      <c r="Q595" s="6"/>
      <c r="R595" s="6"/>
      <c r="S595" s="462"/>
      <c r="T595" s="409"/>
      <c r="U595" s="233"/>
      <c r="V595" s="6"/>
      <c r="W595" s="6"/>
      <c r="X595" s="6"/>
      <c r="Y595" s="6"/>
      <c r="Z595" s="6"/>
      <c r="AA595" s="6"/>
      <c r="BF595" s="26"/>
      <c r="BG595" s="26"/>
      <c r="BH595" s="26"/>
      <c r="BI595" s="26"/>
      <c r="BJ595" s="26"/>
      <c r="BK595" s="26"/>
      <c r="BL595" s="26"/>
      <c r="BM595" s="26"/>
      <c r="BN595" s="26"/>
      <c r="BO595" s="26"/>
      <c r="BP595" s="26"/>
      <c r="BQ595" s="26"/>
      <c r="BR595" s="26"/>
      <c r="BS595" s="26"/>
      <c r="BT595" s="26"/>
      <c r="BU595" s="26"/>
      <c r="BV595" s="26"/>
      <c r="BW595" s="26"/>
      <c r="BX595" s="26"/>
      <c r="BY595" s="26"/>
      <c r="BZ595" s="26"/>
      <c r="CA595" s="26"/>
      <c r="CB595" s="26"/>
      <c r="CC595" s="26"/>
      <c r="CD595" s="26"/>
      <c r="CE595" s="26"/>
      <c r="CF595" s="26"/>
      <c r="CG595" s="26"/>
      <c r="CH595" s="26"/>
      <c r="CI595" s="26"/>
      <c r="CJ595" s="26"/>
      <c r="CK595" s="26"/>
      <c r="CL595" s="26"/>
      <c r="CM595" s="26"/>
      <c r="CN595" s="26"/>
      <c r="CO595" s="26"/>
    </row>
    <row r="596" spans="6:93" ht="12.75" hidden="1" customHeight="1" x14ac:dyDescent="0.25">
      <c r="P596" s="6"/>
      <c r="Q596" s="6"/>
      <c r="R596" s="6"/>
      <c r="S596" s="6"/>
      <c r="T596" s="6"/>
      <c r="U596" s="6"/>
      <c r="V596" s="6" t="s">
        <v>396</v>
      </c>
      <c r="W596" s="6" t="b">
        <f>OR(W592,Z589,W593)</f>
        <v>1</v>
      </c>
      <c r="X596" s="6"/>
      <c r="Y596" s="6"/>
      <c r="Z596" s="6">
        <f>IF(W596,W593,0)</f>
        <v>0</v>
      </c>
      <c r="AA596" s="6"/>
      <c r="BF596" s="26"/>
      <c r="BG596" s="26"/>
      <c r="BH596" s="26"/>
      <c r="BI596" s="26"/>
      <c r="BJ596" s="26"/>
      <c r="BK596" s="26"/>
      <c r="BL596" s="26"/>
      <c r="BM596" s="26"/>
      <c r="BN596" s="26"/>
      <c r="BO596" s="26"/>
      <c r="BP596" s="26"/>
      <c r="BQ596" s="26"/>
      <c r="BR596" s="26"/>
      <c r="BS596" s="26"/>
      <c r="BT596" s="26"/>
      <c r="BU596" s="26"/>
      <c r="BV596" s="26"/>
      <c r="BW596" s="26"/>
      <c r="BX596" s="26"/>
      <c r="BY596" s="26"/>
      <c r="BZ596" s="26"/>
      <c r="CA596" s="26"/>
      <c r="CB596" s="26"/>
      <c r="CC596" s="26"/>
      <c r="CD596" s="26"/>
      <c r="CE596" s="26"/>
      <c r="CF596" s="26"/>
      <c r="CG596" s="26"/>
      <c r="CH596" s="26"/>
      <c r="CI596" s="26"/>
      <c r="CJ596" s="26"/>
      <c r="CK596" s="26"/>
      <c r="CL596" s="26"/>
      <c r="CM596" s="26"/>
      <c r="CN596" s="26"/>
      <c r="CO596" s="26"/>
    </row>
    <row r="597" spans="6:93" ht="12.75" hidden="1" customHeight="1" x14ac:dyDescent="0.25">
      <c r="P597" s="6"/>
      <c r="Q597" s="6"/>
      <c r="R597" s="6"/>
      <c r="S597" s="6"/>
      <c r="T597" s="6"/>
      <c r="U597" s="6"/>
      <c r="V597" s="6" t="s">
        <v>396</v>
      </c>
      <c r="W597" s="6" t="b">
        <f>OR(W592,Z589,Z590)</f>
        <v>1</v>
      </c>
      <c r="X597" s="6"/>
      <c r="Y597" s="6"/>
      <c r="Z597" s="6">
        <f>IF(W597,Z590,0)</f>
        <v>0</v>
      </c>
      <c r="AA597" s="6"/>
      <c r="BF597" s="26"/>
      <c r="BG597" s="26"/>
      <c r="BH597" s="26"/>
      <c r="BI597" s="26"/>
      <c r="BJ597" s="26"/>
      <c r="BK597" s="26"/>
      <c r="BL597" s="26"/>
      <c r="BM597" s="26"/>
      <c r="BN597" s="26"/>
      <c r="BO597" s="26"/>
      <c r="BP597" s="26"/>
      <c r="BQ597" s="26"/>
      <c r="BR597" s="26"/>
      <c r="BS597" s="26"/>
      <c r="BT597" s="26"/>
      <c r="BU597" s="26"/>
      <c r="BV597" s="26"/>
      <c r="BW597" s="26"/>
      <c r="BX597" s="26"/>
      <c r="BY597" s="26"/>
      <c r="BZ597" s="26"/>
      <c r="CA597" s="26"/>
      <c r="CB597" s="26"/>
      <c r="CC597" s="26"/>
      <c r="CD597" s="26"/>
      <c r="CE597" s="26"/>
      <c r="CF597" s="26"/>
      <c r="CG597" s="26"/>
      <c r="CH597" s="26"/>
      <c r="CI597" s="26"/>
      <c r="CJ597" s="26"/>
      <c r="CK597" s="26"/>
      <c r="CL597" s="26"/>
      <c r="CM597" s="26"/>
      <c r="CN597" s="26"/>
      <c r="CO597" s="26"/>
    </row>
    <row r="598" spans="6:93" ht="12.75" hidden="1" customHeight="1" x14ac:dyDescent="0.25">
      <c r="P598" s="6"/>
      <c r="Q598" s="6"/>
      <c r="R598" s="6"/>
      <c r="S598" s="6"/>
      <c r="T598" s="6"/>
      <c r="U598" s="6"/>
      <c r="V598" s="6"/>
      <c r="W598" s="6"/>
      <c r="X598" s="6"/>
      <c r="Y598" s="6"/>
      <c r="Z598" s="6">
        <f>IF(Z592,Z593,0)</f>
        <v>0</v>
      </c>
      <c r="AA598" s="6"/>
      <c r="BF598" s="26"/>
      <c r="BG598" s="26"/>
      <c r="BH598" s="26"/>
      <c r="BI598" s="26"/>
      <c r="BJ598" s="26"/>
      <c r="BK598" s="26"/>
      <c r="BL598" s="26"/>
      <c r="BM598" s="26"/>
      <c r="BN598" s="26"/>
      <c r="BO598" s="26"/>
      <c r="BP598" s="26"/>
      <c r="BQ598" s="26"/>
      <c r="BR598" s="26"/>
      <c r="BS598" s="26"/>
      <c r="BT598" s="26"/>
      <c r="BU598" s="26"/>
      <c r="BV598" s="26"/>
      <c r="BW598" s="26"/>
      <c r="BX598" s="26"/>
      <c r="BY598" s="26"/>
      <c r="BZ598" s="26"/>
      <c r="CA598" s="26"/>
      <c r="CB598" s="26"/>
      <c r="CC598" s="26"/>
      <c r="CD598" s="26"/>
      <c r="CE598" s="26"/>
      <c r="CF598" s="26"/>
      <c r="CG598" s="26"/>
      <c r="CH598" s="26"/>
      <c r="CI598" s="26"/>
      <c r="CJ598" s="26"/>
      <c r="CK598" s="26"/>
      <c r="CL598" s="26"/>
      <c r="CM598" s="26"/>
      <c r="CN598" s="26"/>
      <c r="CO598" s="26"/>
    </row>
    <row r="599" spans="6:93" ht="12.75" hidden="1" customHeight="1" x14ac:dyDescent="0.25">
      <c r="P599" s="6"/>
      <c r="Q599" s="6"/>
      <c r="R599" s="6"/>
      <c r="S599" s="6"/>
      <c r="T599" s="6"/>
      <c r="U599" s="6"/>
      <c r="V599" s="6"/>
      <c r="W599" s="6"/>
      <c r="X599" s="6"/>
      <c r="Y599" s="6"/>
      <c r="Z599" s="6">
        <f>W590</f>
        <v>0</v>
      </c>
      <c r="AA599" s="6"/>
      <c r="BF599" s="26"/>
      <c r="BG599" s="26"/>
      <c r="BH599" s="26"/>
      <c r="BI599" s="26"/>
      <c r="BJ599" s="26"/>
      <c r="BK599" s="26"/>
      <c r="BL599" s="26"/>
      <c r="BM599" s="26"/>
      <c r="BN599" s="26"/>
      <c r="BO599" s="26"/>
      <c r="BP599" s="26"/>
      <c r="BQ599" s="26"/>
      <c r="BR599" s="26"/>
      <c r="BS599" s="26"/>
      <c r="BT599" s="26"/>
      <c r="BU599" s="26"/>
      <c r="BV599" s="26"/>
      <c r="BW599" s="26"/>
      <c r="BX599" s="26"/>
      <c r="BY599" s="26"/>
      <c r="BZ599" s="26"/>
      <c r="CA599" s="26"/>
      <c r="CB599" s="26"/>
      <c r="CC599" s="26"/>
      <c r="CD599" s="26"/>
      <c r="CE599" s="26"/>
      <c r="CF599" s="26"/>
      <c r="CG599" s="26"/>
      <c r="CH599" s="26"/>
      <c r="CI599" s="26"/>
      <c r="CJ599" s="26"/>
      <c r="CK599" s="26"/>
      <c r="CL599" s="26"/>
      <c r="CM599" s="26"/>
      <c r="CN599" s="26"/>
      <c r="CO599" s="26"/>
    </row>
    <row r="600" spans="6:93" ht="12.75" hidden="1" customHeight="1" x14ac:dyDescent="0.25">
      <c r="P600" s="6"/>
      <c r="Q600" s="6"/>
      <c r="R600" s="6"/>
      <c r="S600" s="6"/>
      <c r="T600" s="6"/>
      <c r="U600" s="6"/>
      <c r="V600" s="6"/>
      <c r="W600" s="6" t="s">
        <v>397</v>
      </c>
      <c r="X600" s="6"/>
      <c r="Y600" s="6"/>
      <c r="Z600" s="6">
        <f>SUM(Z596:Z599)</f>
        <v>0</v>
      </c>
      <c r="AA600" s="6"/>
      <c r="BF600" s="26"/>
      <c r="BG600" s="26"/>
      <c r="BH600" s="26"/>
      <c r="BI600" s="26"/>
      <c r="BJ600" s="26"/>
      <c r="BK600" s="26"/>
      <c r="BL600" s="26"/>
      <c r="BM600" s="26"/>
      <c r="BN600" s="26"/>
      <c r="BO600" s="26"/>
      <c r="BP600" s="26"/>
      <c r="BQ600" s="26"/>
      <c r="BR600" s="26"/>
      <c r="BS600" s="26"/>
      <c r="BT600" s="26"/>
      <c r="BU600" s="26"/>
      <c r="BV600" s="26"/>
      <c r="BW600" s="26"/>
      <c r="BX600" s="26"/>
      <c r="BY600" s="26"/>
      <c r="BZ600" s="26"/>
      <c r="CA600" s="26"/>
      <c r="CB600" s="26"/>
      <c r="CC600" s="26"/>
      <c r="CD600" s="26"/>
      <c r="CE600" s="26"/>
      <c r="CF600" s="26"/>
      <c r="CG600" s="26"/>
      <c r="CH600" s="26"/>
      <c r="CI600" s="26"/>
      <c r="CJ600" s="26"/>
      <c r="CK600" s="26"/>
      <c r="CL600" s="26"/>
      <c r="CM600" s="26"/>
      <c r="CN600" s="26"/>
      <c r="CO600" s="26"/>
    </row>
    <row r="601" spans="6:93" ht="12.75" hidden="1" customHeight="1" x14ac:dyDescent="0.25">
      <c r="M601" s="18" t="s">
        <v>111</v>
      </c>
      <c r="N601" s="18" t="s">
        <v>112</v>
      </c>
      <c r="P601" s="6"/>
      <c r="Q601" s="6"/>
      <c r="R601" s="6"/>
      <c r="S601" s="6"/>
      <c r="T601" s="6"/>
      <c r="U601" s="6"/>
      <c r="V601" s="6"/>
      <c r="W601" s="6"/>
      <c r="X601" s="6"/>
      <c r="Y601" s="6"/>
      <c r="Z601" s="6"/>
      <c r="AA601" s="6"/>
      <c r="BF601" s="26"/>
      <c r="BG601" s="26"/>
      <c r="BH601" s="26"/>
      <c r="BI601" s="26"/>
      <c r="BJ601" s="26"/>
      <c r="BK601" s="26"/>
      <c r="BL601" s="26"/>
      <c r="BM601" s="26"/>
      <c r="BN601" s="26"/>
      <c r="BO601" s="26"/>
      <c r="BP601" s="26"/>
      <c r="BQ601" s="26"/>
      <c r="BR601" s="26"/>
      <c r="BS601" s="26"/>
      <c r="BT601" s="26"/>
      <c r="BU601" s="26"/>
      <c r="BV601" s="26"/>
      <c r="BW601" s="26"/>
      <c r="BX601" s="26"/>
      <c r="BY601" s="26"/>
      <c r="BZ601" s="26"/>
      <c r="CA601" s="26"/>
      <c r="CB601" s="26"/>
      <c r="CC601" s="26"/>
      <c r="CD601" s="26"/>
      <c r="CE601" s="26"/>
      <c r="CF601" s="26"/>
      <c r="CG601" s="26"/>
      <c r="CH601" s="26"/>
      <c r="CI601" s="26"/>
      <c r="CJ601" s="26"/>
      <c r="CK601" s="26"/>
      <c r="CL601" s="26"/>
      <c r="CM601" s="26"/>
      <c r="CN601" s="26"/>
      <c r="CO601" s="26"/>
    </row>
    <row r="602" spans="6:93" ht="12.75" hidden="1" customHeight="1" x14ac:dyDescent="0.25">
      <c r="L602" s="9" t="s">
        <v>124</v>
      </c>
      <c r="M602" s="65">
        <f t="shared" ref="M602:N602" si="119">I61</f>
        <v>0</v>
      </c>
      <c r="N602" s="65">
        <f t="shared" si="119"/>
        <v>0</v>
      </c>
      <c r="P602" s="6"/>
      <c r="Q602" s="5" t="str">
        <f>IF(Q604&gt;R604,"A"," ")</f>
        <v xml:space="preserve"> </v>
      </c>
      <c r="R602" s="5" t="str">
        <f>IF(R604&gt;Q604,"B"," ")</f>
        <v xml:space="preserve"> </v>
      </c>
      <c r="S602" s="6"/>
      <c r="T602" s="6" t="s">
        <v>398</v>
      </c>
      <c r="U602" s="6"/>
      <c r="V602" s="6"/>
      <c r="W602" s="6"/>
      <c r="X602" s="6"/>
      <c r="Y602" s="6"/>
      <c r="Z602" s="6"/>
      <c r="AA602" s="6"/>
      <c r="BF602" s="26"/>
      <c r="BG602" s="26"/>
      <c r="BH602" s="26"/>
      <c r="BI602" s="26"/>
      <c r="BJ602" s="26"/>
      <c r="BK602" s="26"/>
      <c r="BL602" s="26"/>
      <c r="BM602" s="26"/>
      <c r="BN602" s="26"/>
      <c r="BO602" s="26"/>
      <c r="BP602" s="26"/>
      <c r="BQ602" s="26"/>
      <c r="BR602" s="26"/>
      <c r="BS602" s="26"/>
      <c r="BT602" s="26"/>
      <c r="BU602" s="26"/>
      <c r="BV602" s="26"/>
      <c r="BW602" s="26"/>
      <c r="BX602" s="26"/>
      <c r="BY602" s="26"/>
      <c r="BZ602" s="26"/>
      <c r="CA602" s="26"/>
      <c r="CB602" s="26"/>
      <c r="CC602" s="26"/>
      <c r="CD602" s="26"/>
      <c r="CE602" s="26"/>
      <c r="CF602" s="26"/>
      <c r="CG602" s="26"/>
      <c r="CH602" s="26"/>
      <c r="CI602" s="26"/>
      <c r="CJ602" s="26"/>
      <c r="CK602" s="26"/>
      <c r="CL602" s="26"/>
      <c r="CM602" s="26"/>
      <c r="CN602" s="26"/>
      <c r="CO602" s="26"/>
    </row>
    <row r="603" spans="6:93" ht="12.75" hidden="1" customHeight="1" x14ac:dyDescent="0.25">
      <c r="M603" s="18">
        <v>0</v>
      </c>
      <c r="N603" s="18">
        <f>IF($E$146,J62,0)</f>
        <v>0</v>
      </c>
      <c r="P603" s="6"/>
      <c r="Q603" s="6"/>
      <c r="R603" s="6"/>
      <c r="S603" s="6"/>
      <c r="T603" s="6"/>
      <c r="U603" s="6"/>
      <c r="V603" s="6"/>
      <c r="W603" s="6"/>
      <c r="X603" s="6"/>
      <c r="Y603" s="6"/>
      <c r="Z603" s="6"/>
      <c r="AA603" s="6"/>
      <c r="BF603" s="26"/>
      <c r="BG603" s="26"/>
      <c r="BH603" s="26"/>
      <c r="BI603" s="26"/>
      <c r="BJ603" s="26"/>
      <c r="BK603" s="26"/>
      <c r="BL603" s="26"/>
      <c r="BM603" s="26"/>
      <c r="BN603" s="26"/>
      <c r="BO603" s="26"/>
      <c r="BP603" s="26"/>
      <c r="BQ603" s="26"/>
      <c r="BR603" s="26"/>
      <c r="BS603" s="26"/>
      <c r="BT603" s="26"/>
      <c r="BU603" s="26"/>
      <c r="BV603" s="26"/>
      <c r="BW603" s="26"/>
      <c r="BX603" s="26"/>
      <c r="BY603" s="26"/>
      <c r="BZ603" s="26"/>
      <c r="CA603" s="26"/>
      <c r="CB603" s="26"/>
      <c r="CC603" s="26"/>
      <c r="CD603" s="26"/>
      <c r="CE603" s="26"/>
      <c r="CF603" s="26"/>
      <c r="CG603" s="26"/>
      <c r="CH603" s="26"/>
      <c r="CI603" s="26"/>
      <c r="CJ603" s="26"/>
      <c r="CK603" s="26"/>
      <c r="CL603" s="26"/>
      <c r="CM603" s="26"/>
      <c r="CN603" s="26"/>
      <c r="CO603" s="26"/>
    </row>
    <row r="604" spans="6:93" ht="12.75" hidden="1" customHeight="1" x14ac:dyDescent="0.25">
      <c r="M604" s="18">
        <f>IF($E$144,I63,0)</f>
        <v>0</v>
      </c>
      <c r="N604" s="18">
        <v>0</v>
      </c>
      <c r="P604" s="6"/>
      <c r="Q604" s="150">
        <f>SUM(N566+N568+N570+N572+N574+M606)</f>
        <v>0</v>
      </c>
      <c r="R604" s="150">
        <f>SUM(N567+N569+N571+N573+N575+N606)</f>
        <v>0</v>
      </c>
      <c r="S604" s="6"/>
      <c r="T604" s="6"/>
      <c r="U604" s="6"/>
      <c r="V604" s="6">
        <f>IF(V590&gt;V594,SUM(V590-V594),SUM(V594-V590))</f>
        <v>0</v>
      </c>
      <c r="W604" s="6"/>
      <c r="X604" s="6"/>
      <c r="Y604" s="6"/>
      <c r="Z604" s="6"/>
      <c r="AA604" s="6"/>
      <c r="BF604" s="26"/>
      <c r="BG604" s="26"/>
      <c r="BH604" s="26"/>
      <c r="BI604" s="26"/>
      <c r="BJ604" s="26"/>
      <c r="BK604" s="26"/>
      <c r="BL604" s="26"/>
      <c r="BM604" s="26"/>
      <c r="BN604" s="26"/>
      <c r="BO604" s="26"/>
      <c r="BP604" s="26"/>
      <c r="BQ604" s="26"/>
      <c r="BR604" s="26"/>
      <c r="BS604" s="26"/>
      <c r="BT604" s="26"/>
      <c r="BU604" s="26"/>
      <c r="BV604" s="26"/>
      <c r="BW604" s="26"/>
      <c r="BX604" s="26"/>
      <c r="BY604" s="26"/>
      <c r="BZ604" s="26"/>
      <c r="CA604" s="26"/>
      <c r="CB604" s="26"/>
      <c r="CC604" s="26"/>
      <c r="CD604" s="26"/>
      <c r="CE604" s="26"/>
      <c r="CF604" s="26"/>
      <c r="CG604" s="26"/>
      <c r="CH604" s="26"/>
      <c r="CI604" s="26"/>
      <c r="CJ604" s="26"/>
      <c r="CK604" s="26"/>
      <c r="CL604" s="26"/>
      <c r="CM604" s="26"/>
      <c r="CN604" s="26"/>
      <c r="CO604" s="26"/>
    </row>
    <row r="605" spans="6:93" ht="12.75" hidden="1" customHeight="1" x14ac:dyDescent="0.25">
      <c r="M605" s="18">
        <v>0</v>
      </c>
      <c r="N605" s="18">
        <f>IF($E$145,J64,0)</f>
        <v>0</v>
      </c>
      <c r="P605" s="6"/>
      <c r="Q605" s="454" t="s">
        <v>399</v>
      </c>
      <c r="R605" s="409"/>
      <c r="S605" s="6"/>
      <c r="T605" s="6"/>
      <c r="U605" s="6"/>
      <c r="V605" s="150">
        <f>IF(M606&gt;N606,M606,N606)</f>
        <v>0</v>
      </c>
      <c r="W605" s="6"/>
      <c r="X605" s="6"/>
      <c r="Y605" s="6"/>
      <c r="Z605" s="6"/>
      <c r="AA605" s="6"/>
      <c r="BF605" s="26"/>
      <c r="BG605" s="26"/>
      <c r="BH605" s="26"/>
      <c r="BI605" s="26"/>
      <c r="BJ605" s="26"/>
      <c r="BK605" s="26"/>
      <c r="BL605" s="26"/>
      <c r="BM605" s="26"/>
      <c r="BN605" s="26"/>
      <c r="BO605" s="26"/>
      <c r="BP605" s="26"/>
      <c r="BQ605" s="26"/>
      <c r="BR605" s="26"/>
      <c r="BS605" s="26"/>
      <c r="BT605" s="26"/>
      <c r="BU605" s="26"/>
      <c r="BV605" s="26"/>
      <c r="BW605" s="26"/>
      <c r="BX605" s="26"/>
      <c r="BY605" s="26"/>
      <c r="BZ605" s="26"/>
      <c r="CA605" s="26"/>
      <c r="CB605" s="26"/>
      <c r="CC605" s="26"/>
      <c r="CD605" s="26"/>
      <c r="CE605" s="26"/>
      <c r="CF605" s="26"/>
      <c r="CG605" s="26"/>
      <c r="CH605" s="26"/>
      <c r="CI605" s="26"/>
      <c r="CJ605" s="26"/>
      <c r="CK605" s="26"/>
      <c r="CL605" s="26"/>
      <c r="CM605" s="26"/>
      <c r="CN605" s="26"/>
      <c r="CO605" s="26"/>
    </row>
    <row r="606" spans="6:93" ht="12.75" hidden="1" customHeight="1" x14ac:dyDescent="0.25">
      <c r="L606" s="9" t="s">
        <v>400</v>
      </c>
      <c r="M606" s="59">
        <f t="shared" ref="M606:N606" si="120">SUM(M602:M605)</f>
        <v>0</v>
      </c>
      <c r="N606" s="59">
        <f t="shared" si="120"/>
        <v>0</v>
      </c>
      <c r="P606" s="6"/>
      <c r="Q606" s="457">
        <f>IF(R604&gt;Q604,R604,Q604)</f>
        <v>0</v>
      </c>
      <c r="R606" s="409"/>
      <c r="S606" s="6"/>
      <c r="T606" s="6" t="s">
        <v>295</v>
      </c>
      <c r="U606" s="6"/>
      <c r="V606" s="6">
        <f>SUM(V604:V605)</f>
        <v>0</v>
      </c>
      <c r="W606" s="6"/>
      <c r="X606" s="6"/>
      <c r="Y606" s="6"/>
      <c r="Z606" s="6"/>
      <c r="AA606" s="6"/>
      <c r="BF606" s="26"/>
      <c r="BG606" s="26"/>
      <c r="BH606" s="26"/>
      <c r="BI606" s="26"/>
      <c r="BJ606" s="26"/>
      <c r="BK606" s="26"/>
      <c r="BL606" s="26"/>
      <c r="BM606" s="26"/>
      <c r="BN606" s="26"/>
      <c r="BO606" s="26"/>
      <c r="BP606" s="26"/>
      <c r="BQ606" s="26"/>
      <c r="BR606" s="26"/>
      <c r="BS606" s="26"/>
      <c r="BT606" s="26"/>
      <c r="BU606" s="26"/>
      <c r="BV606" s="26"/>
      <c r="BW606" s="26"/>
      <c r="BX606" s="26"/>
      <c r="BY606" s="26"/>
      <c r="BZ606" s="26"/>
      <c r="CA606" s="26"/>
      <c r="CB606" s="26"/>
      <c r="CC606" s="26"/>
      <c r="CD606" s="26"/>
      <c r="CE606" s="26"/>
      <c r="CF606" s="26"/>
      <c r="CG606" s="26"/>
      <c r="CH606" s="26"/>
      <c r="CI606" s="26"/>
      <c r="CJ606" s="26"/>
      <c r="CK606" s="26"/>
      <c r="CL606" s="26"/>
      <c r="CM606" s="26"/>
      <c r="CN606" s="26"/>
      <c r="CO606" s="26"/>
    </row>
    <row r="607" spans="6:93" ht="12.75" hidden="1" customHeight="1" x14ac:dyDescent="0.25">
      <c r="P607" s="6"/>
      <c r="Q607" s="6" t="s">
        <v>324</v>
      </c>
      <c r="R607" s="6"/>
      <c r="S607" s="6"/>
      <c r="T607" s="6"/>
      <c r="U607" s="6"/>
      <c r="V607" s="6"/>
      <c r="W607" s="6"/>
      <c r="X607" s="6"/>
      <c r="Y607" s="6"/>
      <c r="Z607" s="6"/>
      <c r="AA607" s="6"/>
      <c r="BF607" s="26"/>
      <c r="BG607" s="26"/>
      <c r="BH607" s="26"/>
      <c r="BI607" s="26"/>
      <c r="BJ607" s="26"/>
      <c r="BK607" s="26"/>
      <c r="BL607" s="26"/>
      <c r="BM607" s="26"/>
      <c r="BN607" s="26"/>
      <c r="BO607" s="26"/>
      <c r="BP607" s="26"/>
      <c r="BQ607" s="26"/>
      <c r="BR607" s="26"/>
      <c r="BS607" s="26"/>
      <c r="BT607" s="26"/>
      <c r="BU607" s="26"/>
      <c r="BV607" s="26"/>
      <c r="BW607" s="26"/>
      <c r="BX607" s="26"/>
      <c r="BY607" s="26"/>
      <c r="BZ607" s="26"/>
      <c r="CA607" s="26"/>
      <c r="CB607" s="26"/>
      <c r="CC607" s="26"/>
      <c r="CD607" s="26"/>
      <c r="CE607" s="26"/>
      <c r="CF607" s="26"/>
      <c r="CG607" s="26"/>
      <c r="CH607" s="26"/>
      <c r="CI607" s="26"/>
      <c r="CJ607" s="26"/>
      <c r="CK607" s="26"/>
      <c r="CL607" s="26"/>
      <c r="CM607" s="26"/>
      <c r="CN607" s="26"/>
      <c r="CO607" s="26"/>
    </row>
    <row r="608" spans="6:93" ht="12.75" hidden="1" customHeight="1" x14ac:dyDescent="0.25">
      <c r="P608" s="6"/>
      <c r="Q608" s="463">
        <f>SUM(Q606/120)</f>
        <v>0</v>
      </c>
      <c r="R608" s="409"/>
      <c r="S608" s="6"/>
      <c r="T608" s="6"/>
      <c r="U608" s="6"/>
      <c r="V608" s="6"/>
      <c r="W608" s="6"/>
      <c r="X608" s="6"/>
      <c r="Y608" s="6"/>
      <c r="Z608" s="6"/>
      <c r="AA608" s="6"/>
      <c r="BF608" s="26"/>
      <c r="BG608" s="26"/>
      <c r="BH608" s="26"/>
      <c r="BI608" s="26"/>
      <c r="BJ608" s="26"/>
      <c r="BK608" s="26"/>
      <c r="BL608" s="26"/>
      <c r="BM608" s="26"/>
      <c r="BN608" s="26"/>
      <c r="BO608" s="26"/>
      <c r="BP608" s="26"/>
      <c r="BQ608" s="26"/>
      <c r="BR608" s="26"/>
      <c r="BS608" s="26"/>
      <c r="BT608" s="26"/>
      <c r="BU608" s="26"/>
      <c r="BV608" s="26"/>
      <c r="BW608" s="26"/>
      <c r="BX608" s="26"/>
      <c r="BY608" s="26"/>
      <c r="BZ608" s="26"/>
      <c r="CA608" s="26"/>
      <c r="CB608" s="26"/>
      <c r="CC608" s="26"/>
      <c r="CD608" s="26"/>
      <c r="CE608" s="26"/>
      <c r="CF608" s="26"/>
      <c r="CG608" s="26"/>
      <c r="CH608" s="26"/>
      <c r="CI608" s="26"/>
      <c r="CJ608" s="26"/>
      <c r="CK608" s="26"/>
      <c r="CL608" s="26"/>
      <c r="CM608" s="26"/>
      <c r="CN608" s="26"/>
      <c r="CO608" s="26"/>
    </row>
    <row r="609" spans="1:93" ht="9.75" hidden="1" customHeight="1" x14ac:dyDescent="0.25">
      <c r="P609" s="6"/>
      <c r="Q609" s="6"/>
      <c r="R609" s="6"/>
      <c r="S609" s="6"/>
      <c r="T609" s="6"/>
      <c r="U609" s="6"/>
      <c r="V609" s="6"/>
      <c r="W609" s="6"/>
      <c r="X609" s="6"/>
      <c r="Y609" s="6"/>
      <c r="Z609" s="6"/>
      <c r="AA609" s="6"/>
      <c r="BF609" s="26"/>
      <c r="BG609" s="26"/>
      <c r="BH609" s="26"/>
      <c r="BI609" s="26"/>
      <c r="BJ609" s="26"/>
      <c r="BK609" s="26"/>
      <c r="BL609" s="26"/>
      <c r="BM609" s="26"/>
      <c r="BN609" s="26"/>
      <c r="BO609" s="26"/>
      <c r="BP609" s="26"/>
      <c r="BQ609" s="26"/>
      <c r="BR609" s="26"/>
      <c r="BS609" s="26"/>
      <c r="BT609" s="26"/>
      <c r="BU609" s="26"/>
      <c r="BV609" s="26"/>
      <c r="BW609" s="26"/>
      <c r="BX609" s="26"/>
      <c r="BY609" s="26"/>
      <c r="BZ609" s="26"/>
      <c r="CA609" s="26"/>
      <c r="CB609" s="26"/>
      <c r="CC609" s="26"/>
      <c r="CD609" s="26"/>
      <c r="CE609" s="26"/>
      <c r="CF609" s="26"/>
      <c r="CG609" s="26"/>
      <c r="CH609" s="26"/>
      <c r="CI609" s="26"/>
      <c r="CJ609" s="26"/>
      <c r="CK609" s="26"/>
      <c r="CL609" s="26"/>
      <c r="CM609" s="26"/>
      <c r="CN609" s="26"/>
      <c r="CO609" s="26"/>
    </row>
    <row r="610" spans="1:93" ht="12.75" hidden="1" customHeight="1" x14ac:dyDescent="0.25">
      <c r="A610" s="31"/>
      <c r="B610" s="31"/>
      <c r="C610" s="31"/>
      <c r="D610" s="31"/>
      <c r="E610" s="31"/>
      <c r="F610" s="31"/>
      <c r="G610" s="31"/>
      <c r="H610" s="31"/>
      <c r="I610" s="31"/>
      <c r="J610" s="31"/>
      <c r="K610" s="31"/>
      <c r="L610" s="31"/>
      <c r="M610" s="31"/>
      <c r="N610" s="31"/>
      <c r="O610" s="31"/>
      <c r="P610" s="31"/>
      <c r="Q610" s="6"/>
      <c r="R610" s="6"/>
      <c r="S610" s="6"/>
      <c r="T610" s="6"/>
      <c r="U610" s="6"/>
      <c r="V610" s="6"/>
      <c r="W610" s="6"/>
      <c r="X610" s="6"/>
      <c r="Y610" s="6"/>
      <c r="Z610" s="6"/>
      <c r="AA610" s="6"/>
      <c r="BF610" s="26"/>
      <c r="BG610" s="26"/>
      <c r="BH610" s="26"/>
      <c r="BI610" s="26"/>
      <c r="BJ610" s="26"/>
      <c r="BK610" s="26"/>
      <c r="BL610" s="26"/>
      <c r="BM610" s="26"/>
      <c r="BN610" s="26"/>
      <c r="BO610" s="26"/>
      <c r="BP610" s="26"/>
      <c r="BQ610" s="26"/>
      <c r="BR610" s="26"/>
      <c r="BS610" s="26"/>
      <c r="BT610" s="26"/>
      <c r="BU610" s="26"/>
      <c r="BV610" s="26"/>
      <c r="BW610" s="26"/>
      <c r="BX610" s="26"/>
      <c r="BY610" s="26"/>
      <c r="BZ610" s="26"/>
      <c r="CA610" s="26"/>
      <c r="CB610" s="26"/>
      <c r="CC610" s="26"/>
      <c r="CD610" s="26"/>
      <c r="CE610" s="26"/>
      <c r="CF610" s="26"/>
      <c r="CG610" s="26"/>
      <c r="CH610" s="26"/>
      <c r="CI610" s="26"/>
      <c r="CJ610" s="26"/>
      <c r="CK610" s="26"/>
      <c r="CL610" s="26"/>
      <c r="CM610" s="26"/>
      <c r="CN610" s="26"/>
      <c r="CO610" s="26"/>
    </row>
    <row r="611" spans="1:93" ht="12.75" hidden="1" customHeight="1" x14ac:dyDescent="0.25">
      <c r="A611" s="31"/>
      <c r="B611" s="31"/>
      <c r="C611" s="31"/>
      <c r="D611" s="31"/>
      <c r="E611" s="31"/>
      <c r="F611" s="31"/>
      <c r="G611" s="31"/>
      <c r="H611" s="31"/>
      <c r="I611" s="31"/>
      <c r="J611" s="31"/>
      <c r="K611" s="31"/>
      <c r="L611" s="31"/>
      <c r="M611" s="31"/>
      <c r="N611" s="31"/>
      <c r="O611" s="31"/>
      <c r="P611" s="31"/>
      <c r="Q611" s="6"/>
      <c r="R611" s="6"/>
      <c r="S611" s="6"/>
      <c r="T611" s="6"/>
      <c r="U611" s="6"/>
      <c r="V611" s="6"/>
      <c r="W611" s="6"/>
      <c r="X611" s="6"/>
      <c r="Y611" s="6"/>
      <c r="Z611" s="6"/>
      <c r="AA611" s="6"/>
      <c r="BF611" s="26"/>
      <c r="BG611" s="26"/>
      <c r="BH611" s="26"/>
      <c r="BI611" s="26"/>
      <c r="BJ611" s="26"/>
      <c r="BK611" s="26"/>
      <c r="BL611" s="26"/>
      <c r="BM611" s="26"/>
      <c r="BN611" s="26"/>
      <c r="BO611" s="26"/>
      <c r="BP611" s="26"/>
      <c r="BQ611" s="26"/>
      <c r="BR611" s="26"/>
      <c r="BS611" s="26"/>
      <c r="BT611" s="26"/>
      <c r="BU611" s="26"/>
      <c r="BV611" s="26"/>
      <c r="BW611" s="26"/>
      <c r="BX611" s="26"/>
      <c r="BY611" s="26"/>
      <c r="BZ611" s="26"/>
      <c r="CA611" s="26"/>
      <c r="CB611" s="26"/>
      <c r="CC611" s="26"/>
      <c r="CD611" s="26"/>
      <c r="CE611" s="26"/>
      <c r="CF611" s="26"/>
      <c r="CG611" s="26"/>
      <c r="CH611" s="26"/>
      <c r="CI611" s="26"/>
      <c r="CJ611" s="26"/>
      <c r="CK611" s="26"/>
      <c r="CL611" s="26"/>
      <c r="CM611" s="26"/>
      <c r="CN611" s="26"/>
      <c r="CO611" s="26"/>
    </row>
    <row r="612" spans="1:93" ht="12.75" hidden="1" customHeight="1" x14ac:dyDescent="0.25">
      <c r="A612" s="31"/>
      <c r="B612" s="31"/>
      <c r="C612" s="31"/>
      <c r="D612" s="31"/>
      <c r="E612" s="31"/>
      <c r="F612" s="31"/>
      <c r="G612" s="31"/>
      <c r="H612" s="31"/>
      <c r="I612" s="31"/>
      <c r="J612" s="31"/>
      <c r="K612" s="31"/>
      <c r="L612" s="31"/>
      <c r="M612" s="31"/>
      <c r="N612" s="31"/>
      <c r="O612" s="31"/>
      <c r="P612" s="31"/>
      <c r="Q612" s="6"/>
      <c r="R612" s="6"/>
      <c r="S612" s="6"/>
      <c r="T612" s="6"/>
      <c r="U612" s="6"/>
      <c r="V612" s="6"/>
      <c r="W612" s="6"/>
      <c r="X612" s="6"/>
      <c r="Y612" s="6"/>
      <c r="Z612" s="6"/>
      <c r="AA612" s="6"/>
      <c r="BF612" s="26"/>
      <c r="BG612" s="26"/>
      <c r="BH612" s="26"/>
      <c r="BI612" s="26"/>
      <c r="BJ612" s="26"/>
      <c r="BK612" s="26"/>
      <c r="BL612" s="26"/>
      <c r="BM612" s="26"/>
      <c r="BN612" s="26"/>
      <c r="BO612" s="26"/>
      <c r="BP612" s="26"/>
      <c r="BQ612" s="26"/>
      <c r="BR612" s="26"/>
      <c r="BS612" s="26"/>
      <c r="BT612" s="26"/>
      <c r="BU612" s="26"/>
      <c r="BV612" s="26"/>
      <c r="BW612" s="26"/>
      <c r="BX612" s="26"/>
      <c r="BY612" s="26"/>
      <c r="BZ612" s="26"/>
      <c r="CA612" s="26"/>
      <c r="CB612" s="26"/>
      <c r="CC612" s="26"/>
      <c r="CD612" s="26"/>
      <c r="CE612" s="26"/>
      <c r="CF612" s="26"/>
      <c r="CG612" s="26"/>
      <c r="CH612" s="26"/>
      <c r="CI612" s="26"/>
      <c r="CJ612" s="26"/>
      <c r="CK612" s="26"/>
      <c r="CL612" s="26"/>
      <c r="CM612" s="26"/>
      <c r="CN612" s="26"/>
      <c r="CO612" s="26"/>
    </row>
    <row r="613" spans="1:93" ht="12.75" hidden="1" customHeight="1" x14ac:dyDescent="0.25">
      <c r="P613" s="6"/>
      <c r="Q613" s="6"/>
      <c r="R613" s="6"/>
      <c r="S613" s="6"/>
      <c r="T613" s="6"/>
      <c r="U613" s="6"/>
      <c r="V613" s="6"/>
      <c r="W613" s="6"/>
      <c r="X613" s="6"/>
      <c r="Y613" s="6"/>
      <c r="Z613" s="6"/>
      <c r="AA613" s="6"/>
      <c r="BF613" s="26"/>
      <c r="BG613" s="26"/>
      <c r="BH613" s="26"/>
      <c r="BI613" s="26"/>
      <c r="BJ613" s="26"/>
      <c r="BK613" s="26"/>
      <c r="BL613" s="26"/>
      <c r="BM613" s="26"/>
      <c r="BN613" s="26"/>
      <c r="BO613" s="26"/>
      <c r="BP613" s="26"/>
      <c r="BQ613" s="26"/>
      <c r="BR613" s="26"/>
      <c r="BS613" s="26"/>
      <c r="BT613" s="26"/>
      <c r="BU613" s="26"/>
      <c r="BV613" s="26"/>
      <c r="BW613" s="26"/>
      <c r="BX613" s="26"/>
      <c r="BY613" s="26"/>
      <c r="BZ613" s="26"/>
      <c r="CA613" s="26"/>
      <c r="CB613" s="26"/>
      <c r="CC613" s="26"/>
      <c r="CD613" s="26"/>
      <c r="CE613" s="26"/>
      <c r="CF613" s="26"/>
      <c r="CG613" s="26"/>
      <c r="CH613" s="26"/>
      <c r="CI613" s="26"/>
      <c r="CJ613" s="26"/>
      <c r="CK613" s="26"/>
      <c r="CL613" s="26"/>
      <c r="CM613" s="26"/>
      <c r="CN613" s="26"/>
      <c r="CO613" s="26"/>
    </row>
    <row r="614" spans="1:93" ht="12.75" hidden="1" customHeight="1" x14ac:dyDescent="0.25">
      <c r="Q614" s="6"/>
      <c r="R614" s="6"/>
      <c r="S614" s="6"/>
      <c r="T614" s="6"/>
      <c r="U614" s="6"/>
      <c r="V614" s="6"/>
      <c r="W614" s="6"/>
      <c r="X614" s="6"/>
      <c r="Y614" s="6"/>
      <c r="Z614" s="6"/>
      <c r="AA614" s="6"/>
      <c r="BF614" s="26"/>
      <c r="BG614" s="26"/>
      <c r="BH614" s="26"/>
      <c r="BI614" s="26"/>
      <c r="BJ614" s="26"/>
      <c r="BK614" s="26"/>
      <c r="BL614" s="26"/>
      <c r="BM614" s="26"/>
      <c r="BN614" s="26"/>
      <c r="BO614" s="26"/>
      <c r="BP614" s="26"/>
      <c r="BQ614" s="26"/>
      <c r="BR614" s="26"/>
      <c r="BS614" s="26"/>
      <c r="BT614" s="26"/>
      <c r="BU614" s="26"/>
      <c r="BV614" s="26"/>
      <c r="BW614" s="26"/>
      <c r="BX614" s="26"/>
      <c r="BY614" s="26"/>
      <c r="BZ614" s="26"/>
      <c r="CA614" s="26"/>
      <c r="CB614" s="26"/>
      <c r="CC614" s="26"/>
      <c r="CD614" s="26"/>
      <c r="CE614" s="26"/>
      <c r="CF614" s="26"/>
      <c r="CG614" s="26"/>
      <c r="CH614" s="26"/>
      <c r="CI614" s="26"/>
      <c r="CJ614" s="26"/>
      <c r="CK614" s="26"/>
      <c r="CL614" s="26"/>
      <c r="CM614" s="26"/>
      <c r="CN614" s="26"/>
      <c r="CO614" s="26"/>
    </row>
    <row r="615" spans="1:93" ht="12.75" hidden="1" customHeight="1" x14ac:dyDescent="0.25">
      <c r="Q615" s="6"/>
      <c r="R615" s="6"/>
      <c r="S615" s="6"/>
      <c r="T615" s="6"/>
      <c r="U615" s="6"/>
      <c r="V615" s="6"/>
      <c r="W615" s="6"/>
      <c r="X615" s="6"/>
      <c r="Y615" s="6"/>
      <c r="Z615" s="6"/>
      <c r="AA615" s="6"/>
      <c r="BF615" s="26"/>
      <c r="BG615" s="26"/>
      <c r="BH615" s="26"/>
      <c r="BI615" s="26"/>
      <c r="BJ615" s="26"/>
      <c r="BK615" s="26"/>
      <c r="BL615" s="26"/>
      <c r="BM615" s="26"/>
      <c r="BN615" s="26"/>
      <c r="BO615" s="26"/>
      <c r="BP615" s="26"/>
      <c r="BQ615" s="26"/>
      <c r="BR615" s="26"/>
      <c r="BS615" s="26"/>
      <c r="BT615" s="26"/>
      <c r="BU615" s="26"/>
      <c r="BV615" s="26"/>
      <c r="BW615" s="26"/>
      <c r="BX615" s="26"/>
      <c r="BY615" s="26"/>
      <c r="BZ615" s="26"/>
      <c r="CA615" s="26"/>
      <c r="CB615" s="26"/>
      <c r="CC615" s="26"/>
      <c r="CD615" s="26"/>
      <c r="CE615" s="26"/>
      <c r="CF615" s="26"/>
      <c r="CG615" s="26"/>
      <c r="CH615" s="26"/>
      <c r="CI615" s="26"/>
      <c r="CJ615" s="26"/>
      <c r="CK615" s="26"/>
      <c r="CL615" s="26"/>
      <c r="CM615" s="26"/>
      <c r="CN615" s="26"/>
      <c r="CO615" s="26"/>
    </row>
    <row r="616" spans="1:93" ht="12.75" hidden="1" customHeight="1" x14ac:dyDescent="0.25">
      <c r="Q616" s="6"/>
      <c r="R616" s="6"/>
      <c r="S616" s="6"/>
      <c r="T616" s="6"/>
      <c r="U616" s="6"/>
      <c r="V616" s="6"/>
      <c r="W616" s="6"/>
      <c r="X616" s="6"/>
      <c r="Y616" s="6"/>
      <c r="Z616" s="6"/>
      <c r="AA616" s="6"/>
      <c r="BF616" s="26"/>
      <c r="BG616" s="26"/>
      <c r="BH616" s="26"/>
      <c r="BI616" s="26"/>
      <c r="BJ616" s="26"/>
      <c r="BK616" s="26"/>
      <c r="BL616" s="26"/>
      <c r="BM616" s="26"/>
      <c r="BN616" s="26"/>
      <c r="BO616" s="26"/>
      <c r="BP616" s="26"/>
      <c r="BQ616" s="26"/>
      <c r="BR616" s="26"/>
      <c r="BS616" s="26"/>
      <c r="BT616" s="26"/>
      <c r="BU616" s="26"/>
      <c r="BV616" s="26"/>
      <c r="BW616" s="26"/>
      <c r="BX616" s="26"/>
      <c r="BY616" s="26"/>
      <c r="BZ616" s="26"/>
      <c r="CA616" s="26"/>
      <c r="CB616" s="26"/>
      <c r="CC616" s="26"/>
      <c r="CD616" s="26"/>
      <c r="CE616" s="26"/>
      <c r="CF616" s="26"/>
      <c r="CG616" s="26"/>
      <c r="CH616" s="26"/>
      <c r="CI616" s="26"/>
      <c r="CJ616" s="26"/>
      <c r="CK616" s="26"/>
      <c r="CL616" s="26"/>
      <c r="CM616" s="26"/>
      <c r="CN616" s="26"/>
      <c r="CO616" s="26"/>
    </row>
    <row r="617" spans="1:93" ht="12.75" hidden="1" customHeight="1" x14ac:dyDescent="0.25">
      <c r="Q617" s="6"/>
      <c r="R617" s="6"/>
      <c r="S617" s="6"/>
      <c r="T617" s="6"/>
      <c r="U617" s="6"/>
      <c r="V617" s="6"/>
      <c r="W617" s="6"/>
      <c r="X617" s="6"/>
      <c r="Y617" s="6"/>
      <c r="Z617" s="6"/>
      <c r="AA617" s="6"/>
      <c r="BF617" s="26"/>
      <c r="BG617" s="26"/>
      <c r="BH617" s="26"/>
      <c r="BI617" s="26"/>
      <c r="BJ617" s="26"/>
      <c r="BK617" s="26"/>
      <c r="BL617" s="26"/>
      <c r="BM617" s="26"/>
      <c r="BN617" s="26"/>
      <c r="BO617" s="26"/>
      <c r="BP617" s="26"/>
      <c r="BQ617" s="26"/>
      <c r="BR617" s="26"/>
      <c r="BS617" s="26"/>
      <c r="BT617" s="26"/>
      <c r="BU617" s="26"/>
      <c r="BV617" s="26"/>
      <c r="BW617" s="26"/>
      <c r="BX617" s="26"/>
      <c r="BY617" s="26"/>
      <c r="BZ617" s="26"/>
      <c r="CA617" s="26"/>
      <c r="CB617" s="26"/>
      <c r="CC617" s="26"/>
      <c r="CD617" s="26"/>
      <c r="CE617" s="26"/>
      <c r="CF617" s="26"/>
      <c r="CG617" s="26"/>
      <c r="CH617" s="26"/>
      <c r="CI617" s="26"/>
      <c r="CJ617" s="26"/>
      <c r="CK617" s="26"/>
      <c r="CL617" s="26"/>
      <c r="CM617" s="26"/>
      <c r="CN617" s="26"/>
      <c r="CO617" s="26"/>
    </row>
    <row r="618" spans="1:93" ht="12.75" hidden="1" customHeight="1" x14ac:dyDescent="0.25">
      <c r="Q618" s="6"/>
      <c r="R618" s="6"/>
      <c r="S618" s="6"/>
      <c r="T618" s="6"/>
      <c r="U618" s="6"/>
      <c r="V618" s="6"/>
      <c r="W618" s="6"/>
      <c r="X618" s="6"/>
      <c r="Y618" s="6"/>
      <c r="Z618" s="6"/>
      <c r="AA618" s="6"/>
      <c r="BF618" s="26"/>
      <c r="BG618" s="26"/>
      <c r="BH618" s="26"/>
      <c r="BI618" s="26"/>
      <c r="BJ618" s="26"/>
      <c r="BK618" s="26"/>
      <c r="BL618" s="26"/>
      <c r="BM618" s="26"/>
      <c r="BN618" s="26"/>
      <c r="BO618" s="26"/>
      <c r="BP618" s="26"/>
      <c r="BQ618" s="26"/>
      <c r="BR618" s="26"/>
      <c r="BS618" s="26"/>
      <c r="BT618" s="26"/>
      <c r="BU618" s="26"/>
      <c r="BV618" s="26"/>
      <c r="BW618" s="26"/>
      <c r="BX618" s="26"/>
      <c r="BY618" s="26"/>
      <c r="BZ618" s="26"/>
      <c r="CA618" s="26"/>
      <c r="CB618" s="26"/>
      <c r="CC618" s="26"/>
      <c r="CD618" s="26"/>
      <c r="CE618" s="26"/>
      <c r="CF618" s="26"/>
      <c r="CG618" s="26"/>
      <c r="CH618" s="26"/>
      <c r="CI618" s="26"/>
      <c r="CJ618" s="26"/>
      <c r="CK618" s="26"/>
      <c r="CL618" s="26"/>
      <c r="CM618" s="26"/>
      <c r="CN618" s="26"/>
      <c r="CO618" s="26"/>
    </row>
    <row r="619" spans="1:93" ht="12.75" hidden="1" customHeight="1" x14ac:dyDescent="0.25">
      <c r="Q619" s="6"/>
      <c r="R619" s="6"/>
      <c r="S619" s="6"/>
      <c r="T619" s="6"/>
      <c r="U619" s="6"/>
      <c r="V619" s="6"/>
      <c r="W619" s="6"/>
      <c r="X619" s="6"/>
      <c r="Y619" s="6"/>
      <c r="Z619" s="6"/>
      <c r="AA619" s="6"/>
      <c r="BF619" s="26"/>
      <c r="BG619" s="26"/>
      <c r="BH619" s="26"/>
      <c r="BI619" s="26"/>
      <c r="BJ619" s="26"/>
      <c r="BK619" s="26"/>
      <c r="BL619" s="26"/>
      <c r="BM619" s="26"/>
      <c r="BN619" s="26"/>
      <c r="BO619" s="26"/>
      <c r="BP619" s="26"/>
      <c r="BQ619" s="26"/>
      <c r="BR619" s="26"/>
      <c r="BS619" s="26"/>
      <c r="BT619" s="26"/>
      <c r="BU619" s="26"/>
      <c r="BV619" s="26"/>
      <c r="BW619" s="26"/>
      <c r="BX619" s="26"/>
      <c r="BY619" s="26"/>
      <c r="BZ619" s="26"/>
      <c r="CA619" s="26"/>
      <c r="CB619" s="26"/>
      <c r="CC619" s="26"/>
      <c r="CD619" s="26"/>
      <c r="CE619" s="26"/>
      <c r="CF619" s="26"/>
      <c r="CG619" s="26"/>
      <c r="CH619" s="26"/>
      <c r="CI619" s="26"/>
      <c r="CJ619" s="26"/>
      <c r="CK619" s="26"/>
      <c r="CL619" s="26"/>
      <c r="CM619" s="26"/>
      <c r="CN619" s="26"/>
      <c r="CO619" s="26"/>
    </row>
    <row r="620" spans="1:93" ht="12.75" hidden="1" customHeight="1" x14ac:dyDescent="0.25">
      <c r="Q620" s="6"/>
      <c r="R620" s="6"/>
      <c r="S620" s="6"/>
      <c r="T620" s="6"/>
      <c r="U620" s="6"/>
      <c r="V620" s="6"/>
      <c r="W620" s="6"/>
      <c r="X620" s="6"/>
      <c r="Y620" s="6"/>
      <c r="Z620" s="6"/>
      <c r="AA620" s="6"/>
      <c r="BF620" s="26"/>
      <c r="BG620" s="26"/>
      <c r="BH620" s="26"/>
      <c r="BI620" s="26"/>
      <c r="BJ620" s="26"/>
      <c r="BK620" s="26"/>
      <c r="BL620" s="26"/>
      <c r="BM620" s="26"/>
      <c r="BN620" s="26"/>
      <c r="BO620" s="26"/>
      <c r="BP620" s="26"/>
      <c r="BQ620" s="26"/>
      <c r="BR620" s="26"/>
      <c r="BS620" s="26"/>
      <c r="BT620" s="26"/>
      <c r="BU620" s="26"/>
      <c r="BV620" s="26"/>
      <c r="BW620" s="26"/>
      <c r="BX620" s="26"/>
      <c r="BY620" s="26"/>
      <c r="BZ620" s="26"/>
      <c r="CA620" s="26"/>
      <c r="CB620" s="26"/>
      <c r="CC620" s="26"/>
      <c r="CD620" s="26"/>
      <c r="CE620" s="26"/>
      <c r="CF620" s="26"/>
      <c r="CG620" s="26"/>
      <c r="CH620" s="26"/>
      <c r="CI620" s="26"/>
      <c r="CJ620" s="26"/>
      <c r="CK620" s="26"/>
      <c r="CL620" s="26"/>
      <c r="CM620" s="26"/>
      <c r="CN620" s="26"/>
      <c r="CO620" s="26"/>
    </row>
    <row r="621" spans="1:93" ht="12.75" hidden="1" customHeight="1" x14ac:dyDescent="0.25">
      <c r="Q621" s="6"/>
      <c r="R621" s="6"/>
      <c r="S621" s="6"/>
      <c r="T621" s="6"/>
      <c r="U621" s="6"/>
      <c r="V621" s="6"/>
      <c r="W621" s="6"/>
      <c r="X621" s="6"/>
      <c r="Y621" s="6"/>
      <c r="Z621" s="6"/>
      <c r="AA621" s="6"/>
      <c r="BF621" s="26"/>
      <c r="BG621" s="26"/>
      <c r="BH621" s="26"/>
      <c r="BI621" s="26"/>
      <c r="BJ621" s="26"/>
      <c r="BK621" s="26"/>
      <c r="BL621" s="26"/>
      <c r="BM621" s="26"/>
      <c r="BN621" s="26"/>
      <c r="BO621" s="26"/>
      <c r="BP621" s="26"/>
      <c r="BQ621" s="26"/>
      <c r="BR621" s="26"/>
      <c r="BS621" s="26"/>
      <c r="BT621" s="26"/>
      <c r="BU621" s="26"/>
      <c r="BV621" s="26"/>
      <c r="BW621" s="26"/>
      <c r="BX621" s="26"/>
      <c r="BY621" s="26"/>
      <c r="BZ621" s="26"/>
      <c r="CA621" s="26"/>
      <c r="CB621" s="26"/>
      <c r="CC621" s="26"/>
      <c r="CD621" s="26"/>
      <c r="CE621" s="26"/>
      <c r="CF621" s="26"/>
      <c r="CG621" s="26"/>
      <c r="CH621" s="26"/>
      <c r="CI621" s="26"/>
      <c r="CJ621" s="26"/>
      <c r="CK621" s="26"/>
      <c r="CL621" s="26"/>
      <c r="CM621" s="26"/>
      <c r="CN621" s="26"/>
      <c r="CO621" s="26"/>
    </row>
    <row r="622" spans="1:93" ht="12.75" hidden="1" customHeight="1" x14ac:dyDescent="0.25">
      <c r="Q622" s="6"/>
      <c r="R622" s="6"/>
      <c r="S622" s="6"/>
      <c r="T622" s="6"/>
      <c r="U622" s="6"/>
      <c r="V622" s="6"/>
      <c r="W622" s="6"/>
      <c r="X622" s="6"/>
      <c r="Y622" s="6"/>
      <c r="Z622" s="6"/>
      <c r="AA622" s="6"/>
      <c r="BF622" s="26"/>
      <c r="BG622" s="26"/>
      <c r="BH622" s="26"/>
      <c r="BI622" s="26"/>
      <c r="BJ622" s="26"/>
      <c r="BK622" s="26"/>
      <c r="BL622" s="26"/>
      <c r="BM622" s="26"/>
      <c r="BN622" s="26"/>
      <c r="BO622" s="26"/>
      <c r="BP622" s="26"/>
      <c r="BQ622" s="26"/>
      <c r="BR622" s="26"/>
      <c r="BS622" s="26"/>
      <c r="BT622" s="26"/>
      <c r="BU622" s="26"/>
      <c r="BV622" s="26"/>
      <c r="BW622" s="26"/>
      <c r="BX622" s="26"/>
      <c r="BY622" s="26"/>
      <c r="BZ622" s="26"/>
      <c r="CA622" s="26"/>
      <c r="CB622" s="26"/>
      <c r="CC622" s="26"/>
      <c r="CD622" s="26"/>
      <c r="CE622" s="26"/>
      <c r="CF622" s="26"/>
      <c r="CG622" s="26"/>
      <c r="CH622" s="26"/>
      <c r="CI622" s="26"/>
      <c r="CJ622" s="26"/>
      <c r="CK622" s="26"/>
      <c r="CL622" s="26"/>
      <c r="CM622" s="26"/>
      <c r="CN622" s="26"/>
      <c r="CO622" s="26"/>
    </row>
    <row r="623" spans="1:93" ht="12.75" hidden="1" customHeight="1" x14ac:dyDescent="0.25">
      <c r="Q623" s="6"/>
      <c r="R623" s="6"/>
      <c r="S623" s="6"/>
      <c r="T623" s="6"/>
      <c r="U623" s="6"/>
      <c r="V623" s="6"/>
      <c r="W623" s="6"/>
      <c r="X623" s="6"/>
      <c r="Y623" s="6"/>
      <c r="Z623" s="6"/>
      <c r="AA623" s="6"/>
      <c r="BF623" s="26"/>
      <c r="BG623" s="26"/>
      <c r="BH623" s="26"/>
      <c r="BI623" s="26"/>
      <c r="BJ623" s="26"/>
      <c r="BK623" s="26"/>
      <c r="BL623" s="26"/>
      <c r="BM623" s="26"/>
      <c r="BN623" s="26"/>
      <c r="BO623" s="26"/>
      <c r="BP623" s="26"/>
      <c r="BQ623" s="26"/>
      <c r="BR623" s="26"/>
      <c r="BS623" s="26"/>
      <c r="BT623" s="26"/>
      <c r="BU623" s="26"/>
      <c r="BV623" s="26"/>
      <c r="BW623" s="26"/>
      <c r="BX623" s="26"/>
      <c r="BY623" s="26"/>
      <c r="BZ623" s="26"/>
      <c r="CA623" s="26"/>
      <c r="CB623" s="26"/>
      <c r="CC623" s="26"/>
      <c r="CD623" s="26"/>
      <c r="CE623" s="26"/>
      <c r="CF623" s="26"/>
      <c r="CG623" s="26"/>
      <c r="CH623" s="26"/>
      <c r="CI623" s="26"/>
      <c r="CJ623" s="26"/>
      <c r="CK623" s="26"/>
      <c r="CL623" s="26"/>
      <c r="CM623" s="26"/>
      <c r="CN623" s="26"/>
      <c r="CO623" s="26"/>
    </row>
    <row r="624" spans="1:93" ht="12.75" hidden="1" customHeight="1" x14ac:dyDescent="0.25">
      <c r="Q624" s="6"/>
      <c r="R624" s="6"/>
      <c r="S624" s="6"/>
      <c r="T624" s="6"/>
      <c r="U624" s="6"/>
      <c r="V624" s="6"/>
      <c r="W624" s="6"/>
      <c r="X624" s="6"/>
      <c r="Y624" s="6"/>
      <c r="Z624" s="6"/>
      <c r="AA624" s="6"/>
      <c r="BF624" s="26"/>
      <c r="BG624" s="26"/>
      <c r="BH624" s="26"/>
      <c r="BI624" s="26"/>
      <c r="BJ624" s="26"/>
      <c r="BK624" s="26"/>
      <c r="BL624" s="26"/>
      <c r="BM624" s="26"/>
      <c r="BN624" s="26"/>
      <c r="BO624" s="26"/>
      <c r="BP624" s="26"/>
      <c r="BQ624" s="26"/>
      <c r="BR624" s="26"/>
      <c r="BS624" s="26"/>
      <c r="BT624" s="26"/>
      <c r="BU624" s="26"/>
      <c r="BV624" s="26"/>
      <c r="BW624" s="26"/>
      <c r="BX624" s="26"/>
      <c r="BY624" s="26"/>
      <c r="BZ624" s="26"/>
      <c r="CA624" s="26"/>
      <c r="CB624" s="26"/>
      <c r="CC624" s="26"/>
      <c r="CD624" s="26"/>
      <c r="CE624" s="26"/>
      <c r="CF624" s="26"/>
      <c r="CG624" s="26"/>
      <c r="CH624" s="26"/>
      <c r="CI624" s="26"/>
      <c r="CJ624" s="26"/>
      <c r="CK624" s="26"/>
      <c r="CL624" s="26"/>
      <c r="CM624" s="26"/>
      <c r="CN624" s="26"/>
      <c r="CO624" s="26"/>
    </row>
    <row r="625" spans="17:93" ht="12.75" hidden="1" customHeight="1" x14ac:dyDescent="0.25">
      <c r="Q625" s="6"/>
      <c r="R625" s="6"/>
      <c r="S625" s="6"/>
      <c r="T625" s="6"/>
      <c r="U625" s="6"/>
      <c r="V625" s="6"/>
      <c r="W625" s="6"/>
      <c r="X625" s="6"/>
      <c r="Y625" s="6"/>
      <c r="Z625" s="6"/>
      <c r="AA625" s="6"/>
      <c r="BF625" s="26"/>
      <c r="BG625" s="26"/>
      <c r="BH625" s="26"/>
      <c r="BI625" s="26"/>
      <c r="BJ625" s="26"/>
      <c r="BK625" s="26"/>
      <c r="BL625" s="26"/>
      <c r="BM625" s="26"/>
      <c r="BN625" s="26"/>
      <c r="BO625" s="26"/>
      <c r="BP625" s="26"/>
      <c r="BQ625" s="26"/>
      <c r="BR625" s="26"/>
      <c r="BS625" s="26"/>
      <c r="BT625" s="26"/>
      <c r="BU625" s="26"/>
      <c r="BV625" s="26"/>
      <c r="BW625" s="26"/>
      <c r="BX625" s="26"/>
      <c r="BY625" s="26"/>
      <c r="BZ625" s="26"/>
      <c r="CA625" s="26"/>
      <c r="CB625" s="26"/>
      <c r="CC625" s="26"/>
      <c r="CD625" s="26"/>
      <c r="CE625" s="26"/>
      <c r="CF625" s="26"/>
      <c r="CG625" s="26"/>
      <c r="CH625" s="26"/>
      <c r="CI625" s="26"/>
      <c r="CJ625" s="26"/>
      <c r="CK625" s="26"/>
      <c r="CL625" s="26"/>
      <c r="CM625" s="26"/>
      <c r="CN625" s="26"/>
      <c r="CO625" s="26"/>
    </row>
    <row r="626" spans="17:93" ht="12.75" hidden="1" customHeight="1" x14ac:dyDescent="0.25">
      <c r="Q626" s="6"/>
      <c r="R626" s="6"/>
      <c r="S626" s="6"/>
      <c r="T626" s="6"/>
      <c r="U626" s="6"/>
      <c r="V626" s="6"/>
      <c r="W626" s="6"/>
      <c r="X626" s="6"/>
      <c r="Y626" s="6"/>
      <c r="Z626" s="6"/>
      <c r="AA626" s="6"/>
      <c r="BF626" s="26"/>
      <c r="BG626" s="26"/>
      <c r="BH626" s="26"/>
      <c r="BI626" s="26"/>
      <c r="BJ626" s="26"/>
      <c r="BK626" s="26"/>
      <c r="BL626" s="26"/>
      <c r="BM626" s="26"/>
      <c r="BN626" s="26"/>
      <c r="BO626" s="26"/>
      <c r="BP626" s="26"/>
      <c r="BQ626" s="26"/>
      <c r="BR626" s="26"/>
      <c r="BS626" s="26"/>
      <c r="BT626" s="26"/>
      <c r="BU626" s="26"/>
      <c r="BV626" s="26"/>
      <c r="BW626" s="26"/>
      <c r="BX626" s="26"/>
      <c r="BY626" s="26"/>
      <c r="BZ626" s="26"/>
      <c r="CA626" s="26"/>
      <c r="CB626" s="26"/>
      <c r="CC626" s="26"/>
      <c r="CD626" s="26"/>
      <c r="CE626" s="26"/>
      <c r="CF626" s="26"/>
      <c r="CG626" s="26"/>
      <c r="CH626" s="26"/>
      <c r="CI626" s="26"/>
      <c r="CJ626" s="26"/>
      <c r="CK626" s="26"/>
      <c r="CL626" s="26"/>
      <c r="CM626" s="26"/>
      <c r="CN626" s="26"/>
      <c r="CO626" s="26"/>
    </row>
    <row r="627" spans="17:93" ht="12.75" hidden="1" customHeight="1" x14ac:dyDescent="0.25">
      <c r="Q627" s="6"/>
      <c r="R627" s="6"/>
      <c r="S627" s="6"/>
      <c r="T627" s="6"/>
      <c r="U627" s="6"/>
      <c r="V627" s="6"/>
      <c r="W627" s="6"/>
      <c r="X627" s="6"/>
      <c r="Y627" s="6"/>
      <c r="Z627" s="6"/>
      <c r="AA627" s="6"/>
      <c r="BF627" s="26"/>
      <c r="BG627" s="26"/>
      <c r="BH627" s="26"/>
      <c r="BI627" s="26"/>
      <c r="BJ627" s="26"/>
      <c r="BK627" s="26"/>
      <c r="BL627" s="26"/>
      <c r="BM627" s="26"/>
      <c r="BN627" s="26"/>
      <c r="BO627" s="26"/>
      <c r="BP627" s="26"/>
      <c r="BQ627" s="26"/>
      <c r="BR627" s="26"/>
      <c r="BS627" s="26"/>
      <c r="BT627" s="26"/>
      <c r="BU627" s="26"/>
      <c r="BV627" s="26"/>
      <c r="BW627" s="26"/>
      <c r="BX627" s="26"/>
      <c r="BY627" s="26"/>
      <c r="BZ627" s="26"/>
      <c r="CA627" s="26"/>
      <c r="CB627" s="26"/>
      <c r="CC627" s="26"/>
      <c r="CD627" s="26"/>
      <c r="CE627" s="26"/>
      <c r="CF627" s="26"/>
      <c r="CG627" s="26"/>
      <c r="CH627" s="26"/>
      <c r="CI627" s="26"/>
      <c r="CJ627" s="26"/>
      <c r="CK627" s="26"/>
      <c r="CL627" s="26"/>
      <c r="CM627" s="26"/>
      <c r="CN627" s="26"/>
      <c r="CO627" s="26"/>
    </row>
    <row r="628" spans="17:93" ht="12.75" hidden="1" customHeight="1" x14ac:dyDescent="0.25">
      <c r="Q628" s="6"/>
      <c r="R628" s="6"/>
      <c r="S628" s="6"/>
      <c r="T628" s="6"/>
      <c r="U628" s="6"/>
      <c r="V628" s="6"/>
      <c r="W628" s="6"/>
      <c r="X628" s="6"/>
      <c r="Y628" s="6"/>
      <c r="Z628" s="6"/>
      <c r="AA628" s="6"/>
      <c r="BF628" s="26"/>
      <c r="BG628" s="26"/>
      <c r="BH628" s="26"/>
      <c r="BI628" s="26"/>
      <c r="BJ628" s="26"/>
      <c r="BK628" s="26"/>
      <c r="BL628" s="26"/>
      <c r="BM628" s="26"/>
      <c r="BN628" s="26"/>
      <c r="BO628" s="26"/>
      <c r="BP628" s="26"/>
      <c r="BQ628" s="26"/>
      <c r="BR628" s="26"/>
      <c r="BS628" s="26"/>
      <c r="BT628" s="26"/>
      <c r="BU628" s="26"/>
      <c r="BV628" s="26"/>
      <c r="BW628" s="26"/>
      <c r="BX628" s="26"/>
      <c r="BY628" s="26"/>
      <c r="BZ628" s="26"/>
      <c r="CA628" s="26"/>
      <c r="CB628" s="26"/>
      <c r="CC628" s="26"/>
      <c r="CD628" s="26"/>
      <c r="CE628" s="26"/>
      <c r="CF628" s="26"/>
      <c r="CG628" s="26"/>
      <c r="CH628" s="26"/>
      <c r="CI628" s="26"/>
      <c r="CJ628" s="26"/>
      <c r="CK628" s="26"/>
      <c r="CL628" s="26"/>
      <c r="CM628" s="26"/>
      <c r="CN628" s="26"/>
      <c r="CO628" s="26"/>
    </row>
    <row r="629" spans="17:93" ht="12.75" hidden="1" customHeight="1" x14ac:dyDescent="0.25">
      <c r="Q629" s="6"/>
      <c r="R629" s="6"/>
      <c r="S629" s="6"/>
      <c r="T629" s="6"/>
      <c r="U629" s="6"/>
      <c r="V629" s="6"/>
      <c r="W629" s="6"/>
      <c r="X629" s="6"/>
      <c r="Y629" s="6"/>
      <c r="Z629" s="6"/>
      <c r="AA629" s="6"/>
      <c r="BF629" s="26"/>
      <c r="BG629" s="26"/>
      <c r="BH629" s="26"/>
      <c r="BI629" s="26"/>
      <c r="BJ629" s="26"/>
      <c r="BK629" s="26"/>
      <c r="BL629" s="26"/>
      <c r="BM629" s="26"/>
      <c r="BN629" s="26"/>
      <c r="BO629" s="26"/>
      <c r="BP629" s="26"/>
      <c r="BQ629" s="26"/>
      <c r="BR629" s="26"/>
      <c r="BS629" s="26"/>
      <c r="BT629" s="26"/>
      <c r="BU629" s="26"/>
      <c r="BV629" s="26"/>
      <c r="BW629" s="26"/>
      <c r="BX629" s="26"/>
      <c r="BY629" s="26"/>
      <c r="BZ629" s="26"/>
      <c r="CA629" s="26"/>
      <c r="CB629" s="26"/>
      <c r="CC629" s="26"/>
      <c r="CD629" s="26"/>
      <c r="CE629" s="26"/>
      <c r="CF629" s="26"/>
      <c r="CG629" s="26"/>
      <c r="CH629" s="26"/>
      <c r="CI629" s="26"/>
      <c r="CJ629" s="26"/>
      <c r="CK629" s="26"/>
      <c r="CL629" s="26"/>
      <c r="CM629" s="26"/>
      <c r="CN629" s="26"/>
      <c r="CO629" s="26"/>
    </row>
    <row r="630" spans="17:93" ht="12.75" hidden="1" customHeight="1" x14ac:dyDescent="0.25">
      <c r="Q630" s="6"/>
      <c r="R630" s="6"/>
      <c r="S630" s="6"/>
      <c r="T630" s="6"/>
      <c r="U630" s="6"/>
      <c r="V630" s="6"/>
      <c r="W630" s="6"/>
      <c r="X630" s="6"/>
      <c r="Y630" s="6"/>
      <c r="Z630" s="6"/>
      <c r="AA630" s="6"/>
      <c r="BF630" s="26"/>
      <c r="BG630" s="26"/>
      <c r="BH630" s="26"/>
      <c r="BI630" s="26"/>
      <c r="BJ630" s="26"/>
      <c r="BK630" s="26"/>
      <c r="BL630" s="26"/>
      <c r="BM630" s="26"/>
      <c r="BN630" s="26"/>
      <c r="BO630" s="26"/>
      <c r="BP630" s="26"/>
      <c r="BQ630" s="26"/>
      <c r="BR630" s="26"/>
      <c r="BS630" s="26"/>
      <c r="BT630" s="26"/>
      <c r="BU630" s="26"/>
      <c r="BV630" s="26"/>
      <c r="BW630" s="26"/>
      <c r="BX630" s="26"/>
      <c r="BY630" s="26"/>
      <c r="BZ630" s="26"/>
      <c r="CA630" s="26"/>
      <c r="CB630" s="26"/>
      <c r="CC630" s="26"/>
      <c r="CD630" s="26"/>
      <c r="CE630" s="26"/>
      <c r="CF630" s="26"/>
      <c r="CG630" s="26"/>
      <c r="CH630" s="26"/>
      <c r="CI630" s="26"/>
      <c r="CJ630" s="26"/>
      <c r="CK630" s="26"/>
      <c r="CL630" s="26"/>
      <c r="CM630" s="26"/>
      <c r="CN630" s="26"/>
      <c r="CO630" s="26"/>
    </row>
    <row r="631" spans="17:93" ht="12.75" hidden="1" customHeight="1" x14ac:dyDescent="0.25">
      <c r="Q631" s="6"/>
      <c r="R631" s="6"/>
      <c r="S631" s="6"/>
      <c r="T631" s="6"/>
      <c r="U631" s="6"/>
      <c r="V631" s="6"/>
      <c r="W631" s="6"/>
      <c r="X631" s="6"/>
      <c r="Y631" s="6"/>
      <c r="Z631" s="6"/>
      <c r="AA631" s="6"/>
      <c r="BF631" s="26"/>
      <c r="BG631" s="26"/>
      <c r="BH631" s="26"/>
      <c r="BI631" s="26"/>
      <c r="BJ631" s="26"/>
      <c r="BK631" s="26"/>
      <c r="BL631" s="26"/>
      <c r="BM631" s="26"/>
      <c r="BN631" s="26"/>
      <c r="BO631" s="26"/>
      <c r="BP631" s="26"/>
      <c r="BQ631" s="26"/>
      <c r="BR631" s="26"/>
      <c r="BS631" s="26"/>
      <c r="BT631" s="26"/>
      <c r="BU631" s="26"/>
      <c r="BV631" s="26"/>
      <c r="BW631" s="26"/>
      <c r="BX631" s="26"/>
      <c r="BY631" s="26"/>
      <c r="BZ631" s="26"/>
      <c r="CA631" s="26"/>
      <c r="CB631" s="26"/>
      <c r="CC631" s="26"/>
      <c r="CD631" s="26"/>
      <c r="CE631" s="26"/>
      <c r="CF631" s="26"/>
      <c r="CG631" s="26"/>
      <c r="CH631" s="26"/>
      <c r="CI631" s="26"/>
      <c r="CJ631" s="26"/>
      <c r="CK631" s="26"/>
      <c r="CL631" s="26"/>
      <c r="CM631" s="26"/>
      <c r="CN631" s="26"/>
      <c r="CO631" s="26"/>
    </row>
    <row r="632" spans="17:93" ht="12.75" hidden="1" customHeight="1" x14ac:dyDescent="0.25">
      <c r="Q632" s="6"/>
      <c r="R632" s="6"/>
      <c r="S632" s="6"/>
      <c r="T632" s="6"/>
      <c r="U632" s="6"/>
      <c r="V632" s="6"/>
      <c r="W632" s="6"/>
      <c r="X632" s="6"/>
      <c r="Y632" s="6"/>
      <c r="Z632" s="6"/>
      <c r="AA632" s="6"/>
      <c r="BF632" s="26"/>
      <c r="BG632" s="26"/>
      <c r="BH632" s="26"/>
      <c r="BI632" s="26"/>
      <c r="BJ632" s="26"/>
      <c r="BK632" s="26"/>
      <c r="BL632" s="26"/>
      <c r="BM632" s="26"/>
      <c r="BN632" s="26"/>
      <c r="BO632" s="26"/>
      <c r="BP632" s="26"/>
      <c r="BQ632" s="26"/>
      <c r="BR632" s="26"/>
      <c r="BS632" s="26"/>
      <c r="BT632" s="26"/>
      <c r="BU632" s="26"/>
      <c r="BV632" s="26"/>
      <c r="BW632" s="26"/>
      <c r="BX632" s="26"/>
      <c r="BY632" s="26"/>
      <c r="BZ632" s="26"/>
      <c r="CA632" s="26"/>
      <c r="CB632" s="26"/>
      <c r="CC632" s="26"/>
      <c r="CD632" s="26"/>
      <c r="CE632" s="26"/>
      <c r="CF632" s="26"/>
      <c r="CG632" s="26"/>
      <c r="CH632" s="26"/>
      <c r="CI632" s="26"/>
      <c r="CJ632" s="26"/>
      <c r="CK632" s="26"/>
      <c r="CL632" s="26"/>
      <c r="CM632" s="26"/>
      <c r="CN632" s="26"/>
      <c r="CO632" s="26"/>
    </row>
    <row r="633" spans="17:93" ht="12.75" hidden="1" customHeight="1" x14ac:dyDescent="0.25">
      <c r="Q633" s="6"/>
      <c r="R633" s="6"/>
      <c r="S633" s="6"/>
      <c r="T633" s="6"/>
      <c r="U633" s="6"/>
      <c r="V633" s="6"/>
      <c r="W633" s="6"/>
      <c r="X633" s="6"/>
      <c r="Y633" s="6"/>
      <c r="Z633" s="6"/>
      <c r="AA633" s="6"/>
      <c r="BF633" s="26"/>
      <c r="BG633" s="26"/>
      <c r="BH633" s="26"/>
      <c r="BI633" s="26"/>
      <c r="BJ633" s="26"/>
      <c r="BK633" s="26"/>
      <c r="BL633" s="26"/>
      <c r="BM633" s="26"/>
      <c r="BN633" s="26"/>
      <c r="BO633" s="26"/>
      <c r="BP633" s="26"/>
      <c r="BQ633" s="26"/>
      <c r="BR633" s="26"/>
      <c r="BS633" s="26"/>
      <c r="BT633" s="26"/>
      <c r="BU633" s="26"/>
      <c r="BV633" s="26"/>
      <c r="BW633" s="26"/>
      <c r="BX633" s="26"/>
      <c r="BY633" s="26"/>
      <c r="BZ633" s="26"/>
      <c r="CA633" s="26"/>
      <c r="CB633" s="26"/>
      <c r="CC633" s="26"/>
      <c r="CD633" s="26"/>
      <c r="CE633" s="26"/>
      <c r="CF633" s="26"/>
      <c r="CG633" s="26"/>
      <c r="CH633" s="26"/>
      <c r="CI633" s="26"/>
      <c r="CJ633" s="26"/>
      <c r="CK633" s="26"/>
      <c r="CL633" s="26"/>
      <c r="CM633" s="26"/>
      <c r="CN633" s="26"/>
      <c r="CO633" s="26"/>
    </row>
    <row r="634" spans="17:93" ht="12.75" hidden="1" customHeight="1" x14ac:dyDescent="0.25">
      <c r="Q634" s="6"/>
      <c r="R634" s="6"/>
      <c r="S634" s="6"/>
      <c r="T634" s="6"/>
      <c r="U634" s="6"/>
      <c r="V634" s="6"/>
      <c r="W634" s="6"/>
      <c r="X634" s="6"/>
      <c r="Y634" s="6"/>
      <c r="Z634" s="6"/>
      <c r="AA634" s="6"/>
      <c r="BF634" s="26"/>
      <c r="BG634" s="26"/>
      <c r="BH634" s="26"/>
      <c r="BI634" s="26"/>
      <c r="BJ634" s="26"/>
      <c r="BK634" s="26"/>
      <c r="BL634" s="26"/>
      <c r="BM634" s="26"/>
      <c r="BN634" s="26"/>
      <c r="BO634" s="26"/>
      <c r="BP634" s="26"/>
      <c r="BQ634" s="26"/>
      <c r="BR634" s="26"/>
      <c r="BS634" s="26"/>
      <c r="BT634" s="26"/>
      <c r="BU634" s="26"/>
      <c r="BV634" s="26"/>
      <c r="BW634" s="26"/>
      <c r="BX634" s="26"/>
      <c r="BY634" s="26"/>
      <c r="BZ634" s="26"/>
      <c r="CA634" s="26"/>
      <c r="CB634" s="26"/>
      <c r="CC634" s="26"/>
      <c r="CD634" s="26"/>
      <c r="CE634" s="26"/>
      <c r="CF634" s="26"/>
      <c r="CG634" s="26"/>
      <c r="CH634" s="26"/>
      <c r="CI634" s="26"/>
      <c r="CJ634" s="26"/>
      <c r="CK634" s="26"/>
      <c r="CL634" s="26"/>
      <c r="CM634" s="26"/>
      <c r="CN634" s="26"/>
      <c r="CO634" s="26"/>
    </row>
    <row r="635" spans="17:93" ht="12.75" hidden="1" customHeight="1" x14ac:dyDescent="0.25">
      <c r="Q635" s="6"/>
      <c r="R635" s="6"/>
      <c r="S635" s="6"/>
      <c r="T635" s="6"/>
      <c r="U635" s="6"/>
      <c r="V635" s="6"/>
      <c r="W635" s="6"/>
      <c r="X635" s="6"/>
      <c r="Y635" s="6"/>
      <c r="Z635" s="6"/>
      <c r="AA635" s="6"/>
      <c r="BF635" s="26"/>
      <c r="BG635" s="26"/>
      <c r="BH635" s="26"/>
      <c r="BI635" s="26"/>
      <c r="BJ635" s="26"/>
      <c r="BK635" s="26"/>
      <c r="BL635" s="26"/>
      <c r="BM635" s="26"/>
      <c r="BN635" s="26"/>
      <c r="BO635" s="26"/>
      <c r="BP635" s="26"/>
      <c r="BQ635" s="26"/>
      <c r="BR635" s="26"/>
      <c r="BS635" s="26"/>
      <c r="BT635" s="26"/>
      <c r="BU635" s="26"/>
      <c r="BV635" s="26"/>
      <c r="BW635" s="26"/>
      <c r="BX635" s="26"/>
      <c r="BY635" s="26"/>
      <c r="BZ635" s="26"/>
      <c r="CA635" s="26"/>
      <c r="CB635" s="26"/>
      <c r="CC635" s="26"/>
      <c r="CD635" s="26"/>
      <c r="CE635" s="26"/>
      <c r="CF635" s="26"/>
      <c r="CG635" s="26"/>
      <c r="CH635" s="26"/>
      <c r="CI635" s="26"/>
      <c r="CJ635" s="26"/>
      <c r="CK635" s="26"/>
      <c r="CL635" s="26"/>
      <c r="CM635" s="26"/>
      <c r="CN635" s="26"/>
      <c r="CO635" s="26"/>
    </row>
    <row r="636" spans="17:93" ht="12.75" hidden="1" customHeight="1" x14ac:dyDescent="0.25">
      <c r="Q636" s="6"/>
      <c r="R636" s="6"/>
      <c r="S636" s="6"/>
      <c r="T636" s="6"/>
      <c r="U636" s="6"/>
      <c r="V636" s="6"/>
      <c r="W636" s="6"/>
      <c r="X636" s="6"/>
      <c r="Y636" s="6"/>
      <c r="Z636" s="6"/>
      <c r="AA636" s="6"/>
      <c r="BF636" s="26"/>
      <c r="BG636" s="26"/>
      <c r="BH636" s="26"/>
      <c r="BI636" s="26"/>
      <c r="BJ636" s="26"/>
      <c r="BK636" s="26"/>
      <c r="BL636" s="26"/>
      <c r="BM636" s="26"/>
      <c r="BN636" s="26"/>
      <c r="BO636" s="26"/>
      <c r="BP636" s="26"/>
      <c r="BQ636" s="26"/>
      <c r="BR636" s="26"/>
      <c r="BS636" s="26"/>
      <c r="BT636" s="26"/>
      <c r="BU636" s="26"/>
      <c r="BV636" s="26"/>
      <c r="BW636" s="26"/>
      <c r="BX636" s="26"/>
      <c r="BY636" s="26"/>
      <c r="BZ636" s="26"/>
      <c r="CA636" s="26"/>
      <c r="CB636" s="26"/>
      <c r="CC636" s="26"/>
      <c r="CD636" s="26"/>
      <c r="CE636" s="26"/>
      <c r="CF636" s="26"/>
      <c r="CG636" s="26"/>
      <c r="CH636" s="26"/>
      <c r="CI636" s="26"/>
      <c r="CJ636" s="26"/>
      <c r="CK636" s="26"/>
      <c r="CL636" s="26"/>
      <c r="CM636" s="26"/>
      <c r="CN636" s="26"/>
      <c r="CO636" s="26"/>
    </row>
    <row r="637" spans="17:93" ht="12.75" hidden="1" customHeight="1" x14ac:dyDescent="0.25">
      <c r="Q637" s="6"/>
      <c r="R637" s="6"/>
      <c r="S637" s="6"/>
      <c r="T637" s="6"/>
      <c r="U637" s="6"/>
      <c r="V637" s="6"/>
      <c r="W637" s="6"/>
      <c r="X637" s="6"/>
      <c r="Y637" s="6"/>
      <c r="Z637" s="6"/>
      <c r="AA637" s="6"/>
      <c r="BF637" s="26"/>
      <c r="BG637" s="26"/>
      <c r="BH637" s="26"/>
      <c r="BI637" s="26"/>
      <c r="BJ637" s="26"/>
      <c r="BK637" s="26"/>
      <c r="BL637" s="26"/>
      <c r="BM637" s="26"/>
      <c r="BN637" s="26"/>
      <c r="BO637" s="26"/>
      <c r="BP637" s="26"/>
      <c r="BQ637" s="26"/>
      <c r="BR637" s="26"/>
      <c r="BS637" s="26"/>
      <c r="BT637" s="26"/>
      <c r="BU637" s="26"/>
      <c r="BV637" s="26"/>
      <c r="BW637" s="26"/>
      <c r="BX637" s="26"/>
      <c r="BY637" s="26"/>
      <c r="BZ637" s="26"/>
      <c r="CA637" s="26"/>
      <c r="CB637" s="26"/>
      <c r="CC637" s="26"/>
      <c r="CD637" s="26"/>
      <c r="CE637" s="26"/>
      <c r="CF637" s="26"/>
      <c r="CG637" s="26"/>
      <c r="CH637" s="26"/>
      <c r="CI637" s="26"/>
      <c r="CJ637" s="26"/>
      <c r="CK637" s="26"/>
      <c r="CL637" s="26"/>
      <c r="CM637" s="26"/>
      <c r="CN637" s="26"/>
      <c r="CO637" s="26"/>
    </row>
    <row r="638" spans="17:93" ht="12.75" hidden="1" customHeight="1" x14ac:dyDescent="0.25">
      <c r="Q638" s="6"/>
      <c r="R638" s="6"/>
      <c r="S638" s="6"/>
      <c r="T638" s="6"/>
      <c r="U638" s="6"/>
      <c r="V638" s="6"/>
      <c r="W638" s="6"/>
      <c r="X638" s="6"/>
      <c r="Y638" s="6"/>
      <c r="Z638" s="6"/>
      <c r="AA638" s="6"/>
      <c r="BF638" s="26"/>
      <c r="BG638" s="26"/>
      <c r="BH638" s="26"/>
      <c r="BI638" s="26"/>
      <c r="BJ638" s="26"/>
      <c r="BK638" s="26"/>
      <c r="BL638" s="26"/>
      <c r="BM638" s="26"/>
      <c r="BN638" s="26"/>
      <c r="BO638" s="26"/>
      <c r="BP638" s="26"/>
      <c r="BQ638" s="26"/>
      <c r="BR638" s="26"/>
      <c r="BS638" s="26"/>
      <c r="BT638" s="26"/>
      <c r="BU638" s="26"/>
      <c r="BV638" s="26"/>
      <c r="BW638" s="26"/>
      <c r="BX638" s="26"/>
      <c r="BY638" s="26"/>
      <c r="BZ638" s="26"/>
      <c r="CA638" s="26"/>
      <c r="CB638" s="26"/>
      <c r="CC638" s="26"/>
      <c r="CD638" s="26"/>
      <c r="CE638" s="26"/>
      <c r="CF638" s="26"/>
      <c r="CG638" s="26"/>
      <c r="CH638" s="26"/>
      <c r="CI638" s="26"/>
      <c r="CJ638" s="26"/>
      <c r="CK638" s="26"/>
      <c r="CL638" s="26"/>
      <c r="CM638" s="26"/>
      <c r="CN638" s="26"/>
      <c r="CO638" s="26"/>
    </row>
    <row r="639" spans="17:93" ht="12.75" hidden="1" customHeight="1" x14ac:dyDescent="0.25">
      <c r="Q639" s="6"/>
      <c r="R639" s="6"/>
      <c r="S639" s="6"/>
      <c r="T639" s="6"/>
      <c r="U639" s="6"/>
      <c r="V639" s="6"/>
      <c r="W639" s="6"/>
      <c r="X639" s="6"/>
      <c r="Y639" s="6"/>
      <c r="Z639" s="6"/>
      <c r="AA639" s="6"/>
      <c r="BF639" s="26"/>
      <c r="BG639" s="26"/>
      <c r="BH639" s="26"/>
      <c r="BI639" s="26"/>
      <c r="BJ639" s="26"/>
      <c r="BK639" s="26"/>
      <c r="BL639" s="26"/>
      <c r="BM639" s="26"/>
      <c r="BN639" s="26"/>
      <c r="BO639" s="26"/>
      <c r="BP639" s="26"/>
      <c r="BQ639" s="26"/>
      <c r="BR639" s="26"/>
      <c r="BS639" s="26"/>
      <c r="BT639" s="26"/>
      <c r="BU639" s="26"/>
      <c r="BV639" s="26"/>
      <c r="BW639" s="26"/>
      <c r="BX639" s="26"/>
      <c r="BY639" s="26"/>
      <c r="BZ639" s="26"/>
      <c r="CA639" s="26"/>
      <c r="CB639" s="26"/>
      <c r="CC639" s="26"/>
      <c r="CD639" s="26"/>
      <c r="CE639" s="26"/>
      <c r="CF639" s="26"/>
      <c r="CG639" s="26"/>
      <c r="CH639" s="26"/>
      <c r="CI639" s="26"/>
      <c r="CJ639" s="26"/>
      <c r="CK639" s="26"/>
      <c r="CL639" s="26"/>
      <c r="CM639" s="26"/>
      <c r="CN639" s="26"/>
      <c r="CO639" s="26"/>
    </row>
    <row r="640" spans="17:93" ht="12.75" hidden="1" customHeight="1" x14ac:dyDescent="0.25">
      <c r="Q640" s="6"/>
      <c r="R640" s="6"/>
      <c r="S640" s="6"/>
      <c r="T640" s="6"/>
      <c r="U640" s="6"/>
      <c r="V640" s="6"/>
      <c r="W640" s="6"/>
      <c r="X640" s="6"/>
      <c r="Y640" s="6"/>
      <c r="Z640" s="6"/>
      <c r="AA640" s="6"/>
      <c r="BF640" s="26"/>
      <c r="BG640" s="26"/>
      <c r="BH640" s="26"/>
      <c r="BI640" s="26"/>
      <c r="BJ640" s="26"/>
      <c r="BK640" s="26"/>
      <c r="BL640" s="26"/>
      <c r="BM640" s="26"/>
      <c r="BN640" s="26"/>
      <c r="BO640" s="26"/>
      <c r="BP640" s="26"/>
      <c r="BQ640" s="26"/>
      <c r="BR640" s="26"/>
      <c r="BS640" s="26"/>
      <c r="BT640" s="26"/>
      <c r="BU640" s="26"/>
      <c r="BV640" s="26"/>
      <c r="BW640" s="26"/>
      <c r="BX640" s="26"/>
      <c r="BY640" s="26"/>
      <c r="BZ640" s="26"/>
      <c r="CA640" s="26"/>
      <c r="CB640" s="26"/>
      <c r="CC640" s="26"/>
      <c r="CD640" s="26"/>
      <c r="CE640" s="26"/>
      <c r="CF640" s="26"/>
      <c r="CG640" s="26"/>
      <c r="CH640" s="26"/>
      <c r="CI640" s="26"/>
      <c r="CJ640" s="26"/>
      <c r="CK640" s="26"/>
      <c r="CL640" s="26"/>
      <c r="CM640" s="26"/>
      <c r="CN640" s="26"/>
      <c r="CO640" s="26"/>
    </row>
    <row r="641" spans="17:93" ht="12.75" hidden="1" customHeight="1" x14ac:dyDescent="0.25">
      <c r="Q641" s="6"/>
      <c r="R641" s="6"/>
      <c r="S641" s="6"/>
      <c r="T641" s="6"/>
      <c r="U641" s="6"/>
      <c r="V641" s="6"/>
      <c r="W641" s="6"/>
      <c r="X641" s="6"/>
      <c r="Y641" s="6"/>
      <c r="Z641" s="6"/>
      <c r="AA641" s="6"/>
      <c r="BF641" s="26"/>
      <c r="BG641" s="26"/>
      <c r="BH641" s="26"/>
      <c r="BI641" s="26"/>
      <c r="BJ641" s="26"/>
      <c r="BK641" s="26"/>
      <c r="BL641" s="26"/>
      <c r="BM641" s="26"/>
      <c r="BN641" s="26"/>
      <c r="BO641" s="26"/>
      <c r="BP641" s="26"/>
      <c r="BQ641" s="26"/>
      <c r="BR641" s="26"/>
      <c r="BS641" s="26"/>
      <c r="BT641" s="26"/>
      <c r="BU641" s="26"/>
      <c r="BV641" s="26"/>
      <c r="BW641" s="26"/>
      <c r="BX641" s="26"/>
      <c r="BY641" s="26"/>
      <c r="BZ641" s="26"/>
      <c r="CA641" s="26"/>
      <c r="CB641" s="26"/>
      <c r="CC641" s="26"/>
      <c r="CD641" s="26"/>
      <c r="CE641" s="26"/>
      <c r="CF641" s="26"/>
      <c r="CG641" s="26"/>
      <c r="CH641" s="26"/>
      <c r="CI641" s="26"/>
      <c r="CJ641" s="26"/>
      <c r="CK641" s="26"/>
      <c r="CL641" s="26"/>
      <c r="CM641" s="26"/>
      <c r="CN641" s="26"/>
      <c r="CO641" s="26"/>
    </row>
    <row r="642" spans="17:93" ht="12.75" hidden="1" customHeight="1" x14ac:dyDescent="0.25">
      <c r="Q642" s="6"/>
      <c r="R642" s="6"/>
      <c r="S642" s="6"/>
      <c r="T642" s="6"/>
      <c r="U642" s="6"/>
      <c r="V642" s="6"/>
      <c r="W642" s="6"/>
      <c r="X642" s="6"/>
      <c r="Y642" s="6"/>
      <c r="Z642" s="6"/>
      <c r="AA642" s="6"/>
      <c r="BF642" s="26"/>
      <c r="BG642" s="26"/>
      <c r="BH642" s="26"/>
      <c r="BI642" s="26"/>
      <c r="BJ642" s="26"/>
      <c r="BK642" s="26"/>
      <c r="BL642" s="26"/>
      <c r="BM642" s="26"/>
      <c r="BN642" s="26"/>
      <c r="BO642" s="26"/>
      <c r="BP642" s="26"/>
      <c r="BQ642" s="26"/>
      <c r="BR642" s="26"/>
      <c r="BS642" s="26"/>
      <c r="BT642" s="26"/>
      <c r="BU642" s="26"/>
      <c r="BV642" s="26"/>
      <c r="BW642" s="26"/>
      <c r="BX642" s="26"/>
      <c r="BY642" s="26"/>
      <c r="BZ642" s="26"/>
      <c r="CA642" s="26"/>
      <c r="CB642" s="26"/>
      <c r="CC642" s="26"/>
      <c r="CD642" s="26"/>
      <c r="CE642" s="26"/>
      <c r="CF642" s="26"/>
      <c r="CG642" s="26"/>
      <c r="CH642" s="26"/>
      <c r="CI642" s="26"/>
      <c r="CJ642" s="26"/>
      <c r="CK642" s="26"/>
      <c r="CL642" s="26"/>
      <c r="CM642" s="26"/>
      <c r="CN642" s="26"/>
      <c r="CO642" s="26"/>
    </row>
    <row r="643" spans="17:93" ht="12.75" hidden="1" customHeight="1" x14ac:dyDescent="0.25">
      <c r="Q643" s="6"/>
      <c r="R643" s="6"/>
      <c r="S643" s="6"/>
      <c r="T643" s="6"/>
      <c r="U643" s="6"/>
      <c r="V643" s="6"/>
      <c r="W643" s="6"/>
      <c r="X643" s="6"/>
      <c r="Y643" s="6"/>
      <c r="Z643" s="6"/>
      <c r="AA643" s="6"/>
      <c r="BF643" s="26"/>
      <c r="BG643" s="26"/>
      <c r="BH643" s="26"/>
      <c r="BI643" s="26"/>
      <c r="BJ643" s="26"/>
      <c r="BK643" s="26"/>
      <c r="BL643" s="26"/>
      <c r="BM643" s="26"/>
      <c r="BN643" s="26"/>
      <c r="BO643" s="26"/>
      <c r="BP643" s="26"/>
      <c r="BQ643" s="26"/>
      <c r="BR643" s="26"/>
      <c r="BS643" s="26"/>
      <c r="BT643" s="26"/>
      <c r="BU643" s="26"/>
      <c r="BV643" s="26"/>
      <c r="BW643" s="26"/>
      <c r="BX643" s="26"/>
      <c r="BY643" s="26"/>
      <c r="BZ643" s="26"/>
      <c r="CA643" s="26"/>
      <c r="CB643" s="26"/>
      <c r="CC643" s="26"/>
      <c r="CD643" s="26"/>
      <c r="CE643" s="26"/>
      <c r="CF643" s="26"/>
      <c r="CG643" s="26"/>
      <c r="CH643" s="26"/>
      <c r="CI643" s="26"/>
      <c r="CJ643" s="26"/>
      <c r="CK643" s="26"/>
      <c r="CL643" s="26"/>
      <c r="CM643" s="26"/>
      <c r="CN643" s="26"/>
      <c r="CO643" s="26"/>
    </row>
    <row r="644" spans="17:93" ht="12.75" hidden="1" customHeight="1" x14ac:dyDescent="0.25">
      <c r="Q644" s="6"/>
      <c r="R644" s="6"/>
      <c r="S644" s="6"/>
      <c r="T644" s="6"/>
      <c r="U644" s="6"/>
      <c r="V644" s="6"/>
      <c r="W644" s="6"/>
      <c r="X644" s="6"/>
      <c r="Y644" s="6"/>
      <c r="Z644" s="6"/>
      <c r="AA644" s="6"/>
      <c r="BF644" s="26"/>
      <c r="BG644" s="26"/>
      <c r="BH644" s="26"/>
      <c r="BI644" s="26"/>
      <c r="BJ644" s="26"/>
      <c r="BK644" s="26"/>
      <c r="BL644" s="26"/>
      <c r="BM644" s="26"/>
      <c r="BN644" s="26"/>
      <c r="BO644" s="26"/>
      <c r="BP644" s="26"/>
      <c r="BQ644" s="26"/>
      <c r="BR644" s="26"/>
      <c r="BS644" s="26"/>
      <c r="BT644" s="26"/>
      <c r="BU644" s="26"/>
      <c r="BV644" s="26"/>
      <c r="BW644" s="26"/>
      <c r="BX644" s="26"/>
      <c r="BY644" s="26"/>
      <c r="BZ644" s="26"/>
      <c r="CA644" s="26"/>
      <c r="CB644" s="26"/>
      <c r="CC644" s="26"/>
      <c r="CD644" s="26"/>
      <c r="CE644" s="26"/>
      <c r="CF644" s="26"/>
      <c r="CG644" s="26"/>
      <c r="CH644" s="26"/>
      <c r="CI644" s="26"/>
      <c r="CJ644" s="26"/>
      <c r="CK644" s="26"/>
      <c r="CL644" s="26"/>
      <c r="CM644" s="26"/>
      <c r="CN644" s="26"/>
      <c r="CO644" s="26"/>
    </row>
    <row r="645" spans="17:93" ht="12.75" hidden="1" customHeight="1" x14ac:dyDescent="0.25">
      <c r="Q645" s="6"/>
      <c r="R645" s="6"/>
      <c r="S645" s="6"/>
      <c r="T645" s="6"/>
      <c r="U645" s="6"/>
      <c r="V645" s="6"/>
      <c r="W645" s="6"/>
      <c r="X645" s="6"/>
      <c r="Y645" s="6"/>
      <c r="Z645" s="6"/>
      <c r="AA645" s="6"/>
      <c r="BF645" s="26"/>
      <c r="BG645" s="26"/>
      <c r="BH645" s="26"/>
      <c r="BI645" s="26"/>
      <c r="BJ645" s="26"/>
      <c r="BK645" s="26"/>
      <c r="BL645" s="26"/>
      <c r="BM645" s="26"/>
      <c r="BN645" s="26"/>
      <c r="BO645" s="26"/>
      <c r="BP645" s="26"/>
      <c r="BQ645" s="26"/>
      <c r="BR645" s="26"/>
      <c r="BS645" s="26"/>
      <c r="BT645" s="26"/>
      <c r="BU645" s="26"/>
      <c r="BV645" s="26"/>
      <c r="BW645" s="26"/>
      <c r="BX645" s="26"/>
      <c r="BY645" s="26"/>
      <c r="BZ645" s="26"/>
      <c r="CA645" s="26"/>
      <c r="CB645" s="26"/>
      <c r="CC645" s="26"/>
      <c r="CD645" s="26"/>
      <c r="CE645" s="26"/>
      <c r="CF645" s="26"/>
      <c r="CG645" s="26"/>
      <c r="CH645" s="26"/>
      <c r="CI645" s="26"/>
      <c r="CJ645" s="26"/>
      <c r="CK645" s="26"/>
      <c r="CL645" s="26"/>
      <c r="CM645" s="26"/>
      <c r="CN645" s="26"/>
      <c r="CO645" s="26"/>
    </row>
    <row r="646" spans="17:93" ht="12.75" hidden="1" customHeight="1" x14ac:dyDescent="0.25">
      <c r="Q646" s="6"/>
      <c r="R646" s="6"/>
      <c r="S646" s="6"/>
      <c r="T646" s="6"/>
      <c r="U646" s="6"/>
      <c r="V646" s="6"/>
      <c r="W646" s="6"/>
      <c r="X646" s="6"/>
      <c r="Y646" s="6"/>
      <c r="Z646" s="6"/>
      <c r="AA646" s="6"/>
      <c r="BF646" s="26"/>
      <c r="BG646" s="26"/>
      <c r="BH646" s="26"/>
      <c r="BI646" s="26"/>
      <c r="BJ646" s="26"/>
      <c r="BK646" s="26"/>
      <c r="BL646" s="26"/>
      <c r="BM646" s="26"/>
      <c r="BN646" s="26"/>
      <c r="BO646" s="26"/>
      <c r="BP646" s="26"/>
      <c r="BQ646" s="26"/>
      <c r="BR646" s="26"/>
      <c r="BS646" s="26"/>
      <c r="BT646" s="26"/>
      <c r="BU646" s="26"/>
      <c r="BV646" s="26"/>
      <c r="BW646" s="26"/>
      <c r="BX646" s="26"/>
      <c r="BY646" s="26"/>
      <c r="BZ646" s="26"/>
      <c r="CA646" s="26"/>
      <c r="CB646" s="26"/>
      <c r="CC646" s="26"/>
      <c r="CD646" s="26"/>
      <c r="CE646" s="26"/>
      <c r="CF646" s="26"/>
      <c r="CG646" s="26"/>
      <c r="CH646" s="26"/>
      <c r="CI646" s="26"/>
      <c r="CJ646" s="26"/>
      <c r="CK646" s="26"/>
      <c r="CL646" s="26"/>
      <c r="CM646" s="26"/>
      <c r="CN646" s="26"/>
      <c r="CO646" s="26"/>
    </row>
    <row r="647" spans="17:93" ht="12.75" hidden="1" customHeight="1" x14ac:dyDescent="0.25">
      <c r="Q647" s="6"/>
      <c r="R647" s="6"/>
      <c r="S647" s="6"/>
      <c r="T647" s="6"/>
      <c r="U647" s="6"/>
      <c r="V647" s="6"/>
      <c r="W647" s="6"/>
      <c r="X647" s="6"/>
      <c r="Y647" s="6"/>
      <c r="Z647" s="6"/>
      <c r="AA647" s="6"/>
      <c r="BF647" s="26"/>
      <c r="BG647" s="26"/>
      <c r="BH647" s="26"/>
      <c r="BI647" s="26"/>
      <c r="BJ647" s="26"/>
      <c r="BK647" s="26"/>
      <c r="BL647" s="26"/>
      <c r="BM647" s="26"/>
      <c r="BN647" s="26"/>
      <c r="BO647" s="26"/>
      <c r="BP647" s="26"/>
      <c r="BQ647" s="26"/>
      <c r="BR647" s="26"/>
      <c r="BS647" s="26"/>
      <c r="BT647" s="26"/>
      <c r="BU647" s="26"/>
      <c r="BV647" s="26"/>
      <c r="BW647" s="26"/>
      <c r="BX647" s="26"/>
      <c r="BY647" s="26"/>
      <c r="BZ647" s="26"/>
      <c r="CA647" s="26"/>
      <c r="CB647" s="26"/>
      <c r="CC647" s="26"/>
      <c r="CD647" s="26"/>
      <c r="CE647" s="26"/>
      <c r="CF647" s="26"/>
      <c r="CG647" s="26"/>
      <c r="CH647" s="26"/>
      <c r="CI647" s="26"/>
      <c r="CJ647" s="26"/>
      <c r="CK647" s="26"/>
      <c r="CL647" s="26"/>
      <c r="CM647" s="26"/>
      <c r="CN647" s="26"/>
      <c r="CO647" s="26"/>
    </row>
    <row r="648" spans="17:93" ht="12.75" hidden="1" customHeight="1" x14ac:dyDescent="0.25">
      <c r="Q648" s="6"/>
      <c r="R648" s="6"/>
      <c r="S648" s="6"/>
      <c r="T648" s="6"/>
      <c r="U648" s="6"/>
      <c r="V648" s="6"/>
      <c r="W648" s="6"/>
      <c r="X648" s="6"/>
      <c r="Y648" s="6"/>
      <c r="Z648" s="6"/>
      <c r="AA648" s="6"/>
      <c r="BF648" s="26"/>
      <c r="BG648" s="26"/>
      <c r="BH648" s="26"/>
      <c r="BI648" s="26"/>
      <c r="BJ648" s="26"/>
      <c r="BK648" s="26"/>
      <c r="BL648" s="26"/>
      <c r="BM648" s="26"/>
      <c r="BN648" s="26"/>
      <c r="BO648" s="26"/>
      <c r="BP648" s="26"/>
      <c r="BQ648" s="26"/>
      <c r="BR648" s="26"/>
      <c r="BS648" s="26"/>
      <c r="BT648" s="26"/>
      <c r="BU648" s="26"/>
      <c r="BV648" s="26"/>
      <c r="BW648" s="26"/>
      <c r="BX648" s="26"/>
      <c r="BY648" s="26"/>
      <c r="BZ648" s="26"/>
      <c r="CA648" s="26"/>
      <c r="CB648" s="26"/>
      <c r="CC648" s="26"/>
      <c r="CD648" s="26"/>
      <c r="CE648" s="26"/>
      <c r="CF648" s="26"/>
      <c r="CG648" s="26"/>
      <c r="CH648" s="26"/>
      <c r="CI648" s="26"/>
      <c r="CJ648" s="26"/>
      <c r="CK648" s="26"/>
      <c r="CL648" s="26"/>
      <c r="CM648" s="26"/>
      <c r="CN648" s="26"/>
      <c r="CO648" s="26"/>
    </row>
    <row r="649" spans="17:93" ht="12.75" hidden="1" customHeight="1" x14ac:dyDescent="0.25">
      <c r="Q649" s="6"/>
      <c r="R649" s="6"/>
      <c r="S649" s="6"/>
      <c r="T649" s="6"/>
      <c r="U649" s="6"/>
      <c r="V649" s="6"/>
      <c r="W649" s="6"/>
      <c r="X649" s="6"/>
      <c r="Y649" s="6"/>
      <c r="Z649" s="6"/>
      <c r="AA649" s="6"/>
      <c r="BF649" s="26"/>
      <c r="BG649" s="26"/>
      <c r="BH649" s="26"/>
      <c r="BI649" s="26"/>
      <c r="BJ649" s="26"/>
      <c r="BK649" s="26"/>
      <c r="BL649" s="26"/>
      <c r="BM649" s="26"/>
      <c r="BN649" s="26"/>
      <c r="BO649" s="26"/>
      <c r="BP649" s="26"/>
      <c r="BQ649" s="26"/>
      <c r="BR649" s="26"/>
      <c r="BS649" s="26"/>
      <c r="BT649" s="26"/>
      <c r="BU649" s="26"/>
      <c r="BV649" s="26"/>
      <c r="BW649" s="26"/>
      <c r="BX649" s="26"/>
      <c r="BY649" s="26"/>
      <c r="BZ649" s="26"/>
      <c r="CA649" s="26"/>
      <c r="CB649" s="26"/>
      <c r="CC649" s="26"/>
      <c r="CD649" s="26"/>
      <c r="CE649" s="26"/>
      <c r="CF649" s="26"/>
      <c r="CG649" s="26"/>
      <c r="CH649" s="26"/>
      <c r="CI649" s="26"/>
      <c r="CJ649" s="26"/>
      <c r="CK649" s="26"/>
      <c r="CL649" s="26"/>
      <c r="CM649" s="26"/>
      <c r="CN649" s="26"/>
      <c r="CO649" s="26"/>
    </row>
    <row r="650" spans="17:93" ht="12.75" hidden="1" customHeight="1" x14ac:dyDescent="0.25">
      <c r="Q650" s="6"/>
      <c r="R650" s="6"/>
      <c r="S650" s="6"/>
      <c r="T650" s="6"/>
      <c r="U650" s="6"/>
      <c r="V650" s="6"/>
      <c r="W650" s="6"/>
      <c r="X650" s="6"/>
      <c r="Y650" s="6"/>
      <c r="Z650" s="6"/>
      <c r="AA650" s="6"/>
      <c r="BF650" s="26"/>
      <c r="BG650" s="26"/>
      <c r="BH650" s="26"/>
      <c r="BI650" s="26"/>
      <c r="BJ650" s="26"/>
      <c r="BK650" s="26"/>
      <c r="BL650" s="26"/>
      <c r="BM650" s="26"/>
      <c r="BN650" s="26"/>
      <c r="BO650" s="26"/>
      <c r="BP650" s="26"/>
      <c r="BQ650" s="26"/>
      <c r="BR650" s="26"/>
      <c r="BS650" s="26"/>
      <c r="BT650" s="26"/>
      <c r="BU650" s="26"/>
      <c r="BV650" s="26"/>
      <c r="BW650" s="26"/>
      <c r="BX650" s="26"/>
      <c r="BY650" s="26"/>
      <c r="BZ650" s="26"/>
      <c r="CA650" s="26"/>
      <c r="CB650" s="26"/>
      <c r="CC650" s="26"/>
      <c r="CD650" s="26"/>
      <c r="CE650" s="26"/>
      <c r="CF650" s="26"/>
      <c r="CG650" s="26"/>
      <c r="CH650" s="26"/>
      <c r="CI650" s="26"/>
      <c r="CJ650" s="26"/>
      <c r="CK650" s="26"/>
      <c r="CL650" s="26"/>
      <c r="CM650" s="26"/>
      <c r="CN650" s="26"/>
      <c r="CO650" s="26"/>
    </row>
    <row r="651" spans="17:93" ht="12.75" hidden="1" customHeight="1" x14ac:dyDescent="0.25">
      <c r="Q651" s="6"/>
      <c r="R651" s="6"/>
      <c r="S651" s="6"/>
      <c r="T651" s="6"/>
      <c r="U651" s="6"/>
      <c r="V651" s="6"/>
      <c r="W651" s="6"/>
      <c r="X651" s="6"/>
      <c r="Y651" s="6"/>
      <c r="Z651" s="6"/>
      <c r="AA651" s="6"/>
      <c r="BF651" s="26"/>
      <c r="BG651" s="26"/>
      <c r="BH651" s="26"/>
      <c r="BI651" s="26"/>
      <c r="BJ651" s="26"/>
      <c r="BK651" s="26"/>
      <c r="BL651" s="26"/>
      <c r="BM651" s="26"/>
      <c r="BN651" s="26"/>
      <c r="BO651" s="26"/>
      <c r="BP651" s="26"/>
      <c r="BQ651" s="26"/>
      <c r="BR651" s="26"/>
      <c r="BS651" s="26"/>
      <c r="BT651" s="26"/>
      <c r="BU651" s="26"/>
      <c r="BV651" s="26"/>
      <c r="BW651" s="26"/>
      <c r="BX651" s="26"/>
      <c r="BY651" s="26"/>
      <c r="BZ651" s="26"/>
      <c r="CA651" s="26"/>
      <c r="CB651" s="26"/>
      <c r="CC651" s="26"/>
      <c r="CD651" s="26"/>
      <c r="CE651" s="26"/>
      <c r="CF651" s="26"/>
      <c r="CG651" s="26"/>
      <c r="CH651" s="26"/>
      <c r="CI651" s="26"/>
      <c r="CJ651" s="26"/>
      <c r="CK651" s="26"/>
      <c r="CL651" s="26"/>
      <c r="CM651" s="26"/>
      <c r="CN651" s="26"/>
      <c r="CO651" s="26"/>
    </row>
    <row r="652" spans="17:93" ht="12.75" hidden="1" customHeight="1" x14ac:dyDescent="0.25">
      <c r="Q652" s="6"/>
      <c r="R652" s="6"/>
      <c r="S652" s="6"/>
      <c r="T652" s="6"/>
      <c r="U652" s="6"/>
      <c r="V652" s="6"/>
      <c r="W652" s="6"/>
      <c r="X652" s="6"/>
      <c r="Y652" s="6"/>
      <c r="Z652" s="6"/>
      <c r="AA652" s="6"/>
      <c r="BF652" s="26"/>
      <c r="BG652" s="26"/>
      <c r="BH652" s="26"/>
      <c r="BI652" s="26"/>
      <c r="BJ652" s="26"/>
      <c r="BK652" s="26"/>
      <c r="BL652" s="26"/>
      <c r="BM652" s="26"/>
      <c r="BN652" s="26"/>
      <c r="BO652" s="26"/>
      <c r="BP652" s="26"/>
      <c r="BQ652" s="26"/>
      <c r="BR652" s="26"/>
      <c r="BS652" s="26"/>
      <c r="BT652" s="26"/>
      <c r="BU652" s="26"/>
      <c r="BV652" s="26"/>
      <c r="BW652" s="26"/>
      <c r="BX652" s="26"/>
      <c r="BY652" s="26"/>
      <c r="BZ652" s="26"/>
      <c r="CA652" s="26"/>
      <c r="CB652" s="26"/>
      <c r="CC652" s="26"/>
      <c r="CD652" s="26"/>
      <c r="CE652" s="26"/>
      <c r="CF652" s="26"/>
      <c r="CG652" s="26"/>
      <c r="CH652" s="26"/>
      <c r="CI652" s="26"/>
      <c r="CJ652" s="26"/>
      <c r="CK652" s="26"/>
      <c r="CL652" s="26"/>
      <c r="CM652" s="26"/>
      <c r="CN652" s="26"/>
      <c r="CO652" s="26"/>
    </row>
    <row r="653" spans="17:93" ht="12.75" hidden="1" customHeight="1" x14ac:dyDescent="0.25">
      <c r="Q653" s="6"/>
      <c r="R653" s="6"/>
      <c r="S653" s="6"/>
      <c r="T653" s="6"/>
      <c r="U653" s="6"/>
      <c r="V653" s="6"/>
      <c r="W653" s="6"/>
      <c r="X653" s="6"/>
      <c r="Y653" s="6"/>
      <c r="Z653" s="6"/>
      <c r="AA653" s="6"/>
      <c r="BF653" s="26"/>
      <c r="BG653" s="26"/>
      <c r="BH653" s="26"/>
      <c r="BI653" s="26"/>
      <c r="BJ653" s="26"/>
      <c r="BK653" s="26"/>
      <c r="BL653" s="26"/>
      <c r="BM653" s="26"/>
      <c r="BN653" s="26"/>
      <c r="BO653" s="26"/>
      <c r="BP653" s="26"/>
      <c r="BQ653" s="26"/>
      <c r="BR653" s="26"/>
      <c r="BS653" s="26"/>
      <c r="BT653" s="26"/>
      <c r="BU653" s="26"/>
      <c r="BV653" s="26"/>
      <c r="BW653" s="26"/>
      <c r="BX653" s="26"/>
      <c r="BY653" s="26"/>
      <c r="BZ653" s="26"/>
      <c r="CA653" s="26"/>
      <c r="CB653" s="26"/>
      <c r="CC653" s="26"/>
      <c r="CD653" s="26"/>
      <c r="CE653" s="26"/>
      <c r="CF653" s="26"/>
      <c r="CG653" s="26"/>
      <c r="CH653" s="26"/>
      <c r="CI653" s="26"/>
      <c r="CJ653" s="26"/>
      <c r="CK653" s="26"/>
      <c r="CL653" s="26"/>
      <c r="CM653" s="26"/>
      <c r="CN653" s="26"/>
      <c r="CO653" s="26"/>
    </row>
    <row r="654" spans="17:93" ht="12.75" hidden="1" customHeight="1" x14ac:dyDescent="0.25">
      <c r="Q654" s="6"/>
      <c r="R654" s="6"/>
      <c r="S654" s="6"/>
      <c r="T654" s="6"/>
      <c r="U654" s="6"/>
      <c r="V654" s="6"/>
      <c r="W654" s="6"/>
      <c r="X654" s="6"/>
      <c r="Y654" s="6"/>
      <c r="Z654" s="6"/>
      <c r="AA654" s="6"/>
      <c r="BF654" s="26"/>
      <c r="BG654" s="26"/>
      <c r="BH654" s="26"/>
      <c r="BI654" s="26"/>
      <c r="BJ654" s="26"/>
      <c r="BK654" s="26"/>
      <c r="BL654" s="26"/>
      <c r="BM654" s="26"/>
      <c r="BN654" s="26"/>
      <c r="BO654" s="26"/>
      <c r="BP654" s="26"/>
      <c r="BQ654" s="26"/>
      <c r="BR654" s="26"/>
      <c r="BS654" s="26"/>
      <c r="BT654" s="26"/>
      <c r="BU654" s="26"/>
      <c r="BV654" s="26"/>
      <c r="BW654" s="26"/>
      <c r="BX654" s="26"/>
      <c r="BY654" s="26"/>
      <c r="BZ654" s="26"/>
      <c r="CA654" s="26"/>
      <c r="CB654" s="26"/>
      <c r="CC654" s="26"/>
      <c r="CD654" s="26"/>
      <c r="CE654" s="26"/>
      <c r="CF654" s="26"/>
      <c r="CG654" s="26"/>
      <c r="CH654" s="26"/>
      <c r="CI654" s="26"/>
      <c r="CJ654" s="26"/>
      <c r="CK654" s="26"/>
      <c r="CL654" s="26"/>
      <c r="CM654" s="26"/>
      <c r="CN654" s="26"/>
      <c r="CO654" s="26"/>
    </row>
    <row r="655" spans="17:93" ht="12.75" hidden="1" customHeight="1" x14ac:dyDescent="0.25">
      <c r="Q655" s="6"/>
      <c r="R655" s="6"/>
      <c r="S655" s="6"/>
      <c r="T655" s="6"/>
      <c r="U655" s="6"/>
      <c r="V655" s="6"/>
      <c r="W655" s="6"/>
      <c r="X655" s="6"/>
      <c r="Y655" s="6"/>
      <c r="Z655" s="6"/>
      <c r="AA655" s="6"/>
      <c r="BF655" s="26"/>
      <c r="BG655" s="26"/>
      <c r="BH655" s="26"/>
      <c r="BI655" s="26"/>
      <c r="BJ655" s="26"/>
      <c r="BK655" s="26"/>
      <c r="BL655" s="26"/>
      <c r="BM655" s="26"/>
      <c r="BN655" s="26"/>
      <c r="BO655" s="26"/>
      <c r="BP655" s="26"/>
      <c r="BQ655" s="26"/>
      <c r="BR655" s="26"/>
      <c r="BS655" s="26"/>
      <c r="BT655" s="26"/>
      <c r="BU655" s="26"/>
      <c r="BV655" s="26"/>
      <c r="BW655" s="26"/>
      <c r="BX655" s="26"/>
      <c r="BY655" s="26"/>
      <c r="BZ655" s="26"/>
      <c r="CA655" s="26"/>
      <c r="CB655" s="26"/>
      <c r="CC655" s="26"/>
      <c r="CD655" s="26"/>
      <c r="CE655" s="26"/>
      <c r="CF655" s="26"/>
      <c r="CG655" s="26"/>
      <c r="CH655" s="26"/>
      <c r="CI655" s="26"/>
      <c r="CJ655" s="26"/>
      <c r="CK655" s="26"/>
      <c r="CL655" s="26"/>
      <c r="CM655" s="26"/>
      <c r="CN655" s="26"/>
      <c r="CO655" s="26"/>
    </row>
    <row r="656" spans="17:93" ht="12.75" hidden="1" customHeight="1" x14ac:dyDescent="0.25">
      <c r="Q656" s="6"/>
      <c r="R656" s="6"/>
      <c r="S656" s="6"/>
      <c r="T656" s="6"/>
      <c r="U656" s="6"/>
      <c r="V656" s="6"/>
      <c r="W656" s="6"/>
      <c r="X656" s="6"/>
      <c r="Y656" s="6"/>
      <c r="Z656" s="6"/>
      <c r="AA656" s="6"/>
      <c r="BF656" s="26"/>
      <c r="BG656" s="26"/>
      <c r="BH656" s="26"/>
      <c r="BI656" s="26"/>
      <c r="BJ656" s="26"/>
      <c r="BK656" s="26"/>
      <c r="BL656" s="26"/>
      <c r="BM656" s="26"/>
      <c r="BN656" s="26"/>
      <c r="BO656" s="26"/>
      <c r="BP656" s="26"/>
      <c r="BQ656" s="26"/>
      <c r="BR656" s="26"/>
      <c r="BS656" s="26"/>
      <c r="BT656" s="26"/>
      <c r="BU656" s="26"/>
      <c r="BV656" s="26"/>
      <c r="BW656" s="26"/>
      <c r="BX656" s="26"/>
      <c r="BY656" s="26"/>
      <c r="BZ656" s="26"/>
      <c r="CA656" s="26"/>
      <c r="CB656" s="26"/>
      <c r="CC656" s="26"/>
      <c r="CD656" s="26"/>
      <c r="CE656" s="26"/>
      <c r="CF656" s="26"/>
      <c r="CG656" s="26"/>
      <c r="CH656" s="26"/>
      <c r="CI656" s="26"/>
      <c r="CJ656" s="26"/>
      <c r="CK656" s="26"/>
      <c r="CL656" s="26"/>
      <c r="CM656" s="26"/>
      <c r="CN656" s="26"/>
      <c r="CO656" s="26"/>
    </row>
    <row r="657" spans="17:93" ht="12.75" hidden="1" customHeight="1" x14ac:dyDescent="0.25">
      <c r="Q657" s="6"/>
      <c r="R657" s="6"/>
      <c r="S657" s="6"/>
      <c r="T657" s="6"/>
      <c r="U657" s="6"/>
      <c r="V657" s="6"/>
      <c r="W657" s="6"/>
      <c r="X657" s="6"/>
      <c r="Y657" s="6"/>
      <c r="Z657" s="6"/>
      <c r="AA657" s="6"/>
      <c r="BF657" s="26"/>
      <c r="BG657" s="26"/>
      <c r="BH657" s="26"/>
      <c r="BI657" s="26"/>
      <c r="BJ657" s="26"/>
      <c r="BK657" s="26"/>
      <c r="BL657" s="26"/>
      <c r="BM657" s="26"/>
      <c r="BN657" s="26"/>
      <c r="BO657" s="26"/>
      <c r="BP657" s="26"/>
      <c r="BQ657" s="26"/>
      <c r="BR657" s="26"/>
      <c r="BS657" s="26"/>
      <c r="BT657" s="26"/>
      <c r="BU657" s="26"/>
      <c r="BV657" s="26"/>
      <c r="BW657" s="26"/>
      <c r="BX657" s="26"/>
      <c r="BY657" s="26"/>
      <c r="BZ657" s="26"/>
      <c r="CA657" s="26"/>
      <c r="CB657" s="26"/>
      <c r="CC657" s="26"/>
      <c r="CD657" s="26"/>
      <c r="CE657" s="26"/>
      <c r="CF657" s="26"/>
      <c r="CG657" s="26"/>
      <c r="CH657" s="26"/>
      <c r="CI657" s="26"/>
      <c r="CJ657" s="26"/>
      <c r="CK657" s="26"/>
      <c r="CL657" s="26"/>
      <c r="CM657" s="26"/>
      <c r="CN657" s="26"/>
      <c r="CO657" s="26"/>
    </row>
    <row r="658" spans="17:93" ht="12.75" hidden="1" customHeight="1" x14ac:dyDescent="0.25">
      <c r="Q658" s="6"/>
      <c r="R658" s="6"/>
      <c r="S658" s="6"/>
      <c r="T658" s="6"/>
      <c r="U658" s="6"/>
      <c r="V658" s="6"/>
      <c r="W658" s="6"/>
      <c r="X658" s="6"/>
      <c r="Y658" s="6"/>
      <c r="Z658" s="6"/>
      <c r="AA658" s="6"/>
      <c r="BF658" s="26"/>
      <c r="BG658" s="26"/>
      <c r="BH658" s="26"/>
      <c r="BI658" s="26"/>
      <c r="BJ658" s="26"/>
      <c r="BK658" s="26"/>
      <c r="BL658" s="26"/>
      <c r="BM658" s="26"/>
      <c r="BN658" s="26"/>
      <c r="BO658" s="26"/>
      <c r="BP658" s="26"/>
      <c r="BQ658" s="26"/>
      <c r="BR658" s="26"/>
      <c r="BS658" s="26"/>
      <c r="BT658" s="26"/>
      <c r="BU658" s="26"/>
      <c r="BV658" s="26"/>
      <c r="BW658" s="26"/>
      <c r="BX658" s="26"/>
      <c r="BY658" s="26"/>
      <c r="BZ658" s="26"/>
      <c r="CA658" s="26"/>
      <c r="CB658" s="26"/>
      <c r="CC658" s="26"/>
      <c r="CD658" s="26"/>
      <c r="CE658" s="26"/>
      <c r="CF658" s="26"/>
      <c r="CG658" s="26"/>
      <c r="CH658" s="26"/>
      <c r="CI658" s="26"/>
      <c r="CJ658" s="26"/>
      <c r="CK658" s="26"/>
      <c r="CL658" s="26"/>
      <c r="CM658" s="26"/>
      <c r="CN658" s="26"/>
      <c r="CO658" s="26"/>
    </row>
    <row r="659" spans="17:93" ht="12.75" hidden="1" customHeight="1" x14ac:dyDescent="0.25">
      <c r="Q659" s="6"/>
      <c r="R659" s="6"/>
      <c r="S659" s="6"/>
      <c r="T659" s="6"/>
      <c r="U659" s="6"/>
      <c r="V659" s="6"/>
      <c r="W659" s="6"/>
      <c r="X659" s="6"/>
      <c r="Y659" s="6"/>
      <c r="Z659" s="6"/>
      <c r="AA659" s="6"/>
      <c r="BF659" s="26"/>
      <c r="BG659" s="26"/>
      <c r="BH659" s="26"/>
      <c r="BI659" s="26"/>
      <c r="BJ659" s="26"/>
      <c r="BK659" s="26"/>
      <c r="BL659" s="26"/>
      <c r="BM659" s="26"/>
      <c r="BN659" s="26"/>
      <c r="BO659" s="26"/>
      <c r="BP659" s="26"/>
      <c r="BQ659" s="26"/>
      <c r="BR659" s="26"/>
      <c r="BS659" s="26"/>
      <c r="BT659" s="26"/>
      <c r="BU659" s="26"/>
      <c r="BV659" s="26"/>
      <c r="BW659" s="26"/>
      <c r="BX659" s="26"/>
      <c r="BY659" s="26"/>
      <c r="BZ659" s="26"/>
      <c r="CA659" s="26"/>
      <c r="CB659" s="26"/>
      <c r="CC659" s="26"/>
      <c r="CD659" s="26"/>
      <c r="CE659" s="26"/>
      <c r="CF659" s="26"/>
      <c r="CG659" s="26"/>
      <c r="CH659" s="26"/>
      <c r="CI659" s="26"/>
      <c r="CJ659" s="26"/>
      <c r="CK659" s="26"/>
      <c r="CL659" s="26"/>
      <c r="CM659" s="26"/>
      <c r="CN659" s="26"/>
      <c r="CO659" s="26"/>
    </row>
    <row r="660" spans="17:93" ht="12.75" hidden="1" customHeight="1" x14ac:dyDescent="0.25">
      <c r="Q660" s="6"/>
      <c r="R660" s="6"/>
      <c r="S660" s="6"/>
      <c r="T660" s="6"/>
      <c r="U660" s="6"/>
      <c r="V660" s="6"/>
      <c r="W660" s="6"/>
      <c r="X660" s="6"/>
      <c r="Y660" s="6"/>
      <c r="Z660" s="6"/>
      <c r="AA660" s="6"/>
      <c r="BF660" s="26"/>
      <c r="BG660" s="26"/>
      <c r="BH660" s="26"/>
      <c r="BI660" s="26"/>
      <c r="BJ660" s="26"/>
      <c r="BK660" s="26"/>
      <c r="BL660" s="26"/>
      <c r="BM660" s="26"/>
      <c r="BN660" s="26"/>
      <c r="BO660" s="26"/>
      <c r="BP660" s="26"/>
      <c r="BQ660" s="26"/>
      <c r="BR660" s="26"/>
      <c r="BS660" s="26"/>
      <c r="BT660" s="26"/>
      <c r="BU660" s="26"/>
      <c r="BV660" s="26"/>
      <c r="BW660" s="26"/>
      <c r="BX660" s="26"/>
      <c r="BY660" s="26"/>
      <c r="BZ660" s="26"/>
      <c r="CA660" s="26"/>
      <c r="CB660" s="26"/>
      <c r="CC660" s="26"/>
      <c r="CD660" s="26"/>
      <c r="CE660" s="26"/>
      <c r="CF660" s="26"/>
      <c r="CG660" s="26"/>
      <c r="CH660" s="26"/>
      <c r="CI660" s="26"/>
      <c r="CJ660" s="26"/>
      <c r="CK660" s="26"/>
      <c r="CL660" s="26"/>
      <c r="CM660" s="26"/>
      <c r="CN660" s="26"/>
      <c r="CO660" s="26"/>
    </row>
    <row r="661" spans="17:93" ht="12.75" hidden="1" customHeight="1" x14ac:dyDescent="0.25">
      <c r="Q661" s="6"/>
      <c r="R661" s="6"/>
      <c r="S661" s="6"/>
      <c r="T661" s="6"/>
      <c r="U661" s="6"/>
      <c r="V661" s="6"/>
      <c r="W661" s="6"/>
      <c r="X661" s="6"/>
      <c r="Y661" s="6"/>
      <c r="Z661" s="6"/>
      <c r="AA661" s="6"/>
      <c r="BF661" s="26"/>
      <c r="BG661" s="26"/>
      <c r="BH661" s="26"/>
      <c r="BI661" s="26"/>
      <c r="BJ661" s="26"/>
      <c r="BK661" s="26"/>
      <c r="BL661" s="26"/>
      <c r="BM661" s="26"/>
      <c r="BN661" s="26"/>
      <c r="BO661" s="26"/>
      <c r="BP661" s="26"/>
      <c r="BQ661" s="26"/>
      <c r="BR661" s="26"/>
      <c r="BS661" s="26"/>
      <c r="BT661" s="26"/>
      <c r="BU661" s="26"/>
      <c r="BV661" s="26"/>
      <c r="BW661" s="26"/>
      <c r="BX661" s="26"/>
      <c r="BY661" s="26"/>
      <c r="BZ661" s="26"/>
      <c r="CA661" s="26"/>
      <c r="CB661" s="26"/>
      <c r="CC661" s="26"/>
      <c r="CD661" s="26"/>
      <c r="CE661" s="26"/>
      <c r="CF661" s="26"/>
      <c r="CG661" s="26"/>
      <c r="CH661" s="26"/>
      <c r="CI661" s="26"/>
      <c r="CJ661" s="26"/>
      <c r="CK661" s="26"/>
      <c r="CL661" s="26"/>
      <c r="CM661" s="26"/>
      <c r="CN661" s="26"/>
      <c r="CO661" s="26"/>
    </row>
    <row r="662" spans="17:93" ht="12.75" hidden="1" customHeight="1" x14ac:dyDescent="0.25">
      <c r="Q662" s="6"/>
      <c r="R662" s="6"/>
      <c r="S662" s="6"/>
      <c r="T662" s="6"/>
      <c r="U662" s="6"/>
      <c r="V662" s="6"/>
      <c r="W662" s="6"/>
      <c r="X662" s="6"/>
      <c r="Y662" s="6"/>
      <c r="Z662" s="6"/>
      <c r="AA662" s="6"/>
      <c r="BF662" s="26"/>
      <c r="BG662" s="26"/>
      <c r="BH662" s="26"/>
      <c r="BI662" s="26"/>
      <c r="BJ662" s="26"/>
      <c r="BK662" s="26"/>
      <c r="BL662" s="26"/>
      <c r="BM662" s="26"/>
      <c r="BN662" s="26"/>
      <c r="BO662" s="26"/>
      <c r="BP662" s="26"/>
      <c r="BQ662" s="26"/>
      <c r="BR662" s="26"/>
      <c r="BS662" s="26"/>
      <c r="BT662" s="26"/>
      <c r="BU662" s="26"/>
      <c r="BV662" s="26"/>
      <c r="BW662" s="26"/>
      <c r="BX662" s="26"/>
      <c r="BY662" s="26"/>
      <c r="BZ662" s="26"/>
      <c r="CA662" s="26"/>
      <c r="CB662" s="26"/>
      <c r="CC662" s="26"/>
      <c r="CD662" s="26"/>
      <c r="CE662" s="26"/>
      <c r="CF662" s="26"/>
      <c r="CG662" s="26"/>
      <c r="CH662" s="26"/>
      <c r="CI662" s="26"/>
      <c r="CJ662" s="26"/>
      <c r="CK662" s="26"/>
      <c r="CL662" s="26"/>
      <c r="CM662" s="26"/>
      <c r="CN662" s="26"/>
      <c r="CO662" s="26"/>
    </row>
    <row r="663" spans="17:93" ht="12.75" hidden="1" customHeight="1" x14ac:dyDescent="0.25">
      <c r="Q663" s="6"/>
      <c r="R663" s="6"/>
      <c r="S663" s="6"/>
      <c r="T663" s="6"/>
      <c r="U663" s="6"/>
      <c r="V663" s="6"/>
      <c r="W663" s="6"/>
      <c r="X663" s="6"/>
      <c r="Y663" s="6"/>
      <c r="Z663" s="6"/>
      <c r="AA663" s="6"/>
      <c r="BF663" s="26"/>
      <c r="BG663" s="26"/>
      <c r="BH663" s="26"/>
      <c r="BI663" s="26"/>
      <c r="BJ663" s="26"/>
      <c r="BK663" s="26"/>
      <c r="BL663" s="26"/>
      <c r="BM663" s="26"/>
      <c r="BN663" s="26"/>
      <c r="BO663" s="26"/>
      <c r="BP663" s="26"/>
      <c r="BQ663" s="26"/>
      <c r="BR663" s="26"/>
      <c r="BS663" s="26"/>
      <c r="BT663" s="26"/>
      <c r="BU663" s="26"/>
      <c r="BV663" s="26"/>
      <c r="BW663" s="26"/>
      <c r="BX663" s="26"/>
      <c r="BY663" s="26"/>
      <c r="BZ663" s="26"/>
      <c r="CA663" s="26"/>
      <c r="CB663" s="26"/>
      <c r="CC663" s="26"/>
      <c r="CD663" s="26"/>
      <c r="CE663" s="26"/>
      <c r="CF663" s="26"/>
      <c r="CG663" s="26"/>
      <c r="CH663" s="26"/>
      <c r="CI663" s="26"/>
      <c r="CJ663" s="26"/>
      <c r="CK663" s="26"/>
      <c r="CL663" s="26"/>
      <c r="CM663" s="26"/>
      <c r="CN663" s="26"/>
      <c r="CO663" s="26"/>
    </row>
    <row r="664" spans="17:93" ht="12.75" hidden="1" customHeight="1" x14ac:dyDescent="0.25">
      <c r="Q664" s="6"/>
      <c r="R664" s="6"/>
      <c r="S664" s="6"/>
      <c r="T664" s="6"/>
      <c r="U664" s="6"/>
      <c r="V664" s="6"/>
      <c r="W664" s="6"/>
      <c r="X664" s="6"/>
      <c r="Y664" s="6"/>
      <c r="Z664" s="6"/>
      <c r="AA664" s="6"/>
      <c r="BF664" s="26"/>
      <c r="BG664" s="26"/>
      <c r="BH664" s="26"/>
      <c r="BI664" s="26"/>
      <c r="BJ664" s="26"/>
      <c r="BK664" s="26"/>
      <c r="BL664" s="26"/>
      <c r="BM664" s="26"/>
      <c r="BN664" s="26"/>
      <c r="BO664" s="26"/>
      <c r="BP664" s="26"/>
      <c r="BQ664" s="26"/>
      <c r="BR664" s="26"/>
      <c r="BS664" s="26"/>
      <c r="BT664" s="26"/>
      <c r="BU664" s="26"/>
      <c r="BV664" s="26"/>
      <c r="BW664" s="26"/>
      <c r="BX664" s="26"/>
      <c r="BY664" s="26"/>
      <c r="BZ664" s="26"/>
      <c r="CA664" s="26"/>
      <c r="CB664" s="26"/>
      <c r="CC664" s="26"/>
      <c r="CD664" s="26"/>
      <c r="CE664" s="26"/>
      <c r="CF664" s="26"/>
      <c r="CG664" s="26"/>
      <c r="CH664" s="26"/>
      <c r="CI664" s="26"/>
      <c r="CJ664" s="26"/>
      <c r="CK664" s="26"/>
      <c r="CL664" s="26"/>
      <c r="CM664" s="26"/>
      <c r="CN664" s="26"/>
      <c r="CO664" s="26"/>
    </row>
    <row r="665" spans="17:93" ht="12.75" hidden="1" customHeight="1" x14ac:dyDescent="0.25">
      <c r="Q665" s="6"/>
      <c r="R665" s="6"/>
      <c r="S665" s="6"/>
      <c r="T665" s="6"/>
      <c r="U665" s="6"/>
      <c r="V665" s="6"/>
      <c r="W665" s="6"/>
      <c r="X665" s="6"/>
      <c r="Y665" s="6"/>
      <c r="Z665" s="6"/>
      <c r="AA665" s="6"/>
      <c r="BF665" s="26"/>
      <c r="BG665" s="26"/>
      <c r="BH665" s="26"/>
      <c r="BI665" s="26"/>
      <c r="BJ665" s="26"/>
      <c r="BK665" s="26"/>
      <c r="BL665" s="26"/>
      <c r="BM665" s="26"/>
      <c r="BN665" s="26"/>
      <c r="BO665" s="26"/>
      <c r="BP665" s="26"/>
      <c r="BQ665" s="26"/>
      <c r="BR665" s="26"/>
      <c r="BS665" s="26"/>
      <c r="BT665" s="26"/>
      <c r="BU665" s="26"/>
      <c r="BV665" s="26"/>
      <c r="BW665" s="26"/>
      <c r="BX665" s="26"/>
      <c r="BY665" s="26"/>
      <c r="BZ665" s="26"/>
      <c r="CA665" s="26"/>
      <c r="CB665" s="26"/>
      <c r="CC665" s="26"/>
      <c r="CD665" s="26"/>
      <c r="CE665" s="26"/>
      <c r="CF665" s="26"/>
      <c r="CG665" s="26"/>
      <c r="CH665" s="26"/>
      <c r="CI665" s="26"/>
      <c r="CJ665" s="26"/>
      <c r="CK665" s="26"/>
      <c r="CL665" s="26"/>
      <c r="CM665" s="26"/>
      <c r="CN665" s="26"/>
      <c r="CO665" s="26"/>
    </row>
    <row r="666" spans="17:93" ht="12.75" hidden="1" customHeight="1" x14ac:dyDescent="0.25">
      <c r="Q666" s="6"/>
      <c r="R666" s="6"/>
      <c r="S666" s="6"/>
      <c r="T666" s="6"/>
      <c r="U666" s="6"/>
      <c r="V666" s="6"/>
      <c r="W666" s="6"/>
      <c r="X666" s="6"/>
      <c r="Y666" s="6"/>
      <c r="Z666" s="6"/>
      <c r="AA666" s="6"/>
      <c r="BF666" s="26"/>
      <c r="BG666" s="26"/>
      <c r="BH666" s="26"/>
      <c r="BI666" s="26"/>
      <c r="BJ666" s="26"/>
      <c r="BK666" s="26"/>
      <c r="BL666" s="26"/>
      <c r="BM666" s="26"/>
      <c r="BN666" s="26"/>
      <c r="BO666" s="26"/>
      <c r="BP666" s="26"/>
      <c r="BQ666" s="26"/>
      <c r="BR666" s="26"/>
      <c r="BS666" s="26"/>
      <c r="BT666" s="26"/>
      <c r="BU666" s="26"/>
      <c r="BV666" s="26"/>
      <c r="BW666" s="26"/>
      <c r="BX666" s="26"/>
      <c r="BY666" s="26"/>
      <c r="BZ666" s="26"/>
      <c r="CA666" s="26"/>
      <c r="CB666" s="26"/>
      <c r="CC666" s="26"/>
      <c r="CD666" s="26"/>
      <c r="CE666" s="26"/>
      <c r="CF666" s="26"/>
      <c r="CG666" s="26"/>
      <c r="CH666" s="26"/>
      <c r="CI666" s="26"/>
      <c r="CJ666" s="26"/>
      <c r="CK666" s="26"/>
      <c r="CL666" s="26"/>
      <c r="CM666" s="26"/>
      <c r="CN666" s="26"/>
      <c r="CO666" s="26"/>
    </row>
    <row r="667" spans="17:93" ht="12.75" hidden="1" customHeight="1" x14ac:dyDescent="0.25">
      <c r="Q667" s="6"/>
      <c r="R667" s="6"/>
      <c r="S667" s="6"/>
      <c r="T667" s="6"/>
      <c r="U667" s="6"/>
      <c r="V667" s="6"/>
      <c r="W667" s="6"/>
      <c r="X667" s="6"/>
      <c r="Y667" s="6"/>
      <c r="Z667" s="6"/>
      <c r="AA667" s="6"/>
      <c r="BF667" s="26"/>
      <c r="BG667" s="26"/>
      <c r="BH667" s="26"/>
      <c r="BI667" s="26"/>
      <c r="BJ667" s="26"/>
      <c r="BK667" s="26"/>
      <c r="BL667" s="26"/>
      <c r="BM667" s="26"/>
      <c r="BN667" s="26"/>
      <c r="BO667" s="26"/>
      <c r="BP667" s="26"/>
      <c r="BQ667" s="26"/>
      <c r="BR667" s="26"/>
      <c r="BS667" s="26"/>
      <c r="BT667" s="26"/>
      <c r="BU667" s="26"/>
      <c r="BV667" s="26"/>
      <c r="BW667" s="26"/>
      <c r="BX667" s="26"/>
      <c r="BY667" s="26"/>
      <c r="BZ667" s="26"/>
      <c r="CA667" s="26"/>
      <c r="CB667" s="26"/>
      <c r="CC667" s="26"/>
      <c r="CD667" s="26"/>
      <c r="CE667" s="26"/>
      <c r="CF667" s="26"/>
      <c r="CG667" s="26"/>
      <c r="CH667" s="26"/>
      <c r="CI667" s="26"/>
      <c r="CJ667" s="26"/>
      <c r="CK667" s="26"/>
      <c r="CL667" s="26"/>
      <c r="CM667" s="26"/>
      <c r="CN667" s="26"/>
      <c r="CO667" s="26"/>
    </row>
    <row r="668" spans="17:93" ht="12.75" hidden="1" customHeight="1" x14ac:dyDescent="0.25">
      <c r="Q668" s="6"/>
      <c r="R668" s="6"/>
      <c r="S668" s="6"/>
      <c r="T668" s="6"/>
      <c r="U668" s="6"/>
      <c r="V668" s="6"/>
      <c r="W668" s="6"/>
      <c r="X668" s="6"/>
      <c r="Y668" s="6"/>
      <c r="Z668" s="6"/>
      <c r="AA668" s="6"/>
      <c r="BF668" s="26"/>
      <c r="BG668" s="26"/>
      <c r="BH668" s="26"/>
      <c r="BI668" s="26"/>
      <c r="BJ668" s="26"/>
      <c r="BK668" s="26"/>
      <c r="BL668" s="26"/>
      <c r="BM668" s="26"/>
      <c r="BN668" s="26"/>
      <c r="BO668" s="26"/>
      <c r="BP668" s="26"/>
      <c r="BQ668" s="26"/>
      <c r="BR668" s="26"/>
      <c r="BS668" s="26"/>
      <c r="BT668" s="26"/>
      <c r="BU668" s="26"/>
      <c r="BV668" s="26"/>
      <c r="BW668" s="26"/>
      <c r="BX668" s="26"/>
      <c r="BY668" s="26"/>
      <c r="BZ668" s="26"/>
      <c r="CA668" s="26"/>
      <c r="CB668" s="26"/>
      <c r="CC668" s="26"/>
      <c r="CD668" s="26"/>
      <c r="CE668" s="26"/>
      <c r="CF668" s="26"/>
      <c r="CG668" s="26"/>
      <c r="CH668" s="26"/>
      <c r="CI668" s="26"/>
      <c r="CJ668" s="26"/>
      <c r="CK668" s="26"/>
      <c r="CL668" s="26"/>
      <c r="CM668" s="26"/>
      <c r="CN668" s="26"/>
      <c r="CO668" s="26"/>
    </row>
    <row r="669" spans="17:93" ht="12.75" hidden="1" customHeight="1" x14ac:dyDescent="0.25">
      <c r="Q669" s="6"/>
      <c r="R669" s="6"/>
      <c r="S669" s="6"/>
      <c r="T669" s="6"/>
      <c r="U669" s="6"/>
      <c r="V669" s="6"/>
      <c r="W669" s="6"/>
      <c r="X669" s="6"/>
      <c r="Y669" s="6"/>
      <c r="Z669" s="6"/>
      <c r="AA669" s="6"/>
      <c r="BF669" s="26"/>
      <c r="BG669" s="26"/>
      <c r="BH669" s="26"/>
      <c r="BI669" s="26"/>
      <c r="BJ669" s="26"/>
      <c r="BK669" s="26"/>
      <c r="BL669" s="26"/>
      <c r="BM669" s="26"/>
      <c r="BN669" s="26"/>
      <c r="BO669" s="26"/>
      <c r="BP669" s="26"/>
      <c r="BQ669" s="26"/>
      <c r="BR669" s="26"/>
      <c r="BS669" s="26"/>
      <c r="BT669" s="26"/>
      <c r="BU669" s="26"/>
      <c r="BV669" s="26"/>
      <c r="BW669" s="26"/>
      <c r="BX669" s="26"/>
      <c r="BY669" s="26"/>
      <c r="BZ669" s="26"/>
      <c r="CA669" s="26"/>
      <c r="CB669" s="26"/>
      <c r="CC669" s="26"/>
      <c r="CD669" s="26"/>
      <c r="CE669" s="26"/>
      <c r="CF669" s="26"/>
      <c r="CG669" s="26"/>
      <c r="CH669" s="26"/>
      <c r="CI669" s="26"/>
      <c r="CJ669" s="26"/>
      <c r="CK669" s="26"/>
      <c r="CL669" s="26"/>
      <c r="CM669" s="26"/>
      <c r="CN669" s="26"/>
      <c r="CO669" s="26"/>
    </row>
    <row r="670" spans="17:93" ht="12.75" hidden="1" customHeight="1" x14ac:dyDescent="0.25">
      <c r="Q670" s="6"/>
      <c r="R670" s="6"/>
      <c r="S670" s="6"/>
      <c r="T670" s="6"/>
      <c r="U670" s="6"/>
      <c r="V670" s="6"/>
      <c r="W670" s="6"/>
      <c r="X670" s="6"/>
      <c r="Y670" s="6"/>
      <c r="Z670" s="6"/>
      <c r="AA670" s="6"/>
      <c r="BF670" s="26"/>
      <c r="BG670" s="26"/>
      <c r="BH670" s="26"/>
      <c r="BI670" s="26"/>
      <c r="BJ670" s="26"/>
      <c r="BK670" s="26"/>
      <c r="BL670" s="26"/>
      <c r="BM670" s="26"/>
      <c r="BN670" s="26"/>
      <c r="BO670" s="26"/>
      <c r="BP670" s="26"/>
      <c r="BQ670" s="26"/>
      <c r="BR670" s="26"/>
      <c r="BS670" s="26"/>
      <c r="BT670" s="26"/>
      <c r="BU670" s="26"/>
      <c r="BV670" s="26"/>
      <c r="BW670" s="26"/>
      <c r="BX670" s="26"/>
      <c r="BY670" s="26"/>
      <c r="BZ670" s="26"/>
      <c r="CA670" s="26"/>
      <c r="CB670" s="26"/>
      <c r="CC670" s="26"/>
      <c r="CD670" s="26"/>
      <c r="CE670" s="26"/>
      <c r="CF670" s="26"/>
      <c r="CG670" s="26"/>
      <c r="CH670" s="26"/>
      <c r="CI670" s="26"/>
      <c r="CJ670" s="26"/>
      <c r="CK670" s="26"/>
      <c r="CL670" s="26"/>
      <c r="CM670" s="26"/>
      <c r="CN670" s="26"/>
      <c r="CO670" s="26"/>
    </row>
    <row r="671" spans="17:93" ht="12.75" hidden="1" customHeight="1" x14ac:dyDescent="0.25">
      <c r="Q671" s="6"/>
      <c r="R671" s="6"/>
      <c r="S671" s="6"/>
      <c r="T671" s="6"/>
      <c r="U671" s="6"/>
      <c r="V671" s="6"/>
      <c r="W671" s="6"/>
      <c r="X671" s="6"/>
      <c r="Y671" s="6"/>
      <c r="Z671" s="6"/>
      <c r="AA671" s="6"/>
      <c r="BF671" s="26"/>
      <c r="BG671" s="26"/>
      <c r="BH671" s="26"/>
      <c r="BI671" s="26"/>
      <c r="BJ671" s="26"/>
      <c r="BK671" s="26"/>
      <c r="BL671" s="26"/>
      <c r="BM671" s="26"/>
      <c r="BN671" s="26"/>
      <c r="BO671" s="26"/>
      <c r="BP671" s="26"/>
      <c r="BQ671" s="26"/>
      <c r="BR671" s="26"/>
      <c r="BS671" s="26"/>
      <c r="BT671" s="26"/>
      <c r="BU671" s="26"/>
      <c r="BV671" s="26"/>
      <c r="BW671" s="26"/>
      <c r="BX671" s="26"/>
      <c r="BY671" s="26"/>
      <c r="BZ671" s="26"/>
      <c r="CA671" s="26"/>
      <c r="CB671" s="26"/>
      <c r="CC671" s="26"/>
      <c r="CD671" s="26"/>
      <c r="CE671" s="26"/>
      <c r="CF671" s="26"/>
      <c r="CG671" s="26"/>
      <c r="CH671" s="26"/>
      <c r="CI671" s="26"/>
      <c r="CJ671" s="26"/>
      <c r="CK671" s="26"/>
      <c r="CL671" s="26"/>
      <c r="CM671" s="26"/>
      <c r="CN671" s="26"/>
      <c r="CO671" s="26"/>
    </row>
    <row r="672" spans="17:93" ht="12.75" hidden="1" customHeight="1" x14ac:dyDescent="0.25">
      <c r="Q672" s="6"/>
      <c r="R672" s="6"/>
      <c r="S672" s="6"/>
      <c r="T672" s="6"/>
      <c r="U672" s="6"/>
      <c r="V672" s="6"/>
      <c r="W672" s="6"/>
      <c r="X672" s="6"/>
      <c r="Y672" s="6"/>
      <c r="Z672" s="6"/>
      <c r="AA672" s="6"/>
      <c r="BF672" s="26"/>
      <c r="BG672" s="26"/>
      <c r="BH672" s="26"/>
      <c r="BI672" s="26"/>
      <c r="BJ672" s="26"/>
      <c r="BK672" s="26"/>
      <c r="BL672" s="26"/>
      <c r="BM672" s="26"/>
      <c r="BN672" s="26"/>
      <c r="BO672" s="26"/>
      <c r="BP672" s="26"/>
      <c r="BQ672" s="26"/>
      <c r="BR672" s="26"/>
      <c r="BS672" s="26"/>
      <c r="BT672" s="26"/>
      <c r="BU672" s="26"/>
      <c r="BV672" s="26"/>
      <c r="BW672" s="26"/>
      <c r="BX672" s="26"/>
      <c r="BY672" s="26"/>
      <c r="BZ672" s="26"/>
      <c r="CA672" s="26"/>
      <c r="CB672" s="26"/>
      <c r="CC672" s="26"/>
      <c r="CD672" s="26"/>
      <c r="CE672" s="26"/>
      <c r="CF672" s="26"/>
      <c r="CG672" s="26"/>
      <c r="CH672" s="26"/>
      <c r="CI672" s="26"/>
      <c r="CJ672" s="26"/>
      <c r="CK672" s="26"/>
      <c r="CL672" s="26"/>
      <c r="CM672" s="26"/>
      <c r="CN672" s="26"/>
      <c r="CO672" s="26"/>
    </row>
    <row r="673" spans="17:93" ht="12.75" hidden="1" customHeight="1" x14ac:dyDescent="0.25">
      <c r="Q673" s="6"/>
      <c r="R673" s="6"/>
      <c r="S673" s="6"/>
      <c r="T673" s="6"/>
      <c r="U673" s="6"/>
      <c r="V673" s="6"/>
      <c r="W673" s="6"/>
      <c r="X673" s="6"/>
      <c r="Y673" s="6"/>
      <c r="Z673" s="6"/>
      <c r="AA673" s="6"/>
      <c r="BF673" s="26"/>
      <c r="BG673" s="26"/>
      <c r="BH673" s="26"/>
      <c r="BI673" s="26"/>
      <c r="BJ673" s="26"/>
      <c r="BK673" s="26"/>
      <c r="BL673" s="26"/>
      <c r="BM673" s="26"/>
      <c r="BN673" s="26"/>
      <c r="BO673" s="26"/>
      <c r="BP673" s="26"/>
      <c r="BQ673" s="26"/>
      <c r="BR673" s="26"/>
      <c r="BS673" s="26"/>
      <c r="BT673" s="26"/>
      <c r="BU673" s="26"/>
      <c r="BV673" s="26"/>
      <c r="BW673" s="26"/>
      <c r="BX673" s="26"/>
      <c r="BY673" s="26"/>
      <c r="BZ673" s="26"/>
      <c r="CA673" s="26"/>
      <c r="CB673" s="26"/>
      <c r="CC673" s="26"/>
      <c r="CD673" s="26"/>
      <c r="CE673" s="26"/>
      <c r="CF673" s="26"/>
      <c r="CG673" s="26"/>
      <c r="CH673" s="26"/>
      <c r="CI673" s="26"/>
      <c r="CJ673" s="26"/>
      <c r="CK673" s="26"/>
      <c r="CL673" s="26"/>
      <c r="CM673" s="26"/>
      <c r="CN673" s="26"/>
      <c r="CO673" s="26"/>
    </row>
    <row r="674" spans="17:93" ht="12.75" hidden="1" customHeight="1" x14ac:dyDescent="0.25">
      <c r="Q674" s="6"/>
      <c r="R674" s="6"/>
      <c r="S674" s="6"/>
      <c r="T674" s="6"/>
      <c r="U674" s="6"/>
      <c r="V674" s="6"/>
      <c r="W674" s="6"/>
      <c r="X674" s="6"/>
      <c r="Y674" s="6"/>
      <c r="Z674" s="6"/>
      <c r="AA674" s="6"/>
      <c r="BF674" s="26"/>
      <c r="BG674" s="26"/>
      <c r="BH674" s="26"/>
      <c r="BI674" s="26"/>
      <c r="BJ674" s="26"/>
      <c r="BK674" s="26"/>
      <c r="BL674" s="26"/>
      <c r="BM674" s="26"/>
      <c r="BN674" s="26"/>
      <c r="BO674" s="26"/>
      <c r="BP674" s="26"/>
      <c r="BQ674" s="26"/>
      <c r="BR674" s="26"/>
      <c r="BS674" s="26"/>
      <c r="BT674" s="26"/>
      <c r="BU674" s="26"/>
      <c r="BV674" s="26"/>
      <c r="BW674" s="26"/>
      <c r="BX674" s="26"/>
      <c r="BY674" s="26"/>
      <c r="BZ674" s="26"/>
      <c r="CA674" s="26"/>
      <c r="CB674" s="26"/>
      <c r="CC674" s="26"/>
      <c r="CD674" s="26"/>
      <c r="CE674" s="26"/>
      <c r="CF674" s="26"/>
      <c r="CG674" s="26"/>
      <c r="CH674" s="26"/>
      <c r="CI674" s="26"/>
      <c r="CJ674" s="26"/>
      <c r="CK674" s="26"/>
      <c r="CL674" s="26"/>
      <c r="CM674" s="26"/>
      <c r="CN674" s="26"/>
      <c r="CO674" s="26"/>
    </row>
    <row r="675" spans="17:93" ht="12.75" hidden="1" customHeight="1" x14ac:dyDescent="0.25">
      <c r="Q675" s="6"/>
      <c r="R675" s="6"/>
      <c r="S675" s="6"/>
      <c r="T675" s="6"/>
      <c r="U675" s="6"/>
      <c r="V675" s="6"/>
      <c r="W675" s="6"/>
      <c r="X675" s="6"/>
      <c r="Y675" s="6"/>
      <c r="Z675" s="6"/>
      <c r="AA675" s="6"/>
      <c r="BF675" s="26"/>
      <c r="BG675" s="26"/>
      <c r="BH675" s="26"/>
      <c r="BI675" s="26"/>
      <c r="BJ675" s="26"/>
      <c r="BK675" s="26"/>
      <c r="BL675" s="26"/>
      <c r="BM675" s="26"/>
      <c r="BN675" s="26"/>
      <c r="BO675" s="26"/>
      <c r="BP675" s="26"/>
      <c r="BQ675" s="26"/>
      <c r="BR675" s="26"/>
      <c r="BS675" s="26"/>
      <c r="BT675" s="26"/>
      <c r="BU675" s="26"/>
      <c r="BV675" s="26"/>
      <c r="BW675" s="26"/>
      <c r="BX675" s="26"/>
      <c r="BY675" s="26"/>
      <c r="BZ675" s="26"/>
      <c r="CA675" s="26"/>
      <c r="CB675" s="26"/>
      <c r="CC675" s="26"/>
      <c r="CD675" s="26"/>
      <c r="CE675" s="26"/>
      <c r="CF675" s="26"/>
      <c r="CG675" s="26"/>
      <c r="CH675" s="26"/>
      <c r="CI675" s="26"/>
      <c r="CJ675" s="26"/>
      <c r="CK675" s="26"/>
      <c r="CL675" s="26"/>
      <c r="CM675" s="26"/>
      <c r="CN675" s="26"/>
      <c r="CO675" s="26"/>
    </row>
    <row r="676" spans="17:93" ht="12.75" hidden="1" customHeight="1" x14ac:dyDescent="0.25">
      <c r="Q676" s="6"/>
      <c r="R676" s="6"/>
      <c r="S676" s="6"/>
      <c r="T676" s="6"/>
      <c r="U676" s="6"/>
      <c r="V676" s="6"/>
      <c r="W676" s="6"/>
      <c r="X676" s="6"/>
      <c r="Y676" s="6"/>
      <c r="Z676" s="6"/>
      <c r="AA676" s="6"/>
      <c r="BF676" s="26"/>
      <c r="BG676" s="26"/>
      <c r="BH676" s="26"/>
      <c r="BI676" s="26"/>
      <c r="BJ676" s="26"/>
      <c r="BK676" s="26"/>
      <c r="BL676" s="26"/>
      <c r="BM676" s="26"/>
      <c r="BN676" s="26"/>
      <c r="BO676" s="26"/>
      <c r="BP676" s="26"/>
      <c r="BQ676" s="26"/>
      <c r="BR676" s="26"/>
      <c r="BS676" s="26"/>
      <c r="BT676" s="26"/>
      <c r="BU676" s="26"/>
      <c r="BV676" s="26"/>
      <c r="BW676" s="26"/>
      <c r="BX676" s="26"/>
      <c r="BY676" s="26"/>
      <c r="BZ676" s="26"/>
      <c r="CA676" s="26"/>
      <c r="CB676" s="26"/>
      <c r="CC676" s="26"/>
      <c r="CD676" s="26"/>
      <c r="CE676" s="26"/>
      <c r="CF676" s="26"/>
      <c r="CG676" s="26"/>
      <c r="CH676" s="26"/>
      <c r="CI676" s="26"/>
      <c r="CJ676" s="26"/>
      <c r="CK676" s="26"/>
      <c r="CL676" s="26"/>
      <c r="CM676" s="26"/>
      <c r="CN676" s="26"/>
      <c r="CO676" s="26"/>
    </row>
    <row r="677" spans="17:93" ht="12.75" hidden="1" customHeight="1" x14ac:dyDescent="0.25">
      <c r="Q677" s="6"/>
      <c r="R677" s="6"/>
      <c r="S677" s="6"/>
      <c r="T677" s="6"/>
      <c r="U677" s="6"/>
      <c r="V677" s="6"/>
      <c r="W677" s="6"/>
      <c r="X677" s="6"/>
      <c r="Y677" s="6"/>
      <c r="Z677" s="6"/>
      <c r="AA677" s="6"/>
      <c r="BF677" s="26"/>
      <c r="BG677" s="26"/>
      <c r="BH677" s="26"/>
      <c r="BI677" s="26"/>
      <c r="BJ677" s="26"/>
      <c r="BK677" s="26"/>
      <c r="BL677" s="26"/>
      <c r="BM677" s="26"/>
      <c r="BN677" s="26"/>
      <c r="BO677" s="26"/>
      <c r="BP677" s="26"/>
      <c r="BQ677" s="26"/>
      <c r="BR677" s="26"/>
      <c r="BS677" s="26"/>
      <c r="BT677" s="26"/>
      <c r="BU677" s="26"/>
      <c r="BV677" s="26"/>
      <c r="BW677" s="26"/>
      <c r="BX677" s="26"/>
      <c r="BY677" s="26"/>
      <c r="BZ677" s="26"/>
      <c r="CA677" s="26"/>
      <c r="CB677" s="26"/>
      <c r="CC677" s="26"/>
      <c r="CD677" s="26"/>
      <c r="CE677" s="26"/>
      <c r="CF677" s="26"/>
      <c r="CG677" s="26"/>
      <c r="CH677" s="26"/>
      <c r="CI677" s="26"/>
      <c r="CJ677" s="26"/>
      <c r="CK677" s="26"/>
      <c r="CL677" s="26"/>
      <c r="CM677" s="26"/>
      <c r="CN677" s="26"/>
      <c r="CO677" s="26"/>
    </row>
    <row r="678" spans="17:93" ht="12.75" hidden="1" customHeight="1" x14ac:dyDescent="0.25">
      <c r="Q678" s="6"/>
      <c r="R678" s="6"/>
      <c r="S678" s="6"/>
      <c r="T678" s="6"/>
      <c r="U678" s="6"/>
      <c r="V678" s="6"/>
      <c r="W678" s="6"/>
      <c r="X678" s="6"/>
      <c r="Y678" s="6"/>
      <c r="Z678" s="6"/>
      <c r="AA678" s="6"/>
      <c r="BF678" s="26"/>
      <c r="BG678" s="26"/>
      <c r="BH678" s="26"/>
      <c r="BI678" s="26"/>
      <c r="BJ678" s="26"/>
      <c r="BK678" s="26"/>
      <c r="BL678" s="26"/>
      <c r="BM678" s="26"/>
      <c r="BN678" s="26"/>
      <c r="BO678" s="26"/>
      <c r="BP678" s="26"/>
      <c r="BQ678" s="26"/>
      <c r="BR678" s="26"/>
      <c r="BS678" s="26"/>
      <c r="BT678" s="26"/>
      <c r="BU678" s="26"/>
      <c r="BV678" s="26"/>
      <c r="BW678" s="26"/>
      <c r="BX678" s="26"/>
      <c r="BY678" s="26"/>
      <c r="BZ678" s="26"/>
      <c r="CA678" s="26"/>
      <c r="CB678" s="26"/>
      <c r="CC678" s="26"/>
      <c r="CD678" s="26"/>
      <c r="CE678" s="26"/>
      <c r="CF678" s="26"/>
      <c r="CG678" s="26"/>
      <c r="CH678" s="26"/>
      <c r="CI678" s="26"/>
      <c r="CJ678" s="26"/>
      <c r="CK678" s="26"/>
      <c r="CL678" s="26"/>
      <c r="CM678" s="26"/>
      <c r="CN678" s="26"/>
      <c r="CO678" s="26"/>
    </row>
    <row r="679" spans="17:93" ht="12.75" hidden="1" customHeight="1" x14ac:dyDescent="0.25">
      <c r="Q679" s="6"/>
      <c r="R679" s="6"/>
      <c r="S679" s="6"/>
      <c r="T679" s="6"/>
      <c r="U679" s="6"/>
      <c r="V679" s="6"/>
      <c r="W679" s="6"/>
      <c r="X679" s="6"/>
      <c r="Y679" s="6"/>
      <c r="Z679" s="6"/>
      <c r="AA679" s="6"/>
      <c r="BF679" s="26"/>
      <c r="BG679" s="26"/>
      <c r="BH679" s="26"/>
      <c r="BI679" s="26"/>
      <c r="BJ679" s="26"/>
      <c r="BK679" s="26"/>
      <c r="BL679" s="26"/>
      <c r="BM679" s="26"/>
      <c r="BN679" s="26"/>
      <c r="BO679" s="26"/>
      <c r="BP679" s="26"/>
      <c r="BQ679" s="26"/>
      <c r="BR679" s="26"/>
      <c r="BS679" s="26"/>
      <c r="BT679" s="26"/>
      <c r="BU679" s="26"/>
      <c r="BV679" s="26"/>
      <c r="BW679" s="26"/>
      <c r="BX679" s="26"/>
      <c r="BY679" s="26"/>
      <c r="BZ679" s="26"/>
      <c r="CA679" s="26"/>
      <c r="CB679" s="26"/>
      <c r="CC679" s="26"/>
      <c r="CD679" s="26"/>
      <c r="CE679" s="26"/>
      <c r="CF679" s="26"/>
      <c r="CG679" s="26"/>
      <c r="CH679" s="26"/>
      <c r="CI679" s="26"/>
      <c r="CJ679" s="26"/>
      <c r="CK679" s="26"/>
      <c r="CL679" s="26"/>
      <c r="CM679" s="26"/>
      <c r="CN679" s="26"/>
      <c r="CO679" s="26"/>
    </row>
    <row r="680" spans="17:93" ht="12.75" hidden="1" customHeight="1" x14ac:dyDescent="0.25">
      <c r="Q680" s="6"/>
      <c r="R680" s="6"/>
      <c r="S680" s="6"/>
      <c r="T680" s="6"/>
      <c r="U680" s="6"/>
      <c r="V680" s="6"/>
      <c r="W680" s="6"/>
      <c r="X680" s="6"/>
      <c r="Y680" s="6"/>
      <c r="Z680" s="6"/>
      <c r="AA680" s="6"/>
      <c r="BF680" s="26"/>
      <c r="BG680" s="26"/>
      <c r="BH680" s="26"/>
      <c r="BI680" s="26"/>
      <c r="BJ680" s="26"/>
      <c r="BK680" s="26"/>
      <c r="BL680" s="26"/>
      <c r="BM680" s="26"/>
      <c r="BN680" s="26"/>
      <c r="BO680" s="26"/>
      <c r="BP680" s="26"/>
      <c r="BQ680" s="26"/>
      <c r="BR680" s="26"/>
      <c r="BS680" s="26"/>
      <c r="BT680" s="26"/>
      <c r="BU680" s="26"/>
      <c r="BV680" s="26"/>
      <c r="BW680" s="26"/>
      <c r="BX680" s="26"/>
      <c r="BY680" s="26"/>
      <c r="BZ680" s="26"/>
      <c r="CA680" s="26"/>
      <c r="CB680" s="26"/>
      <c r="CC680" s="26"/>
      <c r="CD680" s="26"/>
      <c r="CE680" s="26"/>
      <c r="CF680" s="26"/>
      <c r="CG680" s="26"/>
      <c r="CH680" s="26"/>
      <c r="CI680" s="26"/>
      <c r="CJ680" s="26"/>
      <c r="CK680" s="26"/>
      <c r="CL680" s="26"/>
      <c r="CM680" s="26"/>
      <c r="CN680" s="26"/>
      <c r="CO680" s="26"/>
    </row>
    <row r="681" spans="17:93" ht="12.75" hidden="1" customHeight="1" x14ac:dyDescent="0.25">
      <c r="Q681" s="6"/>
      <c r="R681" s="6"/>
      <c r="S681" s="6"/>
      <c r="T681" s="6"/>
      <c r="U681" s="6"/>
      <c r="V681" s="6"/>
      <c r="W681" s="6"/>
      <c r="X681" s="6"/>
      <c r="Y681" s="6"/>
      <c r="Z681" s="6"/>
      <c r="AA681" s="6"/>
      <c r="BF681" s="26"/>
      <c r="BG681" s="26"/>
      <c r="BH681" s="26"/>
      <c r="BI681" s="26"/>
      <c r="BJ681" s="26"/>
      <c r="BK681" s="26"/>
      <c r="BL681" s="26"/>
      <c r="BM681" s="26"/>
      <c r="BN681" s="26"/>
      <c r="BO681" s="26"/>
      <c r="BP681" s="26"/>
      <c r="BQ681" s="26"/>
      <c r="BR681" s="26"/>
      <c r="BS681" s="26"/>
      <c r="BT681" s="26"/>
      <c r="BU681" s="26"/>
      <c r="BV681" s="26"/>
      <c r="BW681" s="26"/>
      <c r="BX681" s="26"/>
      <c r="BY681" s="26"/>
      <c r="BZ681" s="26"/>
      <c r="CA681" s="26"/>
      <c r="CB681" s="26"/>
      <c r="CC681" s="26"/>
      <c r="CD681" s="26"/>
      <c r="CE681" s="26"/>
      <c r="CF681" s="26"/>
      <c r="CG681" s="26"/>
      <c r="CH681" s="26"/>
      <c r="CI681" s="26"/>
      <c r="CJ681" s="26"/>
      <c r="CK681" s="26"/>
      <c r="CL681" s="26"/>
      <c r="CM681" s="26"/>
      <c r="CN681" s="26"/>
      <c r="CO681" s="26"/>
    </row>
    <row r="682" spans="17:93" ht="12.75" hidden="1" customHeight="1" x14ac:dyDescent="0.25">
      <c r="Q682" s="6"/>
      <c r="R682" s="6"/>
      <c r="S682" s="6"/>
      <c r="T682" s="6"/>
      <c r="U682" s="6"/>
      <c r="V682" s="6"/>
      <c r="W682" s="6"/>
      <c r="X682" s="6"/>
      <c r="Y682" s="6"/>
      <c r="Z682" s="6"/>
      <c r="AA682" s="6"/>
      <c r="BF682" s="26"/>
      <c r="BG682" s="26"/>
      <c r="BH682" s="26"/>
      <c r="BI682" s="26"/>
      <c r="BJ682" s="26"/>
      <c r="BK682" s="26"/>
      <c r="BL682" s="26"/>
      <c r="BM682" s="26"/>
      <c r="BN682" s="26"/>
      <c r="BO682" s="26"/>
      <c r="BP682" s="26"/>
      <c r="BQ682" s="26"/>
      <c r="BR682" s="26"/>
      <c r="BS682" s="26"/>
      <c r="BT682" s="26"/>
      <c r="BU682" s="26"/>
      <c r="BV682" s="26"/>
      <c r="BW682" s="26"/>
      <c r="BX682" s="26"/>
      <c r="BY682" s="26"/>
      <c r="BZ682" s="26"/>
      <c r="CA682" s="26"/>
      <c r="CB682" s="26"/>
      <c r="CC682" s="26"/>
      <c r="CD682" s="26"/>
      <c r="CE682" s="26"/>
      <c r="CF682" s="26"/>
      <c r="CG682" s="26"/>
      <c r="CH682" s="26"/>
      <c r="CI682" s="26"/>
      <c r="CJ682" s="26"/>
      <c r="CK682" s="26"/>
      <c r="CL682" s="26"/>
      <c r="CM682" s="26"/>
      <c r="CN682" s="26"/>
      <c r="CO682" s="26"/>
    </row>
    <row r="683" spans="17:93" ht="12.75" hidden="1" customHeight="1" x14ac:dyDescent="0.25">
      <c r="Q683" s="6"/>
      <c r="R683" s="6"/>
      <c r="S683" s="6"/>
      <c r="T683" s="6"/>
      <c r="U683" s="6"/>
      <c r="V683" s="6"/>
      <c r="W683" s="6"/>
      <c r="X683" s="6"/>
      <c r="Y683" s="6"/>
      <c r="Z683" s="6"/>
      <c r="AA683" s="6"/>
      <c r="BF683" s="26"/>
      <c r="BG683" s="26"/>
      <c r="BH683" s="26"/>
      <c r="BI683" s="26"/>
      <c r="BJ683" s="26"/>
      <c r="BK683" s="26"/>
      <c r="BL683" s="26"/>
      <c r="BM683" s="26"/>
      <c r="BN683" s="26"/>
      <c r="BO683" s="26"/>
      <c r="BP683" s="26"/>
      <c r="BQ683" s="26"/>
      <c r="BR683" s="26"/>
      <c r="BS683" s="26"/>
      <c r="BT683" s="26"/>
      <c r="BU683" s="26"/>
      <c r="BV683" s="26"/>
      <c r="BW683" s="26"/>
      <c r="BX683" s="26"/>
      <c r="BY683" s="26"/>
      <c r="BZ683" s="26"/>
      <c r="CA683" s="26"/>
      <c r="CB683" s="26"/>
      <c r="CC683" s="26"/>
      <c r="CD683" s="26"/>
      <c r="CE683" s="26"/>
      <c r="CF683" s="26"/>
      <c r="CG683" s="26"/>
      <c r="CH683" s="26"/>
      <c r="CI683" s="26"/>
      <c r="CJ683" s="26"/>
      <c r="CK683" s="26"/>
      <c r="CL683" s="26"/>
      <c r="CM683" s="26"/>
      <c r="CN683" s="26"/>
      <c r="CO683" s="26"/>
    </row>
    <row r="684" spans="17:93" ht="12.75" hidden="1" customHeight="1" x14ac:dyDescent="0.25">
      <c r="Q684" s="6"/>
      <c r="R684" s="6"/>
      <c r="S684" s="6"/>
      <c r="T684" s="6"/>
      <c r="U684" s="6"/>
      <c r="V684" s="6"/>
      <c r="W684" s="6"/>
      <c r="X684" s="6"/>
      <c r="Y684" s="6"/>
      <c r="Z684" s="6"/>
      <c r="AA684" s="6"/>
      <c r="BF684" s="26"/>
      <c r="BG684" s="26"/>
      <c r="BH684" s="26"/>
      <c r="BI684" s="26"/>
      <c r="BJ684" s="26"/>
      <c r="BK684" s="26"/>
      <c r="BL684" s="26"/>
      <c r="BM684" s="26"/>
      <c r="BN684" s="26"/>
      <c r="BO684" s="26"/>
      <c r="BP684" s="26"/>
      <c r="BQ684" s="26"/>
      <c r="BR684" s="26"/>
      <c r="BS684" s="26"/>
      <c r="BT684" s="26"/>
      <c r="BU684" s="26"/>
      <c r="BV684" s="26"/>
      <c r="BW684" s="26"/>
      <c r="BX684" s="26"/>
      <c r="BY684" s="26"/>
      <c r="BZ684" s="26"/>
      <c r="CA684" s="26"/>
      <c r="CB684" s="26"/>
      <c r="CC684" s="26"/>
      <c r="CD684" s="26"/>
      <c r="CE684" s="26"/>
      <c r="CF684" s="26"/>
      <c r="CG684" s="26"/>
      <c r="CH684" s="26"/>
      <c r="CI684" s="26"/>
      <c r="CJ684" s="26"/>
      <c r="CK684" s="26"/>
      <c r="CL684" s="26"/>
      <c r="CM684" s="26"/>
      <c r="CN684" s="26"/>
      <c r="CO684" s="26"/>
    </row>
    <row r="685" spans="17:93" ht="12.75" hidden="1" customHeight="1" x14ac:dyDescent="0.25">
      <c r="Q685" s="6"/>
      <c r="R685" s="6"/>
      <c r="S685" s="6"/>
      <c r="T685" s="6"/>
      <c r="U685" s="6"/>
      <c r="V685" s="6"/>
      <c r="W685" s="6"/>
      <c r="X685" s="6"/>
      <c r="Y685" s="6"/>
      <c r="Z685" s="6"/>
      <c r="AA685" s="6"/>
      <c r="BF685" s="26"/>
      <c r="BG685" s="26"/>
      <c r="BH685" s="26"/>
      <c r="BI685" s="26"/>
      <c r="BJ685" s="26"/>
      <c r="BK685" s="26"/>
      <c r="BL685" s="26"/>
      <c r="BM685" s="26"/>
      <c r="BN685" s="26"/>
      <c r="BO685" s="26"/>
      <c r="BP685" s="26"/>
      <c r="BQ685" s="26"/>
      <c r="BR685" s="26"/>
      <c r="BS685" s="26"/>
      <c r="BT685" s="26"/>
      <c r="BU685" s="26"/>
      <c r="BV685" s="26"/>
      <c r="BW685" s="26"/>
      <c r="BX685" s="26"/>
      <c r="BY685" s="26"/>
      <c r="BZ685" s="26"/>
      <c r="CA685" s="26"/>
      <c r="CB685" s="26"/>
      <c r="CC685" s="26"/>
      <c r="CD685" s="26"/>
      <c r="CE685" s="26"/>
      <c r="CF685" s="26"/>
      <c r="CG685" s="26"/>
      <c r="CH685" s="26"/>
      <c r="CI685" s="26"/>
      <c r="CJ685" s="26"/>
      <c r="CK685" s="26"/>
      <c r="CL685" s="26"/>
      <c r="CM685" s="26"/>
      <c r="CN685" s="26"/>
      <c r="CO685" s="26"/>
    </row>
    <row r="686" spans="17:93" ht="12.75" hidden="1" customHeight="1" x14ac:dyDescent="0.25">
      <c r="Q686" s="6"/>
      <c r="R686" s="6"/>
      <c r="S686" s="6"/>
      <c r="T686" s="6"/>
      <c r="U686" s="6"/>
      <c r="V686" s="6"/>
      <c r="W686" s="6"/>
      <c r="X686" s="6"/>
      <c r="Y686" s="6"/>
      <c r="Z686" s="6"/>
      <c r="AA686" s="6"/>
      <c r="BF686" s="26"/>
      <c r="BG686" s="26"/>
      <c r="BH686" s="26"/>
      <c r="BI686" s="26"/>
      <c r="BJ686" s="26"/>
      <c r="BK686" s="26"/>
      <c r="BL686" s="26"/>
      <c r="BM686" s="26"/>
      <c r="BN686" s="26"/>
      <c r="BO686" s="26"/>
      <c r="BP686" s="26"/>
      <c r="BQ686" s="26"/>
      <c r="BR686" s="26"/>
      <c r="BS686" s="26"/>
      <c r="BT686" s="26"/>
      <c r="BU686" s="26"/>
      <c r="BV686" s="26"/>
      <c r="BW686" s="26"/>
      <c r="BX686" s="26"/>
      <c r="BY686" s="26"/>
      <c r="BZ686" s="26"/>
      <c r="CA686" s="26"/>
      <c r="CB686" s="26"/>
      <c r="CC686" s="26"/>
      <c r="CD686" s="26"/>
      <c r="CE686" s="26"/>
      <c r="CF686" s="26"/>
      <c r="CG686" s="26"/>
      <c r="CH686" s="26"/>
      <c r="CI686" s="26"/>
      <c r="CJ686" s="26"/>
      <c r="CK686" s="26"/>
      <c r="CL686" s="26"/>
      <c r="CM686" s="26"/>
      <c r="CN686" s="26"/>
      <c r="CO686" s="26"/>
    </row>
    <row r="687" spans="17:93" ht="12.75" hidden="1" customHeight="1" x14ac:dyDescent="0.25">
      <c r="Q687" s="6"/>
      <c r="R687" s="6"/>
      <c r="S687" s="6"/>
      <c r="T687" s="6"/>
      <c r="U687" s="6"/>
      <c r="V687" s="6"/>
      <c r="W687" s="6"/>
      <c r="X687" s="6"/>
      <c r="Y687" s="6"/>
      <c r="Z687" s="6"/>
      <c r="AA687" s="6"/>
      <c r="BF687" s="26"/>
      <c r="BG687" s="26"/>
      <c r="BH687" s="26"/>
      <c r="BI687" s="26"/>
      <c r="BJ687" s="26"/>
      <c r="BK687" s="26"/>
      <c r="BL687" s="26"/>
      <c r="BM687" s="26"/>
      <c r="BN687" s="26"/>
      <c r="BO687" s="26"/>
      <c r="BP687" s="26"/>
      <c r="BQ687" s="26"/>
      <c r="BR687" s="26"/>
      <c r="BS687" s="26"/>
      <c r="BT687" s="26"/>
      <c r="BU687" s="26"/>
      <c r="BV687" s="26"/>
      <c r="BW687" s="26"/>
      <c r="BX687" s="26"/>
      <c r="BY687" s="26"/>
      <c r="BZ687" s="26"/>
      <c r="CA687" s="26"/>
      <c r="CB687" s="26"/>
      <c r="CC687" s="26"/>
      <c r="CD687" s="26"/>
      <c r="CE687" s="26"/>
      <c r="CF687" s="26"/>
      <c r="CG687" s="26"/>
      <c r="CH687" s="26"/>
      <c r="CI687" s="26"/>
      <c r="CJ687" s="26"/>
      <c r="CK687" s="26"/>
      <c r="CL687" s="26"/>
      <c r="CM687" s="26"/>
      <c r="CN687" s="26"/>
      <c r="CO687" s="26"/>
    </row>
    <row r="688" spans="17:93" ht="12.75" hidden="1" customHeight="1" x14ac:dyDescent="0.25">
      <c r="Q688" s="6"/>
      <c r="R688" s="6"/>
      <c r="S688" s="6"/>
      <c r="T688" s="6"/>
      <c r="U688" s="6"/>
      <c r="V688" s="6"/>
      <c r="W688" s="6"/>
      <c r="X688" s="6"/>
      <c r="Y688" s="6"/>
      <c r="Z688" s="6"/>
      <c r="AA688" s="6"/>
      <c r="BF688" s="26"/>
      <c r="BG688" s="26"/>
      <c r="BH688" s="26"/>
      <c r="BI688" s="26"/>
      <c r="BJ688" s="26"/>
      <c r="BK688" s="26"/>
      <c r="BL688" s="26"/>
      <c r="BM688" s="26"/>
      <c r="BN688" s="26"/>
      <c r="BO688" s="26"/>
      <c r="BP688" s="26"/>
      <c r="BQ688" s="26"/>
      <c r="BR688" s="26"/>
      <c r="BS688" s="26"/>
      <c r="BT688" s="26"/>
      <c r="BU688" s="26"/>
      <c r="BV688" s="26"/>
      <c r="BW688" s="26"/>
      <c r="BX688" s="26"/>
      <c r="BY688" s="26"/>
      <c r="BZ688" s="26"/>
      <c r="CA688" s="26"/>
      <c r="CB688" s="26"/>
      <c r="CC688" s="26"/>
      <c r="CD688" s="26"/>
      <c r="CE688" s="26"/>
      <c r="CF688" s="26"/>
      <c r="CG688" s="26"/>
      <c r="CH688" s="26"/>
      <c r="CI688" s="26"/>
      <c r="CJ688" s="26"/>
      <c r="CK688" s="26"/>
      <c r="CL688" s="26"/>
      <c r="CM688" s="26"/>
      <c r="CN688" s="26"/>
      <c r="CO688" s="26"/>
    </row>
    <row r="689" spans="17:93" ht="12.75" hidden="1" customHeight="1" x14ac:dyDescent="0.25">
      <c r="Q689" s="6"/>
      <c r="R689" s="6"/>
      <c r="S689" s="6"/>
      <c r="T689" s="6"/>
      <c r="U689" s="6"/>
      <c r="V689" s="6"/>
      <c r="W689" s="6"/>
      <c r="X689" s="6"/>
      <c r="Y689" s="6"/>
      <c r="Z689" s="6"/>
      <c r="AA689" s="6"/>
      <c r="BF689" s="26"/>
      <c r="BG689" s="26"/>
      <c r="BH689" s="26"/>
      <c r="BI689" s="26"/>
      <c r="BJ689" s="26"/>
      <c r="BK689" s="26"/>
      <c r="BL689" s="26"/>
      <c r="BM689" s="26"/>
      <c r="BN689" s="26"/>
      <c r="BO689" s="26"/>
      <c r="BP689" s="26"/>
      <c r="BQ689" s="26"/>
      <c r="BR689" s="26"/>
      <c r="BS689" s="26"/>
      <c r="BT689" s="26"/>
      <c r="BU689" s="26"/>
      <c r="BV689" s="26"/>
      <c r="BW689" s="26"/>
      <c r="BX689" s="26"/>
      <c r="BY689" s="26"/>
      <c r="BZ689" s="26"/>
      <c r="CA689" s="26"/>
      <c r="CB689" s="26"/>
      <c r="CC689" s="26"/>
      <c r="CD689" s="26"/>
      <c r="CE689" s="26"/>
      <c r="CF689" s="26"/>
      <c r="CG689" s="26"/>
      <c r="CH689" s="26"/>
      <c r="CI689" s="26"/>
      <c r="CJ689" s="26"/>
      <c r="CK689" s="26"/>
      <c r="CL689" s="26"/>
      <c r="CM689" s="26"/>
      <c r="CN689" s="26"/>
      <c r="CO689" s="26"/>
    </row>
    <row r="690" spans="17:93" ht="12.75" hidden="1" customHeight="1" x14ac:dyDescent="0.25">
      <c r="Q690" s="6"/>
      <c r="R690" s="6"/>
      <c r="S690" s="6"/>
      <c r="T690" s="6"/>
      <c r="U690" s="6"/>
      <c r="V690" s="6"/>
      <c r="W690" s="6"/>
      <c r="X690" s="6"/>
      <c r="Y690" s="6"/>
      <c r="Z690" s="6"/>
      <c r="AA690" s="6"/>
      <c r="BF690" s="26"/>
      <c r="BG690" s="26"/>
      <c r="BH690" s="26"/>
      <c r="BI690" s="26"/>
      <c r="BJ690" s="26"/>
      <c r="BK690" s="26"/>
      <c r="BL690" s="26"/>
      <c r="BM690" s="26"/>
      <c r="BN690" s="26"/>
      <c r="BO690" s="26"/>
      <c r="BP690" s="26"/>
      <c r="BQ690" s="26"/>
      <c r="BR690" s="26"/>
      <c r="BS690" s="26"/>
      <c r="BT690" s="26"/>
      <c r="BU690" s="26"/>
      <c r="BV690" s="26"/>
      <c r="BW690" s="26"/>
      <c r="BX690" s="26"/>
      <c r="BY690" s="26"/>
      <c r="BZ690" s="26"/>
      <c r="CA690" s="26"/>
      <c r="CB690" s="26"/>
      <c r="CC690" s="26"/>
      <c r="CD690" s="26"/>
      <c r="CE690" s="26"/>
      <c r="CF690" s="26"/>
      <c r="CG690" s="26"/>
      <c r="CH690" s="26"/>
      <c r="CI690" s="26"/>
      <c r="CJ690" s="26"/>
      <c r="CK690" s="26"/>
      <c r="CL690" s="26"/>
      <c r="CM690" s="26"/>
      <c r="CN690" s="26"/>
      <c r="CO690" s="26"/>
    </row>
    <row r="691" spans="17:93" ht="12.75" hidden="1" customHeight="1" x14ac:dyDescent="0.25">
      <c r="Q691" s="6"/>
      <c r="R691" s="6"/>
      <c r="S691" s="6"/>
      <c r="T691" s="6"/>
      <c r="U691" s="6"/>
      <c r="V691" s="6"/>
      <c r="W691" s="6"/>
      <c r="X691" s="6"/>
      <c r="Y691" s="6"/>
      <c r="Z691" s="6"/>
      <c r="AA691" s="6"/>
      <c r="BF691" s="26"/>
      <c r="BG691" s="26"/>
      <c r="BH691" s="26"/>
      <c r="BI691" s="26"/>
      <c r="BJ691" s="26"/>
      <c r="BK691" s="26"/>
      <c r="BL691" s="26"/>
      <c r="BM691" s="26"/>
      <c r="BN691" s="26"/>
      <c r="BO691" s="26"/>
      <c r="BP691" s="26"/>
      <c r="BQ691" s="26"/>
      <c r="BR691" s="26"/>
      <c r="BS691" s="26"/>
      <c r="BT691" s="26"/>
      <c r="BU691" s="26"/>
      <c r="BV691" s="26"/>
      <c r="BW691" s="26"/>
      <c r="BX691" s="26"/>
      <c r="BY691" s="26"/>
      <c r="BZ691" s="26"/>
      <c r="CA691" s="26"/>
      <c r="CB691" s="26"/>
      <c r="CC691" s="26"/>
      <c r="CD691" s="26"/>
      <c r="CE691" s="26"/>
      <c r="CF691" s="26"/>
      <c r="CG691" s="26"/>
      <c r="CH691" s="26"/>
      <c r="CI691" s="26"/>
      <c r="CJ691" s="26"/>
      <c r="CK691" s="26"/>
      <c r="CL691" s="26"/>
      <c r="CM691" s="26"/>
      <c r="CN691" s="26"/>
      <c r="CO691" s="26"/>
    </row>
    <row r="692" spans="17:93" ht="12.75" hidden="1" customHeight="1" x14ac:dyDescent="0.25">
      <c r="Q692" s="6"/>
      <c r="R692" s="6"/>
      <c r="S692" s="6"/>
      <c r="T692" s="6"/>
      <c r="U692" s="6"/>
      <c r="V692" s="6"/>
      <c r="W692" s="6"/>
      <c r="X692" s="6"/>
      <c r="Y692" s="6"/>
      <c r="Z692" s="6"/>
      <c r="AA692" s="6"/>
      <c r="BF692" s="26"/>
      <c r="BG692" s="26"/>
      <c r="BH692" s="26"/>
      <c r="BI692" s="26"/>
      <c r="BJ692" s="26"/>
      <c r="BK692" s="26"/>
      <c r="BL692" s="26"/>
      <c r="BM692" s="26"/>
      <c r="BN692" s="26"/>
      <c r="BO692" s="26"/>
      <c r="BP692" s="26"/>
      <c r="BQ692" s="26"/>
      <c r="BR692" s="26"/>
      <c r="BS692" s="26"/>
      <c r="BT692" s="26"/>
      <c r="BU692" s="26"/>
      <c r="BV692" s="26"/>
      <c r="BW692" s="26"/>
      <c r="BX692" s="26"/>
      <c r="BY692" s="26"/>
      <c r="BZ692" s="26"/>
      <c r="CA692" s="26"/>
      <c r="CB692" s="26"/>
      <c r="CC692" s="26"/>
      <c r="CD692" s="26"/>
      <c r="CE692" s="26"/>
      <c r="CF692" s="26"/>
      <c r="CG692" s="26"/>
      <c r="CH692" s="26"/>
      <c r="CI692" s="26"/>
      <c r="CJ692" s="26"/>
      <c r="CK692" s="26"/>
      <c r="CL692" s="26"/>
      <c r="CM692" s="26"/>
      <c r="CN692" s="26"/>
      <c r="CO692" s="26"/>
    </row>
    <row r="693" spans="17:93" ht="12.75" hidden="1" customHeight="1" x14ac:dyDescent="0.25">
      <c r="Q693" s="6"/>
      <c r="R693" s="6"/>
      <c r="S693" s="6"/>
      <c r="T693" s="6"/>
      <c r="U693" s="6"/>
      <c r="V693" s="6"/>
      <c r="W693" s="6"/>
      <c r="X693" s="6"/>
      <c r="Y693" s="6"/>
      <c r="Z693" s="6"/>
      <c r="AA693" s="6"/>
      <c r="BF693" s="26"/>
      <c r="BG693" s="26"/>
      <c r="BH693" s="26"/>
      <c r="BI693" s="26"/>
      <c r="BJ693" s="26"/>
      <c r="BK693" s="26"/>
      <c r="BL693" s="26"/>
      <c r="BM693" s="26"/>
      <c r="BN693" s="26"/>
      <c r="BO693" s="26"/>
      <c r="BP693" s="26"/>
      <c r="BQ693" s="26"/>
      <c r="BR693" s="26"/>
      <c r="BS693" s="26"/>
      <c r="BT693" s="26"/>
      <c r="BU693" s="26"/>
      <c r="BV693" s="26"/>
      <c r="BW693" s="26"/>
      <c r="BX693" s="26"/>
      <c r="BY693" s="26"/>
      <c r="BZ693" s="26"/>
      <c r="CA693" s="26"/>
      <c r="CB693" s="26"/>
      <c r="CC693" s="26"/>
      <c r="CD693" s="26"/>
      <c r="CE693" s="26"/>
      <c r="CF693" s="26"/>
      <c r="CG693" s="26"/>
      <c r="CH693" s="26"/>
      <c r="CI693" s="26"/>
      <c r="CJ693" s="26"/>
      <c r="CK693" s="26"/>
      <c r="CL693" s="26"/>
      <c r="CM693" s="26"/>
      <c r="CN693" s="26"/>
      <c r="CO693" s="26"/>
    </row>
    <row r="694" spans="17:93" ht="12.75" hidden="1" customHeight="1" x14ac:dyDescent="0.25">
      <c r="Q694" s="6"/>
      <c r="R694" s="6"/>
      <c r="S694" s="6"/>
      <c r="T694" s="6"/>
      <c r="U694" s="6"/>
      <c r="V694" s="6"/>
      <c r="W694" s="6"/>
      <c r="X694" s="6"/>
      <c r="Y694" s="6"/>
      <c r="Z694" s="6"/>
      <c r="AA694" s="6"/>
      <c r="BF694" s="26"/>
      <c r="BG694" s="26"/>
      <c r="BH694" s="26"/>
      <c r="BI694" s="26"/>
      <c r="BJ694" s="26"/>
      <c r="BK694" s="26"/>
      <c r="BL694" s="26"/>
      <c r="BM694" s="26"/>
      <c r="BN694" s="26"/>
      <c r="BO694" s="26"/>
      <c r="BP694" s="26"/>
      <c r="BQ694" s="26"/>
      <c r="BR694" s="26"/>
      <c r="BS694" s="26"/>
      <c r="BT694" s="26"/>
      <c r="BU694" s="26"/>
      <c r="BV694" s="26"/>
      <c r="BW694" s="26"/>
      <c r="BX694" s="26"/>
      <c r="BY694" s="26"/>
      <c r="BZ694" s="26"/>
      <c r="CA694" s="26"/>
      <c r="CB694" s="26"/>
      <c r="CC694" s="26"/>
      <c r="CD694" s="26"/>
      <c r="CE694" s="26"/>
      <c r="CF694" s="26"/>
      <c r="CG694" s="26"/>
      <c r="CH694" s="26"/>
      <c r="CI694" s="26"/>
      <c r="CJ694" s="26"/>
      <c r="CK694" s="26"/>
      <c r="CL694" s="26"/>
      <c r="CM694" s="26"/>
      <c r="CN694" s="26"/>
      <c r="CO694" s="26"/>
    </row>
    <row r="695" spans="17:93" ht="12.75" hidden="1" customHeight="1" x14ac:dyDescent="0.25">
      <c r="Q695" s="6"/>
      <c r="R695" s="6"/>
      <c r="S695" s="6"/>
      <c r="T695" s="6"/>
      <c r="U695" s="6"/>
      <c r="V695" s="6"/>
      <c r="W695" s="6"/>
      <c r="X695" s="6"/>
      <c r="Y695" s="6"/>
      <c r="Z695" s="6"/>
      <c r="AA695" s="6"/>
      <c r="BF695" s="26"/>
      <c r="BG695" s="26"/>
      <c r="BH695" s="26"/>
      <c r="BI695" s="26"/>
      <c r="BJ695" s="26"/>
      <c r="BK695" s="26"/>
      <c r="BL695" s="26"/>
      <c r="BM695" s="26"/>
      <c r="BN695" s="26"/>
      <c r="BO695" s="26"/>
      <c r="BP695" s="26"/>
      <c r="BQ695" s="26"/>
      <c r="BR695" s="26"/>
      <c r="BS695" s="26"/>
      <c r="BT695" s="26"/>
      <c r="BU695" s="26"/>
      <c r="BV695" s="26"/>
      <c r="BW695" s="26"/>
      <c r="BX695" s="26"/>
      <c r="BY695" s="26"/>
      <c r="BZ695" s="26"/>
      <c r="CA695" s="26"/>
      <c r="CB695" s="26"/>
      <c r="CC695" s="26"/>
      <c r="CD695" s="26"/>
      <c r="CE695" s="26"/>
      <c r="CF695" s="26"/>
      <c r="CG695" s="26"/>
      <c r="CH695" s="26"/>
      <c r="CI695" s="26"/>
      <c r="CJ695" s="26"/>
      <c r="CK695" s="26"/>
      <c r="CL695" s="26"/>
      <c r="CM695" s="26"/>
      <c r="CN695" s="26"/>
      <c r="CO695" s="26"/>
    </row>
    <row r="696" spans="17:93" ht="12.75" hidden="1" customHeight="1" x14ac:dyDescent="0.25">
      <c r="Q696" s="6"/>
      <c r="R696" s="6"/>
      <c r="S696" s="6"/>
      <c r="T696" s="6"/>
      <c r="U696" s="6"/>
      <c r="V696" s="6"/>
      <c r="W696" s="6"/>
      <c r="X696" s="6"/>
      <c r="Y696" s="6"/>
      <c r="Z696" s="6"/>
      <c r="AA696" s="6"/>
      <c r="BF696" s="26"/>
      <c r="BG696" s="26"/>
      <c r="BH696" s="26"/>
      <c r="BI696" s="26"/>
      <c r="BJ696" s="26"/>
      <c r="BK696" s="26"/>
      <c r="BL696" s="26"/>
      <c r="BM696" s="26"/>
      <c r="BN696" s="26"/>
      <c r="BO696" s="26"/>
      <c r="BP696" s="26"/>
      <c r="BQ696" s="26"/>
      <c r="BR696" s="26"/>
      <c r="BS696" s="26"/>
      <c r="BT696" s="26"/>
      <c r="BU696" s="26"/>
      <c r="BV696" s="26"/>
      <c r="BW696" s="26"/>
      <c r="BX696" s="26"/>
      <c r="BY696" s="26"/>
      <c r="BZ696" s="26"/>
      <c r="CA696" s="26"/>
      <c r="CB696" s="26"/>
      <c r="CC696" s="26"/>
      <c r="CD696" s="26"/>
      <c r="CE696" s="26"/>
      <c r="CF696" s="26"/>
      <c r="CG696" s="26"/>
      <c r="CH696" s="26"/>
      <c r="CI696" s="26"/>
      <c r="CJ696" s="26"/>
      <c r="CK696" s="26"/>
      <c r="CL696" s="26"/>
      <c r="CM696" s="26"/>
      <c r="CN696" s="26"/>
      <c r="CO696" s="26"/>
    </row>
    <row r="697" spans="17:93" ht="12.75" hidden="1" customHeight="1" x14ac:dyDescent="0.25">
      <c r="Q697" s="6"/>
      <c r="R697" s="6"/>
      <c r="S697" s="6"/>
      <c r="T697" s="6"/>
      <c r="U697" s="6"/>
      <c r="V697" s="6"/>
      <c r="W697" s="6"/>
      <c r="X697" s="6"/>
      <c r="Y697" s="6"/>
      <c r="Z697" s="6"/>
      <c r="AA697" s="6"/>
      <c r="BF697" s="26"/>
      <c r="BG697" s="26"/>
      <c r="BH697" s="26"/>
      <c r="BI697" s="26"/>
      <c r="BJ697" s="26"/>
      <c r="BK697" s="26"/>
      <c r="BL697" s="26"/>
      <c r="BM697" s="26"/>
      <c r="BN697" s="26"/>
      <c r="BO697" s="26"/>
      <c r="BP697" s="26"/>
      <c r="BQ697" s="26"/>
      <c r="BR697" s="26"/>
      <c r="BS697" s="26"/>
      <c r="BT697" s="26"/>
      <c r="BU697" s="26"/>
      <c r="BV697" s="26"/>
      <c r="BW697" s="26"/>
      <c r="BX697" s="26"/>
      <c r="BY697" s="26"/>
      <c r="BZ697" s="26"/>
      <c r="CA697" s="26"/>
      <c r="CB697" s="26"/>
      <c r="CC697" s="26"/>
      <c r="CD697" s="26"/>
      <c r="CE697" s="26"/>
      <c r="CF697" s="26"/>
      <c r="CG697" s="26"/>
      <c r="CH697" s="26"/>
      <c r="CI697" s="26"/>
      <c r="CJ697" s="26"/>
      <c r="CK697" s="26"/>
      <c r="CL697" s="26"/>
      <c r="CM697" s="26"/>
      <c r="CN697" s="26"/>
      <c r="CO697" s="26"/>
    </row>
    <row r="698" spans="17:93" ht="12.75" hidden="1" customHeight="1" x14ac:dyDescent="0.25">
      <c r="Q698" s="6"/>
      <c r="R698" s="6"/>
      <c r="S698" s="6"/>
      <c r="T698" s="6"/>
      <c r="U698" s="6"/>
      <c r="V698" s="6"/>
      <c r="W698" s="6"/>
      <c r="X698" s="6"/>
      <c r="Y698" s="6"/>
      <c r="Z698" s="6"/>
      <c r="AA698" s="6"/>
      <c r="BF698" s="26"/>
      <c r="BG698" s="26"/>
      <c r="BH698" s="26"/>
      <c r="BI698" s="26"/>
      <c r="BJ698" s="26"/>
      <c r="BK698" s="26"/>
      <c r="BL698" s="26"/>
      <c r="BM698" s="26"/>
      <c r="BN698" s="26"/>
      <c r="BO698" s="26"/>
      <c r="BP698" s="26"/>
      <c r="BQ698" s="26"/>
      <c r="BR698" s="26"/>
      <c r="BS698" s="26"/>
      <c r="BT698" s="26"/>
      <c r="BU698" s="26"/>
      <c r="BV698" s="26"/>
      <c r="BW698" s="26"/>
      <c r="BX698" s="26"/>
      <c r="BY698" s="26"/>
      <c r="BZ698" s="26"/>
      <c r="CA698" s="26"/>
      <c r="CB698" s="26"/>
      <c r="CC698" s="26"/>
      <c r="CD698" s="26"/>
      <c r="CE698" s="26"/>
      <c r="CF698" s="26"/>
      <c r="CG698" s="26"/>
      <c r="CH698" s="26"/>
      <c r="CI698" s="26"/>
      <c r="CJ698" s="26"/>
      <c r="CK698" s="26"/>
      <c r="CL698" s="26"/>
      <c r="CM698" s="26"/>
      <c r="CN698" s="26"/>
      <c r="CO698" s="26"/>
    </row>
    <row r="699" spans="17:93" ht="12.75" hidden="1" customHeight="1" x14ac:dyDescent="0.25">
      <c r="Q699" s="6"/>
      <c r="R699" s="6"/>
      <c r="S699" s="6"/>
      <c r="T699" s="6"/>
      <c r="U699" s="6"/>
      <c r="V699" s="6"/>
      <c r="W699" s="6"/>
      <c r="X699" s="6"/>
      <c r="Y699" s="6"/>
      <c r="Z699" s="6"/>
      <c r="AA699" s="6"/>
      <c r="BF699" s="26"/>
      <c r="BG699" s="26"/>
      <c r="BH699" s="26"/>
      <c r="BI699" s="26"/>
      <c r="BJ699" s="26"/>
      <c r="BK699" s="26"/>
      <c r="BL699" s="26"/>
      <c r="BM699" s="26"/>
      <c r="BN699" s="26"/>
      <c r="BO699" s="26"/>
      <c r="BP699" s="26"/>
      <c r="BQ699" s="26"/>
      <c r="BR699" s="26"/>
      <c r="BS699" s="26"/>
      <c r="BT699" s="26"/>
      <c r="BU699" s="26"/>
      <c r="BV699" s="26"/>
      <c r="BW699" s="26"/>
      <c r="BX699" s="26"/>
      <c r="BY699" s="26"/>
      <c r="BZ699" s="26"/>
      <c r="CA699" s="26"/>
      <c r="CB699" s="26"/>
      <c r="CC699" s="26"/>
      <c r="CD699" s="26"/>
      <c r="CE699" s="26"/>
      <c r="CF699" s="26"/>
      <c r="CG699" s="26"/>
      <c r="CH699" s="26"/>
      <c r="CI699" s="26"/>
      <c r="CJ699" s="26"/>
      <c r="CK699" s="26"/>
      <c r="CL699" s="26"/>
      <c r="CM699" s="26"/>
      <c r="CN699" s="26"/>
      <c r="CO699" s="26"/>
    </row>
    <row r="700" spans="17:93" ht="12.75" hidden="1" customHeight="1" x14ac:dyDescent="0.25">
      <c r="Q700" s="6"/>
      <c r="R700" s="6"/>
      <c r="S700" s="6"/>
      <c r="T700" s="6"/>
      <c r="U700" s="6"/>
      <c r="V700" s="6"/>
      <c r="W700" s="6"/>
      <c r="X700" s="6"/>
      <c r="Y700" s="6"/>
      <c r="Z700" s="6"/>
      <c r="AA700" s="6"/>
      <c r="BF700" s="26"/>
      <c r="BG700" s="26"/>
      <c r="BH700" s="26"/>
      <c r="BI700" s="26"/>
      <c r="BJ700" s="26"/>
      <c r="BK700" s="26"/>
      <c r="BL700" s="26"/>
      <c r="BM700" s="26"/>
      <c r="BN700" s="26"/>
      <c r="BO700" s="26"/>
      <c r="BP700" s="26"/>
      <c r="BQ700" s="26"/>
      <c r="BR700" s="26"/>
      <c r="BS700" s="26"/>
      <c r="BT700" s="26"/>
      <c r="BU700" s="26"/>
      <c r="BV700" s="26"/>
      <c r="BW700" s="26"/>
      <c r="BX700" s="26"/>
      <c r="BY700" s="26"/>
      <c r="BZ700" s="26"/>
      <c r="CA700" s="26"/>
      <c r="CB700" s="26"/>
      <c r="CC700" s="26"/>
      <c r="CD700" s="26"/>
      <c r="CE700" s="26"/>
      <c r="CF700" s="26"/>
      <c r="CG700" s="26"/>
      <c r="CH700" s="26"/>
      <c r="CI700" s="26"/>
      <c r="CJ700" s="26"/>
      <c r="CK700" s="26"/>
      <c r="CL700" s="26"/>
      <c r="CM700" s="26"/>
      <c r="CN700" s="26"/>
      <c r="CO700" s="26"/>
    </row>
    <row r="701" spans="17:93" ht="12.75" hidden="1" customHeight="1" x14ac:dyDescent="0.25">
      <c r="Q701" s="6"/>
      <c r="R701" s="6"/>
      <c r="S701" s="6"/>
      <c r="T701" s="6"/>
      <c r="U701" s="6"/>
      <c r="V701" s="6"/>
      <c r="W701" s="6"/>
      <c r="X701" s="6"/>
      <c r="Y701" s="6"/>
      <c r="Z701" s="6"/>
      <c r="AA701" s="6"/>
      <c r="BF701" s="26"/>
      <c r="BG701" s="26"/>
      <c r="BH701" s="26"/>
      <c r="BI701" s="26"/>
      <c r="BJ701" s="26"/>
      <c r="BK701" s="26"/>
      <c r="BL701" s="26"/>
      <c r="BM701" s="26"/>
      <c r="BN701" s="26"/>
      <c r="BO701" s="26"/>
      <c r="BP701" s="26"/>
      <c r="BQ701" s="26"/>
      <c r="BR701" s="26"/>
      <c r="BS701" s="26"/>
      <c r="BT701" s="26"/>
      <c r="BU701" s="26"/>
      <c r="BV701" s="26"/>
      <c r="BW701" s="26"/>
      <c r="BX701" s="26"/>
      <c r="BY701" s="26"/>
      <c r="BZ701" s="26"/>
      <c r="CA701" s="26"/>
      <c r="CB701" s="26"/>
      <c r="CC701" s="26"/>
      <c r="CD701" s="26"/>
      <c r="CE701" s="26"/>
      <c r="CF701" s="26"/>
      <c r="CG701" s="26"/>
      <c r="CH701" s="26"/>
      <c r="CI701" s="26"/>
      <c r="CJ701" s="26"/>
      <c r="CK701" s="26"/>
      <c r="CL701" s="26"/>
      <c r="CM701" s="26"/>
      <c r="CN701" s="26"/>
      <c r="CO701" s="26"/>
    </row>
    <row r="702" spans="17:93" ht="12.75" hidden="1" customHeight="1" x14ac:dyDescent="0.25">
      <c r="Q702" s="6"/>
      <c r="R702" s="6"/>
      <c r="S702" s="6"/>
      <c r="T702" s="6"/>
      <c r="U702" s="6"/>
      <c r="V702" s="6"/>
      <c r="W702" s="6"/>
      <c r="X702" s="6"/>
      <c r="Y702" s="6"/>
      <c r="Z702" s="6"/>
      <c r="AA702" s="6"/>
      <c r="BF702" s="26"/>
      <c r="BG702" s="26"/>
      <c r="BH702" s="26"/>
      <c r="BI702" s="26"/>
      <c r="BJ702" s="26"/>
      <c r="BK702" s="26"/>
      <c r="BL702" s="26"/>
      <c r="BM702" s="26"/>
      <c r="BN702" s="26"/>
      <c r="BO702" s="26"/>
      <c r="BP702" s="26"/>
      <c r="BQ702" s="26"/>
      <c r="BR702" s="26"/>
      <c r="BS702" s="26"/>
      <c r="BT702" s="26"/>
      <c r="BU702" s="26"/>
      <c r="BV702" s="26"/>
      <c r="BW702" s="26"/>
      <c r="BX702" s="26"/>
      <c r="BY702" s="26"/>
      <c r="BZ702" s="26"/>
      <c r="CA702" s="26"/>
      <c r="CB702" s="26"/>
      <c r="CC702" s="26"/>
      <c r="CD702" s="26"/>
      <c r="CE702" s="26"/>
      <c r="CF702" s="26"/>
      <c r="CG702" s="26"/>
      <c r="CH702" s="26"/>
      <c r="CI702" s="26"/>
      <c r="CJ702" s="26"/>
      <c r="CK702" s="26"/>
      <c r="CL702" s="26"/>
      <c r="CM702" s="26"/>
      <c r="CN702" s="26"/>
      <c r="CO702" s="26"/>
    </row>
    <row r="703" spans="17:93" ht="12.75" hidden="1" customHeight="1" x14ac:dyDescent="0.25">
      <c r="Q703" s="6"/>
      <c r="R703" s="6"/>
      <c r="S703" s="6"/>
      <c r="T703" s="6"/>
      <c r="U703" s="6"/>
      <c r="V703" s="6"/>
      <c r="W703" s="6"/>
      <c r="X703" s="6"/>
      <c r="Y703" s="6"/>
      <c r="Z703" s="6"/>
      <c r="AA703" s="6"/>
      <c r="BF703" s="26"/>
      <c r="BG703" s="26"/>
      <c r="BH703" s="26"/>
      <c r="BI703" s="26"/>
      <c r="BJ703" s="26"/>
      <c r="BK703" s="26"/>
      <c r="BL703" s="26"/>
      <c r="BM703" s="26"/>
      <c r="BN703" s="26"/>
      <c r="BO703" s="26"/>
      <c r="BP703" s="26"/>
      <c r="BQ703" s="26"/>
      <c r="BR703" s="26"/>
      <c r="BS703" s="26"/>
      <c r="BT703" s="26"/>
      <c r="BU703" s="26"/>
      <c r="BV703" s="26"/>
      <c r="BW703" s="26"/>
      <c r="BX703" s="26"/>
      <c r="BY703" s="26"/>
      <c r="BZ703" s="26"/>
      <c r="CA703" s="26"/>
      <c r="CB703" s="26"/>
      <c r="CC703" s="26"/>
      <c r="CD703" s="26"/>
      <c r="CE703" s="26"/>
      <c r="CF703" s="26"/>
      <c r="CG703" s="26"/>
      <c r="CH703" s="26"/>
      <c r="CI703" s="26"/>
      <c r="CJ703" s="26"/>
      <c r="CK703" s="26"/>
      <c r="CL703" s="26"/>
      <c r="CM703" s="26"/>
      <c r="CN703" s="26"/>
      <c r="CO703" s="26"/>
    </row>
    <row r="704" spans="17:93" ht="12.75" hidden="1" customHeight="1" x14ac:dyDescent="0.25">
      <c r="Q704" s="6"/>
      <c r="R704" s="6"/>
      <c r="S704" s="6"/>
      <c r="T704" s="6"/>
      <c r="U704" s="6"/>
      <c r="V704" s="6"/>
      <c r="W704" s="6"/>
      <c r="X704" s="6"/>
      <c r="Y704" s="6"/>
      <c r="Z704" s="6"/>
      <c r="AA704" s="6"/>
      <c r="BF704" s="26"/>
      <c r="BG704" s="26"/>
      <c r="BH704" s="26"/>
      <c r="BI704" s="26"/>
      <c r="BJ704" s="26"/>
      <c r="BK704" s="26"/>
      <c r="BL704" s="26"/>
      <c r="BM704" s="26"/>
      <c r="BN704" s="26"/>
      <c r="BO704" s="26"/>
      <c r="BP704" s="26"/>
      <c r="BQ704" s="26"/>
      <c r="BR704" s="26"/>
      <c r="BS704" s="26"/>
      <c r="BT704" s="26"/>
      <c r="BU704" s="26"/>
      <c r="BV704" s="26"/>
      <c r="BW704" s="26"/>
      <c r="BX704" s="26"/>
      <c r="BY704" s="26"/>
      <c r="BZ704" s="26"/>
      <c r="CA704" s="26"/>
      <c r="CB704" s="26"/>
      <c r="CC704" s="26"/>
      <c r="CD704" s="26"/>
      <c r="CE704" s="26"/>
      <c r="CF704" s="26"/>
      <c r="CG704" s="26"/>
      <c r="CH704" s="26"/>
      <c r="CI704" s="26"/>
      <c r="CJ704" s="26"/>
      <c r="CK704" s="26"/>
      <c r="CL704" s="26"/>
      <c r="CM704" s="26"/>
      <c r="CN704" s="26"/>
      <c r="CO704" s="26"/>
    </row>
    <row r="705" spans="17:93" ht="12.75" hidden="1" customHeight="1" x14ac:dyDescent="0.25">
      <c r="Q705" s="6"/>
      <c r="R705" s="6"/>
      <c r="S705" s="6"/>
      <c r="T705" s="6"/>
      <c r="U705" s="6"/>
      <c r="V705" s="6"/>
      <c r="W705" s="6"/>
      <c r="X705" s="6"/>
      <c r="Y705" s="6"/>
      <c r="Z705" s="6"/>
      <c r="AA705" s="6"/>
      <c r="BF705" s="26"/>
      <c r="BG705" s="26"/>
      <c r="BH705" s="26"/>
      <c r="BI705" s="26"/>
      <c r="BJ705" s="26"/>
      <c r="BK705" s="26"/>
      <c r="BL705" s="26"/>
      <c r="BM705" s="26"/>
      <c r="BN705" s="26"/>
      <c r="BO705" s="26"/>
      <c r="BP705" s="26"/>
      <c r="BQ705" s="26"/>
      <c r="BR705" s="26"/>
      <c r="BS705" s="26"/>
      <c r="BT705" s="26"/>
      <c r="BU705" s="26"/>
      <c r="BV705" s="26"/>
      <c r="BW705" s="26"/>
      <c r="BX705" s="26"/>
      <c r="BY705" s="26"/>
      <c r="BZ705" s="26"/>
      <c r="CA705" s="26"/>
      <c r="CB705" s="26"/>
      <c r="CC705" s="26"/>
      <c r="CD705" s="26"/>
      <c r="CE705" s="26"/>
      <c r="CF705" s="26"/>
      <c r="CG705" s="26"/>
      <c r="CH705" s="26"/>
      <c r="CI705" s="26"/>
      <c r="CJ705" s="26"/>
      <c r="CK705" s="26"/>
      <c r="CL705" s="26"/>
      <c r="CM705" s="26"/>
      <c r="CN705" s="26"/>
      <c r="CO705" s="26"/>
    </row>
    <row r="706" spans="17:93" ht="12.75" hidden="1" customHeight="1" x14ac:dyDescent="0.25">
      <c r="Q706" s="6"/>
      <c r="R706" s="6"/>
      <c r="S706" s="6"/>
      <c r="T706" s="6"/>
      <c r="U706" s="6"/>
      <c r="V706" s="6"/>
      <c r="W706" s="6"/>
      <c r="X706" s="6"/>
      <c r="Y706" s="6"/>
      <c r="Z706" s="6"/>
      <c r="AA706" s="6"/>
      <c r="BF706" s="26"/>
      <c r="BG706" s="26"/>
      <c r="BH706" s="26"/>
      <c r="BI706" s="26"/>
      <c r="BJ706" s="26"/>
      <c r="BK706" s="26"/>
      <c r="BL706" s="26"/>
      <c r="BM706" s="26"/>
      <c r="BN706" s="26"/>
      <c r="BO706" s="26"/>
      <c r="BP706" s="26"/>
      <c r="BQ706" s="26"/>
      <c r="BR706" s="26"/>
      <c r="BS706" s="26"/>
      <c r="BT706" s="26"/>
      <c r="BU706" s="26"/>
      <c r="BV706" s="26"/>
      <c r="BW706" s="26"/>
      <c r="BX706" s="26"/>
      <c r="BY706" s="26"/>
      <c r="BZ706" s="26"/>
      <c r="CA706" s="26"/>
      <c r="CB706" s="26"/>
      <c r="CC706" s="26"/>
      <c r="CD706" s="26"/>
      <c r="CE706" s="26"/>
      <c r="CF706" s="26"/>
      <c r="CG706" s="26"/>
      <c r="CH706" s="26"/>
      <c r="CI706" s="26"/>
      <c r="CJ706" s="26"/>
      <c r="CK706" s="26"/>
      <c r="CL706" s="26"/>
      <c r="CM706" s="26"/>
      <c r="CN706" s="26"/>
      <c r="CO706" s="26"/>
    </row>
    <row r="707" spans="17:93" ht="12.75" hidden="1" customHeight="1" x14ac:dyDescent="0.25">
      <c r="Q707" s="6"/>
      <c r="R707" s="6"/>
      <c r="S707" s="6"/>
      <c r="T707" s="6"/>
      <c r="U707" s="6"/>
      <c r="V707" s="6"/>
      <c r="W707" s="6"/>
      <c r="X707" s="6"/>
      <c r="Y707" s="6"/>
      <c r="Z707" s="6"/>
      <c r="AA707" s="6"/>
      <c r="BF707" s="26"/>
      <c r="BG707" s="26"/>
      <c r="BH707" s="26"/>
      <c r="BI707" s="26"/>
      <c r="BJ707" s="26"/>
      <c r="BK707" s="26"/>
      <c r="BL707" s="26"/>
      <c r="BM707" s="26"/>
      <c r="BN707" s="26"/>
      <c r="BO707" s="26"/>
      <c r="BP707" s="26"/>
      <c r="BQ707" s="26"/>
      <c r="BR707" s="26"/>
      <c r="BS707" s="26"/>
      <c r="BT707" s="26"/>
      <c r="BU707" s="26"/>
      <c r="BV707" s="26"/>
      <c r="BW707" s="26"/>
      <c r="BX707" s="26"/>
      <c r="BY707" s="26"/>
      <c r="BZ707" s="26"/>
      <c r="CA707" s="26"/>
      <c r="CB707" s="26"/>
      <c r="CC707" s="26"/>
      <c r="CD707" s="26"/>
      <c r="CE707" s="26"/>
      <c r="CF707" s="26"/>
      <c r="CG707" s="26"/>
      <c r="CH707" s="26"/>
      <c r="CI707" s="26"/>
      <c r="CJ707" s="26"/>
      <c r="CK707" s="26"/>
      <c r="CL707" s="26"/>
      <c r="CM707" s="26"/>
      <c r="CN707" s="26"/>
      <c r="CO707" s="26"/>
    </row>
    <row r="708" spans="17:93" ht="12.75" hidden="1" customHeight="1" x14ac:dyDescent="0.25">
      <c r="Q708" s="6"/>
      <c r="R708" s="6"/>
      <c r="S708" s="6"/>
      <c r="T708" s="6"/>
      <c r="U708" s="6"/>
      <c r="V708" s="6"/>
      <c r="W708" s="6"/>
      <c r="X708" s="6"/>
      <c r="Y708" s="6"/>
      <c r="Z708" s="6"/>
      <c r="AA708" s="6"/>
      <c r="BF708" s="26"/>
      <c r="BG708" s="26"/>
      <c r="BH708" s="26"/>
      <c r="BI708" s="26"/>
      <c r="BJ708" s="26"/>
      <c r="BK708" s="26"/>
      <c r="BL708" s="26"/>
      <c r="BM708" s="26"/>
      <c r="BN708" s="26"/>
      <c r="BO708" s="26"/>
      <c r="BP708" s="26"/>
      <c r="BQ708" s="26"/>
      <c r="BR708" s="26"/>
      <c r="BS708" s="26"/>
      <c r="BT708" s="26"/>
      <c r="BU708" s="26"/>
      <c r="BV708" s="26"/>
      <c r="BW708" s="26"/>
      <c r="BX708" s="26"/>
      <c r="BY708" s="26"/>
      <c r="BZ708" s="26"/>
      <c r="CA708" s="26"/>
      <c r="CB708" s="26"/>
      <c r="CC708" s="26"/>
      <c r="CD708" s="26"/>
      <c r="CE708" s="26"/>
      <c r="CF708" s="26"/>
      <c r="CG708" s="26"/>
      <c r="CH708" s="26"/>
      <c r="CI708" s="26"/>
      <c r="CJ708" s="26"/>
      <c r="CK708" s="26"/>
      <c r="CL708" s="26"/>
      <c r="CM708" s="26"/>
      <c r="CN708" s="26"/>
      <c r="CO708" s="26"/>
    </row>
    <row r="709" spans="17:93" ht="12.75" hidden="1" customHeight="1" x14ac:dyDescent="0.25">
      <c r="Q709" s="6"/>
      <c r="R709" s="6"/>
      <c r="S709" s="6"/>
      <c r="T709" s="6"/>
      <c r="U709" s="6"/>
      <c r="V709" s="6"/>
      <c r="W709" s="6"/>
      <c r="X709" s="6"/>
      <c r="Y709" s="6"/>
      <c r="Z709" s="6"/>
      <c r="AA709" s="6"/>
      <c r="BF709" s="26"/>
      <c r="BG709" s="26"/>
      <c r="BH709" s="26"/>
      <c r="BI709" s="26"/>
      <c r="BJ709" s="26"/>
      <c r="BK709" s="26"/>
      <c r="BL709" s="26"/>
      <c r="BM709" s="26"/>
      <c r="BN709" s="26"/>
      <c r="BO709" s="26"/>
      <c r="BP709" s="26"/>
      <c r="BQ709" s="26"/>
      <c r="BR709" s="26"/>
      <c r="BS709" s="26"/>
      <c r="BT709" s="26"/>
      <c r="BU709" s="26"/>
      <c r="BV709" s="26"/>
      <c r="BW709" s="26"/>
      <c r="BX709" s="26"/>
      <c r="BY709" s="26"/>
      <c r="BZ709" s="26"/>
      <c r="CA709" s="26"/>
      <c r="CB709" s="26"/>
      <c r="CC709" s="26"/>
      <c r="CD709" s="26"/>
      <c r="CE709" s="26"/>
      <c r="CF709" s="26"/>
      <c r="CG709" s="26"/>
      <c r="CH709" s="26"/>
      <c r="CI709" s="26"/>
      <c r="CJ709" s="26"/>
      <c r="CK709" s="26"/>
      <c r="CL709" s="26"/>
      <c r="CM709" s="26"/>
      <c r="CN709" s="26"/>
      <c r="CO709" s="26"/>
    </row>
    <row r="710" spans="17:93" ht="12.75" hidden="1" customHeight="1" x14ac:dyDescent="0.25">
      <c r="Q710" s="6"/>
      <c r="R710" s="6"/>
      <c r="S710" s="6"/>
      <c r="T710" s="6"/>
      <c r="U710" s="6"/>
      <c r="V710" s="6"/>
      <c r="W710" s="6"/>
      <c r="X710" s="6"/>
      <c r="Y710" s="6"/>
      <c r="Z710" s="6"/>
      <c r="AA710" s="6"/>
      <c r="BF710" s="26"/>
      <c r="BG710" s="26"/>
      <c r="BH710" s="26"/>
      <c r="BI710" s="26"/>
      <c r="BJ710" s="26"/>
      <c r="BK710" s="26"/>
      <c r="BL710" s="26"/>
      <c r="BM710" s="26"/>
      <c r="BN710" s="26"/>
      <c r="BO710" s="26"/>
      <c r="BP710" s="26"/>
      <c r="BQ710" s="26"/>
      <c r="BR710" s="26"/>
      <c r="BS710" s="26"/>
      <c r="BT710" s="26"/>
      <c r="BU710" s="26"/>
      <c r="BV710" s="26"/>
      <c r="BW710" s="26"/>
      <c r="BX710" s="26"/>
      <c r="BY710" s="26"/>
      <c r="BZ710" s="26"/>
      <c r="CA710" s="26"/>
      <c r="CB710" s="26"/>
      <c r="CC710" s="26"/>
      <c r="CD710" s="26"/>
      <c r="CE710" s="26"/>
      <c r="CF710" s="26"/>
      <c r="CG710" s="26"/>
      <c r="CH710" s="26"/>
      <c r="CI710" s="26"/>
      <c r="CJ710" s="26"/>
      <c r="CK710" s="26"/>
      <c r="CL710" s="26"/>
      <c r="CM710" s="26"/>
      <c r="CN710" s="26"/>
      <c r="CO710" s="26"/>
    </row>
    <row r="711" spans="17:93" ht="12.75" hidden="1" customHeight="1" x14ac:dyDescent="0.25">
      <c r="Q711" s="6"/>
      <c r="R711" s="6"/>
      <c r="S711" s="6"/>
      <c r="T711" s="6"/>
      <c r="U711" s="6"/>
      <c r="V711" s="6"/>
      <c r="W711" s="6"/>
      <c r="X711" s="6"/>
      <c r="Y711" s="6"/>
      <c r="Z711" s="6"/>
      <c r="AA711" s="6"/>
      <c r="BF711" s="26"/>
      <c r="BG711" s="26"/>
      <c r="BH711" s="26"/>
      <c r="BI711" s="26"/>
      <c r="BJ711" s="26"/>
      <c r="BK711" s="26"/>
      <c r="BL711" s="26"/>
      <c r="BM711" s="26"/>
      <c r="BN711" s="26"/>
      <c r="BO711" s="26"/>
      <c r="BP711" s="26"/>
      <c r="BQ711" s="26"/>
      <c r="BR711" s="26"/>
      <c r="BS711" s="26"/>
      <c r="BT711" s="26"/>
      <c r="BU711" s="26"/>
      <c r="BV711" s="26"/>
      <c r="BW711" s="26"/>
      <c r="BX711" s="26"/>
      <c r="BY711" s="26"/>
      <c r="BZ711" s="26"/>
      <c r="CA711" s="26"/>
      <c r="CB711" s="26"/>
      <c r="CC711" s="26"/>
      <c r="CD711" s="26"/>
      <c r="CE711" s="26"/>
      <c r="CF711" s="26"/>
      <c r="CG711" s="26"/>
      <c r="CH711" s="26"/>
      <c r="CI711" s="26"/>
      <c r="CJ711" s="26"/>
      <c r="CK711" s="26"/>
      <c r="CL711" s="26"/>
      <c r="CM711" s="26"/>
      <c r="CN711" s="26"/>
      <c r="CO711" s="26"/>
    </row>
    <row r="712" spans="17:93" ht="12.75" hidden="1" customHeight="1" x14ac:dyDescent="0.25">
      <c r="Q712" s="6"/>
      <c r="R712" s="6"/>
      <c r="S712" s="6"/>
      <c r="T712" s="6"/>
      <c r="U712" s="6"/>
      <c r="V712" s="6"/>
      <c r="W712" s="6"/>
      <c r="X712" s="6"/>
      <c r="Y712" s="6"/>
      <c r="Z712" s="6"/>
      <c r="AA712" s="6"/>
      <c r="BF712" s="26"/>
      <c r="BG712" s="26"/>
      <c r="BH712" s="26"/>
      <c r="BI712" s="26"/>
      <c r="BJ712" s="26"/>
      <c r="BK712" s="26"/>
      <c r="BL712" s="26"/>
      <c r="BM712" s="26"/>
      <c r="BN712" s="26"/>
      <c r="BO712" s="26"/>
      <c r="BP712" s="26"/>
      <c r="BQ712" s="26"/>
      <c r="BR712" s="26"/>
      <c r="BS712" s="26"/>
      <c r="BT712" s="26"/>
      <c r="BU712" s="26"/>
      <c r="BV712" s="26"/>
      <c r="BW712" s="26"/>
      <c r="BX712" s="26"/>
      <c r="BY712" s="26"/>
      <c r="BZ712" s="26"/>
      <c r="CA712" s="26"/>
      <c r="CB712" s="26"/>
      <c r="CC712" s="26"/>
      <c r="CD712" s="26"/>
      <c r="CE712" s="26"/>
      <c r="CF712" s="26"/>
      <c r="CG712" s="26"/>
      <c r="CH712" s="26"/>
      <c r="CI712" s="26"/>
      <c r="CJ712" s="26"/>
      <c r="CK712" s="26"/>
      <c r="CL712" s="26"/>
      <c r="CM712" s="26"/>
      <c r="CN712" s="26"/>
      <c r="CO712" s="26"/>
    </row>
    <row r="713" spans="17:93" ht="12.75" hidden="1" customHeight="1" x14ac:dyDescent="0.25">
      <c r="Q713" s="6"/>
      <c r="R713" s="6"/>
      <c r="S713" s="6"/>
      <c r="T713" s="6"/>
      <c r="U713" s="6"/>
      <c r="V713" s="6"/>
      <c r="W713" s="6"/>
      <c r="X713" s="6"/>
      <c r="Y713" s="6"/>
      <c r="Z713" s="6"/>
      <c r="AA713" s="6"/>
      <c r="BF713" s="26"/>
      <c r="BG713" s="26"/>
      <c r="BH713" s="26"/>
      <c r="BI713" s="26"/>
      <c r="BJ713" s="26"/>
      <c r="BK713" s="26"/>
      <c r="BL713" s="26"/>
      <c r="BM713" s="26"/>
      <c r="BN713" s="26"/>
      <c r="BO713" s="26"/>
      <c r="BP713" s="26"/>
      <c r="BQ713" s="26"/>
      <c r="BR713" s="26"/>
      <c r="BS713" s="26"/>
      <c r="BT713" s="26"/>
      <c r="BU713" s="26"/>
      <c r="BV713" s="26"/>
      <c r="BW713" s="26"/>
      <c r="BX713" s="26"/>
      <c r="BY713" s="26"/>
      <c r="BZ713" s="26"/>
      <c r="CA713" s="26"/>
      <c r="CB713" s="26"/>
      <c r="CC713" s="26"/>
      <c r="CD713" s="26"/>
      <c r="CE713" s="26"/>
      <c r="CF713" s="26"/>
      <c r="CG713" s="26"/>
      <c r="CH713" s="26"/>
      <c r="CI713" s="26"/>
      <c r="CJ713" s="26"/>
      <c r="CK713" s="26"/>
      <c r="CL713" s="26"/>
      <c r="CM713" s="26"/>
      <c r="CN713" s="26"/>
      <c r="CO713" s="26"/>
    </row>
    <row r="714" spans="17:93" ht="12.75" hidden="1" customHeight="1" x14ac:dyDescent="0.25">
      <c r="Q714" s="6"/>
      <c r="R714" s="6"/>
      <c r="S714" s="6"/>
      <c r="T714" s="6"/>
      <c r="U714" s="6"/>
      <c r="V714" s="6"/>
      <c r="W714" s="6"/>
      <c r="X714" s="6"/>
      <c r="Y714" s="6"/>
      <c r="Z714" s="6"/>
      <c r="AA714" s="6"/>
      <c r="BF714" s="26"/>
      <c r="BG714" s="26"/>
      <c r="BH714" s="26"/>
      <c r="BI714" s="26"/>
      <c r="BJ714" s="26"/>
      <c r="BK714" s="26"/>
      <c r="BL714" s="26"/>
      <c r="BM714" s="26"/>
      <c r="BN714" s="26"/>
      <c r="BO714" s="26"/>
      <c r="BP714" s="26"/>
      <c r="BQ714" s="26"/>
      <c r="BR714" s="26"/>
      <c r="BS714" s="26"/>
      <c r="BT714" s="26"/>
      <c r="BU714" s="26"/>
      <c r="BV714" s="26"/>
      <c r="BW714" s="26"/>
      <c r="BX714" s="26"/>
      <c r="BY714" s="26"/>
      <c r="BZ714" s="26"/>
      <c r="CA714" s="26"/>
      <c r="CB714" s="26"/>
      <c r="CC714" s="26"/>
      <c r="CD714" s="26"/>
      <c r="CE714" s="26"/>
      <c r="CF714" s="26"/>
      <c r="CG714" s="26"/>
      <c r="CH714" s="26"/>
      <c r="CI714" s="26"/>
      <c r="CJ714" s="26"/>
      <c r="CK714" s="26"/>
      <c r="CL714" s="26"/>
      <c r="CM714" s="26"/>
      <c r="CN714" s="26"/>
      <c r="CO714" s="26"/>
    </row>
    <row r="715" spans="17:93" ht="12.75" hidden="1" customHeight="1" x14ac:dyDescent="0.25">
      <c r="Q715" s="6"/>
      <c r="R715" s="6"/>
      <c r="S715" s="6"/>
      <c r="T715" s="6"/>
      <c r="U715" s="6"/>
      <c r="V715" s="6"/>
      <c r="W715" s="6"/>
      <c r="X715" s="6"/>
      <c r="Y715" s="6"/>
      <c r="Z715" s="6"/>
      <c r="AA715" s="6"/>
      <c r="BF715" s="26"/>
      <c r="BG715" s="26"/>
      <c r="BH715" s="26"/>
      <c r="BI715" s="26"/>
      <c r="BJ715" s="26"/>
      <c r="BK715" s="26"/>
      <c r="BL715" s="26"/>
      <c r="BM715" s="26"/>
      <c r="BN715" s="26"/>
      <c r="BO715" s="26"/>
      <c r="BP715" s="26"/>
      <c r="BQ715" s="26"/>
      <c r="BR715" s="26"/>
      <c r="BS715" s="26"/>
      <c r="BT715" s="26"/>
      <c r="BU715" s="26"/>
      <c r="BV715" s="26"/>
      <c r="BW715" s="26"/>
      <c r="BX715" s="26"/>
      <c r="BY715" s="26"/>
      <c r="BZ715" s="26"/>
      <c r="CA715" s="26"/>
      <c r="CB715" s="26"/>
      <c r="CC715" s="26"/>
      <c r="CD715" s="26"/>
      <c r="CE715" s="26"/>
      <c r="CF715" s="26"/>
      <c r="CG715" s="26"/>
      <c r="CH715" s="26"/>
      <c r="CI715" s="26"/>
      <c r="CJ715" s="26"/>
      <c r="CK715" s="26"/>
      <c r="CL715" s="26"/>
      <c r="CM715" s="26"/>
      <c r="CN715" s="26"/>
      <c r="CO715" s="26"/>
    </row>
    <row r="716" spans="17:93" ht="12.75" hidden="1" customHeight="1" x14ac:dyDescent="0.25">
      <c r="Q716" s="6"/>
      <c r="R716" s="6"/>
      <c r="S716" s="6"/>
      <c r="T716" s="6"/>
      <c r="U716" s="6"/>
      <c r="V716" s="6"/>
      <c r="W716" s="6"/>
      <c r="X716" s="6"/>
      <c r="Y716" s="6"/>
      <c r="Z716" s="6"/>
      <c r="AA716" s="6"/>
      <c r="BF716" s="26"/>
      <c r="BG716" s="26"/>
      <c r="BH716" s="26"/>
      <c r="BI716" s="26"/>
      <c r="BJ716" s="26"/>
      <c r="BK716" s="26"/>
      <c r="BL716" s="26"/>
      <c r="BM716" s="26"/>
      <c r="BN716" s="26"/>
      <c r="BO716" s="26"/>
      <c r="BP716" s="26"/>
      <c r="BQ716" s="26"/>
      <c r="BR716" s="26"/>
      <c r="BS716" s="26"/>
      <c r="BT716" s="26"/>
      <c r="BU716" s="26"/>
      <c r="BV716" s="26"/>
      <c r="BW716" s="26"/>
      <c r="BX716" s="26"/>
      <c r="BY716" s="26"/>
      <c r="BZ716" s="26"/>
      <c r="CA716" s="26"/>
      <c r="CB716" s="26"/>
      <c r="CC716" s="26"/>
      <c r="CD716" s="26"/>
      <c r="CE716" s="26"/>
      <c r="CF716" s="26"/>
      <c r="CG716" s="26"/>
      <c r="CH716" s="26"/>
      <c r="CI716" s="26"/>
      <c r="CJ716" s="26"/>
      <c r="CK716" s="26"/>
      <c r="CL716" s="26"/>
      <c r="CM716" s="26"/>
      <c r="CN716" s="26"/>
      <c r="CO716" s="26"/>
    </row>
    <row r="717" spans="17:93" ht="12.75" hidden="1" customHeight="1" x14ac:dyDescent="0.25">
      <c r="Q717" s="6"/>
      <c r="R717" s="6"/>
      <c r="S717" s="6"/>
      <c r="T717" s="6"/>
      <c r="U717" s="6"/>
      <c r="V717" s="6"/>
      <c r="W717" s="6"/>
      <c r="X717" s="6"/>
      <c r="Y717" s="6"/>
      <c r="Z717" s="6"/>
      <c r="AA717" s="6"/>
      <c r="BF717" s="26"/>
      <c r="BG717" s="26"/>
      <c r="BH717" s="26"/>
      <c r="BI717" s="26"/>
      <c r="BJ717" s="26"/>
      <c r="BK717" s="26"/>
      <c r="BL717" s="26"/>
      <c r="BM717" s="26"/>
      <c r="BN717" s="26"/>
      <c r="BO717" s="26"/>
      <c r="BP717" s="26"/>
      <c r="BQ717" s="26"/>
      <c r="BR717" s="26"/>
      <c r="BS717" s="26"/>
      <c r="BT717" s="26"/>
      <c r="BU717" s="26"/>
      <c r="BV717" s="26"/>
      <c r="BW717" s="26"/>
      <c r="BX717" s="26"/>
      <c r="BY717" s="26"/>
      <c r="BZ717" s="26"/>
      <c r="CA717" s="26"/>
      <c r="CB717" s="26"/>
      <c r="CC717" s="26"/>
      <c r="CD717" s="26"/>
      <c r="CE717" s="26"/>
      <c r="CF717" s="26"/>
      <c r="CG717" s="26"/>
      <c r="CH717" s="26"/>
      <c r="CI717" s="26"/>
      <c r="CJ717" s="26"/>
      <c r="CK717" s="26"/>
      <c r="CL717" s="26"/>
      <c r="CM717" s="26"/>
      <c r="CN717" s="26"/>
      <c r="CO717" s="26"/>
    </row>
    <row r="718" spans="17:93" ht="12.75" hidden="1" customHeight="1" x14ac:dyDescent="0.25">
      <c r="Q718" s="6"/>
      <c r="R718" s="6"/>
      <c r="S718" s="6"/>
      <c r="T718" s="6"/>
      <c r="U718" s="6"/>
      <c r="V718" s="6"/>
      <c r="W718" s="6"/>
      <c r="X718" s="6"/>
      <c r="Y718" s="6"/>
      <c r="Z718" s="6"/>
      <c r="AA718" s="6"/>
      <c r="BF718" s="26"/>
      <c r="BG718" s="26"/>
      <c r="BH718" s="26"/>
      <c r="BI718" s="26"/>
      <c r="BJ718" s="26"/>
      <c r="BK718" s="26"/>
      <c r="BL718" s="26"/>
      <c r="BM718" s="26"/>
      <c r="BN718" s="26"/>
      <c r="BO718" s="26"/>
      <c r="BP718" s="26"/>
      <c r="BQ718" s="26"/>
      <c r="BR718" s="26"/>
      <c r="BS718" s="26"/>
      <c r="BT718" s="26"/>
      <c r="BU718" s="26"/>
      <c r="BV718" s="26"/>
      <c r="BW718" s="26"/>
      <c r="BX718" s="26"/>
      <c r="BY718" s="26"/>
      <c r="BZ718" s="26"/>
      <c r="CA718" s="26"/>
      <c r="CB718" s="26"/>
      <c r="CC718" s="26"/>
      <c r="CD718" s="26"/>
      <c r="CE718" s="26"/>
      <c r="CF718" s="26"/>
      <c r="CG718" s="26"/>
      <c r="CH718" s="26"/>
      <c r="CI718" s="26"/>
      <c r="CJ718" s="26"/>
      <c r="CK718" s="26"/>
      <c r="CL718" s="26"/>
      <c r="CM718" s="26"/>
      <c r="CN718" s="26"/>
      <c r="CO718" s="26"/>
    </row>
    <row r="719" spans="17:93" ht="12.75" hidden="1" customHeight="1" x14ac:dyDescent="0.25">
      <c r="Q719" s="6"/>
      <c r="R719" s="6"/>
      <c r="S719" s="6"/>
      <c r="T719" s="6"/>
      <c r="U719" s="6"/>
      <c r="V719" s="6"/>
      <c r="W719" s="6"/>
      <c r="X719" s="6"/>
      <c r="Y719" s="6"/>
      <c r="Z719" s="6"/>
      <c r="AA719" s="6"/>
      <c r="BF719" s="26"/>
      <c r="BG719" s="26"/>
      <c r="BH719" s="26"/>
      <c r="BI719" s="26"/>
      <c r="BJ719" s="26"/>
      <c r="BK719" s="26"/>
      <c r="BL719" s="26"/>
      <c r="BM719" s="26"/>
      <c r="BN719" s="26"/>
      <c r="BO719" s="26"/>
      <c r="BP719" s="26"/>
      <c r="BQ719" s="26"/>
      <c r="BR719" s="26"/>
      <c r="BS719" s="26"/>
      <c r="BT719" s="26"/>
      <c r="BU719" s="26"/>
      <c r="BV719" s="26"/>
      <c r="BW719" s="26"/>
      <c r="BX719" s="26"/>
      <c r="BY719" s="26"/>
      <c r="BZ719" s="26"/>
      <c r="CA719" s="26"/>
      <c r="CB719" s="26"/>
      <c r="CC719" s="26"/>
      <c r="CD719" s="26"/>
      <c r="CE719" s="26"/>
      <c r="CF719" s="26"/>
      <c r="CG719" s="26"/>
      <c r="CH719" s="26"/>
      <c r="CI719" s="26"/>
      <c r="CJ719" s="26"/>
      <c r="CK719" s="26"/>
      <c r="CL719" s="26"/>
      <c r="CM719" s="26"/>
      <c r="CN719" s="26"/>
      <c r="CO719" s="26"/>
    </row>
    <row r="720" spans="17:93" ht="12.75" hidden="1" customHeight="1" x14ac:dyDescent="0.25">
      <c r="Q720" s="6"/>
      <c r="R720" s="6"/>
      <c r="S720" s="6"/>
      <c r="T720" s="6"/>
      <c r="U720" s="6"/>
      <c r="V720" s="6"/>
      <c r="W720" s="6"/>
      <c r="X720" s="6"/>
      <c r="Y720" s="6"/>
      <c r="Z720" s="6"/>
      <c r="AA720" s="6"/>
      <c r="BF720" s="26"/>
      <c r="BG720" s="26"/>
      <c r="BH720" s="26"/>
      <c r="BI720" s="26"/>
      <c r="BJ720" s="26"/>
      <c r="BK720" s="26"/>
      <c r="BL720" s="26"/>
      <c r="BM720" s="26"/>
      <c r="BN720" s="26"/>
      <c r="BO720" s="26"/>
      <c r="BP720" s="26"/>
      <c r="BQ720" s="26"/>
      <c r="BR720" s="26"/>
      <c r="BS720" s="26"/>
      <c r="BT720" s="26"/>
      <c r="BU720" s="26"/>
      <c r="BV720" s="26"/>
      <c r="BW720" s="26"/>
      <c r="BX720" s="26"/>
      <c r="BY720" s="26"/>
      <c r="BZ720" s="26"/>
      <c r="CA720" s="26"/>
      <c r="CB720" s="26"/>
      <c r="CC720" s="26"/>
      <c r="CD720" s="26"/>
      <c r="CE720" s="26"/>
      <c r="CF720" s="26"/>
      <c r="CG720" s="26"/>
      <c r="CH720" s="26"/>
      <c r="CI720" s="26"/>
      <c r="CJ720" s="26"/>
      <c r="CK720" s="26"/>
      <c r="CL720" s="26"/>
      <c r="CM720" s="26"/>
      <c r="CN720" s="26"/>
      <c r="CO720" s="26"/>
    </row>
    <row r="721" spans="17:93" ht="12.75" hidden="1" customHeight="1" x14ac:dyDescent="0.25">
      <c r="Q721" s="6"/>
      <c r="R721" s="6"/>
      <c r="S721" s="6"/>
      <c r="T721" s="6"/>
      <c r="U721" s="6"/>
      <c r="V721" s="6"/>
      <c r="W721" s="6"/>
      <c r="X721" s="6"/>
      <c r="Y721" s="6"/>
      <c r="Z721" s="6"/>
      <c r="AA721" s="6"/>
      <c r="BF721" s="26"/>
      <c r="BG721" s="26"/>
      <c r="BH721" s="26"/>
      <c r="BI721" s="26"/>
      <c r="BJ721" s="26"/>
      <c r="BK721" s="26"/>
      <c r="BL721" s="26"/>
      <c r="BM721" s="26"/>
      <c r="BN721" s="26"/>
      <c r="BO721" s="26"/>
      <c r="BP721" s="26"/>
      <c r="BQ721" s="26"/>
      <c r="BR721" s="26"/>
      <c r="BS721" s="26"/>
      <c r="BT721" s="26"/>
      <c r="BU721" s="26"/>
      <c r="BV721" s="26"/>
      <c r="BW721" s="26"/>
      <c r="BX721" s="26"/>
      <c r="BY721" s="26"/>
      <c r="BZ721" s="26"/>
      <c r="CA721" s="26"/>
      <c r="CB721" s="26"/>
      <c r="CC721" s="26"/>
      <c r="CD721" s="26"/>
      <c r="CE721" s="26"/>
      <c r="CF721" s="26"/>
      <c r="CG721" s="26"/>
      <c r="CH721" s="26"/>
      <c r="CI721" s="26"/>
      <c r="CJ721" s="26"/>
      <c r="CK721" s="26"/>
      <c r="CL721" s="26"/>
      <c r="CM721" s="26"/>
      <c r="CN721" s="26"/>
      <c r="CO721" s="26"/>
    </row>
    <row r="722" spans="17:93" ht="12.75" hidden="1" customHeight="1" x14ac:dyDescent="0.25">
      <c r="Q722" s="6"/>
      <c r="R722" s="6"/>
      <c r="S722" s="6"/>
      <c r="T722" s="6"/>
      <c r="U722" s="6"/>
      <c r="V722" s="6"/>
      <c r="W722" s="6"/>
      <c r="X722" s="6"/>
      <c r="Y722" s="6"/>
      <c r="Z722" s="6"/>
      <c r="AA722" s="6"/>
      <c r="BF722" s="26"/>
      <c r="BG722" s="26"/>
      <c r="BH722" s="26"/>
      <c r="BI722" s="26"/>
      <c r="BJ722" s="26"/>
      <c r="BK722" s="26"/>
      <c r="BL722" s="26"/>
      <c r="BM722" s="26"/>
      <c r="BN722" s="26"/>
      <c r="BO722" s="26"/>
      <c r="BP722" s="26"/>
      <c r="BQ722" s="26"/>
      <c r="BR722" s="26"/>
      <c r="BS722" s="26"/>
      <c r="BT722" s="26"/>
      <c r="BU722" s="26"/>
      <c r="BV722" s="26"/>
      <c r="BW722" s="26"/>
      <c r="BX722" s="26"/>
      <c r="BY722" s="26"/>
      <c r="BZ722" s="26"/>
      <c r="CA722" s="26"/>
      <c r="CB722" s="26"/>
      <c r="CC722" s="26"/>
      <c r="CD722" s="26"/>
      <c r="CE722" s="26"/>
      <c r="CF722" s="26"/>
      <c r="CG722" s="26"/>
      <c r="CH722" s="26"/>
      <c r="CI722" s="26"/>
      <c r="CJ722" s="26"/>
      <c r="CK722" s="26"/>
      <c r="CL722" s="26"/>
      <c r="CM722" s="26"/>
      <c r="CN722" s="26"/>
      <c r="CO722" s="26"/>
    </row>
    <row r="723" spans="17:93" ht="12.75" hidden="1" customHeight="1" x14ac:dyDescent="0.25">
      <c r="Q723" s="6"/>
      <c r="R723" s="6"/>
      <c r="S723" s="6"/>
      <c r="T723" s="6"/>
      <c r="U723" s="6"/>
      <c r="V723" s="6"/>
      <c r="W723" s="6"/>
      <c r="X723" s="6"/>
      <c r="Y723" s="6"/>
      <c r="Z723" s="6"/>
      <c r="AA723" s="6"/>
      <c r="BF723" s="26"/>
      <c r="BG723" s="26"/>
      <c r="BH723" s="26"/>
      <c r="BI723" s="26"/>
      <c r="BJ723" s="26"/>
      <c r="BK723" s="26"/>
      <c r="BL723" s="26"/>
      <c r="BM723" s="26"/>
      <c r="BN723" s="26"/>
      <c r="BO723" s="26"/>
      <c r="BP723" s="26"/>
      <c r="BQ723" s="26"/>
      <c r="BR723" s="26"/>
      <c r="BS723" s="26"/>
      <c r="BT723" s="26"/>
      <c r="BU723" s="26"/>
      <c r="BV723" s="26"/>
      <c r="BW723" s="26"/>
      <c r="BX723" s="26"/>
      <c r="BY723" s="26"/>
      <c r="BZ723" s="26"/>
      <c r="CA723" s="26"/>
      <c r="CB723" s="26"/>
      <c r="CC723" s="26"/>
      <c r="CD723" s="26"/>
      <c r="CE723" s="26"/>
      <c r="CF723" s="26"/>
      <c r="CG723" s="26"/>
      <c r="CH723" s="26"/>
      <c r="CI723" s="26"/>
      <c r="CJ723" s="26"/>
      <c r="CK723" s="26"/>
      <c r="CL723" s="26"/>
      <c r="CM723" s="26"/>
      <c r="CN723" s="26"/>
      <c r="CO723" s="26"/>
    </row>
    <row r="724" spans="17:93" ht="12.75" hidden="1" customHeight="1" x14ac:dyDescent="0.25">
      <c r="Q724" s="6"/>
      <c r="R724" s="6"/>
      <c r="S724" s="6"/>
      <c r="T724" s="6"/>
      <c r="U724" s="6"/>
      <c r="V724" s="6"/>
      <c r="W724" s="6"/>
      <c r="X724" s="6"/>
      <c r="Y724" s="6"/>
      <c r="Z724" s="6"/>
      <c r="AA724" s="6"/>
      <c r="BF724" s="26"/>
      <c r="BG724" s="26"/>
      <c r="BH724" s="26"/>
      <c r="BI724" s="26"/>
      <c r="BJ724" s="26"/>
      <c r="BK724" s="26"/>
      <c r="BL724" s="26"/>
      <c r="BM724" s="26"/>
      <c r="BN724" s="26"/>
      <c r="BO724" s="26"/>
      <c r="BP724" s="26"/>
      <c r="BQ724" s="26"/>
      <c r="BR724" s="26"/>
      <c r="BS724" s="26"/>
      <c r="BT724" s="26"/>
      <c r="BU724" s="26"/>
      <c r="BV724" s="26"/>
      <c r="BW724" s="26"/>
      <c r="BX724" s="26"/>
      <c r="BY724" s="26"/>
      <c r="BZ724" s="26"/>
      <c r="CA724" s="26"/>
      <c r="CB724" s="26"/>
      <c r="CC724" s="26"/>
      <c r="CD724" s="26"/>
      <c r="CE724" s="26"/>
      <c r="CF724" s="26"/>
      <c r="CG724" s="26"/>
      <c r="CH724" s="26"/>
      <c r="CI724" s="26"/>
      <c r="CJ724" s="26"/>
      <c r="CK724" s="26"/>
      <c r="CL724" s="26"/>
      <c r="CM724" s="26"/>
      <c r="CN724" s="26"/>
      <c r="CO724" s="26"/>
    </row>
    <row r="725" spans="17:93" ht="12.75" hidden="1" customHeight="1" x14ac:dyDescent="0.25">
      <c r="Q725" s="6"/>
      <c r="R725" s="6"/>
      <c r="S725" s="6"/>
      <c r="T725" s="6"/>
      <c r="U725" s="6"/>
      <c r="V725" s="6"/>
      <c r="W725" s="6"/>
      <c r="X725" s="6"/>
      <c r="Y725" s="6"/>
      <c r="Z725" s="6"/>
      <c r="AA725" s="6"/>
      <c r="BF725" s="26"/>
      <c r="BG725" s="26"/>
      <c r="BH725" s="26"/>
      <c r="BI725" s="26"/>
      <c r="BJ725" s="26"/>
      <c r="BK725" s="26"/>
      <c r="BL725" s="26"/>
      <c r="BM725" s="26"/>
      <c r="BN725" s="26"/>
      <c r="BO725" s="26"/>
      <c r="BP725" s="26"/>
      <c r="BQ725" s="26"/>
      <c r="BR725" s="26"/>
      <c r="BS725" s="26"/>
      <c r="BT725" s="26"/>
      <c r="BU725" s="26"/>
      <c r="BV725" s="26"/>
      <c r="BW725" s="26"/>
      <c r="BX725" s="26"/>
      <c r="BY725" s="26"/>
      <c r="BZ725" s="26"/>
      <c r="CA725" s="26"/>
      <c r="CB725" s="26"/>
      <c r="CC725" s="26"/>
      <c r="CD725" s="26"/>
      <c r="CE725" s="26"/>
      <c r="CF725" s="26"/>
      <c r="CG725" s="26"/>
      <c r="CH725" s="26"/>
      <c r="CI725" s="26"/>
      <c r="CJ725" s="26"/>
      <c r="CK725" s="26"/>
      <c r="CL725" s="26"/>
      <c r="CM725" s="26"/>
      <c r="CN725" s="26"/>
      <c r="CO725" s="26"/>
    </row>
    <row r="726" spans="17:93" ht="12.75" hidden="1" customHeight="1" x14ac:dyDescent="0.25">
      <c r="Q726" s="6"/>
      <c r="R726" s="6"/>
      <c r="S726" s="6"/>
      <c r="T726" s="6"/>
      <c r="U726" s="6"/>
      <c r="V726" s="6"/>
      <c r="W726" s="6"/>
      <c r="X726" s="6"/>
      <c r="Y726" s="6"/>
      <c r="Z726" s="6"/>
      <c r="AA726" s="6"/>
      <c r="BF726" s="26"/>
      <c r="BG726" s="26"/>
      <c r="BH726" s="26"/>
      <c r="BI726" s="26"/>
      <c r="BJ726" s="26"/>
      <c r="BK726" s="26"/>
      <c r="BL726" s="26"/>
      <c r="BM726" s="26"/>
      <c r="BN726" s="26"/>
      <c r="BO726" s="26"/>
      <c r="BP726" s="26"/>
      <c r="BQ726" s="26"/>
      <c r="BR726" s="26"/>
      <c r="BS726" s="26"/>
      <c r="BT726" s="26"/>
      <c r="BU726" s="26"/>
      <c r="BV726" s="26"/>
      <c r="BW726" s="26"/>
      <c r="BX726" s="26"/>
      <c r="BY726" s="26"/>
      <c r="BZ726" s="26"/>
      <c r="CA726" s="26"/>
      <c r="CB726" s="26"/>
      <c r="CC726" s="26"/>
      <c r="CD726" s="26"/>
      <c r="CE726" s="26"/>
      <c r="CF726" s="26"/>
      <c r="CG726" s="26"/>
      <c r="CH726" s="26"/>
      <c r="CI726" s="26"/>
      <c r="CJ726" s="26"/>
      <c r="CK726" s="26"/>
      <c r="CL726" s="26"/>
      <c r="CM726" s="26"/>
      <c r="CN726" s="26"/>
      <c r="CO726" s="26"/>
    </row>
    <row r="727" spans="17:93" ht="12.75" hidden="1" customHeight="1" x14ac:dyDescent="0.25">
      <c r="Q727" s="6"/>
      <c r="R727" s="6"/>
      <c r="S727" s="6"/>
      <c r="T727" s="6"/>
      <c r="U727" s="6"/>
      <c r="V727" s="6"/>
      <c r="W727" s="6"/>
      <c r="X727" s="6"/>
      <c r="Y727" s="6"/>
      <c r="Z727" s="6"/>
      <c r="AA727" s="6"/>
      <c r="BF727" s="26"/>
      <c r="BG727" s="26"/>
      <c r="BH727" s="26"/>
      <c r="BI727" s="26"/>
      <c r="BJ727" s="26"/>
      <c r="BK727" s="26"/>
      <c r="BL727" s="26"/>
      <c r="BM727" s="26"/>
      <c r="BN727" s="26"/>
      <c r="BO727" s="26"/>
      <c r="BP727" s="26"/>
      <c r="BQ727" s="26"/>
      <c r="BR727" s="26"/>
      <c r="BS727" s="26"/>
      <c r="BT727" s="26"/>
      <c r="BU727" s="26"/>
      <c r="BV727" s="26"/>
      <c r="BW727" s="26"/>
      <c r="BX727" s="26"/>
      <c r="BY727" s="26"/>
      <c r="BZ727" s="26"/>
      <c r="CA727" s="26"/>
      <c r="CB727" s="26"/>
      <c r="CC727" s="26"/>
      <c r="CD727" s="26"/>
      <c r="CE727" s="26"/>
      <c r="CF727" s="26"/>
      <c r="CG727" s="26"/>
      <c r="CH727" s="26"/>
      <c r="CI727" s="26"/>
      <c r="CJ727" s="26"/>
      <c r="CK727" s="26"/>
      <c r="CL727" s="26"/>
      <c r="CM727" s="26"/>
      <c r="CN727" s="26"/>
      <c r="CO727" s="26"/>
    </row>
    <row r="728" spans="17:93" ht="12.75" hidden="1" customHeight="1" x14ac:dyDescent="0.25">
      <c r="Q728" s="6"/>
      <c r="R728" s="6"/>
      <c r="S728" s="6"/>
      <c r="T728" s="6"/>
      <c r="U728" s="6"/>
      <c r="V728" s="6"/>
      <c r="W728" s="6"/>
      <c r="X728" s="6"/>
      <c r="Y728" s="6"/>
      <c r="Z728" s="6"/>
      <c r="AA728" s="6"/>
      <c r="BF728" s="26"/>
      <c r="BG728" s="26"/>
      <c r="BH728" s="26"/>
      <c r="BI728" s="26"/>
      <c r="BJ728" s="26"/>
      <c r="BK728" s="26"/>
      <c r="BL728" s="26"/>
      <c r="BM728" s="26"/>
      <c r="BN728" s="26"/>
      <c r="BO728" s="26"/>
      <c r="BP728" s="26"/>
      <c r="BQ728" s="26"/>
      <c r="BR728" s="26"/>
      <c r="BS728" s="26"/>
      <c r="BT728" s="26"/>
      <c r="BU728" s="26"/>
      <c r="BV728" s="26"/>
      <c r="BW728" s="26"/>
      <c r="BX728" s="26"/>
      <c r="BY728" s="26"/>
      <c r="BZ728" s="26"/>
      <c r="CA728" s="26"/>
      <c r="CB728" s="26"/>
      <c r="CC728" s="26"/>
      <c r="CD728" s="26"/>
      <c r="CE728" s="26"/>
      <c r="CF728" s="26"/>
      <c r="CG728" s="26"/>
      <c r="CH728" s="26"/>
      <c r="CI728" s="26"/>
      <c r="CJ728" s="26"/>
      <c r="CK728" s="26"/>
      <c r="CL728" s="26"/>
      <c r="CM728" s="26"/>
      <c r="CN728" s="26"/>
      <c r="CO728" s="26"/>
    </row>
    <row r="729" spans="17:93" ht="12.75" hidden="1" customHeight="1" x14ac:dyDescent="0.25">
      <c r="Q729" s="6"/>
      <c r="R729" s="6"/>
      <c r="S729" s="6"/>
      <c r="T729" s="6"/>
      <c r="U729" s="6"/>
      <c r="V729" s="6"/>
      <c r="W729" s="6"/>
      <c r="X729" s="6"/>
      <c r="Y729" s="6"/>
      <c r="Z729" s="6"/>
      <c r="AA729" s="6"/>
      <c r="BF729" s="26"/>
      <c r="BG729" s="26"/>
      <c r="BH729" s="26"/>
      <c r="BI729" s="26"/>
      <c r="BJ729" s="26"/>
      <c r="BK729" s="26"/>
      <c r="BL729" s="26"/>
      <c r="BM729" s="26"/>
      <c r="BN729" s="26"/>
      <c r="BO729" s="26"/>
      <c r="BP729" s="26"/>
      <c r="BQ729" s="26"/>
      <c r="BR729" s="26"/>
      <c r="BS729" s="26"/>
      <c r="BT729" s="26"/>
      <c r="BU729" s="26"/>
      <c r="BV729" s="26"/>
      <c r="BW729" s="26"/>
      <c r="BX729" s="26"/>
      <c r="BY729" s="26"/>
      <c r="BZ729" s="26"/>
      <c r="CA729" s="26"/>
      <c r="CB729" s="26"/>
      <c r="CC729" s="26"/>
      <c r="CD729" s="26"/>
      <c r="CE729" s="26"/>
      <c r="CF729" s="26"/>
      <c r="CG729" s="26"/>
      <c r="CH729" s="26"/>
      <c r="CI729" s="26"/>
      <c r="CJ729" s="26"/>
      <c r="CK729" s="26"/>
      <c r="CL729" s="26"/>
      <c r="CM729" s="26"/>
      <c r="CN729" s="26"/>
      <c r="CO729" s="26"/>
    </row>
    <row r="730" spans="17:93" ht="12.75" hidden="1" customHeight="1" x14ac:dyDescent="0.25">
      <c r="Q730" s="6"/>
      <c r="R730" s="6"/>
      <c r="S730" s="6"/>
      <c r="T730" s="6"/>
      <c r="U730" s="6"/>
      <c r="V730" s="6"/>
      <c r="W730" s="6"/>
      <c r="X730" s="6"/>
      <c r="Y730" s="6"/>
      <c r="Z730" s="6"/>
      <c r="AA730" s="6"/>
      <c r="BF730" s="26"/>
      <c r="BG730" s="26"/>
      <c r="BH730" s="26"/>
      <c r="BI730" s="26"/>
      <c r="BJ730" s="26"/>
      <c r="BK730" s="26"/>
      <c r="BL730" s="26"/>
      <c r="BM730" s="26"/>
      <c r="BN730" s="26"/>
      <c r="BO730" s="26"/>
      <c r="BP730" s="26"/>
      <c r="BQ730" s="26"/>
      <c r="BR730" s="26"/>
      <c r="BS730" s="26"/>
      <c r="BT730" s="26"/>
      <c r="BU730" s="26"/>
      <c r="BV730" s="26"/>
      <c r="BW730" s="26"/>
      <c r="BX730" s="26"/>
      <c r="BY730" s="26"/>
      <c r="BZ730" s="26"/>
      <c r="CA730" s="26"/>
      <c r="CB730" s="26"/>
      <c r="CC730" s="26"/>
      <c r="CD730" s="26"/>
      <c r="CE730" s="26"/>
      <c r="CF730" s="26"/>
      <c r="CG730" s="26"/>
      <c r="CH730" s="26"/>
      <c r="CI730" s="26"/>
      <c r="CJ730" s="26"/>
      <c r="CK730" s="26"/>
      <c r="CL730" s="26"/>
      <c r="CM730" s="26"/>
      <c r="CN730" s="26"/>
      <c r="CO730" s="26"/>
    </row>
    <row r="731" spans="17:93" ht="12.75" hidden="1" customHeight="1" x14ac:dyDescent="0.25">
      <c r="Q731" s="6"/>
      <c r="R731" s="6"/>
      <c r="S731" s="6"/>
      <c r="T731" s="6"/>
      <c r="U731" s="6"/>
      <c r="V731" s="6"/>
      <c r="W731" s="6"/>
      <c r="X731" s="6"/>
      <c r="Y731" s="6"/>
      <c r="Z731" s="6"/>
      <c r="AA731" s="6"/>
      <c r="BF731" s="26"/>
      <c r="BG731" s="26"/>
      <c r="BH731" s="26"/>
      <c r="BI731" s="26"/>
      <c r="BJ731" s="26"/>
      <c r="BK731" s="26"/>
      <c r="BL731" s="26"/>
      <c r="BM731" s="26"/>
      <c r="BN731" s="26"/>
      <c r="BO731" s="26"/>
      <c r="BP731" s="26"/>
      <c r="BQ731" s="26"/>
      <c r="BR731" s="26"/>
      <c r="BS731" s="26"/>
      <c r="BT731" s="26"/>
      <c r="BU731" s="26"/>
      <c r="BV731" s="26"/>
      <c r="BW731" s="26"/>
      <c r="BX731" s="26"/>
      <c r="BY731" s="26"/>
      <c r="BZ731" s="26"/>
      <c r="CA731" s="26"/>
      <c r="CB731" s="26"/>
      <c r="CC731" s="26"/>
      <c r="CD731" s="26"/>
      <c r="CE731" s="26"/>
      <c r="CF731" s="26"/>
      <c r="CG731" s="26"/>
      <c r="CH731" s="26"/>
      <c r="CI731" s="26"/>
      <c r="CJ731" s="26"/>
      <c r="CK731" s="26"/>
      <c r="CL731" s="26"/>
      <c r="CM731" s="26"/>
      <c r="CN731" s="26"/>
      <c r="CO731" s="26"/>
    </row>
    <row r="732" spans="17:93" ht="12.75" hidden="1" customHeight="1" x14ac:dyDescent="0.25">
      <c r="Q732" s="6"/>
      <c r="R732" s="6"/>
      <c r="S732" s="6"/>
      <c r="T732" s="6"/>
      <c r="U732" s="6"/>
      <c r="V732" s="6"/>
      <c r="W732" s="6"/>
      <c r="X732" s="6"/>
      <c r="Y732" s="6"/>
      <c r="Z732" s="6"/>
      <c r="AA732" s="6"/>
      <c r="BF732" s="26"/>
      <c r="BG732" s="26"/>
      <c r="BH732" s="26"/>
      <c r="BI732" s="26"/>
      <c r="BJ732" s="26"/>
      <c r="BK732" s="26"/>
      <c r="BL732" s="26"/>
      <c r="BM732" s="26"/>
      <c r="BN732" s="26"/>
      <c r="BO732" s="26"/>
      <c r="BP732" s="26"/>
      <c r="BQ732" s="26"/>
      <c r="BR732" s="26"/>
      <c r="BS732" s="26"/>
      <c r="BT732" s="26"/>
      <c r="BU732" s="26"/>
      <c r="BV732" s="26"/>
      <c r="BW732" s="26"/>
      <c r="BX732" s="26"/>
      <c r="BY732" s="26"/>
      <c r="BZ732" s="26"/>
      <c r="CA732" s="26"/>
      <c r="CB732" s="26"/>
      <c r="CC732" s="26"/>
      <c r="CD732" s="26"/>
      <c r="CE732" s="26"/>
      <c r="CF732" s="26"/>
      <c r="CG732" s="26"/>
      <c r="CH732" s="26"/>
      <c r="CI732" s="26"/>
      <c r="CJ732" s="26"/>
      <c r="CK732" s="26"/>
      <c r="CL732" s="26"/>
      <c r="CM732" s="26"/>
      <c r="CN732" s="26"/>
      <c r="CO732" s="26"/>
    </row>
    <row r="733" spans="17:93" ht="12.75" hidden="1" customHeight="1" x14ac:dyDescent="0.25">
      <c r="Q733" s="6"/>
      <c r="R733" s="6"/>
      <c r="S733" s="6"/>
      <c r="T733" s="6"/>
      <c r="U733" s="6"/>
      <c r="V733" s="6"/>
      <c r="W733" s="6"/>
      <c r="X733" s="6"/>
      <c r="Y733" s="6"/>
      <c r="Z733" s="6"/>
      <c r="AA733" s="6"/>
      <c r="BF733" s="26"/>
      <c r="BG733" s="26"/>
      <c r="BH733" s="26"/>
      <c r="BI733" s="26"/>
      <c r="BJ733" s="26"/>
      <c r="BK733" s="26"/>
      <c r="BL733" s="26"/>
      <c r="BM733" s="26"/>
      <c r="BN733" s="26"/>
      <c r="BO733" s="26"/>
      <c r="BP733" s="26"/>
      <c r="BQ733" s="26"/>
      <c r="BR733" s="26"/>
      <c r="BS733" s="26"/>
      <c r="BT733" s="26"/>
      <c r="BU733" s="26"/>
      <c r="BV733" s="26"/>
      <c r="BW733" s="26"/>
      <c r="BX733" s="26"/>
      <c r="BY733" s="26"/>
      <c r="BZ733" s="26"/>
      <c r="CA733" s="26"/>
      <c r="CB733" s="26"/>
      <c r="CC733" s="26"/>
      <c r="CD733" s="26"/>
      <c r="CE733" s="26"/>
      <c r="CF733" s="26"/>
      <c r="CG733" s="26"/>
      <c r="CH733" s="26"/>
      <c r="CI733" s="26"/>
      <c r="CJ733" s="26"/>
      <c r="CK733" s="26"/>
      <c r="CL733" s="26"/>
      <c r="CM733" s="26"/>
      <c r="CN733" s="26"/>
      <c r="CO733" s="26"/>
    </row>
    <row r="734" spans="17:93" ht="12.75" hidden="1" customHeight="1" x14ac:dyDescent="0.25">
      <c r="Q734" s="6"/>
      <c r="R734" s="6"/>
      <c r="S734" s="6"/>
      <c r="T734" s="6"/>
      <c r="U734" s="6"/>
      <c r="V734" s="6"/>
      <c r="W734" s="6"/>
      <c r="X734" s="6"/>
      <c r="Y734" s="6"/>
      <c r="Z734" s="6"/>
      <c r="AA734" s="6"/>
      <c r="BF734" s="26"/>
      <c r="BG734" s="26"/>
      <c r="BH734" s="26"/>
      <c r="BI734" s="26"/>
      <c r="BJ734" s="26"/>
      <c r="BK734" s="26"/>
      <c r="BL734" s="26"/>
      <c r="BM734" s="26"/>
      <c r="BN734" s="26"/>
      <c r="BO734" s="26"/>
      <c r="BP734" s="26"/>
      <c r="BQ734" s="26"/>
      <c r="BR734" s="26"/>
      <c r="BS734" s="26"/>
      <c r="BT734" s="26"/>
      <c r="BU734" s="26"/>
      <c r="BV734" s="26"/>
      <c r="BW734" s="26"/>
      <c r="BX734" s="26"/>
      <c r="BY734" s="26"/>
      <c r="BZ734" s="26"/>
      <c r="CA734" s="26"/>
      <c r="CB734" s="26"/>
      <c r="CC734" s="26"/>
      <c r="CD734" s="26"/>
      <c r="CE734" s="26"/>
      <c r="CF734" s="26"/>
      <c r="CG734" s="26"/>
      <c r="CH734" s="26"/>
      <c r="CI734" s="26"/>
      <c r="CJ734" s="26"/>
      <c r="CK734" s="26"/>
      <c r="CL734" s="26"/>
      <c r="CM734" s="26"/>
      <c r="CN734" s="26"/>
      <c r="CO734" s="26"/>
    </row>
    <row r="735" spans="17:93" ht="12.75" hidden="1" customHeight="1" x14ac:dyDescent="0.25">
      <c r="Q735" s="6"/>
      <c r="R735" s="6"/>
      <c r="S735" s="6"/>
      <c r="T735" s="6"/>
      <c r="U735" s="6"/>
      <c r="V735" s="6"/>
      <c r="W735" s="6"/>
      <c r="X735" s="6"/>
      <c r="Y735" s="6"/>
      <c r="Z735" s="6"/>
      <c r="AA735" s="6"/>
      <c r="BF735" s="26"/>
      <c r="BG735" s="26"/>
      <c r="BH735" s="26"/>
      <c r="BI735" s="26"/>
      <c r="BJ735" s="26"/>
      <c r="BK735" s="26"/>
      <c r="BL735" s="26"/>
      <c r="BM735" s="26"/>
      <c r="BN735" s="26"/>
      <c r="BO735" s="26"/>
      <c r="BP735" s="26"/>
      <c r="BQ735" s="26"/>
      <c r="BR735" s="26"/>
      <c r="BS735" s="26"/>
      <c r="BT735" s="26"/>
      <c r="BU735" s="26"/>
      <c r="BV735" s="26"/>
      <c r="BW735" s="26"/>
      <c r="BX735" s="26"/>
      <c r="BY735" s="26"/>
      <c r="BZ735" s="26"/>
      <c r="CA735" s="26"/>
      <c r="CB735" s="26"/>
      <c r="CC735" s="26"/>
      <c r="CD735" s="26"/>
      <c r="CE735" s="26"/>
      <c r="CF735" s="26"/>
      <c r="CG735" s="26"/>
      <c r="CH735" s="26"/>
      <c r="CI735" s="26"/>
      <c r="CJ735" s="26"/>
      <c r="CK735" s="26"/>
      <c r="CL735" s="26"/>
      <c r="CM735" s="26"/>
      <c r="CN735" s="26"/>
      <c r="CO735" s="26"/>
    </row>
    <row r="736" spans="17:93" ht="12.75" hidden="1" customHeight="1" x14ac:dyDescent="0.25">
      <c r="Q736" s="6"/>
      <c r="R736" s="6"/>
      <c r="S736" s="6"/>
      <c r="T736" s="6"/>
      <c r="U736" s="6"/>
      <c r="V736" s="6"/>
      <c r="W736" s="6"/>
      <c r="X736" s="6"/>
      <c r="Y736" s="6"/>
      <c r="Z736" s="6"/>
      <c r="AA736" s="6"/>
      <c r="BF736" s="26"/>
      <c r="BG736" s="26"/>
      <c r="BH736" s="26"/>
      <c r="BI736" s="26"/>
      <c r="BJ736" s="26"/>
      <c r="BK736" s="26"/>
      <c r="BL736" s="26"/>
      <c r="BM736" s="26"/>
      <c r="BN736" s="26"/>
      <c r="BO736" s="26"/>
      <c r="BP736" s="26"/>
      <c r="BQ736" s="26"/>
      <c r="BR736" s="26"/>
      <c r="BS736" s="26"/>
      <c r="BT736" s="26"/>
      <c r="BU736" s="26"/>
      <c r="BV736" s="26"/>
      <c r="BW736" s="26"/>
      <c r="BX736" s="26"/>
      <c r="BY736" s="26"/>
      <c r="BZ736" s="26"/>
      <c r="CA736" s="26"/>
      <c r="CB736" s="26"/>
      <c r="CC736" s="26"/>
      <c r="CD736" s="26"/>
      <c r="CE736" s="26"/>
      <c r="CF736" s="26"/>
      <c r="CG736" s="26"/>
      <c r="CH736" s="26"/>
      <c r="CI736" s="26"/>
      <c r="CJ736" s="26"/>
      <c r="CK736" s="26"/>
      <c r="CL736" s="26"/>
      <c r="CM736" s="26"/>
      <c r="CN736" s="26"/>
      <c r="CO736" s="26"/>
    </row>
    <row r="737" spans="17:93" ht="12.75" hidden="1" customHeight="1" x14ac:dyDescent="0.25">
      <c r="Q737" s="6"/>
      <c r="R737" s="6"/>
      <c r="S737" s="6"/>
      <c r="T737" s="6"/>
      <c r="U737" s="6"/>
      <c r="V737" s="6"/>
      <c r="W737" s="6"/>
      <c r="X737" s="6"/>
      <c r="Y737" s="6"/>
      <c r="Z737" s="6"/>
      <c r="AA737" s="6"/>
      <c r="BF737" s="26"/>
      <c r="BG737" s="26"/>
      <c r="BH737" s="26"/>
      <c r="BI737" s="26"/>
      <c r="BJ737" s="26"/>
      <c r="BK737" s="26"/>
      <c r="BL737" s="26"/>
      <c r="BM737" s="26"/>
      <c r="BN737" s="26"/>
      <c r="BO737" s="26"/>
      <c r="BP737" s="26"/>
      <c r="BQ737" s="26"/>
      <c r="BR737" s="26"/>
      <c r="BS737" s="26"/>
      <c r="BT737" s="26"/>
      <c r="BU737" s="26"/>
      <c r="BV737" s="26"/>
      <c r="BW737" s="26"/>
      <c r="BX737" s="26"/>
      <c r="BY737" s="26"/>
      <c r="BZ737" s="26"/>
      <c r="CA737" s="26"/>
      <c r="CB737" s="26"/>
      <c r="CC737" s="26"/>
      <c r="CD737" s="26"/>
      <c r="CE737" s="26"/>
      <c r="CF737" s="26"/>
      <c r="CG737" s="26"/>
      <c r="CH737" s="26"/>
      <c r="CI737" s="26"/>
      <c r="CJ737" s="26"/>
      <c r="CK737" s="26"/>
      <c r="CL737" s="26"/>
      <c r="CM737" s="26"/>
      <c r="CN737" s="26"/>
      <c r="CO737" s="26"/>
    </row>
    <row r="738" spans="17:93" ht="12.75" hidden="1" customHeight="1" x14ac:dyDescent="0.25">
      <c r="Q738" s="6"/>
      <c r="R738" s="6"/>
      <c r="S738" s="6"/>
      <c r="T738" s="6"/>
      <c r="U738" s="6"/>
      <c r="V738" s="6"/>
      <c r="W738" s="6"/>
      <c r="X738" s="6"/>
      <c r="Y738" s="6"/>
      <c r="Z738" s="6"/>
      <c r="AA738" s="6"/>
      <c r="BF738" s="26"/>
      <c r="BG738" s="26"/>
      <c r="BH738" s="26"/>
      <c r="BI738" s="26"/>
      <c r="BJ738" s="26"/>
      <c r="BK738" s="26"/>
      <c r="BL738" s="26"/>
      <c r="BM738" s="26"/>
      <c r="BN738" s="26"/>
      <c r="BO738" s="26"/>
      <c r="BP738" s="26"/>
      <c r="BQ738" s="26"/>
      <c r="BR738" s="26"/>
      <c r="BS738" s="26"/>
      <c r="BT738" s="26"/>
      <c r="BU738" s="26"/>
      <c r="BV738" s="26"/>
      <c r="BW738" s="26"/>
      <c r="BX738" s="26"/>
      <c r="BY738" s="26"/>
      <c r="BZ738" s="26"/>
      <c r="CA738" s="26"/>
      <c r="CB738" s="26"/>
      <c r="CC738" s="26"/>
      <c r="CD738" s="26"/>
      <c r="CE738" s="26"/>
      <c r="CF738" s="26"/>
      <c r="CG738" s="26"/>
      <c r="CH738" s="26"/>
      <c r="CI738" s="26"/>
      <c r="CJ738" s="26"/>
      <c r="CK738" s="26"/>
      <c r="CL738" s="26"/>
      <c r="CM738" s="26"/>
      <c r="CN738" s="26"/>
      <c r="CO738" s="26"/>
    </row>
    <row r="739" spans="17:93" ht="12.75" hidden="1" customHeight="1" x14ac:dyDescent="0.25">
      <c r="Q739" s="6"/>
      <c r="R739" s="6"/>
      <c r="S739" s="6"/>
      <c r="T739" s="6"/>
      <c r="U739" s="6"/>
      <c r="V739" s="6"/>
      <c r="W739" s="6"/>
      <c r="X739" s="6"/>
      <c r="Y739" s="6"/>
      <c r="Z739" s="6"/>
      <c r="AA739" s="6"/>
      <c r="BF739" s="26"/>
      <c r="BG739" s="26"/>
      <c r="BH739" s="26"/>
      <c r="BI739" s="26"/>
      <c r="BJ739" s="26"/>
      <c r="BK739" s="26"/>
      <c r="BL739" s="26"/>
      <c r="BM739" s="26"/>
      <c r="BN739" s="26"/>
      <c r="BO739" s="26"/>
      <c r="BP739" s="26"/>
      <c r="BQ739" s="26"/>
      <c r="BR739" s="26"/>
      <c r="BS739" s="26"/>
      <c r="BT739" s="26"/>
      <c r="BU739" s="26"/>
      <c r="BV739" s="26"/>
      <c r="BW739" s="26"/>
      <c r="BX739" s="26"/>
      <c r="BY739" s="26"/>
      <c r="BZ739" s="26"/>
      <c r="CA739" s="26"/>
      <c r="CB739" s="26"/>
      <c r="CC739" s="26"/>
      <c r="CD739" s="26"/>
      <c r="CE739" s="26"/>
      <c r="CF739" s="26"/>
      <c r="CG739" s="26"/>
      <c r="CH739" s="26"/>
      <c r="CI739" s="26"/>
      <c r="CJ739" s="26"/>
      <c r="CK739" s="26"/>
      <c r="CL739" s="26"/>
      <c r="CM739" s="26"/>
      <c r="CN739" s="26"/>
      <c r="CO739" s="26"/>
    </row>
    <row r="740" spans="17:93" ht="12.75" hidden="1" customHeight="1" x14ac:dyDescent="0.25">
      <c r="Q740" s="6"/>
      <c r="R740" s="6"/>
      <c r="S740" s="6"/>
      <c r="T740" s="6"/>
      <c r="U740" s="6"/>
      <c r="V740" s="6"/>
      <c r="W740" s="6"/>
      <c r="X740" s="6"/>
      <c r="Y740" s="6"/>
      <c r="Z740" s="6"/>
      <c r="AA740" s="6"/>
      <c r="BF740" s="26"/>
      <c r="BG740" s="26"/>
      <c r="BH740" s="26"/>
      <c r="BI740" s="26"/>
      <c r="BJ740" s="26"/>
      <c r="BK740" s="26"/>
      <c r="BL740" s="26"/>
      <c r="BM740" s="26"/>
      <c r="BN740" s="26"/>
      <c r="BO740" s="26"/>
      <c r="BP740" s="26"/>
      <c r="BQ740" s="26"/>
      <c r="BR740" s="26"/>
      <c r="BS740" s="26"/>
      <c r="BT740" s="26"/>
      <c r="BU740" s="26"/>
      <c r="BV740" s="26"/>
      <c r="BW740" s="26"/>
      <c r="BX740" s="26"/>
      <c r="BY740" s="26"/>
      <c r="BZ740" s="26"/>
      <c r="CA740" s="26"/>
      <c r="CB740" s="26"/>
      <c r="CC740" s="26"/>
      <c r="CD740" s="26"/>
      <c r="CE740" s="26"/>
      <c r="CF740" s="26"/>
      <c r="CG740" s="26"/>
      <c r="CH740" s="26"/>
      <c r="CI740" s="26"/>
      <c r="CJ740" s="26"/>
      <c r="CK740" s="26"/>
      <c r="CL740" s="26"/>
      <c r="CM740" s="26"/>
      <c r="CN740" s="26"/>
      <c r="CO740" s="26"/>
    </row>
    <row r="741" spans="17:93" ht="12.75" hidden="1" customHeight="1" x14ac:dyDescent="0.25">
      <c r="Q741" s="6"/>
      <c r="R741" s="6"/>
      <c r="S741" s="6"/>
      <c r="T741" s="6"/>
      <c r="U741" s="6"/>
      <c r="V741" s="6"/>
      <c r="W741" s="6"/>
      <c r="X741" s="6"/>
      <c r="Y741" s="6"/>
      <c r="Z741" s="6"/>
      <c r="AA741" s="6"/>
      <c r="BF741" s="26"/>
      <c r="BG741" s="26"/>
      <c r="BH741" s="26"/>
      <c r="BI741" s="26"/>
      <c r="BJ741" s="26"/>
      <c r="BK741" s="26"/>
      <c r="BL741" s="26"/>
      <c r="BM741" s="26"/>
      <c r="BN741" s="26"/>
      <c r="BO741" s="26"/>
      <c r="BP741" s="26"/>
      <c r="BQ741" s="26"/>
      <c r="BR741" s="26"/>
      <c r="BS741" s="26"/>
      <c r="BT741" s="26"/>
      <c r="BU741" s="26"/>
      <c r="BV741" s="26"/>
      <c r="BW741" s="26"/>
      <c r="BX741" s="26"/>
      <c r="BY741" s="26"/>
      <c r="BZ741" s="26"/>
      <c r="CA741" s="26"/>
      <c r="CB741" s="26"/>
      <c r="CC741" s="26"/>
      <c r="CD741" s="26"/>
      <c r="CE741" s="26"/>
      <c r="CF741" s="26"/>
      <c r="CG741" s="26"/>
      <c r="CH741" s="26"/>
      <c r="CI741" s="26"/>
      <c r="CJ741" s="26"/>
      <c r="CK741" s="26"/>
      <c r="CL741" s="26"/>
      <c r="CM741" s="26"/>
      <c r="CN741" s="26"/>
      <c r="CO741" s="26"/>
    </row>
    <row r="742" spans="17:93" ht="12.75" hidden="1" customHeight="1" x14ac:dyDescent="0.25">
      <c r="Q742" s="6"/>
      <c r="R742" s="6"/>
      <c r="S742" s="6"/>
      <c r="T742" s="6"/>
      <c r="U742" s="6"/>
      <c r="V742" s="6"/>
      <c r="W742" s="6"/>
      <c r="X742" s="6"/>
      <c r="Y742" s="6"/>
      <c r="Z742" s="6"/>
      <c r="AA742" s="6"/>
      <c r="BF742" s="26"/>
      <c r="BG742" s="26"/>
      <c r="BH742" s="26"/>
      <c r="BI742" s="26"/>
      <c r="BJ742" s="26"/>
      <c r="BK742" s="26"/>
      <c r="BL742" s="26"/>
      <c r="BM742" s="26"/>
      <c r="BN742" s="26"/>
      <c r="BO742" s="26"/>
      <c r="BP742" s="26"/>
      <c r="BQ742" s="26"/>
      <c r="BR742" s="26"/>
      <c r="BS742" s="26"/>
      <c r="BT742" s="26"/>
      <c r="BU742" s="26"/>
      <c r="BV742" s="26"/>
      <c r="BW742" s="26"/>
      <c r="BX742" s="26"/>
      <c r="BY742" s="26"/>
      <c r="BZ742" s="26"/>
      <c r="CA742" s="26"/>
      <c r="CB742" s="26"/>
      <c r="CC742" s="26"/>
      <c r="CD742" s="26"/>
      <c r="CE742" s="26"/>
      <c r="CF742" s="26"/>
      <c r="CG742" s="26"/>
      <c r="CH742" s="26"/>
      <c r="CI742" s="26"/>
      <c r="CJ742" s="26"/>
      <c r="CK742" s="26"/>
      <c r="CL742" s="26"/>
      <c r="CM742" s="26"/>
      <c r="CN742" s="26"/>
      <c r="CO742" s="26"/>
    </row>
    <row r="743" spans="17:93" ht="12.75" hidden="1" customHeight="1" x14ac:dyDescent="0.25">
      <c r="Q743" s="6"/>
      <c r="R743" s="6"/>
      <c r="S743" s="6"/>
      <c r="T743" s="6"/>
      <c r="U743" s="6"/>
      <c r="V743" s="6"/>
      <c r="W743" s="6"/>
      <c r="X743" s="6"/>
      <c r="Y743" s="6"/>
      <c r="Z743" s="6"/>
      <c r="AA743" s="6"/>
      <c r="BF743" s="26"/>
      <c r="BG743" s="26"/>
      <c r="BH743" s="26"/>
      <c r="BI743" s="26"/>
      <c r="BJ743" s="26"/>
      <c r="BK743" s="26"/>
      <c r="BL743" s="26"/>
      <c r="BM743" s="26"/>
      <c r="BN743" s="26"/>
      <c r="BO743" s="26"/>
      <c r="BP743" s="26"/>
      <c r="BQ743" s="26"/>
      <c r="BR743" s="26"/>
      <c r="BS743" s="26"/>
      <c r="BT743" s="26"/>
      <c r="BU743" s="26"/>
      <c r="BV743" s="26"/>
      <c r="BW743" s="26"/>
      <c r="BX743" s="26"/>
      <c r="BY743" s="26"/>
      <c r="BZ743" s="26"/>
      <c r="CA743" s="26"/>
      <c r="CB743" s="26"/>
      <c r="CC743" s="26"/>
      <c r="CD743" s="26"/>
      <c r="CE743" s="26"/>
      <c r="CF743" s="26"/>
      <c r="CG743" s="26"/>
      <c r="CH743" s="26"/>
      <c r="CI743" s="26"/>
      <c r="CJ743" s="26"/>
      <c r="CK743" s="26"/>
      <c r="CL743" s="26"/>
      <c r="CM743" s="26"/>
      <c r="CN743" s="26"/>
      <c r="CO743" s="26"/>
    </row>
    <row r="744" spans="17:93" ht="12.75" hidden="1" customHeight="1" x14ac:dyDescent="0.25">
      <c r="Q744" s="6"/>
      <c r="R744" s="6"/>
      <c r="S744" s="6"/>
      <c r="T744" s="6"/>
      <c r="U744" s="6"/>
      <c r="V744" s="6"/>
      <c r="W744" s="6"/>
      <c r="X744" s="6"/>
      <c r="Y744" s="6"/>
      <c r="Z744" s="6"/>
      <c r="AA744" s="6"/>
      <c r="BF744" s="26"/>
      <c r="BG744" s="26"/>
      <c r="BH744" s="26"/>
      <c r="BI744" s="26"/>
      <c r="BJ744" s="26"/>
      <c r="BK744" s="26"/>
      <c r="BL744" s="26"/>
      <c r="BM744" s="26"/>
      <c r="BN744" s="26"/>
      <c r="BO744" s="26"/>
      <c r="BP744" s="26"/>
      <c r="BQ744" s="26"/>
      <c r="BR744" s="26"/>
      <c r="BS744" s="26"/>
      <c r="BT744" s="26"/>
      <c r="BU744" s="26"/>
      <c r="BV744" s="26"/>
      <c r="BW744" s="26"/>
      <c r="BX744" s="26"/>
      <c r="BY744" s="26"/>
      <c r="BZ744" s="26"/>
      <c r="CA744" s="26"/>
      <c r="CB744" s="26"/>
      <c r="CC744" s="26"/>
      <c r="CD744" s="26"/>
      <c r="CE744" s="26"/>
      <c r="CF744" s="26"/>
      <c r="CG744" s="26"/>
      <c r="CH744" s="26"/>
      <c r="CI744" s="26"/>
      <c r="CJ744" s="26"/>
      <c r="CK744" s="26"/>
      <c r="CL744" s="26"/>
      <c r="CM744" s="26"/>
      <c r="CN744" s="26"/>
      <c r="CO744" s="26"/>
    </row>
    <row r="745" spans="17:93" ht="12.75" hidden="1" customHeight="1" x14ac:dyDescent="0.25">
      <c r="Q745" s="6"/>
      <c r="R745" s="6"/>
      <c r="S745" s="6"/>
      <c r="T745" s="6"/>
      <c r="U745" s="6"/>
      <c r="V745" s="6"/>
      <c r="W745" s="6"/>
      <c r="X745" s="6"/>
      <c r="Y745" s="6"/>
      <c r="Z745" s="6"/>
      <c r="AA745" s="6"/>
      <c r="BF745" s="26"/>
      <c r="BG745" s="26"/>
      <c r="BH745" s="26"/>
      <c r="BI745" s="26"/>
      <c r="BJ745" s="26"/>
      <c r="BK745" s="26"/>
      <c r="BL745" s="26"/>
      <c r="BM745" s="26"/>
      <c r="BN745" s="26"/>
      <c r="BO745" s="26"/>
      <c r="BP745" s="26"/>
      <c r="BQ745" s="26"/>
      <c r="BR745" s="26"/>
      <c r="BS745" s="26"/>
      <c r="BT745" s="26"/>
      <c r="BU745" s="26"/>
      <c r="BV745" s="26"/>
      <c r="BW745" s="26"/>
      <c r="BX745" s="26"/>
      <c r="BY745" s="26"/>
      <c r="BZ745" s="26"/>
      <c r="CA745" s="26"/>
      <c r="CB745" s="26"/>
      <c r="CC745" s="26"/>
      <c r="CD745" s="26"/>
      <c r="CE745" s="26"/>
      <c r="CF745" s="26"/>
      <c r="CG745" s="26"/>
      <c r="CH745" s="26"/>
      <c r="CI745" s="26"/>
      <c r="CJ745" s="26"/>
      <c r="CK745" s="26"/>
      <c r="CL745" s="26"/>
      <c r="CM745" s="26"/>
      <c r="CN745" s="26"/>
      <c r="CO745" s="26"/>
    </row>
    <row r="746" spans="17:93" ht="12.75" hidden="1" customHeight="1" x14ac:dyDescent="0.25">
      <c r="Q746" s="6"/>
      <c r="R746" s="6"/>
      <c r="S746" s="6"/>
      <c r="T746" s="6"/>
      <c r="U746" s="6"/>
      <c r="V746" s="6"/>
      <c r="W746" s="6"/>
      <c r="X746" s="6"/>
      <c r="Y746" s="6"/>
      <c r="Z746" s="6"/>
      <c r="AA746" s="6"/>
      <c r="BF746" s="26"/>
      <c r="BG746" s="26"/>
      <c r="BH746" s="26"/>
      <c r="BI746" s="26"/>
      <c r="BJ746" s="26"/>
      <c r="BK746" s="26"/>
      <c r="BL746" s="26"/>
      <c r="BM746" s="26"/>
      <c r="BN746" s="26"/>
      <c r="BO746" s="26"/>
      <c r="BP746" s="26"/>
      <c r="BQ746" s="26"/>
      <c r="BR746" s="26"/>
      <c r="BS746" s="26"/>
      <c r="BT746" s="26"/>
      <c r="BU746" s="26"/>
      <c r="BV746" s="26"/>
      <c r="BW746" s="26"/>
      <c r="BX746" s="26"/>
      <c r="BY746" s="26"/>
      <c r="BZ746" s="26"/>
      <c r="CA746" s="26"/>
      <c r="CB746" s="26"/>
      <c r="CC746" s="26"/>
      <c r="CD746" s="26"/>
      <c r="CE746" s="26"/>
      <c r="CF746" s="26"/>
      <c r="CG746" s="26"/>
      <c r="CH746" s="26"/>
      <c r="CI746" s="26"/>
      <c r="CJ746" s="26"/>
      <c r="CK746" s="26"/>
      <c r="CL746" s="26"/>
      <c r="CM746" s="26"/>
      <c r="CN746" s="26"/>
      <c r="CO746" s="26"/>
    </row>
    <row r="747" spans="17:93" ht="12.75" hidden="1" customHeight="1" x14ac:dyDescent="0.25">
      <c r="Q747" s="6"/>
      <c r="R747" s="6"/>
      <c r="S747" s="6"/>
      <c r="T747" s="6"/>
      <c r="U747" s="6"/>
      <c r="V747" s="6"/>
      <c r="W747" s="6"/>
      <c r="X747" s="6"/>
      <c r="Y747" s="6"/>
      <c r="Z747" s="6"/>
      <c r="AA747" s="6"/>
      <c r="BF747" s="26"/>
      <c r="BG747" s="26"/>
      <c r="BH747" s="26"/>
      <c r="BI747" s="26"/>
      <c r="BJ747" s="26"/>
      <c r="BK747" s="26"/>
      <c r="BL747" s="26"/>
      <c r="BM747" s="26"/>
      <c r="BN747" s="26"/>
      <c r="BO747" s="26"/>
      <c r="BP747" s="26"/>
      <c r="BQ747" s="26"/>
      <c r="BR747" s="26"/>
      <c r="BS747" s="26"/>
      <c r="BT747" s="26"/>
      <c r="BU747" s="26"/>
      <c r="BV747" s="26"/>
      <c r="BW747" s="26"/>
      <c r="BX747" s="26"/>
      <c r="BY747" s="26"/>
      <c r="BZ747" s="26"/>
      <c r="CA747" s="26"/>
      <c r="CB747" s="26"/>
      <c r="CC747" s="26"/>
      <c r="CD747" s="26"/>
      <c r="CE747" s="26"/>
      <c r="CF747" s="26"/>
      <c r="CG747" s="26"/>
      <c r="CH747" s="26"/>
      <c r="CI747" s="26"/>
      <c r="CJ747" s="26"/>
      <c r="CK747" s="26"/>
      <c r="CL747" s="26"/>
      <c r="CM747" s="26"/>
      <c r="CN747" s="26"/>
      <c r="CO747" s="26"/>
    </row>
    <row r="748" spans="17:93" ht="12.75" hidden="1" customHeight="1" x14ac:dyDescent="0.25">
      <c r="Q748" s="6"/>
      <c r="R748" s="6"/>
      <c r="S748" s="6"/>
      <c r="T748" s="6"/>
      <c r="U748" s="6"/>
      <c r="V748" s="6"/>
      <c r="W748" s="6"/>
      <c r="X748" s="6"/>
      <c r="Y748" s="6"/>
      <c r="Z748" s="6"/>
      <c r="AA748" s="6"/>
      <c r="BF748" s="26"/>
      <c r="BG748" s="26"/>
      <c r="BH748" s="26"/>
      <c r="BI748" s="26"/>
      <c r="BJ748" s="26"/>
      <c r="BK748" s="26"/>
      <c r="BL748" s="26"/>
      <c r="BM748" s="26"/>
      <c r="BN748" s="26"/>
      <c r="BO748" s="26"/>
      <c r="BP748" s="26"/>
      <c r="BQ748" s="26"/>
      <c r="BR748" s="26"/>
      <c r="BS748" s="26"/>
      <c r="BT748" s="26"/>
      <c r="BU748" s="26"/>
      <c r="BV748" s="26"/>
      <c r="BW748" s="26"/>
      <c r="BX748" s="26"/>
      <c r="BY748" s="26"/>
      <c r="BZ748" s="26"/>
      <c r="CA748" s="26"/>
      <c r="CB748" s="26"/>
      <c r="CC748" s="26"/>
      <c r="CD748" s="26"/>
      <c r="CE748" s="26"/>
      <c r="CF748" s="26"/>
      <c r="CG748" s="26"/>
      <c r="CH748" s="26"/>
      <c r="CI748" s="26"/>
      <c r="CJ748" s="26"/>
      <c r="CK748" s="26"/>
      <c r="CL748" s="26"/>
      <c r="CM748" s="26"/>
      <c r="CN748" s="26"/>
      <c r="CO748" s="26"/>
    </row>
    <row r="749" spans="17:93" ht="12.75" hidden="1" customHeight="1" x14ac:dyDescent="0.25">
      <c r="Q749" s="6"/>
      <c r="R749" s="6"/>
      <c r="S749" s="6"/>
      <c r="T749" s="6"/>
      <c r="U749" s="6"/>
      <c r="V749" s="6"/>
      <c r="W749" s="6"/>
      <c r="X749" s="6"/>
      <c r="Y749" s="6"/>
      <c r="Z749" s="6"/>
      <c r="AA749" s="6"/>
      <c r="BF749" s="26"/>
      <c r="BG749" s="26"/>
      <c r="BH749" s="26"/>
      <c r="BI749" s="26"/>
      <c r="BJ749" s="26"/>
      <c r="BK749" s="26"/>
      <c r="BL749" s="26"/>
      <c r="BM749" s="26"/>
      <c r="BN749" s="26"/>
      <c r="BO749" s="26"/>
      <c r="BP749" s="26"/>
      <c r="BQ749" s="26"/>
      <c r="BR749" s="26"/>
      <c r="BS749" s="26"/>
      <c r="BT749" s="26"/>
      <c r="BU749" s="26"/>
      <c r="BV749" s="26"/>
      <c r="BW749" s="26"/>
      <c r="BX749" s="26"/>
      <c r="BY749" s="26"/>
      <c r="BZ749" s="26"/>
      <c r="CA749" s="26"/>
      <c r="CB749" s="26"/>
      <c r="CC749" s="26"/>
      <c r="CD749" s="26"/>
      <c r="CE749" s="26"/>
      <c r="CF749" s="26"/>
      <c r="CG749" s="26"/>
      <c r="CH749" s="26"/>
      <c r="CI749" s="26"/>
      <c r="CJ749" s="26"/>
      <c r="CK749" s="26"/>
      <c r="CL749" s="26"/>
      <c r="CM749" s="26"/>
      <c r="CN749" s="26"/>
      <c r="CO749" s="26"/>
    </row>
    <row r="750" spans="17:93" ht="12.75" hidden="1" customHeight="1" x14ac:dyDescent="0.25">
      <c r="Q750" s="6"/>
      <c r="R750" s="6"/>
      <c r="S750" s="6"/>
      <c r="T750" s="6"/>
      <c r="U750" s="6"/>
      <c r="V750" s="6"/>
      <c r="W750" s="6"/>
      <c r="X750" s="6"/>
      <c r="Y750" s="6"/>
      <c r="Z750" s="6"/>
      <c r="AA750" s="6"/>
      <c r="BF750" s="26"/>
      <c r="BG750" s="26"/>
      <c r="BH750" s="26"/>
      <c r="BI750" s="26"/>
      <c r="BJ750" s="26"/>
      <c r="BK750" s="26"/>
      <c r="BL750" s="26"/>
      <c r="BM750" s="26"/>
      <c r="BN750" s="26"/>
      <c r="BO750" s="26"/>
      <c r="BP750" s="26"/>
      <c r="BQ750" s="26"/>
      <c r="BR750" s="26"/>
      <c r="BS750" s="26"/>
      <c r="BT750" s="26"/>
      <c r="BU750" s="26"/>
      <c r="BV750" s="26"/>
      <c r="BW750" s="26"/>
      <c r="BX750" s="26"/>
      <c r="BY750" s="26"/>
      <c r="BZ750" s="26"/>
      <c r="CA750" s="26"/>
      <c r="CB750" s="26"/>
      <c r="CC750" s="26"/>
      <c r="CD750" s="26"/>
      <c r="CE750" s="26"/>
      <c r="CF750" s="26"/>
      <c r="CG750" s="26"/>
      <c r="CH750" s="26"/>
      <c r="CI750" s="26"/>
      <c r="CJ750" s="26"/>
      <c r="CK750" s="26"/>
      <c r="CL750" s="26"/>
      <c r="CM750" s="26"/>
      <c r="CN750" s="26"/>
      <c r="CO750" s="26"/>
    </row>
    <row r="751" spans="17:93" ht="12.75" hidden="1" customHeight="1" x14ac:dyDescent="0.25">
      <c r="Q751" s="6"/>
      <c r="R751" s="6"/>
      <c r="S751" s="6"/>
      <c r="T751" s="6"/>
      <c r="U751" s="6"/>
      <c r="V751" s="6"/>
      <c r="W751" s="6"/>
      <c r="X751" s="6"/>
      <c r="Y751" s="6"/>
      <c r="Z751" s="6"/>
      <c r="AA751" s="6"/>
      <c r="BF751" s="26"/>
      <c r="BG751" s="26"/>
      <c r="BH751" s="26"/>
      <c r="BI751" s="26"/>
      <c r="BJ751" s="26"/>
      <c r="BK751" s="26"/>
      <c r="BL751" s="26"/>
      <c r="BM751" s="26"/>
      <c r="BN751" s="26"/>
      <c r="BO751" s="26"/>
      <c r="BP751" s="26"/>
      <c r="BQ751" s="26"/>
      <c r="BR751" s="26"/>
      <c r="BS751" s="26"/>
      <c r="BT751" s="26"/>
      <c r="BU751" s="26"/>
      <c r="BV751" s="26"/>
      <c r="BW751" s="26"/>
      <c r="BX751" s="26"/>
      <c r="BY751" s="26"/>
      <c r="BZ751" s="26"/>
      <c r="CA751" s="26"/>
      <c r="CB751" s="26"/>
      <c r="CC751" s="26"/>
      <c r="CD751" s="26"/>
      <c r="CE751" s="26"/>
      <c r="CF751" s="26"/>
      <c r="CG751" s="26"/>
      <c r="CH751" s="26"/>
      <c r="CI751" s="26"/>
      <c r="CJ751" s="26"/>
      <c r="CK751" s="26"/>
      <c r="CL751" s="26"/>
      <c r="CM751" s="26"/>
      <c r="CN751" s="26"/>
      <c r="CO751" s="26"/>
    </row>
    <row r="752" spans="17:93" ht="12.75" hidden="1" customHeight="1" x14ac:dyDescent="0.25">
      <c r="Q752" s="6"/>
      <c r="R752" s="6"/>
      <c r="S752" s="6"/>
      <c r="T752" s="6"/>
      <c r="U752" s="6"/>
      <c r="V752" s="6"/>
      <c r="W752" s="6"/>
      <c r="X752" s="6"/>
      <c r="Y752" s="6"/>
      <c r="Z752" s="6"/>
      <c r="AA752" s="6"/>
      <c r="BF752" s="26"/>
      <c r="BG752" s="26"/>
      <c r="BH752" s="26"/>
      <c r="BI752" s="26"/>
      <c r="BJ752" s="26"/>
      <c r="BK752" s="26"/>
      <c r="BL752" s="26"/>
      <c r="BM752" s="26"/>
      <c r="BN752" s="26"/>
      <c r="BO752" s="26"/>
      <c r="BP752" s="26"/>
      <c r="BQ752" s="26"/>
      <c r="BR752" s="26"/>
      <c r="BS752" s="26"/>
      <c r="BT752" s="26"/>
      <c r="BU752" s="26"/>
      <c r="BV752" s="26"/>
      <c r="BW752" s="26"/>
      <c r="BX752" s="26"/>
      <c r="BY752" s="26"/>
      <c r="BZ752" s="26"/>
      <c r="CA752" s="26"/>
      <c r="CB752" s="26"/>
      <c r="CC752" s="26"/>
      <c r="CD752" s="26"/>
      <c r="CE752" s="26"/>
      <c r="CF752" s="26"/>
      <c r="CG752" s="26"/>
      <c r="CH752" s="26"/>
      <c r="CI752" s="26"/>
      <c r="CJ752" s="26"/>
      <c r="CK752" s="26"/>
      <c r="CL752" s="26"/>
      <c r="CM752" s="26"/>
      <c r="CN752" s="26"/>
      <c r="CO752" s="26"/>
    </row>
    <row r="753" spans="17:93" ht="12.75" hidden="1" customHeight="1" x14ac:dyDescent="0.25">
      <c r="Q753" s="6"/>
      <c r="R753" s="6"/>
      <c r="S753" s="6"/>
      <c r="T753" s="6"/>
      <c r="U753" s="6"/>
      <c r="V753" s="6"/>
      <c r="W753" s="6"/>
      <c r="X753" s="6"/>
      <c r="Y753" s="6"/>
      <c r="Z753" s="6"/>
      <c r="AA753" s="6"/>
      <c r="BF753" s="26"/>
      <c r="BG753" s="26"/>
      <c r="BH753" s="26"/>
      <c r="BI753" s="26"/>
      <c r="BJ753" s="26"/>
      <c r="BK753" s="26"/>
      <c r="BL753" s="26"/>
      <c r="BM753" s="26"/>
      <c r="BN753" s="26"/>
      <c r="BO753" s="26"/>
      <c r="BP753" s="26"/>
      <c r="BQ753" s="26"/>
      <c r="BR753" s="26"/>
      <c r="BS753" s="26"/>
      <c r="BT753" s="26"/>
      <c r="BU753" s="26"/>
      <c r="BV753" s="26"/>
      <c r="BW753" s="26"/>
      <c r="BX753" s="26"/>
      <c r="BY753" s="26"/>
      <c r="BZ753" s="26"/>
      <c r="CA753" s="26"/>
      <c r="CB753" s="26"/>
      <c r="CC753" s="26"/>
      <c r="CD753" s="26"/>
      <c r="CE753" s="26"/>
      <c r="CF753" s="26"/>
      <c r="CG753" s="26"/>
      <c r="CH753" s="26"/>
      <c r="CI753" s="26"/>
      <c r="CJ753" s="26"/>
      <c r="CK753" s="26"/>
      <c r="CL753" s="26"/>
      <c r="CM753" s="26"/>
      <c r="CN753" s="26"/>
      <c r="CO753" s="26"/>
    </row>
    <row r="754" spans="17:93" ht="12.75" hidden="1" customHeight="1" x14ac:dyDescent="0.25">
      <c r="Q754" s="6"/>
      <c r="R754" s="6"/>
      <c r="S754" s="6"/>
      <c r="T754" s="6"/>
      <c r="U754" s="6"/>
      <c r="V754" s="6"/>
      <c r="W754" s="6"/>
      <c r="X754" s="6"/>
      <c r="Y754" s="6"/>
      <c r="Z754" s="6"/>
      <c r="AA754" s="6"/>
      <c r="BF754" s="26"/>
      <c r="BG754" s="26"/>
      <c r="BH754" s="26"/>
      <c r="BI754" s="26"/>
      <c r="BJ754" s="26"/>
      <c r="BK754" s="26"/>
      <c r="BL754" s="26"/>
      <c r="BM754" s="26"/>
      <c r="BN754" s="26"/>
      <c r="BO754" s="26"/>
      <c r="BP754" s="26"/>
      <c r="BQ754" s="26"/>
      <c r="BR754" s="26"/>
      <c r="BS754" s="26"/>
      <c r="BT754" s="26"/>
      <c r="BU754" s="26"/>
      <c r="BV754" s="26"/>
      <c r="BW754" s="26"/>
      <c r="BX754" s="26"/>
      <c r="BY754" s="26"/>
      <c r="BZ754" s="26"/>
      <c r="CA754" s="26"/>
      <c r="CB754" s="26"/>
      <c r="CC754" s="26"/>
      <c r="CD754" s="26"/>
      <c r="CE754" s="26"/>
      <c r="CF754" s="26"/>
      <c r="CG754" s="26"/>
      <c r="CH754" s="26"/>
      <c r="CI754" s="26"/>
      <c r="CJ754" s="26"/>
      <c r="CK754" s="26"/>
      <c r="CL754" s="26"/>
      <c r="CM754" s="26"/>
      <c r="CN754" s="26"/>
      <c r="CO754" s="26"/>
    </row>
    <row r="755" spans="17:93" ht="12.75" hidden="1" customHeight="1" x14ac:dyDescent="0.25">
      <c r="Q755" s="6"/>
      <c r="R755" s="6"/>
      <c r="S755" s="6"/>
      <c r="T755" s="6"/>
      <c r="U755" s="6"/>
      <c r="V755" s="6"/>
      <c r="W755" s="6"/>
      <c r="X755" s="6"/>
      <c r="Y755" s="6"/>
      <c r="Z755" s="6"/>
      <c r="AA755" s="6"/>
      <c r="BF755" s="26"/>
      <c r="BG755" s="26"/>
      <c r="BH755" s="26"/>
      <c r="BI755" s="26"/>
      <c r="BJ755" s="26"/>
      <c r="BK755" s="26"/>
      <c r="BL755" s="26"/>
      <c r="BM755" s="26"/>
      <c r="BN755" s="26"/>
      <c r="BO755" s="26"/>
      <c r="BP755" s="26"/>
      <c r="BQ755" s="26"/>
      <c r="BR755" s="26"/>
      <c r="BS755" s="26"/>
      <c r="BT755" s="26"/>
      <c r="BU755" s="26"/>
      <c r="BV755" s="26"/>
      <c r="BW755" s="26"/>
      <c r="BX755" s="26"/>
      <c r="BY755" s="26"/>
      <c r="BZ755" s="26"/>
      <c r="CA755" s="26"/>
      <c r="CB755" s="26"/>
      <c r="CC755" s="26"/>
      <c r="CD755" s="26"/>
      <c r="CE755" s="26"/>
      <c r="CF755" s="26"/>
      <c r="CG755" s="26"/>
      <c r="CH755" s="26"/>
      <c r="CI755" s="26"/>
      <c r="CJ755" s="26"/>
      <c r="CK755" s="26"/>
      <c r="CL755" s="26"/>
      <c r="CM755" s="26"/>
      <c r="CN755" s="26"/>
      <c r="CO755" s="26"/>
    </row>
    <row r="756" spans="17:93" ht="12.75" hidden="1" customHeight="1" x14ac:dyDescent="0.25">
      <c r="Q756" s="6"/>
      <c r="R756" s="6"/>
      <c r="S756" s="6"/>
      <c r="T756" s="6"/>
      <c r="U756" s="6"/>
      <c r="V756" s="6"/>
      <c r="W756" s="6"/>
      <c r="X756" s="6"/>
      <c r="Y756" s="6"/>
      <c r="Z756" s="6"/>
      <c r="AA756" s="6"/>
      <c r="BF756" s="26"/>
      <c r="BG756" s="26"/>
      <c r="BH756" s="26"/>
      <c r="BI756" s="26"/>
      <c r="BJ756" s="26"/>
      <c r="BK756" s="26"/>
      <c r="BL756" s="26"/>
      <c r="BM756" s="26"/>
      <c r="BN756" s="26"/>
      <c r="BO756" s="26"/>
      <c r="BP756" s="26"/>
      <c r="BQ756" s="26"/>
      <c r="BR756" s="26"/>
      <c r="BS756" s="26"/>
      <c r="BT756" s="26"/>
      <c r="BU756" s="26"/>
      <c r="BV756" s="26"/>
      <c r="BW756" s="26"/>
      <c r="BX756" s="26"/>
      <c r="BY756" s="26"/>
      <c r="BZ756" s="26"/>
      <c r="CA756" s="26"/>
      <c r="CB756" s="26"/>
      <c r="CC756" s="26"/>
      <c r="CD756" s="26"/>
      <c r="CE756" s="26"/>
      <c r="CF756" s="26"/>
      <c r="CG756" s="26"/>
      <c r="CH756" s="26"/>
      <c r="CI756" s="26"/>
      <c r="CJ756" s="26"/>
      <c r="CK756" s="26"/>
      <c r="CL756" s="26"/>
      <c r="CM756" s="26"/>
      <c r="CN756" s="26"/>
      <c r="CO756" s="26"/>
    </row>
    <row r="757" spans="17:93" ht="12.75" hidden="1" customHeight="1" x14ac:dyDescent="0.25">
      <c r="Q757" s="6"/>
      <c r="R757" s="6"/>
      <c r="S757" s="6"/>
      <c r="T757" s="6"/>
      <c r="U757" s="6"/>
      <c r="V757" s="6"/>
      <c r="W757" s="6"/>
      <c r="X757" s="6"/>
      <c r="Y757" s="6"/>
      <c r="Z757" s="6"/>
      <c r="AA757" s="6"/>
      <c r="BF757" s="26"/>
      <c r="BG757" s="26"/>
      <c r="BH757" s="26"/>
      <c r="BI757" s="26"/>
      <c r="BJ757" s="26"/>
      <c r="BK757" s="26"/>
      <c r="BL757" s="26"/>
      <c r="BM757" s="26"/>
      <c r="BN757" s="26"/>
      <c r="BO757" s="26"/>
      <c r="BP757" s="26"/>
      <c r="BQ757" s="26"/>
      <c r="BR757" s="26"/>
      <c r="BS757" s="26"/>
      <c r="BT757" s="26"/>
      <c r="BU757" s="26"/>
      <c r="BV757" s="26"/>
      <c r="BW757" s="26"/>
      <c r="BX757" s="26"/>
      <c r="BY757" s="26"/>
      <c r="BZ757" s="26"/>
      <c r="CA757" s="26"/>
      <c r="CB757" s="26"/>
      <c r="CC757" s="26"/>
      <c r="CD757" s="26"/>
      <c r="CE757" s="26"/>
      <c r="CF757" s="26"/>
      <c r="CG757" s="26"/>
      <c r="CH757" s="26"/>
      <c r="CI757" s="26"/>
      <c r="CJ757" s="26"/>
      <c r="CK757" s="26"/>
      <c r="CL757" s="26"/>
      <c r="CM757" s="26"/>
      <c r="CN757" s="26"/>
      <c r="CO757" s="26"/>
    </row>
    <row r="758" spans="17:93" ht="12.75" hidden="1" customHeight="1" x14ac:dyDescent="0.25">
      <c r="Q758" s="6"/>
      <c r="R758" s="6"/>
      <c r="S758" s="6"/>
      <c r="T758" s="6"/>
      <c r="U758" s="6"/>
      <c r="V758" s="6"/>
      <c r="W758" s="6"/>
      <c r="X758" s="6"/>
      <c r="Y758" s="6"/>
      <c r="Z758" s="6"/>
      <c r="AA758" s="6"/>
      <c r="BF758" s="26"/>
      <c r="BG758" s="26"/>
      <c r="BH758" s="26"/>
      <c r="BI758" s="26"/>
      <c r="BJ758" s="26"/>
      <c r="BK758" s="26"/>
      <c r="BL758" s="26"/>
      <c r="BM758" s="26"/>
      <c r="BN758" s="26"/>
      <c r="BO758" s="26"/>
      <c r="BP758" s="26"/>
      <c r="BQ758" s="26"/>
      <c r="BR758" s="26"/>
      <c r="BS758" s="26"/>
      <c r="BT758" s="26"/>
      <c r="BU758" s="26"/>
      <c r="BV758" s="26"/>
      <c r="BW758" s="26"/>
      <c r="BX758" s="26"/>
      <c r="BY758" s="26"/>
      <c r="BZ758" s="26"/>
      <c r="CA758" s="26"/>
      <c r="CB758" s="26"/>
      <c r="CC758" s="26"/>
      <c r="CD758" s="26"/>
      <c r="CE758" s="26"/>
      <c r="CF758" s="26"/>
      <c r="CG758" s="26"/>
      <c r="CH758" s="26"/>
      <c r="CI758" s="26"/>
      <c r="CJ758" s="26"/>
      <c r="CK758" s="26"/>
      <c r="CL758" s="26"/>
      <c r="CM758" s="26"/>
      <c r="CN758" s="26"/>
      <c r="CO758" s="26"/>
    </row>
    <row r="759" spans="17:93" ht="12.75" hidden="1" customHeight="1" x14ac:dyDescent="0.25">
      <c r="Q759" s="6"/>
      <c r="R759" s="6"/>
      <c r="S759" s="6"/>
      <c r="T759" s="6"/>
      <c r="U759" s="6"/>
      <c r="V759" s="6"/>
      <c r="W759" s="6"/>
      <c r="X759" s="6"/>
      <c r="Y759" s="6"/>
      <c r="Z759" s="6"/>
      <c r="AA759" s="6"/>
      <c r="BF759" s="26"/>
      <c r="BG759" s="26"/>
      <c r="BH759" s="26"/>
      <c r="BI759" s="26"/>
      <c r="BJ759" s="26"/>
      <c r="BK759" s="26"/>
      <c r="BL759" s="26"/>
      <c r="BM759" s="26"/>
      <c r="BN759" s="26"/>
      <c r="BO759" s="26"/>
      <c r="BP759" s="26"/>
      <c r="BQ759" s="26"/>
      <c r="BR759" s="26"/>
      <c r="BS759" s="26"/>
      <c r="BT759" s="26"/>
      <c r="BU759" s="26"/>
      <c r="BV759" s="26"/>
      <c r="BW759" s="26"/>
      <c r="BX759" s="26"/>
      <c r="BY759" s="26"/>
      <c r="BZ759" s="26"/>
      <c r="CA759" s="26"/>
      <c r="CB759" s="26"/>
      <c r="CC759" s="26"/>
      <c r="CD759" s="26"/>
      <c r="CE759" s="26"/>
      <c r="CF759" s="26"/>
      <c r="CG759" s="26"/>
      <c r="CH759" s="26"/>
      <c r="CI759" s="26"/>
      <c r="CJ759" s="26"/>
      <c r="CK759" s="26"/>
      <c r="CL759" s="26"/>
      <c r="CM759" s="26"/>
      <c r="CN759" s="26"/>
      <c r="CO759" s="26"/>
    </row>
    <row r="760" spans="17:93" ht="12.75" hidden="1" customHeight="1" x14ac:dyDescent="0.25">
      <c r="Q760" s="6"/>
      <c r="R760" s="6"/>
      <c r="S760" s="6"/>
      <c r="T760" s="6"/>
      <c r="U760" s="6"/>
      <c r="V760" s="6"/>
      <c r="W760" s="6"/>
      <c r="X760" s="6"/>
      <c r="Y760" s="6"/>
      <c r="Z760" s="6"/>
      <c r="AA760" s="6"/>
      <c r="BF760" s="26"/>
      <c r="BG760" s="26"/>
      <c r="BH760" s="26"/>
      <c r="BI760" s="26"/>
      <c r="BJ760" s="26"/>
      <c r="BK760" s="26"/>
      <c r="BL760" s="26"/>
      <c r="BM760" s="26"/>
      <c r="BN760" s="26"/>
      <c r="BO760" s="26"/>
      <c r="BP760" s="26"/>
      <c r="BQ760" s="26"/>
      <c r="BR760" s="26"/>
      <c r="BS760" s="26"/>
      <c r="BT760" s="26"/>
      <c r="BU760" s="26"/>
      <c r="BV760" s="26"/>
      <c r="BW760" s="26"/>
      <c r="BX760" s="26"/>
      <c r="BY760" s="26"/>
      <c r="BZ760" s="26"/>
      <c r="CA760" s="26"/>
      <c r="CB760" s="26"/>
      <c r="CC760" s="26"/>
      <c r="CD760" s="26"/>
      <c r="CE760" s="26"/>
      <c r="CF760" s="26"/>
      <c r="CG760" s="26"/>
      <c r="CH760" s="26"/>
      <c r="CI760" s="26"/>
      <c r="CJ760" s="26"/>
      <c r="CK760" s="26"/>
      <c r="CL760" s="26"/>
      <c r="CM760" s="26"/>
      <c r="CN760" s="26"/>
      <c r="CO760" s="26"/>
    </row>
    <row r="761" spans="17:93" ht="12.75" hidden="1" customHeight="1" x14ac:dyDescent="0.25">
      <c r="Q761" s="6"/>
      <c r="R761" s="6"/>
      <c r="S761" s="6"/>
      <c r="T761" s="6"/>
      <c r="U761" s="6"/>
      <c r="V761" s="6"/>
      <c r="W761" s="6"/>
      <c r="X761" s="6"/>
      <c r="Y761" s="6"/>
      <c r="Z761" s="6"/>
      <c r="AA761" s="6"/>
      <c r="BF761" s="26"/>
      <c r="BG761" s="26"/>
      <c r="BH761" s="26"/>
      <c r="BI761" s="26"/>
      <c r="BJ761" s="26"/>
      <c r="BK761" s="26"/>
      <c r="BL761" s="26"/>
      <c r="BM761" s="26"/>
      <c r="BN761" s="26"/>
      <c r="BO761" s="26"/>
      <c r="BP761" s="26"/>
      <c r="BQ761" s="26"/>
      <c r="BR761" s="26"/>
      <c r="BS761" s="26"/>
      <c r="BT761" s="26"/>
      <c r="BU761" s="26"/>
      <c r="BV761" s="26"/>
      <c r="BW761" s="26"/>
      <c r="BX761" s="26"/>
      <c r="BY761" s="26"/>
      <c r="BZ761" s="26"/>
      <c r="CA761" s="26"/>
      <c r="CB761" s="26"/>
      <c r="CC761" s="26"/>
      <c r="CD761" s="26"/>
      <c r="CE761" s="26"/>
      <c r="CF761" s="26"/>
      <c r="CG761" s="26"/>
      <c r="CH761" s="26"/>
      <c r="CI761" s="26"/>
      <c r="CJ761" s="26"/>
      <c r="CK761" s="26"/>
      <c r="CL761" s="26"/>
      <c r="CM761" s="26"/>
      <c r="CN761" s="26"/>
      <c r="CO761" s="26"/>
    </row>
    <row r="762" spans="17:93" ht="12.75" hidden="1" customHeight="1" x14ac:dyDescent="0.25">
      <c r="Q762" s="6"/>
      <c r="R762" s="6"/>
      <c r="S762" s="6"/>
      <c r="T762" s="6"/>
      <c r="U762" s="6"/>
      <c r="V762" s="6"/>
      <c r="W762" s="6"/>
      <c r="X762" s="6"/>
      <c r="Y762" s="6"/>
      <c r="Z762" s="6"/>
      <c r="AA762" s="6"/>
      <c r="BF762" s="26"/>
      <c r="BG762" s="26"/>
      <c r="BH762" s="26"/>
      <c r="BI762" s="26"/>
      <c r="BJ762" s="26"/>
      <c r="BK762" s="26"/>
      <c r="BL762" s="26"/>
      <c r="BM762" s="26"/>
      <c r="BN762" s="26"/>
      <c r="BO762" s="26"/>
      <c r="BP762" s="26"/>
      <c r="BQ762" s="26"/>
      <c r="BR762" s="26"/>
      <c r="BS762" s="26"/>
      <c r="BT762" s="26"/>
      <c r="BU762" s="26"/>
      <c r="BV762" s="26"/>
      <c r="BW762" s="26"/>
      <c r="BX762" s="26"/>
      <c r="BY762" s="26"/>
      <c r="BZ762" s="26"/>
      <c r="CA762" s="26"/>
      <c r="CB762" s="26"/>
      <c r="CC762" s="26"/>
      <c r="CD762" s="26"/>
      <c r="CE762" s="26"/>
      <c r="CF762" s="26"/>
      <c r="CG762" s="26"/>
      <c r="CH762" s="26"/>
      <c r="CI762" s="26"/>
      <c r="CJ762" s="26"/>
      <c r="CK762" s="26"/>
      <c r="CL762" s="26"/>
      <c r="CM762" s="26"/>
      <c r="CN762" s="26"/>
      <c r="CO762" s="26"/>
    </row>
    <row r="763" spans="17:93" ht="12.75" hidden="1" customHeight="1" x14ac:dyDescent="0.25">
      <c r="Q763" s="6"/>
      <c r="R763" s="6"/>
      <c r="S763" s="6"/>
      <c r="T763" s="6"/>
      <c r="U763" s="6"/>
      <c r="V763" s="6"/>
      <c r="W763" s="6"/>
      <c r="X763" s="6"/>
      <c r="Y763" s="6"/>
      <c r="Z763" s="6"/>
      <c r="AA763" s="6"/>
      <c r="BF763" s="26"/>
      <c r="BG763" s="26"/>
      <c r="BH763" s="26"/>
      <c r="BI763" s="26"/>
      <c r="BJ763" s="26"/>
      <c r="BK763" s="26"/>
      <c r="BL763" s="26"/>
      <c r="BM763" s="26"/>
      <c r="BN763" s="26"/>
      <c r="BO763" s="26"/>
      <c r="BP763" s="26"/>
      <c r="BQ763" s="26"/>
      <c r="BR763" s="26"/>
      <c r="BS763" s="26"/>
      <c r="BT763" s="26"/>
      <c r="BU763" s="26"/>
      <c r="BV763" s="26"/>
      <c r="BW763" s="26"/>
      <c r="BX763" s="26"/>
      <c r="BY763" s="26"/>
      <c r="BZ763" s="26"/>
      <c r="CA763" s="26"/>
      <c r="CB763" s="26"/>
      <c r="CC763" s="26"/>
      <c r="CD763" s="26"/>
      <c r="CE763" s="26"/>
      <c r="CF763" s="26"/>
      <c r="CG763" s="26"/>
      <c r="CH763" s="26"/>
      <c r="CI763" s="26"/>
      <c r="CJ763" s="26"/>
      <c r="CK763" s="26"/>
      <c r="CL763" s="26"/>
      <c r="CM763" s="26"/>
      <c r="CN763" s="26"/>
      <c r="CO763" s="26"/>
    </row>
    <row r="764" spans="17:93" ht="12.75" hidden="1" customHeight="1" x14ac:dyDescent="0.25">
      <c r="Q764" s="6"/>
      <c r="R764" s="6"/>
      <c r="S764" s="6"/>
      <c r="T764" s="6"/>
      <c r="U764" s="6"/>
      <c r="V764" s="6"/>
      <c r="W764" s="6"/>
      <c r="X764" s="6"/>
      <c r="Y764" s="6"/>
      <c r="Z764" s="6"/>
      <c r="AA764" s="6"/>
      <c r="BF764" s="26"/>
      <c r="BG764" s="26"/>
      <c r="BH764" s="26"/>
      <c r="BI764" s="26"/>
      <c r="BJ764" s="26"/>
      <c r="BK764" s="26"/>
      <c r="BL764" s="26"/>
      <c r="BM764" s="26"/>
      <c r="BN764" s="26"/>
      <c r="BO764" s="26"/>
      <c r="BP764" s="26"/>
      <c r="BQ764" s="26"/>
      <c r="BR764" s="26"/>
      <c r="BS764" s="26"/>
      <c r="BT764" s="26"/>
      <c r="BU764" s="26"/>
      <c r="BV764" s="26"/>
      <c r="BW764" s="26"/>
      <c r="BX764" s="26"/>
      <c r="BY764" s="26"/>
      <c r="BZ764" s="26"/>
      <c r="CA764" s="26"/>
      <c r="CB764" s="26"/>
      <c r="CC764" s="26"/>
      <c r="CD764" s="26"/>
      <c r="CE764" s="26"/>
      <c r="CF764" s="26"/>
      <c r="CG764" s="26"/>
      <c r="CH764" s="26"/>
      <c r="CI764" s="26"/>
      <c r="CJ764" s="26"/>
      <c r="CK764" s="26"/>
      <c r="CL764" s="26"/>
      <c r="CM764" s="26"/>
      <c r="CN764" s="26"/>
      <c r="CO764" s="26"/>
    </row>
    <row r="765" spans="17:93" ht="12.75" hidden="1" customHeight="1" x14ac:dyDescent="0.25">
      <c r="Q765" s="6"/>
      <c r="R765" s="6"/>
      <c r="S765" s="6"/>
      <c r="T765" s="6"/>
      <c r="U765" s="6"/>
      <c r="V765" s="6"/>
      <c r="W765" s="6"/>
      <c r="X765" s="6"/>
      <c r="Y765" s="6"/>
      <c r="Z765" s="6"/>
      <c r="AA765" s="6"/>
      <c r="BF765" s="26"/>
      <c r="BG765" s="26"/>
      <c r="BH765" s="26"/>
      <c r="BI765" s="26"/>
      <c r="BJ765" s="26"/>
      <c r="BK765" s="26"/>
      <c r="BL765" s="26"/>
      <c r="BM765" s="26"/>
      <c r="BN765" s="26"/>
      <c r="BO765" s="26"/>
      <c r="BP765" s="26"/>
      <c r="BQ765" s="26"/>
      <c r="BR765" s="26"/>
      <c r="BS765" s="26"/>
      <c r="BT765" s="26"/>
      <c r="BU765" s="26"/>
      <c r="BV765" s="26"/>
      <c r="BW765" s="26"/>
      <c r="BX765" s="26"/>
      <c r="BY765" s="26"/>
      <c r="BZ765" s="26"/>
      <c r="CA765" s="26"/>
      <c r="CB765" s="26"/>
      <c r="CC765" s="26"/>
      <c r="CD765" s="26"/>
      <c r="CE765" s="26"/>
      <c r="CF765" s="26"/>
      <c r="CG765" s="26"/>
      <c r="CH765" s="26"/>
      <c r="CI765" s="26"/>
      <c r="CJ765" s="26"/>
      <c r="CK765" s="26"/>
      <c r="CL765" s="26"/>
      <c r="CM765" s="26"/>
      <c r="CN765" s="26"/>
      <c r="CO765" s="26"/>
    </row>
    <row r="766" spans="17:93" ht="12.75" hidden="1" customHeight="1" x14ac:dyDescent="0.25">
      <c r="Q766" s="6"/>
      <c r="R766" s="6"/>
      <c r="S766" s="6"/>
      <c r="T766" s="6"/>
      <c r="U766" s="6"/>
      <c r="V766" s="6"/>
      <c r="W766" s="6"/>
      <c r="X766" s="6"/>
      <c r="Y766" s="6"/>
      <c r="Z766" s="6"/>
      <c r="AA766" s="6"/>
      <c r="BF766" s="26"/>
      <c r="BG766" s="26"/>
      <c r="BH766" s="26"/>
      <c r="BI766" s="26"/>
      <c r="BJ766" s="26"/>
      <c r="BK766" s="26"/>
      <c r="BL766" s="26"/>
      <c r="BM766" s="26"/>
      <c r="BN766" s="26"/>
      <c r="BO766" s="26"/>
      <c r="BP766" s="26"/>
      <c r="BQ766" s="26"/>
      <c r="BR766" s="26"/>
      <c r="BS766" s="26"/>
      <c r="BT766" s="26"/>
      <c r="BU766" s="26"/>
      <c r="BV766" s="26"/>
      <c r="BW766" s="26"/>
      <c r="BX766" s="26"/>
      <c r="BY766" s="26"/>
      <c r="BZ766" s="26"/>
      <c r="CA766" s="26"/>
      <c r="CB766" s="26"/>
      <c r="CC766" s="26"/>
      <c r="CD766" s="26"/>
      <c r="CE766" s="26"/>
      <c r="CF766" s="26"/>
      <c r="CG766" s="26"/>
      <c r="CH766" s="26"/>
      <c r="CI766" s="26"/>
      <c r="CJ766" s="26"/>
      <c r="CK766" s="26"/>
      <c r="CL766" s="26"/>
      <c r="CM766" s="26"/>
      <c r="CN766" s="26"/>
      <c r="CO766" s="26"/>
    </row>
    <row r="767" spans="17:93" ht="12.75" hidden="1" customHeight="1" x14ac:dyDescent="0.25">
      <c r="Q767" s="6"/>
      <c r="R767" s="6"/>
      <c r="S767" s="6"/>
      <c r="T767" s="6"/>
      <c r="U767" s="6"/>
      <c r="V767" s="6"/>
      <c r="W767" s="6"/>
      <c r="X767" s="6"/>
      <c r="Y767" s="6"/>
      <c r="Z767" s="6"/>
      <c r="AA767" s="6"/>
      <c r="BF767" s="26"/>
      <c r="BG767" s="26"/>
      <c r="BH767" s="26"/>
      <c r="BI767" s="26"/>
      <c r="BJ767" s="26"/>
      <c r="BK767" s="26"/>
      <c r="BL767" s="26"/>
      <c r="BM767" s="26"/>
      <c r="BN767" s="26"/>
      <c r="BO767" s="26"/>
      <c r="BP767" s="26"/>
      <c r="BQ767" s="26"/>
      <c r="BR767" s="26"/>
      <c r="BS767" s="26"/>
      <c r="BT767" s="26"/>
      <c r="BU767" s="26"/>
      <c r="BV767" s="26"/>
      <c r="BW767" s="26"/>
      <c r="BX767" s="26"/>
      <c r="BY767" s="26"/>
      <c r="BZ767" s="26"/>
      <c r="CA767" s="26"/>
      <c r="CB767" s="26"/>
      <c r="CC767" s="26"/>
      <c r="CD767" s="26"/>
      <c r="CE767" s="26"/>
      <c r="CF767" s="26"/>
      <c r="CG767" s="26"/>
      <c r="CH767" s="26"/>
      <c r="CI767" s="26"/>
      <c r="CJ767" s="26"/>
      <c r="CK767" s="26"/>
      <c r="CL767" s="26"/>
      <c r="CM767" s="26"/>
      <c r="CN767" s="26"/>
      <c r="CO767" s="26"/>
    </row>
    <row r="768" spans="17:93" ht="12.75" hidden="1" customHeight="1" x14ac:dyDescent="0.25">
      <c r="Q768" s="6"/>
      <c r="R768" s="6"/>
      <c r="S768" s="6"/>
      <c r="T768" s="6"/>
      <c r="U768" s="6"/>
      <c r="V768" s="6"/>
      <c r="W768" s="6"/>
      <c r="X768" s="6"/>
      <c r="Y768" s="6"/>
      <c r="Z768" s="6"/>
      <c r="AA768" s="6"/>
      <c r="BF768" s="26"/>
      <c r="BG768" s="26"/>
      <c r="BH768" s="26"/>
      <c r="BI768" s="26"/>
      <c r="BJ768" s="26"/>
      <c r="BK768" s="26"/>
      <c r="BL768" s="26"/>
      <c r="BM768" s="26"/>
      <c r="BN768" s="26"/>
      <c r="BO768" s="26"/>
      <c r="BP768" s="26"/>
      <c r="BQ768" s="26"/>
      <c r="BR768" s="26"/>
      <c r="BS768" s="26"/>
      <c r="BT768" s="26"/>
      <c r="BU768" s="26"/>
      <c r="BV768" s="26"/>
      <c r="BW768" s="26"/>
      <c r="BX768" s="26"/>
      <c r="BY768" s="26"/>
      <c r="BZ768" s="26"/>
      <c r="CA768" s="26"/>
      <c r="CB768" s="26"/>
      <c r="CC768" s="26"/>
      <c r="CD768" s="26"/>
      <c r="CE768" s="26"/>
      <c r="CF768" s="26"/>
      <c r="CG768" s="26"/>
      <c r="CH768" s="26"/>
      <c r="CI768" s="26"/>
      <c r="CJ768" s="26"/>
      <c r="CK768" s="26"/>
      <c r="CL768" s="26"/>
      <c r="CM768" s="26"/>
      <c r="CN768" s="26"/>
      <c r="CO768" s="26"/>
    </row>
    <row r="769" spans="17:93" ht="12.75" hidden="1" customHeight="1" x14ac:dyDescent="0.25">
      <c r="Q769" s="6"/>
      <c r="R769" s="6"/>
      <c r="S769" s="6"/>
      <c r="T769" s="6"/>
      <c r="U769" s="6"/>
      <c r="V769" s="6"/>
      <c r="W769" s="6"/>
      <c r="X769" s="6"/>
      <c r="Y769" s="6"/>
      <c r="Z769" s="6"/>
      <c r="AA769" s="6"/>
      <c r="BF769" s="26"/>
      <c r="BG769" s="26"/>
      <c r="BH769" s="26"/>
      <c r="BI769" s="26"/>
      <c r="BJ769" s="26"/>
      <c r="BK769" s="26"/>
      <c r="BL769" s="26"/>
      <c r="BM769" s="26"/>
      <c r="BN769" s="26"/>
      <c r="BO769" s="26"/>
      <c r="BP769" s="26"/>
      <c r="BQ769" s="26"/>
      <c r="BR769" s="26"/>
      <c r="BS769" s="26"/>
      <c r="BT769" s="26"/>
      <c r="BU769" s="26"/>
      <c r="BV769" s="26"/>
      <c r="BW769" s="26"/>
      <c r="BX769" s="26"/>
      <c r="BY769" s="26"/>
      <c r="BZ769" s="26"/>
      <c r="CA769" s="26"/>
      <c r="CB769" s="26"/>
      <c r="CC769" s="26"/>
      <c r="CD769" s="26"/>
      <c r="CE769" s="26"/>
      <c r="CF769" s="26"/>
      <c r="CG769" s="26"/>
      <c r="CH769" s="26"/>
      <c r="CI769" s="26"/>
      <c r="CJ769" s="26"/>
      <c r="CK769" s="26"/>
      <c r="CL769" s="26"/>
      <c r="CM769" s="26"/>
      <c r="CN769" s="26"/>
      <c r="CO769" s="26"/>
    </row>
    <row r="770" spans="17:93" ht="12.75" hidden="1" customHeight="1" x14ac:dyDescent="0.25">
      <c r="Q770" s="6"/>
      <c r="R770" s="6"/>
      <c r="S770" s="6"/>
      <c r="T770" s="6"/>
      <c r="U770" s="6"/>
      <c r="V770" s="6"/>
      <c r="W770" s="6"/>
      <c r="X770" s="6"/>
      <c r="Y770" s="6"/>
      <c r="Z770" s="6"/>
      <c r="AA770" s="6"/>
      <c r="BF770" s="26"/>
      <c r="BG770" s="26"/>
      <c r="BH770" s="26"/>
      <c r="BI770" s="26"/>
      <c r="BJ770" s="26"/>
      <c r="BK770" s="26"/>
      <c r="BL770" s="26"/>
      <c r="BM770" s="26"/>
      <c r="BN770" s="26"/>
      <c r="BO770" s="26"/>
      <c r="BP770" s="26"/>
      <c r="BQ770" s="26"/>
      <c r="BR770" s="26"/>
      <c r="BS770" s="26"/>
      <c r="BT770" s="26"/>
      <c r="BU770" s="26"/>
      <c r="BV770" s="26"/>
      <c r="BW770" s="26"/>
      <c r="BX770" s="26"/>
      <c r="BY770" s="26"/>
      <c r="BZ770" s="26"/>
      <c r="CA770" s="26"/>
      <c r="CB770" s="26"/>
      <c r="CC770" s="26"/>
      <c r="CD770" s="26"/>
      <c r="CE770" s="26"/>
      <c r="CF770" s="26"/>
      <c r="CG770" s="26"/>
      <c r="CH770" s="26"/>
      <c r="CI770" s="26"/>
      <c r="CJ770" s="26"/>
      <c r="CK770" s="26"/>
      <c r="CL770" s="26"/>
      <c r="CM770" s="26"/>
      <c r="CN770" s="26"/>
      <c r="CO770" s="26"/>
    </row>
    <row r="771" spans="17:93" ht="12.75" hidden="1" customHeight="1" x14ac:dyDescent="0.25">
      <c r="Q771" s="6"/>
      <c r="R771" s="6"/>
      <c r="S771" s="6"/>
      <c r="T771" s="6"/>
      <c r="U771" s="6"/>
      <c r="V771" s="6"/>
      <c r="W771" s="6"/>
      <c r="X771" s="6"/>
      <c r="Y771" s="6"/>
      <c r="Z771" s="6"/>
      <c r="AA771" s="6"/>
      <c r="BF771" s="26"/>
      <c r="BG771" s="26"/>
      <c r="BH771" s="26"/>
      <c r="BI771" s="26"/>
      <c r="BJ771" s="26"/>
      <c r="BK771" s="26"/>
      <c r="BL771" s="26"/>
      <c r="BM771" s="26"/>
      <c r="BN771" s="26"/>
      <c r="BO771" s="26"/>
      <c r="BP771" s="26"/>
      <c r="BQ771" s="26"/>
      <c r="BR771" s="26"/>
      <c r="BS771" s="26"/>
      <c r="BT771" s="26"/>
      <c r="BU771" s="26"/>
      <c r="BV771" s="26"/>
      <c r="BW771" s="26"/>
      <c r="BX771" s="26"/>
      <c r="BY771" s="26"/>
      <c r="BZ771" s="26"/>
      <c r="CA771" s="26"/>
      <c r="CB771" s="26"/>
      <c r="CC771" s="26"/>
      <c r="CD771" s="26"/>
      <c r="CE771" s="26"/>
      <c r="CF771" s="26"/>
      <c r="CG771" s="26"/>
      <c r="CH771" s="26"/>
      <c r="CI771" s="26"/>
      <c r="CJ771" s="26"/>
      <c r="CK771" s="26"/>
      <c r="CL771" s="26"/>
      <c r="CM771" s="26"/>
      <c r="CN771" s="26"/>
      <c r="CO771" s="26"/>
    </row>
    <row r="772" spans="17:93" ht="12.75" hidden="1" customHeight="1" x14ac:dyDescent="0.25">
      <c r="Q772" s="6"/>
      <c r="R772" s="6"/>
      <c r="S772" s="6"/>
      <c r="T772" s="6"/>
      <c r="U772" s="6"/>
      <c r="V772" s="6"/>
      <c r="W772" s="6"/>
      <c r="X772" s="6"/>
      <c r="Y772" s="6"/>
      <c r="Z772" s="6"/>
      <c r="AA772" s="6"/>
      <c r="BF772" s="26"/>
      <c r="BG772" s="26"/>
      <c r="BH772" s="26"/>
      <c r="BI772" s="26"/>
      <c r="BJ772" s="26"/>
      <c r="BK772" s="26"/>
      <c r="BL772" s="26"/>
      <c r="BM772" s="26"/>
      <c r="BN772" s="26"/>
      <c r="BO772" s="26"/>
      <c r="BP772" s="26"/>
      <c r="BQ772" s="26"/>
      <c r="BR772" s="26"/>
      <c r="BS772" s="26"/>
      <c r="BT772" s="26"/>
      <c r="BU772" s="26"/>
      <c r="BV772" s="26"/>
      <c r="BW772" s="26"/>
      <c r="BX772" s="26"/>
      <c r="BY772" s="26"/>
      <c r="BZ772" s="26"/>
      <c r="CA772" s="26"/>
      <c r="CB772" s="26"/>
      <c r="CC772" s="26"/>
      <c r="CD772" s="26"/>
      <c r="CE772" s="26"/>
      <c r="CF772" s="26"/>
      <c r="CG772" s="26"/>
      <c r="CH772" s="26"/>
      <c r="CI772" s="26"/>
      <c r="CJ772" s="26"/>
      <c r="CK772" s="26"/>
      <c r="CL772" s="26"/>
      <c r="CM772" s="26"/>
      <c r="CN772" s="26"/>
      <c r="CO772" s="26"/>
    </row>
    <row r="773" spans="17:93" ht="12.75" hidden="1" customHeight="1" x14ac:dyDescent="0.25">
      <c r="Q773" s="6"/>
      <c r="R773" s="6"/>
      <c r="S773" s="6"/>
      <c r="T773" s="6"/>
      <c r="U773" s="6"/>
      <c r="V773" s="6"/>
      <c r="W773" s="6"/>
      <c r="X773" s="6"/>
      <c r="Y773" s="6"/>
      <c r="Z773" s="6"/>
      <c r="AA773" s="6"/>
      <c r="BF773" s="26"/>
      <c r="BG773" s="26"/>
      <c r="BH773" s="26"/>
      <c r="BI773" s="26"/>
      <c r="BJ773" s="26"/>
      <c r="BK773" s="26"/>
      <c r="BL773" s="26"/>
      <c r="BM773" s="26"/>
      <c r="BN773" s="26"/>
      <c r="BO773" s="26"/>
      <c r="BP773" s="26"/>
      <c r="BQ773" s="26"/>
      <c r="BR773" s="26"/>
      <c r="BS773" s="26"/>
      <c r="BT773" s="26"/>
      <c r="BU773" s="26"/>
      <c r="BV773" s="26"/>
      <c r="BW773" s="26"/>
      <c r="BX773" s="26"/>
      <c r="BY773" s="26"/>
      <c r="BZ773" s="26"/>
      <c r="CA773" s="26"/>
      <c r="CB773" s="26"/>
      <c r="CC773" s="26"/>
      <c r="CD773" s="26"/>
      <c r="CE773" s="26"/>
      <c r="CF773" s="26"/>
      <c r="CG773" s="26"/>
      <c r="CH773" s="26"/>
      <c r="CI773" s="26"/>
      <c r="CJ773" s="26"/>
      <c r="CK773" s="26"/>
      <c r="CL773" s="26"/>
      <c r="CM773" s="26"/>
      <c r="CN773" s="26"/>
      <c r="CO773" s="26"/>
    </row>
    <row r="774" spans="17:93" ht="12.75" hidden="1" customHeight="1" x14ac:dyDescent="0.25">
      <c r="Q774" s="6"/>
      <c r="R774" s="6"/>
      <c r="S774" s="6"/>
      <c r="T774" s="6"/>
      <c r="U774" s="6"/>
      <c r="V774" s="6"/>
      <c r="W774" s="6"/>
      <c r="X774" s="6"/>
      <c r="Y774" s="6"/>
      <c r="Z774" s="6"/>
      <c r="AA774" s="6"/>
      <c r="BF774" s="26"/>
      <c r="BG774" s="26"/>
      <c r="BH774" s="26"/>
      <c r="BI774" s="26"/>
      <c r="BJ774" s="26"/>
      <c r="BK774" s="26"/>
      <c r="BL774" s="26"/>
      <c r="BM774" s="26"/>
      <c r="BN774" s="26"/>
      <c r="BO774" s="26"/>
      <c r="BP774" s="26"/>
      <c r="BQ774" s="26"/>
      <c r="BR774" s="26"/>
      <c r="BS774" s="26"/>
      <c r="BT774" s="26"/>
      <c r="BU774" s="26"/>
      <c r="BV774" s="26"/>
      <c r="BW774" s="26"/>
      <c r="BX774" s="26"/>
      <c r="BY774" s="26"/>
      <c r="BZ774" s="26"/>
      <c r="CA774" s="26"/>
      <c r="CB774" s="26"/>
      <c r="CC774" s="26"/>
      <c r="CD774" s="26"/>
      <c r="CE774" s="26"/>
      <c r="CF774" s="26"/>
      <c r="CG774" s="26"/>
      <c r="CH774" s="26"/>
      <c r="CI774" s="26"/>
      <c r="CJ774" s="26"/>
      <c r="CK774" s="26"/>
      <c r="CL774" s="26"/>
      <c r="CM774" s="26"/>
      <c r="CN774" s="26"/>
      <c r="CO774" s="26"/>
    </row>
    <row r="775" spans="17:93" ht="12.75" hidden="1" customHeight="1" x14ac:dyDescent="0.25">
      <c r="Q775" s="6"/>
      <c r="R775" s="6"/>
      <c r="S775" s="6"/>
      <c r="T775" s="6"/>
      <c r="U775" s="6"/>
      <c r="V775" s="6"/>
      <c r="W775" s="6"/>
      <c r="X775" s="6"/>
      <c r="Y775" s="6"/>
      <c r="Z775" s="6"/>
      <c r="AA775" s="6"/>
      <c r="BF775" s="26"/>
      <c r="BG775" s="26"/>
      <c r="BH775" s="26"/>
      <c r="BI775" s="26"/>
      <c r="BJ775" s="26"/>
      <c r="BK775" s="26"/>
      <c r="BL775" s="26"/>
      <c r="BM775" s="26"/>
      <c r="BN775" s="26"/>
      <c r="BO775" s="26"/>
      <c r="BP775" s="26"/>
      <c r="BQ775" s="26"/>
      <c r="BR775" s="26"/>
      <c r="BS775" s="26"/>
      <c r="BT775" s="26"/>
      <c r="BU775" s="26"/>
      <c r="BV775" s="26"/>
      <c r="BW775" s="26"/>
      <c r="BX775" s="26"/>
      <c r="BY775" s="26"/>
      <c r="BZ775" s="26"/>
      <c r="CA775" s="26"/>
      <c r="CB775" s="26"/>
      <c r="CC775" s="26"/>
      <c r="CD775" s="26"/>
      <c r="CE775" s="26"/>
      <c r="CF775" s="26"/>
      <c r="CG775" s="26"/>
      <c r="CH775" s="26"/>
      <c r="CI775" s="26"/>
      <c r="CJ775" s="26"/>
      <c r="CK775" s="26"/>
      <c r="CL775" s="26"/>
      <c r="CM775" s="26"/>
      <c r="CN775" s="26"/>
      <c r="CO775" s="26"/>
    </row>
    <row r="776" spans="17:93" ht="12.75" hidden="1" customHeight="1" x14ac:dyDescent="0.25">
      <c r="Q776" s="6"/>
      <c r="R776" s="6"/>
      <c r="S776" s="6"/>
      <c r="T776" s="6"/>
      <c r="U776" s="6"/>
      <c r="V776" s="6"/>
      <c r="W776" s="6"/>
      <c r="X776" s="6"/>
      <c r="Y776" s="6"/>
      <c r="Z776" s="6"/>
      <c r="AA776" s="6"/>
      <c r="BF776" s="26"/>
      <c r="BG776" s="26"/>
      <c r="BH776" s="26"/>
      <c r="BI776" s="26"/>
      <c r="BJ776" s="26"/>
      <c r="BK776" s="26"/>
      <c r="BL776" s="26"/>
      <c r="BM776" s="26"/>
      <c r="BN776" s="26"/>
      <c r="BO776" s="26"/>
      <c r="BP776" s="26"/>
      <c r="BQ776" s="26"/>
      <c r="BR776" s="26"/>
      <c r="BS776" s="26"/>
      <c r="BT776" s="26"/>
      <c r="BU776" s="26"/>
      <c r="BV776" s="26"/>
      <c r="BW776" s="26"/>
      <c r="BX776" s="26"/>
      <c r="BY776" s="26"/>
      <c r="BZ776" s="26"/>
      <c r="CA776" s="26"/>
      <c r="CB776" s="26"/>
      <c r="CC776" s="26"/>
      <c r="CD776" s="26"/>
      <c r="CE776" s="26"/>
      <c r="CF776" s="26"/>
      <c r="CG776" s="26"/>
      <c r="CH776" s="26"/>
      <c r="CI776" s="26"/>
      <c r="CJ776" s="26"/>
      <c r="CK776" s="26"/>
      <c r="CL776" s="26"/>
      <c r="CM776" s="26"/>
      <c r="CN776" s="26"/>
      <c r="CO776" s="26"/>
    </row>
    <row r="777" spans="17:93" ht="12.75" hidden="1" customHeight="1" x14ac:dyDescent="0.25">
      <c r="Q777" s="6"/>
      <c r="R777" s="6"/>
      <c r="S777" s="6"/>
      <c r="T777" s="6"/>
      <c r="U777" s="6"/>
      <c r="V777" s="6"/>
      <c r="W777" s="6"/>
      <c r="X777" s="6"/>
      <c r="Y777" s="6"/>
      <c r="Z777" s="6"/>
      <c r="AA777" s="6"/>
      <c r="BF777" s="26"/>
      <c r="BG777" s="26"/>
      <c r="BH777" s="26"/>
      <c r="BI777" s="26"/>
      <c r="BJ777" s="26"/>
      <c r="BK777" s="26"/>
      <c r="BL777" s="26"/>
      <c r="BM777" s="26"/>
      <c r="BN777" s="26"/>
      <c r="BO777" s="26"/>
      <c r="BP777" s="26"/>
      <c r="BQ777" s="26"/>
      <c r="BR777" s="26"/>
      <c r="BS777" s="26"/>
      <c r="BT777" s="26"/>
      <c r="BU777" s="26"/>
      <c r="BV777" s="26"/>
      <c r="BW777" s="26"/>
      <c r="BX777" s="26"/>
      <c r="BY777" s="26"/>
      <c r="BZ777" s="26"/>
      <c r="CA777" s="26"/>
      <c r="CB777" s="26"/>
      <c r="CC777" s="26"/>
      <c r="CD777" s="26"/>
      <c r="CE777" s="26"/>
      <c r="CF777" s="26"/>
      <c r="CG777" s="26"/>
      <c r="CH777" s="26"/>
      <c r="CI777" s="26"/>
      <c r="CJ777" s="26"/>
      <c r="CK777" s="26"/>
      <c r="CL777" s="26"/>
      <c r="CM777" s="26"/>
      <c r="CN777" s="26"/>
      <c r="CO777" s="26"/>
    </row>
    <row r="778" spans="17:93" ht="12.75" hidden="1" customHeight="1" x14ac:dyDescent="0.25">
      <c r="Q778" s="6"/>
      <c r="R778" s="6"/>
      <c r="S778" s="6"/>
      <c r="T778" s="6"/>
      <c r="U778" s="6"/>
      <c r="V778" s="6"/>
      <c r="W778" s="6"/>
      <c r="X778" s="6"/>
      <c r="Y778" s="6"/>
      <c r="Z778" s="6"/>
      <c r="AA778" s="6"/>
      <c r="BF778" s="26"/>
      <c r="BG778" s="26"/>
      <c r="BH778" s="26"/>
      <c r="BI778" s="26"/>
      <c r="BJ778" s="26"/>
      <c r="BK778" s="26"/>
      <c r="BL778" s="26"/>
      <c r="BM778" s="26"/>
      <c r="BN778" s="26"/>
      <c r="BO778" s="26"/>
      <c r="BP778" s="26"/>
      <c r="BQ778" s="26"/>
      <c r="BR778" s="26"/>
      <c r="BS778" s="26"/>
      <c r="BT778" s="26"/>
      <c r="BU778" s="26"/>
      <c r="BV778" s="26"/>
      <c r="BW778" s="26"/>
      <c r="BX778" s="26"/>
      <c r="BY778" s="26"/>
      <c r="BZ778" s="26"/>
      <c r="CA778" s="26"/>
      <c r="CB778" s="26"/>
      <c r="CC778" s="26"/>
      <c r="CD778" s="26"/>
      <c r="CE778" s="26"/>
      <c r="CF778" s="26"/>
      <c r="CG778" s="26"/>
      <c r="CH778" s="26"/>
      <c r="CI778" s="26"/>
      <c r="CJ778" s="26"/>
      <c r="CK778" s="26"/>
      <c r="CL778" s="26"/>
      <c r="CM778" s="26"/>
      <c r="CN778" s="26"/>
      <c r="CO778" s="26"/>
    </row>
    <row r="779" spans="17:93" ht="12.75" hidden="1" customHeight="1" x14ac:dyDescent="0.25">
      <c r="Q779" s="6"/>
      <c r="R779" s="6"/>
      <c r="S779" s="6"/>
      <c r="T779" s="6"/>
      <c r="U779" s="6"/>
      <c r="V779" s="6"/>
      <c r="W779" s="6"/>
      <c r="X779" s="6"/>
      <c r="Y779" s="6"/>
      <c r="Z779" s="6"/>
      <c r="AA779" s="6"/>
      <c r="BF779" s="26"/>
      <c r="BG779" s="26"/>
      <c r="BH779" s="26"/>
      <c r="BI779" s="26"/>
      <c r="BJ779" s="26"/>
      <c r="BK779" s="26"/>
      <c r="BL779" s="26"/>
      <c r="BM779" s="26"/>
      <c r="BN779" s="26"/>
      <c r="BO779" s="26"/>
      <c r="BP779" s="26"/>
      <c r="BQ779" s="26"/>
      <c r="BR779" s="26"/>
      <c r="BS779" s="26"/>
      <c r="BT779" s="26"/>
      <c r="BU779" s="26"/>
      <c r="BV779" s="26"/>
      <c r="BW779" s="26"/>
      <c r="BX779" s="26"/>
      <c r="BY779" s="26"/>
      <c r="BZ779" s="26"/>
      <c r="CA779" s="26"/>
      <c r="CB779" s="26"/>
      <c r="CC779" s="26"/>
      <c r="CD779" s="26"/>
      <c r="CE779" s="26"/>
      <c r="CF779" s="26"/>
      <c r="CG779" s="26"/>
      <c r="CH779" s="26"/>
      <c r="CI779" s="26"/>
      <c r="CJ779" s="26"/>
      <c r="CK779" s="26"/>
      <c r="CL779" s="26"/>
      <c r="CM779" s="26"/>
      <c r="CN779" s="26"/>
      <c r="CO779" s="26"/>
    </row>
    <row r="780" spans="17:93" ht="12.75" hidden="1" customHeight="1" x14ac:dyDescent="0.25">
      <c r="Q780" s="6"/>
      <c r="R780" s="6"/>
      <c r="S780" s="6"/>
      <c r="T780" s="6"/>
      <c r="U780" s="6"/>
      <c r="V780" s="6"/>
      <c r="W780" s="6"/>
      <c r="X780" s="6"/>
      <c r="Y780" s="6"/>
      <c r="Z780" s="6"/>
      <c r="AA780" s="6"/>
      <c r="BF780" s="26"/>
      <c r="BG780" s="26"/>
      <c r="BH780" s="26"/>
      <c r="BI780" s="26"/>
      <c r="BJ780" s="26"/>
      <c r="BK780" s="26"/>
      <c r="BL780" s="26"/>
      <c r="BM780" s="26"/>
      <c r="BN780" s="26"/>
      <c r="BO780" s="26"/>
      <c r="BP780" s="26"/>
      <c r="BQ780" s="26"/>
      <c r="BR780" s="26"/>
      <c r="BS780" s="26"/>
      <c r="BT780" s="26"/>
      <c r="BU780" s="26"/>
      <c r="BV780" s="26"/>
      <c r="BW780" s="26"/>
      <c r="BX780" s="26"/>
      <c r="BY780" s="26"/>
      <c r="BZ780" s="26"/>
      <c r="CA780" s="26"/>
      <c r="CB780" s="26"/>
      <c r="CC780" s="26"/>
      <c r="CD780" s="26"/>
      <c r="CE780" s="26"/>
      <c r="CF780" s="26"/>
      <c r="CG780" s="26"/>
      <c r="CH780" s="26"/>
      <c r="CI780" s="26"/>
      <c r="CJ780" s="26"/>
      <c r="CK780" s="26"/>
      <c r="CL780" s="26"/>
      <c r="CM780" s="26"/>
      <c r="CN780" s="26"/>
      <c r="CO780" s="26"/>
    </row>
    <row r="781" spans="17:93" ht="12.75" hidden="1" customHeight="1" x14ac:dyDescent="0.25">
      <c r="Q781" s="6"/>
      <c r="R781" s="6"/>
      <c r="S781" s="6"/>
      <c r="T781" s="6"/>
      <c r="U781" s="6"/>
      <c r="V781" s="6"/>
      <c r="W781" s="6"/>
      <c r="X781" s="6"/>
      <c r="Y781" s="6"/>
      <c r="Z781" s="6"/>
      <c r="AA781" s="6"/>
      <c r="BF781" s="26"/>
      <c r="BG781" s="26"/>
      <c r="BH781" s="26"/>
      <c r="BI781" s="26"/>
      <c r="BJ781" s="26"/>
      <c r="BK781" s="26"/>
      <c r="BL781" s="26"/>
      <c r="BM781" s="26"/>
      <c r="BN781" s="26"/>
      <c r="BO781" s="26"/>
      <c r="BP781" s="26"/>
      <c r="BQ781" s="26"/>
      <c r="BR781" s="26"/>
      <c r="BS781" s="26"/>
      <c r="BT781" s="26"/>
      <c r="BU781" s="26"/>
      <c r="BV781" s="26"/>
      <c r="BW781" s="26"/>
      <c r="BX781" s="26"/>
      <c r="BY781" s="26"/>
      <c r="BZ781" s="26"/>
      <c r="CA781" s="26"/>
      <c r="CB781" s="26"/>
      <c r="CC781" s="26"/>
      <c r="CD781" s="26"/>
      <c r="CE781" s="26"/>
      <c r="CF781" s="26"/>
      <c r="CG781" s="26"/>
      <c r="CH781" s="26"/>
      <c r="CI781" s="26"/>
      <c r="CJ781" s="26"/>
      <c r="CK781" s="26"/>
      <c r="CL781" s="26"/>
      <c r="CM781" s="26"/>
      <c r="CN781" s="26"/>
      <c r="CO781" s="26"/>
    </row>
    <row r="782" spans="17:93" ht="12.75" hidden="1" customHeight="1" x14ac:dyDescent="0.25">
      <c r="Q782" s="6"/>
      <c r="R782" s="6"/>
      <c r="S782" s="6"/>
      <c r="T782" s="6"/>
      <c r="U782" s="6"/>
      <c r="V782" s="6"/>
      <c r="W782" s="6"/>
      <c r="X782" s="6"/>
      <c r="Y782" s="6"/>
      <c r="Z782" s="6"/>
      <c r="AA782" s="6"/>
      <c r="BF782" s="26"/>
      <c r="BG782" s="26"/>
      <c r="BH782" s="26"/>
      <c r="BI782" s="26"/>
      <c r="BJ782" s="26"/>
      <c r="BK782" s="26"/>
      <c r="BL782" s="26"/>
      <c r="BM782" s="26"/>
      <c r="BN782" s="26"/>
      <c r="BO782" s="26"/>
      <c r="BP782" s="26"/>
      <c r="BQ782" s="26"/>
      <c r="BR782" s="26"/>
      <c r="BS782" s="26"/>
      <c r="BT782" s="26"/>
      <c r="BU782" s="26"/>
      <c r="BV782" s="26"/>
      <c r="BW782" s="26"/>
      <c r="BX782" s="26"/>
      <c r="BY782" s="26"/>
      <c r="BZ782" s="26"/>
      <c r="CA782" s="26"/>
      <c r="CB782" s="26"/>
      <c r="CC782" s="26"/>
      <c r="CD782" s="26"/>
      <c r="CE782" s="26"/>
      <c r="CF782" s="26"/>
      <c r="CG782" s="26"/>
      <c r="CH782" s="26"/>
      <c r="CI782" s="26"/>
      <c r="CJ782" s="26"/>
      <c r="CK782" s="26"/>
      <c r="CL782" s="26"/>
      <c r="CM782" s="26"/>
      <c r="CN782" s="26"/>
      <c r="CO782" s="26"/>
    </row>
    <row r="783" spans="17:93" ht="12.75" hidden="1" customHeight="1" x14ac:dyDescent="0.25">
      <c r="Q783" s="6"/>
      <c r="R783" s="6"/>
      <c r="S783" s="6"/>
      <c r="T783" s="6"/>
      <c r="U783" s="6"/>
      <c r="V783" s="6"/>
      <c r="W783" s="6"/>
      <c r="X783" s="6"/>
      <c r="Y783" s="6"/>
      <c r="Z783" s="6"/>
      <c r="AA783" s="6"/>
      <c r="BF783" s="26"/>
      <c r="BG783" s="26"/>
      <c r="BH783" s="26"/>
      <c r="BI783" s="26"/>
      <c r="BJ783" s="26"/>
      <c r="BK783" s="26"/>
      <c r="BL783" s="26"/>
      <c r="BM783" s="26"/>
      <c r="BN783" s="26"/>
      <c r="BO783" s="26"/>
      <c r="BP783" s="26"/>
      <c r="BQ783" s="26"/>
      <c r="BR783" s="26"/>
      <c r="BS783" s="26"/>
      <c r="BT783" s="26"/>
      <c r="BU783" s="26"/>
      <c r="BV783" s="26"/>
      <c r="BW783" s="26"/>
      <c r="BX783" s="26"/>
      <c r="BY783" s="26"/>
      <c r="BZ783" s="26"/>
      <c r="CA783" s="26"/>
      <c r="CB783" s="26"/>
      <c r="CC783" s="26"/>
      <c r="CD783" s="26"/>
      <c r="CE783" s="26"/>
      <c r="CF783" s="26"/>
      <c r="CG783" s="26"/>
      <c r="CH783" s="26"/>
      <c r="CI783" s="26"/>
      <c r="CJ783" s="26"/>
      <c r="CK783" s="26"/>
      <c r="CL783" s="26"/>
      <c r="CM783" s="26"/>
      <c r="CN783" s="26"/>
      <c r="CO783" s="26"/>
    </row>
    <row r="784" spans="17:93" ht="12.75" hidden="1" customHeight="1" x14ac:dyDescent="0.25">
      <c r="Q784" s="6"/>
      <c r="R784" s="6"/>
      <c r="S784" s="6"/>
      <c r="T784" s="6"/>
      <c r="U784" s="6"/>
      <c r="V784" s="6"/>
      <c r="W784" s="6"/>
      <c r="X784" s="6"/>
      <c r="Y784" s="6"/>
      <c r="Z784" s="6"/>
      <c r="AA784" s="6"/>
      <c r="BF784" s="26"/>
      <c r="BG784" s="26"/>
      <c r="BH784" s="26"/>
      <c r="BI784" s="26"/>
      <c r="BJ784" s="26"/>
      <c r="BK784" s="26"/>
      <c r="BL784" s="26"/>
      <c r="BM784" s="26"/>
      <c r="BN784" s="26"/>
      <c r="BO784" s="26"/>
      <c r="BP784" s="26"/>
      <c r="BQ784" s="26"/>
      <c r="BR784" s="26"/>
      <c r="BS784" s="26"/>
      <c r="BT784" s="26"/>
      <c r="BU784" s="26"/>
      <c r="BV784" s="26"/>
      <c r="BW784" s="26"/>
      <c r="BX784" s="26"/>
      <c r="BY784" s="26"/>
      <c r="BZ784" s="26"/>
      <c r="CA784" s="26"/>
      <c r="CB784" s="26"/>
      <c r="CC784" s="26"/>
      <c r="CD784" s="26"/>
      <c r="CE784" s="26"/>
      <c r="CF784" s="26"/>
      <c r="CG784" s="26"/>
      <c r="CH784" s="26"/>
      <c r="CI784" s="26"/>
      <c r="CJ784" s="26"/>
      <c r="CK784" s="26"/>
      <c r="CL784" s="26"/>
      <c r="CM784" s="26"/>
      <c r="CN784" s="26"/>
      <c r="CO784" s="26"/>
    </row>
    <row r="785" spans="17:93" ht="12.75" hidden="1" customHeight="1" x14ac:dyDescent="0.25">
      <c r="Q785" s="6"/>
      <c r="R785" s="6"/>
      <c r="S785" s="6"/>
      <c r="T785" s="6"/>
      <c r="U785" s="6"/>
      <c r="V785" s="6"/>
      <c r="W785" s="6"/>
      <c r="X785" s="6"/>
      <c r="Y785" s="6"/>
      <c r="Z785" s="6"/>
      <c r="AA785" s="6"/>
      <c r="BF785" s="26"/>
      <c r="BG785" s="26"/>
      <c r="BH785" s="26"/>
      <c r="BI785" s="26"/>
      <c r="BJ785" s="26"/>
      <c r="BK785" s="26"/>
      <c r="BL785" s="26"/>
      <c r="BM785" s="26"/>
      <c r="BN785" s="26"/>
      <c r="BO785" s="26"/>
      <c r="BP785" s="26"/>
      <c r="BQ785" s="26"/>
      <c r="BR785" s="26"/>
      <c r="BS785" s="26"/>
      <c r="BT785" s="26"/>
      <c r="BU785" s="26"/>
      <c r="BV785" s="26"/>
      <c r="BW785" s="26"/>
      <c r="BX785" s="26"/>
      <c r="BY785" s="26"/>
      <c r="BZ785" s="26"/>
      <c r="CA785" s="26"/>
      <c r="CB785" s="26"/>
      <c r="CC785" s="26"/>
      <c r="CD785" s="26"/>
      <c r="CE785" s="26"/>
      <c r="CF785" s="26"/>
      <c r="CG785" s="26"/>
      <c r="CH785" s="26"/>
      <c r="CI785" s="26"/>
      <c r="CJ785" s="26"/>
      <c r="CK785" s="26"/>
      <c r="CL785" s="26"/>
      <c r="CM785" s="26"/>
      <c r="CN785" s="26"/>
      <c r="CO785" s="26"/>
    </row>
    <row r="786" spans="17:93" ht="12.75" hidden="1" customHeight="1" x14ac:dyDescent="0.25">
      <c r="Q786" s="6"/>
      <c r="R786" s="6"/>
      <c r="S786" s="6"/>
      <c r="T786" s="6"/>
      <c r="U786" s="6"/>
      <c r="V786" s="6"/>
      <c r="W786" s="6"/>
      <c r="X786" s="6"/>
      <c r="Y786" s="6"/>
      <c r="Z786" s="6"/>
      <c r="AA786" s="6"/>
      <c r="BF786" s="26"/>
      <c r="BG786" s="26"/>
      <c r="BH786" s="26"/>
      <c r="BI786" s="26"/>
      <c r="BJ786" s="26"/>
      <c r="BK786" s="26"/>
      <c r="BL786" s="26"/>
      <c r="BM786" s="26"/>
      <c r="BN786" s="26"/>
      <c r="BO786" s="26"/>
      <c r="BP786" s="26"/>
      <c r="BQ786" s="26"/>
      <c r="BR786" s="26"/>
      <c r="BS786" s="26"/>
      <c r="BT786" s="26"/>
      <c r="BU786" s="26"/>
      <c r="BV786" s="26"/>
      <c r="BW786" s="26"/>
      <c r="BX786" s="26"/>
      <c r="BY786" s="26"/>
      <c r="BZ786" s="26"/>
      <c r="CA786" s="26"/>
      <c r="CB786" s="26"/>
      <c r="CC786" s="26"/>
      <c r="CD786" s="26"/>
      <c r="CE786" s="26"/>
      <c r="CF786" s="26"/>
      <c r="CG786" s="26"/>
      <c r="CH786" s="26"/>
      <c r="CI786" s="26"/>
      <c r="CJ786" s="26"/>
      <c r="CK786" s="26"/>
      <c r="CL786" s="26"/>
      <c r="CM786" s="26"/>
      <c r="CN786" s="26"/>
      <c r="CO786" s="26"/>
    </row>
    <row r="787" spans="17:93" ht="12.75" hidden="1" customHeight="1" x14ac:dyDescent="0.25">
      <c r="Q787" s="6"/>
      <c r="R787" s="6"/>
      <c r="S787" s="6"/>
      <c r="T787" s="6"/>
      <c r="U787" s="6"/>
      <c r="V787" s="6"/>
      <c r="W787" s="6"/>
      <c r="X787" s="6"/>
      <c r="Y787" s="6"/>
      <c r="Z787" s="6"/>
      <c r="AA787" s="6"/>
      <c r="BF787" s="26"/>
      <c r="BG787" s="26"/>
      <c r="BH787" s="26"/>
      <c r="BI787" s="26"/>
      <c r="BJ787" s="26"/>
      <c r="BK787" s="26"/>
      <c r="BL787" s="26"/>
      <c r="BM787" s="26"/>
      <c r="BN787" s="26"/>
      <c r="BO787" s="26"/>
      <c r="BP787" s="26"/>
      <c r="BQ787" s="26"/>
      <c r="BR787" s="26"/>
      <c r="BS787" s="26"/>
      <c r="BT787" s="26"/>
      <c r="BU787" s="26"/>
      <c r="BV787" s="26"/>
      <c r="BW787" s="26"/>
      <c r="BX787" s="26"/>
      <c r="BY787" s="26"/>
      <c r="BZ787" s="26"/>
      <c r="CA787" s="26"/>
      <c r="CB787" s="26"/>
      <c r="CC787" s="26"/>
      <c r="CD787" s="26"/>
      <c r="CE787" s="26"/>
      <c r="CF787" s="26"/>
      <c r="CG787" s="26"/>
      <c r="CH787" s="26"/>
      <c r="CI787" s="26"/>
      <c r="CJ787" s="26"/>
      <c r="CK787" s="26"/>
      <c r="CL787" s="26"/>
      <c r="CM787" s="26"/>
      <c r="CN787" s="26"/>
      <c r="CO787" s="26"/>
    </row>
    <row r="788" spans="17:93" ht="12.75" hidden="1" customHeight="1" x14ac:dyDescent="0.25">
      <c r="Q788" s="6"/>
      <c r="R788" s="6"/>
      <c r="S788" s="6"/>
      <c r="T788" s="6"/>
      <c r="U788" s="6"/>
      <c r="V788" s="6"/>
      <c r="W788" s="6"/>
      <c r="X788" s="6"/>
      <c r="Y788" s="6"/>
      <c r="Z788" s="6"/>
      <c r="AA788" s="6"/>
      <c r="BF788" s="26"/>
      <c r="BG788" s="26"/>
      <c r="BH788" s="26"/>
      <c r="BI788" s="26"/>
      <c r="BJ788" s="26"/>
      <c r="BK788" s="26"/>
      <c r="BL788" s="26"/>
      <c r="BM788" s="26"/>
      <c r="BN788" s="26"/>
      <c r="BO788" s="26"/>
      <c r="BP788" s="26"/>
      <c r="BQ788" s="26"/>
      <c r="BR788" s="26"/>
      <c r="BS788" s="26"/>
      <c r="BT788" s="26"/>
      <c r="BU788" s="26"/>
      <c r="BV788" s="26"/>
      <c r="BW788" s="26"/>
      <c r="BX788" s="26"/>
      <c r="BY788" s="26"/>
      <c r="BZ788" s="26"/>
      <c r="CA788" s="26"/>
      <c r="CB788" s="26"/>
      <c r="CC788" s="26"/>
      <c r="CD788" s="26"/>
      <c r="CE788" s="26"/>
      <c r="CF788" s="26"/>
      <c r="CG788" s="26"/>
      <c r="CH788" s="26"/>
      <c r="CI788" s="26"/>
      <c r="CJ788" s="26"/>
      <c r="CK788" s="26"/>
      <c r="CL788" s="26"/>
      <c r="CM788" s="26"/>
      <c r="CN788" s="26"/>
      <c r="CO788" s="26"/>
    </row>
    <row r="789" spans="17:93" ht="12.75" hidden="1" customHeight="1" x14ac:dyDescent="0.25">
      <c r="Q789" s="6"/>
      <c r="R789" s="6"/>
      <c r="S789" s="6"/>
      <c r="T789" s="6"/>
      <c r="U789" s="6"/>
      <c r="V789" s="6"/>
      <c r="W789" s="6"/>
      <c r="X789" s="6"/>
      <c r="Y789" s="6"/>
      <c r="Z789" s="6"/>
      <c r="AA789" s="6"/>
      <c r="BF789" s="26"/>
      <c r="BG789" s="26"/>
      <c r="BH789" s="26"/>
      <c r="BI789" s="26"/>
      <c r="BJ789" s="26"/>
      <c r="BK789" s="26"/>
      <c r="BL789" s="26"/>
      <c r="BM789" s="26"/>
      <c r="BN789" s="26"/>
      <c r="BO789" s="26"/>
      <c r="BP789" s="26"/>
      <c r="BQ789" s="26"/>
      <c r="BR789" s="26"/>
      <c r="BS789" s="26"/>
      <c r="BT789" s="26"/>
      <c r="BU789" s="26"/>
      <c r="BV789" s="26"/>
      <c r="BW789" s="26"/>
      <c r="BX789" s="26"/>
      <c r="BY789" s="26"/>
      <c r="BZ789" s="26"/>
      <c r="CA789" s="26"/>
      <c r="CB789" s="26"/>
      <c r="CC789" s="26"/>
      <c r="CD789" s="26"/>
      <c r="CE789" s="26"/>
      <c r="CF789" s="26"/>
      <c r="CG789" s="26"/>
      <c r="CH789" s="26"/>
      <c r="CI789" s="26"/>
      <c r="CJ789" s="26"/>
      <c r="CK789" s="26"/>
      <c r="CL789" s="26"/>
      <c r="CM789" s="26"/>
      <c r="CN789" s="26"/>
      <c r="CO789" s="26"/>
    </row>
    <row r="790" spans="17:93" ht="12.75" hidden="1" customHeight="1" x14ac:dyDescent="0.25">
      <c r="Q790" s="6"/>
      <c r="R790" s="6"/>
      <c r="S790" s="6"/>
      <c r="T790" s="6"/>
      <c r="U790" s="6"/>
      <c r="V790" s="6"/>
      <c r="W790" s="6"/>
      <c r="X790" s="6"/>
      <c r="Y790" s="6"/>
      <c r="Z790" s="6"/>
      <c r="AA790" s="6"/>
      <c r="BF790" s="26"/>
      <c r="BG790" s="26"/>
      <c r="BH790" s="26"/>
      <c r="BI790" s="26"/>
      <c r="BJ790" s="26"/>
      <c r="BK790" s="26"/>
      <c r="BL790" s="26"/>
      <c r="BM790" s="26"/>
      <c r="BN790" s="26"/>
      <c r="BO790" s="26"/>
      <c r="BP790" s="26"/>
      <c r="BQ790" s="26"/>
      <c r="BR790" s="26"/>
      <c r="BS790" s="26"/>
      <c r="BT790" s="26"/>
      <c r="BU790" s="26"/>
      <c r="BV790" s="26"/>
      <c r="BW790" s="26"/>
      <c r="BX790" s="26"/>
      <c r="BY790" s="26"/>
      <c r="BZ790" s="26"/>
      <c r="CA790" s="26"/>
      <c r="CB790" s="26"/>
      <c r="CC790" s="26"/>
      <c r="CD790" s="26"/>
      <c r="CE790" s="26"/>
      <c r="CF790" s="26"/>
      <c r="CG790" s="26"/>
      <c r="CH790" s="26"/>
      <c r="CI790" s="26"/>
      <c r="CJ790" s="26"/>
      <c r="CK790" s="26"/>
      <c r="CL790" s="26"/>
      <c r="CM790" s="26"/>
      <c r="CN790" s="26"/>
      <c r="CO790" s="26"/>
    </row>
    <row r="791" spans="17:93" ht="12.75" hidden="1" customHeight="1" x14ac:dyDescent="0.25">
      <c r="Q791" s="6"/>
      <c r="R791" s="6"/>
      <c r="S791" s="6"/>
      <c r="T791" s="6"/>
      <c r="U791" s="6"/>
      <c r="V791" s="6"/>
      <c r="W791" s="6"/>
      <c r="X791" s="6"/>
      <c r="Y791" s="6"/>
      <c r="Z791" s="6"/>
      <c r="AA791" s="6"/>
      <c r="BF791" s="26"/>
      <c r="BG791" s="26"/>
      <c r="BH791" s="26"/>
      <c r="BI791" s="26"/>
      <c r="BJ791" s="26"/>
      <c r="BK791" s="26"/>
      <c r="BL791" s="26"/>
      <c r="BM791" s="26"/>
      <c r="BN791" s="26"/>
      <c r="BO791" s="26"/>
      <c r="BP791" s="26"/>
      <c r="BQ791" s="26"/>
      <c r="BR791" s="26"/>
      <c r="BS791" s="26"/>
      <c r="BT791" s="26"/>
      <c r="BU791" s="26"/>
      <c r="BV791" s="26"/>
      <c r="BW791" s="26"/>
      <c r="BX791" s="26"/>
      <c r="BY791" s="26"/>
      <c r="BZ791" s="26"/>
      <c r="CA791" s="26"/>
      <c r="CB791" s="26"/>
      <c r="CC791" s="26"/>
      <c r="CD791" s="26"/>
      <c r="CE791" s="26"/>
      <c r="CF791" s="26"/>
      <c r="CG791" s="26"/>
      <c r="CH791" s="26"/>
      <c r="CI791" s="26"/>
      <c r="CJ791" s="26"/>
      <c r="CK791" s="26"/>
      <c r="CL791" s="26"/>
      <c r="CM791" s="26"/>
      <c r="CN791" s="26"/>
      <c r="CO791" s="26"/>
    </row>
    <row r="792" spans="17:93" ht="12.75" hidden="1" customHeight="1" x14ac:dyDescent="0.25">
      <c r="Q792" s="6"/>
      <c r="R792" s="6"/>
      <c r="S792" s="6"/>
      <c r="T792" s="6"/>
      <c r="U792" s="6"/>
      <c r="V792" s="6"/>
      <c r="W792" s="6"/>
      <c r="X792" s="6"/>
      <c r="Y792" s="6"/>
      <c r="Z792" s="6"/>
      <c r="AA792" s="6"/>
      <c r="BF792" s="26"/>
      <c r="BG792" s="26"/>
      <c r="BH792" s="26"/>
      <c r="BI792" s="26"/>
      <c r="BJ792" s="26"/>
      <c r="BK792" s="26"/>
      <c r="BL792" s="26"/>
      <c r="BM792" s="26"/>
      <c r="BN792" s="26"/>
      <c r="BO792" s="26"/>
      <c r="BP792" s="26"/>
      <c r="BQ792" s="26"/>
      <c r="BR792" s="26"/>
      <c r="BS792" s="26"/>
      <c r="BT792" s="26"/>
      <c r="BU792" s="26"/>
      <c r="BV792" s="26"/>
      <c r="BW792" s="26"/>
      <c r="BX792" s="26"/>
      <c r="BY792" s="26"/>
      <c r="BZ792" s="26"/>
      <c r="CA792" s="26"/>
      <c r="CB792" s="26"/>
      <c r="CC792" s="26"/>
      <c r="CD792" s="26"/>
      <c r="CE792" s="26"/>
      <c r="CF792" s="26"/>
      <c r="CG792" s="26"/>
      <c r="CH792" s="26"/>
      <c r="CI792" s="26"/>
      <c r="CJ792" s="26"/>
      <c r="CK792" s="26"/>
      <c r="CL792" s="26"/>
      <c r="CM792" s="26"/>
      <c r="CN792" s="26"/>
      <c r="CO792" s="26"/>
    </row>
    <row r="793" spans="17:93" ht="12.75" hidden="1" customHeight="1" x14ac:dyDescent="0.25">
      <c r="Q793" s="6"/>
      <c r="R793" s="6"/>
      <c r="S793" s="6"/>
      <c r="T793" s="6"/>
      <c r="U793" s="6"/>
      <c r="V793" s="6"/>
      <c r="W793" s="6"/>
      <c r="X793" s="6"/>
      <c r="Y793" s="6"/>
      <c r="Z793" s="6"/>
      <c r="AA793" s="6"/>
      <c r="BF793" s="26"/>
      <c r="BG793" s="26"/>
      <c r="BH793" s="26"/>
      <c r="BI793" s="26"/>
      <c r="BJ793" s="26"/>
      <c r="BK793" s="26"/>
      <c r="BL793" s="26"/>
      <c r="BM793" s="26"/>
      <c r="BN793" s="26"/>
      <c r="BO793" s="26"/>
      <c r="BP793" s="26"/>
      <c r="BQ793" s="26"/>
      <c r="BR793" s="26"/>
      <c r="BS793" s="26"/>
      <c r="BT793" s="26"/>
      <c r="BU793" s="26"/>
      <c r="BV793" s="26"/>
      <c r="BW793" s="26"/>
      <c r="BX793" s="26"/>
      <c r="BY793" s="26"/>
      <c r="BZ793" s="26"/>
      <c r="CA793" s="26"/>
      <c r="CB793" s="26"/>
      <c r="CC793" s="26"/>
      <c r="CD793" s="26"/>
      <c r="CE793" s="26"/>
      <c r="CF793" s="26"/>
      <c r="CG793" s="26"/>
      <c r="CH793" s="26"/>
      <c r="CI793" s="26"/>
      <c r="CJ793" s="26"/>
      <c r="CK793" s="26"/>
      <c r="CL793" s="26"/>
      <c r="CM793" s="26"/>
      <c r="CN793" s="26"/>
      <c r="CO793" s="26"/>
    </row>
    <row r="794" spans="17:93" ht="12.75" hidden="1" customHeight="1" x14ac:dyDescent="0.25">
      <c r="Q794" s="6"/>
      <c r="R794" s="6"/>
      <c r="S794" s="6"/>
      <c r="T794" s="6"/>
      <c r="U794" s="6"/>
      <c r="V794" s="6"/>
      <c r="W794" s="6"/>
      <c r="X794" s="6"/>
      <c r="Y794" s="6"/>
      <c r="Z794" s="6"/>
      <c r="AA794" s="6"/>
      <c r="BF794" s="26"/>
      <c r="BG794" s="26"/>
      <c r="BH794" s="26"/>
      <c r="BI794" s="26"/>
      <c r="BJ794" s="26"/>
      <c r="BK794" s="26"/>
      <c r="BL794" s="26"/>
      <c r="BM794" s="26"/>
      <c r="BN794" s="26"/>
      <c r="BO794" s="26"/>
      <c r="BP794" s="26"/>
      <c r="BQ794" s="26"/>
      <c r="BR794" s="26"/>
      <c r="BS794" s="26"/>
      <c r="BT794" s="26"/>
      <c r="BU794" s="26"/>
      <c r="BV794" s="26"/>
      <c r="BW794" s="26"/>
      <c r="BX794" s="26"/>
      <c r="BY794" s="26"/>
      <c r="BZ794" s="26"/>
      <c r="CA794" s="26"/>
      <c r="CB794" s="26"/>
      <c r="CC794" s="26"/>
      <c r="CD794" s="26"/>
      <c r="CE794" s="26"/>
      <c r="CF794" s="26"/>
      <c r="CG794" s="26"/>
      <c r="CH794" s="26"/>
      <c r="CI794" s="26"/>
      <c r="CJ794" s="26"/>
      <c r="CK794" s="26"/>
      <c r="CL794" s="26"/>
      <c r="CM794" s="26"/>
      <c r="CN794" s="26"/>
      <c r="CO794" s="26"/>
    </row>
    <row r="795" spans="17:93" ht="12.75" hidden="1" customHeight="1" x14ac:dyDescent="0.25">
      <c r="Q795" s="6"/>
      <c r="R795" s="6"/>
      <c r="S795" s="6"/>
      <c r="T795" s="6"/>
      <c r="U795" s="6"/>
      <c r="V795" s="6"/>
      <c r="W795" s="6"/>
      <c r="X795" s="6"/>
      <c r="Y795" s="6"/>
      <c r="Z795" s="6"/>
      <c r="AA795" s="6"/>
      <c r="BF795" s="26"/>
      <c r="BG795" s="26"/>
      <c r="BH795" s="26"/>
      <c r="BI795" s="26"/>
      <c r="BJ795" s="26"/>
      <c r="BK795" s="26"/>
      <c r="BL795" s="26"/>
      <c r="BM795" s="26"/>
      <c r="BN795" s="26"/>
      <c r="BO795" s="26"/>
      <c r="BP795" s="26"/>
      <c r="BQ795" s="26"/>
      <c r="BR795" s="26"/>
      <c r="BS795" s="26"/>
      <c r="BT795" s="26"/>
      <c r="BU795" s="26"/>
      <c r="BV795" s="26"/>
      <c r="BW795" s="26"/>
      <c r="BX795" s="26"/>
      <c r="BY795" s="26"/>
      <c r="BZ795" s="26"/>
      <c r="CA795" s="26"/>
      <c r="CB795" s="26"/>
      <c r="CC795" s="26"/>
      <c r="CD795" s="26"/>
      <c r="CE795" s="26"/>
      <c r="CF795" s="26"/>
      <c r="CG795" s="26"/>
      <c r="CH795" s="26"/>
      <c r="CI795" s="26"/>
      <c r="CJ795" s="26"/>
      <c r="CK795" s="26"/>
      <c r="CL795" s="26"/>
      <c r="CM795" s="26"/>
      <c r="CN795" s="26"/>
      <c r="CO795" s="26"/>
    </row>
    <row r="796" spans="17:93" ht="12.75" hidden="1" customHeight="1" x14ac:dyDescent="0.25">
      <c r="Q796" s="6"/>
      <c r="R796" s="6"/>
      <c r="S796" s="6"/>
      <c r="T796" s="6"/>
      <c r="U796" s="6"/>
      <c r="V796" s="6"/>
      <c r="W796" s="6"/>
      <c r="X796" s="6"/>
      <c r="Y796" s="6"/>
      <c r="Z796" s="6"/>
      <c r="AA796" s="6"/>
      <c r="BF796" s="26"/>
      <c r="BG796" s="26"/>
      <c r="BH796" s="26"/>
      <c r="BI796" s="26"/>
      <c r="BJ796" s="26"/>
      <c r="BK796" s="26"/>
      <c r="BL796" s="26"/>
      <c r="BM796" s="26"/>
      <c r="BN796" s="26"/>
      <c r="BO796" s="26"/>
      <c r="BP796" s="26"/>
      <c r="BQ796" s="26"/>
      <c r="BR796" s="26"/>
      <c r="BS796" s="26"/>
      <c r="BT796" s="26"/>
      <c r="BU796" s="26"/>
      <c r="BV796" s="26"/>
      <c r="BW796" s="26"/>
      <c r="BX796" s="26"/>
      <c r="BY796" s="26"/>
      <c r="BZ796" s="26"/>
      <c r="CA796" s="26"/>
      <c r="CB796" s="26"/>
      <c r="CC796" s="26"/>
      <c r="CD796" s="26"/>
      <c r="CE796" s="26"/>
      <c r="CF796" s="26"/>
      <c r="CG796" s="26"/>
      <c r="CH796" s="26"/>
      <c r="CI796" s="26"/>
      <c r="CJ796" s="26"/>
      <c r="CK796" s="26"/>
      <c r="CL796" s="26"/>
      <c r="CM796" s="26"/>
      <c r="CN796" s="26"/>
      <c r="CO796" s="26"/>
    </row>
    <row r="797" spans="17:93" ht="12.75" hidden="1" customHeight="1" x14ac:dyDescent="0.25">
      <c r="Q797" s="6"/>
      <c r="R797" s="6"/>
      <c r="S797" s="6"/>
      <c r="T797" s="6"/>
      <c r="U797" s="6"/>
      <c r="V797" s="6"/>
      <c r="W797" s="6"/>
      <c r="X797" s="6"/>
      <c r="Y797" s="6"/>
      <c r="Z797" s="6"/>
      <c r="AA797" s="6"/>
      <c r="BF797" s="26"/>
      <c r="BG797" s="26"/>
      <c r="BH797" s="26"/>
      <c r="BI797" s="26"/>
      <c r="BJ797" s="26"/>
      <c r="BK797" s="26"/>
      <c r="BL797" s="26"/>
      <c r="BM797" s="26"/>
      <c r="BN797" s="26"/>
      <c r="BO797" s="26"/>
      <c r="BP797" s="26"/>
      <c r="BQ797" s="26"/>
      <c r="BR797" s="26"/>
      <c r="BS797" s="26"/>
      <c r="BT797" s="26"/>
      <c r="BU797" s="26"/>
      <c r="BV797" s="26"/>
      <c r="BW797" s="26"/>
      <c r="BX797" s="26"/>
      <c r="BY797" s="26"/>
      <c r="BZ797" s="26"/>
      <c r="CA797" s="26"/>
      <c r="CB797" s="26"/>
      <c r="CC797" s="26"/>
      <c r="CD797" s="26"/>
      <c r="CE797" s="26"/>
      <c r="CF797" s="26"/>
      <c r="CG797" s="26"/>
      <c r="CH797" s="26"/>
      <c r="CI797" s="26"/>
      <c r="CJ797" s="26"/>
      <c r="CK797" s="26"/>
      <c r="CL797" s="26"/>
      <c r="CM797" s="26"/>
      <c r="CN797" s="26"/>
      <c r="CO797" s="26"/>
    </row>
    <row r="798" spans="17:93" ht="12.75" hidden="1" customHeight="1" x14ac:dyDescent="0.25">
      <c r="Q798" s="6"/>
      <c r="R798" s="6"/>
      <c r="S798" s="6"/>
      <c r="T798" s="6"/>
      <c r="U798" s="6"/>
      <c r="V798" s="6"/>
      <c r="W798" s="6"/>
      <c r="X798" s="6"/>
      <c r="Y798" s="6"/>
      <c r="Z798" s="6"/>
      <c r="AA798" s="6"/>
      <c r="BF798" s="26"/>
      <c r="BG798" s="26"/>
      <c r="BH798" s="26"/>
      <c r="BI798" s="26"/>
      <c r="BJ798" s="26"/>
      <c r="BK798" s="26"/>
      <c r="BL798" s="26"/>
      <c r="BM798" s="26"/>
      <c r="BN798" s="26"/>
      <c r="BO798" s="26"/>
      <c r="BP798" s="26"/>
      <c r="BQ798" s="26"/>
      <c r="BR798" s="26"/>
      <c r="BS798" s="26"/>
      <c r="BT798" s="26"/>
      <c r="BU798" s="26"/>
      <c r="BV798" s="26"/>
      <c r="BW798" s="26"/>
      <c r="BX798" s="26"/>
      <c r="BY798" s="26"/>
      <c r="BZ798" s="26"/>
      <c r="CA798" s="26"/>
      <c r="CB798" s="26"/>
      <c r="CC798" s="26"/>
      <c r="CD798" s="26"/>
      <c r="CE798" s="26"/>
      <c r="CF798" s="26"/>
      <c r="CG798" s="26"/>
      <c r="CH798" s="26"/>
      <c r="CI798" s="26"/>
      <c r="CJ798" s="26"/>
      <c r="CK798" s="26"/>
      <c r="CL798" s="26"/>
      <c r="CM798" s="26"/>
      <c r="CN798" s="26"/>
      <c r="CO798" s="26"/>
    </row>
    <row r="799" spans="17:93" ht="12.75" hidden="1" customHeight="1" x14ac:dyDescent="0.25">
      <c r="Q799" s="6"/>
      <c r="R799" s="6"/>
      <c r="S799" s="6"/>
      <c r="T799" s="6"/>
      <c r="U799" s="6"/>
      <c r="V799" s="6"/>
      <c r="W799" s="6"/>
      <c r="X799" s="6"/>
      <c r="Y799" s="6"/>
      <c r="Z799" s="6"/>
      <c r="AA799" s="6"/>
      <c r="BF799" s="26"/>
      <c r="BG799" s="26"/>
      <c r="BH799" s="26"/>
      <c r="BI799" s="26"/>
      <c r="BJ799" s="26"/>
      <c r="BK799" s="26"/>
      <c r="BL799" s="26"/>
      <c r="BM799" s="26"/>
      <c r="BN799" s="26"/>
      <c r="BO799" s="26"/>
      <c r="BP799" s="26"/>
      <c r="BQ799" s="26"/>
      <c r="BR799" s="26"/>
      <c r="BS799" s="26"/>
      <c r="BT799" s="26"/>
      <c r="BU799" s="26"/>
      <c r="BV799" s="26"/>
      <c r="BW799" s="26"/>
      <c r="BX799" s="26"/>
      <c r="BY799" s="26"/>
      <c r="BZ799" s="26"/>
      <c r="CA799" s="26"/>
      <c r="CB799" s="26"/>
      <c r="CC799" s="26"/>
      <c r="CD799" s="26"/>
      <c r="CE799" s="26"/>
      <c r="CF799" s="26"/>
      <c r="CG799" s="26"/>
      <c r="CH799" s="26"/>
      <c r="CI799" s="26"/>
      <c r="CJ799" s="26"/>
      <c r="CK799" s="26"/>
      <c r="CL799" s="26"/>
      <c r="CM799" s="26"/>
      <c r="CN799" s="26"/>
      <c r="CO799" s="26"/>
    </row>
    <row r="800" spans="17:93" ht="12.75" hidden="1" customHeight="1" x14ac:dyDescent="0.25">
      <c r="Q800" s="6"/>
      <c r="R800" s="6"/>
      <c r="S800" s="6"/>
      <c r="T800" s="6"/>
      <c r="U800" s="6"/>
      <c r="V800" s="6"/>
      <c r="W800" s="6"/>
      <c r="X800" s="6"/>
      <c r="Y800" s="6"/>
      <c r="Z800" s="6"/>
      <c r="AA800" s="6"/>
      <c r="BF800" s="26"/>
      <c r="BG800" s="26"/>
      <c r="BH800" s="26"/>
      <c r="BI800" s="26"/>
      <c r="BJ800" s="26"/>
      <c r="BK800" s="26"/>
      <c r="BL800" s="26"/>
      <c r="BM800" s="26"/>
      <c r="BN800" s="26"/>
      <c r="BO800" s="26"/>
      <c r="BP800" s="26"/>
      <c r="BQ800" s="26"/>
      <c r="BR800" s="26"/>
      <c r="BS800" s="26"/>
      <c r="BT800" s="26"/>
      <c r="BU800" s="26"/>
      <c r="BV800" s="26"/>
      <c r="BW800" s="26"/>
      <c r="BX800" s="26"/>
      <c r="BY800" s="26"/>
      <c r="BZ800" s="26"/>
      <c r="CA800" s="26"/>
      <c r="CB800" s="26"/>
      <c r="CC800" s="26"/>
      <c r="CD800" s="26"/>
      <c r="CE800" s="26"/>
      <c r="CF800" s="26"/>
      <c r="CG800" s="26"/>
      <c r="CH800" s="26"/>
      <c r="CI800" s="26"/>
      <c r="CJ800" s="26"/>
      <c r="CK800" s="26"/>
      <c r="CL800" s="26"/>
      <c r="CM800" s="26"/>
      <c r="CN800" s="26"/>
      <c r="CO800" s="26"/>
    </row>
    <row r="801" spans="17:93" ht="12.75" hidden="1" customHeight="1" x14ac:dyDescent="0.25">
      <c r="Q801" s="6"/>
      <c r="R801" s="6"/>
      <c r="S801" s="6"/>
      <c r="T801" s="6"/>
      <c r="U801" s="6"/>
      <c r="V801" s="6"/>
      <c r="W801" s="6"/>
      <c r="X801" s="6"/>
      <c r="Y801" s="6"/>
      <c r="Z801" s="6"/>
      <c r="AA801" s="6"/>
      <c r="BF801" s="26"/>
      <c r="BG801" s="26"/>
      <c r="BH801" s="26"/>
      <c r="BI801" s="26"/>
      <c r="BJ801" s="26"/>
      <c r="BK801" s="26"/>
      <c r="BL801" s="26"/>
      <c r="BM801" s="26"/>
      <c r="BN801" s="26"/>
      <c r="BO801" s="26"/>
      <c r="BP801" s="26"/>
      <c r="BQ801" s="26"/>
      <c r="BR801" s="26"/>
      <c r="BS801" s="26"/>
      <c r="BT801" s="26"/>
      <c r="BU801" s="26"/>
      <c r="BV801" s="26"/>
      <c r="BW801" s="26"/>
      <c r="BX801" s="26"/>
      <c r="BY801" s="26"/>
      <c r="BZ801" s="26"/>
      <c r="CA801" s="26"/>
      <c r="CB801" s="26"/>
      <c r="CC801" s="26"/>
      <c r="CD801" s="26"/>
      <c r="CE801" s="26"/>
      <c r="CF801" s="26"/>
      <c r="CG801" s="26"/>
      <c r="CH801" s="26"/>
      <c r="CI801" s="26"/>
      <c r="CJ801" s="26"/>
      <c r="CK801" s="26"/>
      <c r="CL801" s="26"/>
      <c r="CM801" s="26"/>
      <c r="CN801" s="26"/>
      <c r="CO801" s="26"/>
    </row>
    <row r="802" spans="17:93" ht="12.75" hidden="1" customHeight="1" x14ac:dyDescent="0.25">
      <c r="Q802" s="6"/>
      <c r="R802" s="6"/>
      <c r="S802" s="6"/>
      <c r="T802" s="6"/>
      <c r="U802" s="6"/>
      <c r="V802" s="6"/>
      <c r="W802" s="6"/>
      <c r="X802" s="6"/>
      <c r="Y802" s="6"/>
      <c r="Z802" s="6"/>
      <c r="AA802" s="6"/>
      <c r="BF802" s="26"/>
      <c r="BG802" s="26"/>
      <c r="BH802" s="26"/>
      <c r="BI802" s="26"/>
      <c r="BJ802" s="26"/>
      <c r="BK802" s="26"/>
      <c r="BL802" s="26"/>
      <c r="BM802" s="26"/>
      <c r="BN802" s="26"/>
      <c r="BO802" s="26"/>
      <c r="BP802" s="26"/>
      <c r="BQ802" s="26"/>
      <c r="BR802" s="26"/>
      <c r="BS802" s="26"/>
      <c r="BT802" s="26"/>
      <c r="BU802" s="26"/>
      <c r="BV802" s="26"/>
      <c r="BW802" s="26"/>
      <c r="BX802" s="26"/>
      <c r="BY802" s="26"/>
      <c r="BZ802" s="26"/>
      <c r="CA802" s="26"/>
      <c r="CB802" s="26"/>
      <c r="CC802" s="26"/>
      <c r="CD802" s="26"/>
      <c r="CE802" s="26"/>
      <c r="CF802" s="26"/>
      <c r="CG802" s="26"/>
      <c r="CH802" s="26"/>
      <c r="CI802" s="26"/>
      <c r="CJ802" s="26"/>
      <c r="CK802" s="26"/>
      <c r="CL802" s="26"/>
      <c r="CM802" s="26"/>
      <c r="CN802" s="26"/>
      <c r="CO802" s="26"/>
    </row>
    <row r="803" spans="17:93" ht="12.75" hidden="1" customHeight="1" x14ac:dyDescent="0.25">
      <c r="Q803" s="6"/>
      <c r="R803" s="6"/>
      <c r="S803" s="6"/>
      <c r="T803" s="6"/>
      <c r="U803" s="6"/>
      <c r="V803" s="6"/>
      <c r="W803" s="6"/>
      <c r="X803" s="6"/>
      <c r="Y803" s="6"/>
      <c r="Z803" s="6"/>
      <c r="AA803" s="6"/>
      <c r="BF803" s="26"/>
      <c r="BG803" s="26"/>
      <c r="BH803" s="26"/>
      <c r="BI803" s="26"/>
      <c r="BJ803" s="26"/>
      <c r="BK803" s="26"/>
      <c r="BL803" s="26"/>
      <c r="BM803" s="26"/>
      <c r="BN803" s="26"/>
      <c r="BO803" s="26"/>
      <c r="BP803" s="26"/>
      <c r="BQ803" s="26"/>
      <c r="BR803" s="26"/>
      <c r="BS803" s="26"/>
      <c r="BT803" s="26"/>
      <c r="BU803" s="26"/>
      <c r="BV803" s="26"/>
      <c r="BW803" s="26"/>
      <c r="BX803" s="26"/>
      <c r="BY803" s="26"/>
      <c r="BZ803" s="26"/>
      <c r="CA803" s="26"/>
      <c r="CB803" s="26"/>
      <c r="CC803" s="26"/>
      <c r="CD803" s="26"/>
      <c r="CE803" s="26"/>
      <c r="CF803" s="26"/>
      <c r="CG803" s="26"/>
      <c r="CH803" s="26"/>
      <c r="CI803" s="26"/>
      <c r="CJ803" s="26"/>
      <c r="CK803" s="26"/>
      <c r="CL803" s="26"/>
      <c r="CM803" s="26"/>
      <c r="CN803" s="26"/>
      <c r="CO803" s="26"/>
    </row>
    <row r="804" spans="17:93" ht="12.75" hidden="1" customHeight="1" x14ac:dyDescent="0.25">
      <c r="Q804" s="6"/>
      <c r="R804" s="6"/>
      <c r="S804" s="6"/>
      <c r="T804" s="6"/>
      <c r="U804" s="6"/>
      <c r="V804" s="6"/>
      <c r="W804" s="6"/>
      <c r="X804" s="6"/>
      <c r="Y804" s="6"/>
      <c r="Z804" s="6"/>
      <c r="AA804" s="6"/>
      <c r="BF804" s="26"/>
      <c r="BG804" s="26"/>
      <c r="BH804" s="26"/>
      <c r="BI804" s="26"/>
      <c r="BJ804" s="26"/>
      <c r="BK804" s="26"/>
      <c r="BL804" s="26"/>
      <c r="BM804" s="26"/>
      <c r="BN804" s="26"/>
      <c r="BO804" s="26"/>
      <c r="BP804" s="26"/>
      <c r="BQ804" s="26"/>
      <c r="BR804" s="26"/>
      <c r="BS804" s="26"/>
      <c r="BT804" s="26"/>
      <c r="BU804" s="26"/>
      <c r="BV804" s="26"/>
      <c r="BW804" s="26"/>
      <c r="BX804" s="26"/>
      <c r="BY804" s="26"/>
      <c r="BZ804" s="26"/>
      <c r="CA804" s="26"/>
      <c r="CB804" s="26"/>
      <c r="CC804" s="26"/>
      <c r="CD804" s="26"/>
      <c r="CE804" s="26"/>
      <c r="CF804" s="26"/>
      <c r="CG804" s="26"/>
      <c r="CH804" s="26"/>
      <c r="CI804" s="26"/>
      <c r="CJ804" s="26"/>
      <c r="CK804" s="26"/>
      <c r="CL804" s="26"/>
      <c r="CM804" s="26"/>
      <c r="CN804" s="26"/>
      <c r="CO804" s="26"/>
    </row>
    <row r="805" spans="17:93" ht="12.75" hidden="1" customHeight="1" x14ac:dyDescent="0.25">
      <c r="Q805" s="6"/>
      <c r="R805" s="6"/>
      <c r="S805" s="6"/>
      <c r="T805" s="6"/>
      <c r="U805" s="6"/>
      <c r="V805" s="6"/>
      <c r="W805" s="6"/>
      <c r="X805" s="6"/>
      <c r="Y805" s="6"/>
      <c r="Z805" s="6"/>
      <c r="AA805" s="6"/>
      <c r="BF805" s="26"/>
      <c r="BG805" s="26"/>
      <c r="BH805" s="26"/>
      <c r="BI805" s="26"/>
      <c r="BJ805" s="26"/>
      <c r="BK805" s="26"/>
      <c r="BL805" s="26"/>
      <c r="BM805" s="26"/>
      <c r="BN805" s="26"/>
      <c r="BO805" s="26"/>
      <c r="BP805" s="26"/>
      <c r="BQ805" s="26"/>
      <c r="BR805" s="26"/>
      <c r="BS805" s="26"/>
      <c r="BT805" s="26"/>
      <c r="BU805" s="26"/>
      <c r="BV805" s="26"/>
      <c r="BW805" s="26"/>
      <c r="BX805" s="26"/>
      <c r="BY805" s="26"/>
      <c r="BZ805" s="26"/>
      <c r="CA805" s="26"/>
      <c r="CB805" s="26"/>
      <c r="CC805" s="26"/>
      <c r="CD805" s="26"/>
      <c r="CE805" s="26"/>
      <c r="CF805" s="26"/>
      <c r="CG805" s="26"/>
      <c r="CH805" s="26"/>
      <c r="CI805" s="26"/>
      <c r="CJ805" s="26"/>
      <c r="CK805" s="26"/>
      <c r="CL805" s="26"/>
      <c r="CM805" s="26"/>
      <c r="CN805" s="26"/>
      <c r="CO805" s="26"/>
    </row>
    <row r="806" spans="17:93" ht="12.75" hidden="1" customHeight="1" x14ac:dyDescent="0.25">
      <c r="Q806" s="6"/>
      <c r="R806" s="6"/>
      <c r="S806" s="6"/>
      <c r="T806" s="6"/>
      <c r="U806" s="6"/>
      <c r="V806" s="6"/>
      <c r="W806" s="6"/>
      <c r="X806" s="6"/>
      <c r="Y806" s="6"/>
      <c r="Z806" s="6"/>
      <c r="AA806" s="6"/>
      <c r="BF806" s="26"/>
      <c r="BG806" s="26"/>
      <c r="BH806" s="26"/>
      <c r="BI806" s="26"/>
      <c r="BJ806" s="26"/>
      <c r="BK806" s="26"/>
      <c r="BL806" s="26"/>
      <c r="BM806" s="26"/>
      <c r="BN806" s="26"/>
      <c r="BO806" s="26"/>
      <c r="BP806" s="26"/>
      <c r="BQ806" s="26"/>
      <c r="BR806" s="26"/>
      <c r="BS806" s="26"/>
      <c r="BT806" s="26"/>
      <c r="BU806" s="26"/>
      <c r="BV806" s="26"/>
      <c r="BW806" s="26"/>
      <c r="BX806" s="26"/>
      <c r="BY806" s="26"/>
      <c r="BZ806" s="26"/>
      <c r="CA806" s="26"/>
      <c r="CB806" s="26"/>
      <c r="CC806" s="26"/>
      <c r="CD806" s="26"/>
      <c r="CE806" s="26"/>
      <c r="CF806" s="26"/>
      <c r="CG806" s="26"/>
      <c r="CH806" s="26"/>
      <c r="CI806" s="26"/>
      <c r="CJ806" s="26"/>
      <c r="CK806" s="26"/>
      <c r="CL806" s="26"/>
      <c r="CM806" s="26"/>
      <c r="CN806" s="26"/>
      <c r="CO806" s="26"/>
    </row>
    <row r="807" spans="17:93" ht="12.75" hidden="1" customHeight="1" x14ac:dyDescent="0.25">
      <c r="Q807" s="6"/>
      <c r="R807" s="6"/>
      <c r="S807" s="6"/>
      <c r="T807" s="6"/>
      <c r="U807" s="6"/>
      <c r="V807" s="6"/>
      <c r="W807" s="6"/>
      <c r="X807" s="6"/>
      <c r="Y807" s="6"/>
      <c r="Z807" s="6"/>
      <c r="AA807" s="6"/>
      <c r="BF807" s="26"/>
      <c r="BG807" s="26"/>
      <c r="BH807" s="26"/>
      <c r="BI807" s="26"/>
      <c r="BJ807" s="26"/>
      <c r="BK807" s="26"/>
      <c r="BL807" s="26"/>
      <c r="BM807" s="26"/>
      <c r="BN807" s="26"/>
      <c r="BO807" s="26"/>
      <c r="BP807" s="26"/>
      <c r="BQ807" s="26"/>
      <c r="BR807" s="26"/>
      <c r="BS807" s="26"/>
      <c r="BT807" s="26"/>
      <c r="BU807" s="26"/>
      <c r="BV807" s="26"/>
      <c r="BW807" s="26"/>
      <c r="BX807" s="26"/>
      <c r="BY807" s="26"/>
      <c r="BZ807" s="26"/>
      <c r="CA807" s="26"/>
      <c r="CB807" s="26"/>
      <c r="CC807" s="26"/>
      <c r="CD807" s="26"/>
      <c r="CE807" s="26"/>
      <c r="CF807" s="26"/>
      <c r="CG807" s="26"/>
      <c r="CH807" s="26"/>
      <c r="CI807" s="26"/>
      <c r="CJ807" s="26"/>
      <c r="CK807" s="26"/>
      <c r="CL807" s="26"/>
      <c r="CM807" s="26"/>
      <c r="CN807" s="26"/>
      <c r="CO807" s="26"/>
    </row>
    <row r="808" spans="17:93" ht="12.75" hidden="1" customHeight="1" x14ac:dyDescent="0.25">
      <c r="Q808" s="6"/>
      <c r="R808" s="6"/>
      <c r="S808" s="6"/>
      <c r="T808" s="6"/>
      <c r="U808" s="6"/>
      <c r="V808" s="6"/>
      <c r="W808" s="6"/>
      <c r="X808" s="6"/>
      <c r="Y808" s="6"/>
      <c r="Z808" s="6"/>
      <c r="AA808" s="6"/>
      <c r="BF808" s="26"/>
      <c r="BG808" s="26"/>
      <c r="BH808" s="26"/>
      <c r="BI808" s="26"/>
      <c r="BJ808" s="26"/>
      <c r="BK808" s="26"/>
      <c r="BL808" s="26"/>
      <c r="BM808" s="26"/>
      <c r="BN808" s="26"/>
      <c r="BO808" s="26"/>
      <c r="BP808" s="26"/>
      <c r="BQ808" s="26"/>
      <c r="BR808" s="26"/>
      <c r="BS808" s="26"/>
      <c r="BT808" s="26"/>
      <c r="BU808" s="26"/>
      <c r="BV808" s="26"/>
      <c r="BW808" s="26"/>
      <c r="BX808" s="26"/>
      <c r="BY808" s="26"/>
      <c r="BZ808" s="26"/>
      <c r="CA808" s="26"/>
      <c r="CB808" s="26"/>
      <c r="CC808" s="26"/>
      <c r="CD808" s="26"/>
      <c r="CE808" s="26"/>
      <c r="CF808" s="26"/>
      <c r="CG808" s="26"/>
      <c r="CH808" s="26"/>
      <c r="CI808" s="26"/>
      <c r="CJ808" s="26"/>
      <c r="CK808" s="26"/>
      <c r="CL808" s="26"/>
      <c r="CM808" s="26"/>
      <c r="CN808" s="26"/>
      <c r="CO808" s="26"/>
    </row>
  </sheetData>
  <mergeCells count="128">
    <mergeCell ref="S591:T591"/>
    <mergeCell ref="S592:T592"/>
    <mergeCell ref="S593:T593"/>
    <mergeCell ref="S594:T594"/>
    <mergeCell ref="S595:T595"/>
    <mergeCell ref="Q605:R605"/>
    <mergeCell ref="Q606:R606"/>
    <mergeCell ref="Q608:R608"/>
    <mergeCell ref="P488:Q488"/>
    <mergeCell ref="H493:I493"/>
    <mergeCell ref="J553:M553"/>
    <mergeCell ref="K555:M555"/>
    <mergeCell ref="R586:Z586"/>
    <mergeCell ref="S587:T587"/>
    <mergeCell ref="S588:T588"/>
    <mergeCell ref="S589:T589"/>
    <mergeCell ref="S590:T590"/>
    <mergeCell ref="AE405:AF405"/>
    <mergeCell ref="AH405:AI405"/>
    <mergeCell ref="AH406:AI406"/>
    <mergeCell ref="AE406:AF406"/>
    <mergeCell ref="AE407:AF407"/>
    <mergeCell ref="AE409:AF409"/>
    <mergeCell ref="AE410:AF410"/>
    <mergeCell ref="AE411:AF411"/>
    <mergeCell ref="M426:R427"/>
    <mergeCell ref="C120:D120"/>
    <mergeCell ref="E60:F60"/>
    <mergeCell ref="N63:O63"/>
    <mergeCell ref="L65:N65"/>
    <mergeCell ref="E66:G66"/>
    <mergeCell ref="I66:J66"/>
    <mergeCell ref="AX102:BA102"/>
    <mergeCell ref="AM105:AN105"/>
    <mergeCell ref="AY103:BA103"/>
    <mergeCell ref="AM104:AN104"/>
    <mergeCell ref="AB395:AI395"/>
    <mergeCell ref="AE397:AF397"/>
    <mergeCell ref="AH397:AI397"/>
    <mergeCell ref="AE400:AF400"/>
    <mergeCell ref="AE401:AF401"/>
    <mergeCell ref="AH407:AI407"/>
    <mergeCell ref="AH409:AI409"/>
    <mergeCell ref="AH410:AI410"/>
    <mergeCell ref="AH411:AI411"/>
    <mergeCell ref="AH400:AI400"/>
    <mergeCell ref="AH401:AI401"/>
    <mergeCell ref="AE402:AF402"/>
    <mergeCell ref="AH402:AI402"/>
    <mergeCell ref="N52:O52"/>
    <mergeCell ref="J48:K48"/>
    <mergeCell ref="J49:K49"/>
    <mergeCell ref="C53:O53"/>
    <mergeCell ref="E56:F56"/>
    <mergeCell ref="E57:F57"/>
    <mergeCell ref="E58:F58"/>
    <mergeCell ref="E59:F59"/>
    <mergeCell ref="C69:O113"/>
    <mergeCell ref="J46:K46"/>
    <mergeCell ref="J47:K47"/>
    <mergeCell ref="I39:J39"/>
    <mergeCell ref="K39:L39"/>
    <mergeCell ref="I40:M40"/>
    <mergeCell ref="L43:O43"/>
    <mergeCell ref="H44:I44"/>
    <mergeCell ref="L44:O44"/>
    <mergeCell ref="L45:O49"/>
    <mergeCell ref="F33:G33"/>
    <mergeCell ref="F34:G34"/>
    <mergeCell ref="F38:G38"/>
    <mergeCell ref="F39:G39"/>
    <mergeCell ref="E42:G42"/>
    <mergeCell ref="E44:F44"/>
    <mergeCell ref="C45:F45"/>
    <mergeCell ref="F35:G35"/>
    <mergeCell ref="I35:J35"/>
    <mergeCell ref="F36:G36"/>
    <mergeCell ref="I36:J36"/>
    <mergeCell ref="F37:G37"/>
    <mergeCell ref="I37:J37"/>
    <mergeCell ref="I38:J38"/>
    <mergeCell ref="F26:G26"/>
    <mergeCell ref="F27:G27"/>
    <mergeCell ref="F28:G28"/>
    <mergeCell ref="F29:G29"/>
    <mergeCell ref="L29:M29"/>
    <mergeCell ref="Q29:AC29"/>
    <mergeCell ref="F30:G30"/>
    <mergeCell ref="F31:G31"/>
    <mergeCell ref="L31:M32"/>
    <mergeCell ref="N31:N32"/>
    <mergeCell ref="F32:G32"/>
    <mergeCell ref="F20:G20"/>
    <mergeCell ref="F21:G21"/>
    <mergeCell ref="K21:M21"/>
    <mergeCell ref="F22:G22"/>
    <mergeCell ref="F23:G23"/>
    <mergeCell ref="K23:M23"/>
    <mergeCell ref="F24:G24"/>
    <mergeCell ref="K25:M25"/>
    <mergeCell ref="F25:G25"/>
    <mergeCell ref="J12:M12"/>
    <mergeCell ref="L13:M13"/>
    <mergeCell ref="B14:C14"/>
    <mergeCell ref="B15:C15"/>
    <mergeCell ref="B16:C16"/>
    <mergeCell ref="B17:C17"/>
    <mergeCell ref="I17:M17"/>
    <mergeCell ref="B18:C18"/>
    <mergeCell ref="K19:M19"/>
    <mergeCell ref="L7:O7"/>
    <mergeCell ref="E8:G8"/>
    <mergeCell ref="L8:M8"/>
    <mergeCell ref="N8:O8"/>
    <mergeCell ref="M9:O9"/>
    <mergeCell ref="K10:L10"/>
    <mergeCell ref="M10:O10"/>
    <mergeCell ref="K11:L11"/>
    <mergeCell ref="M11:O11"/>
    <mergeCell ref="E2:I2"/>
    <mergeCell ref="L2:O2"/>
    <mergeCell ref="F3:J3"/>
    <mergeCell ref="L3:O3"/>
    <mergeCell ref="L4:O4"/>
    <mergeCell ref="AF4:AN4"/>
    <mergeCell ref="AV4:BB4"/>
    <mergeCell ref="L5:O5"/>
    <mergeCell ref="L6:O6"/>
  </mergeCells>
  <dataValidations count="15">
    <dataValidation type="decimal" allowBlank="1" showInputMessage="1" prompt="Ironing Center Circuits. - Enter the number of circuits to built-in ironing centers." sqref="E31" xr:uid="{00000000-0002-0000-0100-000000000000}">
      <formula1>0</formula1>
      <formula2>10</formula2>
    </dataValidation>
    <dataValidation type="decimal" allowBlank="1" showInputMessage="1" showErrorMessage="1" prompt="Number of Appliances. - Enter the total number of each appliance.  See equipment set-up sheet for adding your own loads." sqref="E22:E24" xr:uid="{00000000-0002-0000-0100-000001000000}">
      <formula1>0</formula1>
      <formula2>10</formula2>
    </dataValidation>
    <dataValidation type="decimal" operator="greaterThanOrEqual" allowBlank="1" showInputMessage="1" showErrorMessage="1" prompt="Other Loads - Enter the wattage or volt-amperes of this load._x000a__x000a_If load is 120 volt connected, Check box to the left." sqref="E38:E39" xr:uid="{00000000-0002-0000-0100-000002000000}">
      <formula1>0</formula1>
    </dataValidation>
    <dataValidation type="decimal" operator="greaterThan" allowBlank="1" showInputMessage="1" prompt="Fixed Electric Space Heating. - Art. 220-15. Fixed electric space heating loads shall be computed at 100 percent of the total connected load. Enter the sum total in watts for all heat strips." sqref="L14" xr:uid="{00000000-0002-0000-0100-000003000000}">
      <formula1>4999</formula1>
    </dataValidation>
    <dataValidation type="decimal" allowBlank="1" showInputMessage="1" showErrorMessage="1" prompt="Number of Appliances. - Enter the quantity of each appliance. Use the dropdown box to select the load of this appliance." sqref="E20" xr:uid="{00000000-0002-0000-0100-000004000000}">
      <formula1>0</formula1>
      <formula2>10</formula2>
    </dataValidation>
    <dataValidation type="decimal" operator="greaterThanOrEqual" allowBlank="1" showInputMessage="1" showErrorMessage="1" prompt="Branch Circuits Required. - 210-11(C)(2) ... at least one addtional 20 ampere branch circuit shall be provided to supply laundry receptacle outlet(s) required by Section 210-52(f)._x000a__x000a_" sqref="E7" xr:uid="{00000000-0002-0000-0100-000005000000}">
      <formula1>1</formula1>
    </dataValidation>
    <dataValidation type="decimal" allowBlank="1" showInputMessage="1" showErrorMessage="1" prompt="Number of Appliances. - Enter the total number of each appliance.  See equipment set-up sheet for adding your own loads._x000a__x000a_If this load is 120 volt connected, check box." sqref="E27" xr:uid="{00000000-0002-0000-0100-000006000000}">
      <formula1>0</formula1>
      <formula2>10</formula2>
    </dataValidation>
    <dataValidation type="decimal" allowBlank="1" showInputMessage="1" showErrorMessage="1" prompt="Number of Appliances. - Enter the total number of each appliance.  See equipment set-up sheet for adding your own loads." sqref="E30" xr:uid="{00000000-0002-0000-0100-000007000000}">
      <formula1>0</formula1>
      <formula2>40</formula2>
    </dataValidation>
    <dataValidation type="decimal" operator="greaterThanOrEqual" allowBlank="1" showInputMessage="1" showErrorMessage="1" prompt="Branch Circuits Required. - 210-11(C) (1)...two or more 20-ampere small appliance branch circuits shall be provided for all receptacle outlets specified by Section 210-52 (B)_x000a__x000a_" sqref="E6" xr:uid="{00000000-0002-0000-0100-000008000000}">
      <formula1>2</formula1>
    </dataValidation>
    <dataValidation type="custom" allowBlank="1" showInputMessage="1" showErrorMessage="1" prompt="Electric Clothes Dryers. - Enter the watt load of the electric clothes dryer. For the standard method any value less than &quot;5000&quot; watts will be defaulted in the Dryer Demand Load. " sqref="H42" xr:uid="{00000000-0002-0000-0100-000009000000}">
      <formula1>IF(E121,H42&gt;0,H42&gt;4999)</formula1>
    </dataValidation>
    <dataValidation type="decimal" allowBlank="1" showInputMessage="1" promptTitle="Column C Demand." prompt="If not entering a load in the cell above, you may enter the number of appliances not over 12 kW each and take the Column C Maximum Demand._x000a_EXAMPLE:   (1) cooktop and (2) wall mounted ovens.                         Total 3 appliances. Enter 3" sqref="G45" xr:uid="{00000000-0002-0000-0100-00000A000000}">
      <formula1>0</formula1>
      <formula2>10</formula2>
    </dataValidation>
    <dataValidation type="decimal" allowBlank="1" showInputMessage="1" showErrorMessage="1" promptTitle="Column B Demand Factors" prompt="Over 3 1/2 kW to 8 3/4 kW. In lieu of the method provided in column &quot;C&quot;, it shall be permissible to add the nameplate ratings of all cooking appliances rated 3 1/2 kW but not more than 8 3/4 kW and multiply by the demand factors specified in column B. " sqref="I46:I49" xr:uid="{00000000-0002-0000-0100-00000B000000}">
      <formula1>0</formula1>
      <formula2>12000</formula2>
    </dataValidation>
    <dataValidation type="decimal" allowBlank="1" showInputMessage="1" showErrorMessage="1" prompt=" - " sqref="G44" xr:uid="{00000000-0002-0000-0100-00000C000000}">
      <formula1>0</formula1>
      <formula2>27000</formula2>
    </dataValidation>
    <dataValidation type="decimal" operator="greaterThan" allowBlank="1" showInputMessage="1" showErrorMessage="1" prompt=" - " sqref="C7:D7" xr:uid="{00000000-0002-0000-0100-00000D000000}">
      <formula1>749</formula1>
    </dataValidation>
    <dataValidation type="decimal" allowBlank="1" showInputMessage="1" showErrorMessage="1" prompt="Number of Appliances. - Enter the total number of each appliance. See equipment set-up sheet for adding your own loads." sqref="E21 E25:E26 E28:E29" xr:uid="{00000000-0002-0000-0100-00000E000000}">
      <formula1>0</formula1>
      <formula2>10</formula2>
    </dataValidation>
  </dataValidations>
  <hyperlinks>
    <hyperlink ref="N52" r:id="rId1" xr:uid="{00000000-0004-0000-0100-000000000000}"/>
  </hyperlinks>
  <pageMargins left="0.7" right="0.7" top="0.75" bottom="0.75" header="0" footer="0"/>
  <pageSetup orientation="landscape"/>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FFFF"/>
  </sheetPr>
  <dimension ref="A1:Z1000"/>
  <sheetViews>
    <sheetView workbookViewId="0">
      <selection activeCell="L13" sqref="L12:L13"/>
    </sheetView>
  </sheetViews>
  <sheetFormatPr defaultColWidth="12.6640625" defaultRowHeight="15" customHeight="1" x14ac:dyDescent="0.25"/>
  <cols>
    <col min="1" max="3" width="8" customWidth="1"/>
    <col min="4" max="4" width="8.77734375" customWidth="1"/>
    <col min="5" max="5" width="6" customWidth="1"/>
    <col min="6" max="26" width="8" customWidth="1"/>
  </cols>
  <sheetData>
    <row r="1" spans="1:26" ht="12.75" customHeight="1" x14ac:dyDescent="0.25">
      <c r="A1" s="383"/>
      <c r="B1" s="383"/>
      <c r="C1" s="383"/>
      <c r="D1" s="383"/>
      <c r="E1" s="383"/>
      <c r="F1" s="383"/>
      <c r="G1" s="383"/>
      <c r="H1" s="524"/>
      <c r="I1" s="524"/>
      <c r="J1" s="524"/>
      <c r="K1" s="524"/>
      <c r="L1" s="524"/>
      <c r="M1" s="524"/>
      <c r="N1" s="524"/>
      <c r="O1" s="524"/>
      <c r="P1" s="524"/>
      <c r="Q1" s="524"/>
      <c r="R1" s="524"/>
      <c r="S1" s="524"/>
      <c r="T1" s="524"/>
      <c r="U1" s="524"/>
      <c r="V1" s="524"/>
      <c r="W1" s="524"/>
      <c r="X1" s="524"/>
      <c r="Y1" s="524"/>
      <c r="Z1" s="524"/>
    </row>
    <row r="2" spans="1:26" ht="12.75" customHeight="1" x14ac:dyDescent="0.25">
      <c r="A2" s="383"/>
      <c r="B2" s="383"/>
      <c r="C2" s="383"/>
      <c r="D2" s="383"/>
      <c r="E2" s="383"/>
      <c r="F2" s="383"/>
      <c r="G2" s="383"/>
      <c r="H2" s="524"/>
      <c r="I2" s="524"/>
      <c r="J2" s="524"/>
      <c r="K2" s="524"/>
      <c r="L2" s="524"/>
      <c r="M2" s="524"/>
      <c r="N2" s="524"/>
      <c r="O2" s="524"/>
      <c r="P2" s="524"/>
      <c r="Q2" s="524"/>
      <c r="R2" s="524"/>
      <c r="S2" s="524"/>
      <c r="T2" s="524"/>
      <c r="U2" s="524"/>
      <c r="V2" s="524"/>
      <c r="W2" s="524"/>
      <c r="X2" s="524"/>
      <c r="Y2" s="524"/>
      <c r="Z2" s="524"/>
    </row>
    <row r="3" spans="1:26" ht="12.75" customHeight="1" x14ac:dyDescent="0.25">
      <c r="A3" s="383"/>
      <c r="B3" s="383"/>
      <c r="C3" s="383"/>
      <c r="D3" s="383"/>
      <c r="E3" s="383"/>
      <c r="F3" s="383"/>
      <c r="G3" s="383"/>
      <c r="H3" s="524"/>
      <c r="I3" s="524"/>
      <c r="J3" s="524"/>
      <c r="K3" s="524"/>
      <c r="L3" s="524"/>
      <c r="M3" s="524"/>
      <c r="N3" s="524"/>
      <c r="O3" s="524"/>
      <c r="P3" s="524"/>
      <c r="Q3" s="524"/>
      <c r="R3" s="524"/>
      <c r="S3" s="524"/>
      <c r="T3" s="524"/>
      <c r="U3" s="524"/>
      <c r="V3" s="524"/>
      <c r="W3" s="524"/>
      <c r="X3" s="524"/>
      <c r="Y3" s="524"/>
      <c r="Z3" s="524"/>
    </row>
    <row r="4" spans="1:26" ht="12.75" customHeight="1" x14ac:dyDescent="0.25">
      <c r="A4" s="383"/>
      <c r="B4" s="383"/>
      <c r="C4" s="383"/>
      <c r="D4" s="383"/>
      <c r="E4" s="383"/>
      <c r="F4" s="383"/>
      <c r="G4" s="383"/>
      <c r="H4" s="524"/>
      <c r="I4" s="524"/>
      <c r="J4" s="524"/>
      <c r="K4" s="524"/>
      <c r="L4" s="524"/>
      <c r="M4" s="524"/>
      <c r="N4" s="524"/>
      <c r="O4" s="524"/>
      <c r="P4" s="524"/>
      <c r="Q4" s="524"/>
      <c r="R4" s="524"/>
      <c r="S4" s="524"/>
      <c r="T4" s="524"/>
      <c r="U4" s="524"/>
      <c r="V4" s="524"/>
      <c r="W4" s="524"/>
      <c r="X4" s="524"/>
      <c r="Y4" s="524"/>
      <c r="Z4" s="524"/>
    </row>
    <row r="5" spans="1:26" ht="13.5" customHeight="1" x14ac:dyDescent="0.25">
      <c r="A5" s="383"/>
      <c r="B5" s="384" t="s">
        <v>401</v>
      </c>
      <c r="C5" s="383"/>
      <c r="D5" s="383"/>
      <c r="E5" s="383"/>
      <c r="F5" s="383"/>
      <c r="G5" s="383"/>
      <c r="H5" s="524"/>
      <c r="I5" s="524"/>
      <c r="J5" s="524"/>
      <c r="K5" s="524"/>
      <c r="L5" s="524"/>
      <c r="M5" s="524"/>
      <c r="N5" s="524"/>
      <c r="O5" s="524"/>
      <c r="P5" s="524"/>
      <c r="Q5" s="524"/>
      <c r="R5" s="524"/>
      <c r="S5" s="524"/>
      <c r="T5" s="524"/>
      <c r="U5" s="524"/>
      <c r="V5" s="524"/>
      <c r="W5" s="524"/>
      <c r="X5" s="524"/>
      <c r="Y5" s="524"/>
      <c r="Z5" s="524"/>
    </row>
    <row r="6" spans="1:26" ht="13.5" customHeight="1" x14ac:dyDescent="0.25">
      <c r="A6" s="383"/>
      <c r="B6" s="464" t="s">
        <v>401</v>
      </c>
      <c r="C6" s="391"/>
      <c r="D6" s="391"/>
      <c r="E6" s="386"/>
      <c r="F6" s="383"/>
      <c r="G6" s="383"/>
      <c r="H6" s="524"/>
      <c r="I6" s="524"/>
      <c r="J6" s="524"/>
      <c r="K6" s="524"/>
      <c r="L6" s="524"/>
      <c r="M6" s="524"/>
      <c r="N6" s="524"/>
      <c r="O6" s="524"/>
      <c r="P6" s="524"/>
      <c r="Q6" s="524"/>
      <c r="R6" s="524"/>
      <c r="S6" s="524"/>
      <c r="T6" s="524"/>
      <c r="U6" s="524"/>
      <c r="V6" s="524"/>
      <c r="W6" s="524"/>
      <c r="X6" s="524"/>
      <c r="Y6" s="524"/>
      <c r="Z6" s="524"/>
    </row>
    <row r="7" spans="1:26" ht="12.75" customHeight="1" x14ac:dyDescent="0.25">
      <c r="A7" s="383"/>
      <c r="B7" s="383" t="s">
        <v>18</v>
      </c>
      <c r="C7" s="383"/>
      <c r="D7" s="383"/>
      <c r="E7" s="383"/>
      <c r="F7" s="383"/>
      <c r="G7" s="383"/>
      <c r="H7" s="524"/>
      <c r="I7" s="524"/>
      <c r="J7" s="524"/>
      <c r="K7" s="524"/>
      <c r="L7" s="524"/>
      <c r="M7" s="524"/>
      <c r="N7" s="524"/>
      <c r="O7" s="524"/>
      <c r="P7" s="524"/>
      <c r="Q7" s="524"/>
      <c r="R7" s="524"/>
      <c r="S7" s="524"/>
      <c r="T7" s="524"/>
      <c r="U7" s="524"/>
      <c r="V7" s="524"/>
      <c r="W7" s="524"/>
      <c r="X7" s="524"/>
      <c r="Y7" s="524"/>
      <c r="Z7" s="524"/>
    </row>
    <row r="8" spans="1:26" ht="13.5" customHeight="1" x14ac:dyDescent="0.25">
      <c r="A8" s="383"/>
      <c r="B8" s="384" t="s">
        <v>402</v>
      </c>
      <c r="C8" s="383"/>
      <c r="D8" s="383"/>
      <c r="E8" s="383"/>
      <c r="F8" s="383"/>
      <c r="G8" s="383"/>
      <c r="H8" s="524"/>
      <c r="I8" s="524"/>
      <c r="J8" s="524"/>
      <c r="K8" s="524"/>
      <c r="L8" s="524"/>
      <c r="M8" s="524"/>
      <c r="N8" s="524"/>
      <c r="O8" s="524"/>
      <c r="P8" s="524"/>
      <c r="Q8" s="524"/>
      <c r="R8" s="524"/>
      <c r="S8" s="524"/>
      <c r="T8" s="524"/>
      <c r="U8" s="524"/>
      <c r="V8" s="524"/>
      <c r="W8" s="524"/>
      <c r="X8" s="524"/>
      <c r="Y8" s="524"/>
      <c r="Z8" s="524"/>
    </row>
    <row r="9" spans="1:26" ht="13.5" customHeight="1" x14ac:dyDescent="0.25">
      <c r="A9" s="383"/>
      <c r="B9" s="465" t="s">
        <v>402</v>
      </c>
      <c r="C9" s="391"/>
      <c r="D9" s="391"/>
      <c r="E9" s="386"/>
      <c r="F9" s="383"/>
      <c r="G9" s="383"/>
      <c r="H9" s="524"/>
      <c r="I9" s="524"/>
      <c r="J9" s="524"/>
      <c r="K9" s="524"/>
      <c r="L9" s="524"/>
      <c r="M9" s="524"/>
      <c r="N9" s="524"/>
      <c r="O9" s="524"/>
      <c r="P9" s="524"/>
      <c r="Q9" s="524"/>
      <c r="R9" s="524"/>
      <c r="S9" s="524"/>
      <c r="T9" s="524"/>
      <c r="U9" s="524"/>
      <c r="V9" s="524"/>
      <c r="W9" s="524"/>
      <c r="X9" s="524"/>
      <c r="Y9" s="524"/>
      <c r="Z9" s="524"/>
    </row>
    <row r="10" spans="1:26" ht="12.75" customHeight="1" x14ac:dyDescent="0.25">
      <c r="A10" s="383"/>
      <c r="B10" s="383"/>
      <c r="C10" s="383"/>
      <c r="D10" s="383"/>
      <c r="E10" s="383"/>
      <c r="F10" s="383"/>
      <c r="G10" s="383"/>
      <c r="H10" s="524"/>
      <c r="I10" s="524"/>
      <c r="J10" s="524"/>
      <c r="K10" s="524"/>
      <c r="L10" s="524"/>
      <c r="M10" s="524"/>
      <c r="N10" s="524"/>
      <c r="O10" s="524"/>
      <c r="P10" s="524"/>
      <c r="Q10" s="524"/>
      <c r="R10" s="524"/>
      <c r="S10" s="524"/>
      <c r="T10" s="524"/>
      <c r="U10" s="524"/>
      <c r="V10" s="524"/>
      <c r="W10" s="524"/>
      <c r="X10" s="524"/>
      <c r="Y10" s="524"/>
      <c r="Z10" s="524"/>
    </row>
    <row r="11" spans="1:26" ht="13.5" customHeight="1" x14ac:dyDescent="0.25">
      <c r="A11" s="383"/>
      <c r="B11" s="384" t="s">
        <v>403</v>
      </c>
      <c r="C11" s="383"/>
      <c r="D11" s="383"/>
      <c r="E11" s="383"/>
      <c r="F11" s="383"/>
      <c r="G11" s="383"/>
      <c r="H11" s="524"/>
      <c r="I11" s="524"/>
      <c r="J11" s="524"/>
      <c r="K11" s="524"/>
      <c r="L11" s="524"/>
      <c r="M11" s="524"/>
      <c r="N11" s="524"/>
      <c r="O11" s="524"/>
      <c r="P11" s="524"/>
      <c r="Q11" s="524"/>
      <c r="R11" s="524"/>
      <c r="S11" s="524"/>
      <c r="T11" s="524"/>
      <c r="U11" s="524"/>
      <c r="V11" s="524"/>
      <c r="W11" s="524"/>
      <c r="X11" s="524"/>
      <c r="Y11" s="524"/>
      <c r="Z11" s="524"/>
    </row>
    <row r="12" spans="1:26" ht="13.5" customHeight="1" x14ac:dyDescent="0.25">
      <c r="A12" s="383"/>
      <c r="B12" s="464" t="s">
        <v>403</v>
      </c>
      <c r="C12" s="391"/>
      <c r="D12" s="391"/>
      <c r="E12" s="386"/>
      <c r="F12" s="383"/>
      <c r="G12" s="383"/>
      <c r="H12" s="524"/>
      <c r="I12" s="524"/>
      <c r="J12" s="524"/>
      <c r="K12" s="524"/>
      <c r="L12" s="524"/>
      <c r="M12" s="524"/>
      <c r="N12" s="524"/>
      <c r="O12" s="524"/>
      <c r="P12" s="524"/>
      <c r="Q12" s="524"/>
      <c r="R12" s="524"/>
      <c r="S12" s="524"/>
      <c r="T12" s="524"/>
      <c r="U12" s="524"/>
      <c r="V12" s="524"/>
      <c r="W12" s="524"/>
      <c r="X12" s="524"/>
      <c r="Y12" s="524"/>
      <c r="Z12" s="524"/>
    </row>
    <row r="13" spans="1:26" ht="12.75" customHeight="1" x14ac:dyDescent="0.25">
      <c r="A13" s="383"/>
      <c r="B13" s="384"/>
      <c r="C13" s="384"/>
      <c r="D13" s="384"/>
      <c r="E13" s="384"/>
      <c r="F13" s="383"/>
      <c r="G13" s="383"/>
      <c r="H13" s="524"/>
      <c r="I13" s="524"/>
      <c r="J13" s="524"/>
      <c r="K13" s="524"/>
      <c r="L13" s="524"/>
      <c r="M13" s="524"/>
      <c r="N13" s="524"/>
      <c r="O13" s="524"/>
      <c r="P13" s="524"/>
      <c r="Q13" s="524"/>
      <c r="R13" s="524"/>
      <c r="S13" s="524"/>
      <c r="T13" s="524"/>
      <c r="U13" s="524"/>
      <c r="V13" s="524"/>
      <c r="W13" s="524"/>
      <c r="X13" s="524"/>
      <c r="Y13" s="524"/>
      <c r="Z13" s="524"/>
    </row>
    <row r="14" spans="1:26" ht="13.5" customHeight="1" x14ac:dyDescent="0.25">
      <c r="A14" s="383"/>
      <c r="B14" s="384" t="s">
        <v>404</v>
      </c>
      <c r="C14" s="384"/>
      <c r="D14" s="384"/>
      <c r="E14" s="384"/>
      <c r="F14" s="383"/>
      <c r="G14" s="383"/>
      <c r="H14" s="524"/>
      <c r="I14" s="524"/>
      <c r="J14" s="524"/>
      <c r="K14" s="524"/>
      <c r="L14" s="524"/>
      <c r="M14" s="524"/>
      <c r="N14" s="524"/>
      <c r="O14" s="524"/>
      <c r="P14" s="524"/>
      <c r="Q14" s="524"/>
      <c r="R14" s="524"/>
      <c r="S14" s="524"/>
      <c r="T14" s="524"/>
      <c r="U14" s="524"/>
      <c r="V14" s="524"/>
      <c r="W14" s="524"/>
      <c r="X14" s="524"/>
      <c r="Y14" s="524"/>
      <c r="Z14" s="524"/>
    </row>
    <row r="15" spans="1:26" ht="13.5" customHeight="1" x14ac:dyDescent="0.25">
      <c r="A15" s="383"/>
      <c r="B15" s="464" t="s">
        <v>404</v>
      </c>
      <c r="C15" s="391"/>
      <c r="D15" s="391"/>
      <c r="E15" s="386"/>
      <c r="F15" s="383"/>
      <c r="G15" s="383"/>
      <c r="H15" s="524"/>
      <c r="I15" s="524"/>
      <c r="J15" s="524"/>
      <c r="K15" s="524"/>
      <c r="L15" s="524"/>
      <c r="M15" s="524"/>
      <c r="N15" s="524"/>
      <c r="O15" s="524"/>
      <c r="P15" s="524"/>
      <c r="Q15" s="524"/>
      <c r="R15" s="524"/>
      <c r="S15" s="524"/>
      <c r="T15" s="524"/>
      <c r="U15" s="524"/>
      <c r="V15" s="524"/>
      <c r="W15" s="524"/>
      <c r="X15" s="524"/>
      <c r="Y15" s="524"/>
      <c r="Z15" s="524"/>
    </row>
    <row r="16" spans="1:26" ht="12.75" customHeight="1" x14ac:dyDescent="0.25">
      <c r="A16" s="383"/>
      <c r="B16" s="383"/>
      <c r="C16" s="383"/>
      <c r="D16" s="383"/>
      <c r="E16" s="383"/>
      <c r="F16" s="383"/>
      <c r="G16" s="383"/>
      <c r="H16" s="524"/>
      <c r="I16" s="524"/>
      <c r="J16" s="524"/>
      <c r="K16" s="524"/>
      <c r="L16" s="524"/>
      <c r="M16" s="524"/>
      <c r="N16" s="524"/>
      <c r="O16" s="524"/>
      <c r="P16" s="524"/>
      <c r="Q16" s="524"/>
      <c r="R16" s="524"/>
      <c r="S16" s="524"/>
      <c r="T16" s="524"/>
      <c r="U16" s="524"/>
      <c r="V16" s="524"/>
      <c r="W16" s="524"/>
      <c r="X16" s="524"/>
      <c r="Y16" s="524"/>
      <c r="Z16" s="524"/>
    </row>
    <row r="17" spans="1:26" ht="13.5" customHeight="1" x14ac:dyDescent="0.25">
      <c r="A17" s="383"/>
      <c r="B17" s="384" t="s">
        <v>405</v>
      </c>
      <c r="C17" s="383"/>
      <c r="D17" s="383"/>
      <c r="E17" s="383"/>
      <c r="F17" s="383"/>
      <c r="G17" s="383"/>
      <c r="H17" s="524"/>
      <c r="I17" s="524"/>
      <c r="J17" s="524"/>
      <c r="K17" s="524"/>
      <c r="L17" s="524"/>
      <c r="M17" s="524"/>
      <c r="N17" s="524"/>
      <c r="O17" s="524"/>
      <c r="P17" s="524"/>
      <c r="Q17" s="524"/>
      <c r="R17" s="524"/>
      <c r="S17" s="524"/>
      <c r="T17" s="524"/>
      <c r="U17" s="524"/>
      <c r="V17" s="524"/>
      <c r="W17" s="524"/>
      <c r="X17" s="524"/>
      <c r="Y17" s="524"/>
      <c r="Z17" s="524"/>
    </row>
    <row r="18" spans="1:26" ht="13.5" customHeight="1" x14ac:dyDescent="0.25">
      <c r="A18" s="383"/>
      <c r="B18" s="466" t="s">
        <v>18</v>
      </c>
      <c r="C18" s="386"/>
      <c r="D18" s="383"/>
      <c r="E18" s="383"/>
      <c r="F18" s="383"/>
      <c r="G18" s="383"/>
      <c r="H18" s="524"/>
      <c r="I18" s="524"/>
      <c r="J18" s="524"/>
      <c r="K18" s="524"/>
      <c r="L18" s="524"/>
      <c r="M18" s="524"/>
      <c r="N18" s="524"/>
      <c r="O18" s="524"/>
      <c r="P18" s="524"/>
      <c r="Q18" s="524"/>
      <c r="R18" s="524"/>
      <c r="S18" s="524"/>
      <c r="T18" s="524"/>
      <c r="U18" s="524"/>
      <c r="V18" s="524"/>
      <c r="W18" s="524"/>
      <c r="X18" s="524"/>
      <c r="Y18" s="524"/>
      <c r="Z18" s="524"/>
    </row>
    <row r="19" spans="1:26" ht="12.75" customHeight="1" x14ac:dyDescent="0.25">
      <c r="A19" s="383"/>
      <c r="B19" s="383"/>
      <c r="C19" s="383"/>
      <c r="D19" s="383"/>
      <c r="E19" s="383"/>
      <c r="F19" s="383"/>
      <c r="G19" s="383"/>
      <c r="H19" s="524"/>
      <c r="I19" s="524"/>
      <c r="J19" s="524"/>
      <c r="K19" s="524"/>
      <c r="L19" s="524"/>
      <c r="M19" s="524"/>
      <c r="N19" s="524"/>
      <c r="O19" s="524"/>
      <c r="P19" s="524"/>
      <c r="Q19" s="524"/>
      <c r="R19" s="524"/>
      <c r="S19" s="524"/>
      <c r="T19" s="524"/>
      <c r="U19" s="524"/>
      <c r="V19" s="524"/>
      <c r="W19" s="524"/>
      <c r="X19" s="524"/>
      <c r="Y19" s="524"/>
      <c r="Z19" s="524"/>
    </row>
    <row r="20" spans="1:26" ht="12.75" customHeight="1" x14ac:dyDescent="0.25">
      <c r="A20" s="383"/>
      <c r="B20" s="383"/>
      <c r="C20" s="383"/>
      <c r="D20" s="383"/>
      <c r="E20" s="383"/>
      <c r="F20" s="383"/>
      <c r="G20" s="383"/>
      <c r="H20" s="524"/>
      <c r="I20" s="524"/>
      <c r="J20" s="524"/>
      <c r="K20" s="524"/>
      <c r="L20" s="524"/>
      <c r="M20" s="524"/>
      <c r="N20" s="524"/>
      <c r="O20" s="524"/>
      <c r="P20" s="524"/>
      <c r="Q20" s="524"/>
      <c r="R20" s="524"/>
      <c r="S20" s="524"/>
      <c r="T20" s="524"/>
      <c r="U20" s="524"/>
      <c r="V20" s="524"/>
      <c r="W20" s="524"/>
      <c r="X20" s="524"/>
      <c r="Y20" s="524"/>
      <c r="Z20" s="524"/>
    </row>
    <row r="21" spans="1:26" ht="12.75" customHeight="1" x14ac:dyDescent="0.25">
      <c r="A21" s="383"/>
      <c r="B21" s="383"/>
      <c r="C21" s="383"/>
      <c r="D21" s="383"/>
      <c r="E21" s="383"/>
      <c r="F21" s="383"/>
      <c r="G21" s="383"/>
      <c r="H21" s="524"/>
      <c r="I21" s="524"/>
      <c r="J21" s="524"/>
      <c r="K21" s="524"/>
      <c r="L21" s="524"/>
      <c r="M21" s="524"/>
      <c r="N21" s="524"/>
      <c r="O21" s="524"/>
      <c r="P21" s="524"/>
      <c r="Q21" s="524"/>
      <c r="R21" s="524"/>
      <c r="S21" s="524"/>
      <c r="T21" s="524"/>
      <c r="U21" s="524"/>
      <c r="V21" s="524"/>
      <c r="W21" s="524"/>
      <c r="X21" s="524"/>
      <c r="Y21" s="524"/>
      <c r="Z21" s="524"/>
    </row>
    <row r="22" spans="1:26" ht="12.75" customHeight="1" x14ac:dyDescent="0.25">
      <c r="A22" s="383"/>
      <c r="B22" s="383"/>
      <c r="C22" s="383"/>
      <c r="D22" s="383"/>
      <c r="E22" s="383"/>
      <c r="F22" s="383"/>
      <c r="G22" s="383"/>
      <c r="H22" s="524"/>
      <c r="I22" s="524"/>
      <c r="J22" s="524"/>
      <c r="K22" s="524"/>
      <c r="L22" s="524"/>
      <c r="M22" s="524"/>
      <c r="N22" s="524"/>
      <c r="O22" s="524"/>
      <c r="P22" s="524"/>
      <c r="Q22" s="524"/>
      <c r="R22" s="524"/>
      <c r="S22" s="524"/>
      <c r="T22" s="524"/>
      <c r="U22" s="524"/>
      <c r="V22" s="524"/>
      <c r="W22" s="524"/>
      <c r="X22" s="524"/>
      <c r="Y22" s="524"/>
      <c r="Z22" s="524"/>
    </row>
    <row r="23" spans="1:26" ht="12.75" customHeight="1" x14ac:dyDescent="0.25">
      <c r="A23" s="383"/>
      <c r="B23" s="383"/>
      <c r="C23" s="383"/>
      <c r="D23" s="383"/>
      <c r="E23" s="383"/>
      <c r="F23" s="383"/>
      <c r="G23" s="383"/>
      <c r="H23" s="524"/>
      <c r="I23" s="524"/>
      <c r="J23" s="524"/>
      <c r="K23" s="524"/>
      <c r="L23" s="524"/>
      <c r="M23" s="524"/>
      <c r="N23" s="524"/>
      <c r="O23" s="524"/>
      <c r="P23" s="524"/>
      <c r="Q23" s="524"/>
      <c r="R23" s="524"/>
      <c r="S23" s="524"/>
      <c r="T23" s="524"/>
      <c r="U23" s="524"/>
      <c r="V23" s="524"/>
      <c r="W23" s="524"/>
      <c r="X23" s="524"/>
      <c r="Y23" s="524"/>
      <c r="Z23" s="524"/>
    </row>
    <row r="24" spans="1:26" ht="12.75" customHeight="1" x14ac:dyDescent="0.25">
      <c r="A24" s="383"/>
      <c r="B24" s="383"/>
      <c r="C24" s="383"/>
      <c r="D24" s="383"/>
      <c r="E24" s="383"/>
      <c r="F24" s="383"/>
      <c r="G24" s="383"/>
      <c r="H24" s="524"/>
      <c r="I24" s="524"/>
      <c r="J24" s="524"/>
      <c r="K24" s="524"/>
      <c r="L24" s="524"/>
      <c r="M24" s="524"/>
      <c r="N24" s="524"/>
      <c r="O24" s="524"/>
      <c r="P24" s="524"/>
      <c r="Q24" s="524"/>
      <c r="R24" s="524"/>
      <c r="S24" s="524"/>
      <c r="T24" s="524"/>
      <c r="U24" s="524"/>
      <c r="V24" s="524"/>
      <c r="W24" s="524"/>
      <c r="X24" s="524"/>
      <c r="Y24" s="524"/>
      <c r="Z24" s="524"/>
    </row>
    <row r="25" spans="1:26" ht="12.75" customHeight="1" x14ac:dyDescent="0.25">
      <c r="A25" s="383"/>
      <c r="B25" s="383"/>
      <c r="C25" s="383"/>
      <c r="D25" s="383"/>
      <c r="E25" s="383"/>
      <c r="F25" s="383"/>
      <c r="G25" s="383"/>
      <c r="H25" s="524"/>
      <c r="I25" s="524"/>
      <c r="J25" s="524"/>
      <c r="K25" s="524"/>
      <c r="L25" s="524"/>
      <c r="M25" s="524"/>
      <c r="N25" s="524"/>
      <c r="O25" s="524"/>
      <c r="P25" s="524"/>
      <c r="Q25" s="524"/>
      <c r="R25" s="524"/>
      <c r="S25" s="524"/>
      <c r="T25" s="524"/>
      <c r="U25" s="524"/>
      <c r="V25" s="524"/>
      <c r="W25" s="524"/>
      <c r="X25" s="524"/>
      <c r="Y25" s="524"/>
      <c r="Z25" s="524"/>
    </row>
    <row r="26" spans="1:26" ht="12.75" customHeight="1" x14ac:dyDescent="0.25">
      <c r="A26" s="524"/>
      <c r="B26" s="524"/>
      <c r="C26" s="524"/>
      <c r="D26" s="524"/>
      <c r="E26" s="524"/>
      <c r="F26" s="524"/>
      <c r="G26" s="524"/>
      <c r="H26" s="524"/>
      <c r="I26" s="524"/>
      <c r="J26" s="524"/>
      <c r="K26" s="524"/>
      <c r="L26" s="524"/>
      <c r="M26" s="524"/>
      <c r="N26" s="524"/>
      <c r="O26" s="524"/>
      <c r="P26" s="524"/>
      <c r="Q26" s="524"/>
      <c r="R26" s="524"/>
      <c r="S26" s="524"/>
      <c r="T26" s="524"/>
      <c r="U26" s="524"/>
      <c r="V26" s="524"/>
      <c r="W26" s="524"/>
      <c r="X26" s="524"/>
      <c r="Y26" s="524"/>
      <c r="Z26" s="524"/>
    </row>
    <row r="27" spans="1:26" ht="12.75" customHeight="1" x14ac:dyDescent="0.25">
      <c r="A27" s="524"/>
      <c r="B27" s="524"/>
      <c r="C27" s="524"/>
      <c r="D27" s="524"/>
      <c r="E27" s="524"/>
      <c r="F27" s="524"/>
      <c r="G27" s="524"/>
      <c r="H27" s="524"/>
      <c r="I27" s="524"/>
      <c r="J27" s="524"/>
      <c r="K27" s="524"/>
      <c r="L27" s="524"/>
      <c r="M27" s="524"/>
      <c r="N27" s="524"/>
      <c r="O27" s="524"/>
      <c r="P27" s="524"/>
      <c r="Q27" s="524"/>
      <c r="R27" s="524"/>
      <c r="S27" s="524"/>
      <c r="T27" s="524"/>
      <c r="U27" s="524"/>
      <c r="V27" s="524"/>
      <c r="W27" s="524"/>
      <c r="X27" s="524"/>
      <c r="Y27" s="524"/>
      <c r="Z27" s="524"/>
    </row>
    <row r="28" spans="1:26" ht="12.75" customHeight="1" x14ac:dyDescent="0.25">
      <c r="A28" s="524"/>
      <c r="B28" s="524"/>
      <c r="C28" s="524"/>
      <c r="D28" s="524"/>
      <c r="E28" s="524"/>
      <c r="F28" s="524"/>
      <c r="G28" s="524"/>
      <c r="H28" s="524"/>
      <c r="I28" s="524"/>
      <c r="J28" s="524"/>
      <c r="K28" s="524"/>
      <c r="L28" s="524"/>
      <c r="M28" s="524"/>
      <c r="N28" s="524"/>
      <c r="O28" s="524"/>
      <c r="P28" s="524"/>
      <c r="Q28" s="524"/>
      <c r="R28" s="524"/>
      <c r="S28" s="524"/>
      <c r="T28" s="524"/>
      <c r="U28" s="524"/>
      <c r="V28" s="524"/>
      <c r="W28" s="524"/>
      <c r="X28" s="524"/>
      <c r="Y28" s="524"/>
      <c r="Z28" s="524"/>
    </row>
    <row r="29" spans="1:26" ht="12.75" customHeight="1" x14ac:dyDescent="0.25">
      <c r="A29" s="524"/>
      <c r="B29" s="524"/>
      <c r="C29" s="524"/>
      <c r="D29" s="524"/>
      <c r="E29" s="524"/>
      <c r="F29" s="524"/>
      <c r="G29" s="524"/>
      <c r="H29" s="524"/>
      <c r="I29" s="524"/>
      <c r="J29" s="524"/>
      <c r="K29" s="524"/>
      <c r="L29" s="524"/>
      <c r="M29" s="524"/>
      <c r="N29" s="524"/>
      <c r="O29" s="524"/>
      <c r="P29" s="524"/>
      <c r="Q29" s="524"/>
      <c r="R29" s="524"/>
      <c r="S29" s="524"/>
      <c r="T29" s="524"/>
      <c r="U29" s="524"/>
      <c r="V29" s="524"/>
      <c r="W29" s="524"/>
      <c r="X29" s="524"/>
      <c r="Y29" s="524"/>
      <c r="Z29" s="524"/>
    </row>
    <row r="30" spans="1:26" ht="12.75" customHeight="1" x14ac:dyDescent="0.25">
      <c r="A30" s="524"/>
      <c r="B30" s="524"/>
      <c r="C30" s="524"/>
      <c r="D30" s="524"/>
      <c r="E30" s="524"/>
      <c r="F30" s="524"/>
      <c r="G30" s="524"/>
      <c r="H30" s="524"/>
      <c r="I30" s="524"/>
      <c r="J30" s="524"/>
      <c r="K30" s="524"/>
      <c r="L30" s="524"/>
      <c r="M30" s="524"/>
      <c r="N30" s="524"/>
      <c r="O30" s="524"/>
      <c r="P30" s="524"/>
      <c r="Q30" s="524"/>
      <c r="R30" s="524"/>
      <c r="S30" s="524"/>
      <c r="T30" s="524"/>
      <c r="U30" s="524"/>
      <c r="V30" s="524"/>
      <c r="W30" s="524"/>
      <c r="X30" s="524"/>
      <c r="Y30" s="524"/>
      <c r="Z30" s="524"/>
    </row>
    <row r="31" spans="1:26" ht="12.75" customHeight="1" x14ac:dyDescent="0.25">
      <c r="A31" s="524"/>
      <c r="B31" s="524"/>
      <c r="C31" s="524"/>
      <c r="D31" s="524"/>
      <c r="E31" s="524"/>
      <c r="F31" s="524"/>
      <c r="G31" s="524"/>
      <c r="H31" s="524"/>
      <c r="I31" s="524"/>
      <c r="J31" s="524"/>
      <c r="K31" s="524"/>
      <c r="L31" s="524"/>
      <c r="M31" s="524"/>
      <c r="N31" s="524"/>
      <c r="O31" s="524"/>
      <c r="P31" s="524"/>
      <c r="Q31" s="524"/>
      <c r="R31" s="524"/>
      <c r="S31" s="524"/>
      <c r="T31" s="524"/>
      <c r="U31" s="524"/>
      <c r="V31" s="524"/>
      <c r="W31" s="524"/>
      <c r="X31" s="524"/>
      <c r="Y31" s="524"/>
      <c r="Z31" s="524"/>
    </row>
    <row r="32" spans="1:26" ht="12.75" customHeight="1" x14ac:dyDescent="0.25">
      <c r="A32" s="524"/>
      <c r="B32" s="524"/>
      <c r="C32" s="524"/>
      <c r="D32" s="524"/>
      <c r="E32" s="524"/>
      <c r="F32" s="524"/>
      <c r="G32" s="524"/>
      <c r="H32" s="524"/>
      <c r="I32" s="524"/>
      <c r="J32" s="524"/>
      <c r="K32" s="524"/>
      <c r="L32" s="524"/>
      <c r="M32" s="524"/>
      <c r="N32" s="524"/>
      <c r="O32" s="524"/>
      <c r="P32" s="524"/>
      <c r="Q32" s="524"/>
      <c r="R32" s="524"/>
      <c r="S32" s="524"/>
      <c r="T32" s="524"/>
      <c r="U32" s="524"/>
      <c r="V32" s="524"/>
      <c r="W32" s="524"/>
      <c r="X32" s="524"/>
      <c r="Y32" s="524"/>
      <c r="Z32" s="524"/>
    </row>
    <row r="33" spans="1:26" ht="12.75" customHeight="1" x14ac:dyDescent="0.25">
      <c r="A33" s="524"/>
      <c r="B33" s="524"/>
      <c r="C33" s="524"/>
      <c r="D33" s="524"/>
      <c r="E33" s="524"/>
      <c r="F33" s="524"/>
      <c r="G33" s="524"/>
      <c r="H33" s="524"/>
      <c r="I33" s="524"/>
      <c r="J33" s="524"/>
      <c r="K33" s="524"/>
      <c r="L33" s="524"/>
      <c r="M33" s="524"/>
      <c r="N33" s="524"/>
      <c r="O33" s="524"/>
      <c r="P33" s="524"/>
      <c r="Q33" s="524"/>
      <c r="R33" s="524"/>
      <c r="S33" s="524"/>
      <c r="T33" s="524"/>
      <c r="U33" s="524"/>
      <c r="V33" s="524"/>
      <c r="W33" s="524"/>
      <c r="X33" s="524"/>
      <c r="Y33" s="524"/>
      <c r="Z33" s="524"/>
    </row>
    <row r="34" spans="1:26" ht="12.75" customHeight="1" x14ac:dyDescent="0.25">
      <c r="A34" s="524"/>
      <c r="B34" s="524"/>
      <c r="C34" s="524"/>
      <c r="D34" s="524"/>
      <c r="E34" s="524"/>
      <c r="F34" s="524"/>
      <c r="G34" s="524"/>
      <c r="H34" s="524"/>
      <c r="I34" s="524"/>
      <c r="J34" s="524"/>
      <c r="K34" s="524"/>
      <c r="L34" s="524"/>
      <c r="M34" s="524"/>
      <c r="N34" s="524"/>
      <c r="O34" s="524"/>
      <c r="P34" s="524"/>
      <c r="Q34" s="524"/>
      <c r="R34" s="524"/>
      <c r="S34" s="524"/>
      <c r="T34" s="524"/>
      <c r="U34" s="524"/>
      <c r="V34" s="524"/>
      <c r="W34" s="524"/>
      <c r="X34" s="524"/>
      <c r="Y34" s="524"/>
      <c r="Z34" s="524"/>
    </row>
    <row r="35" spans="1:26" ht="12.75" customHeight="1" x14ac:dyDescent="0.25">
      <c r="A35" s="524"/>
      <c r="B35" s="524"/>
      <c r="C35" s="524"/>
      <c r="D35" s="524"/>
      <c r="E35" s="524"/>
      <c r="F35" s="524"/>
      <c r="G35" s="524"/>
      <c r="H35" s="524"/>
      <c r="I35" s="524"/>
      <c r="J35" s="524"/>
      <c r="K35" s="524"/>
      <c r="L35" s="524"/>
      <c r="M35" s="524"/>
      <c r="N35" s="524"/>
      <c r="O35" s="524"/>
      <c r="P35" s="524"/>
      <c r="Q35" s="524"/>
      <c r="R35" s="524"/>
      <c r="S35" s="524"/>
      <c r="T35" s="524"/>
      <c r="U35" s="524"/>
      <c r="V35" s="524"/>
      <c r="W35" s="524"/>
      <c r="X35" s="524"/>
      <c r="Y35" s="524"/>
      <c r="Z35" s="524"/>
    </row>
    <row r="36" spans="1:26" ht="12.75" customHeight="1" x14ac:dyDescent="0.25">
      <c r="A36" s="524"/>
      <c r="B36" s="524"/>
      <c r="C36" s="524"/>
      <c r="D36" s="524"/>
      <c r="E36" s="524"/>
      <c r="F36" s="524"/>
      <c r="G36" s="524"/>
      <c r="H36" s="524"/>
      <c r="I36" s="524"/>
      <c r="J36" s="524"/>
      <c r="K36" s="524"/>
      <c r="L36" s="524"/>
      <c r="M36" s="524"/>
      <c r="N36" s="524"/>
      <c r="O36" s="524"/>
      <c r="P36" s="524"/>
      <c r="Q36" s="524"/>
      <c r="R36" s="524"/>
      <c r="S36" s="524"/>
      <c r="T36" s="524"/>
      <c r="U36" s="524"/>
      <c r="V36" s="524"/>
      <c r="W36" s="524"/>
      <c r="X36" s="524"/>
      <c r="Y36" s="524"/>
      <c r="Z36" s="524"/>
    </row>
    <row r="37" spans="1:26" ht="12.75" customHeight="1" x14ac:dyDescent="0.25">
      <c r="A37" s="524"/>
      <c r="B37" s="524"/>
      <c r="C37" s="524"/>
      <c r="D37" s="524"/>
      <c r="E37" s="524"/>
      <c r="F37" s="524"/>
      <c r="G37" s="524"/>
      <c r="H37" s="524"/>
      <c r="I37" s="524"/>
      <c r="J37" s="524"/>
      <c r="K37" s="524"/>
      <c r="L37" s="524"/>
      <c r="M37" s="524"/>
      <c r="N37" s="524"/>
      <c r="O37" s="524"/>
      <c r="P37" s="524"/>
      <c r="Q37" s="524"/>
      <c r="R37" s="524"/>
      <c r="S37" s="524"/>
      <c r="T37" s="524"/>
      <c r="U37" s="524"/>
      <c r="V37" s="524"/>
      <c r="W37" s="524"/>
      <c r="X37" s="524"/>
      <c r="Y37" s="524"/>
      <c r="Z37" s="524"/>
    </row>
    <row r="38" spans="1:26" ht="12.75" customHeight="1" x14ac:dyDescent="0.25">
      <c r="A38" s="524"/>
      <c r="B38" s="524"/>
      <c r="C38" s="524"/>
      <c r="D38" s="524"/>
      <c r="E38" s="524"/>
      <c r="F38" s="524"/>
      <c r="G38" s="524"/>
      <c r="H38" s="524"/>
      <c r="I38" s="524"/>
      <c r="J38" s="524"/>
      <c r="K38" s="524"/>
      <c r="L38" s="524"/>
      <c r="M38" s="524"/>
      <c r="N38" s="524"/>
      <c r="O38" s="524"/>
      <c r="P38" s="524"/>
      <c r="Q38" s="524"/>
      <c r="R38" s="524"/>
      <c r="S38" s="524"/>
      <c r="T38" s="524"/>
      <c r="U38" s="524"/>
      <c r="V38" s="524"/>
      <c r="W38" s="524"/>
      <c r="X38" s="524"/>
      <c r="Y38" s="524"/>
      <c r="Z38" s="524"/>
    </row>
    <row r="39" spans="1:26" ht="12.75" customHeight="1" x14ac:dyDescent="0.25">
      <c r="A39" s="524"/>
      <c r="B39" s="524"/>
      <c r="C39" s="524"/>
      <c r="D39" s="524"/>
      <c r="E39" s="524"/>
      <c r="F39" s="524"/>
      <c r="G39" s="524"/>
      <c r="H39" s="524"/>
      <c r="I39" s="524"/>
      <c r="J39" s="524"/>
      <c r="K39" s="524"/>
      <c r="L39" s="524"/>
      <c r="M39" s="524"/>
      <c r="N39" s="524"/>
      <c r="O39" s="524"/>
      <c r="P39" s="524"/>
      <c r="Q39" s="524"/>
      <c r="R39" s="524"/>
      <c r="S39" s="524"/>
      <c r="T39" s="524"/>
      <c r="U39" s="524"/>
      <c r="V39" s="524"/>
      <c r="W39" s="524"/>
      <c r="X39" s="524"/>
      <c r="Y39" s="524"/>
      <c r="Z39" s="524"/>
    </row>
    <row r="40" spans="1:26" ht="12.75" customHeight="1" x14ac:dyDescent="0.25">
      <c r="A40" s="524"/>
      <c r="B40" s="524"/>
      <c r="C40" s="524"/>
      <c r="D40" s="524"/>
      <c r="E40" s="524"/>
      <c r="F40" s="524"/>
      <c r="G40" s="524"/>
      <c r="H40" s="524"/>
      <c r="I40" s="524"/>
      <c r="J40" s="524"/>
      <c r="K40" s="524"/>
      <c r="L40" s="524"/>
      <c r="M40" s="524"/>
      <c r="N40" s="524"/>
      <c r="O40" s="524"/>
      <c r="P40" s="524"/>
      <c r="Q40" s="524"/>
      <c r="R40" s="524"/>
      <c r="S40" s="524"/>
      <c r="T40" s="524"/>
      <c r="U40" s="524"/>
      <c r="V40" s="524"/>
      <c r="W40" s="524"/>
      <c r="X40" s="524"/>
      <c r="Y40" s="524"/>
      <c r="Z40" s="524"/>
    </row>
    <row r="41" spans="1:26" ht="12.75" customHeight="1" x14ac:dyDescent="0.25">
      <c r="A41" s="524"/>
      <c r="B41" s="524"/>
      <c r="C41" s="524"/>
      <c r="D41" s="524"/>
      <c r="E41" s="524"/>
      <c r="F41" s="524"/>
      <c r="G41" s="524"/>
      <c r="H41" s="524"/>
      <c r="I41" s="524"/>
      <c r="J41" s="524"/>
      <c r="K41" s="524"/>
      <c r="L41" s="524"/>
      <c r="M41" s="524"/>
      <c r="N41" s="524"/>
      <c r="O41" s="524"/>
      <c r="P41" s="524"/>
      <c r="Q41" s="524"/>
      <c r="R41" s="524"/>
      <c r="S41" s="524"/>
      <c r="T41" s="524"/>
      <c r="U41" s="524"/>
      <c r="V41" s="524"/>
      <c r="W41" s="524"/>
      <c r="X41" s="524"/>
      <c r="Y41" s="524"/>
      <c r="Z41" s="524"/>
    </row>
    <row r="42" spans="1:26" ht="12.75" customHeight="1" x14ac:dyDescent="0.25">
      <c r="A42" s="524"/>
      <c r="B42" s="524"/>
      <c r="C42" s="524"/>
      <c r="D42" s="524"/>
      <c r="E42" s="524"/>
      <c r="F42" s="524"/>
      <c r="G42" s="524"/>
      <c r="H42" s="524"/>
      <c r="I42" s="524"/>
      <c r="J42" s="524"/>
      <c r="K42" s="524"/>
      <c r="L42" s="524"/>
      <c r="M42" s="524"/>
      <c r="N42" s="524"/>
      <c r="O42" s="524"/>
      <c r="P42" s="524"/>
      <c r="Q42" s="524"/>
      <c r="R42" s="524"/>
      <c r="S42" s="524"/>
      <c r="T42" s="524"/>
      <c r="U42" s="524"/>
      <c r="V42" s="524"/>
      <c r="W42" s="524"/>
      <c r="X42" s="524"/>
      <c r="Y42" s="524"/>
      <c r="Z42" s="524"/>
    </row>
    <row r="43" spans="1:26" ht="12.75" customHeight="1" x14ac:dyDescent="0.25">
      <c r="A43" s="524"/>
      <c r="B43" s="524"/>
      <c r="C43" s="524"/>
      <c r="D43" s="524"/>
      <c r="E43" s="524"/>
      <c r="F43" s="524"/>
      <c r="G43" s="524"/>
      <c r="H43" s="524"/>
      <c r="I43" s="524"/>
      <c r="J43" s="524"/>
      <c r="K43" s="524"/>
      <c r="L43" s="524"/>
      <c r="M43" s="524"/>
      <c r="N43" s="524"/>
      <c r="O43" s="524"/>
      <c r="P43" s="524"/>
      <c r="Q43" s="524"/>
      <c r="R43" s="524"/>
      <c r="S43" s="524"/>
      <c r="T43" s="524"/>
      <c r="U43" s="524"/>
      <c r="V43" s="524"/>
      <c r="W43" s="524"/>
      <c r="X43" s="524"/>
      <c r="Y43" s="524"/>
      <c r="Z43" s="524"/>
    </row>
    <row r="44" spans="1:26" ht="12.75" customHeight="1" x14ac:dyDescent="0.25">
      <c r="A44" s="524"/>
      <c r="B44" s="524"/>
      <c r="C44" s="524"/>
      <c r="D44" s="524"/>
      <c r="E44" s="524"/>
      <c r="F44" s="524"/>
      <c r="G44" s="524"/>
      <c r="H44" s="524"/>
      <c r="I44" s="524"/>
      <c r="J44" s="524"/>
      <c r="K44" s="524"/>
      <c r="L44" s="524"/>
      <c r="M44" s="524"/>
      <c r="N44" s="524"/>
      <c r="O44" s="524"/>
      <c r="P44" s="524"/>
      <c r="Q44" s="524"/>
      <c r="R44" s="524"/>
      <c r="S44" s="524"/>
      <c r="T44" s="524"/>
      <c r="U44" s="524"/>
      <c r="V44" s="524"/>
      <c r="W44" s="524"/>
      <c r="X44" s="524"/>
      <c r="Y44" s="524"/>
      <c r="Z44" s="524"/>
    </row>
    <row r="45" spans="1:26" ht="12.75" customHeight="1" x14ac:dyDescent="0.25">
      <c r="A45" s="524"/>
      <c r="B45" s="524"/>
      <c r="C45" s="524"/>
      <c r="D45" s="524"/>
      <c r="E45" s="524"/>
      <c r="F45" s="524"/>
      <c r="G45" s="524"/>
      <c r="H45" s="524"/>
      <c r="I45" s="524"/>
      <c r="J45" s="524"/>
      <c r="K45" s="524"/>
      <c r="L45" s="524"/>
      <c r="M45" s="524"/>
      <c r="N45" s="524"/>
      <c r="O45" s="524"/>
      <c r="P45" s="524"/>
      <c r="Q45" s="524"/>
      <c r="R45" s="524"/>
      <c r="S45" s="524"/>
      <c r="T45" s="524"/>
      <c r="U45" s="524"/>
      <c r="V45" s="524"/>
      <c r="W45" s="524"/>
      <c r="X45" s="524"/>
      <c r="Y45" s="524"/>
      <c r="Z45" s="524"/>
    </row>
    <row r="46" spans="1:26" ht="12.75" customHeight="1" x14ac:dyDescent="0.25">
      <c r="A46" s="524"/>
      <c r="B46" s="524"/>
      <c r="C46" s="524"/>
      <c r="D46" s="524"/>
      <c r="E46" s="524"/>
      <c r="F46" s="524"/>
      <c r="G46" s="524"/>
      <c r="H46" s="524"/>
      <c r="I46" s="524"/>
      <c r="J46" s="524"/>
      <c r="K46" s="524"/>
      <c r="L46" s="524"/>
      <c r="M46" s="524"/>
      <c r="N46" s="524"/>
      <c r="O46" s="524"/>
      <c r="P46" s="524"/>
      <c r="Q46" s="524"/>
      <c r="R46" s="524"/>
      <c r="S46" s="524"/>
      <c r="T46" s="524"/>
      <c r="U46" s="524"/>
      <c r="V46" s="524"/>
      <c r="W46" s="524"/>
      <c r="X46" s="524"/>
      <c r="Y46" s="524"/>
      <c r="Z46" s="524"/>
    </row>
    <row r="47" spans="1:26" ht="12.75" customHeight="1" x14ac:dyDescent="0.25">
      <c r="A47" s="524"/>
      <c r="B47" s="524"/>
      <c r="C47" s="524"/>
      <c r="D47" s="524"/>
      <c r="E47" s="524"/>
      <c r="F47" s="524"/>
      <c r="G47" s="524"/>
      <c r="H47" s="524"/>
      <c r="I47" s="524"/>
      <c r="J47" s="524"/>
      <c r="K47" s="524"/>
      <c r="L47" s="524"/>
      <c r="M47" s="524"/>
      <c r="N47" s="524"/>
      <c r="O47" s="524"/>
      <c r="P47" s="524"/>
      <c r="Q47" s="524"/>
      <c r="R47" s="524"/>
      <c r="S47" s="524"/>
      <c r="T47" s="524"/>
      <c r="U47" s="524"/>
      <c r="V47" s="524"/>
      <c r="W47" s="524"/>
      <c r="X47" s="524"/>
      <c r="Y47" s="524"/>
      <c r="Z47" s="524"/>
    </row>
    <row r="48" spans="1:26" ht="12.75" customHeight="1" x14ac:dyDescent="0.25">
      <c r="A48" s="524"/>
      <c r="B48" s="524"/>
      <c r="C48" s="524"/>
      <c r="D48" s="524"/>
      <c r="E48" s="524"/>
      <c r="F48" s="524"/>
      <c r="G48" s="524"/>
      <c r="H48" s="524"/>
      <c r="I48" s="524"/>
      <c r="J48" s="524"/>
      <c r="K48" s="524"/>
      <c r="L48" s="524"/>
      <c r="M48" s="524"/>
      <c r="N48" s="524"/>
      <c r="O48" s="524"/>
      <c r="P48" s="524"/>
      <c r="Q48" s="524"/>
      <c r="R48" s="524"/>
      <c r="S48" s="524"/>
      <c r="T48" s="524"/>
      <c r="U48" s="524"/>
      <c r="V48" s="524"/>
      <c r="W48" s="524"/>
      <c r="X48" s="524"/>
      <c r="Y48" s="524"/>
      <c r="Z48" s="524"/>
    </row>
    <row r="49" spans="1:26" ht="12.75" customHeight="1" x14ac:dyDescent="0.25">
      <c r="A49" s="524"/>
      <c r="B49" s="524"/>
      <c r="C49" s="524"/>
      <c r="D49" s="524"/>
      <c r="E49" s="524"/>
      <c r="F49" s="524"/>
      <c r="G49" s="524"/>
      <c r="H49" s="524"/>
      <c r="I49" s="524"/>
      <c r="J49" s="524"/>
      <c r="K49" s="524"/>
      <c r="L49" s="524"/>
      <c r="M49" s="524"/>
      <c r="N49" s="524"/>
      <c r="O49" s="524"/>
      <c r="P49" s="524"/>
      <c r="Q49" s="524"/>
      <c r="R49" s="524"/>
      <c r="S49" s="524"/>
      <c r="T49" s="524"/>
      <c r="U49" s="524"/>
      <c r="V49" s="524"/>
      <c r="W49" s="524"/>
      <c r="X49" s="524"/>
      <c r="Y49" s="524"/>
      <c r="Z49" s="524"/>
    </row>
    <row r="50" spans="1:26" ht="12.75" customHeight="1" x14ac:dyDescent="0.25">
      <c r="A50" s="524"/>
      <c r="B50" s="524"/>
      <c r="C50" s="524"/>
      <c r="D50" s="524"/>
      <c r="E50" s="524"/>
      <c r="F50" s="524"/>
      <c r="G50" s="524"/>
      <c r="H50" s="524"/>
      <c r="I50" s="524"/>
      <c r="J50" s="524"/>
      <c r="K50" s="524"/>
      <c r="L50" s="524"/>
      <c r="M50" s="524"/>
      <c r="N50" s="524"/>
      <c r="O50" s="524"/>
      <c r="P50" s="524"/>
      <c r="Q50" s="524"/>
      <c r="R50" s="524"/>
      <c r="S50" s="524"/>
      <c r="T50" s="524"/>
      <c r="U50" s="524"/>
      <c r="V50" s="524"/>
      <c r="W50" s="524"/>
      <c r="X50" s="524"/>
      <c r="Y50" s="524"/>
      <c r="Z50" s="524"/>
    </row>
    <row r="51" spans="1:26" ht="12.75" customHeight="1" x14ac:dyDescent="0.25">
      <c r="A51" s="524"/>
      <c r="B51" s="524"/>
      <c r="C51" s="524"/>
      <c r="D51" s="524"/>
      <c r="E51" s="524"/>
      <c r="F51" s="524"/>
      <c r="G51" s="524"/>
      <c r="H51" s="524"/>
      <c r="I51" s="524"/>
      <c r="J51" s="524"/>
      <c r="K51" s="524"/>
      <c r="L51" s="524"/>
      <c r="M51" s="524"/>
      <c r="N51" s="524"/>
      <c r="O51" s="524"/>
      <c r="P51" s="524"/>
      <c r="Q51" s="524"/>
      <c r="R51" s="524"/>
      <c r="S51" s="524"/>
      <c r="T51" s="524"/>
      <c r="U51" s="524"/>
      <c r="V51" s="524"/>
      <c r="W51" s="524"/>
      <c r="X51" s="524"/>
      <c r="Y51" s="524"/>
      <c r="Z51" s="524"/>
    </row>
    <row r="52" spans="1:26" ht="12.75" customHeight="1" x14ac:dyDescent="0.25">
      <c r="A52" s="524"/>
      <c r="B52" s="524"/>
      <c r="C52" s="524"/>
      <c r="D52" s="524"/>
      <c r="E52" s="524"/>
      <c r="F52" s="524"/>
      <c r="G52" s="524"/>
      <c r="H52" s="524"/>
      <c r="I52" s="524"/>
      <c r="J52" s="524"/>
      <c r="K52" s="524"/>
      <c r="L52" s="524"/>
      <c r="M52" s="524"/>
      <c r="N52" s="524"/>
      <c r="O52" s="524"/>
      <c r="P52" s="524"/>
      <c r="Q52" s="524"/>
      <c r="R52" s="524"/>
      <c r="S52" s="524"/>
      <c r="T52" s="524"/>
      <c r="U52" s="524"/>
      <c r="V52" s="524"/>
      <c r="W52" s="524"/>
      <c r="X52" s="524"/>
      <c r="Y52" s="524"/>
      <c r="Z52" s="524"/>
    </row>
    <row r="53" spans="1:26" ht="12.75" customHeight="1" x14ac:dyDescent="0.25">
      <c r="A53" s="524"/>
      <c r="B53" s="524"/>
      <c r="C53" s="524"/>
      <c r="D53" s="524"/>
      <c r="E53" s="524"/>
      <c r="F53" s="524"/>
      <c r="G53" s="524"/>
      <c r="H53" s="524"/>
      <c r="I53" s="524"/>
      <c r="J53" s="524"/>
      <c r="K53" s="524"/>
      <c r="L53" s="524"/>
      <c r="M53" s="524"/>
      <c r="N53" s="524"/>
      <c r="O53" s="524"/>
      <c r="P53" s="524"/>
      <c r="Q53" s="524"/>
      <c r="R53" s="524"/>
      <c r="S53" s="524"/>
      <c r="T53" s="524"/>
      <c r="U53" s="524"/>
      <c r="V53" s="524"/>
      <c r="W53" s="524"/>
      <c r="X53" s="524"/>
      <c r="Y53" s="524"/>
      <c r="Z53" s="524"/>
    </row>
    <row r="54" spans="1:26" ht="12.75" customHeight="1" x14ac:dyDescent="0.25">
      <c r="A54" s="524"/>
      <c r="B54" s="524"/>
      <c r="C54" s="524"/>
      <c r="D54" s="524"/>
      <c r="E54" s="524"/>
      <c r="F54" s="524"/>
      <c r="G54" s="524"/>
      <c r="H54" s="524"/>
      <c r="I54" s="524"/>
      <c r="J54" s="524"/>
      <c r="K54" s="524"/>
      <c r="L54" s="524"/>
      <c r="M54" s="524"/>
      <c r="N54" s="524"/>
      <c r="O54" s="524"/>
      <c r="P54" s="524"/>
      <c r="Q54" s="524"/>
      <c r="R54" s="524"/>
      <c r="S54" s="524"/>
      <c r="T54" s="524"/>
      <c r="U54" s="524"/>
      <c r="V54" s="524"/>
      <c r="W54" s="524"/>
      <c r="X54" s="524"/>
      <c r="Y54" s="524"/>
      <c r="Z54" s="524"/>
    </row>
    <row r="55" spans="1:26" ht="12.75" customHeight="1" x14ac:dyDescent="0.25">
      <c r="A55" s="524"/>
      <c r="B55" s="524"/>
      <c r="C55" s="524"/>
      <c r="D55" s="524"/>
      <c r="E55" s="524"/>
      <c r="F55" s="524"/>
      <c r="G55" s="524"/>
      <c r="H55" s="524"/>
      <c r="I55" s="524"/>
      <c r="J55" s="524"/>
      <c r="K55" s="524"/>
      <c r="L55" s="524"/>
      <c r="M55" s="524"/>
      <c r="N55" s="524"/>
      <c r="O55" s="524"/>
      <c r="P55" s="524"/>
      <c r="Q55" s="524"/>
      <c r="R55" s="524"/>
      <c r="S55" s="524"/>
      <c r="T55" s="524"/>
      <c r="U55" s="524"/>
      <c r="V55" s="524"/>
      <c r="W55" s="524"/>
      <c r="X55" s="524"/>
      <c r="Y55" s="524"/>
      <c r="Z55" s="524"/>
    </row>
    <row r="56" spans="1:26" ht="12.75" customHeight="1" x14ac:dyDescent="0.25">
      <c r="A56" s="524"/>
      <c r="B56" s="524"/>
      <c r="C56" s="524"/>
      <c r="D56" s="524"/>
      <c r="E56" s="524"/>
      <c r="F56" s="524"/>
      <c r="G56" s="524"/>
      <c r="H56" s="524"/>
      <c r="I56" s="524"/>
      <c r="J56" s="524"/>
      <c r="K56" s="524"/>
      <c r="L56" s="524"/>
      <c r="M56" s="524"/>
      <c r="N56" s="524"/>
      <c r="O56" s="524"/>
      <c r="P56" s="524"/>
      <c r="Q56" s="524"/>
      <c r="R56" s="524"/>
      <c r="S56" s="524"/>
      <c r="T56" s="524"/>
      <c r="U56" s="524"/>
      <c r="V56" s="524"/>
      <c r="W56" s="524"/>
      <c r="X56" s="524"/>
      <c r="Y56" s="524"/>
      <c r="Z56" s="524"/>
    </row>
    <row r="57" spans="1:26" ht="12.75" customHeight="1" x14ac:dyDescent="0.25">
      <c r="A57" s="524"/>
      <c r="B57" s="524"/>
      <c r="C57" s="524"/>
      <c r="D57" s="524"/>
      <c r="E57" s="524"/>
      <c r="F57" s="524"/>
      <c r="G57" s="524"/>
      <c r="H57" s="524"/>
      <c r="I57" s="524"/>
      <c r="J57" s="524"/>
      <c r="K57" s="524"/>
      <c r="L57" s="524"/>
      <c r="M57" s="524"/>
      <c r="N57" s="524"/>
      <c r="O57" s="524"/>
      <c r="P57" s="524"/>
      <c r="Q57" s="524"/>
      <c r="R57" s="524"/>
      <c r="S57" s="524"/>
      <c r="T57" s="524"/>
      <c r="U57" s="524"/>
      <c r="V57" s="524"/>
      <c r="W57" s="524"/>
      <c r="X57" s="524"/>
      <c r="Y57" s="524"/>
      <c r="Z57" s="524"/>
    </row>
    <row r="58" spans="1:26" ht="12.75" customHeight="1" x14ac:dyDescent="0.25">
      <c r="A58" s="524"/>
      <c r="B58" s="524"/>
      <c r="C58" s="524"/>
      <c r="D58" s="524"/>
      <c r="E58" s="524"/>
      <c r="F58" s="524"/>
      <c r="G58" s="524"/>
      <c r="H58" s="524"/>
      <c r="I58" s="524"/>
      <c r="J58" s="524"/>
      <c r="K58" s="524"/>
      <c r="L58" s="524"/>
      <c r="M58" s="524"/>
      <c r="N58" s="524"/>
      <c r="O58" s="524"/>
      <c r="P58" s="524"/>
      <c r="Q58" s="524"/>
      <c r="R58" s="524"/>
      <c r="S58" s="524"/>
      <c r="T58" s="524"/>
      <c r="U58" s="524"/>
      <c r="V58" s="524"/>
      <c r="W58" s="524"/>
      <c r="X58" s="524"/>
      <c r="Y58" s="524"/>
      <c r="Z58" s="524"/>
    </row>
    <row r="59" spans="1:26" ht="12.75" customHeight="1" x14ac:dyDescent="0.25">
      <c r="A59" s="524"/>
      <c r="B59" s="524"/>
      <c r="C59" s="524"/>
      <c r="D59" s="524"/>
      <c r="E59" s="524"/>
      <c r="F59" s="524"/>
      <c r="G59" s="524"/>
      <c r="H59" s="524"/>
      <c r="I59" s="524"/>
      <c r="J59" s="524"/>
      <c r="K59" s="524"/>
      <c r="L59" s="524"/>
      <c r="M59" s="524"/>
      <c r="N59" s="524"/>
      <c r="O59" s="524"/>
      <c r="P59" s="524"/>
      <c r="Q59" s="524"/>
      <c r="R59" s="524"/>
      <c r="S59" s="524"/>
      <c r="T59" s="524"/>
      <c r="U59" s="524"/>
      <c r="V59" s="524"/>
      <c r="W59" s="524"/>
      <c r="X59" s="524"/>
      <c r="Y59" s="524"/>
      <c r="Z59" s="524"/>
    </row>
    <row r="60" spans="1:26" ht="12.75" customHeight="1" x14ac:dyDescent="0.25">
      <c r="A60" s="524"/>
      <c r="B60" s="524"/>
      <c r="C60" s="524"/>
      <c r="D60" s="524"/>
      <c r="E60" s="524"/>
      <c r="F60" s="524"/>
      <c r="G60" s="524"/>
      <c r="H60" s="524"/>
      <c r="I60" s="524"/>
      <c r="J60" s="524"/>
      <c r="K60" s="524"/>
      <c r="L60" s="524"/>
      <c r="M60" s="524"/>
      <c r="N60" s="524"/>
      <c r="O60" s="524"/>
      <c r="P60" s="524"/>
      <c r="Q60" s="524"/>
      <c r="R60" s="524"/>
      <c r="S60" s="524"/>
      <c r="T60" s="524"/>
      <c r="U60" s="524"/>
      <c r="V60" s="524"/>
      <c r="W60" s="524"/>
      <c r="X60" s="524"/>
      <c r="Y60" s="524"/>
      <c r="Z60" s="524"/>
    </row>
    <row r="61" spans="1:26" ht="12.75" customHeight="1" x14ac:dyDescent="0.25">
      <c r="A61" s="524"/>
      <c r="B61" s="524"/>
      <c r="C61" s="524"/>
      <c r="D61" s="524"/>
      <c r="E61" s="524"/>
      <c r="F61" s="524"/>
      <c r="G61" s="524"/>
      <c r="H61" s="524"/>
      <c r="I61" s="524"/>
      <c r="J61" s="524"/>
      <c r="K61" s="524"/>
      <c r="L61" s="524"/>
      <c r="M61" s="524"/>
      <c r="N61" s="524"/>
      <c r="O61" s="524"/>
      <c r="P61" s="524"/>
      <c r="Q61" s="524"/>
      <c r="R61" s="524"/>
      <c r="S61" s="524"/>
      <c r="T61" s="524"/>
      <c r="U61" s="524"/>
      <c r="V61" s="524"/>
      <c r="W61" s="524"/>
      <c r="X61" s="524"/>
      <c r="Y61" s="524"/>
      <c r="Z61" s="524"/>
    </row>
    <row r="62" spans="1:26" ht="12.75" customHeight="1" x14ac:dyDescent="0.25">
      <c r="A62" s="524"/>
      <c r="B62" s="524"/>
      <c r="C62" s="524"/>
      <c r="D62" s="524"/>
      <c r="E62" s="524"/>
      <c r="F62" s="524"/>
      <c r="G62" s="524"/>
      <c r="H62" s="524"/>
      <c r="I62" s="524"/>
      <c r="J62" s="524"/>
      <c r="K62" s="524"/>
      <c r="L62" s="524"/>
      <c r="M62" s="524"/>
      <c r="N62" s="524"/>
      <c r="O62" s="524"/>
      <c r="P62" s="524"/>
      <c r="Q62" s="524"/>
      <c r="R62" s="524"/>
      <c r="S62" s="524"/>
      <c r="T62" s="524"/>
      <c r="U62" s="524"/>
      <c r="V62" s="524"/>
      <c r="W62" s="524"/>
      <c r="X62" s="524"/>
      <c r="Y62" s="524"/>
      <c r="Z62" s="524"/>
    </row>
    <row r="63" spans="1:26" ht="12.75" customHeight="1" x14ac:dyDescent="0.25">
      <c r="A63" s="524"/>
      <c r="B63" s="524"/>
      <c r="C63" s="524"/>
      <c r="D63" s="524"/>
      <c r="E63" s="524"/>
      <c r="F63" s="524"/>
      <c r="G63" s="524"/>
      <c r="H63" s="524"/>
      <c r="I63" s="524"/>
      <c r="J63" s="524"/>
      <c r="K63" s="524"/>
      <c r="L63" s="524"/>
      <c r="M63" s="524"/>
      <c r="N63" s="524"/>
      <c r="O63" s="524"/>
      <c r="P63" s="524"/>
      <c r="Q63" s="524"/>
      <c r="R63" s="524"/>
      <c r="S63" s="524"/>
      <c r="T63" s="524"/>
      <c r="U63" s="524"/>
      <c r="V63" s="524"/>
      <c r="W63" s="524"/>
      <c r="X63" s="524"/>
      <c r="Y63" s="524"/>
      <c r="Z63" s="524"/>
    </row>
    <row r="64" spans="1:26" ht="12.75" customHeight="1" x14ac:dyDescent="0.25">
      <c r="A64" s="524"/>
      <c r="B64" s="524"/>
      <c r="C64" s="524"/>
      <c r="D64" s="524"/>
      <c r="E64" s="524"/>
      <c r="F64" s="524"/>
      <c r="G64" s="524"/>
      <c r="H64" s="524"/>
      <c r="I64" s="524"/>
      <c r="J64" s="524"/>
      <c r="K64" s="524"/>
      <c r="L64" s="524"/>
      <c r="M64" s="524"/>
      <c r="N64" s="524"/>
      <c r="O64" s="524"/>
      <c r="P64" s="524"/>
      <c r="Q64" s="524"/>
      <c r="R64" s="524"/>
      <c r="S64" s="524"/>
      <c r="T64" s="524"/>
      <c r="U64" s="524"/>
      <c r="V64" s="524"/>
      <c r="W64" s="524"/>
      <c r="X64" s="524"/>
      <c r="Y64" s="524"/>
      <c r="Z64" s="524"/>
    </row>
    <row r="65" spans="1:26" ht="12.75" customHeight="1" x14ac:dyDescent="0.25">
      <c r="A65" s="524"/>
      <c r="B65" s="524"/>
      <c r="C65" s="524"/>
      <c r="D65" s="524"/>
      <c r="E65" s="524"/>
      <c r="F65" s="524"/>
      <c r="G65" s="524"/>
      <c r="H65" s="524"/>
      <c r="I65" s="524"/>
      <c r="J65" s="524"/>
      <c r="K65" s="524"/>
      <c r="L65" s="524"/>
      <c r="M65" s="524"/>
      <c r="N65" s="524"/>
      <c r="O65" s="524"/>
      <c r="P65" s="524"/>
      <c r="Q65" s="524"/>
      <c r="R65" s="524"/>
      <c r="S65" s="524"/>
      <c r="T65" s="524"/>
      <c r="U65" s="524"/>
      <c r="V65" s="524"/>
      <c r="W65" s="524"/>
      <c r="X65" s="524"/>
      <c r="Y65" s="524"/>
      <c r="Z65" s="524"/>
    </row>
    <row r="66" spans="1:26" ht="12.75" customHeight="1" x14ac:dyDescent="0.25">
      <c r="A66" s="524"/>
      <c r="B66" s="524"/>
      <c r="C66" s="524"/>
      <c r="D66" s="524"/>
      <c r="E66" s="524"/>
      <c r="F66" s="524"/>
      <c r="G66" s="524"/>
      <c r="H66" s="524"/>
      <c r="I66" s="524"/>
      <c r="J66" s="524"/>
      <c r="K66" s="524"/>
      <c r="L66" s="524"/>
      <c r="M66" s="524"/>
      <c r="N66" s="524"/>
      <c r="O66" s="524"/>
      <c r="P66" s="524"/>
      <c r="Q66" s="524"/>
      <c r="R66" s="524"/>
      <c r="S66" s="524"/>
      <c r="T66" s="524"/>
      <c r="U66" s="524"/>
      <c r="V66" s="524"/>
      <c r="W66" s="524"/>
      <c r="X66" s="524"/>
      <c r="Y66" s="524"/>
      <c r="Z66" s="524"/>
    </row>
    <row r="67" spans="1:26" ht="12.75" customHeight="1" x14ac:dyDescent="0.25">
      <c r="A67" s="524"/>
      <c r="B67" s="524"/>
      <c r="C67" s="524"/>
      <c r="D67" s="524"/>
      <c r="E67" s="524"/>
      <c r="F67" s="524"/>
      <c r="G67" s="524"/>
      <c r="H67" s="524"/>
      <c r="I67" s="524"/>
      <c r="J67" s="524"/>
      <c r="K67" s="524"/>
      <c r="L67" s="524"/>
      <c r="M67" s="524"/>
      <c r="N67" s="524"/>
      <c r="O67" s="524"/>
      <c r="P67" s="524"/>
      <c r="Q67" s="524"/>
      <c r="R67" s="524"/>
      <c r="S67" s="524"/>
      <c r="T67" s="524"/>
      <c r="U67" s="524"/>
      <c r="V67" s="524"/>
      <c r="W67" s="524"/>
      <c r="X67" s="524"/>
      <c r="Y67" s="524"/>
      <c r="Z67" s="524"/>
    </row>
    <row r="68" spans="1:26" ht="12.75" customHeight="1" x14ac:dyDescent="0.25">
      <c r="A68" s="524"/>
      <c r="B68" s="524"/>
      <c r="C68" s="524"/>
      <c r="D68" s="524"/>
      <c r="E68" s="524"/>
      <c r="F68" s="524"/>
      <c r="G68" s="524"/>
      <c r="H68" s="524"/>
      <c r="I68" s="524"/>
      <c r="J68" s="524"/>
      <c r="K68" s="524"/>
      <c r="L68" s="524"/>
      <c r="M68" s="524"/>
      <c r="N68" s="524"/>
      <c r="O68" s="524"/>
      <c r="P68" s="524"/>
      <c r="Q68" s="524"/>
      <c r="R68" s="524"/>
      <c r="S68" s="524"/>
      <c r="T68" s="524"/>
      <c r="U68" s="524"/>
      <c r="V68" s="524"/>
      <c r="W68" s="524"/>
      <c r="X68" s="524"/>
      <c r="Y68" s="524"/>
      <c r="Z68" s="524"/>
    </row>
    <row r="69" spans="1:26" ht="12.75" customHeight="1" x14ac:dyDescent="0.25">
      <c r="A69" s="524"/>
      <c r="B69" s="524"/>
      <c r="C69" s="524"/>
      <c r="D69" s="524"/>
      <c r="E69" s="524"/>
      <c r="F69" s="524"/>
      <c r="G69" s="524"/>
      <c r="H69" s="524"/>
      <c r="I69" s="524"/>
      <c r="J69" s="524"/>
      <c r="K69" s="524"/>
      <c r="L69" s="524"/>
      <c r="M69" s="524"/>
      <c r="N69" s="524"/>
      <c r="O69" s="524"/>
      <c r="P69" s="524"/>
      <c r="Q69" s="524"/>
      <c r="R69" s="524"/>
      <c r="S69" s="524"/>
      <c r="T69" s="524"/>
      <c r="U69" s="524"/>
      <c r="V69" s="524"/>
      <c r="W69" s="524"/>
      <c r="X69" s="524"/>
      <c r="Y69" s="524"/>
      <c r="Z69" s="524"/>
    </row>
    <row r="70" spans="1:26" ht="12.75" customHeight="1" x14ac:dyDescent="0.25">
      <c r="A70" s="524"/>
      <c r="B70" s="524"/>
      <c r="C70" s="524"/>
      <c r="D70" s="524"/>
      <c r="E70" s="524"/>
      <c r="F70" s="524"/>
      <c r="G70" s="524"/>
      <c r="H70" s="524"/>
      <c r="I70" s="524"/>
      <c r="J70" s="524"/>
      <c r="K70" s="524"/>
      <c r="L70" s="524"/>
      <c r="M70" s="524"/>
      <c r="N70" s="524"/>
      <c r="O70" s="524"/>
      <c r="P70" s="524"/>
      <c r="Q70" s="524"/>
      <c r="R70" s="524"/>
      <c r="S70" s="524"/>
      <c r="T70" s="524"/>
      <c r="U70" s="524"/>
      <c r="V70" s="524"/>
      <c r="W70" s="524"/>
      <c r="X70" s="524"/>
      <c r="Y70" s="524"/>
      <c r="Z70" s="524"/>
    </row>
    <row r="71" spans="1:26" ht="12.75" customHeight="1" x14ac:dyDescent="0.25">
      <c r="A71" s="524"/>
      <c r="B71" s="524"/>
      <c r="C71" s="524"/>
      <c r="D71" s="524"/>
      <c r="E71" s="524"/>
      <c r="F71" s="524"/>
      <c r="G71" s="524"/>
      <c r="H71" s="524"/>
      <c r="I71" s="524"/>
      <c r="J71" s="524"/>
      <c r="K71" s="524"/>
      <c r="L71" s="524"/>
      <c r="M71" s="524"/>
      <c r="N71" s="524"/>
      <c r="O71" s="524"/>
      <c r="P71" s="524"/>
      <c r="Q71" s="524"/>
      <c r="R71" s="524"/>
      <c r="S71" s="524"/>
      <c r="T71" s="524"/>
      <c r="U71" s="524"/>
      <c r="V71" s="524"/>
      <c r="W71" s="524"/>
      <c r="X71" s="524"/>
      <c r="Y71" s="524"/>
      <c r="Z71" s="524"/>
    </row>
    <row r="72" spans="1:26" ht="12.75" customHeight="1" x14ac:dyDescent="0.25">
      <c r="A72" s="524"/>
      <c r="B72" s="524"/>
      <c r="C72" s="524"/>
      <c r="D72" s="524"/>
      <c r="E72" s="524"/>
      <c r="F72" s="524"/>
      <c r="G72" s="524"/>
      <c r="H72" s="524"/>
      <c r="I72" s="524"/>
      <c r="J72" s="524"/>
      <c r="K72" s="524"/>
      <c r="L72" s="524"/>
      <c r="M72" s="524"/>
      <c r="N72" s="524"/>
      <c r="O72" s="524"/>
      <c r="P72" s="524"/>
      <c r="Q72" s="524"/>
      <c r="R72" s="524"/>
      <c r="S72" s="524"/>
      <c r="T72" s="524"/>
      <c r="U72" s="524"/>
      <c r="V72" s="524"/>
      <c r="W72" s="524"/>
      <c r="X72" s="524"/>
      <c r="Y72" s="524"/>
      <c r="Z72" s="524"/>
    </row>
    <row r="73" spans="1:26" ht="12.75" customHeight="1" x14ac:dyDescent="0.25">
      <c r="A73" s="524"/>
      <c r="B73" s="524"/>
      <c r="C73" s="524"/>
      <c r="D73" s="524"/>
      <c r="E73" s="524"/>
      <c r="F73" s="524"/>
      <c r="G73" s="524"/>
      <c r="H73" s="524"/>
      <c r="I73" s="524"/>
      <c r="J73" s="524"/>
      <c r="K73" s="524"/>
      <c r="L73" s="524"/>
      <c r="M73" s="524"/>
      <c r="N73" s="524"/>
      <c r="O73" s="524"/>
      <c r="P73" s="524"/>
      <c r="Q73" s="524"/>
      <c r="R73" s="524"/>
      <c r="S73" s="524"/>
      <c r="T73" s="524"/>
      <c r="U73" s="524"/>
      <c r="V73" s="524"/>
      <c r="W73" s="524"/>
      <c r="X73" s="524"/>
      <c r="Y73" s="524"/>
      <c r="Z73" s="524"/>
    </row>
    <row r="74" spans="1:26" ht="12.75" customHeight="1" x14ac:dyDescent="0.25">
      <c r="A74" s="524"/>
      <c r="B74" s="524"/>
      <c r="C74" s="524"/>
      <c r="D74" s="524"/>
      <c r="E74" s="524"/>
      <c r="F74" s="524"/>
      <c r="G74" s="524"/>
      <c r="H74" s="524"/>
      <c r="I74" s="524"/>
      <c r="J74" s="524"/>
      <c r="K74" s="524"/>
      <c r="L74" s="524"/>
      <c r="M74" s="524"/>
      <c r="N74" s="524"/>
      <c r="O74" s="524"/>
      <c r="P74" s="524"/>
      <c r="Q74" s="524"/>
      <c r="R74" s="524"/>
      <c r="S74" s="524"/>
      <c r="T74" s="524"/>
      <c r="U74" s="524"/>
      <c r="V74" s="524"/>
      <c r="W74" s="524"/>
      <c r="X74" s="524"/>
      <c r="Y74" s="524"/>
      <c r="Z74" s="524"/>
    </row>
    <row r="75" spans="1:26" ht="12.75" customHeight="1" x14ac:dyDescent="0.25">
      <c r="A75" s="524"/>
      <c r="B75" s="524"/>
      <c r="C75" s="524"/>
      <c r="D75" s="524"/>
      <c r="E75" s="524"/>
      <c r="F75" s="524"/>
      <c r="G75" s="524"/>
      <c r="H75" s="524"/>
      <c r="I75" s="524"/>
      <c r="J75" s="524"/>
      <c r="K75" s="524"/>
      <c r="L75" s="524"/>
      <c r="M75" s="524"/>
      <c r="N75" s="524"/>
      <c r="O75" s="524"/>
      <c r="P75" s="524"/>
      <c r="Q75" s="524"/>
      <c r="R75" s="524"/>
      <c r="S75" s="524"/>
      <c r="T75" s="524"/>
      <c r="U75" s="524"/>
      <c r="V75" s="524"/>
      <c r="W75" s="524"/>
      <c r="X75" s="524"/>
      <c r="Y75" s="524"/>
      <c r="Z75" s="524"/>
    </row>
    <row r="76" spans="1:26" ht="12.75" customHeight="1" x14ac:dyDescent="0.25">
      <c r="A76" s="524"/>
      <c r="B76" s="524"/>
      <c r="C76" s="524"/>
      <c r="D76" s="524"/>
      <c r="E76" s="524"/>
      <c r="F76" s="524"/>
      <c r="G76" s="524"/>
      <c r="H76" s="524"/>
      <c r="I76" s="524"/>
      <c r="J76" s="524"/>
      <c r="K76" s="524"/>
      <c r="L76" s="524"/>
      <c r="M76" s="524"/>
      <c r="N76" s="524"/>
      <c r="O76" s="524"/>
      <c r="P76" s="524"/>
      <c r="Q76" s="524"/>
      <c r="R76" s="524"/>
      <c r="S76" s="524"/>
      <c r="T76" s="524"/>
      <c r="U76" s="524"/>
      <c r="V76" s="524"/>
      <c r="W76" s="524"/>
      <c r="X76" s="524"/>
      <c r="Y76" s="524"/>
      <c r="Z76" s="524"/>
    </row>
    <row r="77" spans="1:26" ht="12.75" customHeight="1" x14ac:dyDescent="0.25">
      <c r="A77" s="524"/>
      <c r="B77" s="524"/>
      <c r="C77" s="524"/>
      <c r="D77" s="524"/>
      <c r="E77" s="524"/>
      <c r="F77" s="524"/>
      <c r="G77" s="524"/>
      <c r="H77" s="524"/>
      <c r="I77" s="524"/>
      <c r="J77" s="524"/>
      <c r="K77" s="524"/>
      <c r="L77" s="524"/>
      <c r="M77" s="524"/>
      <c r="N77" s="524"/>
      <c r="O77" s="524"/>
      <c r="P77" s="524"/>
      <c r="Q77" s="524"/>
      <c r="R77" s="524"/>
      <c r="S77" s="524"/>
      <c r="T77" s="524"/>
      <c r="U77" s="524"/>
      <c r="V77" s="524"/>
      <c r="W77" s="524"/>
      <c r="X77" s="524"/>
      <c r="Y77" s="524"/>
      <c r="Z77" s="524"/>
    </row>
    <row r="78" spans="1:26" ht="12.75" customHeight="1" x14ac:dyDescent="0.25">
      <c r="A78" s="524"/>
      <c r="B78" s="524"/>
      <c r="C78" s="524"/>
      <c r="D78" s="524"/>
      <c r="E78" s="524"/>
      <c r="F78" s="524"/>
      <c r="G78" s="524"/>
      <c r="H78" s="524"/>
      <c r="I78" s="524"/>
      <c r="J78" s="524"/>
      <c r="K78" s="524"/>
      <c r="L78" s="524"/>
      <c r="M78" s="524"/>
      <c r="N78" s="524"/>
      <c r="O78" s="524"/>
      <c r="P78" s="524"/>
      <c r="Q78" s="524"/>
      <c r="R78" s="524"/>
      <c r="S78" s="524"/>
      <c r="T78" s="524"/>
      <c r="U78" s="524"/>
      <c r="V78" s="524"/>
      <c r="W78" s="524"/>
      <c r="X78" s="524"/>
      <c r="Y78" s="524"/>
      <c r="Z78" s="524"/>
    </row>
    <row r="79" spans="1:26" ht="12.75" customHeight="1" x14ac:dyDescent="0.25">
      <c r="A79" s="524"/>
      <c r="B79" s="524"/>
      <c r="C79" s="524"/>
      <c r="D79" s="524"/>
      <c r="E79" s="524"/>
      <c r="F79" s="524"/>
      <c r="G79" s="524"/>
      <c r="H79" s="524"/>
      <c r="I79" s="524"/>
      <c r="J79" s="524"/>
      <c r="K79" s="524"/>
      <c r="L79" s="524"/>
      <c r="M79" s="524"/>
      <c r="N79" s="524"/>
      <c r="O79" s="524"/>
      <c r="P79" s="524"/>
      <c r="Q79" s="524"/>
      <c r="R79" s="524"/>
      <c r="S79" s="524"/>
      <c r="T79" s="524"/>
      <c r="U79" s="524"/>
      <c r="V79" s="524"/>
      <c r="W79" s="524"/>
      <c r="X79" s="524"/>
      <c r="Y79" s="524"/>
      <c r="Z79" s="524"/>
    </row>
    <row r="80" spans="1:26" ht="12.75" customHeight="1" x14ac:dyDescent="0.25">
      <c r="A80" s="524"/>
      <c r="B80" s="524"/>
      <c r="C80" s="524"/>
      <c r="D80" s="524"/>
      <c r="E80" s="524"/>
      <c r="F80" s="524"/>
      <c r="G80" s="524"/>
      <c r="H80" s="524"/>
      <c r="I80" s="524"/>
      <c r="J80" s="524"/>
      <c r="K80" s="524"/>
      <c r="L80" s="524"/>
      <c r="M80" s="524"/>
      <c r="N80" s="524"/>
      <c r="O80" s="524"/>
      <c r="P80" s="524"/>
      <c r="Q80" s="524"/>
      <c r="R80" s="524"/>
      <c r="S80" s="524"/>
      <c r="T80" s="524"/>
      <c r="U80" s="524"/>
      <c r="V80" s="524"/>
      <c r="W80" s="524"/>
      <c r="X80" s="524"/>
      <c r="Y80" s="524"/>
      <c r="Z80" s="524"/>
    </row>
    <row r="81" spans="1:26" ht="12.75" customHeight="1" x14ac:dyDescent="0.25">
      <c r="A81" s="524"/>
      <c r="B81" s="524"/>
      <c r="C81" s="524"/>
      <c r="D81" s="524"/>
      <c r="E81" s="524"/>
      <c r="F81" s="524"/>
      <c r="G81" s="524"/>
      <c r="H81" s="524"/>
      <c r="I81" s="524"/>
      <c r="J81" s="524"/>
      <c r="K81" s="524"/>
      <c r="L81" s="524"/>
      <c r="M81" s="524"/>
      <c r="N81" s="524"/>
      <c r="O81" s="524"/>
      <c r="P81" s="524"/>
      <c r="Q81" s="524"/>
      <c r="R81" s="524"/>
      <c r="S81" s="524"/>
      <c r="T81" s="524"/>
      <c r="U81" s="524"/>
      <c r="V81" s="524"/>
      <c r="W81" s="524"/>
      <c r="X81" s="524"/>
      <c r="Y81" s="524"/>
      <c r="Z81" s="524"/>
    </row>
    <row r="82" spans="1:26" ht="12.75" customHeight="1" x14ac:dyDescent="0.25">
      <c r="A82" s="524"/>
      <c r="B82" s="524"/>
      <c r="C82" s="524"/>
      <c r="D82" s="524"/>
      <c r="E82" s="524"/>
      <c r="F82" s="524"/>
      <c r="G82" s="524"/>
      <c r="H82" s="524"/>
      <c r="I82" s="524"/>
      <c r="J82" s="524"/>
      <c r="K82" s="524"/>
      <c r="L82" s="524"/>
      <c r="M82" s="524"/>
      <c r="N82" s="524"/>
      <c r="O82" s="524"/>
      <c r="P82" s="524"/>
      <c r="Q82" s="524"/>
      <c r="R82" s="524"/>
      <c r="S82" s="524"/>
      <c r="T82" s="524"/>
      <c r="U82" s="524"/>
      <c r="V82" s="524"/>
      <c r="W82" s="524"/>
      <c r="X82" s="524"/>
      <c r="Y82" s="524"/>
      <c r="Z82" s="524"/>
    </row>
    <row r="83" spans="1:26" ht="12.75" customHeight="1" x14ac:dyDescent="0.25">
      <c r="A83" s="524"/>
      <c r="B83" s="524"/>
      <c r="C83" s="524"/>
      <c r="D83" s="524"/>
      <c r="E83" s="524"/>
      <c r="F83" s="524"/>
      <c r="G83" s="524"/>
      <c r="H83" s="524"/>
      <c r="I83" s="524"/>
      <c r="J83" s="524"/>
      <c r="K83" s="524"/>
      <c r="L83" s="524"/>
      <c r="M83" s="524"/>
      <c r="N83" s="524"/>
      <c r="O83" s="524"/>
      <c r="P83" s="524"/>
      <c r="Q83" s="524"/>
      <c r="R83" s="524"/>
      <c r="S83" s="524"/>
      <c r="T83" s="524"/>
      <c r="U83" s="524"/>
      <c r="V83" s="524"/>
      <c r="W83" s="524"/>
      <c r="X83" s="524"/>
      <c r="Y83" s="524"/>
      <c r="Z83" s="524"/>
    </row>
    <row r="84" spans="1:26" ht="12.75" customHeight="1" x14ac:dyDescent="0.25">
      <c r="A84" s="524"/>
      <c r="B84" s="524"/>
      <c r="C84" s="524"/>
      <c r="D84" s="524"/>
      <c r="E84" s="524"/>
      <c r="F84" s="524"/>
      <c r="G84" s="524"/>
      <c r="H84" s="524"/>
      <c r="I84" s="524"/>
      <c r="J84" s="524"/>
      <c r="K84" s="524"/>
      <c r="L84" s="524"/>
      <c r="M84" s="524"/>
      <c r="N84" s="524"/>
      <c r="O84" s="524"/>
      <c r="P84" s="524"/>
      <c r="Q84" s="524"/>
      <c r="R84" s="524"/>
      <c r="S84" s="524"/>
      <c r="T84" s="524"/>
      <c r="U84" s="524"/>
      <c r="V84" s="524"/>
      <c r="W84" s="524"/>
      <c r="X84" s="524"/>
      <c r="Y84" s="524"/>
      <c r="Z84" s="524"/>
    </row>
    <row r="85" spans="1:26" ht="12.75" customHeight="1" x14ac:dyDescent="0.25">
      <c r="A85" s="524"/>
      <c r="B85" s="524"/>
      <c r="C85" s="524"/>
      <c r="D85" s="524"/>
      <c r="E85" s="524"/>
      <c r="F85" s="524"/>
      <c r="G85" s="524"/>
      <c r="H85" s="524"/>
      <c r="I85" s="524"/>
      <c r="J85" s="524"/>
      <c r="K85" s="524"/>
      <c r="L85" s="524"/>
      <c r="M85" s="524"/>
      <c r="N85" s="524"/>
      <c r="O85" s="524"/>
      <c r="P85" s="524"/>
      <c r="Q85" s="524"/>
      <c r="R85" s="524"/>
      <c r="S85" s="524"/>
      <c r="T85" s="524"/>
      <c r="U85" s="524"/>
      <c r="V85" s="524"/>
      <c r="W85" s="524"/>
      <c r="X85" s="524"/>
      <c r="Y85" s="524"/>
      <c r="Z85" s="524"/>
    </row>
    <row r="86" spans="1:26" ht="12.75" customHeight="1" x14ac:dyDescent="0.25">
      <c r="A86" s="524"/>
      <c r="B86" s="524"/>
      <c r="C86" s="524"/>
      <c r="D86" s="524"/>
      <c r="E86" s="524"/>
      <c r="F86" s="524"/>
      <c r="G86" s="524"/>
      <c r="H86" s="524"/>
      <c r="I86" s="524"/>
      <c r="J86" s="524"/>
      <c r="K86" s="524"/>
      <c r="L86" s="524"/>
      <c r="M86" s="524"/>
      <c r="N86" s="524"/>
      <c r="O86" s="524"/>
      <c r="P86" s="524"/>
      <c r="Q86" s="524"/>
      <c r="R86" s="524"/>
      <c r="S86" s="524"/>
      <c r="T86" s="524"/>
      <c r="U86" s="524"/>
      <c r="V86" s="524"/>
      <c r="W86" s="524"/>
      <c r="X86" s="524"/>
      <c r="Y86" s="524"/>
      <c r="Z86" s="524"/>
    </row>
    <row r="87" spans="1:26" ht="12.75" customHeight="1" x14ac:dyDescent="0.25">
      <c r="A87" s="524"/>
      <c r="B87" s="524"/>
      <c r="C87" s="524"/>
      <c r="D87" s="524"/>
      <c r="E87" s="524"/>
      <c r="F87" s="524"/>
      <c r="G87" s="524"/>
      <c r="H87" s="524"/>
      <c r="I87" s="524"/>
      <c r="J87" s="524"/>
      <c r="K87" s="524"/>
      <c r="L87" s="524"/>
      <c r="M87" s="524"/>
      <c r="N87" s="524"/>
      <c r="O87" s="524"/>
      <c r="P87" s="524"/>
      <c r="Q87" s="524"/>
      <c r="R87" s="524"/>
      <c r="S87" s="524"/>
      <c r="T87" s="524"/>
      <c r="U87" s="524"/>
      <c r="V87" s="524"/>
      <c r="W87" s="524"/>
      <c r="X87" s="524"/>
      <c r="Y87" s="524"/>
      <c r="Z87" s="524"/>
    </row>
    <row r="88" spans="1:26" ht="12.75" customHeight="1" x14ac:dyDescent="0.25">
      <c r="A88" s="524"/>
      <c r="B88" s="524"/>
      <c r="C88" s="524"/>
      <c r="D88" s="524"/>
      <c r="E88" s="524"/>
      <c r="F88" s="524"/>
      <c r="G88" s="524"/>
      <c r="H88" s="524"/>
      <c r="I88" s="524"/>
      <c r="J88" s="524"/>
      <c r="K88" s="524"/>
      <c r="L88" s="524"/>
      <c r="M88" s="524"/>
      <c r="N88" s="524"/>
      <c r="O88" s="524"/>
      <c r="P88" s="524"/>
      <c r="Q88" s="524"/>
      <c r="R88" s="524"/>
      <c r="S88" s="524"/>
      <c r="T88" s="524"/>
      <c r="U88" s="524"/>
      <c r="V88" s="524"/>
      <c r="W88" s="524"/>
      <c r="X88" s="524"/>
      <c r="Y88" s="524"/>
      <c r="Z88" s="524"/>
    </row>
    <row r="89" spans="1:26" ht="12.75" customHeight="1" x14ac:dyDescent="0.25">
      <c r="A89" s="524"/>
      <c r="B89" s="524"/>
      <c r="C89" s="524"/>
      <c r="D89" s="524"/>
      <c r="E89" s="524"/>
      <c r="F89" s="524"/>
      <c r="G89" s="524"/>
      <c r="H89" s="524"/>
      <c r="I89" s="524"/>
      <c r="J89" s="524"/>
      <c r="K89" s="524"/>
      <c r="L89" s="524"/>
      <c r="M89" s="524"/>
      <c r="N89" s="524"/>
      <c r="O89" s="524"/>
      <c r="P89" s="524"/>
      <c r="Q89" s="524"/>
      <c r="R89" s="524"/>
      <c r="S89" s="524"/>
      <c r="T89" s="524"/>
      <c r="U89" s="524"/>
      <c r="V89" s="524"/>
      <c r="W89" s="524"/>
      <c r="X89" s="524"/>
      <c r="Y89" s="524"/>
      <c r="Z89" s="524"/>
    </row>
    <row r="90" spans="1:26" ht="12.75" customHeight="1" x14ac:dyDescent="0.25">
      <c r="A90" s="524"/>
      <c r="B90" s="524"/>
      <c r="C90" s="524"/>
      <c r="D90" s="524"/>
      <c r="E90" s="524"/>
      <c r="F90" s="524"/>
      <c r="G90" s="524"/>
      <c r="H90" s="524"/>
      <c r="I90" s="524"/>
      <c r="J90" s="524"/>
      <c r="K90" s="524"/>
      <c r="L90" s="524"/>
      <c r="M90" s="524"/>
      <c r="N90" s="524"/>
      <c r="O90" s="524"/>
      <c r="P90" s="524"/>
      <c r="Q90" s="524"/>
      <c r="R90" s="524"/>
      <c r="S90" s="524"/>
      <c r="T90" s="524"/>
      <c r="U90" s="524"/>
      <c r="V90" s="524"/>
      <c r="W90" s="524"/>
      <c r="X90" s="524"/>
      <c r="Y90" s="524"/>
      <c r="Z90" s="524"/>
    </row>
    <row r="91" spans="1:26" ht="12.75" customHeight="1" x14ac:dyDescent="0.25">
      <c r="A91" s="524"/>
      <c r="B91" s="524"/>
      <c r="C91" s="524"/>
      <c r="D91" s="524"/>
      <c r="E91" s="524"/>
      <c r="F91" s="524"/>
      <c r="G91" s="524"/>
      <c r="H91" s="524"/>
      <c r="I91" s="524"/>
      <c r="J91" s="524"/>
      <c r="K91" s="524"/>
      <c r="L91" s="524"/>
      <c r="M91" s="524"/>
      <c r="N91" s="524"/>
      <c r="O91" s="524"/>
      <c r="P91" s="524"/>
      <c r="Q91" s="524"/>
      <c r="R91" s="524"/>
      <c r="S91" s="524"/>
      <c r="T91" s="524"/>
      <c r="U91" s="524"/>
      <c r="V91" s="524"/>
      <c r="W91" s="524"/>
      <c r="X91" s="524"/>
      <c r="Y91" s="524"/>
      <c r="Z91" s="524"/>
    </row>
    <row r="92" spans="1:26" ht="12.75" customHeight="1" x14ac:dyDescent="0.25">
      <c r="A92" s="524"/>
      <c r="B92" s="524"/>
      <c r="C92" s="524"/>
      <c r="D92" s="524"/>
      <c r="E92" s="524"/>
      <c r="F92" s="524"/>
      <c r="G92" s="524"/>
      <c r="H92" s="524"/>
      <c r="I92" s="524"/>
      <c r="J92" s="524"/>
      <c r="K92" s="524"/>
      <c r="L92" s="524"/>
      <c r="M92" s="524"/>
      <c r="N92" s="524"/>
      <c r="O92" s="524"/>
      <c r="P92" s="524"/>
      <c r="Q92" s="524"/>
      <c r="R92" s="524"/>
      <c r="S92" s="524"/>
      <c r="T92" s="524"/>
      <c r="U92" s="524"/>
      <c r="V92" s="524"/>
      <c r="W92" s="524"/>
      <c r="X92" s="524"/>
      <c r="Y92" s="524"/>
      <c r="Z92" s="524"/>
    </row>
    <row r="93" spans="1:26" ht="12.75" customHeight="1" x14ac:dyDescent="0.25">
      <c r="A93" s="524"/>
      <c r="B93" s="524"/>
      <c r="C93" s="524"/>
      <c r="D93" s="524"/>
      <c r="E93" s="524"/>
      <c r="F93" s="524"/>
      <c r="G93" s="524"/>
      <c r="H93" s="524"/>
      <c r="I93" s="524"/>
      <c r="J93" s="524"/>
      <c r="K93" s="524"/>
      <c r="L93" s="524"/>
      <c r="M93" s="524"/>
      <c r="N93" s="524"/>
      <c r="O93" s="524"/>
      <c r="P93" s="524"/>
      <c r="Q93" s="524"/>
      <c r="R93" s="524"/>
      <c r="S93" s="524"/>
      <c r="T93" s="524"/>
      <c r="U93" s="524"/>
      <c r="V93" s="524"/>
      <c r="W93" s="524"/>
      <c r="X93" s="524"/>
      <c r="Y93" s="524"/>
      <c r="Z93" s="524"/>
    </row>
    <row r="94" spans="1:26" ht="12.75" customHeight="1" x14ac:dyDescent="0.25">
      <c r="A94" s="524"/>
      <c r="B94" s="524"/>
      <c r="C94" s="524"/>
      <c r="D94" s="524"/>
      <c r="E94" s="524"/>
      <c r="F94" s="524"/>
      <c r="G94" s="524"/>
      <c r="H94" s="524"/>
      <c r="I94" s="524"/>
      <c r="J94" s="524"/>
      <c r="K94" s="524"/>
      <c r="L94" s="524"/>
      <c r="M94" s="524"/>
      <c r="N94" s="524"/>
      <c r="O94" s="524"/>
      <c r="P94" s="524"/>
      <c r="Q94" s="524"/>
      <c r="R94" s="524"/>
      <c r="S94" s="524"/>
      <c r="T94" s="524"/>
      <c r="U94" s="524"/>
      <c r="V94" s="524"/>
      <c r="W94" s="524"/>
      <c r="X94" s="524"/>
      <c r="Y94" s="524"/>
      <c r="Z94" s="524"/>
    </row>
    <row r="95" spans="1:26" ht="12.75" customHeight="1" x14ac:dyDescent="0.25">
      <c r="A95" s="524"/>
      <c r="B95" s="524"/>
      <c r="C95" s="524"/>
      <c r="D95" s="524"/>
      <c r="E95" s="524"/>
      <c r="F95" s="524"/>
      <c r="G95" s="524"/>
      <c r="H95" s="524"/>
      <c r="I95" s="524"/>
      <c r="J95" s="524"/>
      <c r="K95" s="524"/>
      <c r="L95" s="524"/>
      <c r="M95" s="524"/>
      <c r="N95" s="524"/>
      <c r="O95" s="524"/>
      <c r="P95" s="524"/>
      <c r="Q95" s="524"/>
      <c r="R95" s="524"/>
      <c r="S95" s="524"/>
      <c r="T95" s="524"/>
      <c r="U95" s="524"/>
      <c r="V95" s="524"/>
      <c r="W95" s="524"/>
      <c r="X95" s="524"/>
      <c r="Y95" s="524"/>
      <c r="Z95" s="524"/>
    </row>
    <row r="96" spans="1:26" ht="12.75" customHeight="1" x14ac:dyDescent="0.25">
      <c r="A96" s="524"/>
      <c r="B96" s="524"/>
      <c r="C96" s="524"/>
      <c r="D96" s="524"/>
      <c r="E96" s="524"/>
      <c r="F96" s="524"/>
      <c r="G96" s="524"/>
      <c r="H96" s="524"/>
      <c r="I96" s="524"/>
      <c r="J96" s="524"/>
      <c r="K96" s="524"/>
      <c r="L96" s="524"/>
      <c r="M96" s="524"/>
      <c r="N96" s="524"/>
      <c r="O96" s="524"/>
      <c r="P96" s="524"/>
      <c r="Q96" s="524"/>
      <c r="R96" s="524"/>
      <c r="S96" s="524"/>
      <c r="T96" s="524"/>
      <c r="U96" s="524"/>
      <c r="V96" s="524"/>
      <c r="W96" s="524"/>
      <c r="X96" s="524"/>
      <c r="Y96" s="524"/>
      <c r="Z96" s="524"/>
    </row>
    <row r="97" spans="1:26" ht="12.75" customHeight="1" x14ac:dyDescent="0.25">
      <c r="A97" s="524"/>
      <c r="B97" s="524"/>
      <c r="C97" s="524"/>
      <c r="D97" s="524"/>
      <c r="E97" s="524"/>
      <c r="F97" s="524"/>
      <c r="G97" s="524"/>
      <c r="H97" s="524"/>
      <c r="I97" s="524"/>
      <c r="J97" s="524"/>
      <c r="K97" s="524"/>
      <c r="L97" s="524"/>
      <c r="M97" s="524"/>
      <c r="N97" s="524"/>
      <c r="O97" s="524"/>
      <c r="P97" s="524"/>
      <c r="Q97" s="524"/>
      <c r="R97" s="524"/>
      <c r="S97" s="524"/>
      <c r="T97" s="524"/>
      <c r="U97" s="524"/>
      <c r="V97" s="524"/>
      <c r="W97" s="524"/>
      <c r="X97" s="524"/>
      <c r="Y97" s="524"/>
      <c r="Z97" s="524"/>
    </row>
    <row r="98" spans="1:26" ht="12.75" customHeight="1" x14ac:dyDescent="0.25">
      <c r="A98" s="524"/>
      <c r="B98" s="524"/>
      <c r="C98" s="524"/>
      <c r="D98" s="524"/>
      <c r="E98" s="524"/>
      <c r="F98" s="524"/>
      <c r="G98" s="524"/>
      <c r="H98" s="524"/>
      <c r="I98" s="524"/>
      <c r="J98" s="524"/>
      <c r="K98" s="524"/>
      <c r="L98" s="524"/>
      <c r="M98" s="524"/>
      <c r="N98" s="524"/>
      <c r="O98" s="524"/>
      <c r="P98" s="524"/>
      <c r="Q98" s="524"/>
      <c r="R98" s="524"/>
      <c r="S98" s="524"/>
      <c r="T98" s="524"/>
      <c r="U98" s="524"/>
      <c r="V98" s="524"/>
      <c r="W98" s="524"/>
      <c r="X98" s="524"/>
      <c r="Y98" s="524"/>
      <c r="Z98" s="524"/>
    </row>
    <row r="99" spans="1:26" ht="12.75" customHeight="1" x14ac:dyDescent="0.25">
      <c r="A99" s="524"/>
      <c r="B99" s="524"/>
      <c r="C99" s="524"/>
      <c r="D99" s="524"/>
      <c r="E99" s="524"/>
      <c r="F99" s="524"/>
      <c r="G99" s="524"/>
      <c r="H99" s="524"/>
      <c r="I99" s="524"/>
      <c r="J99" s="524"/>
      <c r="K99" s="524"/>
      <c r="L99" s="524"/>
      <c r="M99" s="524"/>
      <c r="N99" s="524"/>
      <c r="O99" s="524"/>
      <c r="P99" s="524"/>
      <c r="Q99" s="524"/>
      <c r="R99" s="524"/>
      <c r="S99" s="524"/>
      <c r="T99" s="524"/>
      <c r="U99" s="524"/>
      <c r="V99" s="524"/>
      <c r="W99" s="524"/>
      <c r="X99" s="524"/>
      <c r="Y99" s="524"/>
      <c r="Z99" s="524"/>
    </row>
    <row r="100" spans="1:26" ht="12.75" customHeight="1" x14ac:dyDescent="0.25">
      <c r="A100" s="524"/>
      <c r="B100" s="524"/>
      <c r="C100" s="524"/>
      <c r="D100" s="524"/>
      <c r="E100" s="524"/>
      <c r="F100" s="524"/>
      <c r="G100" s="524"/>
      <c r="H100" s="524"/>
      <c r="I100" s="524"/>
      <c r="J100" s="524"/>
      <c r="K100" s="524"/>
      <c r="L100" s="524"/>
      <c r="M100" s="524"/>
      <c r="N100" s="524"/>
      <c r="O100" s="524"/>
      <c r="P100" s="524"/>
      <c r="Q100" s="524"/>
      <c r="R100" s="524"/>
      <c r="S100" s="524"/>
      <c r="T100" s="524"/>
      <c r="U100" s="524"/>
      <c r="V100" s="524"/>
      <c r="W100" s="524"/>
      <c r="X100" s="524"/>
      <c r="Y100" s="524"/>
      <c r="Z100" s="524"/>
    </row>
    <row r="101" spans="1:26" ht="12.75" customHeight="1" x14ac:dyDescent="0.25">
      <c r="A101" s="524"/>
      <c r="B101" s="524"/>
      <c r="C101" s="524"/>
      <c r="D101" s="524"/>
      <c r="E101" s="524"/>
      <c r="F101" s="524"/>
      <c r="G101" s="524"/>
      <c r="H101" s="524"/>
      <c r="I101" s="524"/>
      <c r="J101" s="524"/>
      <c r="K101" s="524"/>
      <c r="L101" s="524"/>
      <c r="M101" s="524"/>
      <c r="N101" s="524"/>
      <c r="O101" s="524"/>
      <c r="P101" s="524"/>
      <c r="Q101" s="524"/>
      <c r="R101" s="524"/>
      <c r="S101" s="524"/>
      <c r="T101" s="524"/>
      <c r="U101" s="524"/>
      <c r="V101" s="524"/>
      <c r="W101" s="524"/>
      <c r="X101" s="524"/>
      <c r="Y101" s="524"/>
      <c r="Z101" s="524"/>
    </row>
    <row r="102" spans="1:26" ht="12.75" customHeight="1" x14ac:dyDescent="0.25">
      <c r="A102" s="524"/>
      <c r="B102" s="524"/>
      <c r="C102" s="524"/>
      <c r="D102" s="524"/>
      <c r="E102" s="524"/>
      <c r="F102" s="524"/>
      <c r="G102" s="524"/>
      <c r="H102" s="524"/>
      <c r="I102" s="524"/>
      <c r="J102" s="524"/>
      <c r="K102" s="524"/>
      <c r="L102" s="524"/>
      <c r="M102" s="524"/>
      <c r="N102" s="524"/>
      <c r="O102" s="524"/>
      <c r="P102" s="524"/>
      <c r="Q102" s="524"/>
      <c r="R102" s="524"/>
      <c r="S102" s="524"/>
      <c r="T102" s="524"/>
      <c r="U102" s="524"/>
      <c r="V102" s="524"/>
      <c r="W102" s="524"/>
      <c r="X102" s="524"/>
      <c r="Y102" s="524"/>
      <c r="Z102" s="524"/>
    </row>
    <row r="103" spans="1:26" ht="12.75" customHeight="1" x14ac:dyDescent="0.25">
      <c r="A103" s="524"/>
      <c r="B103" s="524"/>
      <c r="C103" s="524"/>
      <c r="D103" s="524"/>
      <c r="E103" s="524"/>
      <c r="F103" s="524"/>
      <c r="G103" s="524"/>
      <c r="H103" s="524"/>
      <c r="I103" s="524"/>
      <c r="J103" s="524"/>
      <c r="K103" s="524"/>
      <c r="L103" s="524"/>
      <c r="M103" s="524"/>
      <c r="N103" s="524"/>
      <c r="O103" s="524"/>
      <c r="P103" s="524"/>
      <c r="Q103" s="524"/>
      <c r="R103" s="524"/>
      <c r="S103" s="524"/>
      <c r="T103" s="524"/>
      <c r="U103" s="524"/>
      <c r="V103" s="524"/>
      <c r="W103" s="524"/>
      <c r="X103" s="524"/>
      <c r="Y103" s="524"/>
      <c r="Z103" s="524"/>
    </row>
    <row r="104" spans="1:26" ht="12.75" customHeight="1" x14ac:dyDescent="0.25">
      <c r="A104" s="524"/>
      <c r="B104" s="524"/>
      <c r="C104" s="524"/>
      <c r="D104" s="524"/>
      <c r="E104" s="524"/>
      <c r="F104" s="524"/>
      <c r="G104" s="524"/>
      <c r="H104" s="524"/>
      <c r="I104" s="524"/>
      <c r="J104" s="524"/>
      <c r="K104" s="524"/>
      <c r="L104" s="524"/>
      <c r="M104" s="524"/>
      <c r="N104" s="524"/>
      <c r="O104" s="524"/>
      <c r="P104" s="524"/>
      <c r="Q104" s="524"/>
      <c r="R104" s="524"/>
      <c r="S104" s="524"/>
      <c r="T104" s="524"/>
      <c r="U104" s="524"/>
      <c r="V104" s="524"/>
      <c r="W104" s="524"/>
      <c r="X104" s="524"/>
      <c r="Y104" s="524"/>
      <c r="Z104" s="524"/>
    </row>
    <row r="105" spans="1:26" ht="12.75" customHeight="1" x14ac:dyDescent="0.25">
      <c r="A105" s="524"/>
      <c r="B105" s="524"/>
      <c r="C105" s="524"/>
      <c r="D105" s="524"/>
      <c r="E105" s="524"/>
      <c r="F105" s="524"/>
      <c r="G105" s="524"/>
      <c r="H105" s="524"/>
      <c r="I105" s="524"/>
      <c r="J105" s="524"/>
      <c r="K105" s="524"/>
      <c r="L105" s="524"/>
      <c r="M105" s="524"/>
      <c r="N105" s="524"/>
      <c r="O105" s="524"/>
      <c r="P105" s="524"/>
      <c r="Q105" s="524"/>
      <c r="R105" s="524"/>
      <c r="S105" s="524"/>
      <c r="T105" s="524"/>
      <c r="U105" s="524"/>
      <c r="V105" s="524"/>
      <c r="W105" s="524"/>
      <c r="X105" s="524"/>
      <c r="Y105" s="524"/>
      <c r="Z105" s="524"/>
    </row>
    <row r="106" spans="1:26" ht="12.75" customHeight="1" x14ac:dyDescent="0.25">
      <c r="A106" s="524"/>
      <c r="B106" s="524"/>
      <c r="C106" s="524"/>
      <c r="D106" s="524"/>
      <c r="E106" s="524"/>
      <c r="F106" s="524"/>
      <c r="G106" s="524"/>
      <c r="H106" s="524"/>
      <c r="I106" s="524"/>
      <c r="J106" s="524"/>
      <c r="K106" s="524"/>
      <c r="L106" s="524"/>
      <c r="M106" s="524"/>
      <c r="N106" s="524"/>
      <c r="O106" s="524"/>
      <c r="P106" s="524"/>
      <c r="Q106" s="524"/>
      <c r="R106" s="524"/>
      <c r="S106" s="524"/>
      <c r="T106" s="524"/>
      <c r="U106" s="524"/>
      <c r="V106" s="524"/>
      <c r="W106" s="524"/>
      <c r="X106" s="524"/>
      <c r="Y106" s="524"/>
      <c r="Z106" s="524"/>
    </row>
    <row r="107" spans="1:26" ht="12.75" customHeight="1" x14ac:dyDescent="0.25">
      <c r="A107" s="524"/>
      <c r="B107" s="524"/>
      <c r="C107" s="524"/>
      <c r="D107" s="524"/>
      <c r="E107" s="524"/>
      <c r="F107" s="524"/>
      <c r="G107" s="524"/>
      <c r="H107" s="524"/>
      <c r="I107" s="524"/>
      <c r="J107" s="524"/>
      <c r="K107" s="524"/>
      <c r="L107" s="524"/>
      <c r="M107" s="524"/>
      <c r="N107" s="524"/>
      <c r="O107" s="524"/>
      <c r="P107" s="524"/>
      <c r="Q107" s="524"/>
      <c r="R107" s="524"/>
      <c r="S107" s="524"/>
      <c r="T107" s="524"/>
      <c r="U107" s="524"/>
      <c r="V107" s="524"/>
      <c r="W107" s="524"/>
      <c r="X107" s="524"/>
      <c r="Y107" s="524"/>
      <c r="Z107" s="524"/>
    </row>
    <row r="108" spans="1:26" ht="12.75" customHeight="1" x14ac:dyDescent="0.25">
      <c r="A108" s="524"/>
      <c r="B108" s="524"/>
      <c r="C108" s="524"/>
      <c r="D108" s="524"/>
      <c r="E108" s="524"/>
      <c r="F108" s="524"/>
      <c r="G108" s="524"/>
      <c r="H108" s="524"/>
      <c r="I108" s="524"/>
      <c r="J108" s="524"/>
      <c r="K108" s="524"/>
      <c r="L108" s="524"/>
      <c r="M108" s="524"/>
      <c r="N108" s="524"/>
      <c r="O108" s="524"/>
      <c r="P108" s="524"/>
      <c r="Q108" s="524"/>
      <c r="R108" s="524"/>
      <c r="S108" s="524"/>
      <c r="T108" s="524"/>
      <c r="U108" s="524"/>
      <c r="V108" s="524"/>
      <c r="W108" s="524"/>
      <c r="X108" s="524"/>
      <c r="Y108" s="524"/>
      <c r="Z108" s="524"/>
    </row>
    <row r="109" spans="1:26" ht="12.75" customHeight="1" x14ac:dyDescent="0.25">
      <c r="A109" s="524"/>
      <c r="B109" s="524"/>
      <c r="C109" s="524"/>
      <c r="D109" s="524"/>
      <c r="E109" s="524"/>
      <c r="F109" s="524"/>
      <c r="G109" s="524"/>
      <c r="H109" s="524"/>
      <c r="I109" s="524"/>
      <c r="J109" s="524"/>
      <c r="K109" s="524"/>
      <c r="L109" s="524"/>
      <c r="M109" s="524"/>
      <c r="N109" s="524"/>
      <c r="O109" s="524"/>
      <c r="P109" s="524"/>
      <c r="Q109" s="524"/>
      <c r="R109" s="524"/>
      <c r="S109" s="524"/>
      <c r="T109" s="524"/>
      <c r="U109" s="524"/>
      <c r="V109" s="524"/>
      <c r="W109" s="524"/>
      <c r="X109" s="524"/>
      <c r="Y109" s="524"/>
      <c r="Z109" s="524"/>
    </row>
    <row r="110" spans="1:26" ht="12.75" customHeight="1" x14ac:dyDescent="0.25">
      <c r="A110" s="524"/>
      <c r="B110" s="524"/>
      <c r="C110" s="524"/>
      <c r="D110" s="524"/>
      <c r="E110" s="524"/>
      <c r="F110" s="524"/>
      <c r="G110" s="524"/>
      <c r="H110" s="524"/>
      <c r="I110" s="524"/>
      <c r="J110" s="524"/>
      <c r="K110" s="524"/>
      <c r="L110" s="524"/>
      <c r="M110" s="524"/>
      <c r="N110" s="524"/>
      <c r="O110" s="524"/>
      <c r="P110" s="524"/>
      <c r="Q110" s="524"/>
      <c r="R110" s="524"/>
      <c r="S110" s="524"/>
      <c r="T110" s="524"/>
      <c r="U110" s="524"/>
      <c r="V110" s="524"/>
      <c r="W110" s="524"/>
      <c r="X110" s="524"/>
      <c r="Y110" s="524"/>
      <c r="Z110" s="524"/>
    </row>
    <row r="111" spans="1:26" ht="12.75" customHeight="1" x14ac:dyDescent="0.25">
      <c r="A111" s="524"/>
      <c r="B111" s="524"/>
      <c r="C111" s="524"/>
      <c r="D111" s="524"/>
      <c r="E111" s="524"/>
      <c r="F111" s="524"/>
      <c r="G111" s="524"/>
      <c r="H111" s="524"/>
      <c r="I111" s="524"/>
      <c r="J111" s="524"/>
      <c r="K111" s="524"/>
      <c r="L111" s="524"/>
      <c r="M111" s="524"/>
      <c r="N111" s="524"/>
      <c r="O111" s="524"/>
      <c r="P111" s="524"/>
      <c r="Q111" s="524"/>
      <c r="R111" s="524"/>
      <c r="S111" s="524"/>
      <c r="T111" s="524"/>
      <c r="U111" s="524"/>
      <c r="V111" s="524"/>
      <c r="W111" s="524"/>
      <c r="X111" s="524"/>
      <c r="Y111" s="524"/>
      <c r="Z111" s="524"/>
    </row>
    <row r="112" spans="1:26" ht="12.75" customHeight="1" x14ac:dyDescent="0.25">
      <c r="A112" s="524"/>
      <c r="B112" s="524"/>
      <c r="C112" s="524"/>
      <c r="D112" s="524"/>
      <c r="E112" s="524"/>
      <c r="F112" s="524"/>
      <c r="G112" s="524"/>
      <c r="H112" s="524"/>
      <c r="I112" s="524"/>
      <c r="J112" s="524"/>
      <c r="K112" s="524"/>
      <c r="L112" s="524"/>
      <c r="M112" s="524"/>
      <c r="N112" s="524"/>
      <c r="O112" s="524"/>
      <c r="P112" s="524"/>
      <c r="Q112" s="524"/>
      <c r="R112" s="524"/>
      <c r="S112" s="524"/>
      <c r="T112" s="524"/>
      <c r="U112" s="524"/>
      <c r="V112" s="524"/>
      <c r="W112" s="524"/>
      <c r="X112" s="524"/>
      <c r="Y112" s="524"/>
      <c r="Z112" s="524"/>
    </row>
    <row r="113" spans="1:26" ht="12.75" customHeight="1" x14ac:dyDescent="0.25">
      <c r="A113" s="524"/>
      <c r="B113" s="524"/>
      <c r="C113" s="524"/>
      <c r="D113" s="524"/>
      <c r="E113" s="524"/>
      <c r="F113" s="524"/>
      <c r="G113" s="524"/>
      <c r="H113" s="524"/>
      <c r="I113" s="524"/>
      <c r="J113" s="524"/>
      <c r="K113" s="524"/>
      <c r="L113" s="524"/>
      <c r="M113" s="524"/>
      <c r="N113" s="524"/>
      <c r="O113" s="524"/>
      <c r="P113" s="524"/>
      <c r="Q113" s="524"/>
      <c r="R113" s="524"/>
      <c r="S113" s="524"/>
      <c r="T113" s="524"/>
      <c r="U113" s="524"/>
      <c r="V113" s="524"/>
      <c r="W113" s="524"/>
      <c r="X113" s="524"/>
      <c r="Y113" s="524"/>
      <c r="Z113" s="524"/>
    </row>
    <row r="114" spans="1:26" ht="12.75" customHeight="1" x14ac:dyDescent="0.25">
      <c r="A114" s="524"/>
      <c r="B114" s="524"/>
      <c r="C114" s="524"/>
      <c r="D114" s="524"/>
      <c r="E114" s="524"/>
      <c r="F114" s="524"/>
      <c r="G114" s="524"/>
      <c r="H114" s="524"/>
      <c r="I114" s="524"/>
      <c r="J114" s="524"/>
      <c r="K114" s="524"/>
      <c r="L114" s="524"/>
      <c r="M114" s="524"/>
      <c r="N114" s="524"/>
      <c r="O114" s="524"/>
      <c r="P114" s="524"/>
      <c r="Q114" s="524"/>
      <c r="R114" s="524"/>
      <c r="S114" s="524"/>
      <c r="T114" s="524"/>
      <c r="U114" s="524"/>
      <c r="V114" s="524"/>
      <c r="W114" s="524"/>
      <c r="X114" s="524"/>
      <c r="Y114" s="524"/>
      <c r="Z114" s="524"/>
    </row>
    <row r="115" spans="1:26" ht="12.75" customHeight="1" x14ac:dyDescent="0.25">
      <c r="A115" s="524"/>
      <c r="B115" s="524"/>
      <c r="C115" s="524"/>
      <c r="D115" s="524"/>
      <c r="E115" s="524"/>
      <c r="F115" s="524"/>
      <c r="G115" s="524"/>
      <c r="H115" s="524"/>
      <c r="I115" s="524"/>
      <c r="J115" s="524"/>
      <c r="K115" s="524"/>
      <c r="L115" s="524"/>
      <c r="M115" s="524"/>
      <c r="N115" s="524"/>
      <c r="O115" s="524"/>
      <c r="P115" s="524"/>
      <c r="Q115" s="524"/>
      <c r="R115" s="524"/>
      <c r="S115" s="524"/>
      <c r="T115" s="524"/>
      <c r="U115" s="524"/>
      <c r="V115" s="524"/>
      <c r="W115" s="524"/>
      <c r="X115" s="524"/>
      <c r="Y115" s="524"/>
      <c r="Z115" s="524"/>
    </row>
    <row r="116" spans="1:26" ht="12.75" customHeight="1" x14ac:dyDescent="0.25">
      <c r="A116" s="524"/>
      <c r="B116" s="524"/>
      <c r="C116" s="524"/>
      <c r="D116" s="524"/>
      <c r="E116" s="524"/>
      <c r="F116" s="524"/>
      <c r="G116" s="524"/>
      <c r="H116" s="524"/>
      <c r="I116" s="524"/>
      <c r="J116" s="524"/>
      <c r="K116" s="524"/>
      <c r="L116" s="524"/>
      <c r="M116" s="524"/>
      <c r="N116" s="524"/>
      <c r="O116" s="524"/>
      <c r="P116" s="524"/>
      <c r="Q116" s="524"/>
      <c r="R116" s="524"/>
      <c r="S116" s="524"/>
      <c r="T116" s="524"/>
      <c r="U116" s="524"/>
      <c r="V116" s="524"/>
      <c r="W116" s="524"/>
      <c r="X116" s="524"/>
      <c r="Y116" s="524"/>
      <c r="Z116" s="524"/>
    </row>
    <row r="117" spans="1:26" ht="12.75" customHeight="1" x14ac:dyDescent="0.25">
      <c r="A117" s="524"/>
      <c r="B117" s="524"/>
      <c r="C117" s="524"/>
      <c r="D117" s="524"/>
      <c r="E117" s="524"/>
      <c r="F117" s="524"/>
      <c r="G117" s="524"/>
      <c r="H117" s="524"/>
      <c r="I117" s="524"/>
      <c r="J117" s="524"/>
      <c r="K117" s="524"/>
      <c r="L117" s="524"/>
      <c r="M117" s="524"/>
      <c r="N117" s="524"/>
      <c r="O117" s="524"/>
      <c r="P117" s="524"/>
      <c r="Q117" s="524"/>
      <c r="R117" s="524"/>
      <c r="S117" s="524"/>
      <c r="T117" s="524"/>
      <c r="U117" s="524"/>
      <c r="V117" s="524"/>
      <c r="W117" s="524"/>
      <c r="X117" s="524"/>
      <c r="Y117" s="524"/>
      <c r="Z117" s="524"/>
    </row>
    <row r="118" spans="1:26" ht="12.75" customHeight="1" x14ac:dyDescent="0.25">
      <c r="A118" s="524"/>
      <c r="B118" s="524"/>
      <c r="C118" s="524"/>
      <c r="D118" s="524"/>
      <c r="E118" s="524"/>
      <c r="F118" s="524"/>
      <c r="G118" s="524"/>
      <c r="H118" s="524"/>
      <c r="I118" s="524"/>
      <c r="J118" s="524"/>
      <c r="K118" s="524"/>
      <c r="L118" s="524"/>
      <c r="M118" s="524"/>
      <c r="N118" s="524"/>
      <c r="O118" s="524"/>
      <c r="P118" s="524"/>
      <c r="Q118" s="524"/>
      <c r="R118" s="524"/>
      <c r="S118" s="524"/>
      <c r="T118" s="524"/>
      <c r="U118" s="524"/>
      <c r="V118" s="524"/>
      <c r="W118" s="524"/>
      <c r="X118" s="524"/>
      <c r="Y118" s="524"/>
      <c r="Z118" s="524"/>
    </row>
    <row r="119" spans="1:26" ht="12.75" customHeight="1" x14ac:dyDescent="0.25">
      <c r="A119" s="524"/>
      <c r="B119" s="524"/>
      <c r="C119" s="524"/>
      <c r="D119" s="524"/>
      <c r="E119" s="524"/>
      <c r="F119" s="524"/>
      <c r="G119" s="524"/>
      <c r="H119" s="524"/>
      <c r="I119" s="524"/>
      <c r="J119" s="524"/>
      <c r="K119" s="524"/>
      <c r="L119" s="524"/>
      <c r="M119" s="524"/>
      <c r="N119" s="524"/>
      <c r="O119" s="524"/>
      <c r="P119" s="524"/>
      <c r="Q119" s="524"/>
      <c r="R119" s="524"/>
      <c r="S119" s="524"/>
      <c r="T119" s="524"/>
      <c r="U119" s="524"/>
      <c r="V119" s="524"/>
      <c r="W119" s="524"/>
      <c r="X119" s="524"/>
      <c r="Y119" s="524"/>
      <c r="Z119" s="524"/>
    </row>
    <row r="120" spans="1:26" ht="12.75" customHeight="1" x14ac:dyDescent="0.25">
      <c r="A120" s="524"/>
      <c r="B120" s="524"/>
      <c r="C120" s="524"/>
      <c r="D120" s="524"/>
      <c r="E120" s="524"/>
      <c r="F120" s="524"/>
      <c r="G120" s="524"/>
      <c r="H120" s="524"/>
      <c r="I120" s="524"/>
      <c r="J120" s="524"/>
      <c r="K120" s="524"/>
      <c r="L120" s="524"/>
      <c r="M120" s="524"/>
      <c r="N120" s="524"/>
      <c r="O120" s="524"/>
      <c r="P120" s="524"/>
      <c r="Q120" s="524"/>
      <c r="R120" s="524"/>
      <c r="S120" s="524"/>
      <c r="T120" s="524"/>
      <c r="U120" s="524"/>
      <c r="V120" s="524"/>
      <c r="W120" s="524"/>
      <c r="X120" s="524"/>
      <c r="Y120" s="524"/>
      <c r="Z120" s="524"/>
    </row>
    <row r="121" spans="1:26" ht="12.75" customHeight="1" x14ac:dyDescent="0.25">
      <c r="A121" s="524"/>
      <c r="B121" s="524"/>
      <c r="C121" s="524"/>
      <c r="D121" s="524"/>
      <c r="E121" s="524"/>
      <c r="F121" s="524"/>
      <c r="G121" s="524"/>
      <c r="H121" s="524"/>
      <c r="I121" s="524"/>
      <c r="J121" s="524"/>
      <c r="K121" s="524"/>
      <c r="L121" s="524"/>
      <c r="M121" s="524"/>
      <c r="N121" s="524"/>
      <c r="O121" s="524"/>
      <c r="P121" s="524"/>
      <c r="Q121" s="524"/>
      <c r="R121" s="524"/>
      <c r="S121" s="524"/>
      <c r="T121" s="524"/>
      <c r="U121" s="524"/>
      <c r="V121" s="524"/>
      <c r="W121" s="524"/>
      <c r="X121" s="524"/>
      <c r="Y121" s="524"/>
      <c r="Z121" s="524"/>
    </row>
    <row r="122" spans="1:26" ht="12.75" customHeight="1" x14ac:dyDescent="0.25">
      <c r="A122" s="524"/>
      <c r="B122" s="524"/>
      <c r="C122" s="524"/>
      <c r="D122" s="524"/>
      <c r="E122" s="524"/>
      <c r="F122" s="524"/>
      <c r="G122" s="524"/>
      <c r="H122" s="524"/>
      <c r="I122" s="524"/>
      <c r="J122" s="524"/>
      <c r="K122" s="524"/>
      <c r="L122" s="524"/>
      <c r="M122" s="524"/>
      <c r="N122" s="524"/>
      <c r="O122" s="524"/>
      <c r="P122" s="524"/>
      <c r="Q122" s="524"/>
      <c r="R122" s="524"/>
      <c r="S122" s="524"/>
      <c r="T122" s="524"/>
      <c r="U122" s="524"/>
      <c r="V122" s="524"/>
      <c r="W122" s="524"/>
      <c r="X122" s="524"/>
      <c r="Y122" s="524"/>
      <c r="Z122" s="524"/>
    </row>
    <row r="123" spans="1:26" ht="12.75" customHeight="1" x14ac:dyDescent="0.25">
      <c r="A123" s="524"/>
      <c r="B123" s="524"/>
      <c r="C123" s="524"/>
      <c r="D123" s="524"/>
      <c r="E123" s="524"/>
      <c r="F123" s="524"/>
      <c r="G123" s="524"/>
      <c r="H123" s="524"/>
      <c r="I123" s="524"/>
      <c r="J123" s="524"/>
      <c r="K123" s="524"/>
      <c r="L123" s="524"/>
      <c r="M123" s="524"/>
      <c r="N123" s="524"/>
      <c r="O123" s="524"/>
      <c r="P123" s="524"/>
      <c r="Q123" s="524"/>
      <c r="R123" s="524"/>
      <c r="S123" s="524"/>
      <c r="T123" s="524"/>
      <c r="U123" s="524"/>
      <c r="V123" s="524"/>
      <c r="W123" s="524"/>
      <c r="X123" s="524"/>
      <c r="Y123" s="524"/>
      <c r="Z123" s="524"/>
    </row>
    <row r="124" spans="1:26" ht="12.75" customHeight="1" x14ac:dyDescent="0.25">
      <c r="A124" s="524"/>
      <c r="B124" s="524"/>
      <c r="C124" s="524"/>
      <c r="D124" s="524"/>
      <c r="E124" s="524"/>
      <c r="F124" s="524"/>
      <c r="G124" s="524"/>
      <c r="H124" s="524"/>
      <c r="I124" s="524"/>
      <c r="J124" s="524"/>
      <c r="K124" s="524"/>
      <c r="L124" s="524"/>
      <c r="M124" s="524"/>
      <c r="N124" s="524"/>
      <c r="O124" s="524"/>
      <c r="P124" s="524"/>
      <c r="Q124" s="524"/>
      <c r="R124" s="524"/>
      <c r="S124" s="524"/>
      <c r="T124" s="524"/>
      <c r="U124" s="524"/>
      <c r="V124" s="524"/>
      <c r="W124" s="524"/>
      <c r="X124" s="524"/>
      <c r="Y124" s="524"/>
      <c r="Z124" s="524"/>
    </row>
    <row r="125" spans="1:26" ht="12.75" customHeight="1" x14ac:dyDescent="0.25"/>
    <row r="126" spans="1:26" ht="12.75" customHeight="1" x14ac:dyDescent="0.25"/>
    <row r="127" spans="1:26" ht="12.75" customHeight="1" x14ac:dyDescent="0.25"/>
    <row r="128" spans="1:26"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5">
    <mergeCell ref="B6:E6"/>
    <mergeCell ref="B9:E9"/>
    <mergeCell ref="B12:E12"/>
    <mergeCell ref="B15:E15"/>
    <mergeCell ref="B18:C18"/>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equipment set-up sheet</vt:lpstr>
      <vt:lpstr>Residential Calculation</vt:lpstr>
      <vt:lpstr>User Info</vt:lpstr>
      <vt:lpstr>'Residential Calculation'!Z_469DBDDD_1BF4_42DF_8346_CCEB36A66610_.wvu.PrintArea</vt:lpstr>
      <vt:lpstr>'Residential Calculation'!Z_B5324BE9_0109_4818_9111_08F05DCB7214_.wvu.PrintArea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Ankesh Mishra</cp:lastModifiedBy>
  <dcterms:modified xsi:type="dcterms:W3CDTF">2025-03-20T11:51:59Z</dcterms:modified>
</cp:coreProperties>
</file>