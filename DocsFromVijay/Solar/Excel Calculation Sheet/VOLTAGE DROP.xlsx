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12345\Unlocked\"/>
    </mc:Choice>
  </mc:AlternateContent>
  <xr:revisionPtr revIDLastSave="0" documentId="13_ncr:1_{F80C072A-169A-4DF4-96FF-EADC04468A3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" sheetId="1" r:id="rId1"/>
    <sheet name="00000" sheetId="2" state="hidden" r:id="rId2"/>
    <sheet name="2" sheetId="3" r:id="rId3"/>
    <sheet name="1" sheetId="4" r:id="rId4"/>
    <sheet name="3" sheetId="5" r:id="rId5"/>
  </sheets>
  <definedNames>
    <definedName name="DropDown434_Ch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3" l="1"/>
  <c r="S79" i="3"/>
  <c r="R79" i="3"/>
  <c r="Q79" i="3"/>
  <c r="O79" i="3"/>
  <c r="N79" i="3"/>
  <c r="J79" i="3"/>
  <c r="P79" i="3" s="1"/>
  <c r="I79" i="3"/>
  <c r="H79" i="3"/>
  <c r="T79" i="3" s="1"/>
  <c r="U79" i="3" s="1"/>
  <c r="F79" i="3"/>
  <c r="E79" i="3"/>
  <c r="T78" i="3"/>
  <c r="U78" i="3" s="1"/>
  <c r="S78" i="3"/>
  <c r="R78" i="3"/>
  <c r="Q78" i="3"/>
  <c r="O78" i="3"/>
  <c r="N78" i="3"/>
  <c r="P78" i="3" s="1"/>
  <c r="J78" i="3"/>
  <c r="I78" i="3"/>
  <c r="H78" i="3"/>
  <c r="F78" i="3"/>
  <c r="E78" i="3"/>
  <c r="S77" i="3"/>
  <c r="R77" i="3"/>
  <c r="Q77" i="3"/>
  <c r="O77" i="3"/>
  <c r="N77" i="3"/>
  <c r="J77" i="3"/>
  <c r="P77" i="3" s="1"/>
  <c r="I77" i="3"/>
  <c r="H77" i="3"/>
  <c r="T77" i="3" s="1"/>
  <c r="U77" i="3" s="1"/>
  <c r="F77" i="3"/>
  <c r="E77" i="3"/>
  <c r="T76" i="3"/>
  <c r="U76" i="3" s="1"/>
  <c r="S76" i="3"/>
  <c r="R76" i="3"/>
  <c r="Q76" i="3"/>
  <c r="O76" i="3"/>
  <c r="P76" i="3" s="1"/>
  <c r="N76" i="3"/>
  <c r="J76" i="3"/>
  <c r="H76" i="3"/>
  <c r="I76" i="3" s="1"/>
  <c r="F76" i="3"/>
  <c r="E76" i="3"/>
  <c r="S75" i="3"/>
  <c r="R75" i="3"/>
  <c r="Q75" i="3"/>
  <c r="O75" i="3"/>
  <c r="N75" i="3"/>
  <c r="J75" i="3"/>
  <c r="P75" i="3" s="1"/>
  <c r="I75" i="3"/>
  <c r="H75" i="3"/>
  <c r="T75" i="3" s="1"/>
  <c r="U75" i="3" s="1"/>
  <c r="F75" i="3"/>
  <c r="E75" i="3"/>
  <c r="S74" i="3"/>
  <c r="T74" i="3" s="1"/>
  <c r="U74" i="3" s="1"/>
  <c r="R74" i="3"/>
  <c r="Q74" i="3"/>
  <c r="O74" i="3"/>
  <c r="N74" i="3"/>
  <c r="P74" i="3" s="1"/>
  <c r="J74" i="3"/>
  <c r="H74" i="3"/>
  <c r="I74" i="3" s="1"/>
  <c r="F74" i="3"/>
  <c r="E74" i="3"/>
  <c r="S73" i="3"/>
  <c r="R73" i="3"/>
  <c r="Q73" i="3"/>
  <c r="P73" i="3"/>
  <c r="O73" i="3"/>
  <c r="N73" i="3"/>
  <c r="J73" i="3"/>
  <c r="H73" i="3"/>
  <c r="I73" i="3" s="1"/>
  <c r="F73" i="3"/>
  <c r="E73" i="3"/>
  <c r="S72" i="3"/>
  <c r="T72" i="3" s="1"/>
  <c r="U72" i="3" s="1"/>
  <c r="R72" i="3"/>
  <c r="Q72" i="3"/>
  <c r="O72" i="3"/>
  <c r="N72" i="3"/>
  <c r="J72" i="3"/>
  <c r="P72" i="3" s="1"/>
  <c r="I72" i="3"/>
  <c r="H72" i="3"/>
  <c r="F72" i="3"/>
  <c r="E72" i="3"/>
  <c r="S71" i="3"/>
  <c r="R71" i="3"/>
  <c r="Q71" i="3"/>
  <c r="P71" i="3"/>
  <c r="O71" i="3"/>
  <c r="N71" i="3"/>
  <c r="J71" i="3"/>
  <c r="H71" i="3"/>
  <c r="I71" i="3" s="1"/>
  <c r="F71" i="3"/>
  <c r="E71" i="3"/>
  <c r="T70" i="3"/>
  <c r="U70" i="3" s="1"/>
  <c r="S70" i="3"/>
  <c r="R70" i="3"/>
  <c r="Q70" i="3"/>
  <c r="O70" i="3"/>
  <c r="N70" i="3"/>
  <c r="J70" i="3"/>
  <c r="P70" i="3" s="1"/>
  <c r="I70" i="3"/>
  <c r="H70" i="3"/>
  <c r="F70" i="3"/>
  <c r="E70" i="3"/>
  <c r="T69" i="3"/>
  <c r="U69" i="3" s="1"/>
  <c r="S69" i="3"/>
  <c r="R69" i="3"/>
  <c r="Q69" i="3"/>
  <c r="O69" i="3"/>
  <c r="P69" i="3" s="1"/>
  <c r="N69" i="3"/>
  <c r="J69" i="3"/>
  <c r="H69" i="3"/>
  <c r="I69" i="3" s="1"/>
  <c r="F69" i="3"/>
  <c r="E69" i="3"/>
  <c r="S68" i="3"/>
  <c r="R68" i="3"/>
  <c r="Q68" i="3"/>
  <c r="O68" i="3"/>
  <c r="N68" i="3"/>
  <c r="P68" i="3" s="1"/>
  <c r="J68" i="3"/>
  <c r="I68" i="3"/>
  <c r="H68" i="3"/>
  <c r="T68" i="3" s="1"/>
  <c r="U68" i="3" s="1"/>
  <c r="F68" i="3"/>
  <c r="E68" i="3"/>
  <c r="S67" i="3"/>
  <c r="R67" i="3"/>
  <c r="Q67" i="3"/>
  <c r="O67" i="3"/>
  <c r="N67" i="3"/>
  <c r="J67" i="3"/>
  <c r="P67" i="3" s="1"/>
  <c r="H67" i="3"/>
  <c r="I67" i="3" s="1"/>
  <c r="F67" i="3"/>
  <c r="E67" i="3"/>
  <c r="S66" i="3"/>
  <c r="R66" i="3"/>
  <c r="Q66" i="3"/>
  <c r="O66" i="3"/>
  <c r="N66" i="3"/>
  <c r="J66" i="3"/>
  <c r="P66" i="3" s="1"/>
  <c r="H66" i="3"/>
  <c r="T66" i="3" s="1"/>
  <c r="U66" i="3" s="1"/>
  <c r="F66" i="3"/>
  <c r="E66" i="3"/>
  <c r="S65" i="3"/>
  <c r="T65" i="3" s="1"/>
  <c r="U65" i="3" s="1"/>
  <c r="R65" i="3"/>
  <c r="Q65" i="3"/>
  <c r="O65" i="3"/>
  <c r="N65" i="3"/>
  <c r="J65" i="3"/>
  <c r="P65" i="3" s="1"/>
  <c r="H65" i="3"/>
  <c r="I65" i="3" s="1"/>
  <c r="F65" i="3"/>
  <c r="E65" i="3"/>
  <c r="T64" i="3"/>
  <c r="U64" i="3" s="1"/>
  <c r="S64" i="3"/>
  <c r="R64" i="3"/>
  <c r="Q64" i="3"/>
  <c r="P64" i="3"/>
  <c r="O64" i="3"/>
  <c r="N64" i="3"/>
  <c r="J64" i="3"/>
  <c r="H64" i="3"/>
  <c r="I64" i="3" s="1"/>
  <c r="F64" i="3"/>
  <c r="E64" i="3"/>
  <c r="S63" i="3"/>
  <c r="T63" i="3" s="1"/>
  <c r="U63" i="3" s="1"/>
  <c r="R63" i="3"/>
  <c r="Q63" i="3"/>
  <c r="O63" i="3"/>
  <c r="N63" i="3"/>
  <c r="J63" i="3"/>
  <c r="P63" i="3" s="1"/>
  <c r="I63" i="3"/>
  <c r="H63" i="3"/>
  <c r="F63" i="3"/>
  <c r="E63" i="3"/>
  <c r="U62" i="3"/>
  <c r="T62" i="3"/>
  <c r="S62" i="3"/>
  <c r="R62" i="3"/>
  <c r="Q62" i="3"/>
  <c r="O62" i="3"/>
  <c r="N62" i="3"/>
  <c r="P62" i="3" s="1"/>
  <c r="J62" i="3"/>
  <c r="I62" i="3"/>
  <c r="H62" i="3"/>
  <c r="F62" i="3"/>
  <c r="E62" i="3"/>
  <c r="S61" i="3"/>
  <c r="R61" i="3"/>
  <c r="Q61" i="3"/>
  <c r="O61" i="3"/>
  <c r="N61" i="3"/>
  <c r="J61" i="3"/>
  <c r="P61" i="3" s="1"/>
  <c r="H61" i="3"/>
  <c r="T61" i="3" s="1"/>
  <c r="U61" i="3" s="1"/>
  <c r="F61" i="3"/>
  <c r="E61" i="3"/>
  <c r="T60" i="3"/>
  <c r="U60" i="3" s="1"/>
  <c r="S60" i="3"/>
  <c r="R60" i="3"/>
  <c r="Q60" i="3"/>
  <c r="O60" i="3"/>
  <c r="P60" i="3" s="1"/>
  <c r="N60" i="3"/>
  <c r="J60" i="3"/>
  <c r="H60" i="3"/>
  <c r="I60" i="3" s="1"/>
  <c r="F60" i="3"/>
  <c r="E60" i="3"/>
  <c r="S59" i="3"/>
  <c r="R59" i="3"/>
  <c r="Q59" i="3"/>
  <c r="O59" i="3"/>
  <c r="N59" i="3"/>
  <c r="J59" i="3"/>
  <c r="P59" i="3" s="1"/>
  <c r="I59" i="3"/>
  <c r="H59" i="3"/>
  <c r="T59" i="3" s="1"/>
  <c r="U59" i="3" s="1"/>
  <c r="F59" i="3"/>
  <c r="E59" i="3"/>
  <c r="S58" i="3"/>
  <c r="T58" i="3" s="1"/>
  <c r="U58" i="3" s="1"/>
  <c r="R58" i="3"/>
  <c r="Q58" i="3"/>
  <c r="O58" i="3"/>
  <c r="N58" i="3"/>
  <c r="P58" i="3" s="1"/>
  <c r="J58" i="3"/>
  <c r="H58" i="3"/>
  <c r="I58" i="3" s="1"/>
  <c r="F58" i="3"/>
  <c r="E58" i="3"/>
  <c r="S57" i="3"/>
  <c r="R57" i="3"/>
  <c r="Q57" i="3"/>
  <c r="O57" i="3"/>
  <c r="N57" i="3"/>
  <c r="J57" i="3"/>
  <c r="P57" i="3" s="1"/>
  <c r="H57" i="3"/>
  <c r="I57" i="3" s="1"/>
  <c r="F57" i="3"/>
  <c r="E57" i="3"/>
  <c r="S56" i="3"/>
  <c r="T56" i="3" s="1"/>
  <c r="U56" i="3" s="1"/>
  <c r="R56" i="3"/>
  <c r="Q56" i="3"/>
  <c r="O56" i="3"/>
  <c r="N56" i="3"/>
  <c r="J56" i="3"/>
  <c r="P56" i="3" s="1"/>
  <c r="I56" i="3"/>
  <c r="H56" i="3"/>
  <c r="F56" i="3"/>
  <c r="E56" i="3"/>
  <c r="S55" i="3"/>
  <c r="R55" i="3"/>
  <c r="Q55" i="3"/>
  <c r="P55" i="3"/>
  <c r="O55" i="3"/>
  <c r="N55" i="3"/>
  <c r="J55" i="3"/>
  <c r="H55" i="3"/>
  <c r="T55" i="3" s="1"/>
  <c r="U55" i="3" s="1"/>
  <c r="F55" i="3"/>
  <c r="E55" i="3"/>
  <c r="T54" i="3"/>
  <c r="U54" i="3" s="1"/>
  <c r="S54" i="3"/>
  <c r="R54" i="3"/>
  <c r="Q54" i="3"/>
  <c r="O54" i="3"/>
  <c r="N54" i="3"/>
  <c r="J54" i="3"/>
  <c r="P54" i="3" s="1"/>
  <c r="I54" i="3"/>
  <c r="H54" i="3"/>
  <c r="F54" i="3"/>
  <c r="E54" i="3"/>
  <c r="S53" i="3"/>
  <c r="T53" i="3" s="1"/>
  <c r="U53" i="3" s="1"/>
  <c r="R53" i="3"/>
  <c r="Q53" i="3"/>
  <c r="O53" i="3"/>
  <c r="P53" i="3" s="1"/>
  <c r="N53" i="3"/>
  <c r="J53" i="3"/>
  <c r="H53" i="3"/>
  <c r="I53" i="3" s="1"/>
  <c r="F53" i="3"/>
  <c r="E53" i="3"/>
  <c r="S52" i="3"/>
  <c r="R52" i="3"/>
  <c r="Q52" i="3"/>
  <c r="O52" i="3"/>
  <c r="N52" i="3"/>
  <c r="P52" i="3" s="1"/>
  <c r="J52" i="3"/>
  <c r="I52" i="3"/>
  <c r="H52" i="3"/>
  <c r="T52" i="3" s="1"/>
  <c r="U52" i="3" s="1"/>
  <c r="F52" i="3"/>
  <c r="E52" i="3"/>
  <c r="S51" i="3"/>
  <c r="R51" i="3"/>
  <c r="Q51" i="3"/>
  <c r="O51" i="3"/>
  <c r="N51" i="3"/>
  <c r="J51" i="3"/>
  <c r="P51" i="3" s="1"/>
  <c r="H51" i="3"/>
  <c r="I51" i="3" s="1"/>
  <c r="F51" i="3"/>
  <c r="E51" i="3"/>
  <c r="S50" i="3"/>
  <c r="R50" i="3"/>
  <c r="Q50" i="3"/>
  <c r="O50" i="3"/>
  <c r="N50" i="3"/>
  <c r="J50" i="3"/>
  <c r="P50" i="3" s="1"/>
  <c r="H50" i="3"/>
  <c r="T50" i="3" s="1"/>
  <c r="U50" i="3" s="1"/>
  <c r="F50" i="3"/>
  <c r="E50" i="3"/>
  <c r="S49" i="3"/>
  <c r="T49" i="3" s="1"/>
  <c r="U49" i="3" s="1"/>
  <c r="R49" i="3"/>
  <c r="Q49" i="3"/>
  <c r="O49" i="3"/>
  <c r="N49" i="3"/>
  <c r="J49" i="3"/>
  <c r="P49" i="3" s="1"/>
  <c r="H49" i="3"/>
  <c r="I49" i="3" s="1"/>
  <c r="F49" i="3"/>
  <c r="E49" i="3"/>
  <c r="T48" i="3"/>
  <c r="U48" i="3" s="1"/>
  <c r="S48" i="3"/>
  <c r="R48" i="3"/>
  <c r="Q48" i="3"/>
  <c r="P48" i="3"/>
  <c r="O48" i="3"/>
  <c r="N48" i="3"/>
  <c r="J48" i="3"/>
  <c r="H48" i="3"/>
  <c r="I48" i="3" s="1"/>
  <c r="F48" i="3"/>
  <c r="E48" i="3"/>
  <c r="S47" i="3"/>
  <c r="T47" i="3" s="1"/>
  <c r="U47" i="3" s="1"/>
  <c r="R47" i="3"/>
  <c r="Q47" i="3"/>
  <c r="O47" i="3"/>
  <c r="N47" i="3"/>
  <c r="J47" i="3"/>
  <c r="P47" i="3" s="1"/>
  <c r="I47" i="3"/>
  <c r="H47" i="3"/>
  <c r="F47" i="3"/>
  <c r="E47" i="3"/>
  <c r="S46" i="3"/>
  <c r="R46" i="3"/>
  <c r="Q46" i="3"/>
  <c r="O46" i="3"/>
  <c r="N46" i="3"/>
  <c r="P46" i="3" s="1"/>
  <c r="J46" i="3"/>
  <c r="I46" i="3"/>
  <c r="H46" i="3"/>
  <c r="T46" i="3" s="1"/>
  <c r="U46" i="3" s="1"/>
  <c r="F46" i="3"/>
  <c r="E46" i="3"/>
  <c r="S45" i="3"/>
  <c r="R45" i="3"/>
  <c r="Q45" i="3"/>
  <c r="O45" i="3"/>
  <c r="N45" i="3"/>
  <c r="J45" i="3"/>
  <c r="P45" i="3" s="1"/>
  <c r="H45" i="3"/>
  <c r="I45" i="3" s="1"/>
  <c r="F45" i="3"/>
  <c r="E45" i="3"/>
  <c r="T44" i="3"/>
  <c r="U44" i="3" s="1"/>
  <c r="S44" i="3"/>
  <c r="R44" i="3"/>
  <c r="Q44" i="3"/>
  <c r="O44" i="3"/>
  <c r="N44" i="3"/>
  <c r="P44" i="3" s="1"/>
  <c r="J44" i="3"/>
  <c r="H44" i="3"/>
  <c r="I44" i="3" s="1"/>
  <c r="F44" i="3"/>
  <c r="E44" i="3"/>
  <c r="S43" i="3"/>
  <c r="R43" i="3"/>
  <c r="Q43" i="3"/>
  <c r="O43" i="3"/>
  <c r="N43" i="3"/>
  <c r="J43" i="3"/>
  <c r="P43" i="3" s="1"/>
  <c r="I43" i="3"/>
  <c r="H43" i="3"/>
  <c r="T43" i="3" s="1"/>
  <c r="U43" i="3" s="1"/>
  <c r="F43" i="3"/>
  <c r="E43" i="3"/>
  <c r="S42" i="3"/>
  <c r="T42" i="3" s="1"/>
  <c r="U42" i="3" s="1"/>
  <c r="R42" i="3"/>
  <c r="Q42" i="3"/>
  <c r="P42" i="3"/>
  <c r="O42" i="3"/>
  <c r="N42" i="3"/>
  <c r="J42" i="3"/>
  <c r="H42" i="3"/>
  <c r="I42" i="3" s="1"/>
  <c r="F42" i="3"/>
  <c r="E42" i="3"/>
  <c r="S41" i="3"/>
  <c r="R41" i="3"/>
  <c r="Q41" i="3"/>
  <c r="O41" i="3"/>
  <c r="N41" i="3"/>
  <c r="J41" i="3"/>
  <c r="P41" i="3" s="1"/>
  <c r="H41" i="3"/>
  <c r="I41" i="3" s="1"/>
  <c r="F41" i="3"/>
  <c r="E41" i="3"/>
  <c r="S40" i="3"/>
  <c r="R40" i="3"/>
  <c r="Q40" i="3"/>
  <c r="O40" i="3"/>
  <c r="N40" i="3"/>
  <c r="J40" i="3"/>
  <c r="P40" i="3" s="1"/>
  <c r="I40" i="3"/>
  <c r="H40" i="3"/>
  <c r="T40" i="3" s="1"/>
  <c r="U40" i="3" s="1"/>
  <c r="F40" i="3"/>
  <c r="E40" i="3"/>
  <c r="S39" i="3"/>
  <c r="R39" i="3"/>
  <c r="Q39" i="3"/>
  <c r="P39" i="3"/>
  <c r="O39" i="3"/>
  <c r="N39" i="3"/>
  <c r="J39" i="3"/>
  <c r="H39" i="3"/>
  <c r="I39" i="3" s="1"/>
  <c r="F39" i="3"/>
  <c r="E39" i="3"/>
  <c r="T38" i="3"/>
  <c r="U38" i="3" s="1"/>
  <c r="S38" i="3"/>
  <c r="R38" i="3"/>
  <c r="Q38" i="3"/>
  <c r="O38" i="3"/>
  <c r="N38" i="3"/>
  <c r="J38" i="3"/>
  <c r="P38" i="3" s="1"/>
  <c r="I38" i="3"/>
  <c r="H38" i="3"/>
  <c r="F38" i="3"/>
  <c r="E38" i="3"/>
  <c r="S37" i="3"/>
  <c r="T37" i="3" s="1"/>
  <c r="U37" i="3" s="1"/>
  <c r="R37" i="3"/>
  <c r="Q37" i="3"/>
  <c r="O37" i="3"/>
  <c r="P37" i="3" s="1"/>
  <c r="N37" i="3"/>
  <c r="J37" i="3"/>
  <c r="H37" i="3"/>
  <c r="I37" i="3" s="1"/>
  <c r="F37" i="3"/>
  <c r="E37" i="3"/>
  <c r="S36" i="3"/>
  <c r="R36" i="3"/>
  <c r="Q36" i="3"/>
  <c r="O36" i="3"/>
  <c r="N36" i="3"/>
  <c r="P36" i="3" s="1"/>
  <c r="J36" i="3"/>
  <c r="I36" i="3"/>
  <c r="H36" i="3"/>
  <c r="T36" i="3" s="1"/>
  <c r="U36" i="3" s="1"/>
  <c r="F36" i="3"/>
  <c r="E36" i="3"/>
  <c r="S35" i="3"/>
  <c r="R35" i="3"/>
  <c r="Q35" i="3"/>
  <c r="O35" i="3"/>
  <c r="N35" i="3"/>
  <c r="J35" i="3"/>
  <c r="P35" i="3" s="1"/>
  <c r="H35" i="3"/>
  <c r="I35" i="3" s="1"/>
  <c r="F35" i="3"/>
  <c r="E35" i="3"/>
  <c r="S34" i="3"/>
  <c r="R34" i="3"/>
  <c r="Q34" i="3"/>
  <c r="P34" i="3"/>
  <c r="O34" i="3"/>
  <c r="N34" i="3"/>
  <c r="J34" i="3"/>
  <c r="H34" i="3"/>
  <c r="T34" i="3" s="1"/>
  <c r="U34" i="3" s="1"/>
  <c r="F34" i="3"/>
  <c r="E34" i="3"/>
  <c r="S33" i="3"/>
  <c r="T33" i="3" s="1"/>
  <c r="U33" i="3" s="1"/>
  <c r="R33" i="3"/>
  <c r="Q33" i="3"/>
  <c r="O33" i="3"/>
  <c r="N33" i="3"/>
  <c r="J33" i="3"/>
  <c r="P33" i="3" s="1"/>
  <c r="H33" i="3"/>
  <c r="I33" i="3" s="1"/>
  <c r="F33" i="3"/>
  <c r="E33" i="3"/>
  <c r="T32" i="3"/>
  <c r="U32" i="3" s="1"/>
  <c r="S32" i="3"/>
  <c r="R32" i="3"/>
  <c r="Q32" i="3"/>
  <c r="P32" i="3"/>
  <c r="O32" i="3"/>
  <c r="N32" i="3"/>
  <c r="J32" i="3"/>
  <c r="H32" i="3"/>
  <c r="I32" i="3" s="1"/>
  <c r="F32" i="3"/>
  <c r="E32" i="3"/>
  <c r="S31" i="3"/>
  <c r="T31" i="3" s="1"/>
  <c r="U31" i="3" s="1"/>
  <c r="R31" i="3"/>
  <c r="Q31" i="3"/>
  <c r="O31" i="3"/>
  <c r="N31" i="3"/>
  <c r="J31" i="3"/>
  <c r="P31" i="3" s="1"/>
  <c r="I31" i="3"/>
  <c r="H31" i="3"/>
  <c r="F31" i="3"/>
  <c r="E31" i="3"/>
  <c r="S30" i="3"/>
  <c r="R30" i="3"/>
  <c r="Q30" i="3"/>
  <c r="O30" i="3"/>
  <c r="N30" i="3"/>
  <c r="P30" i="3" s="1"/>
  <c r="J30" i="3"/>
  <c r="I30" i="3"/>
  <c r="H30" i="3"/>
  <c r="T30" i="3" s="1"/>
  <c r="U30" i="3" s="1"/>
  <c r="F30" i="3"/>
  <c r="E30" i="3"/>
  <c r="S29" i="3"/>
  <c r="R29" i="3"/>
  <c r="Q29" i="3"/>
  <c r="O29" i="3"/>
  <c r="N29" i="3"/>
  <c r="J29" i="3"/>
  <c r="P29" i="3" s="1"/>
  <c r="H29" i="3"/>
  <c r="T29" i="3" s="1"/>
  <c r="U29" i="3" s="1"/>
  <c r="F29" i="3"/>
  <c r="E29" i="3"/>
  <c r="T28" i="3"/>
  <c r="U28" i="3" s="1"/>
  <c r="S28" i="3"/>
  <c r="R28" i="3"/>
  <c r="Q28" i="3"/>
  <c r="O28" i="3"/>
  <c r="N28" i="3"/>
  <c r="P28" i="3" s="1"/>
  <c r="J28" i="3"/>
  <c r="H28" i="3"/>
  <c r="I28" i="3" s="1"/>
  <c r="F28" i="3"/>
  <c r="E28" i="3"/>
  <c r="S27" i="3"/>
  <c r="R27" i="3"/>
  <c r="Q27" i="3"/>
  <c r="O27" i="3"/>
  <c r="N27" i="3"/>
  <c r="J27" i="3"/>
  <c r="P27" i="3" s="1"/>
  <c r="I27" i="3"/>
  <c r="H27" i="3"/>
  <c r="T27" i="3" s="1"/>
  <c r="U27" i="3" s="1"/>
  <c r="F27" i="3"/>
  <c r="E27" i="3"/>
  <c r="S26" i="3"/>
  <c r="T26" i="3" s="1"/>
  <c r="U26" i="3" s="1"/>
  <c r="R26" i="3"/>
  <c r="Q26" i="3"/>
  <c r="O26" i="3"/>
  <c r="N26" i="3"/>
  <c r="P26" i="3" s="1"/>
  <c r="J26" i="3"/>
  <c r="H26" i="3"/>
  <c r="I26" i="3" s="1"/>
  <c r="F26" i="3"/>
  <c r="E26" i="3"/>
  <c r="S25" i="3"/>
  <c r="R25" i="3"/>
  <c r="Q25" i="3"/>
  <c r="O25" i="3"/>
  <c r="N25" i="3"/>
  <c r="J25" i="3"/>
  <c r="P25" i="3" s="1"/>
  <c r="H25" i="3"/>
  <c r="I25" i="3" s="1"/>
  <c r="F25" i="3"/>
  <c r="E25" i="3"/>
  <c r="S24" i="3"/>
  <c r="R24" i="3"/>
  <c r="Q24" i="3"/>
  <c r="O24" i="3"/>
  <c r="N24" i="3"/>
  <c r="J24" i="3"/>
  <c r="P24" i="3" s="1"/>
  <c r="I24" i="3"/>
  <c r="H24" i="3"/>
  <c r="T24" i="3" s="1"/>
  <c r="U24" i="3" s="1"/>
  <c r="F24" i="3"/>
  <c r="E24" i="3"/>
  <c r="S23" i="3"/>
  <c r="R23" i="3"/>
  <c r="Q23" i="3"/>
  <c r="P23" i="3"/>
  <c r="O23" i="3"/>
  <c r="N23" i="3"/>
  <c r="J23" i="3"/>
  <c r="H23" i="3"/>
  <c r="T23" i="3" s="1"/>
  <c r="U23" i="3" s="1"/>
  <c r="F23" i="3"/>
  <c r="E23" i="3"/>
  <c r="T22" i="3"/>
  <c r="U22" i="3" s="1"/>
  <c r="S22" i="3"/>
  <c r="R22" i="3"/>
  <c r="Q22" i="3"/>
  <c r="O22" i="3"/>
  <c r="N22" i="3"/>
  <c r="J22" i="3"/>
  <c r="P22" i="3" s="1"/>
  <c r="I22" i="3"/>
  <c r="H22" i="3"/>
  <c r="F22" i="3"/>
  <c r="E22" i="3"/>
  <c r="S21" i="3"/>
  <c r="T21" i="3" s="1"/>
  <c r="U21" i="3" s="1"/>
  <c r="R21" i="3"/>
  <c r="Q21" i="3"/>
  <c r="O21" i="3"/>
  <c r="P21" i="3" s="1"/>
  <c r="N21" i="3"/>
  <c r="J21" i="3"/>
  <c r="H21" i="3"/>
  <c r="I21" i="3" s="1"/>
  <c r="F21" i="3"/>
  <c r="E21" i="3"/>
  <c r="S20" i="3"/>
  <c r="R20" i="3"/>
  <c r="Q20" i="3"/>
  <c r="O20" i="3"/>
  <c r="N20" i="3"/>
  <c r="P20" i="3" s="1"/>
  <c r="J20" i="3"/>
  <c r="I20" i="3"/>
  <c r="H20" i="3"/>
  <c r="T20" i="3" s="1"/>
  <c r="U20" i="3" s="1"/>
  <c r="F20" i="3"/>
  <c r="E20" i="3"/>
  <c r="S19" i="3"/>
  <c r="R19" i="3"/>
  <c r="Q19" i="3"/>
  <c r="O19" i="3"/>
  <c r="N19" i="3"/>
  <c r="J19" i="3"/>
  <c r="P19" i="3" s="1"/>
  <c r="H19" i="3"/>
  <c r="I19" i="3" s="1"/>
  <c r="F19" i="3"/>
  <c r="E19" i="3"/>
  <c r="S18" i="3"/>
  <c r="R18" i="3"/>
  <c r="Q18" i="3"/>
  <c r="P18" i="3"/>
  <c r="O18" i="3"/>
  <c r="N18" i="3"/>
  <c r="J18" i="3"/>
  <c r="H18" i="3"/>
  <c r="I18" i="3" s="1"/>
  <c r="F18" i="3"/>
  <c r="E18" i="3"/>
  <c r="S17" i="3"/>
  <c r="T17" i="3" s="1"/>
  <c r="U17" i="3" s="1"/>
  <c r="R17" i="3"/>
  <c r="Q17" i="3"/>
  <c r="O17" i="3"/>
  <c r="N17" i="3"/>
  <c r="J17" i="3"/>
  <c r="P17" i="3" s="1"/>
  <c r="H17" i="3"/>
  <c r="I17" i="3" s="1"/>
  <c r="F17" i="3"/>
  <c r="E17" i="3"/>
  <c r="T16" i="3"/>
  <c r="U16" i="3" s="1"/>
  <c r="S16" i="3"/>
  <c r="R16" i="3"/>
  <c r="Q16" i="3"/>
  <c r="P16" i="3"/>
  <c r="O16" i="3"/>
  <c r="N16" i="3"/>
  <c r="J16" i="3"/>
  <c r="H16" i="3"/>
  <c r="I16" i="3" s="1"/>
  <c r="F16" i="3"/>
  <c r="E16" i="3"/>
  <c r="S15" i="3"/>
  <c r="T15" i="3" s="1"/>
  <c r="U15" i="3" s="1"/>
  <c r="R15" i="3"/>
  <c r="Q15" i="3"/>
  <c r="O15" i="3"/>
  <c r="N15" i="3"/>
  <c r="J15" i="3"/>
  <c r="P15" i="3" s="1"/>
  <c r="I15" i="3"/>
  <c r="H15" i="3"/>
  <c r="F15" i="3"/>
  <c r="E15" i="3"/>
  <c r="S14" i="3"/>
  <c r="R14" i="3"/>
  <c r="Q14" i="3"/>
  <c r="O14" i="3"/>
  <c r="N14" i="3"/>
  <c r="P14" i="3" s="1"/>
  <c r="J14" i="3"/>
  <c r="I14" i="3"/>
  <c r="H14" i="3"/>
  <c r="T14" i="3" s="1"/>
  <c r="U14" i="3" s="1"/>
  <c r="F14" i="3"/>
  <c r="E14" i="3"/>
  <c r="S13" i="3"/>
  <c r="R13" i="3"/>
  <c r="Q13" i="3"/>
  <c r="O13" i="3"/>
  <c r="N13" i="3"/>
  <c r="J13" i="3"/>
  <c r="P13" i="3" s="1"/>
  <c r="H13" i="3"/>
  <c r="I13" i="3" s="1"/>
  <c r="F13" i="3"/>
  <c r="E13" i="3"/>
  <c r="T12" i="3"/>
  <c r="U12" i="3" s="1"/>
  <c r="S12" i="3"/>
  <c r="R12" i="3"/>
  <c r="Q12" i="3"/>
  <c r="O12" i="3"/>
  <c r="N12" i="3"/>
  <c r="P12" i="3" s="1"/>
  <c r="J12" i="3"/>
  <c r="H12" i="3"/>
  <c r="I12" i="3" s="1"/>
  <c r="F12" i="3"/>
  <c r="E12" i="3"/>
  <c r="T11" i="3"/>
  <c r="U11" i="3" s="1"/>
  <c r="S11" i="3"/>
  <c r="R11" i="3"/>
  <c r="Q11" i="3"/>
  <c r="O11" i="3"/>
  <c r="N11" i="3"/>
  <c r="J11" i="3"/>
  <c r="P11" i="3" s="1"/>
  <c r="I11" i="3"/>
  <c r="H11" i="3"/>
  <c r="F11" i="3"/>
  <c r="E11" i="3"/>
  <c r="S10" i="3"/>
  <c r="T10" i="3" s="1"/>
  <c r="U10" i="3" s="1"/>
  <c r="R10" i="3"/>
  <c r="Q10" i="3"/>
  <c r="O10" i="3"/>
  <c r="P10" i="3" s="1"/>
  <c r="N10" i="3"/>
  <c r="J10" i="3"/>
  <c r="H10" i="3"/>
  <c r="I10" i="3" s="1"/>
  <c r="F10" i="3"/>
  <c r="E10" i="3"/>
  <c r="S9" i="3"/>
  <c r="R9" i="3"/>
  <c r="Q9" i="3"/>
  <c r="O9" i="3"/>
  <c r="N9" i="3"/>
  <c r="P9" i="3" s="1"/>
  <c r="J9" i="3"/>
  <c r="I9" i="3"/>
  <c r="H9" i="3"/>
  <c r="T9" i="3" s="1"/>
  <c r="U9" i="3" s="1"/>
  <c r="F9" i="3"/>
  <c r="E9" i="3"/>
  <c r="S8" i="3"/>
  <c r="R8" i="3"/>
  <c r="Q8" i="3"/>
  <c r="O8" i="3"/>
  <c r="N8" i="3"/>
  <c r="J8" i="3"/>
  <c r="P8" i="3" s="1"/>
  <c r="H8" i="3"/>
  <c r="I8" i="3" s="1"/>
  <c r="E8" i="3"/>
  <c r="I29" i="3" l="1"/>
  <c r="I66" i="3"/>
  <c r="I23" i="3"/>
  <c r="I55" i="3"/>
  <c r="T25" i="3"/>
  <c r="U25" i="3" s="1"/>
  <c r="T41" i="3"/>
  <c r="U41" i="3" s="1"/>
  <c r="T57" i="3"/>
  <c r="U57" i="3" s="1"/>
  <c r="T73" i="3"/>
  <c r="U73" i="3" s="1"/>
  <c r="I61" i="3"/>
  <c r="T51" i="3"/>
  <c r="U51" i="3" s="1"/>
  <c r="T67" i="3"/>
  <c r="U67" i="3" s="1"/>
  <c r="T8" i="3"/>
  <c r="U8" i="3" s="1"/>
  <c r="W11" i="3" s="1"/>
  <c r="I34" i="3"/>
  <c r="I50" i="3"/>
  <c r="T13" i="3"/>
  <c r="U13" i="3" s="1"/>
  <c r="T45" i="3"/>
  <c r="U45" i="3" s="1"/>
  <c r="T18" i="3"/>
  <c r="U18" i="3" s="1"/>
  <c r="T19" i="3"/>
  <c r="U19" i="3" s="1"/>
  <c r="T35" i="3"/>
  <c r="U35" i="3" s="1"/>
  <c r="T39" i="3"/>
  <c r="U39" i="3" s="1"/>
  <c r="T71" i="3"/>
  <c r="U71" i="3" s="1"/>
</calcChain>
</file>

<file path=xl/sharedStrings.xml><?xml version="1.0" encoding="utf-8"?>
<sst xmlns="http://schemas.openxmlformats.org/spreadsheetml/2006/main" count="758" uniqueCount="224">
  <si>
    <t xml:space="preserve"> </t>
  </si>
  <si>
    <t>VOLTAGE DROP CALCULATION</t>
  </si>
  <si>
    <t xml:space="preserve">  </t>
  </si>
  <si>
    <t>Serial No.</t>
  </si>
  <si>
    <t>CABLE ROUTE</t>
  </si>
  <si>
    <t>CABLE 
LENGTH
(M)</t>
  </si>
  <si>
    <t xml:space="preserve">INSTALLATION </t>
  </si>
  <si>
    <t>CONNECTED 
LOAD 
(KVA)</t>
  </si>
  <si>
    <t>CURRENT 
DESIGNED 
(lb AMP)</t>
  </si>
  <si>
    <t>CIRCUIT 
BREAKER 
RATING (AMP)
(150 % of lb)</t>
  </si>
  <si>
    <t>CIRCUIT 
BREAKER 
PROPOSED 
(AMP) Ic</t>
  </si>
  <si>
    <t>DERATING FACTORS</t>
  </si>
  <si>
    <r>
      <rPr>
        <b/>
        <sz val="8"/>
        <color theme="1"/>
        <rFont val="Arial"/>
      </rPr>
      <t>CURRRENT CARRYING 
CAPACITY REQUIRED
Ia   =</t>
    </r>
    <r>
      <rPr>
        <b/>
        <u/>
        <sz val="8"/>
        <color theme="1"/>
        <rFont val="Arial"/>
      </rPr>
      <t xml:space="preserve">     Ic</t>
    </r>
    <r>
      <rPr>
        <b/>
        <sz val="8"/>
        <color theme="1"/>
        <rFont val="Arial"/>
      </rPr>
      <t xml:space="preserve">         
             T1 x T2            </t>
    </r>
  </si>
  <si>
    <t>CABLE 
CURRENT 
RATING 
(AMP)</t>
  </si>
  <si>
    <t>CABLE SIZE</t>
  </si>
  <si>
    <t>VOLTAGE DROP</t>
  </si>
  <si>
    <t>VOLTAGE 
REGULATION</t>
  </si>
  <si>
    <t>CABLE SIZE AS PER CONTRACT</t>
  </si>
  <si>
    <t>REMARKS</t>
  </si>
  <si>
    <t>DIRECT BURRIED</t>
  </si>
  <si>
    <t>IN AIR</t>
  </si>
  <si>
    <t>From</t>
  </si>
  <si>
    <t>To</t>
  </si>
  <si>
    <r>
      <rPr>
        <b/>
        <sz val="8"/>
        <color rgb="FFFF0000"/>
        <rFont val="Arial"/>
      </rPr>
      <t xml:space="preserve">LOCATION </t>
    </r>
    <r>
      <rPr>
        <sz val="8"/>
        <color rgb="FFFF0000"/>
        <rFont val="Arial"/>
      </rPr>
      <t>(T2)</t>
    </r>
  </si>
  <si>
    <r>
      <rPr>
        <b/>
        <sz val="8"/>
        <color rgb="FFFF0000"/>
        <rFont val="Arial"/>
      </rPr>
      <t xml:space="preserve">TYPE </t>
    </r>
    <r>
      <rPr>
        <sz val="8"/>
        <color rgb="FFFF0000"/>
        <rFont val="Arial"/>
      </rPr>
      <t>(T1)</t>
    </r>
  </si>
  <si>
    <t>Variation 
of depth (T1)</t>
  </si>
  <si>
    <t>Variation 
of Temp. (T2)</t>
  </si>
  <si>
    <t>Variation of 
Resistivity (T3)</t>
  </si>
  <si>
    <t>Grouping 
Factor (T1)</t>
  </si>
  <si>
    <t>vd
mv/A/m</t>
  </si>
  <si>
    <t>VOLTAGE 
DROP (vd)</t>
  </si>
  <si>
    <r>
      <rPr>
        <b/>
        <sz val="8"/>
        <color theme="1"/>
        <rFont val="Arial"/>
      </rPr>
      <t xml:space="preserve">% = </t>
    </r>
    <r>
      <rPr>
        <b/>
        <u/>
        <sz val="8"/>
        <color theme="1"/>
        <rFont val="Arial"/>
      </rPr>
      <t>vd x 100</t>
    </r>
    <r>
      <rPr>
        <b/>
        <sz val="8"/>
        <color theme="1"/>
        <rFont val="Arial"/>
      </rPr>
      <t xml:space="preserve">
            Vs</t>
    </r>
  </si>
  <si>
    <t>SWGR-1</t>
  </si>
  <si>
    <t>MDP1</t>
  </si>
  <si>
    <t>3(3.5-300mm2)</t>
  </si>
  <si>
    <t>SMDP1</t>
  </si>
  <si>
    <t>2(3.5-150mm2)</t>
  </si>
  <si>
    <t>PG1</t>
  </si>
  <si>
    <t>4C-25mm</t>
  </si>
  <si>
    <t>LOAD</t>
  </si>
  <si>
    <t>PG6</t>
  </si>
  <si>
    <t>4C-25mm2</t>
  </si>
  <si>
    <t>PG7</t>
  </si>
  <si>
    <t>4C-4.0mm2</t>
  </si>
  <si>
    <t>PG8</t>
  </si>
  <si>
    <t>PG9</t>
  </si>
  <si>
    <t>4C-10mm2</t>
  </si>
  <si>
    <t>PG10</t>
  </si>
  <si>
    <t>PG11</t>
  </si>
  <si>
    <t>X-RAY</t>
  </si>
  <si>
    <t>SMDP2</t>
  </si>
  <si>
    <t>4C-70mm2</t>
  </si>
  <si>
    <t>PF2</t>
  </si>
  <si>
    <t>PF3</t>
  </si>
  <si>
    <t>PR</t>
  </si>
  <si>
    <t>GHOUSE</t>
  </si>
  <si>
    <t>4C-6mm2</t>
  </si>
  <si>
    <t>KIDNEY</t>
  </si>
  <si>
    <t>2(4C-120mm2)</t>
  </si>
  <si>
    <t>NSTAFF</t>
  </si>
  <si>
    <t>4C-240mm2</t>
  </si>
  <si>
    <t>PA-ANC</t>
  </si>
  <si>
    <t>4C-16mm2</t>
  </si>
  <si>
    <t>SW1</t>
  </si>
  <si>
    <t>MDPAC1</t>
  </si>
  <si>
    <t>3(3.5C-300mm2)</t>
  </si>
  <si>
    <t>SMDPAC1</t>
  </si>
  <si>
    <t>3.5C-185mm2</t>
  </si>
  <si>
    <t>PGAC1</t>
  </si>
  <si>
    <t>KITCHEN</t>
  </si>
  <si>
    <t>3.5C-95mm2</t>
  </si>
  <si>
    <t>STRELI</t>
  </si>
  <si>
    <t>PGAC2</t>
  </si>
  <si>
    <t>SMDPAC2</t>
  </si>
  <si>
    <t>4C-50mm2</t>
  </si>
  <si>
    <t>PFAC1</t>
  </si>
  <si>
    <t>SMDPAC3</t>
  </si>
  <si>
    <t>2(3.5C-300mm2)</t>
  </si>
  <si>
    <t>PU-1</t>
  </si>
  <si>
    <t>4C-95mm2</t>
  </si>
  <si>
    <t>PU-2</t>
  </si>
  <si>
    <t>PU-4</t>
  </si>
  <si>
    <t>4C-35mm2</t>
  </si>
  <si>
    <t>PU-5</t>
  </si>
  <si>
    <t>PU-6</t>
  </si>
  <si>
    <t>PU-9</t>
  </si>
  <si>
    <t>PU-11</t>
  </si>
  <si>
    <t>PU-12</t>
  </si>
  <si>
    <t>PU-13</t>
  </si>
  <si>
    <t>PRAC1</t>
  </si>
  <si>
    <t>PEF</t>
  </si>
  <si>
    <t>LAUNDRY</t>
  </si>
  <si>
    <t>STANDARD CIRCUIT BREAKER RATING</t>
  </si>
  <si>
    <t>BREAKER (AT)</t>
  </si>
  <si>
    <t>BREAKER (AF)</t>
  </si>
  <si>
    <t>TYPE</t>
  </si>
  <si>
    <t>WIRE &amp; CABLE</t>
  </si>
  <si>
    <t>GROUND</t>
  </si>
  <si>
    <t>mm2</t>
  </si>
  <si>
    <t>AWG</t>
  </si>
  <si>
    <t>MCB</t>
  </si>
  <si>
    <t>MCCB</t>
  </si>
  <si>
    <t>BRANCH CIRCUIT</t>
  </si>
  <si>
    <t>80 / 100</t>
  </si>
  <si>
    <t>100 / 100</t>
  </si>
  <si>
    <t>120 / 120</t>
  </si>
  <si>
    <t>125 / 160</t>
  </si>
  <si>
    <t>150 / 160</t>
  </si>
  <si>
    <t>160 / 160</t>
  </si>
  <si>
    <t>200 / 250</t>
  </si>
  <si>
    <t>220 / 250</t>
  </si>
  <si>
    <t>250 / 250</t>
  </si>
  <si>
    <t>300 / 300</t>
  </si>
  <si>
    <t>320 / 400</t>
  </si>
  <si>
    <t>400 / 400</t>
  </si>
  <si>
    <t>500 / 630</t>
  </si>
  <si>
    <t>ACB</t>
  </si>
  <si>
    <t>630 / 630</t>
  </si>
  <si>
    <t>800 / 800</t>
  </si>
  <si>
    <t>1000 / 1000</t>
  </si>
  <si>
    <t>1200 / 1200</t>
  </si>
  <si>
    <t>1250 / 1250</t>
  </si>
  <si>
    <t>1600 / 1600</t>
  </si>
  <si>
    <t>2000 / 2000</t>
  </si>
  <si>
    <t>2500 / 2500</t>
  </si>
  <si>
    <t>3200 / 3200</t>
  </si>
  <si>
    <t>4000 / 4000</t>
  </si>
  <si>
    <t>5000 / 5000</t>
  </si>
  <si>
    <t>6300 / 6300</t>
  </si>
  <si>
    <t>CABLE SIZING CALCULATION</t>
  </si>
  <si>
    <t>DESCRIPTION</t>
  </si>
  <si>
    <t>VOLTAGE DROP (Mv/Amp/meter)</t>
  </si>
  <si>
    <t xml:space="preserve">AMPACITY </t>
  </si>
  <si>
    <t>IN GROUND</t>
  </si>
  <si>
    <t>IN DUCT</t>
  </si>
  <si>
    <t>2C-1.5mm2 Cu PVC/PVC CABLE</t>
  </si>
  <si>
    <t>2C-2.5mm2 Cu PVC/PVC CABLE</t>
  </si>
  <si>
    <t>2C-4.0mm2 Cu PVC/PVC CABLE</t>
  </si>
  <si>
    <t>2C-6.0mm2 Cu PVC/PVC CABLE</t>
  </si>
  <si>
    <t>2C-10mm2 Cu PVC/PVC CABLE</t>
  </si>
  <si>
    <t>2C-16mm2 Cu PVC/PVC CABLE</t>
  </si>
  <si>
    <t>2C-25mm2 Cu PVC/PVC CABLE</t>
  </si>
  <si>
    <t>2C-35mm2 Cu PVC/PVC CABLE</t>
  </si>
  <si>
    <t>4C-1.5mm2 Cu XLPE PVC CABLE</t>
  </si>
  <si>
    <t>4C-2.5mm2 Cu XLPE PVC CABLE</t>
  </si>
  <si>
    <t>4C-4.0mm2 Cu XLPE PVC CABLE</t>
  </si>
  <si>
    <t>4C-6.0mm2 Cu XLPE PVC CABLE</t>
  </si>
  <si>
    <t>4C-10mm2 Cu XLPE PVC CABLE</t>
  </si>
  <si>
    <t>4C-16mm2 Cu XLPE PVC CABLE</t>
  </si>
  <si>
    <t>4C-25mm2 Cu XLPE PVC CABLE</t>
  </si>
  <si>
    <t>4C-35mm2 Cu XLPE PVC CABLE</t>
  </si>
  <si>
    <t>3.5C-50mm2 Cu XLPE PVC CABLE</t>
  </si>
  <si>
    <t>3.5C-70mm2 Cu XLPE PVC CABLE</t>
  </si>
  <si>
    <t>3.5C-95mm2 Cu XLPE PVC CABLE</t>
  </si>
  <si>
    <t>3.5C-120mm2 Cu XLPE PVC CABLE</t>
  </si>
  <si>
    <t>3.5C-150mm2 Cu XLPE PVC CABLE</t>
  </si>
  <si>
    <t>3.5C-185mm2 Cu XLPE PVC CABLE</t>
  </si>
  <si>
    <t>3.5C-240mm2 Cu XLPE PVC CABLE</t>
  </si>
  <si>
    <t>3.5C-300mm2 Cu XLPE PVC CABLE</t>
  </si>
  <si>
    <t>3.5C-400mm2 Cu XLPE PVC CABLE</t>
  </si>
  <si>
    <t>3.5C-500mm2 Cu XLPE PVC CABLE</t>
  </si>
  <si>
    <t>4C-50mm2 Cu XLPE PVC CABLE</t>
  </si>
  <si>
    <t>4C-70mm2 Cu XLPE PVC CABLE</t>
  </si>
  <si>
    <t>4C-95mm2 Cu XLPE PVC CABLE</t>
  </si>
  <si>
    <t>4C-120mm2 Cu XLPE PVC CABLE</t>
  </si>
  <si>
    <t>4C-150mm2 Cu XLPE PVC CABLE</t>
  </si>
  <si>
    <t>4C-185mm2 Cu XLPE PVC CABLE</t>
  </si>
  <si>
    <t>4C-240mm2 Cu XLPE PVC CABLE</t>
  </si>
  <si>
    <t>4C-300mm2 Cu XLPE PVC CABLE</t>
  </si>
  <si>
    <t>4C-400mm2 Cu XLPE PVC CABLE</t>
  </si>
  <si>
    <t>4C-500mm2 Cu XLPE PVC CABLE</t>
  </si>
  <si>
    <t>2(3.5C-120mm2 Cu XLPE PVC CABLE)</t>
  </si>
  <si>
    <t>2(3.5C-150mm2 Cu XLPE PVC CABLE)</t>
  </si>
  <si>
    <t>2(3.5C-185mm2 Cu XLPE PVC CABLE)</t>
  </si>
  <si>
    <t>2(3.5C-240mm2 Cu XLPE PVC CABLE)</t>
  </si>
  <si>
    <t>2(3.5C-300mm2 Cu XLPE PVC CABLE)</t>
  </si>
  <si>
    <t>2(3.5C-400mm2 Cu XLPE PVC CABLE)</t>
  </si>
  <si>
    <t>2(3.5C-500mm2 Cu XLPE PVC CABLE)</t>
  </si>
  <si>
    <t>3(3.5C-120mm2 Cu XLPE PVC CABLE)</t>
  </si>
  <si>
    <t>3(3.5C-150mm2 Cu XLPE PVC CABLE)</t>
  </si>
  <si>
    <t>3(3.5C-185mm2 Cu XLPE PVC CABLE)</t>
  </si>
  <si>
    <t>3(3.5C-240mm2 Cu XLPE PVC CABLE)</t>
  </si>
  <si>
    <t>3(3.5C-300mm2 Cu XLPE PVC CABLE)</t>
  </si>
  <si>
    <t>3(3.5C-400mm2 Cu XLPE PVC CABLE)</t>
  </si>
  <si>
    <t>3(3.5C-500mm2 Cu XLPE PVC CABLE)</t>
  </si>
  <si>
    <t>4(3.5C-120mm2 Cu XLPE PVC CABLE)</t>
  </si>
  <si>
    <t>4(3.5C-150mm2 Cu XLPE PVC CABLE)</t>
  </si>
  <si>
    <t>4(3.5C-185mm2 Cu XLPE PVC CABLE)</t>
  </si>
  <si>
    <t>4(3.5C-240mm2 Cu XLPE PVC CABLE)</t>
  </si>
  <si>
    <t>4(3.5C-300mm2 Cu XLPE PVC CABLE)</t>
  </si>
  <si>
    <t>4(3.5C-400mm2 Cu XLPE PVC CABLE)</t>
  </si>
  <si>
    <t>4(3.5C-500mm2 Cu XLPE PVC CABLE)</t>
  </si>
  <si>
    <t>2(4C-120mm2 Cu XLPE PVC CABLE)</t>
  </si>
  <si>
    <t>2(4C-150mm2 Cu XLPE PVC CABLE)</t>
  </si>
  <si>
    <t>2(4C-185mm2 Cu XLPE PVC CABLE)</t>
  </si>
  <si>
    <t>2(4C-240mm2 Cu XLPE PVC CABLE)</t>
  </si>
  <si>
    <t>2(4C-300mm2 Cu XLPE PVC CABLE)</t>
  </si>
  <si>
    <t>2(4C-400mm2 Cu XLPE PVC CABLE)</t>
  </si>
  <si>
    <t>2(4C-500mm2 Cu XLPE PVC CABLE)</t>
  </si>
  <si>
    <t>3(4C-120mm2 Cu XLPE PVC CABLE)</t>
  </si>
  <si>
    <t>3(4C-150mm2 Cu XLPE PVC CABLE)</t>
  </si>
  <si>
    <t>3(4C-185mm2 Cu XLPE PVC CABLE)</t>
  </si>
  <si>
    <t>3(4C-240mm2 Cu XLPE PVC CABLE)</t>
  </si>
  <si>
    <t>3(4C-300mm2 Cu XLPE PVC CABLE)</t>
  </si>
  <si>
    <t>3(4C-400mm2 Cu XLPE PVC CABLE)</t>
  </si>
  <si>
    <t>3(4C-500mm2 Cu XLPE PVC CABLE)</t>
  </si>
  <si>
    <t>4(4C-120mm2 Cu XLPE PVC CABLE)</t>
  </si>
  <si>
    <t>4(4C-150mm2 Cu XLPE PVC CABLE)</t>
  </si>
  <si>
    <t>4(4C-185mm2 Cu XLPE PVC CABLE)</t>
  </si>
  <si>
    <t>4(4C-240mm2 Cu XLPE PVC CABLE)</t>
  </si>
  <si>
    <t>4(4C-300mm2 Cu XLPE PVC CABLE)</t>
  </si>
  <si>
    <t>4(4C-400mm2 Cu XLPE PVC CABLE)</t>
  </si>
  <si>
    <t>4(4C-500mm2 Cu XLPE PVC CABLE)</t>
  </si>
  <si>
    <t>GROUPING FACTOR</t>
  </si>
  <si>
    <t>PVC DUCT</t>
  </si>
  <si>
    <t>PVC DUCT(2Ckt.)</t>
  </si>
  <si>
    <t>PVC DUCT(More)</t>
  </si>
  <si>
    <t>CONDUIT</t>
  </si>
  <si>
    <t>CABLE TRAY</t>
  </si>
  <si>
    <t>TEMPERATURE FACTOR</t>
  </si>
  <si>
    <t xml:space="preserve">TUNNEL </t>
  </si>
  <si>
    <t>ABOVE CEILING</t>
  </si>
  <si>
    <t>NO CEILING</t>
  </si>
  <si>
    <t>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</si>
</sst>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#,##0"/>
    <numFmt numFmtId="165" formatCode="0.0000"/>
    <numFmt numFmtId="166" formatCode="#,##0.0;[Red]#,##0.0"/>
    <numFmt numFmtId="167" formatCode="#,##0.00;[Red]#,##0.00"/>
    <numFmt numFmtId="168" formatCode="0.000"/>
  </numFmts>
  <fonts count="24" x14ac:knownFonts="1">
    <font>
      <sz val="10"/>
      <color rgb="FF000000"/>
      <name val="Arial"/>
      <scheme val="minor"/>
    </font>
    <font>
      <b/>
      <sz val="18"/>
      <color theme="1"/>
      <name val="Arial"/>
    </font>
    <font>
      <b/>
      <sz val="14"/>
      <color theme="1"/>
      <name val="Arial"/>
    </font>
    <font>
      <sz val="10"/>
      <color theme="1"/>
      <name val="Arial"/>
    </font>
    <font>
      <b/>
      <sz val="13"/>
      <color theme="1"/>
      <name val="Arial"/>
    </font>
    <font>
      <b/>
      <sz val="8"/>
      <color theme="1"/>
      <name val="Arial"/>
    </font>
    <font>
      <b/>
      <sz val="8"/>
      <color rgb="FFFF0000"/>
      <name val="Arial"/>
    </font>
    <font>
      <sz val="10"/>
      <name val="Arial"/>
    </font>
    <font>
      <b/>
      <sz val="11"/>
      <color rgb="FFFF0000"/>
      <name val="Arial"/>
    </font>
    <font>
      <sz val="9"/>
      <color theme="1"/>
      <name val="Arial"/>
    </font>
    <font>
      <sz val="8"/>
      <color theme="1"/>
      <name val="Arial"/>
    </font>
    <font>
      <sz val="9"/>
      <color rgb="FFC0C0C0"/>
      <name val="Arial"/>
    </font>
    <font>
      <sz val="10"/>
      <color rgb="FFC0C0C0"/>
      <name val="Arial"/>
    </font>
    <font>
      <sz val="10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800000"/>
      <name val="Arial"/>
    </font>
    <font>
      <b/>
      <u/>
      <sz val="13"/>
      <color theme="1"/>
      <name val="Arial"/>
    </font>
    <font>
      <b/>
      <sz val="9"/>
      <color theme="1"/>
      <name val="Arial"/>
    </font>
    <font>
      <sz val="9"/>
      <color rgb="FFFF0000"/>
      <name val="Arial"/>
    </font>
    <font>
      <b/>
      <sz val="10"/>
      <color theme="1"/>
      <name val="Arial"/>
    </font>
    <font>
      <b/>
      <u/>
      <sz val="8"/>
      <color theme="1"/>
      <name val="Arial"/>
    </font>
    <font>
      <sz val="8"/>
      <color rgb="FFFF0000"/>
      <name val="Arial"/>
    </font>
    <font>
      <b/>
      <sz val="14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00CCFF"/>
        <bgColor rgb="FF00CC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1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wrapText="1"/>
    </xf>
    <xf numFmtId="0" fontId="5" fillId="0" borderId="11" xfId="0" applyFont="1" applyBorder="1" applyAlignment="1">
      <alignment wrapText="1"/>
    </xf>
    <xf numFmtId="0" fontId="10" fillId="5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" fontId="9" fillId="4" borderId="12" xfId="0" applyNumberFormat="1" applyFont="1" applyFill="1" applyBorder="1" applyAlignment="1">
      <alignment horizontal="center" vertical="center"/>
    </xf>
    <xf numFmtId="164" fontId="9" fillId="4" borderId="12" xfId="0" applyNumberFormat="1" applyFont="1" applyFill="1" applyBorder="1" applyAlignment="1">
      <alignment horizontal="center" vertical="center"/>
    </xf>
    <xf numFmtId="2" fontId="9" fillId="4" borderId="12" xfId="0" applyNumberFormat="1" applyFont="1" applyFill="1" applyBorder="1" applyAlignment="1">
      <alignment horizontal="center" vertical="center"/>
    </xf>
    <xf numFmtId="165" fontId="9" fillId="4" borderId="12" xfId="0" applyNumberFormat="1" applyFont="1" applyFill="1" applyBorder="1" applyAlignment="1">
      <alignment horizontal="center" vertical="center"/>
    </xf>
    <xf numFmtId="4" fontId="9" fillId="5" borderId="12" xfId="0" applyNumberFormat="1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4" fontId="9" fillId="4" borderId="16" xfId="0" applyNumberFormat="1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164" fontId="9" fillId="0" borderId="12" xfId="0" applyNumberFormat="1" applyFont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165" fontId="9" fillId="8" borderId="12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164" fontId="14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6" fontId="15" fillId="0" borderId="11" xfId="0" applyNumberFormat="1" applyFont="1" applyBorder="1" applyAlignment="1">
      <alignment horizontal="center" vertical="center" wrapText="1"/>
    </xf>
    <xf numFmtId="164" fontId="15" fillId="0" borderId="11" xfId="0" applyNumberFormat="1" applyFont="1" applyBorder="1" applyAlignment="1">
      <alignment horizontal="center" vertical="center" wrapText="1"/>
    </xf>
    <xf numFmtId="166" fontId="14" fillId="0" borderId="11" xfId="0" applyNumberFormat="1" applyFont="1" applyBorder="1" applyAlignment="1">
      <alignment horizontal="center" vertical="center" wrapText="1"/>
    </xf>
    <xf numFmtId="164" fontId="14" fillId="0" borderId="11" xfId="0" applyNumberFormat="1" applyFont="1" applyBorder="1" applyAlignment="1">
      <alignment horizontal="center" vertical="center" wrapText="1"/>
    </xf>
    <xf numFmtId="166" fontId="14" fillId="0" borderId="11" xfId="0" applyNumberFormat="1" applyFont="1" applyBorder="1" applyAlignment="1">
      <alignment horizontal="center" vertical="center"/>
    </xf>
    <xf numFmtId="164" fontId="14" fillId="0" borderId="11" xfId="0" applyNumberFormat="1" applyFont="1" applyBorder="1" applyAlignment="1">
      <alignment horizontal="center" vertical="center"/>
    </xf>
    <xf numFmtId="166" fontId="14" fillId="0" borderId="11" xfId="0" applyNumberFormat="1" applyFont="1" applyBorder="1" applyAlignment="1">
      <alignment horizontal="center"/>
    </xf>
    <xf numFmtId="164" fontId="14" fillId="0" borderId="11" xfId="0" applyNumberFormat="1" applyFont="1" applyBorder="1" applyAlignment="1">
      <alignment horizontal="center"/>
    </xf>
    <xf numFmtId="167" fontId="14" fillId="0" borderId="11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4" fillId="5" borderId="11" xfId="0" applyNumberFormat="1" applyFont="1" applyFill="1" applyBorder="1" applyAlignment="1">
      <alignment horizontal="center"/>
    </xf>
    <xf numFmtId="166" fontId="14" fillId="5" borderId="11" xfId="0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164" fontId="14" fillId="5" borderId="11" xfId="0" applyNumberFormat="1" applyFont="1" applyFill="1" applyBorder="1" applyAlignment="1">
      <alignment horizontal="center" vertical="center"/>
    </xf>
    <xf numFmtId="166" fontId="14" fillId="5" borderId="11" xfId="0" applyNumberFormat="1" applyFont="1" applyFill="1" applyBorder="1" applyAlignment="1">
      <alignment horizontal="center" vertical="center"/>
    </xf>
    <xf numFmtId="164" fontId="16" fillId="5" borderId="11" xfId="0" applyNumberFormat="1" applyFont="1" applyFill="1" applyBorder="1" applyAlignment="1">
      <alignment horizontal="center"/>
    </xf>
    <xf numFmtId="164" fontId="14" fillId="3" borderId="11" xfId="0" applyNumberFormat="1" applyFont="1" applyFill="1" applyBorder="1" applyAlignment="1">
      <alignment horizontal="center"/>
    </xf>
    <xf numFmtId="166" fontId="14" fillId="3" borderId="11" xfId="0" applyNumberFormat="1" applyFont="1" applyFill="1" applyBorder="1" applyAlignment="1">
      <alignment horizontal="center"/>
    </xf>
    <xf numFmtId="164" fontId="14" fillId="3" borderId="11" xfId="0" applyNumberFormat="1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/>
    </xf>
    <xf numFmtId="166" fontId="14" fillId="3" borderId="11" xfId="0" applyNumberFormat="1" applyFont="1" applyFill="1" applyBorder="1" applyAlignment="1">
      <alignment horizontal="center" vertical="center"/>
    </xf>
    <xf numFmtId="164" fontId="16" fillId="3" borderId="11" xfId="0" applyNumberFormat="1" applyFont="1" applyFill="1" applyBorder="1" applyAlignment="1">
      <alignment horizontal="center"/>
    </xf>
    <xf numFmtId="164" fontId="14" fillId="3" borderId="11" xfId="0" applyNumberFormat="1" applyFont="1" applyFill="1" applyBorder="1" applyAlignment="1">
      <alignment horizontal="center" vertical="center" wrapText="1"/>
    </xf>
    <xf numFmtId="164" fontId="14" fillId="7" borderId="11" xfId="0" applyNumberFormat="1" applyFont="1" applyFill="1" applyBorder="1" applyAlignment="1">
      <alignment horizontal="center"/>
    </xf>
    <xf numFmtId="166" fontId="14" fillId="7" borderId="11" xfId="0" applyNumberFormat="1" applyFont="1" applyFill="1" applyBorder="1" applyAlignment="1">
      <alignment horizontal="center"/>
    </xf>
    <xf numFmtId="164" fontId="14" fillId="7" borderId="11" xfId="0" applyNumberFormat="1" applyFont="1" applyFill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/>
    </xf>
    <xf numFmtId="164" fontId="16" fillId="7" borderId="11" xfId="0" applyNumberFormat="1" applyFont="1" applyFill="1" applyBorder="1" applyAlignment="1">
      <alignment horizontal="center"/>
    </xf>
    <xf numFmtId="164" fontId="14" fillId="2" borderId="11" xfId="0" applyNumberFormat="1" applyFont="1" applyFill="1" applyBorder="1" applyAlignment="1">
      <alignment horizontal="center"/>
    </xf>
    <xf numFmtId="166" fontId="14" fillId="2" borderId="11" xfId="0" applyNumberFormat="1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164" fontId="16" fillId="2" borderId="11" xfId="0" applyNumberFormat="1" applyFont="1" applyFill="1" applyBorder="1" applyAlignment="1">
      <alignment horizontal="center"/>
    </xf>
    <xf numFmtId="164" fontId="14" fillId="9" borderId="11" xfId="0" applyNumberFormat="1" applyFont="1" applyFill="1" applyBorder="1" applyAlignment="1">
      <alignment horizontal="center"/>
    </xf>
    <xf numFmtId="166" fontId="14" fillId="9" borderId="11" xfId="0" applyNumberFormat="1" applyFont="1" applyFill="1" applyBorder="1" applyAlignment="1">
      <alignment horizontal="center"/>
    </xf>
    <xf numFmtId="0" fontId="14" fillId="9" borderId="11" xfId="0" applyFont="1" applyFill="1" applyBorder="1" applyAlignment="1">
      <alignment horizontal="center"/>
    </xf>
    <xf numFmtId="164" fontId="16" fillId="9" borderId="11" xfId="0" applyNumberFormat="1" applyFont="1" applyFill="1" applyBorder="1" applyAlignment="1">
      <alignment horizontal="center"/>
    </xf>
    <xf numFmtId="164" fontId="14" fillId="10" borderId="11" xfId="0" applyNumberFormat="1" applyFont="1" applyFill="1" applyBorder="1" applyAlignment="1">
      <alignment horizontal="center"/>
    </xf>
    <xf numFmtId="166" fontId="14" fillId="10" borderId="11" xfId="0" applyNumberFormat="1" applyFont="1" applyFill="1" applyBorder="1" applyAlignment="1">
      <alignment horizontal="center"/>
    </xf>
    <xf numFmtId="0" fontId="14" fillId="10" borderId="11" xfId="0" applyFont="1" applyFill="1" applyBorder="1" applyAlignment="1">
      <alignment horizontal="center"/>
    </xf>
    <xf numFmtId="164" fontId="16" fillId="10" borderId="11" xfId="0" applyNumberFormat="1" applyFont="1" applyFill="1" applyBorder="1" applyAlignment="1">
      <alignment horizontal="center"/>
    </xf>
    <xf numFmtId="164" fontId="14" fillId="11" borderId="11" xfId="0" applyNumberFormat="1" applyFont="1" applyFill="1" applyBorder="1" applyAlignment="1">
      <alignment horizontal="center"/>
    </xf>
    <xf numFmtId="166" fontId="14" fillId="11" borderId="11" xfId="0" applyNumberFormat="1" applyFont="1" applyFill="1" applyBorder="1" applyAlignment="1">
      <alignment horizontal="center"/>
    </xf>
    <xf numFmtId="164" fontId="14" fillId="11" borderId="11" xfId="0" applyNumberFormat="1" applyFont="1" applyFill="1" applyBorder="1" applyAlignment="1">
      <alignment horizontal="center" vertical="center" wrapText="1"/>
    </xf>
    <xf numFmtId="164" fontId="16" fillId="11" borderId="11" xfId="0" applyNumberFormat="1" applyFont="1" applyFill="1" applyBorder="1" applyAlignment="1">
      <alignment horizontal="center"/>
    </xf>
    <xf numFmtId="164" fontId="14" fillId="12" borderId="11" xfId="0" applyNumberFormat="1" applyFont="1" applyFill="1" applyBorder="1" applyAlignment="1">
      <alignment horizontal="center"/>
    </xf>
    <xf numFmtId="166" fontId="14" fillId="12" borderId="11" xfId="0" applyNumberFormat="1" applyFont="1" applyFill="1" applyBorder="1" applyAlignment="1">
      <alignment horizontal="center"/>
    </xf>
    <xf numFmtId="0" fontId="14" fillId="12" borderId="11" xfId="0" applyFont="1" applyFill="1" applyBorder="1" applyAlignment="1">
      <alignment horizontal="center"/>
    </xf>
    <xf numFmtId="164" fontId="16" fillId="12" borderId="11" xfId="0" applyNumberFormat="1" applyFont="1" applyFill="1" applyBorder="1" applyAlignment="1">
      <alignment horizontal="center"/>
    </xf>
    <xf numFmtId="0" fontId="4" fillId="0" borderId="0" xfId="0" applyFont="1"/>
    <xf numFmtId="0" fontId="18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68" fontId="9" fillId="0" borderId="12" xfId="0" applyNumberFormat="1" applyFont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168" fontId="19" fillId="6" borderId="12" xfId="0" applyNumberFormat="1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/>
    </xf>
    <xf numFmtId="168" fontId="19" fillId="7" borderId="12" xfId="0" applyNumberFormat="1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 vertical="center"/>
    </xf>
    <xf numFmtId="168" fontId="19" fillId="13" borderId="12" xfId="0" applyNumberFormat="1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7" fillId="0" borderId="7" xfId="0" applyFont="1" applyBorder="1"/>
    <xf numFmtId="0" fontId="7" fillId="0" borderId="10" xfId="0" applyFont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3" xfId="0" applyFont="1" applyBorder="1"/>
    <xf numFmtId="0" fontId="7" fillId="0" borderId="8" xfId="0" applyFont="1" applyBorder="1"/>
    <xf numFmtId="0" fontId="7" fillId="0" borderId="9" xfId="0" applyFont="1" applyBorder="1"/>
    <xf numFmtId="0" fontId="6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6" fillId="0" borderId="2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7" fillId="0" borderId="15" xfId="0" applyFont="1" applyBorder="1"/>
    <xf numFmtId="0" fontId="9" fillId="4" borderId="17" xfId="0" applyFont="1" applyFill="1" applyBorder="1" applyAlignment="1">
      <alignment horizontal="center" vertical="center" wrapText="1"/>
    </xf>
    <xf numFmtId="166" fontId="15" fillId="0" borderId="4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7" fillId="0" borderId="18" xfId="0" applyFont="1" applyBorder="1"/>
    <xf numFmtId="0" fontId="7" fillId="0" borderId="1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J5" sqref="J5"/>
    </sheetView>
  </sheetViews>
  <sheetFormatPr defaultColWidth="12.6640625" defaultRowHeight="15" customHeight="1" x14ac:dyDescent="0.25"/>
  <cols>
    <col min="1" max="26" width="8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showGridLines="0" workbookViewId="0"/>
  </sheetViews>
  <sheetFormatPr defaultColWidth="12.6640625" defaultRowHeight="15" customHeight="1" x14ac:dyDescent="0.25"/>
  <cols>
    <col min="1" max="26" width="8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showGridLines="0" tabSelected="1" workbookViewId="0">
      <selection activeCell="I9" sqref="I9"/>
    </sheetView>
  </sheetViews>
  <sheetFormatPr defaultColWidth="12.6640625" defaultRowHeight="15" customHeight="1" x14ac:dyDescent="0.25"/>
  <cols>
    <col min="1" max="1" width="8" customWidth="1"/>
    <col min="2" max="2" width="9.77734375" customWidth="1"/>
    <col min="3" max="3" width="10.77734375" customWidth="1"/>
    <col min="4" max="4" width="8" customWidth="1"/>
    <col min="5" max="6" width="18.77734375" customWidth="1"/>
    <col min="7" max="7" width="12.77734375" customWidth="1"/>
    <col min="8" max="8" width="10.77734375" customWidth="1"/>
    <col min="9" max="9" width="12" customWidth="1"/>
    <col min="10" max="10" width="11.21875" customWidth="1"/>
    <col min="11" max="11" width="9.77734375" customWidth="1"/>
    <col min="12" max="12" width="8" customWidth="1"/>
    <col min="13" max="13" width="10.88671875" customWidth="1"/>
    <col min="14" max="15" width="8" customWidth="1"/>
    <col min="16" max="16" width="11.88671875" customWidth="1"/>
    <col min="17" max="17" width="10" customWidth="1"/>
    <col min="18" max="18" width="31.77734375" customWidth="1"/>
    <col min="19" max="19" width="8" customWidth="1"/>
    <col min="20" max="20" width="10.21875" customWidth="1"/>
    <col min="21" max="21" width="13.77734375" customWidth="1"/>
    <col min="22" max="22" width="13.77734375" hidden="1" customWidth="1"/>
    <col min="23" max="23" width="27.33203125" customWidth="1"/>
    <col min="24" max="27" width="9.109375" hidden="1" customWidth="1"/>
  </cols>
  <sheetData>
    <row r="1" spans="1:27" ht="23.25" customHeight="1" x14ac:dyDescent="0.4">
      <c r="A1" s="1" t="s">
        <v>0</v>
      </c>
    </row>
    <row r="2" spans="1:27" ht="19.5" customHeight="1" x14ac:dyDescent="0.25">
      <c r="A2" s="110"/>
      <c r="B2" s="111"/>
      <c r="C2" s="111"/>
      <c r="D2" s="111"/>
      <c r="E2" s="111"/>
      <c r="F2" s="111"/>
    </row>
    <row r="3" spans="1:27" ht="19.5" customHeight="1" x14ac:dyDescent="0.25">
      <c r="A3" s="110"/>
      <c r="B3" s="111"/>
      <c r="C3" s="111"/>
      <c r="D3" s="111"/>
      <c r="E3" s="111"/>
      <c r="F3" s="111"/>
      <c r="G3" s="118" t="s">
        <v>1</v>
      </c>
      <c r="H3" s="118"/>
      <c r="I3" s="118"/>
      <c r="J3" s="118"/>
      <c r="K3" s="118"/>
      <c r="L3" s="118"/>
      <c r="M3" s="118"/>
      <c r="N3" s="106" t="s">
        <v>2</v>
      </c>
    </row>
    <row r="4" spans="1:27" ht="16.5" customHeight="1" x14ac:dyDescent="0.3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7" ht="12.75" customHeight="1" x14ac:dyDescent="0.25">
      <c r="A5" s="112" t="s">
        <v>3</v>
      </c>
      <c r="B5" s="113" t="s">
        <v>4</v>
      </c>
      <c r="C5" s="114"/>
      <c r="D5" s="117" t="s">
        <v>5</v>
      </c>
      <c r="E5" s="125" t="s">
        <v>6</v>
      </c>
      <c r="F5" s="114"/>
      <c r="G5" s="117" t="s">
        <v>7</v>
      </c>
      <c r="H5" s="107" t="s">
        <v>8</v>
      </c>
      <c r="I5" s="107" t="s">
        <v>9</v>
      </c>
      <c r="J5" s="117" t="s">
        <v>10</v>
      </c>
      <c r="K5" s="122" t="s">
        <v>11</v>
      </c>
      <c r="L5" s="123"/>
      <c r="M5" s="123"/>
      <c r="N5" s="123"/>
      <c r="O5" s="124"/>
      <c r="P5" s="107" t="s">
        <v>12</v>
      </c>
      <c r="Q5" s="107" t="s">
        <v>13</v>
      </c>
      <c r="R5" s="119" t="s">
        <v>14</v>
      </c>
      <c r="S5" s="120" t="s">
        <v>15</v>
      </c>
      <c r="T5" s="114"/>
      <c r="U5" s="121" t="s">
        <v>16</v>
      </c>
      <c r="V5" s="107" t="s">
        <v>17</v>
      </c>
      <c r="W5" s="117" t="s">
        <v>18</v>
      </c>
      <c r="X5" s="4"/>
      <c r="Y5" s="4"/>
      <c r="Z5" s="4"/>
      <c r="AA5" s="4"/>
    </row>
    <row r="6" spans="1:27" ht="11.25" customHeight="1" x14ac:dyDescent="0.25">
      <c r="A6" s="108"/>
      <c r="B6" s="115"/>
      <c r="C6" s="116"/>
      <c r="D6" s="108"/>
      <c r="E6" s="115"/>
      <c r="F6" s="116"/>
      <c r="G6" s="108"/>
      <c r="H6" s="108"/>
      <c r="I6" s="108"/>
      <c r="J6" s="108"/>
      <c r="K6" s="122" t="s">
        <v>19</v>
      </c>
      <c r="L6" s="123"/>
      <c r="M6" s="124"/>
      <c r="N6" s="122" t="s">
        <v>20</v>
      </c>
      <c r="O6" s="124"/>
      <c r="P6" s="108"/>
      <c r="Q6" s="108"/>
      <c r="R6" s="108"/>
      <c r="S6" s="115"/>
      <c r="T6" s="116"/>
      <c r="U6" s="109"/>
      <c r="V6" s="108"/>
      <c r="W6" s="108"/>
      <c r="X6" s="4"/>
      <c r="Y6" s="4"/>
      <c r="Z6" s="4"/>
      <c r="AA6" s="4"/>
    </row>
    <row r="7" spans="1:27" ht="42" customHeight="1" x14ac:dyDescent="0.25">
      <c r="A7" s="109"/>
      <c r="B7" s="5" t="s">
        <v>21</v>
      </c>
      <c r="C7" s="5" t="s">
        <v>22</v>
      </c>
      <c r="D7" s="109"/>
      <c r="E7" s="6" t="s">
        <v>23</v>
      </c>
      <c r="F7" s="7" t="s">
        <v>24</v>
      </c>
      <c r="G7" s="109"/>
      <c r="H7" s="109"/>
      <c r="I7" s="109"/>
      <c r="J7" s="109"/>
      <c r="K7" s="8" t="s">
        <v>25</v>
      </c>
      <c r="L7" s="8" t="s">
        <v>26</v>
      </c>
      <c r="M7" s="8" t="s">
        <v>27</v>
      </c>
      <c r="N7" s="9" t="s">
        <v>28</v>
      </c>
      <c r="O7" s="10" t="s">
        <v>26</v>
      </c>
      <c r="P7" s="109"/>
      <c r="Q7" s="109"/>
      <c r="R7" s="109"/>
      <c r="S7" s="8" t="s">
        <v>29</v>
      </c>
      <c r="T7" s="8" t="s">
        <v>30</v>
      </c>
      <c r="U7" s="11" t="s">
        <v>31</v>
      </c>
      <c r="V7" s="109"/>
      <c r="W7" s="109"/>
      <c r="X7" s="4"/>
      <c r="Y7" s="4"/>
      <c r="Z7" s="4"/>
      <c r="AA7" s="4"/>
    </row>
    <row r="8" spans="1:27" ht="24.75" customHeight="1" x14ac:dyDescent="0.25">
      <c r="A8" s="126">
        <v>1</v>
      </c>
      <c r="B8" s="12" t="s">
        <v>32</v>
      </c>
      <c r="C8" s="12" t="s">
        <v>33</v>
      </c>
      <c r="D8" s="13">
        <v>150</v>
      </c>
      <c r="E8" s="14" t="str">
        <f>VLOOKUP(Y8,'3'!A$95:B$98,2,FALSE)</f>
        <v>NO CEILING</v>
      </c>
      <c r="F8" s="14" t="str">
        <f>VLOOKUP(X8,'3'!A$88:B$92,2,FALSE)</f>
        <v>CABLE TRAY</v>
      </c>
      <c r="G8" s="13">
        <v>50</v>
      </c>
      <c r="H8" s="15">
        <f t="shared" ref="H8:H79" si="0">(G8*1000)/(SQRT(3)*380)</f>
        <v>75.967140682845496</v>
      </c>
      <c r="I8" s="15">
        <f t="shared" ref="I8:I79" si="1">H8*1.5</f>
        <v>113.95071102426824</v>
      </c>
      <c r="J8" s="16">
        <f>VLOOKUP(AA$8,'1'!A$15:X$50,2,FALSE)</f>
        <v>125</v>
      </c>
      <c r="K8" s="14"/>
      <c r="L8" s="14" t="s">
        <v>0</v>
      </c>
      <c r="M8" s="14" t="s">
        <v>0</v>
      </c>
      <c r="N8" s="17">
        <f>VLOOKUP(X8,'3'!A$88:C$92,3,FALSE)</f>
        <v>0.85</v>
      </c>
      <c r="O8" s="14">
        <f>VLOOKUP(Y8,'3'!A$95:C$98,3,FALSE)</f>
        <v>0.96</v>
      </c>
      <c r="P8" s="15">
        <f t="shared" ref="P8:P79" si="2">IF(J8&lt;=0,"",J8/(N8*O8))</f>
        <v>153.18627450980392</v>
      </c>
      <c r="Q8" s="14">
        <f>VLOOKUP(Z8,'3'!A$8:F$85,6,FALSE)</f>
        <v>345</v>
      </c>
      <c r="R8" s="14" t="str">
        <f>VLOOKUP(Z8,'3'!A$8:F$85,2,FALSE)</f>
        <v>4C-120mm2 Cu XLPE PVC CABLE</v>
      </c>
      <c r="S8" s="18">
        <f>VLOOKUP(Z8,'3'!A$8:F$85,3,FALSE)</f>
        <v>0.36799999999999999</v>
      </c>
      <c r="T8" s="15">
        <f t="shared" ref="T8:T79" si="3">(D8*H8*S8)/1000</f>
        <v>4.1933861656930711</v>
      </c>
      <c r="U8" s="19">
        <f t="shared" ref="U8:U79" si="4">(T8*100)/380</f>
        <v>1.1035226751823872</v>
      </c>
      <c r="V8" s="15" t="s">
        <v>34</v>
      </c>
      <c r="W8" s="20" t="s">
        <v>0</v>
      </c>
      <c r="X8" s="21">
        <v>5</v>
      </c>
      <c r="Y8" s="21">
        <v>3</v>
      </c>
      <c r="Z8" s="21">
        <v>30</v>
      </c>
      <c r="AA8" s="21">
        <v>15</v>
      </c>
    </row>
    <row r="9" spans="1:27" ht="24.75" customHeight="1" x14ac:dyDescent="0.25">
      <c r="A9" s="108"/>
      <c r="B9" s="12" t="s">
        <v>33</v>
      </c>
      <c r="C9" s="12" t="s">
        <v>35</v>
      </c>
      <c r="D9" s="13">
        <v>0</v>
      </c>
      <c r="E9" s="14" t="str">
        <f>VLOOKUP(Y9,'3'!A$95:B$98,2,FALSE)</f>
        <v>OUTDOOR</v>
      </c>
      <c r="F9" s="14" t="str">
        <f>VLOOKUP(X9,'3'!A$88:B$92,2,FALSE)</f>
        <v>PVC DUCT</v>
      </c>
      <c r="G9" s="13">
        <v>0</v>
      </c>
      <c r="H9" s="15">
        <f t="shared" si="0"/>
        <v>0</v>
      </c>
      <c r="I9" s="15">
        <f t="shared" si="1"/>
        <v>0</v>
      </c>
      <c r="J9" s="16">
        <f>VLOOKUP(AA9,'1'!A$15:X$50,2,FALSE)</f>
        <v>40</v>
      </c>
      <c r="K9" s="14"/>
      <c r="L9" s="14" t="s">
        <v>0</v>
      </c>
      <c r="M9" s="14" t="s">
        <v>0</v>
      </c>
      <c r="N9" s="17">
        <f>VLOOKUP(X9,'3'!A$88:C$92,3,FALSE)</f>
        <v>1</v>
      </c>
      <c r="O9" s="14">
        <f>VLOOKUP(Y9,'3'!A$95:C$98,3,FALSE)</f>
        <v>0.82</v>
      </c>
      <c r="P9" s="15">
        <f t="shared" si="2"/>
        <v>48.780487804878049</v>
      </c>
      <c r="Q9" s="14">
        <f>VLOOKUP(Z9,'3'!A$8:F$85,6,FALSE)</f>
        <v>784</v>
      </c>
      <c r="R9" s="14" t="str">
        <f>VLOOKUP(Z9,'3'!A$8:F$85,2,FALSE)</f>
        <v>2(3.5C-150mm2 Cu XLPE PVC CABLE)</v>
      </c>
      <c r="S9" s="18">
        <f>VLOOKUP(Z9,'3'!A$8:F$85,3,FALSE)</f>
        <v>0.1575</v>
      </c>
      <c r="T9" s="15">
        <f t="shared" si="3"/>
        <v>0</v>
      </c>
      <c r="U9" s="19">
        <f t="shared" si="4"/>
        <v>0</v>
      </c>
      <c r="V9" s="15" t="s">
        <v>36</v>
      </c>
      <c r="W9" s="22" t="s">
        <v>0</v>
      </c>
      <c r="X9" s="21">
        <v>1</v>
      </c>
      <c r="Y9" s="21">
        <v>4</v>
      </c>
      <c r="Z9" s="21">
        <v>38</v>
      </c>
      <c r="AA9" s="21">
        <v>9</v>
      </c>
    </row>
    <row r="10" spans="1:27" ht="24.75" customHeight="1" x14ac:dyDescent="0.25">
      <c r="A10" s="108"/>
      <c r="B10" s="12" t="s">
        <v>35</v>
      </c>
      <c r="C10" s="12" t="s">
        <v>37</v>
      </c>
      <c r="D10" s="13">
        <v>0</v>
      </c>
      <c r="E10" s="14" t="str">
        <f>VLOOKUP(Y10,'3'!A$95:B$98,2,FALSE)</f>
        <v>ABOVE CEILING</v>
      </c>
      <c r="F10" s="14" t="str">
        <f>VLOOKUP(X10,'3'!A$88:B$92,2,FALSE)</f>
        <v>CABLE TRAY</v>
      </c>
      <c r="G10" s="13">
        <v>0</v>
      </c>
      <c r="H10" s="15">
        <f t="shared" si="0"/>
        <v>0</v>
      </c>
      <c r="I10" s="15">
        <f t="shared" si="1"/>
        <v>0</v>
      </c>
      <c r="J10" s="16">
        <f>VLOOKUP(AA10,'1'!A$15:X$50,2,FALSE)</f>
        <v>32</v>
      </c>
      <c r="K10" s="14"/>
      <c r="L10" s="14" t="s">
        <v>0</v>
      </c>
      <c r="M10" s="14" t="s">
        <v>0</v>
      </c>
      <c r="N10" s="17">
        <f>VLOOKUP(X10,'3'!A$88:C$92,3,FALSE)</f>
        <v>0.85</v>
      </c>
      <c r="O10" s="14">
        <f>VLOOKUP(Y10,'3'!A$95:C$98,3,FALSE)</f>
        <v>0.91</v>
      </c>
      <c r="P10" s="15">
        <f t="shared" si="2"/>
        <v>41.370394311570784</v>
      </c>
      <c r="Q10" s="14">
        <f>VLOOKUP(Z10,'3'!A$8:F$85,6,FALSE)</f>
        <v>135</v>
      </c>
      <c r="R10" s="14" t="str">
        <f>VLOOKUP(Z10,'3'!A$8:F$85,2,FALSE)</f>
        <v>4C-25mm2 Cu XLPE PVC CABLE</v>
      </c>
      <c r="S10" s="18">
        <f>VLOOKUP(Z10,'3'!A$8:F$85,3,FALSE)</f>
        <v>1.1140000000000001</v>
      </c>
      <c r="T10" s="15">
        <f t="shared" si="3"/>
        <v>0</v>
      </c>
      <c r="U10" s="19">
        <f t="shared" si="4"/>
        <v>0</v>
      </c>
      <c r="V10" s="15" t="s">
        <v>38</v>
      </c>
      <c r="W10" s="22" t="s">
        <v>0</v>
      </c>
      <c r="X10" s="21">
        <v>5</v>
      </c>
      <c r="Y10" s="21">
        <v>2</v>
      </c>
      <c r="Z10" s="21">
        <v>15</v>
      </c>
      <c r="AA10" s="21">
        <v>8</v>
      </c>
    </row>
    <row r="11" spans="1:27" ht="24.75" customHeight="1" x14ac:dyDescent="0.25">
      <c r="A11" s="127"/>
      <c r="B11" s="12" t="s">
        <v>37</v>
      </c>
      <c r="C11" s="12" t="s">
        <v>39</v>
      </c>
      <c r="D11" s="13">
        <v>0</v>
      </c>
      <c r="E11" s="14" t="str">
        <f>VLOOKUP(Y11,'3'!A$95:B$98,2,FALSE)</f>
        <v>ABOVE CEILING</v>
      </c>
      <c r="F11" s="14" t="str">
        <f>VLOOKUP(X11,'3'!A$88:B$92,2,FALSE)</f>
        <v>CONDUIT</v>
      </c>
      <c r="G11" s="13">
        <v>0</v>
      </c>
      <c r="H11" s="15">
        <f t="shared" si="0"/>
        <v>0</v>
      </c>
      <c r="I11" s="15">
        <f t="shared" si="1"/>
        <v>0</v>
      </c>
      <c r="J11" s="16">
        <f>VLOOKUP(AA11,'1'!A$15:X$50,2,FALSE)</f>
        <v>32</v>
      </c>
      <c r="K11" s="14"/>
      <c r="L11" s="14" t="s">
        <v>0</v>
      </c>
      <c r="M11" s="14" t="s">
        <v>0</v>
      </c>
      <c r="N11" s="17">
        <f>VLOOKUP(X11,'3'!A$88:C$92,3,FALSE)</f>
        <v>1</v>
      </c>
      <c r="O11" s="14">
        <f>VLOOKUP(Y11,'3'!A$95:C$98,3,FALSE)</f>
        <v>0.91</v>
      </c>
      <c r="P11" s="15">
        <f t="shared" si="2"/>
        <v>35.164835164835161</v>
      </c>
      <c r="Q11" s="14">
        <f>VLOOKUP(Z11,'3'!A$8:F$85,6,FALSE)</f>
        <v>49</v>
      </c>
      <c r="R11" s="14" t="str">
        <f>VLOOKUP(Z11,'3'!A$8:F$85,2,FALSE)</f>
        <v>2C-4.0mm2 Cu PVC/PVC CABLE</v>
      </c>
      <c r="S11" s="18">
        <f>VLOOKUP(Z11,'3'!A$8:F$85,3,FALSE)</f>
        <v>8.6240000000000006</v>
      </c>
      <c r="T11" s="15">
        <f t="shared" si="3"/>
        <v>0</v>
      </c>
      <c r="U11" s="19">
        <f t="shared" si="4"/>
        <v>0</v>
      </c>
      <c r="V11" s="15" t="s">
        <v>0</v>
      </c>
      <c r="W11" s="23">
        <f>SUM(U8:U11)</f>
        <v>1.1035226751823872</v>
      </c>
      <c r="X11" s="21">
        <v>4</v>
      </c>
      <c r="Y11" s="21">
        <v>2</v>
      </c>
      <c r="Z11" s="21">
        <v>3</v>
      </c>
      <c r="AA11" s="21">
        <v>8</v>
      </c>
    </row>
    <row r="12" spans="1:27" ht="24.75" customHeight="1" x14ac:dyDescent="0.25">
      <c r="A12" s="128">
        <v>2</v>
      </c>
      <c r="B12" s="24" t="s">
        <v>35</v>
      </c>
      <c r="C12" s="24" t="s">
        <v>40</v>
      </c>
      <c r="D12" s="13">
        <v>0</v>
      </c>
      <c r="E12" s="14" t="str">
        <f>VLOOKUP(Y12,'3'!A$95:B$98,2,FALSE)</f>
        <v>ABOVE CEILING</v>
      </c>
      <c r="F12" s="14" t="str">
        <f>VLOOKUP(X12,'3'!A$88:B$92,2,FALSE)</f>
        <v>CABLE TRAY</v>
      </c>
      <c r="G12" s="13">
        <v>0</v>
      </c>
      <c r="H12" s="15">
        <f t="shared" si="0"/>
        <v>0</v>
      </c>
      <c r="I12" s="15">
        <f t="shared" si="1"/>
        <v>0</v>
      </c>
      <c r="J12" s="16">
        <f>VLOOKUP(AA12,'1'!A$15:X$50,2,FALSE)</f>
        <v>100</v>
      </c>
      <c r="K12" s="14"/>
      <c r="L12" s="14" t="s">
        <v>0</v>
      </c>
      <c r="M12" s="14" t="s">
        <v>0</v>
      </c>
      <c r="N12" s="17">
        <f>VLOOKUP(X12,'3'!A$88:C$92,3,FALSE)</f>
        <v>0.85</v>
      </c>
      <c r="O12" s="14">
        <f>VLOOKUP(Y12,'3'!A$95:C$98,3,FALSE)</f>
        <v>0.91</v>
      </c>
      <c r="P12" s="15">
        <f t="shared" si="2"/>
        <v>129.28248222365869</v>
      </c>
      <c r="Q12" s="14">
        <f>VLOOKUP(Z12,'3'!A$8:F$85,6,FALSE)</f>
        <v>135</v>
      </c>
      <c r="R12" s="14" t="str">
        <f>VLOOKUP(Z12,'3'!A$8:F$85,2,FALSE)</f>
        <v>4C-25mm2 Cu XLPE PVC CABLE</v>
      </c>
      <c r="S12" s="18">
        <f>VLOOKUP(Z12,'3'!A$8:F$85,3,FALSE)</f>
        <v>1.1140000000000001</v>
      </c>
      <c r="T12" s="15">
        <f t="shared" si="3"/>
        <v>0</v>
      </c>
      <c r="U12" s="15">
        <f t="shared" si="4"/>
        <v>0</v>
      </c>
      <c r="V12" s="15" t="s">
        <v>41</v>
      </c>
      <c r="W12" s="14" t="s">
        <v>0</v>
      </c>
      <c r="X12" s="21">
        <v>5</v>
      </c>
      <c r="Y12" s="21">
        <v>2</v>
      </c>
      <c r="Z12" s="21">
        <v>15</v>
      </c>
      <c r="AA12" s="21">
        <v>13</v>
      </c>
    </row>
    <row r="13" spans="1:27" ht="24.75" customHeight="1" x14ac:dyDescent="0.25">
      <c r="A13" s="127"/>
      <c r="B13" s="24" t="s">
        <v>40</v>
      </c>
      <c r="C13" s="24" t="s">
        <v>39</v>
      </c>
      <c r="D13" s="13">
        <v>0</v>
      </c>
      <c r="E13" s="14" t="str">
        <f>VLOOKUP(Y13,'3'!A$95:B$98,2,FALSE)</f>
        <v>ABOVE CEILING</v>
      </c>
      <c r="F13" s="14" t="str">
        <f>VLOOKUP(X13,'3'!A$88:B$92,2,FALSE)</f>
        <v>CONDUIT</v>
      </c>
      <c r="G13" s="13">
        <v>0</v>
      </c>
      <c r="H13" s="15">
        <f t="shared" si="0"/>
        <v>0</v>
      </c>
      <c r="I13" s="15">
        <f t="shared" si="1"/>
        <v>0</v>
      </c>
      <c r="J13" s="16">
        <f>VLOOKUP(AA13,'1'!A$15:X$50,2,FALSE)</f>
        <v>25</v>
      </c>
      <c r="K13" s="14"/>
      <c r="L13" s="14" t="s">
        <v>0</v>
      </c>
      <c r="M13" s="14" t="s">
        <v>0</v>
      </c>
      <c r="N13" s="17">
        <f>VLOOKUP(X13,'3'!A$88:C$92,3,FALSE)</f>
        <v>1</v>
      </c>
      <c r="O13" s="14">
        <f>VLOOKUP(Y13,'3'!A$95:C$98,3,FALSE)</f>
        <v>0.91</v>
      </c>
      <c r="P13" s="15">
        <f t="shared" si="2"/>
        <v>27.472527472527471</v>
      </c>
      <c r="Q13" s="14">
        <f>VLOOKUP(Z13,'3'!A$8:F$85,6,FALSE)</f>
        <v>49</v>
      </c>
      <c r="R13" s="14" t="str">
        <f>VLOOKUP(Z13,'3'!A$8:F$85,2,FALSE)</f>
        <v>2C-4.0mm2 Cu PVC/PVC CABLE</v>
      </c>
      <c r="S13" s="18">
        <f>VLOOKUP(Z13,'3'!A$8:F$85,3,FALSE)</f>
        <v>8.6240000000000006</v>
      </c>
      <c r="T13" s="15">
        <f t="shared" si="3"/>
        <v>0</v>
      </c>
      <c r="U13" s="15">
        <f t="shared" si="4"/>
        <v>0</v>
      </c>
      <c r="V13" s="15"/>
      <c r="W13" s="14" t="s">
        <v>0</v>
      </c>
      <c r="X13" s="21">
        <v>4</v>
      </c>
      <c r="Y13" s="21">
        <v>2</v>
      </c>
      <c r="Z13" s="21">
        <v>3</v>
      </c>
      <c r="AA13" s="21">
        <v>7</v>
      </c>
    </row>
    <row r="14" spans="1:27" ht="24.75" customHeight="1" x14ac:dyDescent="0.25">
      <c r="A14" s="128">
        <v>3</v>
      </c>
      <c r="B14" s="25" t="s">
        <v>35</v>
      </c>
      <c r="C14" s="25" t="s">
        <v>42</v>
      </c>
      <c r="D14" s="13">
        <v>0</v>
      </c>
      <c r="E14" s="14" t="str">
        <f>VLOOKUP(Y14,'3'!A$95:B$98,2,FALSE)</f>
        <v>ABOVE CEILING</v>
      </c>
      <c r="F14" s="14" t="str">
        <f>VLOOKUP(X14,'3'!A$88:B$92,2,FALSE)</f>
        <v>CABLE TRAY</v>
      </c>
      <c r="G14" s="13">
        <v>0</v>
      </c>
      <c r="H14" s="15">
        <f t="shared" si="0"/>
        <v>0</v>
      </c>
      <c r="I14" s="15">
        <f t="shared" si="1"/>
        <v>0</v>
      </c>
      <c r="J14" s="16">
        <f>VLOOKUP(AA14,'1'!A$15:X$50,2,FALSE)</f>
        <v>32</v>
      </c>
      <c r="K14" s="14"/>
      <c r="L14" s="14" t="s">
        <v>0</v>
      </c>
      <c r="M14" s="14" t="s">
        <v>0</v>
      </c>
      <c r="N14" s="17">
        <f>VLOOKUP(X14,'3'!A$88:C$92,3,FALSE)</f>
        <v>0.85</v>
      </c>
      <c r="O14" s="14">
        <f>VLOOKUP(Y14,'3'!A$95:C$98,3,FALSE)</f>
        <v>0.91</v>
      </c>
      <c r="P14" s="15">
        <f t="shared" si="2"/>
        <v>41.370394311570784</v>
      </c>
      <c r="Q14" s="14">
        <f>VLOOKUP(Z14,'3'!A$8:F$85,6,FALSE)</f>
        <v>46</v>
      </c>
      <c r="R14" s="14" t="str">
        <f>VLOOKUP(Z14,'3'!A$8:F$85,2,FALSE)</f>
        <v>4C-4.0mm2 Cu XLPE PVC CABLE</v>
      </c>
      <c r="S14" s="18">
        <f>VLOOKUP(Z14,'3'!A$8:F$85,3,FALSE)</f>
        <v>8.7469999999999999</v>
      </c>
      <c r="T14" s="15">
        <f t="shared" si="3"/>
        <v>0</v>
      </c>
      <c r="U14" s="15">
        <f t="shared" si="4"/>
        <v>0</v>
      </c>
      <c r="V14" s="15" t="s">
        <v>43</v>
      </c>
      <c r="W14" s="14" t="s">
        <v>0</v>
      </c>
      <c r="X14" s="21">
        <v>5</v>
      </c>
      <c r="Y14" s="21">
        <v>2</v>
      </c>
      <c r="Z14" s="21">
        <v>11</v>
      </c>
      <c r="AA14" s="21">
        <v>8</v>
      </c>
    </row>
    <row r="15" spans="1:27" ht="24.75" customHeight="1" x14ac:dyDescent="0.25">
      <c r="A15" s="127"/>
      <c r="B15" s="25" t="s">
        <v>42</v>
      </c>
      <c r="C15" s="25" t="s">
        <v>39</v>
      </c>
      <c r="D15" s="13">
        <v>0</v>
      </c>
      <c r="E15" s="14" t="str">
        <f>VLOOKUP(Y15,'3'!A$95:B$98,2,FALSE)</f>
        <v>ABOVE CEILING</v>
      </c>
      <c r="F15" s="14" t="str">
        <f>VLOOKUP(X15,'3'!A$88:B$92,2,FALSE)</f>
        <v>CONDUIT</v>
      </c>
      <c r="G15" s="13">
        <v>0</v>
      </c>
      <c r="H15" s="15">
        <f t="shared" si="0"/>
        <v>0</v>
      </c>
      <c r="I15" s="15">
        <f t="shared" si="1"/>
        <v>0</v>
      </c>
      <c r="J15" s="16">
        <f>VLOOKUP(AA15,'1'!A$15:X$50,2,FALSE)</f>
        <v>25</v>
      </c>
      <c r="K15" s="14"/>
      <c r="L15" s="14" t="s">
        <v>0</v>
      </c>
      <c r="M15" s="14" t="s">
        <v>0</v>
      </c>
      <c r="N15" s="17">
        <f>VLOOKUP(X15,'3'!A$88:C$92,3,FALSE)</f>
        <v>1</v>
      </c>
      <c r="O15" s="14">
        <f>VLOOKUP(Y15,'3'!A$95:C$98,3,FALSE)</f>
        <v>0.91</v>
      </c>
      <c r="P15" s="15">
        <f t="shared" si="2"/>
        <v>27.472527472527471</v>
      </c>
      <c r="Q15" s="14">
        <f>VLOOKUP(Z15,'3'!A$8:F$85,6,FALSE)</f>
        <v>49</v>
      </c>
      <c r="R15" s="14" t="str">
        <f>VLOOKUP(Z15,'3'!A$8:F$85,2,FALSE)</f>
        <v>2C-4.0mm2 Cu PVC/PVC CABLE</v>
      </c>
      <c r="S15" s="18">
        <f>VLOOKUP(Z15,'3'!A$8:F$85,3,FALSE)</f>
        <v>8.6240000000000006</v>
      </c>
      <c r="T15" s="15">
        <f t="shared" si="3"/>
        <v>0</v>
      </c>
      <c r="U15" s="15">
        <f t="shared" si="4"/>
        <v>0</v>
      </c>
      <c r="V15" s="15"/>
      <c r="W15" s="14" t="s">
        <v>0</v>
      </c>
      <c r="X15" s="21">
        <v>4</v>
      </c>
      <c r="Y15" s="21">
        <v>2</v>
      </c>
      <c r="Z15" s="21">
        <v>3</v>
      </c>
      <c r="AA15" s="21">
        <v>7</v>
      </c>
    </row>
    <row r="16" spans="1:27" ht="24.75" customHeight="1" x14ac:dyDescent="0.25">
      <c r="A16" s="14" t="s">
        <v>0</v>
      </c>
      <c r="B16" s="24" t="s">
        <v>35</v>
      </c>
      <c r="C16" s="24" t="s">
        <v>44</v>
      </c>
      <c r="D16" s="13">
        <v>0</v>
      </c>
      <c r="E16" s="14" t="str">
        <f>VLOOKUP(Y16,'3'!A$95:B$98,2,FALSE)</f>
        <v>ABOVE CEILING</v>
      </c>
      <c r="F16" s="14" t="str">
        <f>VLOOKUP(X16,'3'!A$88:B$92,2,FALSE)</f>
        <v>CABLE TRAY</v>
      </c>
      <c r="G16" s="13">
        <v>0</v>
      </c>
      <c r="H16" s="15">
        <f t="shared" si="0"/>
        <v>0</v>
      </c>
      <c r="I16" s="15">
        <f t="shared" si="1"/>
        <v>0</v>
      </c>
      <c r="J16" s="16">
        <f>VLOOKUP(AA16,'1'!A$15:X$50,2,FALSE)</f>
        <v>25</v>
      </c>
      <c r="K16" s="14"/>
      <c r="L16" s="14" t="s">
        <v>0</v>
      </c>
      <c r="M16" s="14" t="s">
        <v>0</v>
      </c>
      <c r="N16" s="17">
        <f>VLOOKUP(X16,'3'!A$88:C$92,3,FALSE)</f>
        <v>0.85</v>
      </c>
      <c r="O16" s="14">
        <f>VLOOKUP(Y16,'3'!A$95:C$98,3,FALSE)</f>
        <v>0.91</v>
      </c>
      <c r="P16" s="15">
        <f t="shared" si="2"/>
        <v>32.320620555914672</v>
      </c>
      <c r="Q16" s="14">
        <f>VLOOKUP(Z16,'3'!A$8:F$85,6,FALSE)</f>
        <v>135</v>
      </c>
      <c r="R16" s="14" t="str">
        <f>VLOOKUP(Z16,'3'!A$8:F$85,2,FALSE)</f>
        <v>4C-25mm2 Cu XLPE PVC CABLE</v>
      </c>
      <c r="S16" s="18">
        <f>VLOOKUP(Z16,'3'!A$8:F$85,3,FALSE)</f>
        <v>1.1140000000000001</v>
      </c>
      <c r="T16" s="15">
        <f t="shared" si="3"/>
        <v>0</v>
      </c>
      <c r="U16" s="15">
        <f t="shared" si="4"/>
        <v>0</v>
      </c>
      <c r="V16" s="15" t="s">
        <v>41</v>
      </c>
      <c r="W16" s="14" t="s">
        <v>0</v>
      </c>
      <c r="X16" s="21">
        <v>5</v>
      </c>
      <c r="Y16" s="21">
        <v>2</v>
      </c>
      <c r="Z16" s="21">
        <v>15</v>
      </c>
      <c r="AA16" s="21">
        <v>7</v>
      </c>
    </row>
    <row r="17" spans="1:27" ht="24.75" customHeight="1" x14ac:dyDescent="0.25">
      <c r="A17" s="14" t="s">
        <v>0</v>
      </c>
      <c r="B17" s="24" t="s">
        <v>44</v>
      </c>
      <c r="C17" s="24" t="s">
        <v>39</v>
      </c>
      <c r="D17" s="13">
        <v>0</v>
      </c>
      <c r="E17" s="14" t="str">
        <f>VLOOKUP(Y17,'3'!A$95:B$98,2,FALSE)</f>
        <v>ABOVE CEILING</v>
      </c>
      <c r="F17" s="14" t="str">
        <f>VLOOKUP(X17,'3'!A$88:B$92,2,FALSE)</f>
        <v>CONDUIT</v>
      </c>
      <c r="G17" s="13">
        <v>0</v>
      </c>
      <c r="H17" s="15">
        <f t="shared" si="0"/>
        <v>0</v>
      </c>
      <c r="I17" s="15">
        <f t="shared" si="1"/>
        <v>0</v>
      </c>
      <c r="J17" s="16">
        <f>VLOOKUP(AA17,'1'!A$15:X$50,2,FALSE)</f>
        <v>25</v>
      </c>
      <c r="K17" s="14"/>
      <c r="L17" s="14" t="s">
        <v>0</v>
      </c>
      <c r="M17" s="14" t="s">
        <v>0</v>
      </c>
      <c r="N17" s="17">
        <f>VLOOKUP(X17,'3'!A$88:C$92,3,FALSE)</f>
        <v>1</v>
      </c>
      <c r="O17" s="14">
        <f>VLOOKUP(Y17,'3'!A$95:C$98,3,FALSE)</f>
        <v>0.91</v>
      </c>
      <c r="P17" s="15">
        <f t="shared" si="2"/>
        <v>27.472527472527471</v>
      </c>
      <c r="Q17" s="14">
        <f>VLOOKUP(Z17,'3'!A$8:F$85,6,FALSE)</f>
        <v>49</v>
      </c>
      <c r="R17" s="14" t="str">
        <f>VLOOKUP(Z17,'3'!A$8:F$85,2,FALSE)</f>
        <v>2C-4.0mm2 Cu PVC/PVC CABLE</v>
      </c>
      <c r="S17" s="18">
        <f>VLOOKUP(Z17,'3'!A$8:F$85,3,FALSE)</f>
        <v>8.6240000000000006</v>
      </c>
      <c r="T17" s="15">
        <f t="shared" si="3"/>
        <v>0</v>
      </c>
      <c r="U17" s="15">
        <f t="shared" si="4"/>
        <v>0</v>
      </c>
      <c r="V17" s="15"/>
      <c r="W17" s="14" t="s">
        <v>0</v>
      </c>
      <c r="X17" s="21">
        <v>4</v>
      </c>
      <c r="Y17" s="21">
        <v>2</v>
      </c>
      <c r="Z17" s="21">
        <v>3</v>
      </c>
      <c r="AA17" s="21">
        <v>7</v>
      </c>
    </row>
    <row r="18" spans="1:27" ht="24.75" customHeight="1" x14ac:dyDescent="0.25">
      <c r="A18" s="14" t="s">
        <v>0</v>
      </c>
      <c r="B18" s="25" t="s">
        <v>35</v>
      </c>
      <c r="C18" s="25" t="s">
        <v>45</v>
      </c>
      <c r="D18" s="13">
        <v>0</v>
      </c>
      <c r="E18" s="14" t="str">
        <f>VLOOKUP(Y18,'3'!A$95:B$98,2,FALSE)</f>
        <v>ABOVE CEILING</v>
      </c>
      <c r="F18" s="14" t="str">
        <f>VLOOKUP(X18,'3'!A$88:B$92,2,FALSE)</f>
        <v>CABLE TRAY</v>
      </c>
      <c r="G18" s="13">
        <v>0</v>
      </c>
      <c r="H18" s="15">
        <f t="shared" si="0"/>
        <v>0</v>
      </c>
      <c r="I18" s="15">
        <f t="shared" si="1"/>
        <v>0</v>
      </c>
      <c r="J18" s="16">
        <f>VLOOKUP(AA18,'1'!A$15:X$50,2,FALSE)</f>
        <v>25</v>
      </c>
      <c r="K18" s="14"/>
      <c r="L18" s="14" t="s">
        <v>0</v>
      </c>
      <c r="M18" s="14" t="s">
        <v>0</v>
      </c>
      <c r="N18" s="17">
        <f>VLOOKUP(X18,'3'!A$88:C$92,3,FALSE)</f>
        <v>0.85</v>
      </c>
      <c r="O18" s="14">
        <f>VLOOKUP(Y18,'3'!A$95:C$98,3,FALSE)</f>
        <v>0.91</v>
      </c>
      <c r="P18" s="15">
        <f t="shared" si="2"/>
        <v>32.320620555914672</v>
      </c>
      <c r="Q18" s="14">
        <f>VLOOKUP(Z18,'3'!A$8:F$85,6,FALSE)</f>
        <v>76</v>
      </c>
      <c r="R18" s="14" t="str">
        <f>VLOOKUP(Z18,'3'!A$8:F$85,2,FALSE)</f>
        <v>4C-10mm2 Cu XLPE PVC CABLE</v>
      </c>
      <c r="S18" s="18">
        <f>VLOOKUP(Z18,'3'!A$8:F$85,3,FALSE)</f>
        <v>3.5190000000000001</v>
      </c>
      <c r="T18" s="15">
        <f t="shared" si="3"/>
        <v>0</v>
      </c>
      <c r="U18" s="15">
        <f t="shared" si="4"/>
        <v>0</v>
      </c>
      <c r="V18" s="15" t="s">
        <v>46</v>
      </c>
      <c r="W18" s="14" t="s">
        <v>0</v>
      </c>
      <c r="X18" s="21">
        <v>5</v>
      </c>
      <c r="Y18" s="21">
        <v>2</v>
      </c>
      <c r="Z18" s="21">
        <v>13</v>
      </c>
      <c r="AA18" s="21">
        <v>7</v>
      </c>
    </row>
    <row r="19" spans="1:27" ht="24.75" customHeight="1" x14ac:dyDescent="0.25">
      <c r="A19" s="14" t="s">
        <v>0</v>
      </c>
      <c r="B19" s="25" t="s">
        <v>45</v>
      </c>
      <c r="C19" s="25" t="s">
        <v>39</v>
      </c>
      <c r="D19" s="13">
        <v>0</v>
      </c>
      <c r="E19" s="14" t="str">
        <f>VLOOKUP(Y19,'3'!A$95:B$98,2,FALSE)</f>
        <v>ABOVE CEILING</v>
      </c>
      <c r="F19" s="14" t="str">
        <f>VLOOKUP(X19,'3'!A$88:B$92,2,FALSE)</f>
        <v>CONDUIT</v>
      </c>
      <c r="G19" s="13">
        <v>0</v>
      </c>
      <c r="H19" s="15">
        <f t="shared" si="0"/>
        <v>0</v>
      </c>
      <c r="I19" s="15">
        <f t="shared" si="1"/>
        <v>0</v>
      </c>
      <c r="J19" s="16">
        <f>VLOOKUP(AA19,'1'!A$15:X$50,2,FALSE)</f>
        <v>25</v>
      </c>
      <c r="K19" s="14"/>
      <c r="L19" s="14" t="s">
        <v>0</v>
      </c>
      <c r="M19" s="14" t="s">
        <v>0</v>
      </c>
      <c r="N19" s="17">
        <f>VLOOKUP(X19,'3'!A$88:C$92,3,FALSE)</f>
        <v>1</v>
      </c>
      <c r="O19" s="14">
        <f>VLOOKUP(Y19,'3'!A$95:C$98,3,FALSE)</f>
        <v>0.91</v>
      </c>
      <c r="P19" s="15">
        <f t="shared" si="2"/>
        <v>27.472527472527471</v>
      </c>
      <c r="Q19" s="14">
        <f>VLOOKUP(Z19,'3'!A$8:F$85,6,FALSE)</f>
        <v>49</v>
      </c>
      <c r="R19" s="14" t="str">
        <f>VLOOKUP(Z19,'3'!A$8:F$85,2,FALSE)</f>
        <v>2C-4.0mm2 Cu PVC/PVC CABLE</v>
      </c>
      <c r="S19" s="18">
        <f>VLOOKUP(Z19,'3'!A$8:F$85,3,FALSE)</f>
        <v>8.6240000000000006</v>
      </c>
      <c r="T19" s="15">
        <f t="shared" si="3"/>
        <v>0</v>
      </c>
      <c r="U19" s="15">
        <f t="shared" si="4"/>
        <v>0</v>
      </c>
      <c r="V19" s="15"/>
      <c r="W19" s="14" t="s">
        <v>0</v>
      </c>
      <c r="X19" s="21">
        <v>4</v>
      </c>
      <c r="Y19" s="21">
        <v>2</v>
      </c>
      <c r="Z19" s="21">
        <v>3</v>
      </c>
      <c r="AA19" s="21">
        <v>7</v>
      </c>
    </row>
    <row r="20" spans="1:27" ht="24.75" customHeight="1" x14ac:dyDescent="0.25">
      <c r="A20" s="14" t="s">
        <v>0</v>
      </c>
      <c r="B20" s="24" t="s">
        <v>35</v>
      </c>
      <c r="C20" s="24" t="s">
        <v>47</v>
      </c>
      <c r="D20" s="13">
        <v>0</v>
      </c>
      <c r="E20" s="14" t="str">
        <f>VLOOKUP(Y20,'3'!A$95:B$98,2,FALSE)</f>
        <v>ABOVE CEILING</v>
      </c>
      <c r="F20" s="14" t="str">
        <f>VLOOKUP(X20,'3'!A$88:B$92,2,FALSE)</f>
        <v>CABLE TRAY</v>
      </c>
      <c r="G20" s="13">
        <v>0</v>
      </c>
      <c r="H20" s="15">
        <f t="shared" si="0"/>
        <v>0</v>
      </c>
      <c r="I20" s="15">
        <f t="shared" si="1"/>
        <v>0</v>
      </c>
      <c r="J20" s="16">
        <f>VLOOKUP(AA20,'1'!A$15:X$50,2,FALSE)</f>
        <v>25</v>
      </c>
      <c r="K20" s="14"/>
      <c r="L20" s="14" t="s">
        <v>0</v>
      </c>
      <c r="M20" s="14" t="s">
        <v>0</v>
      </c>
      <c r="N20" s="17">
        <f>VLOOKUP(X20,'3'!A$88:C$92,3,FALSE)</f>
        <v>0.85</v>
      </c>
      <c r="O20" s="14">
        <f>VLOOKUP(Y20,'3'!A$95:C$98,3,FALSE)</f>
        <v>0.91</v>
      </c>
      <c r="P20" s="15">
        <f t="shared" si="2"/>
        <v>32.320620555914672</v>
      </c>
      <c r="Q20" s="14">
        <f>VLOOKUP(Z20,'3'!A$8:F$85,6,FALSE)</f>
        <v>135</v>
      </c>
      <c r="R20" s="14" t="str">
        <f>VLOOKUP(Z20,'3'!A$8:F$85,2,FALSE)</f>
        <v>4C-25mm2 Cu XLPE PVC CABLE</v>
      </c>
      <c r="S20" s="18">
        <f>VLOOKUP(Z20,'3'!A$8:F$85,3,FALSE)</f>
        <v>1.1140000000000001</v>
      </c>
      <c r="T20" s="15">
        <f t="shared" si="3"/>
        <v>0</v>
      </c>
      <c r="U20" s="15">
        <f t="shared" si="4"/>
        <v>0</v>
      </c>
      <c r="V20" s="15" t="s">
        <v>41</v>
      </c>
      <c r="W20" s="14" t="s">
        <v>0</v>
      </c>
      <c r="X20" s="21">
        <v>5</v>
      </c>
      <c r="Y20" s="21">
        <v>2</v>
      </c>
      <c r="Z20" s="21">
        <v>15</v>
      </c>
      <c r="AA20" s="21">
        <v>7</v>
      </c>
    </row>
    <row r="21" spans="1:27" ht="24.75" customHeight="1" x14ac:dyDescent="0.25">
      <c r="A21" s="14" t="s">
        <v>0</v>
      </c>
      <c r="B21" s="24" t="s">
        <v>47</v>
      </c>
      <c r="C21" s="24" t="s">
        <v>39</v>
      </c>
      <c r="D21" s="13">
        <v>0</v>
      </c>
      <c r="E21" s="14" t="str">
        <f>VLOOKUP(Y21,'3'!A$95:B$98,2,FALSE)</f>
        <v>ABOVE CEILING</v>
      </c>
      <c r="F21" s="14" t="str">
        <f>VLOOKUP(X21,'3'!A$88:B$92,2,FALSE)</f>
        <v>CONDUIT</v>
      </c>
      <c r="G21" s="13">
        <v>0</v>
      </c>
      <c r="H21" s="15">
        <f t="shared" si="0"/>
        <v>0</v>
      </c>
      <c r="I21" s="15">
        <f t="shared" si="1"/>
        <v>0</v>
      </c>
      <c r="J21" s="16">
        <f>VLOOKUP(AA21,'1'!A$15:X$50,2,FALSE)</f>
        <v>25</v>
      </c>
      <c r="K21" s="14"/>
      <c r="L21" s="14" t="s">
        <v>0</v>
      </c>
      <c r="M21" s="14" t="s">
        <v>0</v>
      </c>
      <c r="N21" s="17">
        <f>VLOOKUP(X21,'3'!A$88:C$92,3,FALSE)</f>
        <v>1</v>
      </c>
      <c r="O21" s="14">
        <f>VLOOKUP(Y21,'3'!A$95:C$98,3,FALSE)</f>
        <v>0.91</v>
      </c>
      <c r="P21" s="15">
        <f t="shared" si="2"/>
        <v>27.472527472527471</v>
      </c>
      <c r="Q21" s="14">
        <f>VLOOKUP(Z21,'3'!A$8:F$85,6,FALSE)</f>
        <v>49</v>
      </c>
      <c r="R21" s="14" t="str">
        <f>VLOOKUP(Z21,'3'!A$8:F$85,2,FALSE)</f>
        <v>2C-4.0mm2 Cu PVC/PVC CABLE</v>
      </c>
      <c r="S21" s="18">
        <f>VLOOKUP(Z21,'3'!A$8:F$85,3,FALSE)</f>
        <v>8.6240000000000006</v>
      </c>
      <c r="T21" s="15">
        <f t="shared" si="3"/>
        <v>0</v>
      </c>
      <c r="U21" s="15">
        <f t="shared" si="4"/>
        <v>0</v>
      </c>
      <c r="V21" s="15"/>
      <c r="W21" s="14" t="s">
        <v>0</v>
      </c>
      <c r="X21" s="21">
        <v>4</v>
      </c>
      <c r="Y21" s="21">
        <v>2</v>
      </c>
      <c r="Z21" s="21">
        <v>3</v>
      </c>
      <c r="AA21" s="21">
        <v>7</v>
      </c>
    </row>
    <row r="22" spans="1:27" ht="24.75" customHeight="1" x14ac:dyDescent="0.25">
      <c r="A22" s="26" t="s">
        <v>0</v>
      </c>
      <c r="B22" s="25" t="s">
        <v>35</v>
      </c>
      <c r="C22" s="25" t="s">
        <v>48</v>
      </c>
      <c r="D22" s="13">
        <v>0</v>
      </c>
      <c r="E22" s="14" t="str">
        <f>VLOOKUP(Y22,'3'!A$95:B$98,2,FALSE)</f>
        <v>ABOVE CEILING</v>
      </c>
      <c r="F22" s="14" t="str">
        <f>VLOOKUP(X22,'3'!A$88:B$92,2,FALSE)</f>
        <v>CABLE TRAY</v>
      </c>
      <c r="G22" s="13">
        <v>0</v>
      </c>
      <c r="H22" s="15">
        <f t="shared" si="0"/>
        <v>0</v>
      </c>
      <c r="I22" s="15">
        <f t="shared" si="1"/>
        <v>0</v>
      </c>
      <c r="J22" s="16">
        <f>VLOOKUP(AA22,'1'!A$15:X$50,2,FALSE)</f>
        <v>40</v>
      </c>
      <c r="K22" s="14"/>
      <c r="L22" s="14" t="s">
        <v>0</v>
      </c>
      <c r="M22" s="14" t="s">
        <v>0</v>
      </c>
      <c r="N22" s="17">
        <f>VLOOKUP(X22,'3'!A$88:C$92,3,FALSE)</f>
        <v>0.85</v>
      </c>
      <c r="O22" s="14">
        <f>VLOOKUP(Y22,'3'!A$95:C$98,3,FALSE)</f>
        <v>0.91</v>
      </c>
      <c r="P22" s="15">
        <f t="shared" si="2"/>
        <v>51.712992889463479</v>
      </c>
      <c r="Q22" s="14">
        <f>VLOOKUP(Z22,'3'!A$8:F$85,6,FALSE)</f>
        <v>135</v>
      </c>
      <c r="R22" s="14" t="str">
        <f>VLOOKUP(Z22,'3'!A$8:F$85,2,FALSE)</f>
        <v>4C-25mm2 Cu XLPE PVC CABLE</v>
      </c>
      <c r="S22" s="18">
        <f>VLOOKUP(Z22,'3'!A$8:F$85,3,FALSE)</f>
        <v>1.1140000000000001</v>
      </c>
      <c r="T22" s="15">
        <f t="shared" si="3"/>
        <v>0</v>
      </c>
      <c r="U22" s="15">
        <f t="shared" si="4"/>
        <v>0</v>
      </c>
      <c r="V22" s="15" t="s">
        <v>41</v>
      </c>
      <c r="W22" s="14" t="s">
        <v>0</v>
      </c>
      <c r="X22" s="21">
        <v>5</v>
      </c>
      <c r="Y22" s="21">
        <v>2</v>
      </c>
      <c r="Z22" s="21">
        <v>15</v>
      </c>
      <c r="AA22" s="21">
        <v>9</v>
      </c>
    </row>
    <row r="23" spans="1:27" ht="24.75" customHeight="1" x14ac:dyDescent="0.25">
      <c r="A23" s="26" t="s">
        <v>0</v>
      </c>
      <c r="B23" s="25" t="s">
        <v>48</v>
      </c>
      <c r="C23" s="25" t="s">
        <v>39</v>
      </c>
      <c r="D23" s="13">
        <v>0</v>
      </c>
      <c r="E23" s="14" t="str">
        <f>VLOOKUP(Y23,'3'!A$95:B$98,2,FALSE)</f>
        <v>ABOVE CEILING</v>
      </c>
      <c r="F23" s="14" t="str">
        <f>VLOOKUP(X23,'3'!A$88:B$92,2,FALSE)</f>
        <v>CONDUIT</v>
      </c>
      <c r="G23" s="13">
        <v>0</v>
      </c>
      <c r="H23" s="15">
        <f t="shared" si="0"/>
        <v>0</v>
      </c>
      <c r="I23" s="15">
        <f t="shared" si="1"/>
        <v>0</v>
      </c>
      <c r="J23" s="16">
        <f>VLOOKUP(AA23,'1'!A$15:X$50,2,FALSE)</f>
        <v>40</v>
      </c>
      <c r="K23" s="14"/>
      <c r="L23" s="14" t="s">
        <v>0</v>
      </c>
      <c r="M23" s="14" t="s">
        <v>0</v>
      </c>
      <c r="N23" s="17">
        <f>VLOOKUP(X23,'3'!A$88:C$92,3,FALSE)</f>
        <v>1</v>
      </c>
      <c r="O23" s="14">
        <f>VLOOKUP(Y23,'3'!A$95:C$98,3,FALSE)</f>
        <v>0.91</v>
      </c>
      <c r="P23" s="15">
        <f t="shared" si="2"/>
        <v>43.956043956043956</v>
      </c>
      <c r="Q23" s="14">
        <f>VLOOKUP(Z23,'3'!A$8:F$85,6,FALSE)</f>
        <v>49</v>
      </c>
      <c r="R23" s="14" t="str">
        <f>VLOOKUP(Z23,'3'!A$8:F$85,2,FALSE)</f>
        <v>2C-4.0mm2 Cu PVC/PVC CABLE</v>
      </c>
      <c r="S23" s="18">
        <f>VLOOKUP(Z23,'3'!A$8:F$85,3,FALSE)</f>
        <v>8.6240000000000006</v>
      </c>
      <c r="T23" s="15">
        <f t="shared" si="3"/>
        <v>0</v>
      </c>
      <c r="U23" s="15">
        <f t="shared" si="4"/>
        <v>0</v>
      </c>
      <c r="V23" s="15"/>
      <c r="W23" s="14" t="s">
        <v>0</v>
      </c>
      <c r="X23" s="21">
        <v>4</v>
      </c>
      <c r="Y23" s="21">
        <v>2</v>
      </c>
      <c r="Z23" s="21">
        <v>3</v>
      </c>
      <c r="AA23" s="21">
        <v>9</v>
      </c>
    </row>
    <row r="24" spans="1:27" ht="24.75" customHeight="1" x14ac:dyDescent="0.25">
      <c r="A24" s="26" t="s">
        <v>0</v>
      </c>
      <c r="B24" s="24" t="s">
        <v>35</v>
      </c>
      <c r="C24" s="24" t="s">
        <v>49</v>
      </c>
      <c r="D24" s="13">
        <v>0</v>
      </c>
      <c r="E24" s="14" t="str">
        <f>VLOOKUP(Y24,'3'!A$95:B$98,2,FALSE)</f>
        <v>ABOVE CEILING</v>
      </c>
      <c r="F24" s="14" t="str">
        <f>VLOOKUP(X24,'3'!A$88:B$92,2,FALSE)</f>
        <v>CABLE TRAY</v>
      </c>
      <c r="G24" s="13">
        <v>0</v>
      </c>
      <c r="H24" s="15">
        <f t="shared" si="0"/>
        <v>0</v>
      </c>
      <c r="I24" s="15">
        <f t="shared" si="1"/>
        <v>0</v>
      </c>
      <c r="J24" s="16">
        <f>VLOOKUP(AA24,'1'!A$15:X$50,2,FALSE)</f>
        <v>40</v>
      </c>
      <c r="K24" s="14"/>
      <c r="L24" s="14" t="s">
        <v>0</v>
      </c>
      <c r="M24" s="14" t="s">
        <v>0</v>
      </c>
      <c r="N24" s="17">
        <f>VLOOKUP(X24,'3'!A$88:C$92,3,FALSE)</f>
        <v>0.85</v>
      </c>
      <c r="O24" s="14">
        <f>VLOOKUP(Y24,'3'!A$95:C$98,3,FALSE)</f>
        <v>0.91</v>
      </c>
      <c r="P24" s="15">
        <f t="shared" si="2"/>
        <v>51.712992889463479</v>
      </c>
      <c r="Q24" s="14">
        <f>VLOOKUP(Z24,'3'!A$8:F$85,6,FALSE)</f>
        <v>135</v>
      </c>
      <c r="R24" s="14" t="str">
        <f>VLOOKUP(Z24,'3'!A$8:F$85,2,FALSE)</f>
        <v>4C-25mm2 Cu XLPE PVC CABLE</v>
      </c>
      <c r="S24" s="18">
        <f>VLOOKUP(Z24,'3'!A$8:F$85,3,FALSE)</f>
        <v>1.1140000000000001</v>
      </c>
      <c r="T24" s="15">
        <f t="shared" si="3"/>
        <v>0</v>
      </c>
      <c r="U24" s="15">
        <f t="shared" si="4"/>
        <v>0</v>
      </c>
      <c r="V24" s="15" t="s">
        <v>41</v>
      </c>
      <c r="W24" s="14" t="s">
        <v>0</v>
      </c>
      <c r="X24" s="21">
        <v>5</v>
      </c>
      <c r="Y24" s="21">
        <v>2</v>
      </c>
      <c r="Z24" s="21">
        <v>15</v>
      </c>
      <c r="AA24" s="21">
        <v>9</v>
      </c>
    </row>
    <row r="25" spans="1:27" ht="24.75" customHeight="1" x14ac:dyDescent="0.25">
      <c r="A25" s="26" t="s">
        <v>0</v>
      </c>
      <c r="B25" s="27" t="s">
        <v>33</v>
      </c>
      <c r="C25" s="12" t="s">
        <v>50</v>
      </c>
      <c r="D25" s="13">
        <v>0</v>
      </c>
      <c r="E25" s="14" t="str">
        <f>VLOOKUP(Y25,'3'!A$95:B$98,2,FALSE)</f>
        <v>ABOVE CEILING</v>
      </c>
      <c r="F25" s="14" t="str">
        <f>VLOOKUP(X25,'3'!A$88:B$92,2,FALSE)</f>
        <v>CABLE TRAY</v>
      </c>
      <c r="G25" s="13">
        <v>0</v>
      </c>
      <c r="H25" s="15">
        <f t="shared" si="0"/>
        <v>0</v>
      </c>
      <c r="I25" s="15">
        <f t="shared" si="1"/>
        <v>0</v>
      </c>
      <c r="J25" s="16">
        <f>VLOOKUP(AA25,'1'!A$15:X$50,2,FALSE)</f>
        <v>40</v>
      </c>
      <c r="K25" s="14"/>
      <c r="L25" s="14" t="s">
        <v>0</v>
      </c>
      <c r="M25" s="14" t="s">
        <v>0</v>
      </c>
      <c r="N25" s="17">
        <f>VLOOKUP(X25,'3'!A$88:C$92,3,FALSE)</f>
        <v>0.85</v>
      </c>
      <c r="O25" s="14">
        <f>VLOOKUP(Y25,'3'!A$95:C$98,3,FALSE)</f>
        <v>0.91</v>
      </c>
      <c r="P25" s="15">
        <f t="shared" si="2"/>
        <v>51.712992889463479</v>
      </c>
      <c r="Q25" s="14">
        <f>VLOOKUP(Z25,'3'!A$8:F$85,6,FALSE)</f>
        <v>240</v>
      </c>
      <c r="R25" s="14" t="str">
        <f>VLOOKUP(Z25,'3'!A$8:F$85,2,FALSE)</f>
        <v>4C-70mm2 Cu XLPE PVC CABLE</v>
      </c>
      <c r="S25" s="18">
        <f>VLOOKUP(Z25,'3'!A$8:F$85,3,FALSE)</f>
        <v>0.58499999999999996</v>
      </c>
      <c r="T25" s="15">
        <f t="shared" si="3"/>
        <v>0</v>
      </c>
      <c r="U25" s="15">
        <f t="shared" si="4"/>
        <v>0</v>
      </c>
      <c r="V25" s="15" t="s">
        <v>51</v>
      </c>
      <c r="W25" s="14" t="s">
        <v>0</v>
      </c>
      <c r="X25" s="21">
        <v>5</v>
      </c>
      <c r="Y25" s="21">
        <v>2</v>
      </c>
      <c r="Z25" s="21">
        <v>28</v>
      </c>
      <c r="AA25" s="21">
        <v>9</v>
      </c>
    </row>
    <row r="26" spans="1:27" ht="24.75" customHeight="1" x14ac:dyDescent="0.25">
      <c r="A26" s="26" t="s">
        <v>0</v>
      </c>
      <c r="B26" s="27" t="s">
        <v>50</v>
      </c>
      <c r="C26" s="27" t="s">
        <v>52</v>
      </c>
      <c r="D26" s="13">
        <v>0</v>
      </c>
      <c r="E26" s="14" t="str">
        <f>VLOOKUP(Y26,'3'!A$95:B$98,2,FALSE)</f>
        <v>ABOVE CEILING</v>
      </c>
      <c r="F26" s="14" t="str">
        <f>VLOOKUP(X26,'3'!A$88:B$92,2,FALSE)</f>
        <v>CABLE TRAY</v>
      </c>
      <c r="G26" s="13">
        <v>0</v>
      </c>
      <c r="H26" s="15">
        <f t="shared" si="0"/>
        <v>0</v>
      </c>
      <c r="I26" s="15">
        <f t="shared" si="1"/>
        <v>0</v>
      </c>
      <c r="J26" s="16">
        <f>VLOOKUP(AA26,'1'!A$15:X$50,2,FALSE)</f>
        <v>40</v>
      </c>
      <c r="K26" s="14"/>
      <c r="L26" s="14" t="s">
        <v>0</v>
      </c>
      <c r="M26" s="14" t="s">
        <v>0</v>
      </c>
      <c r="N26" s="17">
        <f>VLOOKUP(X26,'3'!A$88:C$92,3,FALSE)</f>
        <v>0.85</v>
      </c>
      <c r="O26" s="14">
        <f>VLOOKUP(Y26,'3'!A$95:C$98,3,FALSE)</f>
        <v>0.91</v>
      </c>
      <c r="P26" s="15">
        <f t="shared" si="2"/>
        <v>51.712992889463479</v>
      </c>
      <c r="Q26" s="14">
        <f>VLOOKUP(Z26,'3'!A$8:F$85,6,FALSE)</f>
        <v>76</v>
      </c>
      <c r="R26" s="14" t="str">
        <f>VLOOKUP(Z26,'3'!A$8:F$85,2,FALSE)</f>
        <v>4C-10mm2 Cu XLPE PVC CABLE</v>
      </c>
      <c r="S26" s="18">
        <f>VLOOKUP(Z26,'3'!A$8:F$85,3,FALSE)</f>
        <v>3.5190000000000001</v>
      </c>
      <c r="T26" s="15">
        <f t="shared" si="3"/>
        <v>0</v>
      </c>
      <c r="U26" s="15">
        <f t="shared" si="4"/>
        <v>0</v>
      </c>
      <c r="V26" s="15" t="s">
        <v>46</v>
      </c>
      <c r="W26" s="14" t="s">
        <v>0</v>
      </c>
      <c r="X26" s="21">
        <v>5</v>
      </c>
      <c r="Y26" s="21">
        <v>2</v>
      </c>
      <c r="Z26" s="21">
        <v>13</v>
      </c>
      <c r="AA26" s="21">
        <v>9</v>
      </c>
    </row>
    <row r="27" spans="1:27" ht="24.75" customHeight="1" x14ac:dyDescent="0.25">
      <c r="A27" s="26" t="s">
        <v>0</v>
      </c>
      <c r="B27" s="27" t="s">
        <v>52</v>
      </c>
      <c r="C27" s="27" t="s">
        <v>39</v>
      </c>
      <c r="D27" s="13">
        <v>0</v>
      </c>
      <c r="E27" s="14" t="str">
        <f>VLOOKUP(Y27,'3'!A$95:B$98,2,FALSE)</f>
        <v>ABOVE CEILING</v>
      </c>
      <c r="F27" s="14" t="str">
        <f>VLOOKUP(X27,'3'!A$88:B$92,2,FALSE)</f>
        <v>CONDUIT</v>
      </c>
      <c r="G27" s="13">
        <v>0</v>
      </c>
      <c r="H27" s="15">
        <f t="shared" si="0"/>
        <v>0</v>
      </c>
      <c r="I27" s="15">
        <f t="shared" si="1"/>
        <v>0</v>
      </c>
      <c r="J27" s="16">
        <f>VLOOKUP(AA27,'1'!A$15:X$50,2,FALSE)</f>
        <v>40</v>
      </c>
      <c r="K27" s="14"/>
      <c r="L27" s="14" t="s">
        <v>0</v>
      </c>
      <c r="M27" s="14" t="s">
        <v>0</v>
      </c>
      <c r="N27" s="17">
        <f>VLOOKUP(X27,'3'!A$88:C$92,3,FALSE)</f>
        <v>1</v>
      </c>
      <c r="O27" s="14">
        <f>VLOOKUP(Y27,'3'!A$95:C$98,3,FALSE)</f>
        <v>0.91</v>
      </c>
      <c r="P27" s="15">
        <f t="shared" si="2"/>
        <v>43.956043956043956</v>
      </c>
      <c r="Q27" s="14">
        <f>VLOOKUP(Z27,'3'!A$8:F$85,6,FALSE)</f>
        <v>49</v>
      </c>
      <c r="R27" s="14" t="str">
        <f>VLOOKUP(Z27,'3'!A$8:F$85,2,FALSE)</f>
        <v>2C-4.0mm2 Cu PVC/PVC CABLE</v>
      </c>
      <c r="S27" s="18">
        <f>VLOOKUP(Z27,'3'!A$8:F$85,3,FALSE)</f>
        <v>8.6240000000000006</v>
      </c>
      <c r="T27" s="15">
        <f t="shared" si="3"/>
        <v>0</v>
      </c>
      <c r="U27" s="15">
        <f t="shared" si="4"/>
        <v>0</v>
      </c>
      <c r="V27" s="15"/>
      <c r="W27" s="14" t="s">
        <v>0</v>
      </c>
      <c r="X27" s="21">
        <v>4</v>
      </c>
      <c r="Y27" s="21">
        <v>2</v>
      </c>
      <c r="Z27" s="21">
        <v>3</v>
      </c>
      <c r="AA27" s="21">
        <v>9</v>
      </c>
    </row>
    <row r="28" spans="1:27" ht="24.75" customHeight="1" x14ac:dyDescent="0.25">
      <c r="A28" s="26" t="s">
        <v>0</v>
      </c>
      <c r="B28" s="25" t="s">
        <v>50</v>
      </c>
      <c r="C28" s="25" t="s">
        <v>53</v>
      </c>
      <c r="D28" s="13">
        <v>0</v>
      </c>
      <c r="E28" s="14" t="str">
        <f>VLOOKUP(Y28,'3'!A$95:B$98,2,FALSE)</f>
        <v>ABOVE CEILING</v>
      </c>
      <c r="F28" s="14" t="str">
        <f>VLOOKUP(X28,'3'!A$88:B$92,2,FALSE)</f>
        <v>CABLE TRAY</v>
      </c>
      <c r="G28" s="13">
        <v>0</v>
      </c>
      <c r="H28" s="15">
        <f t="shared" si="0"/>
        <v>0</v>
      </c>
      <c r="I28" s="15">
        <f t="shared" si="1"/>
        <v>0</v>
      </c>
      <c r="J28" s="16">
        <f>VLOOKUP(AA28,'1'!A$15:X$50,2,FALSE)</f>
        <v>40</v>
      </c>
      <c r="K28" s="14"/>
      <c r="L28" s="14" t="s">
        <v>0</v>
      </c>
      <c r="M28" s="14" t="s">
        <v>0</v>
      </c>
      <c r="N28" s="17">
        <f>VLOOKUP(X28,'3'!A$88:C$92,3,FALSE)</f>
        <v>0.85</v>
      </c>
      <c r="O28" s="14">
        <f>VLOOKUP(Y28,'3'!A$95:C$98,3,FALSE)</f>
        <v>0.91</v>
      </c>
      <c r="P28" s="15">
        <f t="shared" si="2"/>
        <v>51.712992889463479</v>
      </c>
      <c r="Q28" s="14">
        <f>VLOOKUP(Z28,'3'!A$8:F$85,6,FALSE)</f>
        <v>76</v>
      </c>
      <c r="R28" s="14" t="str">
        <f>VLOOKUP(Z28,'3'!A$8:F$85,2,FALSE)</f>
        <v>4C-10mm2 Cu XLPE PVC CABLE</v>
      </c>
      <c r="S28" s="18">
        <f>VLOOKUP(Z28,'3'!A$8:F$85,3,FALSE)</f>
        <v>3.5190000000000001</v>
      </c>
      <c r="T28" s="15">
        <f t="shared" si="3"/>
        <v>0</v>
      </c>
      <c r="U28" s="15">
        <f t="shared" si="4"/>
        <v>0</v>
      </c>
      <c r="V28" s="15" t="s">
        <v>46</v>
      </c>
      <c r="W28" s="14" t="s">
        <v>0</v>
      </c>
      <c r="X28" s="21">
        <v>5</v>
      </c>
      <c r="Y28" s="21">
        <v>2</v>
      </c>
      <c r="Z28" s="21">
        <v>13</v>
      </c>
      <c r="AA28" s="21">
        <v>9</v>
      </c>
    </row>
    <row r="29" spans="1:27" ht="24.75" customHeight="1" x14ac:dyDescent="0.25">
      <c r="A29" s="26" t="s">
        <v>0</v>
      </c>
      <c r="B29" s="28" t="s">
        <v>53</v>
      </c>
      <c r="C29" s="25" t="s">
        <v>39</v>
      </c>
      <c r="D29" s="13">
        <v>0</v>
      </c>
      <c r="E29" s="14" t="str">
        <f>VLOOKUP(Y29,'3'!A$95:B$98,2,FALSE)</f>
        <v>ABOVE CEILING</v>
      </c>
      <c r="F29" s="14" t="str">
        <f>VLOOKUP(X29,'3'!A$88:B$92,2,FALSE)</f>
        <v>CONDUIT</v>
      </c>
      <c r="G29" s="13">
        <v>0</v>
      </c>
      <c r="H29" s="15">
        <f t="shared" si="0"/>
        <v>0</v>
      </c>
      <c r="I29" s="15">
        <f t="shared" si="1"/>
        <v>0</v>
      </c>
      <c r="J29" s="16">
        <f>VLOOKUP(AA29,'1'!A$15:X$50,2,FALSE)</f>
        <v>40</v>
      </c>
      <c r="K29" s="14"/>
      <c r="L29" s="14" t="s">
        <v>0</v>
      </c>
      <c r="M29" s="14" t="s">
        <v>0</v>
      </c>
      <c r="N29" s="17">
        <f>VLOOKUP(X29,'3'!A$88:C$92,3,FALSE)</f>
        <v>1</v>
      </c>
      <c r="O29" s="14">
        <f>VLOOKUP(Y29,'3'!A$95:C$98,3,FALSE)</f>
        <v>0.91</v>
      </c>
      <c r="P29" s="15">
        <f t="shared" si="2"/>
        <v>43.956043956043956</v>
      </c>
      <c r="Q29" s="14">
        <f>VLOOKUP(Z29,'3'!A$8:F$85,6,FALSE)</f>
        <v>49</v>
      </c>
      <c r="R29" s="14" t="str">
        <f>VLOOKUP(Z29,'3'!A$8:F$85,2,FALSE)</f>
        <v>2C-4.0mm2 Cu PVC/PVC CABLE</v>
      </c>
      <c r="S29" s="18">
        <f>VLOOKUP(Z29,'3'!A$8:F$85,3,FALSE)</f>
        <v>8.6240000000000006</v>
      </c>
      <c r="T29" s="15">
        <f t="shared" si="3"/>
        <v>0</v>
      </c>
      <c r="U29" s="15">
        <f t="shared" si="4"/>
        <v>0</v>
      </c>
      <c r="V29" s="15"/>
      <c r="W29" s="14" t="s">
        <v>0</v>
      </c>
      <c r="X29" s="21">
        <v>4</v>
      </c>
      <c r="Y29" s="21">
        <v>2</v>
      </c>
      <c r="Z29" s="21">
        <v>3</v>
      </c>
      <c r="AA29" s="21">
        <v>9</v>
      </c>
    </row>
    <row r="30" spans="1:27" ht="24.75" customHeight="1" x14ac:dyDescent="0.25">
      <c r="A30" s="26" t="s">
        <v>0</v>
      </c>
      <c r="B30" s="27" t="s">
        <v>50</v>
      </c>
      <c r="C30" s="27" t="s">
        <v>54</v>
      </c>
      <c r="D30" s="13">
        <v>0</v>
      </c>
      <c r="E30" s="14" t="str">
        <f>VLOOKUP(Y30,'3'!A$95:B$98,2,FALSE)</f>
        <v>ABOVE CEILING</v>
      </c>
      <c r="F30" s="14" t="str">
        <f>VLOOKUP(X30,'3'!A$88:B$92,2,FALSE)</f>
        <v>CABLE TRAY</v>
      </c>
      <c r="G30" s="13">
        <v>0</v>
      </c>
      <c r="H30" s="15">
        <f t="shared" si="0"/>
        <v>0</v>
      </c>
      <c r="I30" s="15">
        <f t="shared" si="1"/>
        <v>0</v>
      </c>
      <c r="J30" s="16">
        <f>VLOOKUP(AA30,'1'!A$15:X$50,2,FALSE)</f>
        <v>40</v>
      </c>
      <c r="K30" s="14"/>
      <c r="L30" s="14" t="s">
        <v>0</v>
      </c>
      <c r="M30" s="14" t="s">
        <v>0</v>
      </c>
      <c r="N30" s="17">
        <f>VLOOKUP(X30,'3'!A$88:C$92,3,FALSE)</f>
        <v>0.85</v>
      </c>
      <c r="O30" s="14">
        <f>VLOOKUP(Y30,'3'!A$95:C$98,3,FALSE)</f>
        <v>0.91</v>
      </c>
      <c r="P30" s="15">
        <f t="shared" si="2"/>
        <v>51.712992889463479</v>
      </c>
      <c r="Q30" s="14">
        <f>VLOOKUP(Z30,'3'!A$8:F$85,6,FALSE)</f>
        <v>76</v>
      </c>
      <c r="R30" s="14" t="str">
        <f>VLOOKUP(Z30,'3'!A$8:F$85,2,FALSE)</f>
        <v>4C-10mm2 Cu XLPE PVC CABLE</v>
      </c>
      <c r="S30" s="18">
        <f>VLOOKUP(Z30,'3'!A$8:F$85,3,FALSE)</f>
        <v>3.5190000000000001</v>
      </c>
      <c r="T30" s="15">
        <f t="shared" si="3"/>
        <v>0</v>
      </c>
      <c r="U30" s="15">
        <f t="shared" si="4"/>
        <v>0</v>
      </c>
      <c r="V30" s="15" t="s">
        <v>46</v>
      </c>
      <c r="W30" s="14" t="s">
        <v>0</v>
      </c>
      <c r="X30" s="21">
        <v>5</v>
      </c>
      <c r="Y30" s="21">
        <v>2</v>
      </c>
      <c r="Z30" s="21">
        <v>13</v>
      </c>
      <c r="AA30" s="21">
        <v>9</v>
      </c>
    </row>
    <row r="31" spans="1:27" ht="24.75" customHeight="1" x14ac:dyDescent="0.25">
      <c r="A31" s="26" t="s">
        <v>0</v>
      </c>
      <c r="B31" s="27" t="s">
        <v>54</v>
      </c>
      <c r="C31" s="27" t="s">
        <v>39</v>
      </c>
      <c r="D31" s="13">
        <v>0</v>
      </c>
      <c r="E31" s="14" t="str">
        <f>VLOOKUP(Y31,'3'!A$95:B$98,2,FALSE)</f>
        <v>OUTDOOR</v>
      </c>
      <c r="F31" s="14" t="str">
        <f>VLOOKUP(X31,'3'!A$88:B$92,2,FALSE)</f>
        <v>CONDUIT</v>
      </c>
      <c r="G31" s="13">
        <v>0</v>
      </c>
      <c r="H31" s="15">
        <f t="shared" si="0"/>
        <v>0</v>
      </c>
      <c r="I31" s="15">
        <f t="shared" si="1"/>
        <v>0</v>
      </c>
      <c r="J31" s="16">
        <f>VLOOKUP(AA31,'1'!A$15:X$50,2,FALSE)</f>
        <v>40</v>
      </c>
      <c r="K31" s="14"/>
      <c r="L31" s="14" t="s">
        <v>0</v>
      </c>
      <c r="M31" s="14" t="s">
        <v>0</v>
      </c>
      <c r="N31" s="17">
        <f>VLOOKUP(X31,'3'!A$88:C$92,3,FALSE)</f>
        <v>1</v>
      </c>
      <c r="O31" s="14">
        <f>VLOOKUP(Y31,'3'!A$95:C$98,3,FALSE)</f>
        <v>0.82</v>
      </c>
      <c r="P31" s="15">
        <f t="shared" si="2"/>
        <v>48.780487804878049</v>
      </c>
      <c r="Q31" s="14">
        <f>VLOOKUP(Z31,'3'!A$8:F$85,6,FALSE)</f>
        <v>49</v>
      </c>
      <c r="R31" s="14" t="str">
        <f>VLOOKUP(Z31,'3'!A$8:F$85,2,FALSE)</f>
        <v>2C-4.0mm2 Cu PVC/PVC CABLE</v>
      </c>
      <c r="S31" s="18">
        <f>VLOOKUP(Z31,'3'!A$8:F$85,3,FALSE)</f>
        <v>8.6240000000000006</v>
      </c>
      <c r="T31" s="15">
        <f t="shared" si="3"/>
        <v>0</v>
      </c>
      <c r="U31" s="15">
        <f t="shared" si="4"/>
        <v>0</v>
      </c>
      <c r="V31" s="15"/>
      <c r="W31" s="14" t="s">
        <v>0</v>
      </c>
      <c r="X31" s="21">
        <v>4</v>
      </c>
      <c r="Y31" s="21">
        <v>4</v>
      </c>
      <c r="Z31" s="21">
        <v>3</v>
      </c>
      <c r="AA31" s="21">
        <v>9</v>
      </c>
    </row>
    <row r="32" spans="1:27" ht="24.75" customHeight="1" x14ac:dyDescent="0.25">
      <c r="A32" s="26" t="s">
        <v>0</v>
      </c>
      <c r="B32" s="28" t="s">
        <v>33</v>
      </c>
      <c r="C32" s="25" t="s">
        <v>55</v>
      </c>
      <c r="D32" s="13">
        <v>0</v>
      </c>
      <c r="E32" s="14" t="str">
        <f>VLOOKUP(Y32,'3'!A$95:B$98,2,FALSE)</f>
        <v>OUTDOOR</v>
      </c>
      <c r="F32" s="14" t="str">
        <f>VLOOKUP(X32,'3'!A$88:B$92,2,FALSE)</f>
        <v>PVC DUCT</v>
      </c>
      <c r="G32" s="13">
        <v>0</v>
      </c>
      <c r="H32" s="15">
        <f t="shared" si="0"/>
        <v>0</v>
      </c>
      <c r="I32" s="15">
        <f t="shared" si="1"/>
        <v>0</v>
      </c>
      <c r="J32" s="16">
        <f>VLOOKUP(AA32,'1'!A$15:X$50,2,FALSE)</f>
        <v>40</v>
      </c>
      <c r="K32" s="14"/>
      <c r="L32" s="14" t="s">
        <v>0</v>
      </c>
      <c r="M32" s="14" t="s">
        <v>0</v>
      </c>
      <c r="N32" s="17">
        <f>VLOOKUP(X32,'3'!A$88:C$92,3,FALSE)</f>
        <v>1</v>
      </c>
      <c r="O32" s="14">
        <f>VLOOKUP(Y32,'3'!A$95:C$98,3,FALSE)</f>
        <v>0.82</v>
      </c>
      <c r="P32" s="15">
        <f t="shared" si="2"/>
        <v>48.780487804878049</v>
      </c>
      <c r="Q32" s="14">
        <f>VLOOKUP(Z32,'3'!A$8:F$85,6,FALSE)</f>
        <v>56</v>
      </c>
      <c r="R32" s="14" t="str">
        <f>VLOOKUP(Z32,'3'!A$8:F$85,2,FALSE)</f>
        <v>4C-6.0mm2 Cu XLPE PVC CABLE</v>
      </c>
      <c r="S32" s="18">
        <f>VLOOKUP(Z32,'3'!A$8:F$85,3,FALSE)</f>
        <v>5.8710000000000004</v>
      </c>
      <c r="T32" s="15">
        <f t="shared" si="3"/>
        <v>0</v>
      </c>
      <c r="U32" s="15">
        <f t="shared" si="4"/>
        <v>0</v>
      </c>
      <c r="V32" s="15" t="s">
        <v>56</v>
      </c>
      <c r="W32" s="14" t="s">
        <v>0</v>
      </c>
      <c r="X32" s="21">
        <v>1</v>
      </c>
      <c r="Y32" s="21">
        <v>4</v>
      </c>
      <c r="Z32" s="21">
        <v>12</v>
      </c>
      <c r="AA32" s="21">
        <v>9</v>
      </c>
    </row>
    <row r="33" spans="1:27" ht="24.75" customHeight="1" x14ac:dyDescent="0.25">
      <c r="A33" s="26" t="s">
        <v>0</v>
      </c>
      <c r="B33" s="28" t="s">
        <v>55</v>
      </c>
      <c r="C33" s="25" t="s">
        <v>39</v>
      </c>
      <c r="D33" s="13">
        <v>0</v>
      </c>
      <c r="E33" s="14" t="str">
        <f>VLOOKUP(Y33,'3'!A$95:B$98,2,FALSE)</f>
        <v>NO CEILING</v>
      </c>
      <c r="F33" s="14" t="str">
        <f>VLOOKUP(X33,'3'!A$88:B$92,2,FALSE)</f>
        <v>CONDUIT</v>
      </c>
      <c r="G33" s="13">
        <v>0</v>
      </c>
      <c r="H33" s="15">
        <f t="shared" si="0"/>
        <v>0</v>
      </c>
      <c r="I33" s="15">
        <f t="shared" si="1"/>
        <v>0</v>
      </c>
      <c r="J33" s="16">
        <f>VLOOKUP(AA33,'1'!A$15:X$50,2,FALSE)</f>
        <v>40</v>
      </c>
      <c r="K33" s="14"/>
      <c r="L33" s="14" t="s">
        <v>0</v>
      </c>
      <c r="M33" s="14" t="s">
        <v>0</v>
      </c>
      <c r="N33" s="17">
        <f>VLOOKUP(X33,'3'!A$88:C$92,3,FALSE)</f>
        <v>1</v>
      </c>
      <c r="O33" s="14">
        <f>VLOOKUP(Y33,'3'!A$95:C$98,3,FALSE)</f>
        <v>0.96</v>
      </c>
      <c r="P33" s="15">
        <f t="shared" si="2"/>
        <v>41.666666666666671</v>
      </c>
      <c r="Q33" s="14">
        <f>VLOOKUP(Z33,'3'!A$8:F$85,6,FALSE)</f>
        <v>49</v>
      </c>
      <c r="R33" s="14" t="str">
        <f>VLOOKUP(Z33,'3'!A$8:F$85,2,FALSE)</f>
        <v>2C-4.0mm2 Cu PVC/PVC CABLE</v>
      </c>
      <c r="S33" s="18">
        <f>VLOOKUP(Z33,'3'!A$8:F$85,3,FALSE)</f>
        <v>8.6240000000000006</v>
      </c>
      <c r="T33" s="15">
        <f t="shared" si="3"/>
        <v>0</v>
      </c>
      <c r="U33" s="15">
        <f t="shared" si="4"/>
        <v>0</v>
      </c>
      <c r="V33" s="15"/>
      <c r="W33" s="14" t="s">
        <v>0</v>
      </c>
      <c r="X33" s="21">
        <v>4</v>
      </c>
      <c r="Y33" s="21">
        <v>3</v>
      </c>
      <c r="Z33" s="21">
        <v>3</v>
      </c>
      <c r="AA33" s="21">
        <v>9</v>
      </c>
    </row>
    <row r="34" spans="1:27" ht="24.75" customHeight="1" x14ac:dyDescent="0.25">
      <c r="A34" s="26" t="s">
        <v>0</v>
      </c>
      <c r="B34" s="27" t="s">
        <v>33</v>
      </c>
      <c r="C34" s="27" t="s">
        <v>57</v>
      </c>
      <c r="D34" s="13">
        <v>0</v>
      </c>
      <c r="E34" s="14" t="str">
        <f>VLOOKUP(Y34,'3'!A$95:B$98,2,FALSE)</f>
        <v>OUTDOOR</v>
      </c>
      <c r="F34" s="14" t="str">
        <f>VLOOKUP(X34,'3'!A$88:B$92,2,FALSE)</f>
        <v>PVC DUCT</v>
      </c>
      <c r="G34" s="13">
        <v>0</v>
      </c>
      <c r="H34" s="15">
        <f t="shared" si="0"/>
        <v>0</v>
      </c>
      <c r="I34" s="15">
        <f t="shared" si="1"/>
        <v>0</v>
      </c>
      <c r="J34" s="16">
        <f>VLOOKUP(AA34,'1'!A$15:X$50,2,FALSE)</f>
        <v>40</v>
      </c>
      <c r="K34" s="14"/>
      <c r="L34" s="14" t="s">
        <v>0</v>
      </c>
      <c r="M34" s="14" t="s">
        <v>0</v>
      </c>
      <c r="N34" s="17">
        <f>VLOOKUP(X34,'3'!A$88:C$92,3,FALSE)</f>
        <v>1</v>
      </c>
      <c r="O34" s="14">
        <f>VLOOKUP(Y34,'3'!A$95:C$98,3,FALSE)</f>
        <v>0.82</v>
      </c>
      <c r="P34" s="15">
        <f t="shared" si="2"/>
        <v>48.780487804878049</v>
      </c>
      <c r="Q34" s="14">
        <f>VLOOKUP(Z34,'3'!A$8:F$85,6,FALSE)</f>
        <v>690</v>
      </c>
      <c r="R34" s="14" t="str">
        <f>VLOOKUP(Z34,'3'!A$8:F$85,2,FALSE)</f>
        <v>2(4C-120mm2 Cu XLPE PVC CABLE)</v>
      </c>
      <c r="S34" s="18">
        <f>VLOOKUP(Z34,'3'!A$8:F$85,3,FALSE)</f>
        <v>0.184</v>
      </c>
      <c r="T34" s="15">
        <f t="shared" si="3"/>
        <v>0</v>
      </c>
      <c r="U34" s="15">
        <f t="shared" si="4"/>
        <v>0</v>
      </c>
      <c r="V34" s="15" t="s">
        <v>58</v>
      </c>
      <c r="W34" s="14" t="s">
        <v>0</v>
      </c>
      <c r="X34" s="21">
        <v>1</v>
      </c>
      <c r="Y34" s="21">
        <v>4</v>
      </c>
      <c r="Z34" s="21">
        <v>58</v>
      </c>
      <c r="AA34" s="21">
        <v>9</v>
      </c>
    </row>
    <row r="35" spans="1:27" ht="24.75" customHeight="1" x14ac:dyDescent="0.25">
      <c r="A35" s="29" t="s">
        <v>0</v>
      </c>
      <c r="B35" s="28" t="s">
        <v>33</v>
      </c>
      <c r="C35" s="25" t="s">
        <v>59</v>
      </c>
      <c r="D35" s="13">
        <v>0</v>
      </c>
      <c r="E35" s="14" t="str">
        <f>VLOOKUP(Y35,'3'!A$95:B$98,2,FALSE)</f>
        <v>OUTDOOR</v>
      </c>
      <c r="F35" s="14" t="str">
        <f>VLOOKUP(X35,'3'!A$88:B$92,2,FALSE)</f>
        <v>PVC DUCT</v>
      </c>
      <c r="G35" s="13">
        <v>0</v>
      </c>
      <c r="H35" s="15">
        <f t="shared" si="0"/>
        <v>0</v>
      </c>
      <c r="I35" s="15">
        <f t="shared" si="1"/>
        <v>0</v>
      </c>
      <c r="J35" s="16">
        <f>VLOOKUP(AA35,'1'!A$15:X$50,2,FALSE)</f>
        <v>40</v>
      </c>
      <c r="K35" s="14"/>
      <c r="L35" s="14" t="s">
        <v>0</v>
      </c>
      <c r="M35" s="14" t="s">
        <v>0</v>
      </c>
      <c r="N35" s="17">
        <f>VLOOKUP(X35,'3'!A$88:C$92,3,FALSE)</f>
        <v>1</v>
      </c>
      <c r="O35" s="14">
        <f>VLOOKUP(Y35,'3'!A$95:C$98,3,FALSE)</f>
        <v>0.82</v>
      </c>
      <c r="P35" s="15">
        <f t="shared" si="2"/>
        <v>48.780487804878049</v>
      </c>
      <c r="Q35" s="14">
        <f>VLOOKUP(Z35,'3'!A$8:F$85,6,FALSE)</f>
        <v>538</v>
      </c>
      <c r="R35" s="14" t="str">
        <f>VLOOKUP(Z35,'3'!A$8:F$85,2,FALSE)</f>
        <v>4C-240mm2 Cu XLPE PVC CABLE</v>
      </c>
      <c r="S35" s="18">
        <f>VLOOKUP(Z35,'3'!A$8:F$85,3,FALSE)</f>
        <v>0.22600000000000001</v>
      </c>
      <c r="T35" s="15">
        <f t="shared" si="3"/>
        <v>0</v>
      </c>
      <c r="U35" s="15">
        <f t="shared" si="4"/>
        <v>0</v>
      </c>
      <c r="V35" s="15" t="s">
        <v>60</v>
      </c>
      <c r="W35" s="14" t="s">
        <v>0</v>
      </c>
      <c r="X35" s="21">
        <v>1</v>
      </c>
      <c r="Y35" s="21">
        <v>4</v>
      </c>
      <c r="Z35" s="21">
        <v>33</v>
      </c>
      <c r="AA35" s="21">
        <v>9</v>
      </c>
    </row>
    <row r="36" spans="1:27" ht="24.75" customHeight="1" x14ac:dyDescent="0.25">
      <c r="A36" s="26" t="s">
        <v>0</v>
      </c>
      <c r="B36" s="27" t="s">
        <v>33</v>
      </c>
      <c r="C36" s="27" t="s">
        <v>61</v>
      </c>
      <c r="D36" s="13">
        <v>0</v>
      </c>
      <c r="E36" s="14" t="str">
        <f>VLOOKUP(Y36,'3'!A$95:B$98,2,FALSE)</f>
        <v>NO CEILING</v>
      </c>
      <c r="F36" s="14" t="str">
        <f>VLOOKUP(X36,'3'!A$88:B$92,2,FALSE)</f>
        <v>CABLE TRAY</v>
      </c>
      <c r="G36" s="13">
        <v>0</v>
      </c>
      <c r="H36" s="15">
        <f t="shared" si="0"/>
        <v>0</v>
      </c>
      <c r="I36" s="15">
        <f t="shared" si="1"/>
        <v>0</v>
      </c>
      <c r="J36" s="16">
        <f>VLOOKUP(AA36,'1'!A$15:X$50,2,FALSE)</f>
        <v>40</v>
      </c>
      <c r="K36" s="14"/>
      <c r="L36" s="14" t="s">
        <v>0</v>
      </c>
      <c r="M36" s="14" t="s">
        <v>0</v>
      </c>
      <c r="N36" s="17">
        <f>VLOOKUP(X36,'3'!A$88:C$92,3,FALSE)</f>
        <v>0.85</v>
      </c>
      <c r="O36" s="14">
        <f>VLOOKUP(Y36,'3'!A$95:C$98,3,FALSE)</f>
        <v>0.96</v>
      </c>
      <c r="P36" s="15">
        <f t="shared" si="2"/>
        <v>49.019607843137258</v>
      </c>
      <c r="Q36" s="14">
        <f>VLOOKUP(Z36,'3'!A$8:F$85,6,FALSE)</f>
        <v>99</v>
      </c>
      <c r="R36" s="14" t="str">
        <f>VLOOKUP(Z36,'3'!A$8:F$85,2,FALSE)</f>
        <v>4C-16mm2 Cu XLPE PVC CABLE</v>
      </c>
      <c r="S36" s="18">
        <f>VLOOKUP(Z36,'3'!A$8:F$85,3,FALSE)</f>
        <v>2.2389999999999999</v>
      </c>
      <c r="T36" s="15">
        <f t="shared" si="3"/>
        <v>0</v>
      </c>
      <c r="U36" s="15">
        <f t="shared" si="4"/>
        <v>0</v>
      </c>
      <c r="V36" s="15" t="s">
        <v>62</v>
      </c>
      <c r="W36" s="14" t="s">
        <v>0</v>
      </c>
      <c r="X36" s="21">
        <v>5</v>
      </c>
      <c r="Y36" s="21">
        <v>3</v>
      </c>
      <c r="Z36" s="21">
        <v>14</v>
      </c>
      <c r="AA36" s="21">
        <v>9</v>
      </c>
    </row>
    <row r="37" spans="1:27" ht="24.75" customHeight="1" x14ac:dyDescent="0.25">
      <c r="A37" s="26" t="s">
        <v>0</v>
      </c>
      <c r="B37" s="28" t="s">
        <v>63</v>
      </c>
      <c r="C37" s="25" t="s">
        <v>64</v>
      </c>
      <c r="D37" s="13">
        <v>0</v>
      </c>
      <c r="E37" s="14" t="str">
        <f>VLOOKUP(Y37,'3'!A$95:B$98,2,FALSE)</f>
        <v>NO CEILING</v>
      </c>
      <c r="F37" s="14" t="str">
        <f>VLOOKUP(X37,'3'!A$88:B$92,2,FALSE)</f>
        <v>CABLE TRAY</v>
      </c>
      <c r="G37" s="13">
        <v>0</v>
      </c>
      <c r="H37" s="15">
        <f t="shared" si="0"/>
        <v>0</v>
      </c>
      <c r="I37" s="15">
        <f t="shared" si="1"/>
        <v>0</v>
      </c>
      <c r="J37" s="16">
        <f>VLOOKUP(AA37,'1'!A$15:X$50,2,FALSE)</f>
        <v>40</v>
      </c>
      <c r="K37" s="14"/>
      <c r="L37" s="14" t="s">
        <v>0</v>
      </c>
      <c r="M37" s="14" t="s">
        <v>0</v>
      </c>
      <c r="N37" s="17">
        <f>VLOOKUP(X37,'3'!A$88:C$92,3,FALSE)</f>
        <v>0.85</v>
      </c>
      <c r="O37" s="14">
        <f>VLOOKUP(Y37,'3'!A$95:C$98,3,FALSE)</f>
        <v>0.96</v>
      </c>
      <c r="P37" s="15">
        <f t="shared" si="2"/>
        <v>49.019607843137258</v>
      </c>
      <c r="Q37" s="14">
        <f>VLOOKUP(Z37,'3'!A$8:F$85,6,FALSE)</f>
        <v>1878</v>
      </c>
      <c r="R37" s="14" t="str">
        <f>VLOOKUP(Z37,'3'!A$8:F$85,2,FALSE)</f>
        <v>3(3.5C-300mm2 Cu XLPE PVC CABLE)</v>
      </c>
      <c r="S37" s="18">
        <f>VLOOKUP(Z37,'3'!A$8:F$85,3,FALSE)</f>
        <v>6.6000000000000003E-2</v>
      </c>
      <c r="T37" s="15">
        <f t="shared" si="3"/>
        <v>0</v>
      </c>
      <c r="U37" s="15">
        <f t="shared" si="4"/>
        <v>0</v>
      </c>
      <c r="V37" s="15" t="s">
        <v>65</v>
      </c>
      <c r="W37" s="14" t="s">
        <v>0</v>
      </c>
      <c r="X37" s="21">
        <v>5</v>
      </c>
      <c r="Y37" s="21">
        <v>3</v>
      </c>
      <c r="Z37" s="21">
        <v>48</v>
      </c>
      <c r="AA37" s="21">
        <v>9</v>
      </c>
    </row>
    <row r="38" spans="1:27" ht="24.75" customHeight="1" x14ac:dyDescent="0.25">
      <c r="A38" s="26" t="s">
        <v>0</v>
      </c>
      <c r="B38" s="28" t="s">
        <v>64</v>
      </c>
      <c r="C38" s="25" t="s">
        <v>66</v>
      </c>
      <c r="D38" s="13">
        <v>0</v>
      </c>
      <c r="E38" s="14" t="str">
        <f>VLOOKUP(Y38,'3'!A$95:B$98,2,FALSE)</f>
        <v>OUTDOOR</v>
      </c>
      <c r="F38" s="14" t="str">
        <f>VLOOKUP(X38,'3'!A$88:B$92,2,FALSE)</f>
        <v>PVC DUCT</v>
      </c>
      <c r="G38" s="13">
        <v>0</v>
      </c>
      <c r="H38" s="15">
        <f t="shared" si="0"/>
        <v>0</v>
      </c>
      <c r="I38" s="15">
        <f t="shared" si="1"/>
        <v>0</v>
      </c>
      <c r="J38" s="16">
        <f>VLOOKUP(AA38,'1'!A$15:X$50,2,FALSE)</f>
        <v>40</v>
      </c>
      <c r="K38" s="14"/>
      <c r="L38" s="14" t="s">
        <v>0</v>
      </c>
      <c r="M38" s="14" t="s">
        <v>0</v>
      </c>
      <c r="N38" s="17">
        <f>VLOOKUP(X38,'3'!A$88:C$92,3,FALSE)</f>
        <v>1</v>
      </c>
      <c r="O38" s="14">
        <f>VLOOKUP(Y38,'3'!A$95:C$98,3,FALSE)</f>
        <v>0.82</v>
      </c>
      <c r="P38" s="15">
        <f t="shared" si="2"/>
        <v>48.780487804878049</v>
      </c>
      <c r="Q38" s="14">
        <f>VLOOKUP(Z38,'3'!A$8:F$85,6,FALSE)</f>
        <v>440</v>
      </c>
      <c r="R38" s="14" t="str">
        <f>VLOOKUP(Z38,'3'!A$8:F$85,2,FALSE)</f>
        <v>3.5C-185mm2 Cu XLPE PVC CABLE</v>
      </c>
      <c r="S38" s="18">
        <f>VLOOKUP(Z38,'3'!A$8:F$85,3,FALSE)</f>
        <v>0.27</v>
      </c>
      <c r="T38" s="15">
        <f t="shared" si="3"/>
        <v>0</v>
      </c>
      <c r="U38" s="15">
        <f t="shared" si="4"/>
        <v>0</v>
      </c>
      <c r="V38" s="15" t="s">
        <v>67</v>
      </c>
      <c r="W38" s="14" t="s">
        <v>0</v>
      </c>
      <c r="X38" s="21">
        <v>1</v>
      </c>
      <c r="Y38" s="21">
        <v>4</v>
      </c>
      <c r="Z38" s="21">
        <v>22</v>
      </c>
      <c r="AA38" s="21">
        <v>9</v>
      </c>
    </row>
    <row r="39" spans="1:27" ht="24.75" customHeight="1" x14ac:dyDescent="0.25">
      <c r="A39" s="26" t="s">
        <v>0</v>
      </c>
      <c r="B39" s="28" t="s">
        <v>66</v>
      </c>
      <c r="C39" s="25" t="s">
        <v>68</v>
      </c>
      <c r="D39" s="13">
        <v>0</v>
      </c>
      <c r="E39" s="14" t="str">
        <f>VLOOKUP(Y39,'3'!A$95:B$98,2,FALSE)</f>
        <v>ABOVE CEILING</v>
      </c>
      <c r="F39" s="14" t="str">
        <f>VLOOKUP(X39,'3'!A$88:B$92,2,FALSE)</f>
        <v>CABLE TRAY</v>
      </c>
      <c r="G39" s="13">
        <v>0</v>
      </c>
      <c r="H39" s="15">
        <f t="shared" si="0"/>
        <v>0</v>
      </c>
      <c r="I39" s="15">
        <f t="shared" si="1"/>
        <v>0</v>
      </c>
      <c r="J39" s="16">
        <f>VLOOKUP(AA39,'1'!A$15:X$50,2,FALSE)</f>
        <v>40</v>
      </c>
      <c r="K39" s="14"/>
      <c r="L39" s="14" t="s">
        <v>0</v>
      </c>
      <c r="M39" s="14" t="s">
        <v>0</v>
      </c>
      <c r="N39" s="17">
        <f>VLOOKUP(X39,'3'!A$88:C$92,3,FALSE)</f>
        <v>0.85</v>
      </c>
      <c r="O39" s="14">
        <f>VLOOKUP(Y39,'3'!A$95:C$98,3,FALSE)</f>
        <v>0.91</v>
      </c>
      <c r="P39" s="15">
        <f t="shared" si="2"/>
        <v>51.712992889463479</v>
      </c>
      <c r="Q39" s="14">
        <f>VLOOKUP(Z39,'3'!A$8:F$85,6,FALSE)</f>
        <v>135</v>
      </c>
      <c r="R39" s="14" t="str">
        <f>VLOOKUP(Z39,'3'!A$8:F$85,2,FALSE)</f>
        <v>4C-25mm2 Cu XLPE PVC CABLE</v>
      </c>
      <c r="S39" s="18">
        <f>VLOOKUP(Z39,'3'!A$8:F$85,3,FALSE)</f>
        <v>1.1140000000000001</v>
      </c>
      <c r="T39" s="15">
        <f t="shared" si="3"/>
        <v>0</v>
      </c>
      <c r="U39" s="15">
        <f t="shared" si="4"/>
        <v>0</v>
      </c>
      <c r="V39" s="15" t="s">
        <v>41</v>
      </c>
      <c r="W39" s="14" t="s">
        <v>0</v>
      </c>
      <c r="X39" s="21">
        <v>5</v>
      </c>
      <c r="Y39" s="21">
        <v>2</v>
      </c>
      <c r="Z39" s="21">
        <v>15</v>
      </c>
      <c r="AA39" s="21">
        <v>9</v>
      </c>
    </row>
    <row r="40" spans="1:27" ht="24.75" customHeight="1" x14ac:dyDescent="0.25">
      <c r="A40" s="26" t="s">
        <v>0</v>
      </c>
      <c r="B40" s="28" t="s">
        <v>68</v>
      </c>
      <c r="C40" s="25" t="s">
        <v>39</v>
      </c>
      <c r="D40" s="13">
        <v>0</v>
      </c>
      <c r="E40" s="14" t="str">
        <f>VLOOKUP(Y40,'3'!A$95:B$98,2,FALSE)</f>
        <v>ABOVE CEILING</v>
      </c>
      <c r="F40" s="14" t="str">
        <f>VLOOKUP(X40,'3'!A$88:B$92,2,FALSE)</f>
        <v>CONDUIT</v>
      </c>
      <c r="G40" s="13">
        <v>0</v>
      </c>
      <c r="H40" s="15">
        <f t="shared" si="0"/>
        <v>0</v>
      </c>
      <c r="I40" s="15">
        <f t="shared" si="1"/>
        <v>0</v>
      </c>
      <c r="J40" s="16">
        <f>VLOOKUP(AA40,'1'!A$15:X$50,2,FALSE)</f>
        <v>40</v>
      </c>
      <c r="K40" s="14"/>
      <c r="L40" s="14" t="s">
        <v>0</v>
      </c>
      <c r="M40" s="14" t="s">
        <v>0</v>
      </c>
      <c r="N40" s="17">
        <f>VLOOKUP(X40,'3'!A$88:C$92,3,FALSE)</f>
        <v>1</v>
      </c>
      <c r="O40" s="14">
        <f>VLOOKUP(Y40,'3'!A$95:C$98,3,FALSE)</f>
        <v>0.91</v>
      </c>
      <c r="P40" s="15">
        <f t="shared" si="2"/>
        <v>43.956043956043956</v>
      </c>
      <c r="Q40" s="14">
        <f>VLOOKUP(Z40,'3'!A$8:F$85,6,FALSE)</f>
        <v>49</v>
      </c>
      <c r="R40" s="14" t="str">
        <f>VLOOKUP(Z40,'3'!A$8:F$85,2,FALSE)</f>
        <v>2C-4.0mm2 Cu PVC/PVC CABLE</v>
      </c>
      <c r="S40" s="18">
        <f>VLOOKUP(Z40,'3'!A$8:F$85,3,FALSE)</f>
        <v>8.6240000000000006</v>
      </c>
      <c r="T40" s="15">
        <f t="shared" si="3"/>
        <v>0</v>
      </c>
      <c r="U40" s="15">
        <f t="shared" si="4"/>
        <v>0</v>
      </c>
      <c r="V40" s="15"/>
      <c r="W40" s="14" t="s">
        <v>0</v>
      </c>
      <c r="X40" s="21">
        <v>4</v>
      </c>
      <c r="Y40" s="21">
        <v>2</v>
      </c>
      <c r="Z40" s="21">
        <v>3</v>
      </c>
      <c r="AA40" s="21">
        <v>9</v>
      </c>
    </row>
    <row r="41" spans="1:27" ht="24.75" customHeight="1" x14ac:dyDescent="0.25">
      <c r="A41" s="26" t="s">
        <v>0</v>
      </c>
      <c r="B41" s="30" t="s">
        <v>66</v>
      </c>
      <c r="C41" s="30" t="s">
        <v>69</v>
      </c>
      <c r="D41" s="13">
        <v>0</v>
      </c>
      <c r="E41" s="14" t="str">
        <f>VLOOKUP(Y41,'3'!A$95:B$98,2,FALSE)</f>
        <v>ABOVE CEILING</v>
      </c>
      <c r="F41" s="14" t="str">
        <f>VLOOKUP(X41,'3'!A$88:B$92,2,FALSE)</f>
        <v>CABLE TRAY</v>
      </c>
      <c r="G41" s="13">
        <v>0</v>
      </c>
      <c r="H41" s="15">
        <f t="shared" si="0"/>
        <v>0</v>
      </c>
      <c r="I41" s="15">
        <f t="shared" si="1"/>
        <v>0</v>
      </c>
      <c r="J41" s="16">
        <f>VLOOKUP(AA41,'1'!A$15:X$50,2,FALSE)</f>
        <v>40</v>
      </c>
      <c r="K41" s="14"/>
      <c r="L41" s="14" t="s">
        <v>0</v>
      </c>
      <c r="M41" s="14" t="s">
        <v>0</v>
      </c>
      <c r="N41" s="17">
        <f>VLOOKUP(X41,'3'!A$88:C$92,3,FALSE)</f>
        <v>0.85</v>
      </c>
      <c r="O41" s="14">
        <f>VLOOKUP(Y41,'3'!A$95:C$98,3,FALSE)</f>
        <v>0.91</v>
      </c>
      <c r="P41" s="15">
        <f t="shared" si="2"/>
        <v>51.712992889463479</v>
      </c>
      <c r="Q41" s="14">
        <f>VLOOKUP(Z41,'3'!A$8:F$85,6,FALSE)</f>
        <v>298</v>
      </c>
      <c r="R41" s="14" t="str">
        <f>VLOOKUP(Z41,'3'!A$8:F$85,2,FALSE)</f>
        <v>3.5C-95mm2 Cu XLPE PVC CABLE</v>
      </c>
      <c r="S41" s="18">
        <f>VLOOKUP(Z41,'3'!A$8:F$85,3,FALSE)</f>
        <v>0.44400000000000001</v>
      </c>
      <c r="T41" s="15">
        <f t="shared" si="3"/>
        <v>0</v>
      </c>
      <c r="U41" s="15">
        <f t="shared" si="4"/>
        <v>0</v>
      </c>
      <c r="V41" s="15" t="s">
        <v>70</v>
      </c>
      <c r="W41" s="14" t="s">
        <v>0</v>
      </c>
      <c r="X41" s="21">
        <v>5</v>
      </c>
      <c r="Y41" s="21">
        <v>2</v>
      </c>
      <c r="Z41" s="21">
        <v>19</v>
      </c>
      <c r="AA41" s="21">
        <v>9</v>
      </c>
    </row>
    <row r="42" spans="1:27" ht="24.75" customHeight="1" x14ac:dyDescent="0.25">
      <c r="A42" s="26" t="s">
        <v>0</v>
      </c>
      <c r="B42" s="28" t="s">
        <v>66</v>
      </c>
      <c r="C42" s="25" t="s">
        <v>71</v>
      </c>
      <c r="D42" s="13">
        <v>0</v>
      </c>
      <c r="E42" s="14" t="str">
        <f>VLOOKUP(Y42,'3'!A$95:B$98,2,FALSE)</f>
        <v>ABOVE CEILING</v>
      </c>
      <c r="F42" s="14" t="str">
        <f>VLOOKUP(X42,'3'!A$88:B$92,2,FALSE)</f>
        <v>CABLE TRAY</v>
      </c>
      <c r="G42" s="13">
        <v>0</v>
      </c>
      <c r="H42" s="15">
        <f t="shared" si="0"/>
        <v>0</v>
      </c>
      <c r="I42" s="15">
        <f t="shared" si="1"/>
        <v>0</v>
      </c>
      <c r="J42" s="16">
        <f>VLOOKUP(AA42,'1'!A$15:X$50,2,FALSE)</f>
        <v>40</v>
      </c>
      <c r="K42" s="14"/>
      <c r="L42" s="14" t="s">
        <v>0</v>
      </c>
      <c r="M42" s="14" t="s">
        <v>0</v>
      </c>
      <c r="N42" s="17">
        <f>VLOOKUP(X42,'3'!A$88:C$92,3,FALSE)</f>
        <v>0.85</v>
      </c>
      <c r="O42" s="14">
        <f>VLOOKUP(Y42,'3'!A$95:C$98,3,FALSE)</f>
        <v>0.91</v>
      </c>
      <c r="P42" s="15">
        <f t="shared" si="2"/>
        <v>51.712992889463479</v>
      </c>
      <c r="Q42" s="14">
        <f>VLOOKUP(Z42,'3'!A$8:F$85,6,FALSE)</f>
        <v>240</v>
      </c>
      <c r="R42" s="14" t="str">
        <f>VLOOKUP(Z42,'3'!A$8:F$85,2,FALSE)</f>
        <v>4C-70mm2 Cu XLPE PVC CABLE</v>
      </c>
      <c r="S42" s="18">
        <f>VLOOKUP(Z42,'3'!A$8:F$85,3,FALSE)</f>
        <v>0.58499999999999996</v>
      </c>
      <c r="T42" s="15">
        <f t="shared" si="3"/>
        <v>0</v>
      </c>
      <c r="U42" s="15">
        <f t="shared" si="4"/>
        <v>0</v>
      </c>
      <c r="V42" s="15" t="s">
        <v>51</v>
      </c>
      <c r="W42" s="14" t="s">
        <v>0</v>
      </c>
      <c r="X42" s="21">
        <v>5</v>
      </c>
      <c r="Y42" s="21">
        <v>2</v>
      </c>
      <c r="Z42" s="21">
        <v>28</v>
      </c>
      <c r="AA42" s="21">
        <v>9</v>
      </c>
    </row>
    <row r="43" spans="1:27" ht="24.75" customHeight="1" x14ac:dyDescent="0.25">
      <c r="A43" s="26" t="s">
        <v>0</v>
      </c>
      <c r="B43" s="30" t="s">
        <v>66</v>
      </c>
      <c r="C43" s="30" t="s">
        <v>72</v>
      </c>
      <c r="D43" s="13">
        <v>0</v>
      </c>
      <c r="E43" s="14" t="str">
        <f>VLOOKUP(Y43,'3'!A$95:B$98,2,FALSE)</f>
        <v>ABOVE CEILING</v>
      </c>
      <c r="F43" s="14" t="str">
        <f>VLOOKUP(X43,'3'!A$88:B$92,2,FALSE)</f>
        <v>CABLE TRAY</v>
      </c>
      <c r="G43" s="13">
        <v>0</v>
      </c>
      <c r="H43" s="15">
        <f t="shared" si="0"/>
        <v>0</v>
      </c>
      <c r="I43" s="15">
        <f t="shared" si="1"/>
        <v>0</v>
      </c>
      <c r="J43" s="16">
        <f>VLOOKUP(AA43,'1'!A$15:X$50,2,FALSE)</f>
        <v>40</v>
      </c>
      <c r="K43" s="14"/>
      <c r="L43" s="14" t="s">
        <v>0</v>
      </c>
      <c r="M43" s="14" t="s">
        <v>0</v>
      </c>
      <c r="N43" s="17">
        <f>VLOOKUP(X43,'3'!A$88:C$92,3,FALSE)</f>
        <v>0.85</v>
      </c>
      <c r="O43" s="14">
        <f>VLOOKUP(Y43,'3'!A$95:C$98,3,FALSE)</f>
        <v>0.91</v>
      </c>
      <c r="P43" s="15">
        <f t="shared" si="2"/>
        <v>51.712992889463479</v>
      </c>
      <c r="Q43" s="14">
        <f>VLOOKUP(Z43,'3'!A$8:F$85,6,FALSE)</f>
        <v>135</v>
      </c>
      <c r="R43" s="14" t="str">
        <f>VLOOKUP(Z43,'3'!A$8:F$85,2,FALSE)</f>
        <v>4C-25mm2 Cu XLPE PVC CABLE</v>
      </c>
      <c r="S43" s="18">
        <f>VLOOKUP(Z43,'3'!A$8:F$85,3,FALSE)</f>
        <v>1.1140000000000001</v>
      </c>
      <c r="T43" s="15">
        <f t="shared" si="3"/>
        <v>0</v>
      </c>
      <c r="U43" s="15">
        <f t="shared" si="4"/>
        <v>0</v>
      </c>
      <c r="V43" s="15" t="s">
        <v>41</v>
      </c>
      <c r="W43" s="14" t="s">
        <v>0</v>
      </c>
      <c r="X43" s="21">
        <v>5</v>
      </c>
      <c r="Y43" s="21">
        <v>2</v>
      </c>
      <c r="Z43" s="21">
        <v>15</v>
      </c>
      <c r="AA43" s="21">
        <v>9</v>
      </c>
    </row>
    <row r="44" spans="1:27" ht="24.75" customHeight="1" x14ac:dyDescent="0.25">
      <c r="A44" s="26" t="s">
        <v>0</v>
      </c>
      <c r="B44" s="30" t="s">
        <v>72</v>
      </c>
      <c r="C44" s="30" t="s">
        <v>39</v>
      </c>
      <c r="D44" s="13">
        <v>0</v>
      </c>
      <c r="E44" s="14" t="str">
        <f>VLOOKUP(Y44,'3'!A$95:B$98,2,FALSE)</f>
        <v>ABOVE CEILING</v>
      </c>
      <c r="F44" s="14" t="str">
        <f>VLOOKUP(X44,'3'!A$88:B$92,2,FALSE)</f>
        <v>CONDUIT</v>
      </c>
      <c r="G44" s="13">
        <v>0</v>
      </c>
      <c r="H44" s="15">
        <f t="shared" si="0"/>
        <v>0</v>
      </c>
      <c r="I44" s="15">
        <f t="shared" si="1"/>
        <v>0</v>
      </c>
      <c r="J44" s="16">
        <f>VLOOKUP(AA44,'1'!A$15:X$50,2,FALSE)</f>
        <v>40</v>
      </c>
      <c r="K44" s="14"/>
      <c r="L44" s="14" t="s">
        <v>0</v>
      </c>
      <c r="M44" s="14" t="s">
        <v>0</v>
      </c>
      <c r="N44" s="17">
        <f>VLOOKUP(X44,'3'!A$88:C$92,3,FALSE)</f>
        <v>1</v>
      </c>
      <c r="O44" s="14">
        <f>VLOOKUP(Y44,'3'!A$95:C$98,3,FALSE)</f>
        <v>0.91</v>
      </c>
      <c r="P44" s="15">
        <f t="shared" si="2"/>
        <v>43.956043956043956</v>
      </c>
      <c r="Q44" s="14">
        <f>VLOOKUP(Z44,'3'!A$8:F$85,6,FALSE)</f>
        <v>49</v>
      </c>
      <c r="R44" s="14" t="str">
        <f>VLOOKUP(Z44,'3'!A$8:F$85,2,FALSE)</f>
        <v>2C-4.0mm2 Cu PVC/PVC CABLE</v>
      </c>
      <c r="S44" s="18">
        <f>VLOOKUP(Z44,'3'!A$8:F$85,3,FALSE)</f>
        <v>8.6240000000000006</v>
      </c>
      <c r="T44" s="15">
        <f t="shared" si="3"/>
        <v>0</v>
      </c>
      <c r="U44" s="15">
        <f t="shared" si="4"/>
        <v>0</v>
      </c>
      <c r="V44" s="15"/>
      <c r="W44" s="14" t="s">
        <v>0</v>
      </c>
      <c r="X44" s="21">
        <v>4</v>
      </c>
      <c r="Y44" s="21">
        <v>2</v>
      </c>
      <c r="Z44" s="21">
        <v>3</v>
      </c>
      <c r="AA44" s="21">
        <v>9</v>
      </c>
    </row>
    <row r="45" spans="1:27" ht="24.75" customHeight="1" x14ac:dyDescent="0.25">
      <c r="A45" s="26" t="s">
        <v>0</v>
      </c>
      <c r="B45" s="28" t="s">
        <v>64</v>
      </c>
      <c r="C45" s="25" t="s">
        <v>73</v>
      </c>
      <c r="D45" s="13">
        <v>0</v>
      </c>
      <c r="E45" s="14" t="str">
        <f>VLOOKUP(Y45,'3'!A$95:B$98,2,FALSE)</f>
        <v>OUTDOOR</v>
      </c>
      <c r="F45" s="14" t="str">
        <f>VLOOKUP(X45,'3'!A$88:B$92,2,FALSE)</f>
        <v>PVC DUCT</v>
      </c>
      <c r="G45" s="13">
        <v>0</v>
      </c>
      <c r="H45" s="15">
        <f t="shared" si="0"/>
        <v>0</v>
      </c>
      <c r="I45" s="15">
        <f t="shared" si="1"/>
        <v>0</v>
      </c>
      <c r="J45" s="16">
        <f>VLOOKUP(AA45,'1'!A$15:X$50,2,FALSE)</f>
        <v>40</v>
      </c>
      <c r="K45" s="14"/>
      <c r="L45" s="14" t="s">
        <v>0</v>
      </c>
      <c r="M45" s="14" t="s">
        <v>0</v>
      </c>
      <c r="N45" s="17">
        <f>VLOOKUP(X45,'3'!A$88:C$92,3,FALSE)</f>
        <v>1</v>
      </c>
      <c r="O45" s="14">
        <f>VLOOKUP(Y45,'3'!A$95:C$98,3,FALSE)</f>
        <v>0.82</v>
      </c>
      <c r="P45" s="15">
        <f t="shared" si="2"/>
        <v>48.780487804878049</v>
      </c>
      <c r="Q45" s="14">
        <f>VLOOKUP(Z45,'3'!A$8:F$85,6,FALSE)</f>
        <v>199</v>
      </c>
      <c r="R45" s="14" t="str">
        <f>VLOOKUP(Z45,'3'!A$8:F$85,2,FALSE)</f>
        <v>4C-50mm2 Cu XLPE PVC CABLE</v>
      </c>
      <c r="S45" s="18">
        <f>VLOOKUP(Z45,'3'!A$8:F$85,3,FALSE)</f>
        <v>0.80900000000000005</v>
      </c>
      <c r="T45" s="15">
        <f t="shared" si="3"/>
        <v>0</v>
      </c>
      <c r="U45" s="15">
        <f t="shared" si="4"/>
        <v>0</v>
      </c>
      <c r="V45" s="15" t="s">
        <v>74</v>
      </c>
      <c r="W45" s="14" t="s">
        <v>0</v>
      </c>
      <c r="X45" s="21">
        <v>1</v>
      </c>
      <c r="Y45" s="21">
        <v>4</v>
      </c>
      <c r="Z45" s="21">
        <v>27</v>
      </c>
      <c r="AA45" s="21">
        <v>9</v>
      </c>
    </row>
    <row r="46" spans="1:27" ht="24.75" customHeight="1" x14ac:dyDescent="0.25">
      <c r="A46" s="26" t="s">
        <v>0</v>
      </c>
      <c r="B46" s="30" t="s">
        <v>73</v>
      </c>
      <c r="C46" s="30" t="s">
        <v>75</v>
      </c>
      <c r="D46" s="13">
        <v>0</v>
      </c>
      <c r="E46" s="14" t="str">
        <f>VLOOKUP(Y46,'3'!A$95:B$98,2,FALSE)</f>
        <v>ABOVE CEILING</v>
      </c>
      <c r="F46" s="14" t="str">
        <f>VLOOKUP(X46,'3'!A$88:B$92,2,FALSE)</f>
        <v>CABLE TRAY</v>
      </c>
      <c r="G46" s="13">
        <v>0</v>
      </c>
      <c r="H46" s="15">
        <f t="shared" si="0"/>
        <v>0</v>
      </c>
      <c r="I46" s="15">
        <f t="shared" si="1"/>
        <v>0</v>
      </c>
      <c r="J46" s="16">
        <f>VLOOKUP(AA46,'1'!A$15:X$50,2,FALSE)</f>
        <v>40</v>
      </c>
      <c r="K46" s="14"/>
      <c r="L46" s="14" t="s">
        <v>0</v>
      </c>
      <c r="M46" s="14" t="s">
        <v>0</v>
      </c>
      <c r="N46" s="17">
        <f>VLOOKUP(X46,'3'!A$88:C$92,3,FALSE)</f>
        <v>0.85</v>
      </c>
      <c r="O46" s="14">
        <f>VLOOKUP(Y46,'3'!A$95:C$98,3,FALSE)</f>
        <v>0.91</v>
      </c>
      <c r="P46" s="15">
        <f t="shared" si="2"/>
        <v>51.712992889463479</v>
      </c>
      <c r="Q46" s="14">
        <f>VLOOKUP(Z46,'3'!A$8:F$85,6,FALSE)</f>
        <v>135</v>
      </c>
      <c r="R46" s="14" t="str">
        <f>VLOOKUP(Z46,'3'!A$8:F$85,2,FALSE)</f>
        <v>4C-25mm2 Cu XLPE PVC CABLE</v>
      </c>
      <c r="S46" s="18">
        <f>VLOOKUP(Z46,'3'!A$8:F$85,3,FALSE)</f>
        <v>1.1140000000000001</v>
      </c>
      <c r="T46" s="15">
        <f t="shared" si="3"/>
        <v>0</v>
      </c>
      <c r="U46" s="15">
        <f t="shared" si="4"/>
        <v>0</v>
      </c>
      <c r="V46" s="15" t="s">
        <v>41</v>
      </c>
      <c r="W46" s="14" t="s">
        <v>0</v>
      </c>
      <c r="X46" s="21">
        <v>5</v>
      </c>
      <c r="Y46" s="21">
        <v>2</v>
      </c>
      <c r="Z46" s="21">
        <v>15</v>
      </c>
      <c r="AA46" s="21">
        <v>9</v>
      </c>
    </row>
    <row r="47" spans="1:27" ht="24.75" customHeight="1" x14ac:dyDescent="0.25">
      <c r="A47" s="26" t="s">
        <v>0</v>
      </c>
      <c r="B47" s="30" t="s">
        <v>75</v>
      </c>
      <c r="C47" s="30" t="s">
        <v>39</v>
      </c>
      <c r="D47" s="13">
        <v>0</v>
      </c>
      <c r="E47" s="14" t="str">
        <f>VLOOKUP(Y47,'3'!A$95:B$98,2,FALSE)</f>
        <v>ABOVE CEILING</v>
      </c>
      <c r="F47" s="14" t="str">
        <f>VLOOKUP(X47,'3'!A$88:B$92,2,FALSE)</f>
        <v>CONDUIT</v>
      </c>
      <c r="G47" s="13">
        <v>0</v>
      </c>
      <c r="H47" s="15">
        <f t="shared" si="0"/>
        <v>0</v>
      </c>
      <c r="I47" s="15">
        <f t="shared" si="1"/>
        <v>0</v>
      </c>
      <c r="J47" s="16">
        <f>VLOOKUP(AA47,'1'!A$15:X$50,2,FALSE)</f>
        <v>40</v>
      </c>
      <c r="K47" s="14"/>
      <c r="L47" s="14" t="s">
        <v>0</v>
      </c>
      <c r="M47" s="14" t="s">
        <v>0</v>
      </c>
      <c r="N47" s="17">
        <f>VLOOKUP(X47,'3'!A$88:C$92,3,FALSE)</f>
        <v>1</v>
      </c>
      <c r="O47" s="14">
        <f>VLOOKUP(Y47,'3'!A$95:C$98,3,FALSE)</f>
        <v>0.91</v>
      </c>
      <c r="P47" s="15">
        <f t="shared" si="2"/>
        <v>43.956043956043956</v>
      </c>
      <c r="Q47" s="14">
        <f>VLOOKUP(Z47,'3'!A$8:F$85,6,FALSE)</f>
        <v>49</v>
      </c>
      <c r="R47" s="14" t="str">
        <f>VLOOKUP(Z47,'3'!A$8:F$85,2,FALSE)</f>
        <v>2C-4.0mm2 Cu PVC/PVC CABLE</v>
      </c>
      <c r="S47" s="18">
        <f>VLOOKUP(Z47,'3'!A$8:F$85,3,FALSE)</f>
        <v>8.6240000000000006</v>
      </c>
      <c r="T47" s="15">
        <f t="shared" si="3"/>
        <v>0</v>
      </c>
      <c r="U47" s="15">
        <f t="shared" si="4"/>
        <v>0</v>
      </c>
      <c r="V47" s="15"/>
      <c r="W47" s="14" t="s">
        <v>0</v>
      </c>
      <c r="X47" s="21">
        <v>4</v>
      </c>
      <c r="Y47" s="21">
        <v>2</v>
      </c>
      <c r="Z47" s="21">
        <v>3</v>
      </c>
      <c r="AA47" s="21">
        <v>9</v>
      </c>
    </row>
    <row r="48" spans="1:27" ht="24.75" customHeight="1" x14ac:dyDescent="0.25">
      <c r="A48" s="26" t="s">
        <v>0</v>
      </c>
      <c r="B48" s="28" t="s">
        <v>64</v>
      </c>
      <c r="C48" s="25" t="s">
        <v>76</v>
      </c>
      <c r="D48" s="13">
        <v>0</v>
      </c>
      <c r="E48" s="14" t="str">
        <f>VLOOKUP(Y48,'3'!A$95:B$98,2,FALSE)</f>
        <v>OUTDOOR</v>
      </c>
      <c r="F48" s="14" t="str">
        <f>VLOOKUP(X48,'3'!A$88:B$92,2,FALSE)</f>
        <v>PVC DUCT</v>
      </c>
      <c r="G48" s="13">
        <v>0</v>
      </c>
      <c r="H48" s="15">
        <f t="shared" si="0"/>
        <v>0</v>
      </c>
      <c r="I48" s="15">
        <f t="shared" si="1"/>
        <v>0</v>
      </c>
      <c r="J48" s="16">
        <f>VLOOKUP(AA48,'1'!A$15:X$50,2,FALSE)</f>
        <v>40</v>
      </c>
      <c r="K48" s="14"/>
      <c r="L48" s="14" t="s">
        <v>0</v>
      </c>
      <c r="M48" s="14" t="s">
        <v>0</v>
      </c>
      <c r="N48" s="17">
        <f>VLOOKUP(X48,'3'!A$88:C$92,3,FALSE)</f>
        <v>1</v>
      </c>
      <c r="O48" s="14">
        <f>VLOOKUP(Y48,'3'!A$95:C$98,3,FALSE)</f>
        <v>0.82</v>
      </c>
      <c r="P48" s="15">
        <f t="shared" si="2"/>
        <v>48.780487804878049</v>
      </c>
      <c r="Q48" s="14">
        <f>VLOOKUP(Z48,'3'!A$8:F$85,6,FALSE)</f>
        <v>1252</v>
      </c>
      <c r="R48" s="14" t="str">
        <f>VLOOKUP(Z48,'3'!A$8:F$85,2,FALSE)</f>
        <v>2(3.5C-300mm2 Cu XLPE PVC CABLE)</v>
      </c>
      <c r="S48" s="18">
        <f>VLOOKUP(Z48,'3'!A$8:F$85,3,FALSE)</f>
        <v>9.9000000000000005E-2</v>
      </c>
      <c r="T48" s="15">
        <f t="shared" si="3"/>
        <v>0</v>
      </c>
      <c r="U48" s="15">
        <f t="shared" si="4"/>
        <v>0</v>
      </c>
      <c r="V48" s="15" t="s">
        <v>77</v>
      </c>
      <c r="W48" s="14" t="s">
        <v>0</v>
      </c>
      <c r="X48" s="21">
        <v>1</v>
      </c>
      <c r="Y48" s="21">
        <v>4</v>
      </c>
      <c r="Z48" s="21">
        <v>41</v>
      </c>
      <c r="AA48" s="21">
        <v>9</v>
      </c>
    </row>
    <row r="49" spans="1:27" ht="24.75" customHeight="1" x14ac:dyDescent="0.25">
      <c r="A49" s="26" t="s">
        <v>0</v>
      </c>
      <c r="B49" s="28" t="s">
        <v>76</v>
      </c>
      <c r="C49" s="25" t="s">
        <v>78</v>
      </c>
      <c r="D49" s="13">
        <v>0</v>
      </c>
      <c r="E49" s="14" t="str">
        <f>VLOOKUP(Y49,'3'!A$95:B$98,2,FALSE)</f>
        <v>ABOVE CEILING</v>
      </c>
      <c r="F49" s="14" t="str">
        <f>VLOOKUP(X49,'3'!A$88:B$92,2,FALSE)</f>
        <v>CABLE TRAY</v>
      </c>
      <c r="G49" s="13">
        <v>0</v>
      </c>
      <c r="H49" s="15">
        <f t="shared" si="0"/>
        <v>0</v>
      </c>
      <c r="I49" s="15">
        <f t="shared" si="1"/>
        <v>0</v>
      </c>
      <c r="J49" s="16">
        <f>VLOOKUP(AA49,'1'!A$15:X$50,2,FALSE)</f>
        <v>40</v>
      </c>
      <c r="K49" s="14"/>
      <c r="L49" s="14" t="s">
        <v>0</v>
      </c>
      <c r="M49" s="14" t="s">
        <v>0</v>
      </c>
      <c r="N49" s="17">
        <f>VLOOKUP(X49,'3'!A$88:C$92,3,FALSE)</f>
        <v>0.85</v>
      </c>
      <c r="O49" s="14">
        <f>VLOOKUP(Y49,'3'!A$95:C$98,3,FALSE)</f>
        <v>0.91</v>
      </c>
      <c r="P49" s="15">
        <f t="shared" si="2"/>
        <v>51.712992889463479</v>
      </c>
      <c r="Q49" s="14">
        <f>VLOOKUP(Z49,'3'!A$8:F$85,6,FALSE)</f>
        <v>298</v>
      </c>
      <c r="R49" s="14" t="str">
        <f>VLOOKUP(Z49,'3'!A$8:F$85,2,FALSE)</f>
        <v>4C-95mm2 Cu XLPE PVC CABLE</v>
      </c>
      <c r="S49" s="18">
        <f>VLOOKUP(Z49,'3'!A$8:F$85,3,FALSE)</f>
        <v>0.44400000000000001</v>
      </c>
      <c r="T49" s="15">
        <f t="shared" si="3"/>
        <v>0</v>
      </c>
      <c r="U49" s="15">
        <f t="shared" si="4"/>
        <v>0</v>
      </c>
      <c r="V49" s="15" t="s">
        <v>79</v>
      </c>
      <c r="W49" s="14" t="s">
        <v>0</v>
      </c>
      <c r="X49" s="21">
        <v>5</v>
      </c>
      <c r="Y49" s="21">
        <v>2</v>
      </c>
      <c r="Z49" s="21">
        <v>29</v>
      </c>
      <c r="AA49" s="21">
        <v>9</v>
      </c>
    </row>
    <row r="50" spans="1:27" ht="24.75" customHeight="1" x14ac:dyDescent="0.25">
      <c r="A50" s="26" t="s">
        <v>0</v>
      </c>
      <c r="B50" s="30" t="s">
        <v>76</v>
      </c>
      <c r="C50" s="30" t="s">
        <v>80</v>
      </c>
      <c r="D50" s="13">
        <v>0</v>
      </c>
      <c r="E50" s="14" t="str">
        <f>VLOOKUP(Y50,'3'!A$95:B$98,2,FALSE)</f>
        <v>ABOVE CEILING</v>
      </c>
      <c r="F50" s="14" t="str">
        <f>VLOOKUP(X50,'3'!A$88:B$92,2,FALSE)</f>
        <v>CABLE TRAY</v>
      </c>
      <c r="G50" s="13">
        <v>0</v>
      </c>
      <c r="H50" s="15">
        <f t="shared" si="0"/>
        <v>0</v>
      </c>
      <c r="I50" s="15">
        <f t="shared" si="1"/>
        <v>0</v>
      </c>
      <c r="J50" s="16">
        <f>VLOOKUP(AA50,'1'!A$15:X$50,2,FALSE)</f>
        <v>40</v>
      </c>
      <c r="K50" s="14"/>
      <c r="L50" s="14" t="s">
        <v>0</v>
      </c>
      <c r="M50" s="14" t="s">
        <v>0</v>
      </c>
      <c r="N50" s="17">
        <f>VLOOKUP(X50,'3'!A$88:C$92,3,FALSE)</f>
        <v>0.85</v>
      </c>
      <c r="O50" s="14">
        <f>VLOOKUP(Y50,'3'!A$95:C$98,3,FALSE)</f>
        <v>0.91</v>
      </c>
      <c r="P50" s="15">
        <f t="shared" si="2"/>
        <v>51.712992889463479</v>
      </c>
      <c r="Q50" s="14">
        <f>VLOOKUP(Z50,'3'!A$8:F$85,6,FALSE)</f>
        <v>99</v>
      </c>
      <c r="R50" s="14" t="str">
        <f>VLOOKUP(Z50,'3'!A$8:F$85,2,FALSE)</f>
        <v>4C-16mm2 Cu XLPE PVC CABLE</v>
      </c>
      <c r="S50" s="18">
        <f>VLOOKUP(Z50,'3'!A$8:F$85,3,FALSE)</f>
        <v>2.2389999999999999</v>
      </c>
      <c r="T50" s="15">
        <f t="shared" si="3"/>
        <v>0</v>
      </c>
      <c r="U50" s="15">
        <f t="shared" si="4"/>
        <v>0</v>
      </c>
      <c r="V50" s="15" t="s">
        <v>62</v>
      </c>
      <c r="W50" s="14" t="s">
        <v>0</v>
      </c>
      <c r="X50" s="21">
        <v>5</v>
      </c>
      <c r="Y50" s="21">
        <v>2</v>
      </c>
      <c r="Z50" s="21">
        <v>14</v>
      </c>
      <c r="AA50" s="21">
        <v>9</v>
      </c>
    </row>
    <row r="51" spans="1:27" ht="24.75" customHeight="1" x14ac:dyDescent="0.25">
      <c r="A51" s="26" t="s">
        <v>0</v>
      </c>
      <c r="B51" s="28" t="s">
        <v>76</v>
      </c>
      <c r="C51" s="25" t="s">
        <v>81</v>
      </c>
      <c r="D51" s="13">
        <v>0</v>
      </c>
      <c r="E51" s="26" t="str">
        <f>VLOOKUP(Y51,'3'!A$95:B$98,2,FALSE)</f>
        <v>ABOVE CEILING</v>
      </c>
      <c r="F51" s="26" t="str">
        <f>VLOOKUP(X51,'3'!A$88:B$92,2,FALSE)</f>
        <v>CABLE TRAY</v>
      </c>
      <c r="G51" s="13">
        <v>0</v>
      </c>
      <c r="H51" s="15">
        <f t="shared" si="0"/>
        <v>0</v>
      </c>
      <c r="I51" s="15">
        <f t="shared" si="1"/>
        <v>0</v>
      </c>
      <c r="J51" s="31">
        <f>VLOOKUP(AA51,'1'!A$15:X$50,2,FALSE)</f>
        <v>25</v>
      </c>
      <c r="K51" s="26"/>
      <c r="L51" s="26" t="s">
        <v>0</v>
      </c>
      <c r="M51" s="26" t="s">
        <v>0</v>
      </c>
      <c r="N51" s="17">
        <f>VLOOKUP(X51,'3'!A$88:C$92,3,FALSE)</f>
        <v>0.85</v>
      </c>
      <c r="O51" s="14">
        <f>VLOOKUP(Y51,'3'!A$95:C$98,3,FALSE)</f>
        <v>0.91</v>
      </c>
      <c r="P51" s="15">
        <f t="shared" si="2"/>
        <v>32.320620555914672</v>
      </c>
      <c r="Q51" s="32">
        <f>VLOOKUP(Z51,'3'!A$8:F$85,6,FALSE)</f>
        <v>161</v>
      </c>
      <c r="R51" s="26" t="str">
        <f>VLOOKUP(Z51,'3'!A$8:F$85,2,FALSE)</f>
        <v>4C-35mm2 Cu XLPE PVC CABLE</v>
      </c>
      <c r="S51" s="33">
        <f>VLOOKUP(Z51,'3'!A$8:F$85,3,FALSE)</f>
        <v>1.0629999999999999</v>
      </c>
      <c r="T51" s="15">
        <f t="shared" si="3"/>
        <v>0</v>
      </c>
      <c r="U51" s="15">
        <f t="shared" si="4"/>
        <v>0</v>
      </c>
      <c r="V51" s="15" t="s">
        <v>82</v>
      </c>
      <c r="W51" s="26" t="s">
        <v>0</v>
      </c>
      <c r="X51" s="21">
        <v>5</v>
      </c>
      <c r="Y51" s="21">
        <v>2</v>
      </c>
      <c r="Z51" s="21">
        <v>16</v>
      </c>
      <c r="AA51" s="21">
        <v>7</v>
      </c>
    </row>
    <row r="52" spans="1:27" ht="24.75" customHeight="1" x14ac:dyDescent="0.25">
      <c r="A52" s="26" t="s">
        <v>0</v>
      </c>
      <c r="B52" s="30" t="s">
        <v>76</v>
      </c>
      <c r="C52" s="30" t="s">
        <v>83</v>
      </c>
      <c r="D52" s="13">
        <v>0</v>
      </c>
      <c r="E52" s="26" t="str">
        <f>VLOOKUP(Y52,'3'!A$95:B$98,2,FALSE)</f>
        <v>ABOVE CEILING</v>
      </c>
      <c r="F52" s="26" t="str">
        <f>VLOOKUP(X52,'3'!A$88:B$92,2,FALSE)</f>
        <v>CABLE TRAY</v>
      </c>
      <c r="G52" s="13">
        <v>0</v>
      </c>
      <c r="H52" s="15">
        <f t="shared" si="0"/>
        <v>0</v>
      </c>
      <c r="I52" s="15">
        <f t="shared" si="1"/>
        <v>0</v>
      </c>
      <c r="J52" s="31">
        <f>VLOOKUP(AA52,'1'!A$15:X$50,2,FALSE)</f>
        <v>25</v>
      </c>
      <c r="K52" s="26"/>
      <c r="L52" s="26" t="s">
        <v>0</v>
      </c>
      <c r="M52" s="26" t="s">
        <v>0</v>
      </c>
      <c r="N52" s="17">
        <f>VLOOKUP(X52,'3'!A$88:C$92,3,FALSE)</f>
        <v>0.85</v>
      </c>
      <c r="O52" s="14">
        <f>VLOOKUP(Y52,'3'!A$95:C$98,3,FALSE)</f>
        <v>0.91</v>
      </c>
      <c r="P52" s="15">
        <f t="shared" si="2"/>
        <v>32.320620555914672</v>
      </c>
      <c r="Q52" s="32">
        <f>VLOOKUP(Z52,'3'!A$8:F$85,6,FALSE)</f>
        <v>161</v>
      </c>
      <c r="R52" s="26" t="str">
        <f>VLOOKUP(Z52,'3'!A$8:F$85,2,FALSE)</f>
        <v>4C-35mm2 Cu XLPE PVC CABLE</v>
      </c>
      <c r="S52" s="33">
        <f>VLOOKUP(Z52,'3'!A$8:F$85,3,FALSE)</f>
        <v>1.0629999999999999</v>
      </c>
      <c r="T52" s="15">
        <f t="shared" si="3"/>
        <v>0</v>
      </c>
      <c r="U52" s="15">
        <f t="shared" si="4"/>
        <v>0</v>
      </c>
      <c r="V52" s="15" t="s">
        <v>82</v>
      </c>
      <c r="W52" s="26" t="s">
        <v>0</v>
      </c>
      <c r="X52" s="21">
        <v>5</v>
      </c>
      <c r="Y52" s="21">
        <v>2</v>
      </c>
      <c r="Z52" s="21">
        <v>16</v>
      </c>
      <c r="AA52" s="21">
        <v>7</v>
      </c>
    </row>
    <row r="53" spans="1:27" ht="24.75" customHeight="1" x14ac:dyDescent="0.25">
      <c r="A53" s="26" t="s">
        <v>0</v>
      </c>
      <c r="B53" s="28" t="s">
        <v>76</v>
      </c>
      <c r="C53" s="25" t="s">
        <v>84</v>
      </c>
      <c r="D53" s="13">
        <v>0</v>
      </c>
      <c r="E53" s="26" t="str">
        <f>VLOOKUP(Y53,'3'!A$95:B$98,2,FALSE)</f>
        <v>ABOVE CEILING</v>
      </c>
      <c r="F53" s="26" t="str">
        <f>VLOOKUP(X53,'3'!A$88:B$92,2,FALSE)</f>
        <v>CABLE TRAY</v>
      </c>
      <c r="G53" s="13">
        <v>0</v>
      </c>
      <c r="H53" s="15">
        <f t="shared" si="0"/>
        <v>0</v>
      </c>
      <c r="I53" s="15">
        <f t="shared" si="1"/>
        <v>0</v>
      </c>
      <c r="J53" s="31">
        <f>VLOOKUP(AA53,'1'!A$15:X$50,2,FALSE)</f>
        <v>25</v>
      </c>
      <c r="K53" s="26"/>
      <c r="L53" s="26" t="s">
        <v>0</v>
      </c>
      <c r="M53" s="26" t="s">
        <v>0</v>
      </c>
      <c r="N53" s="17">
        <f>VLOOKUP(X53,'3'!A$88:C$92,3,FALSE)</f>
        <v>0.85</v>
      </c>
      <c r="O53" s="14">
        <f>VLOOKUP(Y53,'3'!A$95:C$98,3,FALSE)</f>
        <v>0.91</v>
      </c>
      <c r="P53" s="15">
        <f t="shared" si="2"/>
        <v>32.320620555914672</v>
      </c>
      <c r="Q53" s="32">
        <f>VLOOKUP(Z53,'3'!A$8:F$85,6,FALSE)</f>
        <v>298</v>
      </c>
      <c r="R53" s="26" t="str">
        <f>VLOOKUP(Z53,'3'!A$8:F$85,2,FALSE)</f>
        <v>4C-95mm2 Cu XLPE PVC CABLE</v>
      </c>
      <c r="S53" s="33">
        <f>VLOOKUP(Z53,'3'!A$8:F$85,3,FALSE)</f>
        <v>0.44400000000000001</v>
      </c>
      <c r="T53" s="15">
        <f t="shared" si="3"/>
        <v>0</v>
      </c>
      <c r="U53" s="15">
        <f t="shared" si="4"/>
        <v>0</v>
      </c>
      <c r="V53" s="15" t="s">
        <v>79</v>
      </c>
      <c r="W53" s="26" t="s">
        <v>0</v>
      </c>
      <c r="X53" s="21">
        <v>5</v>
      </c>
      <c r="Y53" s="21">
        <v>2</v>
      </c>
      <c r="Z53" s="21">
        <v>29</v>
      </c>
      <c r="AA53" s="21">
        <v>7</v>
      </c>
    </row>
    <row r="54" spans="1:27" ht="24.75" customHeight="1" x14ac:dyDescent="0.25">
      <c r="A54" s="26" t="s">
        <v>0</v>
      </c>
      <c r="B54" s="30" t="s">
        <v>76</v>
      </c>
      <c r="C54" s="30" t="s">
        <v>85</v>
      </c>
      <c r="D54" s="13">
        <v>0</v>
      </c>
      <c r="E54" s="26" t="str">
        <f>VLOOKUP(Y54,'3'!A$95:B$98,2,FALSE)</f>
        <v>ABOVE CEILING</v>
      </c>
      <c r="F54" s="26" t="str">
        <f>VLOOKUP(X54,'3'!A$88:B$92,2,FALSE)</f>
        <v>CABLE TRAY</v>
      </c>
      <c r="G54" s="13">
        <v>0</v>
      </c>
      <c r="H54" s="15">
        <f t="shared" si="0"/>
        <v>0</v>
      </c>
      <c r="I54" s="15">
        <f t="shared" si="1"/>
        <v>0</v>
      </c>
      <c r="J54" s="31">
        <f>VLOOKUP(AA54,'1'!A$15:X$50,2,FALSE)</f>
        <v>25</v>
      </c>
      <c r="K54" s="26"/>
      <c r="L54" s="26" t="s">
        <v>0</v>
      </c>
      <c r="M54" s="26" t="s">
        <v>0</v>
      </c>
      <c r="N54" s="17">
        <f>VLOOKUP(X54,'3'!A$88:C$92,3,FALSE)</f>
        <v>0.85</v>
      </c>
      <c r="O54" s="14">
        <f>VLOOKUP(Y54,'3'!A$95:C$98,3,FALSE)</f>
        <v>0.91</v>
      </c>
      <c r="P54" s="15">
        <f t="shared" si="2"/>
        <v>32.320620555914672</v>
      </c>
      <c r="Q54" s="32">
        <f>VLOOKUP(Z54,'3'!A$8:F$85,6,FALSE)</f>
        <v>298</v>
      </c>
      <c r="R54" s="26" t="str">
        <f>VLOOKUP(Z54,'3'!A$8:F$85,2,FALSE)</f>
        <v>4C-95mm2 Cu XLPE PVC CABLE</v>
      </c>
      <c r="S54" s="33">
        <f>VLOOKUP(Z54,'3'!A$8:F$85,3,FALSE)</f>
        <v>0.44400000000000001</v>
      </c>
      <c r="T54" s="15">
        <f t="shared" si="3"/>
        <v>0</v>
      </c>
      <c r="U54" s="15">
        <f t="shared" si="4"/>
        <v>0</v>
      </c>
      <c r="V54" s="15" t="s">
        <v>79</v>
      </c>
      <c r="W54" s="26" t="s">
        <v>0</v>
      </c>
      <c r="X54" s="21">
        <v>5</v>
      </c>
      <c r="Y54" s="21">
        <v>2</v>
      </c>
      <c r="Z54" s="21">
        <v>29</v>
      </c>
      <c r="AA54" s="21">
        <v>7</v>
      </c>
    </row>
    <row r="55" spans="1:27" ht="24.75" customHeight="1" x14ac:dyDescent="0.25">
      <c r="A55" s="26" t="s">
        <v>0</v>
      </c>
      <c r="B55" s="28" t="s">
        <v>76</v>
      </c>
      <c r="C55" s="25" t="s">
        <v>86</v>
      </c>
      <c r="D55" s="13">
        <v>0</v>
      </c>
      <c r="E55" s="26" t="str">
        <f>VLOOKUP(Y55,'3'!A$95:B$98,2,FALSE)</f>
        <v>ABOVE CEILING</v>
      </c>
      <c r="F55" s="26" t="str">
        <f>VLOOKUP(X55,'3'!A$88:B$92,2,FALSE)</f>
        <v>CABLE TRAY</v>
      </c>
      <c r="G55" s="13">
        <v>0</v>
      </c>
      <c r="H55" s="15">
        <f t="shared" si="0"/>
        <v>0</v>
      </c>
      <c r="I55" s="15">
        <f t="shared" si="1"/>
        <v>0</v>
      </c>
      <c r="J55" s="31">
        <f>VLOOKUP(AA55,'1'!A$15:X$50,2,FALSE)</f>
        <v>25</v>
      </c>
      <c r="K55" s="26"/>
      <c r="L55" s="26" t="s">
        <v>0</v>
      </c>
      <c r="M55" s="26" t="s">
        <v>0</v>
      </c>
      <c r="N55" s="17">
        <f>VLOOKUP(X55,'3'!A$88:C$92,3,FALSE)</f>
        <v>0.85</v>
      </c>
      <c r="O55" s="14">
        <f>VLOOKUP(Y55,'3'!A$95:C$98,3,FALSE)</f>
        <v>0.91</v>
      </c>
      <c r="P55" s="15">
        <f t="shared" si="2"/>
        <v>32.320620555914672</v>
      </c>
      <c r="Q55" s="32">
        <f>VLOOKUP(Z55,'3'!A$8:F$85,6,FALSE)</f>
        <v>135</v>
      </c>
      <c r="R55" s="26" t="str">
        <f>VLOOKUP(Z55,'3'!A$8:F$85,2,FALSE)</f>
        <v>4C-25mm2 Cu XLPE PVC CABLE</v>
      </c>
      <c r="S55" s="33">
        <f>VLOOKUP(Z55,'3'!A$8:F$85,3,FALSE)</f>
        <v>1.1140000000000001</v>
      </c>
      <c r="T55" s="15">
        <f t="shared" si="3"/>
        <v>0</v>
      </c>
      <c r="U55" s="15">
        <f t="shared" si="4"/>
        <v>0</v>
      </c>
      <c r="V55" s="15" t="s">
        <v>41</v>
      </c>
      <c r="W55" s="26" t="s">
        <v>0</v>
      </c>
      <c r="X55" s="21">
        <v>5</v>
      </c>
      <c r="Y55" s="21">
        <v>2</v>
      </c>
      <c r="Z55" s="21">
        <v>15</v>
      </c>
      <c r="AA55" s="21">
        <v>7</v>
      </c>
    </row>
    <row r="56" spans="1:27" ht="24.75" customHeight="1" x14ac:dyDescent="0.25">
      <c r="A56" s="14" t="s">
        <v>0</v>
      </c>
      <c r="B56" s="30" t="s">
        <v>76</v>
      </c>
      <c r="C56" s="30" t="s">
        <v>87</v>
      </c>
      <c r="D56" s="13">
        <v>0</v>
      </c>
      <c r="E56" s="26" t="str">
        <f>VLOOKUP(Y56,'3'!A$95:B$98,2,FALSE)</f>
        <v>ABOVE CEILING</v>
      </c>
      <c r="F56" s="26" t="str">
        <f>VLOOKUP(X56,'3'!A$88:B$92,2,FALSE)</f>
        <v>CABLE TRAY</v>
      </c>
      <c r="G56" s="13">
        <v>0</v>
      </c>
      <c r="H56" s="15">
        <f t="shared" si="0"/>
        <v>0</v>
      </c>
      <c r="I56" s="15">
        <f t="shared" si="1"/>
        <v>0</v>
      </c>
      <c r="J56" s="31">
        <f>VLOOKUP(AA56,'1'!A$15:X$50,2,FALSE)</f>
        <v>25</v>
      </c>
      <c r="K56" s="14"/>
      <c r="L56" s="14" t="s">
        <v>0</v>
      </c>
      <c r="M56" s="14" t="s">
        <v>0</v>
      </c>
      <c r="N56" s="17">
        <f>VLOOKUP(X56,'3'!A$88:C$92,3,FALSE)</f>
        <v>0.85</v>
      </c>
      <c r="O56" s="14">
        <f>VLOOKUP(Y56,'3'!A$95:C$98,3,FALSE)</f>
        <v>0.91</v>
      </c>
      <c r="P56" s="15">
        <f t="shared" si="2"/>
        <v>32.320620555914672</v>
      </c>
      <c r="Q56" s="32">
        <f>VLOOKUP(Z56,'3'!A$8:F$85,6,FALSE)</f>
        <v>135</v>
      </c>
      <c r="R56" s="26" t="str">
        <f>VLOOKUP(Z56,'3'!A$8:F$85,2,FALSE)</f>
        <v>4C-25mm2 Cu XLPE PVC CABLE</v>
      </c>
      <c r="S56" s="33">
        <f>VLOOKUP(Z56,'3'!A$8:F$85,3,FALSE)</f>
        <v>1.1140000000000001</v>
      </c>
      <c r="T56" s="15">
        <f t="shared" si="3"/>
        <v>0</v>
      </c>
      <c r="U56" s="15">
        <f t="shared" si="4"/>
        <v>0</v>
      </c>
      <c r="V56" s="15" t="s">
        <v>41</v>
      </c>
      <c r="W56" s="14" t="s">
        <v>0</v>
      </c>
      <c r="X56" s="34">
        <v>5</v>
      </c>
      <c r="Y56" s="34">
        <v>2</v>
      </c>
      <c r="Z56" s="34">
        <v>15</v>
      </c>
      <c r="AA56" s="34">
        <v>7</v>
      </c>
    </row>
    <row r="57" spans="1:27" ht="24.75" customHeight="1" x14ac:dyDescent="0.25">
      <c r="A57" s="26" t="s">
        <v>0</v>
      </c>
      <c r="B57" s="28" t="s">
        <v>76</v>
      </c>
      <c r="C57" s="25" t="s">
        <v>88</v>
      </c>
      <c r="D57" s="13">
        <v>0</v>
      </c>
      <c r="E57" s="26" t="str">
        <f>VLOOKUP(Y57,'3'!A$95:B$98,2,FALSE)</f>
        <v>ABOVE CEILING</v>
      </c>
      <c r="F57" s="26" t="str">
        <f>VLOOKUP(X57,'3'!A$88:B$92,2,FALSE)</f>
        <v>CABLE TRAY</v>
      </c>
      <c r="G57" s="13">
        <v>0</v>
      </c>
      <c r="H57" s="15">
        <f t="shared" si="0"/>
        <v>0</v>
      </c>
      <c r="I57" s="15">
        <f t="shared" si="1"/>
        <v>0</v>
      </c>
      <c r="J57" s="31">
        <f>VLOOKUP(AA57,'1'!A$15:X$50,2,FALSE)</f>
        <v>25</v>
      </c>
      <c r="K57" s="26"/>
      <c r="L57" s="26" t="s">
        <v>0</v>
      </c>
      <c r="M57" s="26" t="s">
        <v>0</v>
      </c>
      <c r="N57" s="17">
        <f>VLOOKUP(X57,'3'!A$88:C$92,3,FALSE)</f>
        <v>0.85</v>
      </c>
      <c r="O57" s="14">
        <f>VLOOKUP(Y57,'3'!A$95:C$98,3,FALSE)</f>
        <v>0.91</v>
      </c>
      <c r="P57" s="15">
        <f t="shared" si="2"/>
        <v>32.320620555914672</v>
      </c>
      <c r="Q57" s="32">
        <f>VLOOKUP(Z57,'3'!A$8:F$85,6,FALSE)</f>
        <v>298</v>
      </c>
      <c r="R57" s="26" t="str">
        <f>VLOOKUP(Z57,'3'!A$8:F$85,2,FALSE)</f>
        <v>4C-95mm2 Cu XLPE PVC CABLE</v>
      </c>
      <c r="S57" s="33">
        <f>VLOOKUP(Z57,'3'!A$8:F$85,3,FALSE)</f>
        <v>0.44400000000000001</v>
      </c>
      <c r="T57" s="15">
        <f t="shared" si="3"/>
        <v>0</v>
      </c>
      <c r="U57" s="15">
        <f t="shared" si="4"/>
        <v>0</v>
      </c>
      <c r="V57" s="15" t="s">
        <v>79</v>
      </c>
      <c r="W57" s="26" t="s">
        <v>0</v>
      </c>
      <c r="X57" s="34">
        <v>5</v>
      </c>
      <c r="Y57" s="34">
        <v>2</v>
      </c>
      <c r="Z57" s="34">
        <v>29</v>
      </c>
      <c r="AA57" s="34">
        <v>7</v>
      </c>
    </row>
    <row r="58" spans="1:27" ht="24.75" customHeight="1" x14ac:dyDescent="0.25">
      <c r="A58" s="26" t="s">
        <v>0</v>
      </c>
      <c r="B58" s="30" t="s">
        <v>76</v>
      </c>
      <c r="C58" s="30" t="s">
        <v>89</v>
      </c>
      <c r="D58" s="13">
        <v>0</v>
      </c>
      <c r="E58" s="26" t="str">
        <f>VLOOKUP(Y58,'3'!A$95:B$98,2,FALSE)</f>
        <v>ABOVE CEILING</v>
      </c>
      <c r="F58" s="26" t="str">
        <f>VLOOKUP(X58,'3'!A$88:B$92,2,FALSE)</f>
        <v>CABLE TRAY</v>
      </c>
      <c r="G58" s="13">
        <v>0</v>
      </c>
      <c r="H58" s="15">
        <f t="shared" si="0"/>
        <v>0</v>
      </c>
      <c r="I58" s="15">
        <f t="shared" si="1"/>
        <v>0</v>
      </c>
      <c r="J58" s="31">
        <f>VLOOKUP(AA58,'1'!A$15:X$50,2,FALSE)</f>
        <v>25</v>
      </c>
      <c r="K58" s="26"/>
      <c r="L58" s="26" t="s">
        <v>0</v>
      </c>
      <c r="M58" s="26" t="s">
        <v>0</v>
      </c>
      <c r="N58" s="17">
        <f>VLOOKUP(X58,'3'!A$88:C$92,3,FALSE)</f>
        <v>0.85</v>
      </c>
      <c r="O58" s="14">
        <f>VLOOKUP(Y58,'3'!A$95:C$98,3,FALSE)</f>
        <v>0.91</v>
      </c>
      <c r="P58" s="15">
        <f t="shared" si="2"/>
        <v>32.320620555914672</v>
      </c>
      <c r="Q58" s="32">
        <f>VLOOKUP(Z58,'3'!A$8:F$85,6,FALSE)</f>
        <v>56</v>
      </c>
      <c r="R58" s="26" t="str">
        <f>VLOOKUP(Z58,'3'!A$8:F$85,2,FALSE)</f>
        <v>4C-6.0mm2 Cu XLPE PVC CABLE</v>
      </c>
      <c r="S58" s="33">
        <f>VLOOKUP(Z58,'3'!A$8:F$85,3,FALSE)</f>
        <v>5.8710000000000004</v>
      </c>
      <c r="T58" s="15">
        <f t="shared" si="3"/>
        <v>0</v>
      </c>
      <c r="U58" s="15">
        <f t="shared" si="4"/>
        <v>0</v>
      </c>
      <c r="V58" s="15" t="s">
        <v>56</v>
      </c>
      <c r="W58" s="26" t="s">
        <v>0</v>
      </c>
      <c r="X58" s="34">
        <v>5</v>
      </c>
      <c r="Y58" s="34">
        <v>2</v>
      </c>
      <c r="Z58" s="34">
        <v>12</v>
      </c>
      <c r="AA58" s="34">
        <v>7</v>
      </c>
    </row>
    <row r="59" spans="1:27" ht="24.75" customHeight="1" x14ac:dyDescent="0.25">
      <c r="A59" s="26" t="s">
        <v>0</v>
      </c>
      <c r="B59" s="30" t="s">
        <v>89</v>
      </c>
      <c r="C59" s="30" t="s">
        <v>39</v>
      </c>
      <c r="D59" s="13">
        <v>0</v>
      </c>
      <c r="E59" s="26" t="str">
        <f>VLOOKUP(Y59,'3'!A$95:B$98,2,FALSE)</f>
        <v>ABOVE CEILING</v>
      </c>
      <c r="F59" s="26" t="str">
        <f>VLOOKUP(X59,'3'!A$88:B$92,2,FALSE)</f>
        <v>CONDUIT</v>
      </c>
      <c r="G59" s="13">
        <v>0</v>
      </c>
      <c r="H59" s="15">
        <f t="shared" si="0"/>
        <v>0</v>
      </c>
      <c r="I59" s="15">
        <f t="shared" si="1"/>
        <v>0</v>
      </c>
      <c r="J59" s="31">
        <f>VLOOKUP(AA59,'1'!A$15:X$50,2,FALSE)</f>
        <v>25</v>
      </c>
      <c r="K59" s="26"/>
      <c r="L59" s="26" t="s">
        <v>0</v>
      </c>
      <c r="M59" s="26" t="s">
        <v>0</v>
      </c>
      <c r="N59" s="17">
        <f>VLOOKUP(X59,'3'!A$88:C$92,3,FALSE)</f>
        <v>1</v>
      </c>
      <c r="O59" s="14">
        <f>VLOOKUP(Y59,'3'!A$95:C$98,3,FALSE)</f>
        <v>0.91</v>
      </c>
      <c r="P59" s="15">
        <f t="shared" si="2"/>
        <v>27.472527472527471</v>
      </c>
      <c r="Q59" s="32">
        <f>VLOOKUP(Z59,'3'!A$8:F$85,6,FALSE)</f>
        <v>49</v>
      </c>
      <c r="R59" s="26" t="str">
        <f>VLOOKUP(Z59,'3'!A$8:F$85,2,FALSE)</f>
        <v>2C-4.0mm2 Cu PVC/PVC CABLE</v>
      </c>
      <c r="S59" s="33">
        <f>VLOOKUP(Z59,'3'!A$8:F$85,3,FALSE)</f>
        <v>8.6240000000000006</v>
      </c>
      <c r="T59" s="15">
        <f t="shared" si="3"/>
        <v>0</v>
      </c>
      <c r="U59" s="15">
        <f t="shared" si="4"/>
        <v>0</v>
      </c>
      <c r="V59" s="15"/>
      <c r="W59" s="26" t="s">
        <v>0</v>
      </c>
      <c r="X59" s="34">
        <v>4</v>
      </c>
      <c r="Y59" s="34">
        <v>2</v>
      </c>
      <c r="Z59" s="34">
        <v>3</v>
      </c>
      <c r="AA59" s="34">
        <v>7</v>
      </c>
    </row>
    <row r="60" spans="1:27" ht="24.75" customHeight="1" x14ac:dyDescent="0.25">
      <c r="A60" s="26" t="s">
        <v>0</v>
      </c>
      <c r="B60" s="28" t="s">
        <v>76</v>
      </c>
      <c r="C60" s="25" t="s">
        <v>90</v>
      </c>
      <c r="D60" s="13">
        <v>0</v>
      </c>
      <c r="E60" s="26" t="str">
        <f>VLOOKUP(Y60,'3'!A$95:B$98,2,FALSE)</f>
        <v>ABOVE CEILING</v>
      </c>
      <c r="F60" s="26" t="str">
        <f>VLOOKUP(X60,'3'!A$88:B$92,2,FALSE)</f>
        <v>CABLE TRAY</v>
      </c>
      <c r="G60" s="13">
        <v>0</v>
      </c>
      <c r="H60" s="15">
        <f t="shared" si="0"/>
        <v>0</v>
      </c>
      <c r="I60" s="15">
        <f t="shared" si="1"/>
        <v>0</v>
      </c>
      <c r="J60" s="31">
        <f>VLOOKUP(AA60,'1'!A$15:X$50,2,FALSE)</f>
        <v>25</v>
      </c>
      <c r="K60" s="26"/>
      <c r="L60" s="26" t="s">
        <v>0</v>
      </c>
      <c r="M60" s="26" t="s">
        <v>0</v>
      </c>
      <c r="N60" s="17">
        <f>VLOOKUP(X60,'3'!A$88:C$92,3,FALSE)</f>
        <v>0.85</v>
      </c>
      <c r="O60" s="14">
        <f>VLOOKUP(Y60,'3'!A$95:C$98,3,FALSE)</f>
        <v>0.91</v>
      </c>
      <c r="P60" s="15">
        <f t="shared" si="2"/>
        <v>32.320620555914672</v>
      </c>
      <c r="Q60" s="32">
        <f>VLOOKUP(Z60,'3'!A$8:F$85,6,FALSE)</f>
        <v>76</v>
      </c>
      <c r="R60" s="26" t="str">
        <f>VLOOKUP(Z60,'3'!A$8:F$85,2,FALSE)</f>
        <v>4C-10mm2 Cu XLPE PVC CABLE</v>
      </c>
      <c r="S60" s="33">
        <f>VLOOKUP(Z60,'3'!A$8:F$85,3,FALSE)</f>
        <v>3.5190000000000001</v>
      </c>
      <c r="T60" s="15">
        <f t="shared" si="3"/>
        <v>0</v>
      </c>
      <c r="U60" s="15">
        <f t="shared" si="4"/>
        <v>0</v>
      </c>
      <c r="V60" s="15" t="s">
        <v>46</v>
      </c>
      <c r="W60" s="26" t="s">
        <v>0</v>
      </c>
      <c r="X60" s="34">
        <v>5</v>
      </c>
      <c r="Y60" s="34">
        <v>2</v>
      </c>
      <c r="Z60" s="34">
        <v>13</v>
      </c>
      <c r="AA60" s="34">
        <v>7</v>
      </c>
    </row>
    <row r="61" spans="1:27" ht="24.75" customHeight="1" x14ac:dyDescent="0.25">
      <c r="A61" s="26" t="s">
        <v>0</v>
      </c>
      <c r="B61" s="30" t="s">
        <v>64</v>
      </c>
      <c r="C61" s="30" t="s">
        <v>91</v>
      </c>
      <c r="D61" s="13">
        <v>0</v>
      </c>
      <c r="E61" s="26" t="str">
        <f>VLOOKUP(Y61,'3'!A$95:B$98,2,FALSE)</f>
        <v>NO CEILING</v>
      </c>
      <c r="F61" s="26" t="str">
        <f>VLOOKUP(X61,'3'!A$88:B$92,2,FALSE)</f>
        <v>CABLE TRAY</v>
      </c>
      <c r="G61" s="13">
        <v>0</v>
      </c>
      <c r="H61" s="15">
        <f t="shared" si="0"/>
        <v>0</v>
      </c>
      <c r="I61" s="15">
        <f t="shared" si="1"/>
        <v>0</v>
      </c>
      <c r="J61" s="31">
        <f>VLOOKUP(AA61,'1'!A$15:X$50,2,FALSE)</f>
        <v>25</v>
      </c>
      <c r="K61" s="26"/>
      <c r="L61" s="26" t="s">
        <v>0</v>
      </c>
      <c r="M61" s="26" t="s">
        <v>0</v>
      </c>
      <c r="N61" s="17">
        <f>VLOOKUP(X61,'3'!A$88:C$92,3,FALSE)</f>
        <v>0.85</v>
      </c>
      <c r="O61" s="14">
        <f>VLOOKUP(Y61,'3'!A$95:C$98,3,FALSE)</f>
        <v>0.96</v>
      </c>
      <c r="P61" s="15">
        <f t="shared" si="2"/>
        <v>30.637254901960787</v>
      </c>
      <c r="Q61" s="32">
        <f>VLOOKUP(Z61,'3'!A$8:F$85,6,FALSE)</f>
        <v>161</v>
      </c>
      <c r="R61" s="26" t="str">
        <f>VLOOKUP(Z61,'3'!A$8:F$85,2,FALSE)</f>
        <v>4C-35mm2 Cu XLPE PVC CABLE</v>
      </c>
      <c r="S61" s="33">
        <f>VLOOKUP(Z61,'3'!A$8:F$85,3,FALSE)</f>
        <v>1.0629999999999999</v>
      </c>
      <c r="T61" s="15">
        <f t="shared" si="3"/>
        <v>0</v>
      </c>
      <c r="U61" s="15">
        <f t="shared" si="4"/>
        <v>0</v>
      </c>
      <c r="V61" s="15" t="s">
        <v>82</v>
      </c>
      <c r="W61" s="26" t="s">
        <v>0</v>
      </c>
      <c r="X61" s="34">
        <v>5</v>
      </c>
      <c r="Y61" s="34">
        <v>3</v>
      </c>
      <c r="Z61" s="34">
        <v>16</v>
      </c>
      <c r="AA61" s="34">
        <v>7</v>
      </c>
    </row>
    <row r="62" spans="1:27" ht="24.75" customHeight="1" x14ac:dyDescent="0.25">
      <c r="A62" s="26" t="s">
        <v>0</v>
      </c>
      <c r="B62" s="28" t="s">
        <v>0</v>
      </c>
      <c r="C62" s="28" t="s">
        <v>0</v>
      </c>
      <c r="D62" s="13">
        <v>0</v>
      </c>
      <c r="E62" s="26" t="str">
        <f>VLOOKUP(Y62,'3'!A$95:B$98,2,FALSE)</f>
        <v>ABOVE CEILING</v>
      </c>
      <c r="F62" s="26" t="str">
        <f>VLOOKUP(X62,'3'!A$88:B$92,2,FALSE)</f>
        <v>PVC DUCT</v>
      </c>
      <c r="G62" s="13">
        <v>0</v>
      </c>
      <c r="H62" s="15">
        <f t="shared" si="0"/>
        <v>0</v>
      </c>
      <c r="I62" s="15">
        <f t="shared" si="1"/>
        <v>0</v>
      </c>
      <c r="J62" s="31">
        <f>VLOOKUP(AA62,'1'!A$15:X$50,2,FALSE)</f>
        <v>25</v>
      </c>
      <c r="K62" s="26"/>
      <c r="L62" s="26" t="s">
        <v>0</v>
      </c>
      <c r="M62" s="26" t="s">
        <v>0</v>
      </c>
      <c r="N62" s="17">
        <f>VLOOKUP(X62,'3'!A$88:C$92,3,FALSE)</f>
        <v>1</v>
      </c>
      <c r="O62" s="14">
        <f>VLOOKUP(Y62,'3'!A$95:C$98,3,FALSE)</f>
        <v>0.91</v>
      </c>
      <c r="P62" s="15">
        <f t="shared" si="2"/>
        <v>27.472527472527471</v>
      </c>
      <c r="Q62" s="32">
        <f>VLOOKUP(Z62,'3'!A$8:F$85,6,FALSE)</f>
        <v>76</v>
      </c>
      <c r="R62" s="26" t="str">
        <f>VLOOKUP(Z62,'3'!A$8:F$85,2,FALSE)</f>
        <v>4C-10mm2 Cu XLPE PVC CABLE</v>
      </c>
      <c r="S62" s="33">
        <f>VLOOKUP(Z62,'3'!A$8:F$85,3,FALSE)</f>
        <v>3.5190000000000001</v>
      </c>
      <c r="T62" s="15">
        <f t="shared" si="3"/>
        <v>0</v>
      </c>
      <c r="U62" s="15">
        <f t="shared" si="4"/>
        <v>0</v>
      </c>
      <c r="V62" s="15"/>
      <c r="W62" s="26" t="s">
        <v>0</v>
      </c>
      <c r="X62" s="34">
        <v>1</v>
      </c>
      <c r="Y62" s="34">
        <v>2</v>
      </c>
      <c r="Z62" s="34">
        <v>13</v>
      </c>
      <c r="AA62" s="34">
        <v>7</v>
      </c>
    </row>
    <row r="63" spans="1:27" ht="24.75" customHeight="1" x14ac:dyDescent="0.25">
      <c r="A63" s="26" t="s">
        <v>0</v>
      </c>
      <c r="B63" s="28" t="s">
        <v>0</v>
      </c>
      <c r="C63" s="28" t="s">
        <v>0</v>
      </c>
      <c r="D63" s="13">
        <v>0</v>
      </c>
      <c r="E63" s="26" t="str">
        <f>VLOOKUP(Y63,'3'!A$95:B$98,2,FALSE)</f>
        <v>ABOVE CEILING</v>
      </c>
      <c r="F63" s="26" t="str">
        <f>VLOOKUP(X63,'3'!A$88:B$92,2,FALSE)</f>
        <v>PVC DUCT(2Ckt.)</v>
      </c>
      <c r="G63" s="13">
        <v>0</v>
      </c>
      <c r="H63" s="15">
        <f t="shared" si="0"/>
        <v>0</v>
      </c>
      <c r="I63" s="15">
        <f t="shared" si="1"/>
        <v>0</v>
      </c>
      <c r="J63" s="31">
        <f>VLOOKUP(AA63,'1'!A$15:X$50,2,FALSE)</f>
        <v>25</v>
      </c>
      <c r="K63" s="26"/>
      <c r="L63" s="26" t="s">
        <v>0</v>
      </c>
      <c r="M63" s="26" t="s">
        <v>0</v>
      </c>
      <c r="N63" s="17">
        <f>VLOOKUP(X63,'3'!A$88:C$92,3,FALSE)</f>
        <v>0.81</v>
      </c>
      <c r="O63" s="14">
        <f>VLOOKUP(Y63,'3'!A$95:C$98,3,FALSE)</f>
        <v>0.91</v>
      </c>
      <c r="P63" s="15">
        <f t="shared" si="2"/>
        <v>33.916700583367245</v>
      </c>
      <c r="Q63" s="32">
        <f>VLOOKUP(Z63,'3'!A$8:F$85,6,FALSE)</f>
        <v>76</v>
      </c>
      <c r="R63" s="26" t="str">
        <f>VLOOKUP(Z63,'3'!A$8:F$85,2,FALSE)</f>
        <v>4C-10mm2 Cu XLPE PVC CABLE</v>
      </c>
      <c r="S63" s="33">
        <f>VLOOKUP(Z63,'3'!A$8:F$85,3,FALSE)</f>
        <v>3.5190000000000001</v>
      </c>
      <c r="T63" s="15">
        <f t="shared" si="3"/>
        <v>0</v>
      </c>
      <c r="U63" s="15">
        <f t="shared" si="4"/>
        <v>0</v>
      </c>
      <c r="V63" s="15"/>
      <c r="W63" s="26" t="s">
        <v>0</v>
      </c>
      <c r="X63" s="34">
        <v>2</v>
      </c>
      <c r="Y63" s="34">
        <v>2</v>
      </c>
      <c r="Z63" s="34">
        <v>13</v>
      </c>
      <c r="AA63" s="34">
        <v>7</v>
      </c>
    </row>
    <row r="64" spans="1:27" ht="24.75" customHeight="1" x14ac:dyDescent="0.25">
      <c r="A64" s="26" t="s">
        <v>0</v>
      </c>
      <c r="B64" s="28" t="s">
        <v>0</v>
      </c>
      <c r="C64" s="28" t="s">
        <v>0</v>
      </c>
      <c r="D64" s="13">
        <v>0</v>
      </c>
      <c r="E64" s="26" t="str">
        <f>VLOOKUP(Y64,'3'!A$95:B$98,2,FALSE)</f>
        <v>ABOVE CEILING</v>
      </c>
      <c r="F64" s="26" t="str">
        <f>VLOOKUP(X64,'3'!A$88:B$92,2,FALSE)</f>
        <v>PVC DUCT(2Ckt.)</v>
      </c>
      <c r="G64" s="13">
        <v>8.59</v>
      </c>
      <c r="H64" s="15">
        <f t="shared" si="0"/>
        <v>13.051154769312857</v>
      </c>
      <c r="I64" s="15">
        <f t="shared" si="1"/>
        <v>19.576732153969285</v>
      </c>
      <c r="J64" s="31">
        <f>VLOOKUP(AA64,'1'!A$15:X$50,2,FALSE)</f>
        <v>25</v>
      </c>
      <c r="K64" s="26"/>
      <c r="L64" s="26" t="s">
        <v>0</v>
      </c>
      <c r="M64" s="26" t="s">
        <v>0</v>
      </c>
      <c r="N64" s="17">
        <f>VLOOKUP(X64,'3'!A$88:C$92,3,FALSE)</f>
        <v>0.81</v>
      </c>
      <c r="O64" s="14">
        <f>VLOOKUP(Y64,'3'!A$95:C$98,3,FALSE)</f>
        <v>0.91</v>
      </c>
      <c r="P64" s="15">
        <f t="shared" si="2"/>
        <v>33.916700583367245</v>
      </c>
      <c r="Q64" s="32">
        <f>VLOOKUP(Z64,'3'!A$8:F$85,6,FALSE)</f>
        <v>76</v>
      </c>
      <c r="R64" s="26" t="str">
        <f>VLOOKUP(Z64,'3'!A$8:F$85,2,FALSE)</f>
        <v>4C-10mm2 Cu XLPE PVC CABLE</v>
      </c>
      <c r="S64" s="33">
        <f>VLOOKUP(Z64,'3'!A$8:F$85,3,FALSE)</f>
        <v>3.5190000000000001</v>
      </c>
      <c r="T64" s="15">
        <f t="shared" si="3"/>
        <v>0</v>
      </c>
      <c r="U64" s="15">
        <f t="shared" si="4"/>
        <v>0</v>
      </c>
      <c r="V64" s="15"/>
      <c r="W64" s="26" t="s">
        <v>0</v>
      </c>
      <c r="X64" s="34">
        <v>2</v>
      </c>
      <c r="Y64" s="34">
        <v>2</v>
      </c>
      <c r="Z64" s="34">
        <v>13</v>
      </c>
      <c r="AA64" s="34">
        <v>7</v>
      </c>
    </row>
    <row r="65" spans="1:27" ht="24.75" customHeight="1" x14ac:dyDescent="0.25">
      <c r="A65" s="14" t="s">
        <v>0</v>
      </c>
      <c r="B65" s="25" t="s">
        <v>0</v>
      </c>
      <c r="C65" s="25" t="s">
        <v>0</v>
      </c>
      <c r="D65" s="13">
        <v>0</v>
      </c>
      <c r="E65" s="26" t="str">
        <f>VLOOKUP(Y65,'3'!A$95:B$98,2,FALSE)</f>
        <v>ABOVE CEILING</v>
      </c>
      <c r="F65" s="26" t="str">
        <f>VLOOKUP(X65,'3'!A$88:B$92,2,FALSE)</f>
        <v>PVC DUCT(2Ckt.)</v>
      </c>
      <c r="G65" s="13">
        <v>8.59</v>
      </c>
      <c r="H65" s="15">
        <f t="shared" si="0"/>
        <v>13.051154769312857</v>
      </c>
      <c r="I65" s="15">
        <f t="shared" si="1"/>
        <v>19.576732153969285</v>
      </c>
      <c r="J65" s="31">
        <f>VLOOKUP(AA65,'1'!A$15:X$50,2,FALSE)</f>
        <v>25</v>
      </c>
      <c r="K65" s="14"/>
      <c r="L65" s="14" t="s">
        <v>0</v>
      </c>
      <c r="M65" s="14" t="s">
        <v>0</v>
      </c>
      <c r="N65" s="17">
        <f>VLOOKUP(X65,'3'!A$88:C$92,3,FALSE)</f>
        <v>0.81</v>
      </c>
      <c r="O65" s="14">
        <f>VLOOKUP(Y65,'3'!A$95:C$98,3,FALSE)</f>
        <v>0.91</v>
      </c>
      <c r="P65" s="15">
        <f t="shared" si="2"/>
        <v>33.916700583367245</v>
      </c>
      <c r="Q65" s="32">
        <f>VLOOKUP(Z65,'3'!A$8:F$85,6,FALSE)</f>
        <v>76</v>
      </c>
      <c r="R65" s="26" t="str">
        <f>VLOOKUP(Z65,'3'!A$8:F$85,2,FALSE)</f>
        <v>4C-10mm2 Cu XLPE PVC CABLE</v>
      </c>
      <c r="S65" s="33">
        <f>VLOOKUP(Z65,'3'!A$8:F$85,3,FALSE)</f>
        <v>3.5190000000000001</v>
      </c>
      <c r="T65" s="15">
        <f t="shared" si="3"/>
        <v>0</v>
      </c>
      <c r="U65" s="15">
        <f t="shared" si="4"/>
        <v>0</v>
      </c>
      <c r="V65" s="15"/>
      <c r="W65" s="14" t="s">
        <v>0</v>
      </c>
      <c r="X65" s="34">
        <v>2</v>
      </c>
      <c r="Y65" s="34">
        <v>2</v>
      </c>
      <c r="Z65" s="34">
        <v>13</v>
      </c>
      <c r="AA65" s="34">
        <v>7</v>
      </c>
    </row>
    <row r="66" spans="1:27" ht="24.75" customHeight="1" x14ac:dyDescent="0.25">
      <c r="A66" s="14" t="s">
        <v>0</v>
      </c>
      <c r="B66" s="25" t="s">
        <v>0</v>
      </c>
      <c r="C66" s="25" t="s">
        <v>0</v>
      </c>
      <c r="D66" s="13">
        <v>0</v>
      </c>
      <c r="E66" s="26" t="str">
        <f>VLOOKUP(Y66,'3'!A$95:B$98,2,FALSE)</f>
        <v>ABOVE CEILING</v>
      </c>
      <c r="F66" s="26" t="str">
        <f>VLOOKUP(X66,'3'!A$88:B$92,2,FALSE)</f>
        <v>PVC DUCT(2Ckt.)</v>
      </c>
      <c r="G66" s="13">
        <v>8.59</v>
      </c>
      <c r="H66" s="15">
        <f t="shared" si="0"/>
        <v>13.051154769312857</v>
      </c>
      <c r="I66" s="15">
        <f t="shared" si="1"/>
        <v>19.576732153969285</v>
      </c>
      <c r="J66" s="31">
        <f>VLOOKUP(AA66,'1'!A$15:X$50,2,FALSE)</f>
        <v>25</v>
      </c>
      <c r="K66" s="14"/>
      <c r="L66" s="14" t="s">
        <v>0</v>
      </c>
      <c r="M66" s="14" t="s">
        <v>0</v>
      </c>
      <c r="N66" s="17">
        <f>VLOOKUP(X66,'3'!A$88:C$92,3,FALSE)</f>
        <v>0.81</v>
      </c>
      <c r="O66" s="14">
        <f>VLOOKUP(Y66,'3'!A$95:C$98,3,FALSE)</f>
        <v>0.91</v>
      </c>
      <c r="P66" s="15">
        <f t="shared" si="2"/>
        <v>33.916700583367245</v>
      </c>
      <c r="Q66" s="32">
        <f>VLOOKUP(Z66,'3'!A$8:F$85,6,FALSE)</f>
        <v>76</v>
      </c>
      <c r="R66" s="26" t="str">
        <f>VLOOKUP(Z66,'3'!A$8:F$85,2,FALSE)</f>
        <v>4C-10mm2 Cu XLPE PVC CABLE</v>
      </c>
      <c r="S66" s="33">
        <f>VLOOKUP(Z66,'3'!A$8:F$85,3,FALSE)</f>
        <v>3.5190000000000001</v>
      </c>
      <c r="T66" s="15">
        <f t="shared" si="3"/>
        <v>0</v>
      </c>
      <c r="U66" s="15">
        <f t="shared" si="4"/>
        <v>0</v>
      </c>
      <c r="V66" s="15"/>
      <c r="W66" s="14" t="s">
        <v>0</v>
      </c>
      <c r="X66" s="34">
        <v>2</v>
      </c>
      <c r="Y66" s="34">
        <v>2</v>
      </c>
      <c r="Z66" s="34">
        <v>13</v>
      </c>
      <c r="AA66" s="34">
        <v>7</v>
      </c>
    </row>
    <row r="67" spans="1:27" ht="24.75" customHeight="1" x14ac:dyDescent="0.25">
      <c r="A67" s="14" t="s">
        <v>0</v>
      </c>
      <c r="B67" s="25" t="s">
        <v>0</v>
      </c>
      <c r="C67" s="25" t="s">
        <v>0</v>
      </c>
      <c r="D67" s="13">
        <v>0</v>
      </c>
      <c r="E67" s="26" t="str">
        <f>VLOOKUP(Y67,'3'!A$95:B$98,2,FALSE)</f>
        <v>ABOVE CEILING</v>
      </c>
      <c r="F67" s="26" t="str">
        <f>VLOOKUP(X67,'3'!A$88:B$92,2,FALSE)</f>
        <v>PVC DUCT(2Ckt.)</v>
      </c>
      <c r="G67" s="13">
        <v>8.59</v>
      </c>
      <c r="H67" s="15">
        <f t="shared" si="0"/>
        <v>13.051154769312857</v>
      </c>
      <c r="I67" s="15">
        <f t="shared" si="1"/>
        <v>19.576732153969285</v>
      </c>
      <c r="J67" s="31">
        <f>VLOOKUP(AA67,'1'!A$15:X$50,2,FALSE)</f>
        <v>25</v>
      </c>
      <c r="K67" s="14"/>
      <c r="L67" s="14" t="s">
        <v>0</v>
      </c>
      <c r="M67" s="14" t="s">
        <v>0</v>
      </c>
      <c r="N67" s="17">
        <f>VLOOKUP(X67,'3'!A$88:C$92,3,FALSE)</f>
        <v>0.81</v>
      </c>
      <c r="O67" s="14">
        <f>VLOOKUP(Y67,'3'!A$95:C$98,3,FALSE)</f>
        <v>0.91</v>
      </c>
      <c r="P67" s="15">
        <f t="shared" si="2"/>
        <v>33.916700583367245</v>
      </c>
      <c r="Q67" s="32">
        <f>VLOOKUP(Z67,'3'!A$8:F$85,6,FALSE)</f>
        <v>76</v>
      </c>
      <c r="R67" s="26" t="str">
        <f>VLOOKUP(Z67,'3'!A$8:F$85,2,FALSE)</f>
        <v>4C-10mm2 Cu XLPE PVC CABLE</v>
      </c>
      <c r="S67" s="33">
        <f>VLOOKUP(Z67,'3'!A$8:F$85,3,FALSE)</f>
        <v>3.5190000000000001</v>
      </c>
      <c r="T67" s="15">
        <f t="shared" si="3"/>
        <v>0</v>
      </c>
      <c r="U67" s="15">
        <f t="shared" si="4"/>
        <v>0</v>
      </c>
      <c r="V67" s="15"/>
      <c r="W67" s="14" t="s">
        <v>0</v>
      </c>
      <c r="X67" s="34">
        <v>2</v>
      </c>
      <c r="Y67" s="34">
        <v>2</v>
      </c>
      <c r="Z67" s="34">
        <v>13</v>
      </c>
      <c r="AA67" s="34">
        <v>7</v>
      </c>
    </row>
    <row r="68" spans="1:27" ht="24.75" customHeight="1" x14ac:dyDescent="0.25">
      <c r="A68" s="14" t="s">
        <v>0</v>
      </c>
      <c r="B68" s="25" t="s">
        <v>0</v>
      </c>
      <c r="C68" s="25" t="s">
        <v>0</v>
      </c>
      <c r="D68" s="13">
        <v>0</v>
      </c>
      <c r="E68" s="26" t="str">
        <f>VLOOKUP(Y68,'3'!A$95:B$98,2,FALSE)</f>
        <v>ABOVE CEILING</v>
      </c>
      <c r="F68" s="26" t="str">
        <f>VLOOKUP(X68,'3'!A$88:B$92,2,FALSE)</f>
        <v>PVC DUCT(2Ckt.)</v>
      </c>
      <c r="G68" s="13">
        <v>8.59</v>
      </c>
      <c r="H68" s="15">
        <f t="shared" si="0"/>
        <v>13.051154769312857</v>
      </c>
      <c r="I68" s="15">
        <f t="shared" si="1"/>
        <v>19.576732153969285</v>
      </c>
      <c r="J68" s="31">
        <f>VLOOKUP(AA68,'1'!A$15:X$50,2,FALSE)</f>
        <v>25</v>
      </c>
      <c r="K68" s="14"/>
      <c r="L68" s="14" t="s">
        <v>0</v>
      </c>
      <c r="M68" s="14" t="s">
        <v>0</v>
      </c>
      <c r="N68" s="17">
        <f>VLOOKUP(X68,'3'!A$88:C$92,3,FALSE)</f>
        <v>0.81</v>
      </c>
      <c r="O68" s="14">
        <f>VLOOKUP(Y68,'3'!A$95:C$98,3,FALSE)</f>
        <v>0.91</v>
      </c>
      <c r="P68" s="15">
        <f t="shared" si="2"/>
        <v>33.916700583367245</v>
      </c>
      <c r="Q68" s="32">
        <f>VLOOKUP(Z68,'3'!A$8:F$85,6,FALSE)</f>
        <v>135</v>
      </c>
      <c r="R68" s="26" t="str">
        <f>VLOOKUP(Z68,'3'!A$8:F$85,2,FALSE)</f>
        <v>4C-25mm2 Cu XLPE PVC CABLE</v>
      </c>
      <c r="S68" s="33">
        <f>VLOOKUP(Z68,'3'!A$8:F$85,3,FALSE)</f>
        <v>1.1140000000000001</v>
      </c>
      <c r="T68" s="15">
        <f t="shared" si="3"/>
        <v>0</v>
      </c>
      <c r="U68" s="15">
        <f t="shared" si="4"/>
        <v>0</v>
      </c>
      <c r="V68" s="15"/>
      <c r="W68" s="14" t="s">
        <v>0</v>
      </c>
      <c r="X68" s="34">
        <v>2</v>
      </c>
      <c r="Y68" s="34">
        <v>2</v>
      </c>
      <c r="Z68" s="34">
        <v>15</v>
      </c>
      <c r="AA68" s="34">
        <v>7</v>
      </c>
    </row>
    <row r="69" spans="1:27" ht="24.75" customHeight="1" x14ac:dyDescent="0.25">
      <c r="A69" s="14" t="s">
        <v>0</v>
      </c>
      <c r="B69" s="25" t="s">
        <v>0</v>
      </c>
      <c r="C69" s="25" t="s">
        <v>0</v>
      </c>
      <c r="D69" s="13">
        <v>0</v>
      </c>
      <c r="E69" s="26" t="str">
        <f>VLOOKUP(Y69,'3'!A$95:B$98,2,FALSE)</f>
        <v>ABOVE CEILING</v>
      </c>
      <c r="F69" s="26" t="str">
        <f>VLOOKUP(X69,'3'!A$88:B$92,2,FALSE)</f>
        <v>PVC DUCT(2Ckt.)</v>
      </c>
      <c r="G69" s="13">
        <v>8.59</v>
      </c>
      <c r="H69" s="15">
        <f t="shared" si="0"/>
        <v>13.051154769312857</v>
      </c>
      <c r="I69" s="15">
        <f t="shared" si="1"/>
        <v>19.576732153969285</v>
      </c>
      <c r="J69" s="31">
        <f>VLOOKUP(AA69,'1'!A$15:X$50,2,FALSE)</f>
        <v>25</v>
      </c>
      <c r="K69" s="14"/>
      <c r="L69" s="14" t="s">
        <v>0</v>
      </c>
      <c r="M69" s="14" t="s">
        <v>0</v>
      </c>
      <c r="N69" s="17">
        <f>VLOOKUP(X69,'3'!A$88:C$92,3,FALSE)</f>
        <v>0.81</v>
      </c>
      <c r="O69" s="14">
        <f>VLOOKUP(Y69,'3'!A$95:C$98,3,FALSE)</f>
        <v>0.91</v>
      </c>
      <c r="P69" s="15">
        <f t="shared" si="2"/>
        <v>33.916700583367245</v>
      </c>
      <c r="Q69" s="32">
        <f>VLOOKUP(Z69,'3'!A$8:F$85,6,FALSE)</f>
        <v>76</v>
      </c>
      <c r="R69" s="26" t="str">
        <f>VLOOKUP(Z69,'3'!A$8:F$85,2,FALSE)</f>
        <v>4C-10mm2 Cu XLPE PVC CABLE</v>
      </c>
      <c r="S69" s="33">
        <f>VLOOKUP(Z69,'3'!A$8:F$85,3,FALSE)</f>
        <v>3.5190000000000001</v>
      </c>
      <c r="T69" s="15">
        <f t="shared" si="3"/>
        <v>0</v>
      </c>
      <c r="U69" s="15">
        <f t="shared" si="4"/>
        <v>0</v>
      </c>
      <c r="V69" s="15"/>
      <c r="W69" s="14" t="s">
        <v>0</v>
      </c>
      <c r="X69" s="34">
        <v>2</v>
      </c>
      <c r="Y69" s="34">
        <v>2</v>
      </c>
      <c r="Z69" s="34">
        <v>13</v>
      </c>
      <c r="AA69" s="34">
        <v>7</v>
      </c>
    </row>
    <row r="70" spans="1:27" ht="24.75" customHeight="1" x14ac:dyDescent="0.25">
      <c r="A70" s="14" t="s">
        <v>0</v>
      </c>
      <c r="B70" s="25" t="s">
        <v>0</v>
      </c>
      <c r="C70" s="25" t="s">
        <v>0</v>
      </c>
      <c r="D70" s="13">
        <v>0</v>
      </c>
      <c r="E70" s="26" t="str">
        <f>VLOOKUP(Y70,'3'!A$95:B$98,2,FALSE)</f>
        <v>ABOVE CEILING</v>
      </c>
      <c r="F70" s="26" t="str">
        <f>VLOOKUP(X70,'3'!A$88:B$92,2,FALSE)</f>
        <v>PVC DUCT(2Ckt.)</v>
      </c>
      <c r="G70" s="13">
        <v>8.59</v>
      </c>
      <c r="H70" s="15">
        <f t="shared" si="0"/>
        <v>13.051154769312857</v>
      </c>
      <c r="I70" s="15">
        <f t="shared" si="1"/>
        <v>19.576732153969285</v>
      </c>
      <c r="J70" s="31">
        <f>VLOOKUP(AA70,'1'!A$15:X$50,2,FALSE)</f>
        <v>25</v>
      </c>
      <c r="K70" s="14"/>
      <c r="L70" s="14" t="s">
        <v>0</v>
      </c>
      <c r="M70" s="14" t="s">
        <v>0</v>
      </c>
      <c r="N70" s="17">
        <f>VLOOKUP(X70,'3'!A$88:C$92,3,FALSE)</f>
        <v>0.81</v>
      </c>
      <c r="O70" s="14">
        <f>VLOOKUP(Y70,'3'!A$95:C$98,3,FALSE)</f>
        <v>0.91</v>
      </c>
      <c r="P70" s="15">
        <f t="shared" si="2"/>
        <v>33.916700583367245</v>
      </c>
      <c r="Q70" s="32">
        <f>VLOOKUP(Z70,'3'!A$8:F$85,6,FALSE)</f>
        <v>99</v>
      </c>
      <c r="R70" s="26" t="str">
        <f>VLOOKUP(Z70,'3'!A$8:F$85,2,FALSE)</f>
        <v>4C-16mm2 Cu XLPE PVC CABLE</v>
      </c>
      <c r="S70" s="33">
        <f>VLOOKUP(Z70,'3'!A$8:F$85,3,FALSE)</f>
        <v>2.2389999999999999</v>
      </c>
      <c r="T70" s="15">
        <f t="shared" si="3"/>
        <v>0</v>
      </c>
      <c r="U70" s="15">
        <f t="shared" si="4"/>
        <v>0</v>
      </c>
      <c r="V70" s="15"/>
      <c r="W70" s="14" t="s">
        <v>0</v>
      </c>
      <c r="X70" s="34">
        <v>2</v>
      </c>
      <c r="Y70" s="34">
        <v>2</v>
      </c>
      <c r="Z70" s="34">
        <v>14</v>
      </c>
      <c r="AA70" s="34">
        <v>7</v>
      </c>
    </row>
    <row r="71" spans="1:27" ht="24.75" customHeight="1" x14ac:dyDescent="0.25">
      <c r="A71" s="14" t="s">
        <v>0</v>
      </c>
      <c r="B71" s="25" t="s">
        <v>0</v>
      </c>
      <c r="C71" s="25" t="s">
        <v>0</v>
      </c>
      <c r="D71" s="13">
        <v>0</v>
      </c>
      <c r="E71" s="26" t="str">
        <f>VLOOKUP(Y71,'3'!A$95:B$98,2,FALSE)</f>
        <v>ABOVE CEILING</v>
      </c>
      <c r="F71" s="26" t="str">
        <f>VLOOKUP(X71,'3'!A$88:B$92,2,FALSE)</f>
        <v>PVC DUCT(2Ckt.)</v>
      </c>
      <c r="G71" s="13">
        <v>8.59</v>
      </c>
      <c r="H71" s="15">
        <f t="shared" si="0"/>
        <v>13.051154769312857</v>
      </c>
      <c r="I71" s="15">
        <f t="shared" si="1"/>
        <v>19.576732153969285</v>
      </c>
      <c r="J71" s="31">
        <f>VLOOKUP(AA71,'1'!A$15:X$50,2,FALSE)</f>
        <v>25</v>
      </c>
      <c r="K71" s="14"/>
      <c r="L71" s="14" t="s">
        <v>0</v>
      </c>
      <c r="M71" s="14" t="s">
        <v>0</v>
      </c>
      <c r="N71" s="17">
        <f>VLOOKUP(X71,'3'!A$88:C$92,3,FALSE)</f>
        <v>0.81</v>
      </c>
      <c r="O71" s="14">
        <f>VLOOKUP(Y71,'3'!A$95:C$98,3,FALSE)</f>
        <v>0.91</v>
      </c>
      <c r="P71" s="15">
        <f t="shared" si="2"/>
        <v>33.916700583367245</v>
      </c>
      <c r="Q71" s="32">
        <f>VLOOKUP(Z71,'3'!A$8:F$85,6,FALSE)</f>
        <v>76</v>
      </c>
      <c r="R71" s="26" t="str">
        <f>VLOOKUP(Z71,'3'!A$8:F$85,2,FALSE)</f>
        <v>4C-10mm2 Cu XLPE PVC CABLE</v>
      </c>
      <c r="S71" s="33">
        <f>VLOOKUP(Z71,'3'!A$8:F$85,3,FALSE)</f>
        <v>3.5190000000000001</v>
      </c>
      <c r="T71" s="15">
        <f t="shared" si="3"/>
        <v>0</v>
      </c>
      <c r="U71" s="15">
        <f t="shared" si="4"/>
        <v>0</v>
      </c>
      <c r="V71" s="15"/>
      <c r="W71" s="14" t="s">
        <v>0</v>
      </c>
      <c r="X71" s="34">
        <v>2</v>
      </c>
      <c r="Y71" s="34">
        <v>2</v>
      </c>
      <c r="Z71" s="34">
        <v>13</v>
      </c>
      <c r="AA71" s="34">
        <v>7</v>
      </c>
    </row>
    <row r="72" spans="1:27" ht="24.75" customHeight="1" x14ac:dyDescent="0.25">
      <c r="A72" s="14" t="s">
        <v>0</v>
      </c>
      <c r="B72" s="25" t="s">
        <v>0</v>
      </c>
      <c r="C72" s="25" t="s">
        <v>0</v>
      </c>
      <c r="D72" s="13">
        <v>0</v>
      </c>
      <c r="E72" s="26" t="str">
        <f>VLOOKUP(Y72,'3'!A$95:B$98,2,FALSE)</f>
        <v>OUTDOOR</v>
      </c>
      <c r="F72" s="26" t="str">
        <f>VLOOKUP(X72,'3'!A$88:B$92,2,FALSE)</f>
        <v>PVC DUCT(2Ckt.)</v>
      </c>
      <c r="G72" s="13">
        <v>8.59</v>
      </c>
      <c r="H72" s="15">
        <f t="shared" si="0"/>
        <v>13.051154769312857</v>
      </c>
      <c r="I72" s="15">
        <f t="shared" si="1"/>
        <v>19.576732153969285</v>
      </c>
      <c r="J72" s="31">
        <f>VLOOKUP(AA72,'1'!A$15:X$50,2,FALSE)</f>
        <v>25</v>
      </c>
      <c r="K72" s="14"/>
      <c r="L72" s="14" t="s">
        <v>0</v>
      </c>
      <c r="M72" s="14" t="s">
        <v>0</v>
      </c>
      <c r="N72" s="17">
        <f>VLOOKUP(X72,'3'!A$88:C$92,3,FALSE)</f>
        <v>0.81</v>
      </c>
      <c r="O72" s="14">
        <f>VLOOKUP(Y72,'3'!A$95:C$98,3,FALSE)</f>
        <v>0.82</v>
      </c>
      <c r="P72" s="15">
        <f t="shared" si="2"/>
        <v>37.639265281541704</v>
      </c>
      <c r="Q72" s="32">
        <f>VLOOKUP(Z72,'3'!A$8:F$85,6,FALSE)</f>
        <v>135</v>
      </c>
      <c r="R72" s="26" t="str">
        <f>VLOOKUP(Z72,'3'!A$8:F$85,2,FALSE)</f>
        <v>4C-25mm2 Cu XLPE PVC CABLE</v>
      </c>
      <c r="S72" s="33">
        <f>VLOOKUP(Z72,'3'!A$8:F$85,3,FALSE)</f>
        <v>1.1140000000000001</v>
      </c>
      <c r="T72" s="15">
        <f t="shared" si="3"/>
        <v>0</v>
      </c>
      <c r="U72" s="15">
        <f t="shared" si="4"/>
        <v>0</v>
      </c>
      <c r="V72" s="15"/>
      <c r="W72" s="14" t="s">
        <v>0</v>
      </c>
      <c r="X72" s="34">
        <v>2</v>
      </c>
      <c r="Y72" s="34">
        <v>4</v>
      </c>
      <c r="Z72" s="34">
        <v>15</v>
      </c>
      <c r="AA72" s="34">
        <v>7</v>
      </c>
    </row>
    <row r="73" spans="1:27" ht="24.75" customHeight="1" x14ac:dyDescent="0.25">
      <c r="A73" s="14" t="s">
        <v>0</v>
      </c>
      <c r="B73" s="25" t="s">
        <v>0</v>
      </c>
      <c r="C73" s="25" t="s">
        <v>0</v>
      </c>
      <c r="D73" s="13">
        <v>0</v>
      </c>
      <c r="E73" s="26" t="str">
        <f>VLOOKUP(Y73,'3'!A$95:B$98,2,FALSE)</f>
        <v>ABOVE CEILING</v>
      </c>
      <c r="F73" s="26" t="str">
        <f>VLOOKUP(X73,'3'!A$88:B$92,2,FALSE)</f>
        <v>PVC DUCT(2Ckt.)</v>
      </c>
      <c r="G73" s="13">
        <v>8.59</v>
      </c>
      <c r="H73" s="15">
        <f t="shared" si="0"/>
        <v>13.051154769312857</v>
      </c>
      <c r="I73" s="15">
        <f t="shared" si="1"/>
        <v>19.576732153969285</v>
      </c>
      <c r="J73" s="31">
        <f>VLOOKUP(AA73,'1'!A$15:X$50,2,FALSE)</f>
        <v>25</v>
      </c>
      <c r="K73" s="14"/>
      <c r="L73" s="14" t="s">
        <v>0</v>
      </c>
      <c r="M73" s="14" t="s">
        <v>0</v>
      </c>
      <c r="N73" s="17">
        <f>VLOOKUP(X73,'3'!A$88:C$92,3,FALSE)</f>
        <v>0.81</v>
      </c>
      <c r="O73" s="14">
        <f>VLOOKUP(Y73,'3'!A$95:C$98,3,FALSE)</f>
        <v>0.91</v>
      </c>
      <c r="P73" s="15">
        <f t="shared" si="2"/>
        <v>33.916700583367245</v>
      </c>
      <c r="Q73" s="32">
        <f>VLOOKUP(Z73,'3'!A$8:F$85,6,FALSE)</f>
        <v>76</v>
      </c>
      <c r="R73" s="26" t="str">
        <f>VLOOKUP(Z73,'3'!A$8:F$85,2,FALSE)</f>
        <v>4C-10mm2 Cu XLPE PVC CABLE</v>
      </c>
      <c r="S73" s="33">
        <f>VLOOKUP(Z73,'3'!A$8:F$85,3,FALSE)</f>
        <v>3.5190000000000001</v>
      </c>
      <c r="T73" s="15">
        <f t="shared" si="3"/>
        <v>0</v>
      </c>
      <c r="U73" s="15">
        <f t="shared" si="4"/>
        <v>0</v>
      </c>
      <c r="V73" s="15"/>
      <c r="W73" s="14" t="s">
        <v>0</v>
      </c>
      <c r="X73" s="34">
        <v>2</v>
      </c>
      <c r="Y73" s="34">
        <v>2</v>
      </c>
      <c r="Z73" s="34">
        <v>13</v>
      </c>
      <c r="AA73" s="34">
        <v>7</v>
      </c>
    </row>
    <row r="74" spans="1:27" ht="24.75" customHeight="1" x14ac:dyDescent="0.25">
      <c r="A74" s="14" t="s">
        <v>0</v>
      </c>
      <c r="B74" s="25" t="s">
        <v>0</v>
      </c>
      <c r="C74" s="25" t="s">
        <v>0</v>
      </c>
      <c r="D74" s="13">
        <v>0</v>
      </c>
      <c r="E74" s="26" t="str">
        <f>VLOOKUP(Y74,'3'!A$95:B$98,2,FALSE)</f>
        <v>ABOVE CEILING</v>
      </c>
      <c r="F74" s="26" t="str">
        <f>VLOOKUP(X74,'3'!A$88:B$92,2,FALSE)</f>
        <v>PVC DUCT(2Ckt.)</v>
      </c>
      <c r="G74" s="13">
        <v>8.59</v>
      </c>
      <c r="H74" s="15">
        <f t="shared" si="0"/>
        <v>13.051154769312857</v>
      </c>
      <c r="I74" s="15">
        <f t="shared" si="1"/>
        <v>19.576732153969285</v>
      </c>
      <c r="J74" s="31">
        <f>VLOOKUP(AA74,'1'!A$15:X$50,2,FALSE)</f>
        <v>25</v>
      </c>
      <c r="K74" s="14"/>
      <c r="L74" s="14" t="s">
        <v>0</v>
      </c>
      <c r="M74" s="14" t="s">
        <v>0</v>
      </c>
      <c r="N74" s="17">
        <f>VLOOKUP(X74,'3'!A$88:C$92,3,FALSE)</f>
        <v>0.81</v>
      </c>
      <c r="O74" s="14">
        <f>VLOOKUP(Y74,'3'!A$95:C$98,3,FALSE)</f>
        <v>0.91</v>
      </c>
      <c r="P74" s="15">
        <f t="shared" si="2"/>
        <v>33.916700583367245</v>
      </c>
      <c r="Q74" s="32">
        <f>VLOOKUP(Z74,'3'!A$8:F$85,6,FALSE)</f>
        <v>76</v>
      </c>
      <c r="R74" s="26" t="str">
        <f>VLOOKUP(Z74,'3'!A$8:F$85,2,FALSE)</f>
        <v>4C-10mm2 Cu XLPE PVC CABLE</v>
      </c>
      <c r="S74" s="33">
        <f>VLOOKUP(Z74,'3'!A$8:F$85,3,FALSE)</f>
        <v>3.5190000000000001</v>
      </c>
      <c r="T74" s="15">
        <f t="shared" si="3"/>
        <v>0</v>
      </c>
      <c r="U74" s="15">
        <f t="shared" si="4"/>
        <v>0</v>
      </c>
      <c r="V74" s="15"/>
      <c r="W74" s="14" t="s">
        <v>0</v>
      </c>
      <c r="X74" s="34">
        <v>2</v>
      </c>
      <c r="Y74" s="34">
        <v>2</v>
      </c>
      <c r="Z74" s="34">
        <v>13</v>
      </c>
      <c r="AA74" s="34">
        <v>7</v>
      </c>
    </row>
    <row r="75" spans="1:27" ht="24.75" customHeight="1" x14ac:dyDescent="0.25">
      <c r="A75" s="14" t="s">
        <v>0</v>
      </c>
      <c r="B75" s="25" t="s">
        <v>0</v>
      </c>
      <c r="C75" s="25" t="s">
        <v>0</v>
      </c>
      <c r="D75" s="13">
        <v>0</v>
      </c>
      <c r="E75" s="26" t="str">
        <f>VLOOKUP(Y75,'3'!A$95:B$98,2,FALSE)</f>
        <v>ABOVE CEILING</v>
      </c>
      <c r="F75" s="26" t="str">
        <f>VLOOKUP(X75,'3'!A$88:B$92,2,FALSE)</f>
        <v>CABLE TRAY</v>
      </c>
      <c r="G75" s="13">
        <v>8.59</v>
      </c>
      <c r="H75" s="15">
        <f t="shared" si="0"/>
        <v>13.051154769312857</v>
      </c>
      <c r="I75" s="15">
        <f t="shared" si="1"/>
        <v>19.576732153969285</v>
      </c>
      <c r="J75" s="31">
        <f>VLOOKUP(AA75,'1'!A$15:X$50,2,FALSE)</f>
        <v>25</v>
      </c>
      <c r="K75" s="14"/>
      <c r="L75" s="14" t="s">
        <v>0</v>
      </c>
      <c r="M75" s="14" t="s">
        <v>0</v>
      </c>
      <c r="N75" s="17">
        <f>VLOOKUP(X75,'3'!A$88:C$92,3,FALSE)</f>
        <v>0.85</v>
      </c>
      <c r="O75" s="14">
        <f>VLOOKUP(Y75,'3'!A$95:C$98,3,FALSE)</f>
        <v>0.91</v>
      </c>
      <c r="P75" s="15">
        <f t="shared" si="2"/>
        <v>32.320620555914672</v>
      </c>
      <c r="Q75" s="32">
        <f>VLOOKUP(Z75,'3'!A$8:F$85,6,FALSE)</f>
        <v>76</v>
      </c>
      <c r="R75" s="26" t="str">
        <f>VLOOKUP(Z75,'3'!A$8:F$85,2,FALSE)</f>
        <v>4C-10mm2 Cu XLPE PVC CABLE</v>
      </c>
      <c r="S75" s="33">
        <f>VLOOKUP(Z75,'3'!A$8:F$85,3,FALSE)</f>
        <v>3.5190000000000001</v>
      </c>
      <c r="T75" s="15">
        <f t="shared" si="3"/>
        <v>0</v>
      </c>
      <c r="U75" s="15">
        <f t="shared" si="4"/>
        <v>0</v>
      </c>
      <c r="V75" s="15"/>
      <c r="W75" s="14" t="s">
        <v>0</v>
      </c>
      <c r="X75" s="34">
        <v>5</v>
      </c>
      <c r="Y75" s="34">
        <v>2</v>
      </c>
      <c r="Z75" s="34">
        <v>13</v>
      </c>
      <c r="AA75" s="34">
        <v>7</v>
      </c>
    </row>
    <row r="76" spans="1:27" ht="24.75" customHeight="1" x14ac:dyDescent="0.25">
      <c r="A76" s="14" t="s">
        <v>0</v>
      </c>
      <c r="B76" s="25" t="s">
        <v>0</v>
      </c>
      <c r="C76" s="25" t="s">
        <v>0</v>
      </c>
      <c r="D76" s="13">
        <v>0</v>
      </c>
      <c r="E76" s="26" t="str">
        <f>VLOOKUP(Y76,'3'!A$95:B$98,2,FALSE)</f>
        <v>ABOVE CEILING</v>
      </c>
      <c r="F76" s="26" t="str">
        <f>VLOOKUP(X76,'3'!A$88:B$92,2,FALSE)</f>
        <v>PVC DUCT(2Ckt.)</v>
      </c>
      <c r="G76" s="13">
        <v>8.59</v>
      </c>
      <c r="H76" s="15">
        <f t="shared" si="0"/>
        <v>13.051154769312857</v>
      </c>
      <c r="I76" s="15">
        <f t="shared" si="1"/>
        <v>19.576732153969285</v>
      </c>
      <c r="J76" s="31">
        <f>VLOOKUP(AA76,'1'!A$15:X$50,2,FALSE)</f>
        <v>25</v>
      </c>
      <c r="K76" s="14"/>
      <c r="L76" s="14" t="s">
        <v>0</v>
      </c>
      <c r="M76" s="14" t="s">
        <v>0</v>
      </c>
      <c r="N76" s="17">
        <f>VLOOKUP(X76,'3'!A$88:C$92,3,FALSE)</f>
        <v>0.81</v>
      </c>
      <c r="O76" s="14">
        <f>VLOOKUP(Y76,'3'!A$95:C$98,3,FALSE)</f>
        <v>0.91</v>
      </c>
      <c r="P76" s="15">
        <f t="shared" si="2"/>
        <v>33.916700583367245</v>
      </c>
      <c r="Q76" s="32">
        <f>VLOOKUP(Z76,'3'!A$8:F$85,6,FALSE)</f>
        <v>76</v>
      </c>
      <c r="R76" s="26" t="str">
        <f>VLOOKUP(Z76,'3'!A$8:F$85,2,FALSE)</f>
        <v>4C-10mm2 Cu XLPE PVC CABLE</v>
      </c>
      <c r="S76" s="33">
        <f>VLOOKUP(Z76,'3'!A$8:F$85,3,FALSE)</f>
        <v>3.5190000000000001</v>
      </c>
      <c r="T76" s="15">
        <f t="shared" si="3"/>
        <v>0</v>
      </c>
      <c r="U76" s="15">
        <f t="shared" si="4"/>
        <v>0</v>
      </c>
      <c r="V76" s="15"/>
      <c r="W76" s="14" t="s">
        <v>0</v>
      </c>
      <c r="X76" s="34">
        <v>2</v>
      </c>
      <c r="Y76" s="34">
        <v>2</v>
      </c>
      <c r="Z76" s="34">
        <v>13</v>
      </c>
      <c r="AA76" s="34">
        <v>7</v>
      </c>
    </row>
    <row r="77" spans="1:27" ht="24.75" customHeight="1" x14ac:dyDescent="0.25">
      <c r="A77" s="14" t="s">
        <v>0</v>
      </c>
      <c r="B77" s="25" t="s">
        <v>0</v>
      </c>
      <c r="C77" s="25" t="s">
        <v>0</v>
      </c>
      <c r="D77" s="13">
        <v>0</v>
      </c>
      <c r="E77" s="26" t="str">
        <f>VLOOKUP(Y77,'3'!A$95:B$98,2,FALSE)</f>
        <v>ABOVE CEILING</v>
      </c>
      <c r="F77" s="26" t="str">
        <f>VLOOKUP(X77,'3'!A$88:B$92,2,FALSE)</f>
        <v>PVC DUCT(2Ckt.)</v>
      </c>
      <c r="G77" s="13">
        <v>8.59</v>
      </c>
      <c r="H77" s="15">
        <f t="shared" si="0"/>
        <v>13.051154769312857</v>
      </c>
      <c r="I77" s="15">
        <f t="shared" si="1"/>
        <v>19.576732153969285</v>
      </c>
      <c r="J77" s="31">
        <f>VLOOKUP(AA77,'1'!A$15:X$50,2,FALSE)</f>
        <v>25</v>
      </c>
      <c r="K77" s="14"/>
      <c r="L77" s="14" t="s">
        <v>0</v>
      </c>
      <c r="M77" s="14" t="s">
        <v>0</v>
      </c>
      <c r="N77" s="17">
        <f>VLOOKUP(X77,'3'!A$88:C$92,3,FALSE)</f>
        <v>0.81</v>
      </c>
      <c r="O77" s="14">
        <f>VLOOKUP(Y77,'3'!A$95:C$98,3,FALSE)</f>
        <v>0.91</v>
      </c>
      <c r="P77" s="15">
        <f t="shared" si="2"/>
        <v>33.916700583367245</v>
      </c>
      <c r="Q77" s="32">
        <f>VLOOKUP(Z77,'3'!A$8:F$85,6,FALSE)</f>
        <v>76</v>
      </c>
      <c r="R77" s="26" t="str">
        <f>VLOOKUP(Z77,'3'!A$8:F$85,2,FALSE)</f>
        <v>4C-10mm2 Cu XLPE PVC CABLE</v>
      </c>
      <c r="S77" s="33">
        <f>VLOOKUP(Z77,'3'!A$8:F$85,3,FALSE)</f>
        <v>3.5190000000000001</v>
      </c>
      <c r="T77" s="15">
        <f t="shared" si="3"/>
        <v>0</v>
      </c>
      <c r="U77" s="15">
        <f t="shared" si="4"/>
        <v>0</v>
      </c>
      <c r="V77" s="15"/>
      <c r="W77" s="14" t="s">
        <v>0</v>
      </c>
      <c r="X77" s="34">
        <v>2</v>
      </c>
      <c r="Y77" s="34">
        <v>2</v>
      </c>
      <c r="Z77" s="34">
        <v>13</v>
      </c>
      <c r="AA77" s="34">
        <v>7</v>
      </c>
    </row>
    <row r="78" spans="1:27" ht="24.75" customHeight="1" x14ac:dyDescent="0.25">
      <c r="A78" s="14" t="s">
        <v>0</v>
      </c>
      <c r="B78" s="25" t="s">
        <v>0</v>
      </c>
      <c r="C78" s="25" t="s">
        <v>0</v>
      </c>
      <c r="D78" s="13">
        <v>0</v>
      </c>
      <c r="E78" s="26" t="str">
        <f>VLOOKUP(Y78,'3'!A$95:B$98,2,FALSE)</f>
        <v>ABOVE CEILING</v>
      </c>
      <c r="F78" s="26" t="str">
        <f>VLOOKUP(X78,'3'!A$88:B$92,2,FALSE)</f>
        <v>PVC DUCT(2Ckt.)</v>
      </c>
      <c r="G78" s="13">
        <v>8.59</v>
      </c>
      <c r="H78" s="15">
        <f t="shared" si="0"/>
        <v>13.051154769312857</v>
      </c>
      <c r="I78" s="15">
        <f t="shared" si="1"/>
        <v>19.576732153969285</v>
      </c>
      <c r="J78" s="31">
        <f>VLOOKUP(AA78,'1'!A$15:X$50,2,FALSE)</f>
        <v>25</v>
      </c>
      <c r="K78" s="14"/>
      <c r="L78" s="14" t="s">
        <v>0</v>
      </c>
      <c r="M78" s="14" t="s">
        <v>0</v>
      </c>
      <c r="N78" s="17">
        <f>VLOOKUP(X78,'3'!A$88:C$92,3,FALSE)</f>
        <v>0.81</v>
      </c>
      <c r="O78" s="14">
        <f>VLOOKUP(Y78,'3'!A$95:C$98,3,FALSE)</f>
        <v>0.91</v>
      </c>
      <c r="P78" s="15">
        <f t="shared" si="2"/>
        <v>33.916700583367245</v>
      </c>
      <c r="Q78" s="32">
        <f>VLOOKUP(Z78,'3'!A$8:F$85,6,FALSE)</f>
        <v>135</v>
      </c>
      <c r="R78" s="26" t="str">
        <f>VLOOKUP(Z78,'3'!A$8:F$85,2,FALSE)</f>
        <v>4C-25mm2 Cu XLPE PVC CABLE</v>
      </c>
      <c r="S78" s="33">
        <f>VLOOKUP(Z78,'3'!A$8:F$85,3,FALSE)</f>
        <v>1.1140000000000001</v>
      </c>
      <c r="T78" s="15">
        <f t="shared" si="3"/>
        <v>0</v>
      </c>
      <c r="U78" s="15">
        <f t="shared" si="4"/>
        <v>0</v>
      </c>
      <c r="V78" s="15"/>
      <c r="W78" s="14" t="s">
        <v>0</v>
      </c>
      <c r="X78" s="34">
        <v>2</v>
      </c>
      <c r="Y78" s="34">
        <v>2</v>
      </c>
      <c r="Z78" s="34">
        <v>15</v>
      </c>
      <c r="AA78" s="34">
        <v>7</v>
      </c>
    </row>
    <row r="79" spans="1:27" ht="24.75" customHeight="1" x14ac:dyDescent="0.25">
      <c r="A79" s="14" t="s">
        <v>0</v>
      </c>
      <c r="B79" s="25" t="s">
        <v>0</v>
      </c>
      <c r="C79" s="25" t="s">
        <v>0</v>
      </c>
      <c r="D79" s="13">
        <v>0</v>
      </c>
      <c r="E79" s="26" t="str">
        <f>VLOOKUP(Y79,'3'!A$95:B$98,2,FALSE)</f>
        <v>ABOVE CEILING</v>
      </c>
      <c r="F79" s="26" t="str">
        <f>VLOOKUP(X79,'3'!A$88:B$92,2,FALSE)</f>
        <v>PVC DUCT(2Ckt.)</v>
      </c>
      <c r="G79" s="13">
        <v>8.59</v>
      </c>
      <c r="H79" s="15">
        <f t="shared" si="0"/>
        <v>13.051154769312857</v>
      </c>
      <c r="I79" s="15">
        <f t="shared" si="1"/>
        <v>19.576732153969285</v>
      </c>
      <c r="J79" s="31">
        <f>VLOOKUP(AA79,'1'!A$15:X$50,2,FALSE)</f>
        <v>32</v>
      </c>
      <c r="K79" s="14"/>
      <c r="L79" s="14" t="s">
        <v>0</v>
      </c>
      <c r="M79" s="14" t="s">
        <v>0</v>
      </c>
      <c r="N79" s="17">
        <f>VLOOKUP(X79,'3'!A$88:C$92,3,FALSE)</f>
        <v>0.81</v>
      </c>
      <c r="O79" s="14">
        <f>VLOOKUP(Y79,'3'!A$95:C$98,3,FALSE)</f>
        <v>0.91</v>
      </c>
      <c r="P79" s="15">
        <f t="shared" si="2"/>
        <v>43.413376746710078</v>
      </c>
      <c r="Q79" s="32">
        <f>VLOOKUP(Z79,'3'!A$8:F$85,6,FALSE)</f>
        <v>440</v>
      </c>
      <c r="R79" s="26" t="str">
        <f>VLOOKUP(Z79,'3'!A$8:F$85,2,FALSE)</f>
        <v>3.5C-185mm2 Cu XLPE PVC CABLE</v>
      </c>
      <c r="S79" s="33">
        <f>VLOOKUP(Z79,'3'!A$8:F$85,3,FALSE)</f>
        <v>0.27</v>
      </c>
      <c r="T79" s="15">
        <f t="shared" si="3"/>
        <v>0</v>
      </c>
      <c r="U79" s="15">
        <f t="shared" si="4"/>
        <v>0</v>
      </c>
      <c r="V79" s="15"/>
      <c r="W79" s="14" t="s">
        <v>0</v>
      </c>
      <c r="X79" s="34">
        <v>2</v>
      </c>
      <c r="Y79" s="34">
        <v>2</v>
      </c>
      <c r="Z79" s="34">
        <v>22</v>
      </c>
      <c r="AA79" s="34">
        <v>8</v>
      </c>
    </row>
    <row r="80" spans="1:27" ht="12.75" customHeight="1" x14ac:dyDescent="0.25">
      <c r="X80" s="35"/>
      <c r="Y80" s="35"/>
      <c r="Z80" s="35"/>
      <c r="AA80" s="35"/>
    </row>
    <row r="81" spans="7:7" ht="12.75" customHeight="1" x14ac:dyDescent="0.25"/>
    <row r="82" spans="7:7" ht="12.75" customHeight="1" x14ac:dyDescent="0.25"/>
    <row r="83" spans="7:7" ht="12.75" customHeight="1" x14ac:dyDescent="0.25"/>
    <row r="84" spans="7:7" ht="12.75" customHeight="1" x14ac:dyDescent="0.25"/>
    <row r="85" spans="7:7" ht="12.75" customHeight="1" x14ac:dyDescent="0.25">
      <c r="G85" s="36" t="s">
        <v>0</v>
      </c>
    </row>
    <row r="86" spans="7:7" ht="12.75" customHeight="1" x14ac:dyDescent="0.25"/>
    <row r="87" spans="7:7" ht="12.75" customHeight="1" x14ac:dyDescent="0.25"/>
    <row r="88" spans="7:7" ht="12.75" customHeight="1" x14ac:dyDescent="0.25"/>
    <row r="89" spans="7:7" ht="12.75" customHeight="1" x14ac:dyDescent="0.25"/>
    <row r="90" spans="7:7" ht="12.75" customHeight="1" x14ac:dyDescent="0.25"/>
    <row r="91" spans="7:7" ht="12.75" customHeight="1" x14ac:dyDescent="0.25"/>
    <row r="92" spans="7:7" ht="12.75" customHeight="1" x14ac:dyDescent="0.25"/>
    <row r="93" spans="7:7" ht="12.75" customHeight="1" x14ac:dyDescent="0.25"/>
    <row r="94" spans="7:7" ht="12.75" customHeight="1" x14ac:dyDescent="0.25"/>
    <row r="95" spans="7:7" ht="12.75" customHeight="1" x14ac:dyDescent="0.25"/>
    <row r="96" spans="7:7" ht="12.75" customHeight="1" x14ac:dyDescent="0.25"/>
    <row r="97" spans="25:25" ht="12.75" customHeight="1" x14ac:dyDescent="0.25"/>
    <row r="98" spans="25:25" ht="12.75" customHeight="1" x14ac:dyDescent="0.25">
      <c r="Y98" s="36">
        <v>3</v>
      </c>
    </row>
    <row r="99" spans="25:25" ht="12.75" customHeight="1" x14ac:dyDescent="0.25"/>
    <row r="100" spans="25:25" ht="12.75" customHeight="1" x14ac:dyDescent="0.25"/>
    <row r="101" spans="25:25" ht="12.75" customHeight="1" x14ac:dyDescent="0.25"/>
    <row r="102" spans="25:25" ht="12.75" customHeight="1" x14ac:dyDescent="0.25"/>
    <row r="103" spans="25:25" ht="12.75" customHeight="1" x14ac:dyDescent="0.25"/>
    <row r="104" spans="25:25" ht="12.75" customHeight="1" x14ac:dyDescent="0.25"/>
    <row r="105" spans="25:25" ht="12.75" customHeight="1" x14ac:dyDescent="0.25"/>
    <row r="106" spans="25:25" ht="12.75" customHeight="1" x14ac:dyDescent="0.25"/>
    <row r="107" spans="25:25" ht="12.75" customHeight="1" x14ac:dyDescent="0.25"/>
    <row r="108" spans="25:25" ht="12.75" customHeight="1" x14ac:dyDescent="0.25"/>
    <row r="109" spans="25:25" ht="12.75" customHeight="1" x14ac:dyDescent="0.25"/>
    <row r="110" spans="25:25" ht="12.75" customHeight="1" x14ac:dyDescent="0.25"/>
    <row r="111" spans="25:25" ht="12.75" customHeight="1" x14ac:dyDescent="0.25"/>
    <row r="112" spans="25:25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spans="27:27" ht="12.75" customHeight="1" x14ac:dyDescent="0.25"/>
    <row r="130" spans="27:27" ht="12.75" customHeight="1" x14ac:dyDescent="0.25"/>
    <row r="131" spans="27:27" ht="12.75" customHeight="1" x14ac:dyDescent="0.25"/>
    <row r="132" spans="27:27" ht="12.75" customHeight="1" x14ac:dyDescent="0.25"/>
    <row r="133" spans="27:27" ht="12.75" customHeight="1" x14ac:dyDescent="0.25"/>
    <row r="134" spans="27:27" ht="12.75" customHeight="1" x14ac:dyDescent="0.25"/>
    <row r="135" spans="27:27" ht="12.75" customHeight="1" x14ac:dyDescent="0.25"/>
    <row r="136" spans="27:27" ht="12.75" customHeight="1" x14ac:dyDescent="0.25"/>
    <row r="137" spans="27:27" ht="12.75" customHeight="1" x14ac:dyDescent="0.25"/>
    <row r="138" spans="27:27" ht="12.75" customHeight="1" x14ac:dyDescent="0.25"/>
    <row r="139" spans="27:27" ht="12.75" customHeight="1" x14ac:dyDescent="0.25"/>
    <row r="140" spans="27:27" ht="12.75" customHeight="1" x14ac:dyDescent="0.25"/>
    <row r="141" spans="27:27" ht="12.75" customHeight="1" x14ac:dyDescent="0.25"/>
    <row r="142" spans="27:27" ht="12.75" customHeight="1" x14ac:dyDescent="0.25"/>
    <row r="143" spans="27:27" ht="12.75" customHeight="1" x14ac:dyDescent="0.25"/>
    <row r="144" spans="27:27" ht="12.75" customHeight="1" x14ac:dyDescent="0.25">
      <c r="AA144" s="36">
        <v>11</v>
      </c>
    </row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4">
    <mergeCell ref="A8:A11"/>
    <mergeCell ref="A12:A13"/>
    <mergeCell ref="A14:A15"/>
    <mergeCell ref="W5:W7"/>
    <mergeCell ref="G3:M3"/>
    <mergeCell ref="P5:P7"/>
    <mergeCell ref="Q5:Q7"/>
    <mergeCell ref="R5:R7"/>
    <mergeCell ref="S5:T6"/>
    <mergeCell ref="U5:U6"/>
    <mergeCell ref="H5:H7"/>
    <mergeCell ref="I5:I7"/>
    <mergeCell ref="J5:J7"/>
    <mergeCell ref="K5:O5"/>
    <mergeCell ref="K6:M6"/>
    <mergeCell ref="N6:O6"/>
    <mergeCell ref="G5:G7"/>
    <mergeCell ref="V5:V7"/>
    <mergeCell ref="A2:F2"/>
    <mergeCell ref="A3:F3"/>
    <mergeCell ref="A5:A7"/>
    <mergeCell ref="B5:C6"/>
    <mergeCell ref="D5:D7"/>
    <mergeCell ref="E5:F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workbookViewId="0">
      <selection activeCell="P15" sqref="P15"/>
    </sheetView>
  </sheetViews>
  <sheetFormatPr defaultColWidth="12.6640625" defaultRowHeight="15" customHeight="1" x14ac:dyDescent="0.25"/>
  <cols>
    <col min="1" max="22" width="8" customWidth="1"/>
    <col min="23" max="23" width="18.77734375" customWidth="1"/>
    <col min="24" max="24" width="12.77734375" customWidth="1"/>
    <col min="25" max="26" width="8" customWidth="1"/>
  </cols>
  <sheetData>
    <row r="1" spans="1:23" ht="14.25" customHeight="1" x14ac:dyDescent="0.25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3" ht="15" customHeight="1" x14ac:dyDescent="0.25">
      <c r="B2" s="38" t="s">
        <v>92</v>
      </c>
      <c r="C2" s="38"/>
      <c r="D2" s="38"/>
      <c r="E2" s="38"/>
      <c r="F2" s="38"/>
      <c r="G2" s="39"/>
      <c r="H2" s="38"/>
      <c r="I2" s="38"/>
      <c r="J2" s="38"/>
      <c r="K2" s="39"/>
      <c r="L2" s="38"/>
      <c r="M2" s="38"/>
      <c r="N2" s="38"/>
      <c r="O2" s="38"/>
      <c r="P2" s="38"/>
      <c r="Q2" s="38"/>
      <c r="R2" s="38"/>
      <c r="S2" s="38"/>
      <c r="T2" s="38"/>
      <c r="U2" s="38"/>
      <c r="V2" s="40"/>
      <c r="W2" s="38"/>
    </row>
    <row r="3" spans="1:23" ht="14.25" customHeight="1" x14ac:dyDescent="0.25">
      <c r="B3" s="41"/>
      <c r="C3" s="41"/>
      <c r="D3" s="41"/>
      <c r="E3" s="41"/>
      <c r="F3" s="41"/>
      <c r="G3" s="37"/>
      <c r="H3" s="41"/>
      <c r="I3" s="41"/>
      <c r="J3" s="41"/>
      <c r="K3" s="37"/>
      <c r="L3" s="41"/>
      <c r="M3" s="41"/>
      <c r="N3" s="41"/>
      <c r="O3" s="41"/>
      <c r="P3" s="41"/>
      <c r="Q3" s="41"/>
      <c r="R3" s="41"/>
      <c r="S3" s="41"/>
      <c r="T3" s="41"/>
      <c r="U3" s="41"/>
      <c r="V3" s="37"/>
      <c r="W3" s="41"/>
    </row>
    <row r="4" spans="1:23" ht="15" customHeight="1" x14ac:dyDescent="0.25">
      <c r="B4" s="131" t="s">
        <v>93</v>
      </c>
      <c r="C4" s="131" t="s">
        <v>94</v>
      </c>
      <c r="D4" s="130" t="s">
        <v>95</v>
      </c>
      <c r="E4" s="131" t="s">
        <v>94</v>
      </c>
      <c r="F4" s="130" t="s">
        <v>95</v>
      </c>
      <c r="G4" s="131" t="s">
        <v>94</v>
      </c>
      <c r="H4" s="130" t="s">
        <v>95</v>
      </c>
      <c r="I4" s="131" t="s">
        <v>94</v>
      </c>
      <c r="J4" s="130" t="s">
        <v>95</v>
      </c>
      <c r="K4" s="131" t="s">
        <v>94</v>
      </c>
      <c r="L4" s="130" t="s">
        <v>95</v>
      </c>
      <c r="M4" s="131" t="s">
        <v>94</v>
      </c>
      <c r="N4" s="130" t="s">
        <v>95</v>
      </c>
      <c r="O4" s="131" t="s">
        <v>94</v>
      </c>
      <c r="P4" s="130" t="s">
        <v>95</v>
      </c>
      <c r="Q4" s="131" t="s">
        <v>94</v>
      </c>
      <c r="R4" s="130" t="s">
        <v>95</v>
      </c>
      <c r="S4" s="129" t="s">
        <v>96</v>
      </c>
      <c r="T4" s="124"/>
      <c r="U4" s="129" t="s">
        <v>97</v>
      </c>
      <c r="V4" s="124"/>
      <c r="W4" s="130" t="s">
        <v>18</v>
      </c>
    </row>
    <row r="5" spans="1:23" ht="15" customHeight="1" x14ac:dyDescent="0.25"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42" t="s">
        <v>98</v>
      </c>
      <c r="T5" s="42" t="s">
        <v>99</v>
      </c>
      <c r="U5" s="42" t="s">
        <v>98</v>
      </c>
      <c r="V5" s="43" t="s">
        <v>99</v>
      </c>
      <c r="W5" s="109"/>
    </row>
    <row r="6" spans="1:23" ht="14.25" customHeight="1" x14ac:dyDescent="0.25">
      <c r="B6" s="44">
        <v>0.5</v>
      </c>
      <c r="C6" s="45">
        <v>63</v>
      </c>
      <c r="D6" s="46" t="s">
        <v>100</v>
      </c>
      <c r="E6" s="47"/>
      <c r="F6" s="46"/>
      <c r="G6" s="47"/>
      <c r="H6" s="46"/>
      <c r="I6" s="46"/>
      <c r="J6" s="46"/>
      <c r="K6" s="47"/>
      <c r="L6" s="46"/>
      <c r="M6" s="46"/>
      <c r="N6" s="46"/>
      <c r="O6" s="46"/>
      <c r="P6" s="46"/>
      <c r="Q6" s="45"/>
      <c r="R6" s="46"/>
      <c r="S6" s="46"/>
      <c r="T6" s="46"/>
      <c r="U6" s="48"/>
      <c r="V6" s="49"/>
      <c r="W6" s="48"/>
    </row>
    <row r="7" spans="1:23" ht="14.25" customHeight="1" x14ac:dyDescent="0.25">
      <c r="B7" s="50">
        <v>0.75</v>
      </c>
      <c r="C7" s="51">
        <v>63</v>
      </c>
      <c r="D7" s="46" t="s">
        <v>100</v>
      </c>
      <c r="E7" s="51"/>
      <c r="F7" s="51"/>
      <c r="G7" s="47"/>
      <c r="H7" s="46"/>
      <c r="I7" s="46"/>
      <c r="J7" s="46"/>
      <c r="K7" s="47"/>
      <c r="L7" s="46"/>
      <c r="M7" s="46"/>
      <c r="N7" s="46"/>
      <c r="O7" s="46"/>
      <c r="P7" s="46"/>
      <c r="Q7" s="45"/>
      <c r="R7" s="46"/>
      <c r="S7" s="46"/>
      <c r="T7" s="46"/>
      <c r="U7" s="48"/>
      <c r="V7" s="49"/>
      <c r="W7" s="48"/>
    </row>
    <row r="8" spans="1:23" ht="14.25" customHeight="1" x14ac:dyDescent="0.25">
      <c r="B8" s="45">
        <v>1</v>
      </c>
      <c r="C8" s="51">
        <v>63</v>
      </c>
      <c r="D8" s="46" t="s">
        <v>100</v>
      </c>
      <c r="E8" s="51"/>
      <c r="F8" s="51"/>
      <c r="G8" s="47"/>
      <c r="H8" s="46"/>
      <c r="I8" s="46"/>
      <c r="J8" s="46"/>
      <c r="K8" s="47"/>
      <c r="L8" s="46"/>
      <c r="M8" s="46"/>
      <c r="N8" s="46"/>
      <c r="O8" s="46"/>
      <c r="P8" s="46"/>
      <c r="Q8" s="45"/>
      <c r="R8" s="46"/>
      <c r="S8" s="46"/>
      <c r="T8" s="46"/>
      <c r="U8" s="48"/>
      <c r="V8" s="49"/>
      <c r="W8" s="48"/>
    </row>
    <row r="9" spans="1:23" ht="14.25" customHeight="1" x14ac:dyDescent="0.25">
      <c r="B9" s="45">
        <v>2</v>
      </c>
      <c r="C9" s="51">
        <v>63</v>
      </c>
      <c r="D9" s="46" t="s">
        <v>100</v>
      </c>
      <c r="E9" s="51"/>
      <c r="F9" s="51"/>
      <c r="G9" s="47"/>
      <c r="H9" s="46"/>
      <c r="I9" s="46"/>
      <c r="J9" s="46"/>
      <c r="K9" s="47"/>
      <c r="L9" s="46"/>
      <c r="M9" s="46"/>
      <c r="N9" s="46"/>
      <c r="O9" s="46"/>
      <c r="P9" s="46"/>
      <c r="Q9" s="45"/>
      <c r="R9" s="46"/>
      <c r="S9" s="46"/>
      <c r="T9" s="46"/>
      <c r="U9" s="48"/>
      <c r="V9" s="49"/>
      <c r="W9" s="48"/>
    </row>
    <row r="10" spans="1:23" ht="14.25" customHeight="1" x14ac:dyDescent="0.25">
      <c r="B10" s="44">
        <v>2.5</v>
      </c>
      <c r="C10" s="51"/>
      <c r="D10" s="51"/>
      <c r="E10" s="51">
        <v>100</v>
      </c>
      <c r="F10" s="51" t="s">
        <v>101</v>
      </c>
      <c r="G10" s="47">
        <v>160</v>
      </c>
      <c r="H10" s="51" t="s">
        <v>101</v>
      </c>
      <c r="I10" s="49">
        <v>250</v>
      </c>
      <c r="J10" s="51" t="s">
        <v>101</v>
      </c>
      <c r="K10" s="49"/>
      <c r="L10" s="51"/>
      <c r="M10" s="51"/>
      <c r="N10" s="51"/>
      <c r="O10" s="46"/>
      <c r="P10" s="46"/>
      <c r="Q10" s="45"/>
      <c r="R10" s="46"/>
      <c r="S10" s="46"/>
      <c r="T10" s="46"/>
      <c r="U10" s="48"/>
      <c r="V10" s="49"/>
      <c r="W10" s="48"/>
    </row>
    <row r="11" spans="1:23" ht="14.25" customHeight="1" x14ac:dyDescent="0.25">
      <c r="B11" s="45">
        <v>3</v>
      </c>
      <c r="C11" s="51">
        <v>63</v>
      </c>
      <c r="D11" s="51" t="s">
        <v>100</v>
      </c>
      <c r="E11" s="51"/>
      <c r="F11" s="51"/>
      <c r="G11" s="47"/>
      <c r="H11" s="51"/>
      <c r="I11" s="46"/>
      <c r="J11" s="51"/>
      <c r="K11" s="49"/>
      <c r="L11" s="51"/>
      <c r="M11" s="51"/>
      <c r="N11" s="51"/>
      <c r="O11" s="46"/>
      <c r="P11" s="46"/>
      <c r="Q11" s="45"/>
      <c r="R11" s="46"/>
      <c r="S11" s="46"/>
      <c r="T11" s="46"/>
      <c r="U11" s="48"/>
      <c r="V11" s="49"/>
      <c r="W11" s="48"/>
    </row>
    <row r="12" spans="1:23" ht="14.25" customHeight="1" x14ac:dyDescent="0.25">
      <c r="B12" s="45">
        <v>4</v>
      </c>
      <c r="C12" s="51">
        <v>63</v>
      </c>
      <c r="D12" s="51" t="s">
        <v>100</v>
      </c>
      <c r="E12" s="51"/>
      <c r="F12" s="51"/>
      <c r="G12" s="47"/>
      <c r="H12" s="51"/>
      <c r="I12" s="46"/>
      <c r="J12" s="51"/>
      <c r="K12" s="49"/>
      <c r="L12" s="51"/>
      <c r="M12" s="51"/>
      <c r="N12" s="51"/>
      <c r="O12" s="46"/>
      <c r="P12" s="46"/>
      <c r="Q12" s="45"/>
      <c r="R12" s="46"/>
      <c r="S12" s="46"/>
      <c r="T12" s="46"/>
      <c r="U12" s="48"/>
      <c r="V12" s="49"/>
      <c r="W12" s="48"/>
    </row>
    <row r="13" spans="1:23" ht="14.25" customHeight="1" x14ac:dyDescent="0.25">
      <c r="B13" s="45">
        <v>6</v>
      </c>
      <c r="C13" s="51">
        <v>63</v>
      </c>
      <c r="D13" s="51" t="s">
        <v>100</v>
      </c>
      <c r="E13" s="51"/>
      <c r="F13" s="51"/>
      <c r="G13" s="47"/>
      <c r="H13" s="51"/>
      <c r="I13" s="46"/>
      <c r="J13" s="51"/>
      <c r="K13" s="49"/>
      <c r="L13" s="51"/>
      <c r="M13" s="51"/>
      <c r="N13" s="51"/>
      <c r="O13" s="46"/>
      <c r="P13" s="46"/>
      <c r="Q13" s="45"/>
      <c r="R13" s="46"/>
      <c r="S13" s="46"/>
      <c r="T13" s="46"/>
      <c r="U13" s="48"/>
      <c r="V13" s="49"/>
      <c r="W13" s="48"/>
    </row>
    <row r="14" spans="1:23" ht="14.25" customHeight="1" x14ac:dyDescent="0.25">
      <c r="B14" s="46">
        <v>6.3</v>
      </c>
      <c r="C14" s="51"/>
      <c r="D14" s="51"/>
      <c r="E14" s="51">
        <v>100</v>
      </c>
      <c r="F14" s="51" t="s">
        <v>101</v>
      </c>
      <c r="G14" s="47">
        <v>160</v>
      </c>
      <c r="H14" s="51" t="s">
        <v>101</v>
      </c>
      <c r="I14" s="49">
        <v>250</v>
      </c>
      <c r="J14" s="51" t="s">
        <v>101</v>
      </c>
      <c r="K14" s="49"/>
      <c r="L14" s="51"/>
      <c r="M14" s="51"/>
      <c r="N14" s="51"/>
      <c r="O14" s="46"/>
      <c r="P14" s="46"/>
      <c r="Q14" s="45"/>
      <c r="R14" s="46"/>
      <c r="S14" s="46"/>
      <c r="T14" s="46"/>
      <c r="U14" s="48"/>
      <c r="V14" s="49"/>
      <c r="W14" s="48"/>
    </row>
    <row r="15" spans="1:23" ht="14.25" customHeight="1" x14ac:dyDescent="0.25">
      <c r="A15" s="36">
        <v>1</v>
      </c>
      <c r="B15" s="45">
        <v>10</v>
      </c>
      <c r="C15" s="51">
        <v>63</v>
      </c>
      <c r="D15" s="51" t="s">
        <v>100</v>
      </c>
      <c r="E15" s="51">
        <v>100</v>
      </c>
      <c r="F15" s="51" t="s">
        <v>101</v>
      </c>
      <c r="G15" s="47">
        <v>160</v>
      </c>
      <c r="H15" s="51" t="s">
        <v>101</v>
      </c>
      <c r="I15" s="49">
        <v>250</v>
      </c>
      <c r="J15" s="51" t="s">
        <v>101</v>
      </c>
      <c r="K15" s="49"/>
      <c r="L15" s="51"/>
      <c r="M15" s="51"/>
      <c r="N15" s="51"/>
      <c r="O15" s="46"/>
      <c r="P15" s="46"/>
      <c r="Q15" s="45"/>
      <c r="R15" s="46"/>
      <c r="S15" s="46"/>
      <c r="T15" s="46"/>
      <c r="U15" s="48"/>
      <c r="V15" s="49"/>
      <c r="W15" s="48"/>
    </row>
    <row r="16" spans="1:23" ht="14.25" customHeight="1" x14ac:dyDescent="0.25">
      <c r="A16" s="36">
        <v>2</v>
      </c>
      <c r="B16" s="44">
        <v>12.5</v>
      </c>
      <c r="C16" s="51"/>
      <c r="D16" s="51"/>
      <c r="E16" s="51">
        <v>100</v>
      </c>
      <c r="F16" s="51" t="s">
        <v>101</v>
      </c>
      <c r="G16" s="47">
        <v>160</v>
      </c>
      <c r="H16" s="51" t="s">
        <v>101</v>
      </c>
      <c r="I16" s="49">
        <v>250</v>
      </c>
      <c r="J16" s="51" t="s">
        <v>101</v>
      </c>
      <c r="K16" s="49"/>
      <c r="L16" s="51"/>
      <c r="M16" s="51"/>
      <c r="N16" s="51"/>
      <c r="O16" s="46"/>
      <c r="P16" s="46"/>
      <c r="Q16" s="45"/>
      <c r="R16" s="46"/>
      <c r="S16" s="46"/>
      <c r="T16" s="46"/>
      <c r="U16" s="48"/>
      <c r="V16" s="49"/>
      <c r="W16" s="48"/>
    </row>
    <row r="17" spans="1:24" ht="14.25" customHeight="1" x14ac:dyDescent="0.25">
      <c r="A17" s="36">
        <v>3</v>
      </c>
      <c r="B17" s="45">
        <v>13</v>
      </c>
      <c r="C17" s="51">
        <v>63</v>
      </c>
      <c r="D17" s="51" t="s">
        <v>100</v>
      </c>
      <c r="E17" s="51"/>
      <c r="F17" s="51"/>
      <c r="G17" s="47"/>
      <c r="H17" s="51"/>
      <c r="I17" s="46"/>
      <c r="J17" s="51"/>
      <c r="K17" s="49"/>
      <c r="L17" s="51"/>
      <c r="M17" s="51"/>
      <c r="N17" s="51"/>
      <c r="O17" s="46"/>
      <c r="P17" s="46"/>
      <c r="Q17" s="45"/>
      <c r="R17" s="46"/>
      <c r="S17" s="46"/>
      <c r="T17" s="46"/>
      <c r="U17" s="48"/>
      <c r="V17" s="49"/>
      <c r="W17" s="48"/>
    </row>
    <row r="18" spans="1:24" ht="14.25" customHeight="1" x14ac:dyDescent="0.25">
      <c r="A18" s="36">
        <v>4</v>
      </c>
      <c r="B18" s="49">
        <v>15</v>
      </c>
      <c r="C18" s="51">
        <v>63</v>
      </c>
      <c r="D18" s="51" t="s">
        <v>100</v>
      </c>
      <c r="E18" s="51"/>
      <c r="F18" s="51"/>
      <c r="G18" s="47"/>
      <c r="H18" s="51"/>
      <c r="I18" s="46"/>
      <c r="J18" s="51"/>
      <c r="K18" s="49"/>
      <c r="L18" s="51"/>
      <c r="M18" s="51"/>
      <c r="N18" s="51"/>
      <c r="O18" s="46"/>
      <c r="P18" s="46"/>
      <c r="Q18" s="49"/>
      <c r="R18" s="49"/>
      <c r="S18" s="48">
        <v>2.5</v>
      </c>
      <c r="T18" s="49">
        <v>14</v>
      </c>
      <c r="U18" s="48">
        <v>2.5</v>
      </c>
      <c r="V18" s="49">
        <v>14</v>
      </c>
      <c r="W18" s="48" t="s">
        <v>102</v>
      </c>
    </row>
    <row r="19" spans="1:24" ht="14.25" customHeight="1" x14ac:dyDescent="0.25">
      <c r="A19" s="36">
        <v>5</v>
      </c>
      <c r="B19" s="49">
        <v>16</v>
      </c>
      <c r="C19" s="51">
        <v>63</v>
      </c>
      <c r="D19" s="51" t="s">
        <v>100</v>
      </c>
      <c r="E19" s="51">
        <v>100</v>
      </c>
      <c r="F19" s="51" t="s">
        <v>101</v>
      </c>
      <c r="G19" s="47">
        <v>160</v>
      </c>
      <c r="H19" s="51" t="s">
        <v>101</v>
      </c>
      <c r="I19" s="49">
        <v>250</v>
      </c>
      <c r="J19" s="51" t="s">
        <v>101</v>
      </c>
      <c r="K19" s="49"/>
      <c r="L19" s="51"/>
      <c r="M19" s="51"/>
      <c r="N19" s="51"/>
      <c r="O19" s="46"/>
      <c r="P19" s="46"/>
      <c r="Q19" s="49"/>
      <c r="R19" s="49"/>
      <c r="S19" s="48">
        <v>2.5</v>
      </c>
      <c r="T19" s="49">
        <v>14</v>
      </c>
      <c r="U19" s="48">
        <v>2.5</v>
      </c>
      <c r="V19" s="49">
        <v>14</v>
      </c>
      <c r="W19" s="48" t="s">
        <v>102</v>
      </c>
    </row>
    <row r="20" spans="1:24" ht="14.25" customHeight="1" x14ac:dyDescent="0.25">
      <c r="A20" s="36">
        <v>6</v>
      </c>
      <c r="B20" s="49">
        <v>20</v>
      </c>
      <c r="C20" s="51">
        <v>63</v>
      </c>
      <c r="D20" s="51" t="s">
        <v>100</v>
      </c>
      <c r="E20" s="51">
        <v>100</v>
      </c>
      <c r="F20" s="51" t="s">
        <v>101</v>
      </c>
      <c r="G20" s="47">
        <v>160</v>
      </c>
      <c r="H20" s="51" t="s">
        <v>101</v>
      </c>
      <c r="I20" s="49">
        <v>250</v>
      </c>
      <c r="J20" s="51" t="s">
        <v>101</v>
      </c>
      <c r="K20" s="49"/>
      <c r="L20" s="51"/>
      <c r="M20" s="51"/>
      <c r="N20" s="51"/>
      <c r="O20" s="46"/>
      <c r="P20" s="46"/>
      <c r="Q20" s="49"/>
      <c r="R20" s="49"/>
      <c r="S20" s="49">
        <v>4</v>
      </c>
      <c r="T20" s="49">
        <v>12</v>
      </c>
      <c r="U20" s="49">
        <v>4</v>
      </c>
      <c r="V20" s="49">
        <v>12</v>
      </c>
      <c r="W20" s="48" t="s">
        <v>102</v>
      </c>
    </row>
    <row r="21" spans="1:24" ht="14.25" customHeight="1" x14ac:dyDescent="0.25">
      <c r="A21" s="36">
        <v>7</v>
      </c>
      <c r="B21" s="49">
        <v>25</v>
      </c>
      <c r="C21" s="51">
        <v>63</v>
      </c>
      <c r="D21" s="51" t="s">
        <v>100</v>
      </c>
      <c r="E21" s="51">
        <v>100</v>
      </c>
      <c r="F21" s="51" t="s">
        <v>101</v>
      </c>
      <c r="G21" s="47">
        <v>160</v>
      </c>
      <c r="H21" s="51" t="s">
        <v>101</v>
      </c>
      <c r="I21" s="49">
        <v>250</v>
      </c>
      <c r="J21" s="51" t="s">
        <v>101</v>
      </c>
      <c r="K21" s="49"/>
      <c r="L21" s="51"/>
      <c r="M21" s="51"/>
      <c r="N21" s="51"/>
      <c r="O21" s="46"/>
      <c r="P21" s="46"/>
      <c r="Q21" s="49"/>
      <c r="R21" s="49"/>
      <c r="S21" s="49">
        <v>4</v>
      </c>
      <c r="T21" s="49">
        <v>12</v>
      </c>
      <c r="U21" s="49">
        <v>4</v>
      </c>
      <c r="V21" s="49">
        <v>12</v>
      </c>
      <c r="W21" s="48" t="s">
        <v>102</v>
      </c>
    </row>
    <row r="22" spans="1:24" ht="14.25" customHeight="1" x14ac:dyDescent="0.25">
      <c r="A22" s="36">
        <v>8</v>
      </c>
      <c r="B22" s="49">
        <v>32</v>
      </c>
      <c r="C22" s="51">
        <v>63</v>
      </c>
      <c r="D22" s="51" t="s">
        <v>100</v>
      </c>
      <c r="E22" s="51">
        <v>100</v>
      </c>
      <c r="F22" s="51" t="s">
        <v>101</v>
      </c>
      <c r="G22" s="47">
        <v>160</v>
      </c>
      <c r="H22" s="51" t="s">
        <v>101</v>
      </c>
      <c r="I22" s="49">
        <v>250</v>
      </c>
      <c r="J22" s="51" t="s">
        <v>101</v>
      </c>
      <c r="K22" s="49"/>
      <c r="L22" s="51"/>
      <c r="M22" s="51"/>
      <c r="N22" s="51"/>
      <c r="O22" s="46"/>
      <c r="P22" s="46"/>
      <c r="Q22" s="49"/>
      <c r="R22" s="49"/>
      <c r="S22" s="49">
        <v>6</v>
      </c>
      <c r="T22" s="49">
        <v>10</v>
      </c>
      <c r="U22" s="49">
        <v>6</v>
      </c>
      <c r="V22" s="49">
        <v>10</v>
      </c>
      <c r="W22" s="48" t="s">
        <v>102</v>
      </c>
    </row>
    <row r="23" spans="1:24" ht="14.25" customHeight="1" x14ac:dyDescent="0.25">
      <c r="A23" s="36">
        <v>9</v>
      </c>
      <c r="B23" s="49">
        <v>40</v>
      </c>
      <c r="C23" s="51">
        <v>63</v>
      </c>
      <c r="D23" s="51" t="s">
        <v>100</v>
      </c>
      <c r="E23" s="51">
        <v>100</v>
      </c>
      <c r="F23" s="51" t="s">
        <v>101</v>
      </c>
      <c r="G23" s="47">
        <v>160</v>
      </c>
      <c r="H23" s="51" t="s">
        <v>101</v>
      </c>
      <c r="I23" s="49">
        <v>250</v>
      </c>
      <c r="J23" s="51" t="s">
        <v>101</v>
      </c>
      <c r="K23" s="49"/>
      <c r="L23" s="51"/>
      <c r="M23" s="51"/>
      <c r="N23" s="51"/>
      <c r="O23" s="46"/>
      <c r="P23" s="46"/>
      <c r="Q23" s="49"/>
      <c r="R23" s="49"/>
      <c r="S23" s="49">
        <v>10</v>
      </c>
      <c r="T23" s="49">
        <v>8</v>
      </c>
      <c r="U23" s="49">
        <v>6</v>
      </c>
      <c r="V23" s="49">
        <v>10</v>
      </c>
      <c r="W23" s="48" t="s">
        <v>102</v>
      </c>
    </row>
    <row r="24" spans="1:24" ht="14.25" customHeight="1" x14ac:dyDescent="0.25">
      <c r="A24" s="36">
        <v>10</v>
      </c>
      <c r="B24" s="49">
        <v>50</v>
      </c>
      <c r="C24" s="51">
        <v>63</v>
      </c>
      <c r="D24" s="51" t="s">
        <v>100</v>
      </c>
      <c r="E24" s="51">
        <v>100</v>
      </c>
      <c r="F24" s="51" t="s">
        <v>101</v>
      </c>
      <c r="G24" s="47">
        <v>160</v>
      </c>
      <c r="H24" s="51" t="s">
        <v>101</v>
      </c>
      <c r="I24" s="49">
        <v>250</v>
      </c>
      <c r="J24" s="51" t="s">
        <v>101</v>
      </c>
      <c r="K24" s="49"/>
      <c r="L24" s="51"/>
      <c r="M24" s="51"/>
      <c r="N24" s="51"/>
      <c r="O24" s="46"/>
      <c r="P24" s="46"/>
      <c r="Q24" s="49"/>
      <c r="R24" s="49"/>
      <c r="S24" s="49">
        <v>16</v>
      </c>
      <c r="T24" s="49">
        <v>6</v>
      </c>
      <c r="U24" s="49">
        <v>6</v>
      </c>
      <c r="V24" s="49">
        <v>10</v>
      </c>
      <c r="W24" s="48" t="s">
        <v>102</v>
      </c>
    </row>
    <row r="25" spans="1:24" ht="14.25" customHeight="1" x14ac:dyDescent="0.25">
      <c r="A25" s="36">
        <v>11</v>
      </c>
      <c r="B25" s="49">
        <v>63</v>
      </c>
      <c r="C25" s="51">
        <v>63</v>
      </c>
      <c r="D25" s="51" t="s">
        <v>100</v>
      </c>
      <c r="E25" s="51">
        <v>100</v>
      </c>
      <c r="F25" s="51" t="s">
        <v>101</v>
      </c>
      <c r="G25" s="47">
        <v>160</v>
      </c>
      <c r="H25" s="51" t="s">
        <v>101</v>
      </c>
      <c r="I25" s="49">
        <v>250</v>
      </c>
      <c r="J25" s="51" t="s">
        <v>101</v>
      </c>
      <c r="K25" s="49"/>
      <c r="L25" s="51"/>
      <c r="M25" s="51"/>
      <c r="N25" s="51"/>
      <c r="O25" s="46"/>
      <c r="P25" s="46"/>
      <c r="Q25" s="49"/>
      <c r="R25" s="49"/>
      <c r="S25" s="49"/>
      <c r="T25" s="49"/>
      <c r="U25" s="49">
        <v>6</v>
      </c>
      <c r="V25" s="49">
        <v>10</v>
      </c>
      <c r="W25" s="48"/>
    </row>
    <row r="26" spans="1:24" ht="14.25" customHeight="1" x14ac:dyDescent="0.25">
      <c r="A26" s="36">
        <v>12</v>
      </c>
      <c r="B26" s="49">
        <v>80</v>
      </c>
      <c r="C26" s="45"/>
      <c r="D26" s="46"/>
      <c r="E26" s="51">
        <v>100</v>
      </c>
      <c r="F26" s="51" t="s">
        <v>101</v>
      </c>
      <c r="G26" s="47">
        <v>160</v>
      </c>
      <c r="H26" s="51" t="s">
        <v>101</v>
      </c>
      <c r="I26" s="49">
        <v>250</v>
      </c>
      <c r="J26" s="51" t="s">
        <v>101</v>
      </c>
      <c r="K26" s="49"/>
      <c r="L26" s="51"/>
      <c r="M26" s="51"/>
      <c r="N26" s="51"/>
      <c r="O26" s="46"/>
      <c r="P26" s="46"/>
      <c r="Q26" s="49"/>
      <c r="R26" s="49"/>
      <c r="S26" s="49"/>
      <c r="T26" s="49"/>
      <c r="U26" s="49">
        <v>6</v>
      </c>
      <c r="V26" s="49">
        <v>10</v>
      </c>
      <c r="W26" s="48"/>
      <c r="X26" s="52" t="s">
        <v>103</v>
      </c>
    </row>
    <row r="27" spans="1:24" ht="14.25" customHeight="1" x14ac:dyDescent="0.25">
      <c r="A27" s="36">
        <v>13</v>
      </c>
      <c r="B27" s="53">
        <v>100</v>
      </c>
      <c r="C27" s="53"/>
      <c r="D27" s="54"/>
      <c r="E27" s="55">
        <v>100</v>
      </c>
      <c r="F27" s="55" t="s">
        <v>101</v>
      </c>
      <c r="G27" s="56">
        <v>160</v>
      </c>
      <c r="H27" s="55" t="s">
        <v>101</v>
      </c>
      <c r="I27" s="53">
        <v>250</v>
      </c>
      <c r="J27" s="55" t="s">
        <v>101</v>
      </c>
      <c r="K27" s="53"/>
      <c r="L27" s="55"/>
      <c r="M27" s="55"/>
      <c r="N27" s="55"/>
      <c r="O27" s="57"/>
      <c r="P27" s="57"/>
      <c r="Q27" s="53"/>
      <c r="R27" s="53"/>
      <c r="S27" s="53"/>
      <c r="T27" s="53"/>
      <c r="U27" s="53">
        <v>6</v>
      </c>
      <c r="V27" s="53">
        <v>10</v>
      </c>
      <c r="W27" s="53"/>
      <c r="X27" s="58" t="s">
        <v>104</v>
      </c>
    </row>
    <row r="28" spans="1:24" ht="14.25" customHeight="1" x14ac:dyDescent="0.25">
      <c r="A28" s="36">
        <v>14</v>
      </c>
      <c r="B28" s="59">
        <v>120</v>
      </c>
      <c r="C28" s="59"/>
      <c r="D28" s="60"/>
      <c r="E28" s="61"/>
      <c r="F28" s="62"/>
      <c r="G28" s="61"/>
      <c r="H28" s="63"/>
      <c r="I28" s="63"/>
      <c r="J28" s="63"/>
      <c r="K28" s="61">
        <v>400</v>
      </c>
      <c r="L28" s="63" t="s">
        <v>101</v>
      </c>
      <c r="M28" s="63"/>
      <c r="N28" s="63"/>
      <c r="O28" s="63"/>
      <c r="P28" s="63"/>
      <c r="Q28" s="59"/>
      <c r="R28" s="59"/>
      <c r="S28" s="59"/>
      <c r="T28" s="59"/>
      <c r="U28" s="59">
        <v>10</v>
      </c>
      <c r="V28" s="59">
        <v>8</v>
      </c>
      <c r="W28" s="59"/>
      <c r="X28" s="64" t="s">
        <v>105</v>
      </c>
    </row>
    <row r="29" spans="1:24" ht="14.25" customHeight="1" x14ac:dyDescent="0.25">
      <c r="A29" s="36">
        <v>15</v>
      </c>
      <c r="B29" s="59">
        <v>125</v>
      </c>
      <c r="C29" s="59"/>
      <c r="D29" s="60"/>
      <c r="E29" s="65"/>
      <c r="F29" s="62"/>
      <c r="G29" s="62">
        <v>160</v>
      </c>
      <c r="H29" s="62" t="s">
        <v>101</v>
      </c>
      <c r="I29" s="59">
        <v>250</v>
      </c>
      <c r="J29" s="62" t="s">
        <v>101</v>
      </c>
      <c r="K29" s="59"/>
      <c r="L29" s="62"/>
      <c r="M29" s="62"/>
      <c r="N29" s="62"/>
      <c r="O29" s="59"/>
      <c r="P29" s="59"/>
      <c r="Q29" s="59"/>
      <c r="R29" s="59"/>
      <c r="S29" s="59"/>
      <c r="T29" s="59"/>
      <c r="U29" s="59">
        <v>10</v>
      </c>
      <c r="V29" s="59">
        <v>8</v>
      </c>
      <c r="W29" s="59"/>
      <c r="X29" s="64" t="s">
        <v>106</v>
      </c>
    </row>
    <row r="30" spans="1:24" ht="14.25" customHeight="1" x14ac:dyDescent="0.25">
      <c r="A30" s="36">
        <v>16</v>
      </c>
      <c r="B30" s="59">
        <v>150</v>
      </c>
      <c r="C30" s="59"/>
      <c r="D30" s="60"/>
      <c r="E30" s="62"/>
      <c r="F30" s="62"/>
      <c r="G30" s="62">
        <v>160</v>
      </c>
      <c r="H30" s="62" t="s">
        <v>101</v>
      </c>
      <c r="I30" s="59">
        <v>250</v>
      </c>
      <c r="J30" s="62" t="s">
        <v>101</v>
      </c>
      <c r="K30" s="59">
        <v>400</v>
      </c>
      <c r="L30" s="62" t="s">
        <v>101</v>
      </c>
      <c r="M30" s="62"/>
      <c r="N30" s="62"/>
      <c r="O30" s="59"/>
      <c r="P30" s="59"/>
      <c r="Q30" s="59"/>
      <c r="R30" s="59"/>
      <c r="S30" s="59"/>
      <c r="T30" s="59"/>
      <c r="U30" s="59">
        <v>10</v>
      </c>
      <c r="V30" s="59">
        <v>8</v>
      </c>
      <c r="W30" s="59"/>
      <c r="X30" s="64" t="s">
        <v>107</v>
      </c>
    </row>
    <row r="31" spans="1:24" ht="14.25" customHeight="1" x14ac:dyDescent="0.25">
      <c r="A31" s="36">
        <v>17</v>
      </c>
      <c r="B31" s="59">
        <v>160</v>
      </c>
      <c r="C31" s="59"/>
      <c r="D31" s="60"/>
      <c r="E31" s="62"/>
      <c r="F31" s="62"/>
      <c r="G31" s="62">
        <v>160</v>
      </c>
      <c r="H31" s="62" t="s">
        <v>101</v>
      </c>
      <c r="I31" s="59">
        <v>250</v>
      </c>
      <c r="J31" s="62" t="s">
        <v>101</v>
      </c>
      <c r="K31" s="59"/>
      <c r="L31" s="62"/>
      <c r="M31" s="62"/>
      <c r="N31" s="62"/>
      <c r="O31" s="59"/>
      <c r="P31" s="59"/>
      <c r="Q31" s="59"/>
      <c r="R31" s="59"/>
      <c r="S31" s="59"/>
      <c r="T31" s="59"/>
      <c r="U31" s="59">
        <v>10</v>
      </c>
      <c r="V31" s="59">
        <v>8</v>
      </c>
      <c r="W31" s="59"/>
      <c r="X31" s="64" t="s">
        <v>108</v>
      </c>
    </row>
    <row r="32" spans="1:24" ht="14.25" customHeight="1" x14ac:dyDescent="0.25">
      <c r="A32" s="36">
        <v>18</v>
      </c>
      <c r="B32" s="66">
        <v>200</v>
      </c>
      <c r="C32" s="66"/>
      <c r="D32" s="67"/>
      <c r="E32" s="68"/>
      <c r="F32" s="69"/>
      <c r="G32" s="69"/>
      <c r="H32" s="69"/>
      <c r="I32" s="66">
        <v>250</v>
      </c>
      <c r="J32" s="69" t="s">
        <v>101</v>
      </c>
      <c r="K32" s="66">
        <v>400</v>
      </c>
      <c r="L32" s="69" t="s">
        <v>101</v>
      </c>
      <c r="M32" s="69"/>
      <c r="N32" s="69"/>
      <c r="O32" s="66"/>
      <c r="P32" s="66"/>
      <c r="Q32" s="66"/>
      <c r="R32" s="66"/>
      <c r="S32" s="66"/>
      <c r="T32" s="66"/>
      <c r="U32" s="66">
        <v>16</v>
      </c>
      <c r="V32" s="66">
        <v>6</v>
      </c>
      <c r="W32" s="66"/>
      <c r="X32" s="70" t="s">
        <v>109</v>
      </c>
    </row>
    <row r="33" spans="1:24" ht="14.25" customHeight="1" x14ac:dyDescent="0.25">
      <c r="A33" s="36">
        <v>19</v>
      </c>
      <c r="B33" s="66">
        <v>220</v>
      </c>
      <c r="C33" s="66"/>
      <c r="D33" s="67"/>
      <c r="E33" s="69"/>
      <c r="F33" s="69"/>
      <c r="G33" s="69"/>
      <c r="H33" s="69"/>
      <c r="I33" s="66">
        <v>250</v>
      </c>
      <c r="J33" s="69" t="s">
        <v>101</v>
      </c>
      <c r="K33" s="66"/>
      <c r="L33" s="69"/>
      <c r="M33" s="69"/>
      <c r="N33" s="69"/>
      <c r="O33" s="66"/>
      <c r="P33" s="66"/>
      <c r="Q33" s="66"/>
      <c r="R33" s="66"/>
      <c r="S33" s="66"/>
      <c r="T33" s="66"/>
      <c r="U33" s="66">
        <v>16</v>
      </c>
      <c r="V33" s="66">
        <v>6</v>
      </c>
      <c r="W33" s="66"/>
      <c r="X33" s="70" t="s">
        <v>110</v>
      </c>
    </row>
    <row r="34" spans="1:24" ht="14.25" customHeight="1" x14ac:dyDescent="0.25">
      <c r="A34" s="36">
        <v>20</v>
      </c>
      <c r="B34" s="66">
        <v>250</v>
      </c>
      <c r="C34" s="66"/>
      <c r="D34" s="67"/>
      <c r="E34" s="69"/>
      <c r="F34" s="69"/>
      <c r="G34" s="69"/>
      <c r="H34" s="69"/>
      <c r="I34" s="66">
        <v>250</v>
      </c>
      <c r="J34" s="69" t="s">
        <v>101</v>
      </c>
      <c r="K34" s="66">
        <v>400</v>
      </c>
      <c r="L34" s="69" t="s">
        <v>101</v>
      </c>
      <c r="M34" s="69"/>
      <c r="N34" s="69"/>
      <c r="O34" s="66"/>
      <c r="P34" s="66"/>
      <c r="Q34" s="66"/>
      <c r="R34" s="66"/>
      <c r="S34" s="66"/>
      <c r="T34" s="66"/>
      <c r="U34" s="66">
        <v>16</v>
      </c>
      <c r="V34" s="66">
        <v>6</v>
      </c>
      <c r="W34" s="66"/>
      <c r="X34" s="70" t="s">
        <v>111</v>
      </c>
    </row>
    <row r="35" spans="1:24" ht="14.25" customHeight="1" x14ac:dyDescent="0.25">
      <c r="A35" s="36">
        <v>21</v>
      </c>
      <c r="B35" s="71">
        <v>300</v>
      </c>
      <c r="C35" s="71"/>
      <c r="D35" s="72"/>
      <c r="E35" s="71"/>
      <c r="F35" s="71"/>
      <c r="G35" s="73"/>
      <c r="H35" s="73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>
        <v>25</v>
      </c>
      <c r="V35" s="71">
        <v>4</v>
      </c>
      <c r="W35" s="71"/>
      <c r="X35" s="74" t="s">
        <v>112</v>
      </c>
    </row>
    <row r="36" spans="1:24" ht="14.25" customHeight="1" x14ac:dyDescent="0.25">
      <c r="A36" s="36">
        <v>22</v>
      </c>
      <c r="B36" s="75">
        <v>320</v>
      </c>
      <c r="C36" s="75"/>
      <c r="D36" s="76"/>
      <c r="E36" s="75"/>
      <c r="F36" s="75"/>
      <c r="G36" s="77"/>
      <c r="H36" s="77"/>
      <c r="I36" s="75"/>
      <c r="J36" s="75"/>
      <c r="K36" s="75">
        <v>400</v>
      </c>
      <c r="L36" s="75" t="s">
        <v>101</v>
      </c>
      <c r="M36" s="75"/>
      <c r="N36" s="75"/>
      <c r="O36" s="75"/>
      <c r="P36" s="75"/>
      <c r="Q36" s="75"/>
      <c r="R36" s="75"/>
      <c r="S36" s="75"/>
      <c r="T36" s="75"/>
      <c r="U36" s="75">
        <v>35</v>
      </c>
      <c r="V36" s="75">
        <v>3</v>
      </c>
      <c r="W36" s="75"/>
      <c r="X36" s="78" t="s">
        <v>113</v>
      </c>
    </row>
    <row r="37" spans="1:24" ht="14.25" customHeight="1" x14ac:dyDescent="0.25">
      <c r="A37" s="36">
        <v>23</v>
      </c>
      <c r="B37" s="79">
        <v>400</v>
      </c>
      <c r="C37" s="79"/>
      <c r="D37" s="80"/>
      <c r="E37" s="79"/>
      <c r="F37" s="79"/>
      <c r="G37" s="81"/>
      <c r="H37" s="81"/>
      <c r="I37" s="79"/>
      <c r="J37" s="79"/>
      <c r="K37" s="79">
        <v>400</v>
      </c>
      <c r="L37" s="79" t="s">
        <v>101</v>
      </c>
      <c r="M37" s="79"/>
      <c r="N37" s="79"/>
      <c r="O37" s="79"/>
      <c r="P37" s="79"/>
      <c r="Q37" s="79"/>
      <c r="R37" s="79"/>
      <c r="S37" s="79"/>
      <c r="T37" s="79"/>
      <c r="U37" s="79">
        <v>50</v>
      </c>
      <c r="V37" s="79">
        <v>1</v>
      </c>
      <c r="W37" s="79"/>
      <c r="X37" s="82" t="s">
        <v>114</v>
      </c>
    </row>
    <row r="38" spans="1:24" ht="14.25" customHeight="1" x14ac:dyDescent="0.25">
      <c r="A38" s="36">
        <v>24</v>
      </c>
      <c r="B38" s="83">
        <v>500</v>
      </c>
      <c r="C38" s="83"/>
      <c r="D38" s="84"/>
      <c r="E38" s="83"/>
      <c r="F38" s="83"/>
      <c r="G38" s="83"/>
      <c r="H38" s="83"/>
      <c r="I38" s="85"/>
      <c r="J38" s="85"/>
      <c r="K38" s="85"/>
      <c r="L38" s="85"/>
      <c r="M38" s="85">
        <v>630</v>
      </c>
      <c r="N38" s="85" t="s">
        <v>101</v>
      </c>
      <c r="O38" s="83"/>
      <c r="P38" s="83"/>
      <c r="Q38" s="83"/>
      <c r="R38" s="83"/>
      <c r="S38" s="83"/>
      <c r="T38" s="83"/>
      <c r="U38" s="83">
        <v>70</v>
      </c>
      <c r="V38" s="84">
        <v>1</v>
      </c>
      <c r="W38" s="83"/>
      <c r="X38" s="86" t="s">
        <v>115</v>
      </c>
    </row>
    <row r="39" spans="1:24" ht="14.25" customHeight="1" x14ac:dyDescent="0.25">
      <c r="A39" s="36">
        <v>25</v>
      </c>
      <c r="B39" s="87">
        <v>630</v>
      </c>
      <c r="C39" s="87"/>
      <c r="D39" s="88"/>
      <c r="E39" s="87"/>
      <c r="F39" s="87"/>
      <c r="G39" s="87"/>
      <c r="H39" s="87"/>
      <c r="I39" s="89"/>
      <c r="J39" s="89"/>
      <c r="K39" s="87"/>
      <c r="L39" s="89"/>
      <c r="M39" s="89">
        <v>630</v>
      </c>
      <c r="N39" s="89" t="s">
        <v>101</v>
      </c>
      <c r="O39" s="87">
        <v>630</v>
      </c>
      <c r="P39" s="87" t="s">
        <v>101</v>
      </c>
      <c r="Q39" s="87">
        <v>630</v>
      </c>
      <c r="R39" s="87" t="s">
        <v>116</v>
      </c>
      <c r="S39" s="87"/>
      <c r="T39" s="87"/>
      <c r="U39" s="87">
        <v>95</v>
      </c>
      <c r="V39" s="88">
        <v>3</v>
      </c>
      <c r="W39" s="87"/>
      <c r="X39" s="90" t="s">
        <v>117</v>
      </c>
    </row>
    <row r="40" spans="1:24" ht="14.25" customHeight="1" x14ac:dyDescent="0.25">
      <c r="A40" s="36">
        <v>26</v>
      </c>
      <c r="B40" s="87">
        <v>800</v>
      </c>
      <c r="C40" s="87"/>
      <c r="D40" s="88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>
        <v>800</v>
      </c>
      <c r="P40" s="87" t="s">
        <v>101</v>
      </c>
      <c r="Q40" s="87">
        <v>800</v>
      </c>
      <c r="R40" s="87" t="s">
        <v>116</v>
      </c>
      <c r="S40" s="87"/>
      <c r="T40" s="87"/>
      <c r="U40" s="87">
        <v>95</v>
      </c>
      <c r="V40" s="88">
        <v>3</v>
      </c>
      <c r="W40" s="87"/>
      <c r="X40" s="90" t="s">
        <v>118</v>
      </c>
    </row>
    <row r="41" spans="1:24" ht="14.25" customHeight="1" x14ac:dyDescent="0.25">
      <c r="A41" s="36">
        <v>27</v>
      </c>
      <c r="B41" s="87">
        <v>1000</v>
      </c>
      <c r="C41" s="87"/>
      <c r="D41" s="88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>
        <v>1000</v>
      </c>
      <c r="P41" s="87" t="s">
        <v>101</v>
      </c>
      <c r="Q41" s="87">
        <v>1000</v>
      </c>
      <c r="R41" s="87" t="s">
        <v>116</v>
      </c>
      <c r="S41" s="87"/>
      <c r="T41" s="87"/>
      <c r="U41" s="87">
        <v>95</v>
      </c>
      <c r="V41" s="88">
        <v>3</v>
      </c>
      <c r="W41" s="87"/>
      <c r="X41" s="90" t="s">
        <v>119</v>
      </c>
    </row>
    <row r="42" spans="1:24" ht="14.25" customHeight="1" x14ac:dyDescent="0.25">
      <c r="A42" s="36">
        <v>28</v>
      </c>
      <c r="B42" s="87">
        <v>1200</v>
      </c>
      <c r="C42" s="87"/>
      <c r="D42" s="88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>
        <v>1200</v>
      </c>
      <c r="R42" s="87" t="s">
        <v>116</v>
      </c>
      <c r="S42" s="87"/>
      <c r="T42" s="87"/>
      <c r="U42" s="87">
        <v>95</v>
      </c>
      <c r="V42" s="88">
        <v>3</v>
      </c>
      <c r="W42" s="87"/>
      <c r="X42" s="90" t="s">
        <v>120</v>
      </c>
    </row>
    <row r="43" spans="1:24" ht="14.25" customHeight="1" x14ac:dyDescent="0.25">
      <c r="A43" s="36">
        <v>29</v>
      </c>
      <c r="B43" s="87">
        <v>1250</v>
      </c>
      <c r="C43" s="87"/>
      <c r="D43" s="88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>
        <v>1250</v>
      </c>
      <c r="P43" s="87" t="s">
        <v>101</v>
      </c>
      <c r="Q43" s="87">
        <v>1250</v>
      </c>
      <c r="R43" s="87" t="s">
        <v>116</v>
      </c>
      <c r="S43" s="87"/>
      <c r="T43" s="87"/>
      <c r="U43" s="87">
        <v>95</v>
      </c>
      <c r="V43" s="88">
        <v>3</v>
      </c>
      <c r="W43" s="87"/>
      <c r="X43" s="90" t="s">
        <v>121</v>
      </c>
    </row>
    <row r="44" spans="1:24" ht="14.25" customHeight="1" x14ac:dyDescent="0.25">
      <c r="A44" s="36">
        <v>30</v>
      </c>
      <c r="B44" s="49">
        <v>1600</v>
      </c>
      <c r="C44" s="49"/>
      <c r="D44" s="48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>
        <v>1600</v>
      </c>
      <c r="P44" s="49" t="s">
        <v>101</v>
      </c>
      <c r="Q44" s="49">
        <v>1600</v>
      </c>
      <c r="R44" s="49" t="s">
        <v>116</v>
      </c>
      <c r="S44" s="49"/>
      <c r="T44" s="49"/>
      <c r="U44" s="49">
        <v>120</v>
      </c>
      <c r="V44" s="48">
        <v>4</v>
      </c>
      <c r="W44" s="49"/>
      <c r="X44" s="52" t="s">
        <v>122</v>
      </c>
    </row>
    <row r="45" spans="1:24" ht="14.25" customHeight="1" x14ac:dyDescent="0.25">
      <c r="A45" s="36">
        <v>31</v>
      </c>
      <c r="B45" s="49">
        <v>2000</v>
      </c>
      <c r="C45" s="49"/>
      <c r="D45" s="48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>
        <v>2000</v>
      </c>
      <c r="R45" s="49" t="s">
        <v>116</v>
      </c>
      <c r="S45" s="49"/>
      <c r="T45" s="49"/>
      <c r="U45" s="49">
        <v>150</v>
      </c>
      <c r="V45" s="49">
        <v>250</v>
      </c>
      <c r="W45" s="49"/>
      <c r="X45" s="52" t="s">
        <v>123</v>
      </c>
    </row>
    <row r="46" spans="1:24" ht="14.25" customHeight="1" x14ac:dyDescent="0.25">
      <c r="A46" s="36">
        <v>32</v>
      </c>
      <c r="B46" s="49">
        <v>2500</v>
      </c>
      <c r="C46" s="49"/>
      <c r="D46" s="48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>
        <v>2500</v>
      </c>
      <c r="R46" s="49" t="s">
        <v>116</v>
      </c>
      <c r="S46" s="49"/>
      <c r="T46" s="49"/>
      <c r="U46" s="49">
        <v>185</v>
      </c>
      <c r="V46" s="49">
        <v>350</v>
      </c>
      <c r="W46" s="49"/>
      <c r="X46" s="52" t="s">
        <v>124</v>
      </c>
    </row>
    <row r="47" spans="1:24" ht="14.25" customHeight="1" x14ac:dyDescent="0.25">
      <c r="A47" s="36">
        <v>33</v>
      </c>
      <c r="B47" s="49">
        <v>3200</v>
      </c>
      <c r="C47" s="49"/>
      <c r="D47" s="48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>
        <v>3200</v>
      </c>
      <c r="R47" s="49" t="s">
        <v>116</v>
      </c>
      <c r="S47" s="49"/>
      <c r="T47" s="49"/>
      <c r="U47" s="49">
        <v>240</v>
      </c>
      <c r="V47" s="49">
        <v>400</v>
      </c>
      <c r="W47" s="49"/>
      <c r="X47" s="52" t="s">
        <v>125</v>
      </c>
    </row>
    <row r="48" spans="1:24" ht="14.25" customHeight="1" x14ac:dyDescent="0.25">
      <c r="A48" s="36">
        <v>34</v>
      </c>
      <c r="B48" s="49">
        <v>4000</v>
      </c>
      <c r="C48" s="49"/>
      <c r="D48" s="48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>
        <v>4000</v>
      </c>
      <c r="R48" s="49" t="s">
        <v>116</v>
      </c>
      <c r="S48" s="49"/>
      <c r="T48" s="49"/>
      <c r="U48" s="49">
        <v>300</v>
      </c>
      <c r="V48" s="49">
        <v>500</v>
      </c>
      <c r="W48" s="49"/>
      <c r="X48" s="52" t="s">
        <v>126</v>
      </c>
    </row>
    <row r="49" spans="1:24" ht="14.25" customHeight="1" x14ac:dyDescent="0.25">
      <c r="A49" s="36">
        <v>35</v>
      </c>
      <c r="B49" s="49">
        <v>5000</v>
      </c>
      <c r="C49" s="49"/>
      <c r="D49" s="48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>
        <v>5000</v>
      </c>
      <c r="R49" s="49" t="s">
        <v>116</v>
      </c>
      <c r="S49" s="49"/>
      <c r="T49" s="49"/>
      <c r="U49" s="49">
        <v>400</v>
      </c>
      <c r="V49" s="49">
        <v>700</v>
      </c>
      <c r="W49" s="49"/>
      <c r="X49" s="52" t="s">
        <v>127</v>
      </c>
    </row>
    <row r="50" spans="1:24" ht="14.25" customHeight="1" x14ac:dyDescent="0.25">
      <c r="A50" s="36">
        <v>36</v>
      </c>
      <c r="B50" s="49">
        <v>6300</v>
      </c>
      <c r="C50" s="49"/>
      <c r="D50" s="48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>
        <v>6300</v>
      </c>
      <c r="R50" s="49" t="s">
        <v>116</v>
      </c>
      <c r="S50" s="49"/>
      <c r="T50" s="49"/>
      <c r="U50" s="49">
        <v>500</v>
      </c>
      <c r="V50" s="49">
        <v>800</v>
      </c>
      <c r="W50" s="49"/>
      <c r="X50" s="52" t="s">
        <v>128</v>
      </c>
    </row>
    <row r="51" spans="1:24" ht="12.75" customHeight="1" x14ac:dyDescent="0.25"/>
    <row r="52" spans="1:24" ht="12.75" customHeight="1" x14ac:dyDescent="0.25"/>
    <row r="53" spans="1:24" ht="12.75" customHeight="1" x14ac:dyDescent="0.25"/>
    <row r="54" spans="1:24" ht="12.75" customHeight="1" x14ac:dyDescent="0.25"/>
    <row r="55" spans="1:24" ht="12.75" customHeight="1" x14ac:dyDescent="0.25"/>
    <row r="56" spans="1:24" ht="12.75" customHeight="1" x14ac:dyDescent="0.25"/>
    <row r="57" spans="1:24" ht="12.75" customHeight="1" x14ac:dyDescent="0.25"/>
    <row r="58" spans="1:24" ht="12.75" customHeight="1" x14ac:dyDescent="0.25"/>
    <row r="59" spans="1:24" ht="12.75" customHeight="1" x14ac:dyDescent="0.25"/>
    <row r="60" spans="1:24" ht="12.75" customHeight="1" x14ac:dyDescent="0.25"/>
    <row r="61" spans="1:24" ht="12.75" customHeight="1" x14ac:dyDescent="0.25"/>
    <row r="62" spans="1:24" ht="12.75" customHeight="1" x14ac:dyDescent="0.25"/>
    <row r="63" spans="1:24" ht="12.75" customHeight="1" x14ac:dyDescent="0.25"/>
    <row r="64" spans="1:2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20">
    <mergeCell ref="B4:B5"/>
    <mergeCell ref="C4:C5"/>
    <mergeCell ref="D4:D5"/>
    <mergeCell ref="E4:E5"/>
    <mergeCell ref="F4:F5"/>
    <mergeCell ref="G4:G5"/>
    <mergeCell ref="H4:H5"/>
    <mergeCell ref="P4:P5"/>
    <mergeCell ref="Q4:Q5"/>
    <mergeCell ref="R4:R5"/>
    <mergeCell ref="S4:T4"/>
    <mergeCell ref="U4:V4"/>
    <mergeCell ref="W4:W5"/>
    <mergeCell ref="I4:I5"/>
    <mergeCell ref="J4:J5"/>
    <mergeCell ref="K4:K5"/>
    <mergeCell ref="L4:L5"/>
    <mergeCell ref="M4:M5"/>
    <mergeCell ref="N4:N5"/>
    <mergeCell ref="O4:O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selection activeCell="C10" sqref="C10"/>
    </sheetView>
  </sheetViews>
  <sheetFormatPr defaultColWidth="12.6640625" defaultRowHeight="15" customHeight="1" x14ac:dyDescent="0.25"/>
  <cols>
    <col min="1" max="1" width="8" customWidth="1"/>
    <col min="2" max="2" width="35.77734375" customWidth="1"/>
    <col min="3" max="3" width="16.77734375" customWidth="1"/>
    <col min="4" max="4" width="10.77734375" customWidth="1"/>
    <col min="5" max="5" width="12.109375" customWidth="1"/>
    <col min="6" max="6" width="10.77734375" customWidth="1"/>
    <col min="7" max="26" width="8" customWidth="1"/>
  </cols>
  <sheetData>
    <row r="1" spans="1:26" ht="23.25" customHeight="1" x14ac:dyDescent="0.4">
      <c r="A1" s="1" t="s">
        <v>0</v>
      </c>
    </row>
    <row r="2" spans="1:26" ht="16.5" customHeight="1" x14ac:dyDescent="0.3">
      <c r="A2" s="91" t="s">
        <v>0</v>
      </c>
    </row>
    <row r="3" spans="1:26" ht="16.5" customHeight="1" x14ac:dyDescent="0.3">
      <c r="A3" s="132" t="s">
        <v>129</v>
      </c>
      <c r="B3" s="111"/>
      <c r="C3" s="111"/>
      <c r="D3" s="111"/>
      <c r="E3" s="111"/>
      <c r="F3" s="111"/>
    </row>
    <row r="4" spans="1:26" ht="16.5" customHeight="1" x14ac:dyDescent="0.3">
      <c r="A4" s="3"/>
      <c r="B4" s="2"/>
      <c r="C4" s="2"/>
      <c r="D4" s="2"/>
      <c r="E4" s="2"/>
      <c r="F4" s="2"/>
    </row>
    <row r="5" spans="1:26" ht="12.75" customHeight="1" x14ac:dyDescent="0.25">
      <c r="A5" s="112" t="s">
        <v>3</v>
      </c>
      <c r="B5" s="107" t="s">
        <v>130</v>
      </c>
      <c r="C5" s="107" t="s">
        <v>131</v>
      </c>
      <c r="D5" s="133" t="s">
        <v>132</v>
      </c>
      <c r="E5" s="134"/>
      <c r="F5" s="11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1.25" customHeight="1" x14ac:dyDescent="0.25">
      <c r="A6" s="108"/>
      <c r="B6" s="108"/>
      <c r="C6" s="108"/>
      <c r="D6" s="115"/>
      <c r="E6" s="135"/>
      <c r="F6" s="116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42" customHeight="1" x14ac:dyDescent="0.25">
      <c r="A7" s="109"/>
      <c r="B7" s="109"/>
      <c r="C7" s="109"/>
      <c r="D7" s="92" t="s">
        <v>133</v>
      </c>
      <c r="E7" s="93" t="s">
        <v>134</v>
      </c>
      <c r="F7" s="93" t="s">
        <v>20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26">
        <v>1</v>
      </c>
      <c r="B8" s="26" t="s">
        <v>135</v>
      </c>
      <c r="C8" s="94">
        <v>22.475999999999999</v>
      </c>
      <c r="D8" s="26">
        <v>33</v>
      </c>
      <c r="E8" s="26">
        <v>27</v>
      </c>
      <c r="F8" s="26">
        <v>27</v>
      </c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30" customHeight="1" x14ac:dyDescent="0.25">
      <c r="A9" s="26">
        <v>2</v>
      </c>
      <c r="B9" s="26" t="s">
        <v>136</v>
      </c>
      <c r="C9" s="94">
        <v>13.8</v>
      </c>
      <c r="D9" s="26">
        <v>41</v>
      </c>
      <c r="E9" s="26">
        <v>35</v>
      </c>
      <c r="F9" s="26">
        <v>35</v>
      </c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spans="1:26" ht="30" customHeight="1" x14ac:dyDescent="0.25">
      <c r="A10" s="26">
        <v>3</v>
      </c>
      <c r="B10" s="26" t="s">
        <v>137</v>
      </c>
      <c r="C10" s="94">
        <v>8.6240000000000006</v>
      </c>
      <c r="D10" s="26">
        <v>55</v>
      </c>
      <c r="E10" s="26">
        <v>45</v>
      </c>
      <c r="F10" s="26">
        <v>49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30" customHeight="1" x14ac:dyDescent="0.25">
      <c r="A11" s="26">
        <v>4</v>
      </c>
      <c r="B11" s="26" t="s">
        <v>138</v>
      </c>
      <c r="C11" s="94">
        <v>5.7910000000000004</v>
      </c>
      <c r="D11" s="26">
        <v>68</v>
      </c>
      <c r="E11" s="26">
        <v>56</v>
      </c>
      <c r="F11" s="26">
        <v>63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30" customHeight="1" x14ac:dyDescent="0.25">
      <c r="A12" s="26">
        <v>5</v>
      </c>
      <c r="B12" s="26" t="s">
        <v>139</v>
      </c>
      <c r="C12" s="94">
        <v>3.4740000000000002</v>
      </c>
      <c r="D12" s="26">
        <v>89</v>
      </c>
      <c r="E12" s="26">
        <v>77</v>
      </c>
      <c r="F12" s="26">
        <v>84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30" customHeight="1" x14ac:dyDescent="0.25">
      <c r="A13" s="26">
        <v>6</v>
      </c>
      <c r="B13" s="26" t="s">
        <v>140</v>
      </c>
      <c r="C13" s="94">
        <v>2.2120000000000002</v>
      </c>
      <c r="D13" s="26">
        <v>116</v>
      </c>
      <c r="E13" s="26">
        <v>91</v>
      </c>
      <c r="F13" s="26">
        <v>112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30" customHeight="1" x14ac:dyDescent="0.25">
      <c r="A14" s="26">
        <v>7</v>
      </c>
      <c r="B14" s="26" t="s">
        <v>141</v>
      </c>
      <c r="C14" s="94">
        <v>1.43</v>
      </c>
      <c r="D14" s="26">
        <v>150</v>
      </c>
      <c r="E14" s="26">
        <v>119</v>
      </c>
      <c r="F14" s="26">
        <v>147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30" customHeight="1" x14ac:dyDescent="0.25">
      <c r="A15" s="26">
        <v>8</v>
      </c>
      <c r="B15" s="26" t="s">
        <v>142</v>
      </c>
      <c r="C15" s="94">
        <v>1.0529999999999999</v>
      </c>
      <c r="D15" s="26">
        <v>177</v>
      </c>
      <c r="E15" s="26">
        <v>147</v>
      </c>
      <c r="F15" s="26">
        <v>182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30" customHeight="1" x14ac:dyDescent="0.25">
      <c r="A16" s="26">
        <v>9</v>
      </c>
      <c r="B16" s="26" t="s">
        <v>143</v>
      </c>
      <c r="C16" s="26">
        <v>22.82</v>
      </c>
      <c r="D16" s="26">
        <v>30</v>
      </c>
      <c r="E16" s="26">
        <v>27</v>
      </c>
      <c r="F16" s="26">
        <v>25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30" customHeight="1" x14ac:dyDescent="0.25">
      <c r="A17" s="26">
        <v>10</v>
      </c>
      <c r="B17" s="26" t="s">
        <v>144</v>
      </c>
      <c r="C17" s="26">
        <v>14.01</v>
      </c>
      <c r="D17" s="26">
        <v>40</v>
      </c>
      <c r="E17" s="26">
        <v>34</v>
      </c>
      <c r="F17" s="26">
        <v>36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30" customHeight="1" x14ac:dyDescent="0.25">
      <c r="A18" s="26">
        <v>11</v>
      </c>
      <c r="B18" s="26" t="s">
        <v>145</v>
      </c>
      <c r="C18" s="26">
        <v>8.7469999999999999</v>
      </c>
      <c r="D18" s="26">
        <v>51</v>
      </c>
      <c r="E18" s="26">
        <v>42</v>
      </c>
      <c r="F18" s="26">
        <v>46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30" customHeight="1" x14ac:dyDescent="0.25">
      <c r="A19" s="26">
        <v>12</v>
      </c>
      <c r="B19" s="26" t="s">
        <v>146</v>
      </c>
      <c r="C19" s="26">
        <v>5.8710000000000004</v>
      </c>
      <c r="D19" s="26">
        <v>65</v>
      </c>
      <c r="E19" s="26">
        <v>53</v>
      </c>
      <c r="F19" s="26">
        <v>56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30" customHeight="1" x14ac:dyDescent="0.25">
      <c r="A20" s="26">
        <v>13</v>
      </c>
      <c r="B20" s="26" t="s">
        <v>147</v>
      </c>
      <c r="C20" s="26">
        <v>3.5190000000000001</v>
      </c>
      <c r="D20" s="26">
        <v>86</v>
      </c>
      <c r="E20" s="26">
        <v>70</v>
      </c>
      <c r="F20" s="26">
        <v>76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30" customHeight="1" x14ac:dyDescent="0.25">
      <c r="A21" s="26">
        <v>14</v>
      </c>
      <c r="B21" s="26" t="s">
        <v>148</v>
      </c>
      <c r="C21" s="26">
        <v>2.2389999999999999</v>
      </c>
      <c r="D21" s="26">
        <v>111</v>
      </c>
      <c r="E21" s="26">
        <v>88</v>
      </c>
      <c r="F21" s="26">
        <v>99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30" customHeight="1" x14ac:dyDescent="0.25">
      <c r="A22" s="26">
        <v>15</v>
      </c>
      <c r="B22" s="26" t="s">
        <v>149</v>
      </c>
      <c r="C22" s="26">
        <v>1.1140000000000001</v>
      </c>
      <c r="D22" s="26">
        <v>146</v>
      </c>
      <c r="E22" s="26">
        <v>119</v>
      </c>
      <c r="F22" s="26">
        <v>135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30" customHeight="1" x14ac:dyDescent="0.25">
      <c r="A23" s="26">
        <v>16</v>
      </c>
      <c r="B23" s="26" t="s">
        <v>150</v>
      </c>
      <c r="C23" s="26">
        <v>1.0629999999999999</v>
      </c>
      <c r="D23" s="26">
        <v>177</v>
      </c>
      <c r="E23" s="26">
        <v>140</v>
      </c>
      <c r="F23" s="26">
        <v>161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30" customHeight="1" x14ac:dyDescent="0.25">
      <c r="A24" s="26">
        <v>17</v>
      </c>
      <c r="B24" s="26" t="s">
        <v>151</v>
      </c>
      <c r="C24" s="26">
        <v>0.80900000000000005</v>
      </c>
      <c r="D24" s="26">
        <v>211</v>
      </c>
      <c r="E24" s="26">
        <v>170</v>
      </c>
      <c r="F24" s="26">
        <v>199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30" customHeight="1" x14ac:dyDescent="0.25">
      <c r="A25" s="26">
        <v>18</v>
      </c>
      <c r="B25" s="26" t="s">
        <v>152</v>
      </c>
      <c r="C25" s="26">
        <v>0.58499999999999996</v>
      </c>
      <c r="D25" s="26">
        <v>251</v>
      </c>
      <c r="E25" s="26">
        <v>211</v>
      </c>
      <c r="F25" s="26">
        <v>240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30" customHeight="1" x14ac:dyDescent="0.25">
      <c r="A26" s="26">
        <v>19</v>
      </c>
      <c r="B26" s="26" t="s">
        <v>153</v>
      </c>
      <c r="C26" s="26">
        <v>0.44400000000000001</v>
      </c>
      <c r="D26" s="26">
        <v>302</v>
      </c>
      <c r="E26" s="26">
        <v>246</v>
      </c>
      <c r="F26" s="26">
        <v>298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30" customHeight="1" x14ac:dyDescent="0.25">
      <c r="A27" s="26">
        <v>20</v>
      </c>
      <c r="B27" s="26" t="s">
        <v>154</v>
      </c>
      <c r="C27" s="26">
        <v>0.36799999999999999</v>
      </c>
      <c r="D27" s="26">
        <v>348</v>
      </c>
      <c r="E27" s="26">
        <v>287</v>
      </c>
      <c r="F27" s="26">
        <v>345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30" customHeight="1" x14ac:dyDescent="0.25">
      <c r="A28" s="26">
        <v>21</v>
      </c>
      <c r="B28" s="26" t="s">
        <v>155</v>
      </c>
      <c r="C28" s="26">
        <v>0.315</v>
      </c>
      <c r="D28" s="26">
        <v>382</v>
      </c>
      <c r="E28" s="26">
        <v>322</v>
      </c>
      <c r="F28" s="26">
        <v>392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30" customHeight="1" x14ac:dyDescent="0.25">
      <c r="A29" s="26">
        <v>22</v>
      </c>
      <c r="B29" s="26" t="s">
        <v>156</v>
      </c>
      <c r="C29" s="96">
        <v>0.27</v>
      </c>
      <c r="D29" s="26">
        <v>428</v>
      </c>
      <c r="E29" s="26">
        <v>363</v>
      </c>
      <c r="F29" s="26">
        <v>440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30" customHeight="1" x14ac:dyDescent="0.25">
      <c r="A30" s="26">
        <v>23</v>
      </c>
      <c r="B30" s="26" t="s">
        <v>157</v>
      </c>
      <c r="C30" s="26">
        <v>0.22600000000000001</v>
      </c>
      <c r="D30" s="26">
        <v>496</v>
      </c>
      <c r="E30" s="26">
        <v>427</v>
      </c>
      <c r="F30" s="26">
        <v>538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30" customHeight="1" x14ac:dyDescent="0.25">
      <c r="A31" s="26">
        <v>24</v>
      </c>
      <c r="B31" s="26" t="s">
        <v>158</v>
      </c>
      <c r="C31" s="26">
        <v>0.19800000000000001</v>
      </c>
      <c r="D31" s="26">
        <v>559</v>
      </c>
      <c r="E31" s="26">
        <v>474</v>
      </c>
      <c r="F31" s="26">
        <v>626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30" customHeight="1" x14ac:dyDescent="0.25">
      <c r="A32" s="26">
        <v>25</v>
      </c>
      <c r="B32" s="26" t="s">
        <v>159</v>
      </c>
      <c r="C32" s="26">
        <v>0.17599999999999999</v>
      </c>
      <c r="D32" s="26">
        <v>638</v>
      </c>
      <c r="E32" s="26">
        <v>544</v>
      </c>
      <c r="F32" s="26">
        <v>720</v>
      </c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30" customHeight="1" x14ac:dyDescent="0.25">
      <c r="A33" s="26">
        <v>26</v>
      </c>
      <c r="B33" s="26" t="s">
        <v>160</v>
      </c>
      <c r="C33" s="26">
        <v>0.158</v>
      </c>
      <c r="D33" s="26">
        <v>718</v>
      </c>
      <c r="E33" s="26">
        <v>620</v>
      </c>
      <c r="F33" s="26">
        <v>819</v>
      </c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30" customHeight="1" x14ac:dyDescent="0.25">
      <c r="A34" s="26">
        <v>27</v>
      </c>
      <c r="B34" s="26" t="s">
        <v>161</v>
      </c>
      <c r="C34" s="26">
        <v>0.80900000000000005</v>
      </c>
      <c r="D34" s="26">
        <v>211</v>
      </c>
      <c r="E34" s="26">
        <v>170</v>
      </c>
      <c r="F34" s="26">
        <v>199</v>
      </c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30" customHeight="1" x14ac:dyDescent="0.25">
      <c r="A35" s="26">
        <v>28</v>
      </c>
      <c r="B35" s="26" t="s">
        <v>162</v>
      </c>
      <c r="C35" s="26">
        <v>0.58499999999999996</v>
      </c>
      <c r="D35" s="26">
        <v>251</v>
      </c>
      <c r="E35" s="26">
        <v>211</v>
      </c>
      <c r="F35" s="26">
        <v>240</v>
      </c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30" customHeight="1" x14ac:dyDescent="0.25">
      <c r="A36" s="26">
        <v>29</v>
      </c>
      <c r="B36" s="26" t="s">
        <v>163</v>
      </c>
      <c r="C36" s="26">
        <v>0.44400000000000001</v>
      </c>
      <c r="D36" s="26">
        <v>302</v>
      </c>
      <c r="E36" s="26">
        <v>246</v>
      </c>
      <c r="F36" s="26">
        <v>298</v>
      </c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30" customHeight="1" x14ac:dyDescent="0.25">
      <c r="A37" s="26">
        <v>30</v>
      </c>
      <c r="B37" s="26" t="s">
        <v>164</v>
      </c>
      <c r="C37" s="26">
        <v>0.36799999999999999</v>
      </c>
      <c r="D37" s="26">
        <v>348</v>
      </c>
      <c r="E37" s="26">
        <v>287</v>
      </c>
      <c r="F37" s="26">
        <v>345</v>
      </c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30" customHeight="1" x14ac:dyDescent="0.25">
      <c r="A38" s="26">
        <v>31</v>
      </c>
      <c r="B38" s="26" t="s">
        <v>165</v>
      </c>
      <c r="C38" s="26">
        <v>0.315</v>
      </c>
      <c r="D38" s="26">
        <v>382</v>
      </c>
      <c r="E38" s="26">
        <v>322</v>
      </c>
      <c r="F38" s="26">
        <v>392</v>
      </c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30" customHeight="1" x14ac:dyDescent="0.25">
      <c r="A39" s="26">
        <v>32</v>
      </c>
      <c r="B39" s="26" t="s">
        <v>166</v>
      </c>
      <c r="C39" s="96">
        <v>0.27</v>
      </c>
      <c r="D39" s="26">
        <v>428</v>
      </c>
      <c r="E39" s="26">
        <v>363</v>
      </c>
      <c r="F39" s="26">
        <v>440</v>
      </c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30" customHeight="1" x14ac:dyDescent="0.25">
      <c r="A40" s="26">
        <v>33</v>
      </c>
      <c r="B40" s="26" t="s">
        <v>167</v>
      </c>
      <c r="C40" s="26">
        <v>0.22600000000000001</v>
      </c>
      <c r="D40" s="26">
        <v>496</v>
      </c>
      <c r="E40" s="26">
        <v>427</v>
      </c>
      <c r="F40" s="26">
        <v>538</v>
      </c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30" customHeight="1" x14ac:dyDescent="0.25">
      <c r="A41" s="26">
        <v>34</v>
      </c>
      <c r="B41" s="26" t="s">
        <v>168</v>
      </c>
      <c r="C41" s="26">
        <v>0.19800000000000001</v>
      </c>
      <c r="D41" s="26">
        <v>559</v>
      </c>
      <c r="E41" s="26">
        <v>474</v>
      </c>
      <c r="F41" s="26">
        <v>626</v>
      </c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30" customHeight="1" x14ac:dyDescent="0.25">
      <c r="A42" s="26">
        <v>35</v>
      </c>
      <c r="B42" s="26" t="s">
        <v>169</v>
      </c>
      <c r="C42" s="26">
        <v>0.17599999999999999</v>
      </c>
      <c r="D42" s="26">
        <v>638</v>
      </c>
      <c r="E42" s="26">
        <v>544</v>
      </c>
      <c r="F42" s="26">
        <v>720</v>
      </c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30" customHeight="1" x14ac:dyDescent="0.25">
      <c r="A43" s="26">
        <v>36</v>
      </c>
      <c r="B43" s="26" t="s">
        <v>170</v>
      </c>
      <c r="C43" s="26">
        <v>0.158</v>
      </c>
      <c r="D43" s="26">
        <v>718</v>
      </c>
      <c r="E43" s="26">
        <v>620</v>
      </c>
      <c r="F43" s="26">
        <v>819</v>
      </c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30" customHeight="1" x14ac:dyDescent="0.25">
      <c r="A44" s="26">
        <v>37</v>
      </c>
      <c r="B44" s="13" t="s">
        <v>171</v>
      </c>
      <c r="C44" s="97">
        <v>0.184</v>
      </c>
      <c r="D44" s="97">
        <v>696</v>
      </c>
      <c r="E44" s="97">
        <v>574</v>
      </c>
      <c r="F44" s="97">
        <v>690</v>
      </c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30" customHeight="1" x14ac:dyDescent="0.25">
      <c r="A45" s="26">
        <v>38</v>
      </c>
      <c r="B45" s="13" t="s">
        <v>172</v>
      </c>
      <c r="C45" s="97">
        <v>0.1575</v>
      </c>
      <c r="D45" s="97">
        <v>764</v>
      </c>
      <c r="E45" s="97">
        <v>644</v>
      </c>
      <c r="F45" s="97">
        <v>784</v>
      </c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30" customHeight="1" x14ac:dyDescent="0.25">
      <c r="A46" s="26">
        <v>39</v>
      </c>
      <c r="B46" s="13" t="s">
        <v>173</v>
      </c>
      <c r="C46" s="98">
        <v>0.13500000000000001</v>
      </c>
      <c r="D46" s="97">
        <v>856</v>
      </c>
      <c r="E46" s="97">
        <v>726</v>
      </c>
      <c r="F46" s="97">
        <v>880</v>
      </c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30" customHeight="1" x14ac:dyDescent="0.25">
      <c r="A47" s="26">
        <v>40</v>
      </c>
      <c r="B47" s="13" t="s">
        <v>174</v>
      </c>
      <c r="C47" s="97">
        <v>0.113</v>
      </c>
      <c r="D47" s="97">
        <v>992</v>
      </c>
      <c r="E47" s="97">
        <v>854</v>
      </c>
      <c r="F47" s="97">
        <v>1076</v>
      </c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30" customHeight="1" x14ac:dyDescent="0.25">
      <c r="A48" s="26">
        <v>41</v>
      </c>
      <c r="B48" s="13" t="s">
        <v>175</v>
      </c>
      <c r="C48" s="97">
        <v>9.9000000000000005E-2</v>
      </c>
      <c r="D48" s="97">
        <v>1118</v>
      </c>
      <c r="E48" s="97">
        <v>948</v>
      </c>
      <c r="F48" s="97">
        <v>1252</v>
      </c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30" customHeight="1" x14ac:dyDescent="0.25">
      <c r="A49" s="26">
        <v>42</v>
      </c>
      <c r="B49" s="13" t="s">
        <v>176</v>
      </c>
      <c r="C49" s="97">
        <v>8.7999999999999995E-2</v>
      </c>
      <c r="D49" s="97">
        <v>1276</v>
      </c>
      <c r="E49" s="97">
        <v>1088</v>
      </c>
      <c r="F49" s="97">
        <v>1440</v>
      </c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30" customHeight="1" x14ac:dyDescent="0.25">
      <c r="A50" s="26">
        <v>43</v>
      </c>
      <c r="B50" s="13" t="s">
        <v>177</v>
      </c>
      <c r="C50" s="97">
        <v>7.9000000000000001E-2</v>
      </c>
      <c r="D50" s="97">
        <v>1436</v>
      </c>
      <c r="E50" s="97">
        <v>1240</v>
      </c>
      <c r="F50" s="97">
        <v>1638</v>
      </c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30" customHeight="1" x14ac:dyDescent="0.25">
      <c r="A51" s="26">
        <v>44</v>
      </c>
      <c r="B51" s="99" t="s">
        <v>178</v>
      </c>
      <c r="C51" s="100">
        <v>0.1227</v>
      </c>
      <c r="D51" s="100">
        <v>1044</v>
      </c>
      <c r="E51" s="100">
        <v>861</v>
      </c>
      <c r="F51" s="100">
        <v>1035</v>
      </c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30" customHeight="1" x14ac:dyDescent="0.25">
      <c r="A52" s="26">
        <v>45</v>
      </c>
      <c r="B52" s="99" t="s">
        <v>179</v>
      </c>
      <c r="C52" s="100">
        <v>0.105</v>
      </c>
      <c r="D52" s="100">
        <v>1146</v>
      </c>
      <c r="E52" s="100">
        <v>966</v>
      </c>
      <c r="F52" s="100">
        <v>1176</v>
      </c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30" customHeight="1" x14ac:dyDescent="0.25">
      <c r="A53" s="26">
        <v>46</v>
      </c>
      <c r="B53" s="99" t="s">
        <v>180</v>
      </c>
      <c r="C53" s="101">
        <v>0.09</v>
      </c>
      <c r="D53" s="100">
        <v>1284</v>
      </c>
      <c r="E53" s="100">
        <v>1089</v>
      </c>
      <c r="F53" s="100">
        <v>1320</v>
      </c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30" customHeight="1" x14ac:dyDescent="0.25">
      <c r="A54" s="26">
        <v>47</v>
      </c>
      <c r="B54" s="99" t="s">
        <v>181</v>
      </c>
      <c r="C54" s="100">
        <v>7.4999999999999997E-2</v>
      </c>
      <c r="D54" s="100">
        <v>1488</v>
      </c>
      <c r="E54" s="100">
        <v>1281</v>
      </c>
      <c r="F54" s="100">
        <v>1614</v>
      </c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30" customHeight="1" x14ac:dyDescent="0.25">
      <c r="A55" s="26">
        <v>48</v>
      </c>
      <c r="B55" s="99" t="s">
        <v>182</v>
      </c>
      <c r="C55" s="100">
        <v>6.6000000000000003E-2</v>
      </c>
      <c r="D55" s="100">
        <v>1677</v>
      </c>
      <c r="E55" s="100">
        <v>1422</v>
      </c>
      <c r="F55" s="100">
        <v>1878</v>
      </c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30" customHeight="1" x14ac:dyDescent="0.25">
      <c r="A56" s="26">
        <v>49</v>
      </c>
      <c r="B56" s="99" t="s">
        <v>183</v>
      </c>
      <c r="C56" s="100">
        <v>5.8999999999999997E-2</v>
      </c>
      <c r="D56" s="100">
        <v>1914</v>
      </c>
      <c r="E56" s="100">
        <v>1632</v>
      </c>
      <c r="F56" s="100">
        <v>2160</v>
      </c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30" customHeight="1" x14ac:dyDescent="0.25">
      <c r="A57" s="26">
        <v>50</v>
      </c>
      <c r="B57" s="99" t="s">
        <v>184</v>
      </c>
      <c r="C57" s="100">
        <v>5.2999999999999999E-2</v>
      </c>
      <c r="D57" s="100">
        <v>2154</v>
      </c>
      <c r="E57" s="100">
        <v>1860</v>
      </c>
      <c r="F57" s="100">
        <v>2457</v>
      </c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30" customHeight="1" x14ac:dyDescent="0.25">
      <c r="A58" s="26">
        <v>51</v>
      </c>
      <c r="B58" s="102" t="s">
        <v>185</v>
      </c>
      <c r="C58" s="103">
        <v>9.1999999999999998E-2</v>
      </c>
      <c r="D58" s="104">
        <v>1392</v>
      </c>
      <c r="E58" s="104">
        <v>1148</v>
      </c>
      <c r="F58" s="104">
        <v>1380</v>
      </c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30" customHeight="1" x14ac:dyDescent="0.25">
      <c r="A59" s="26">
        <v>52</v>
      </c>
      <c r="B59" s="102" t="s">
        <v>186</v>
      </c>
      <c r="C59" s="103">
        <v>7.9000000000000001E-2</v>
      </c>
      <c r="D59" s="104">
        <v>1520</v>
      </c>
      <c r="E59" s="104">
        <v>1288</v>
      </c>
      <c r="F59" s="104">
        <v>1568</v>
      </c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30" customHeight="1" x14ac:dyDescent="0.25">
      <c r="A60" s="26">
        <v>53</v>
      </c>
      <c r="B60" s="102" t="s">
        <v>187</v>
      </c>
      <c r="C60" s="103">
        <v>6.7500000000000004E-2</v>
      </c>
      <c r="D60" s="104">
        <v>1712</v>
      </c>
      <c r="E60" s="104">
        <v>1452</v>
      </c>
      <c r="F60" s="104">
        <v>1760</v>
      </c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30" customHeight="1" x14ac:dyDescent="0.25">
      <c r="A61" s="26">
        <v>54</v>
      </c>
      <c r="B61" s="102" t="s">
        <v>188</v>
      </c>
      <c r="C61" s="103">
        <v>5.6500000000000002E-2</v>
      </c>
      <c r="D61" s="104">
        <v>1984</v>
      </c>
      <c r="E61" s="104">
        <v>1708</v>
      </c>
      <c r="F61" s="104">
        <v>2152</v>
      </c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30" customHeight="1" x14ac:dyDescent="0.25">
      <c r="A62" s="26">
        <v>55</v>
      </c>
      <c r="B62" s="102" t="s">
        <v>189</v>
      </c>
      <c r="C62" s="103">
        <v>4.9500000000000002E-2</v>
      </c>
      <c r="D62" s="104">
        <v>2236</v>
      </c>
      <c r="E62" s="104">
        <v>1896</v>
      </c>
      <c r="F62" s="104">
        <v>2504</v>
      </c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30" customHeight="1" x14ac:dyDescent="0.25">
      <c r="A63" s="26">
        <v>56</v>
      </c>
      <c r="B63" s="102" t="s">
        <v>190</v>
      </c>
      <c r="C63" s="103">
        <v>4.3999999999999997E-2</v>
      </c>
      <c r="D63" s="104">
        <v>2552</v>
      </c>
      <c r="E63" s="104">
        <v>2176</v>
      </c>
      <c r="F63" s="104">
        <v>2880</v>
      </c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30" customHeight="1" x14ac:dyDescent="0.25">
      <c r="A64" s="26">
        <v>57</v>
      </c>
      <c r="B64" s="102" t="s">
        <v>191</v>
      </c>
      <c r="C64" s="103">
        <v>3.95E-2</v>
      </c>
      <c r="D64" s="104">
        <v>2872</v>
      </c>
      <c r="E64" s="104">
        <v>2480</v>
      </c>
      <c r="F64" s="104">
        <v>3276</v>
      </c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30" customHeight="1" x14ac:dyDescent="0.25">
      <c r="A65" s="26">
        <v>58</v>
      </c>
      <c r="B65" s="13" t="s">
        <v>192</v>
      </c>
      <c r="C65" s="97">
        <v>0.184</v>
      </c>
      <c r="D65" s="97">
        <v>696</v>
      </c>
      <c r="E65" s="97">
        <v>574</v>
      </c>
      <c r="F65" s="97">
        <v>690</v>
      </c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30" customHeight="1" x14ac:dyDescent="0.25">
      <c r="A66" s="26">
        <v>59</v>
      </c>
      <c r="B66" s="13" t="s">
        <v>193</v>
      </c>
      <c r="C66" s="97">
        <v>0.1575</v>
      </c>
      <c r="D66" s="97">
        <v>764</v>
      </c>
      <c r="E66" s="97">
        <v>644</v>
      </c>
      <c r="F66" s="97">
        <v>784</v>
      </c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30" customHeight="1" x14ac:dyDescent="0.25">
      <c r="A67" s="26">
        <v>60</v>
      </c>
      <c r="B67" s="13" t="s">
        <v>194</v>
      </c>
      <c r="C67" s="98">
        <v>0.13500000000000001</v>
      </c>
      <c r="D67" s="97">
        <v>856</v>
      </c>
      <c r="E67" s="97">
        <v>726</v>
      </c>
      <c r="F67" s="97">
        <v>880</v>
      </c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30" customHeight="1" x14ac:dyDescent="0.25">
      <c r="A68" s="26">
        <v>61</v>
      </c>
      <c r="B68" s="13" t="s">
        <v>195</v>
      </c>
      <c r="C68" s="97">
        <v>0.113</v>
      </c>
      <c r="D68" s="97">
        <v>992</v>
      </c>
      <c r="E68" s="97">
        <v>854</v>
      </c>
      <c r="F68" s="97">
        <v>1076</v>
      </c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30" customHeight="1" x14ac:dyDescent="0.25">
      <c r="A69" s="26">
        <v>62</v>
      </c>
      <c r="B69" s="13" t="s">
        <v>196</v>
      </c>
      <c r="C69" s="97">
        <v>9.9000000000000005E-2</v>
      </c>
      <c r="D69" s="97">
        <v>1118</v>
      </c>
      <c r="E69" s="97">
        <v>948</v>
      </c>
      <c r="F69" s="97">
        <v>1252</v>
      </c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30" customHeight="1" x14ac:dyDescent="0.25">
      <c r="A70" s="26">
        <v>63</v>
      </c>
      <c r="B70" s="13" t="s">
        <v>197</v>
      </c>
      <c r="C70" s="97">
        <v>8.7999999999999995E-2</v>
      </c>
      <c r="D70" s="97">
        <v>1276</v>
      </c>
      <c r="E70" s="97">
        <v>1088</v>
      </c>
      <c r="F70" s="97">
        <v>1440</v>
      </c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30" customHeight="1" x14ac:dyDescent="0.25">
      <c r="A71" s="26">
        <v>64</v>
      </c>
      <c r="B71" s="13" t="s">
        <v>198</v>
      </c>
      <c r="C71" s="97">
        <v>7.9000000000000001E-2</v>
      </c>
      <c r="D71" s="97">
        <v>1436</v>
      </c>
      <c r="E71" s="97">
        <v>1240</v>
      </c>
      <c r="F71" s="97">
        <v>1638</v>
      </c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30" customHeight="1" x14ac:dyDescent="0.25">
      <c r="A72" s="26">
        <v>65</v>
      </c>
      <c r="B72" s="99" t="s">
        <v>199</v>
      </c>
      <c r="C72" s="100">
        <v>0.1227</v>
      </c>
      <c r="D72" s="100">
        <v>1044</v>
      </c>
      <c r="E72" s="100">
        <v>861</v>
      </c>
      <c r="F72" s="100">
        <v>1035</v>
      </c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30" customHeight="1" x14ac:dyDescent="0.25">
      <c r="A73" s="26">
        <v>66</v>
      </c>
      <c r="B73" s="99" t="s">
        <v>200</v>
      </c>
      <c r="C73" s="100">
        <v>0.105</v>
      </c>
      <c r="D73" s="100">
        <v>1146</v>
      </c>
      <c r="E73" s="100">
        <v>966</v>
      </c>
      <c r="F73" s="100">
        <v>1176</v>
      </c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30" customHeight="1" x14ac:dyDescent="0.25">
      <c r="A74" s="26">
        <v>67</v>
      </c>
      <c r="B74" s="99" t="s">
        <v>201</v>
      </c>
      <c r="C74" s="101">
        <v>0.09</v>
      </c>
      <c r="D74" s="100">
        <v>1284</v>
      </c>
      <c r="E74" s="100">
        <v>1089</v>
      </c>
      <c r="F74" s="100">
        <v>1320</v>
      </c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30" customHeight="1" x14ac:dyDescent="0.25">
      <c r="A75" s="26">
        <v>68</v>
      </c>
      <c r="B75" s="99" t="s">
        <v>202</v>
      </c>
      <c r="C75" s="100">
        <v>7.4999999999999997E-2</v>
      </c>
      <c r="D75" s="100">
        <v>1488</v>
      </c>
      <c r="E75" s="100">
        <v>1281</v>
      </c>
      <c r="F75" s="100">
        <v>1614</v>
      </c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30" customHeight="1" x14ac:dyDescent="0.25">
      <c r="A76" s="26">
        <v>69</v>
      </c>
      <c r="B76" s="99" t="s">
        <v>203</v>
      </c>
      <c r="C76" s="100">
        <v>6.6000000000000003E-2</v>
      </c>
      <c r="D76" s="100">
        <v>1677</v>
      </c>
      <c r="E76" s="100">
        <v>1422</v>
      </c>
      <c r="F76" s="100">
        <v>1878</v>
      </c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30" customHeight="1" x14ac:dyDescent="0.25">
      <c r="A77" s="26">
        <v>70</v>
      </c>
      <c r="B77" s="99" t="s">
        <v>204</v>
      </c>
      <c r="C77" s="100">
        <v>5.8999999999999997E-2</v>
      </c>
      <c r="D77" s="100">
        <v>1914</v>
      </c>
      <c r="E77" s="100">
        <v>1632</v>
      </c>
      <c r="F77" s="100">
        <v>2160</v>
      </c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30" customHeight="1" x14ac:dyDescent="0.25">
      <c r="A78" s="26">
        <v>71</v>
      </c>
      <c r="B78" s="99" t="s">
        <v>205</v>
      </c>
      <c r="C78" s="100">
        <v>5.2999999999999999E-2</v>
      </c>
      <c r="D78" s="100">
        <v>2154</v>
      </c>
      <c r="E78" s="100">
        <v>1860</v>
      </c>
      <c r="F78" s="100">
        <v>2457</v>
      </c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30" customHeight="1" x14ac:dyDescent="0.25">
      <c r="A79" s="26">
        <v>72</v>
      </c>
      <c r="B79" s="102" t="s">
        <v>206</v>
      </c>
      <c r="C79" s="103">
        <v>9.1999999999999998E-2</v>
      </c>
      <c r="D79" s="104">
        <v>1392</v>
      </c>
      <c r="E79" s="104">
        <v>1148</v>
      </c>
      <c r="F79" s="104">
        <v>1380</v>
      </c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30" customHeight="1" x14ac:dyDescent="0.25">
      <c r="A80" s="26">
        <v>73</v>
      </c>
      <c r="B80" s="102" t="s">
        <v>207</v>
      </c>
      <c r="C80" s="103">
        <v>7.9000000000000001E-2</v>
      </c>
      <c r="D80" s="104">
        <v>1520</v>
      </c>
      <c r="E80" s="104">
        <v>1288</v>
      </c>
      <c r="F80" s="104">
        <v>1568</v>
      </c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30" customHeight="1" x14ac:dyDescent="0.25">
      <c r="A81" s="26">
        <v>74</v>
      </c>
      <c r="B81" s="102" t="s">
        <v>208</v>
      </c>
      <c r="C81" s="103">
        <v>6.7500000000000004E-2</v>
      </c>
      <c r="D81" s="104">
        <v>1712</v>
      </c>
      <c r="E81" s="104">
        <v>1452</v>
      </c>
      <c r="F81" s="104">
        <v>1760</v>
      </c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30" customHeight="1" x14ac:dyDescent="0.25">
      <c r="A82" s="26">
        <v>75</v>
      </c>
      <c r="B82" s="102" t="s">
        <v>209</v>
      </c>
      <c r="C82" s="103">
        <v>5.6500000000000002E-2</v>
      </c>
      <c r="D82" s="104">
        <v>1984</v>
      </c>
      <c r="E82" s="104">
        <v>1708</v>
      </c>
      <c r="F82" s="104">
        <v>2152</v>
      </c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30" customHeight="1" x14ac:dyDescent="0.25">
      <c r="A83" s="26">
        <v>76</v>
      </c>
      <c r="B83" s="102" t="s">
        <v>210</v>
      </c>
      <c r="C83" s="103">
        <v>4.9500000000000002E-2</v>
      </c>
      <c r="D83" s="104">
        <v>2236</v>
      </c>
      <c r="E83" s="104">
        <v>1896</v>
      </c>
      <c r="F83" s="104">
        <v>2504</v>
      </c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30" customHeight="1" x14ac:dyDescent="0.25">
      <c r="A84" s="26">
        <v>77</v>
      </c>
      <c r="B84" s="102" t="s">
        <v>211</v>
      </c>
      <c r="C84" s="103">
        <v>4.3999999999999997E-2</v>
      </c>
      <c r="D84" s="104">
        <v>2552</v>
      </c>
      <c r="E84" s="104">
        <v>2176</v>
      </c>
      <c r="F84" s="104">
        <v>2880</v>
      </c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30" customHeight="1" x14ac:dyDescent="0.25">
      <c r="A85" s="26">
        <v>78</v>
      </c>
      <c r="B85" s="102" t="s">
        <v>212</v>
      </c>
      <c r="C85" s="103">
        <v>3.95E-2</v>
      </c>
      <c r="D85" s="104">
        <v>2872</v>
      </c>
      <c r="E85" s="104">
        <v>2480</v>
      </c>
      <c r="F85" s="104">
        <v>3276</v>
      </c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30" customHeight="1" x14ac:dyDescent="0.25">
      <c r="A86" s="26" t="s">
        <v>0</v>
      </c>
      <c r="B86" s="26" t="s">
        <v>0</v>
      </c>
      <c r="C86" s="26" t="s">
        <v>0</v>
      </c>
      <c r="D86" s="26" t="s">
        <v>0</v>
      </c>
      <c r="E86" s="26" t="s">
        <v>0</v>
      </c>
      <c r="F86" s="26" t="s">
        <v>0</v>
      </c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30" customHeight="1" x14ac:dyDescent="0.25">
      <c r="A87" s="26"/>
      <c r="B87" s="105" t="s">
        <v>213</v>
      </c>
      <c r="C87" s="26"/>
      <c r="D87" s="26"/>
      <c r="E87" s="26"/>
      <c r="F87" s="26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30" customHeight="1" x14ac:dyDescent="0.25">
      <c r="A88" s="26">
        <v>1</v>
      </c>
      <c r="B88" s="26" t="s">
        <v>214</v>
      </c>
      <c r="C88" s="94">
        <v>1</v>
      </c>
      <c r="D88" s="26"/>
      <c r="E88" s="26"/>
      <c r="F88" s="26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30" customHeight="1" x14ac:dyDescent="0.25">
      <c r="A89" s="26">
        <v>2</v>
      </c>
      <c r="B89" s="28" t="s">
        <v>215</v>
      </c>
      <c r="C89" s="94">
        <v>0.81</v>
      </c>
      <c r="D89" s="26"/>
      <c r="E89" s="26"/>
      <c r="F89" s="26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30" customHeight="1" x14ac:dyDescent="0.25">
      <c r="A90" s="26">
        <v>3</v>
      </c>
      <c r="B90" s="28" t="s">
        <v>216</v>
      </c>
      <c r="C90" s="94">
        <v>0.7</v>
      </c>
      <c r="D90" s="26"/>
      <c r="E90" s="26"/>
      <c r="F90" s="26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30" customHeight="1" x14ac:dyDescent="0.25">
      <c r="A91" s="26">
        <v>4</v>
      </c>
      <c r="B91" s="26" t="s">
        <v>217</v>
      </c>
      <c r="C91" s="94">
        <v>1</v>
      </c>
      <c r="D91" s="26"/>
      <c r="E91" s="26"/>
      <c r="F91" s="26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30" customHeight="1" x14ac:dyDescent="0.25">
      <c r="A92" s="26">
        <v>5</v>
      </c>
      <c r="B92" s="26" t="s">
        <v>218</v>
      </c>
      <c r="C92" s="94">
        <v>0.85</v>
      </c>
      <c r="D92" s="26"/>
      <c r="E92" s="26"/>
      <c r="F92" s="26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30" customHeight="1" x14ac:dyDescent="0.25">
      <c r="A93" s="26"/>
      <c r="B93" s="26" t="s">
        <v>0</v>
      </c>
      <c r="C93" s="26" t="s">
        <v>0</v>
      </c>
      <c r="D93" s="26" t="s">
        <v>0</v>
      </c>
      <c r="E93" s="26" t="s">
        <v>0</v>
      </c>
      <c r="F93" s="26" t="s">
        <v>0</v>
      </c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30" customHeight="1" x14ac:dyDescent="0.25">
      <c r="A94" s="26"/>
      <c r="B94" s="105" t="s">
        <v>219</v>
      </c>
      <c r="C94" s="26"/>
      <c r="D94" s="26"/>
      <c r="E94" s="26"/>
      <c r="F94" s="26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30" customHeight="1" x14ac:dyDescent="0.25">
      <c r="A95" s="26">
        <v>1</v>
      </c>
      <c r="B95" s="26" t="s">
        <v>220</v>
      </c>
      <c r="C95" s="26">
        <v>0.87</v>
      </c>
      <c r="D95" s="26"/>
      <c r="E95" s="26"/>
      <c r="F95" s="26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30" customHeight="1" x14ac:dyDescent="0.25">
      <c r="A96" s="26">
        <v>2</v>
      </c>
      <c r="B96" s="26" t="s">
        <v>221</v>
      </c>
      <c r="C96" s="26">
        <v>0.91</v>
      </c>
      <c r="D96" s="26"/>
      <c r="E96" s="26"/>
      <c r="F96" s="26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30" customHeight="1" x14ac:dyDescent="0.25">
      <c r="A97" s="26">
        <v>3</v>
      </c>
      <c r="B97" s="26" t="s">
        <v>222</v>
      </c>
      <c r="C97" s="26">
        <v>0.96</v>
      </c>
      <c r="D97" s="26" t="s">
        <v>0</v>
      </c>
      <c r="E97" s="26" t="s">
        <v>0</v>
      </c>
      <c r="F97" s="26" t="s">
        <v>0</v>
      </c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30" customHeight="1" x14ac:dyDescent="0.25">
      <c r="A98" s="26">
        <v>4</v>
      </c>
      <c r="B98" s="26" t="s">
        <v>223</v>
      </c>
      <c r="C98" s="26">
        <v>0.82</v>
      </c>
      <c r="D98" s="26"/>
      <c r="E98" s="26"/>
      <c r="F98" s="26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2.75" customHeight="1" x14ac:dyDescent="0.25">
      <c r="A99" s="36" t="s">
        <v>0</v>
      </c>
    </row>
    <row r="100" spans="1:26" ht="12.75" customHeight="1" x14ac:dyDescent="0.25"/>
    <row r="101" spans="1:26" ht="12.75" customHeight="1" x14ac:dyDescent="0.25"/>
    <row r="102" spans="1:26" ht="12.75" customHeight="1" x14ac:dyDescent="0.25"/>
    <row r="103" spans="1:26" ht="12.75" customHeight="1" x14ac:dyDescent="0.25"/>
    <row r="104" spans="1:26" ht="12.75" customHeight="1" x14ac:dyDescent="0.25"/>
    <row r="105" spans="1:26" ht="12.75" customHeight="1" x14ac:dyDescent="0.25"/>
    <row r="106" spans="1:26" ht="12.75" customHeight="1" x14ac:dyDescent="0.25"/>
    <row r="107" spans="1:26" ht="12.75" customHeight="1" x14ac:dyDescent="0.25"/>
    <row r="108" spans="1:26" ht="12.75" customHeight="1" x14ac:dyDescent="0.25"/>
    <row r="109" spans="1:26" ht="12.75" customHeight="1" x14ac:dyDescent="0.25"/>
    <row r="110" spans="1:26" ht="12.75" customHeight="1" x14ac:dyDescent="0.25"/>
    <row r="111" spans="1:26" ht="12.75" customHeight="1" x14ac:dyDescent="0.25"/>
    <row r="112" spans="1:26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5">
    <mergeCell ref="A3:F3"/>
    <mergeCell ref="A5:A7"/>
    <mergeCell ref="B5:B7"/>
    <mergeCell ref="C5:C7"/>
    <mergeCell ref="D5:F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</vt:lpstr>
      <vt:lpstr>00000</vt:lpstr>
      <vt:lpstr>2</vt:lpstr>
      <vt:lpstr>1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2025-03-19T08:40:57Z</dcterms:modified>
</cp:coreProperties>
</file>