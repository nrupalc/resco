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ANKESH MISHRA\@FLASYS\Sales\@Online Selling Service\Solar Documents Bundle\@from chat GPT\Other\Proposal &amp; Quotation\"/>
    </mc:Choice>
  </mc:AlternateContent>
  <xr:revisionPtr revIDLastSave="0" documentId="13_ncr:1_{4E212A18-6EAA-4121-AFA3-3E19F9E1BE0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Quotation" sheetId="2" r:id="rId1"/>
    <sheet name="Input" sheetId="4" r:id="rId2"/>
  </sheets>
  <functionGroups builtInGroupCount="19"/>
  <definedNames>
    <definedName name="_xlnm.Print_Area" localSheetId="0">Quotation!$A$1:$AY$79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53" i="2" l="1"/>
  <c r="V54" i="2"/>
  <c r="V52" i="2"/>
  <c r="V51" i="2"/>
  <c r="M55" i="2"/>
  <c r="R42" i="2"/>
  <c r="AB23" i="2"/>
  <c r="K43" i="2" s="1"/>
  <c r="X10" i="2"/>
  <c r="X9" i="2"/>
  <c r="X8" i="2"/>
  <c r="A4" i="2"/>
  <c r="G20" i="2"/>
  <c r="X20" i="2" s="1"/>
  <c r="G19" i="2"/>
  <c r="X19" i="2" s="1"/>
  <c r="G18" i="2"/>
  <c r="X18" i="2" s="1"/>
  <c r="G17" i="2"/>
  <c r="X17" i="2" s="1"/>
  <c r="G16" i="2"/>
  <c r="X16" i="2" s="1"/>
  <c r="A13" i="2"/>
  <c r="R13" i="2" s="1"/>
  <c r="A12" i="2"/>
  <c r="R12" i="2" s="1"/>
  <c r="G10" i="2"/>
  <c r="G9" i="2"/>
  <c r="G8" i="2"/>
  <c r="A5" i="2"/>
  <c r="A3" i="2"/>
  <c r="A2" i="2"/>
  <c r="A1" i="2"/>
  <c r="U48" i="2" a="1"/>
  <c r="U45" i="2" a="1"/>
  <c r="U42" i="2" a="1"/>
  <c r="U48" i="2" l="1"/>
  <c r="U45" i="2"/>
  <c r="U42" i="2"/>
  <c r="U41" i="2"/>
  <c r="U44" i="2" l="1"/>
  <c r="U47" i="2" l="1"/>
  <c r="R48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<sst xmlns="http://schemas.openxmlformats.org/spreadsheetml/2006/main" count="139" uniqueCount="93">
  <si>
    <t>Billed to :</t>
  </si>
  <si>
    <t>Shipped to :</t>
  </si>
  <si>
    <t>Description of Goods</t>
  </si>
  <si>
    <t>Qty.</t>
  </si>
  <si>
    <t>Terms &amp; Conditions</t>
  </si>
  <si>
    <t>1. Goods once sold will not be taken back.</t>
  </si>
  <si>
    <t>UTTAR PRADESH</t>
  </si>
  <si>
    <t xml:space="preserve">Place of Supply </t>
  </si>
  <si>
    <t>:</t>
  </si>
  <si>
    <t xml:space="preserve">Station       </t>
  </si>
  <si>
    <t xml:space="preserve">E-Way Bill No. </t>
  </si>
  <si>
    <t>Station Pincode</t>
  </si>
  <si>
    <t xml:space="preserve">Party PAN       </t>
  </si>
  <si>
    <t>Party Mobile No.</t>
  </si>
  <si>
    <t>Party Aadhaar No.</t>
  </si>
  <si>
    <t xml:space="preserve">State       </t>
  </si>
  <si>
    <t xml:space="preserve">GSTIN/UIN   </t>
  </si>
  <si>
    <t xml:space="preserve">   BANK DETAILS FOR PAYMENT</t>
  </si>
  <si>
    <t>Receivers Signature:</t>
  </si>
  <si>
    <t>QUOTATION</t>
  </si>
  <si>
    <t>Quotation No.</t>
  </si>
  <si>
    <t>Date:</t>
  </si>
  <si>
    <t>Description</t>
  </si>
  <si>
    <t>Proposed Make</t>
  </si>
  <si>
    <t>Module Mounting Structure of Aluminium or MS with Galvanized Iron Mild Steel 80 micron thickness, designed for wind load of 150 KMPH.</t>
  </si>
  <si>
    <t>Reputed make</t>
  </si>
  <si>
    <t>As per Requirement/Design</t>
  </si>
  <si>
    <t>PVC insulated UV protected DC Copper cable</t>
  </si>
  <si>
    <t>KEI/Polycab/MNRE approved</t>
  </si>
  <si>
    <t>AC Distribution Board IP65</t>
  </si>
  <si>
    <t>CRCA powdered coated 14-16 swg</t>
  </si>
  <si>
    <t>AC LT Power Cables Armoured</t>
  </si>
  <si>
    <t>JMV/True Power/Reputed make</t>
  </si>
  <si>
    <t>Accessories like tool, HDPE, flexible conduit, cable ties, insulation tapes, etc.</t>
  </si>
  <si>
    <t>Design &amp; Engineering of complete plant</t>
  </si>
  <si>
    <t>Not applicable</t>
  </si>
  <si>
    <t>Inverters kW string Inverters/PCUs 4kW or suitable model with remote monitoring</t>
  </si>
  <si>
    <t>Installation, Testing &amp; Commissioning Charges and other field activities like unloading of material</t>
  </si>
  <si>
    <t>Sungrow/Havells/EVVO/
Reputed make</t>
  </si>
  <si>
    <t>S. No.</t>
  </si>
  <si>
    <t>SPV Modules (Half cut Mono Perc)</t>
  </si>
  <si>
    <t>Total Amount with GST</t>
  </si>
  <si>
    <t>Warranty:</t>
  </si>
  <si>
    <t>FLASYS SMART SOLUTIONS</t>
  </si>
  <si>
    <t>11/12, WATER WORKS COLONY</t>
  </si>
  <si>
    <t>HATHRAS, UTTAR PRADESH - 204101</t>
  </si>
  <si>
    <t>INA/ Vikram / Adani/ Any other MNRE Approved</t>
  </si>
  <si>
    <t>1 NOS</t>
  </si>
  <si>
    <t>FLASYS</t>
  </si>
  <si>
    <t>As applicable</t>
  </si>
  <si>
    <t>On-Grid String Inverter/PCU or suitable model</t>
  </si>
  <si>
    <t>Array Junction Box with fuse and SPD (IP65)</t>
  </si>
  <si>
    <t>Thermoplastic (ABS)</t>
  </si>
  <si>
    <t>Earthing set complete with earth rods and chemical material.</t>
  </si>
  <si>
    <t>Standard /Reputed make</t>
  </si>
  <si>
    <t>Commercial Details and pricing for 10kWp Solar Rooftop Project (Module and structure mounting)</t>
  </si>
  <si>
    <t xml:space="preserve">    by the module manufacturers over a period of 25 Years.</t>
  </si>
  <si>
    <t>1. PV modules will have a limited performance generation warranty as described</t>
  </si>
  <si>
    <t>www.flasysdesign.com |Ph. : +91 7011558555  | email : contact@flasysdesign.com</t>
  </si>
  <si>
    <t xml:space="preserve"> Inclusive of freight</t>
  </si>
  <si>
    <t>Rate</t>
  </si>
  <si>
    <t>INR/Watt</t>
  </si>
  <si>
    <t>Capacity :</t>
  </si>
  <si>
    <t>kWp</t>
  </si>
  <si>
    <t>Supply, installation, testing and commissioning of Solar Modules with mounting structure and DC wiring only</t>
  </si>
  <si>
    <t>GST (Goods and Services Tax):</t>
  </si>
  <si>
    <t>on Modules and Inverter (approx 50% material)</t>
  </si>
  <si>
    <t>on remaining material</t>
  </si>
  <si>
    <t>kW</t>
  </si>
  <si>
    <t>2. All disputes are subject to …...... Jurisdiction</t>
  </si>
  <si>
    <t>Address:</t>
  </si>
  <si>
    <t xml:space="preserve">Customer name </t>
  </si>
  <si>
    <t>Flasys</t>
  </si>
  <si>
    <t>11/12, water works colony Hathras Uttar Pradesh 204101</t>
  </si>
  <si>
    <t>AA4561315EE</t>
  </si>
  <si>
    <t>Uttar Pradesh</t>
  </si>
  <si>
    <t>11DDBBG1222S1SD</t>
  </si>
  <si>
    <t>Company Name</t>
  </si>
  <si>
    <t>Line 2</t>
  </si>
  <si>
    <t>GSTIN:</t>
  </si>
  <si>
    <t>Contact:</t>
  </si>
  <si>
    <t>09DDBPM1003A1ZE</t>
  </si>
  <si>
    <t>Capacity of Solar (kW):</t>
  </si>
  <si>
    <t>Address:               Line 1</t>
  </si>
  <si>
    <t>Rate without GST per Watt:</t>
  </si>
  <si>
    <t>N/A</t>
  </si>
  <si>
    <t>BANK OF BARODA</t>
  </si>
  <si>
    <t>BARB0JALESA</t>
  </si>
  <si>
    <t>JALESAR, UTTAR PRADESH</t>
  </si>
  <si>
    <t xml:space="preserve">   BANK NAME:</t>
  </si>
  <si>
    <t xml:space="preserve">   A/C No.  :</t>
  </si>
  <si>
    <t xml:space="preserve">   IFSC code :</t>
  </si>
  <si>
    <t xml:space="preserve">   BRANCH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</si>
</sst>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&quot;₹&quot;\ #,##0.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theme="1"/>
      <name val="Arial"/>
      <family val="2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6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2" xfId="0" applyFont="1" applyBorder="1"/>
    <xf numFmtId="0" fontId="10" fillId="0" borderId="5" xfId="0" applyFont="1" applyBorder="1"/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5" xfId="0" applyFont="1" applyBorder="1" applyAlignment="1">
      <alignment vertical="top"/>
    </xf>
    <xf numFmtId="0" fontId="6" fillId="0" borderId="6" xfId="0" applyFont="1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9" xfId="0" applyBorder="1"/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5" fillId="0" borderId="7" xfId="0" applyFont="1" applyBorder="1" applyAlignment="1">
      <alignment vertical="top"/>
    </xf>
    <xf numFmtId="0" fontId="5" fillId="0" borderId="8" xfId="0" applyFont="1" applyBorder="1" applyAlignment="1">
      <alignment vertical="top"/>
    </xf>
    <xf numFmtId="0" fontId="5" fillId="0" borderId="9" xfId="0" applyFont="1" applyBorder="1" applyAlignment="1">
      <alignment vertical="top"/>
    </xf>
    <xf numFmtId="0" fontId="9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2" xfId="0" applyFont="1" applyBorder="1"/>
    <xf numFmtId="0" fontId="8" fillId="0" borderId="2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0" fillId="0" borderId="0" xfId="0" applyAlignment="1">
      <alignment vertical="center"/>
    </xf>
    <xf numFmtId="0" fontId="1" fillId="0" borderId="5" xfId="0" applyFont="1" applyBorder="1"/>
    <xf numFmtId="0" fontId="0" fillId="0" borderId="5" xfId="0" applyBorder="1" applyAlignment="1">
      <alignment vertical="top"/>
    </xf>
    <xf numFmtId="0" fontId="1" fillId="0" borderId="7" xfId="0" applyFont="1" applyBorder="1" applyAlignment="1">
      <alignment vertical="top"/>
    </xf>
    <xf numFmtId="0" fontId="1" fillId="0" borderId="9" xfId="0" applyFont="1" applyBorder="1" applyAlignment="1">
      <alignment vertical="top"/>
    </xf>
    <xf numFmtId="0" fontId="6" fillId="0" borderId="4" xfId="0" applyFont="1" applyBorder="1" applyAlignment="1">
      <alignment vertical="top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5" borderId="4" xfId="0" applyFill="1" applyBorder="1" applyAlignment="1">
      <alignment horizontal="left" vertical="center"/>
    </xf>
    <xf numFmtId="0" fontId="0" fillId="5" borderId="9" xfId="0" applyFill="1" applyBorder="1" applyAlignment="1">
      <alignment horizontal="left" vertical="center"/>
    </xf>
    <xf numFmtId="0" fontId="0" fillId="3" borderId="4" xfId="0" applyFill="1" applyBorder="1"/>
    <xf numFmtId="0" fontId="0" fillId="3" borderId="6" xfId="0" applyFill="1" applyBorder="1"/>
    <xf numFmtId="0" fontId="0" fillId="3" borderId="4" xfId="0" applyFill="1" applyBorder="1" applyAlignment="1">
      <alignment horizontal="left" vertical="center"/>
    </xf>
    <xf numFmtId="1" fontId="0" fillId="3" borderId="6" xfId="0" applyNumberFormat="1" applyFill="1" applyBorder="1" applyAlignment="1">
      <alignment horizontal="left" vertical="center"/>
    </xf>
    <xf numFmtId="0" fontId="0" fillId="3" borderId="6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14" fontId="0" fillId="3" borderId="6" xfId="0" applyNumberFormat="1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1" fontId="0" fillId="6" borderId="6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left" vertical="center"/>
    </xf>
    <xf numFmtId="0" fontId="1" fillId="3" borderId="10" xfId="0" applyFont="1" applyFill="1" applyBorder="1"/>
    <xf numFmtId="0" fontId="1" fillId="3" borderId="15" xfId="0" applyFont="1" applyFill="1" applyBorder="1" applyAlignment="1">
      <alignment horizontal="right"/>
    </xf>
    <xf numFmtId="0" fontId="1" fillId="3" borderId="15" xfId="0" applyFont="1" applyFill="1" applyBorder="1"/>
    <xf numFmtId="0" fontId="1" fillId="3" borderId="1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0" fontId="1" fillId="3" borderId="11" xfId="0" applyFont="1" applyFill="1" applyBorder="1" applyAlignment="1">
      <alignment vertical="center"/>
    </xf>
    <xf numFmtId="0" fontId="1" fillId="3" borderId="11" xfId="0" applyFont="1" applyFill="1" applyBorder="1"/>
    <xf numFmtId="0" fontId="1" fillId="6" borderId="10" xfId="0" applyFont="1" applyFill="1" applyBorder="1"/>
    <xf numFmtId="0" fontId="1" fillId="6" borderId="15" xfId="0" applyFont="1" applyFill="1" applyBorder="1" applyAlignment="1">
      <alignment vertical="top"/>
    </xf>
    <xf numFmtId="0" fontId="1" fillId="6" borderId="15" xfId="0" applyFont="1" applyFill="1" applyBorder="1"/>
    <xf numFmtId="0" fontId="1" fillId="6" borderId="11" xfId="0" applyFont="1" applyFill="1" applyBorder="1"/>
    <xf numFmtId="0" fontId="1" fillId="5" borderId="10" xfId="0" applyFont="1" applyFill="1" applyBorder="1"/>
    <xf numFmtId="0" fontId="1" fillId="5" borderId="11" xfId="0" applyFont="1" applyFill="1" applyBorder="1"/>
    <xf numFmtId="0" fontId="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top"/>
    </xf>
    <xf numFmtId="0" fontId="2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0" fontId="2" fillId="4" borderId="3" xfId="0" applyFont="1" applyFill="1" applyBorder="1" applyAlignment="1">
      <alignment horizontal="left" vertical="center" wrapText="1"/>
    </xf>
    <xf numFmtId="0" fontId="2" fillId="4" borderId="4" xfId="0" applyFont="1" applyFill="1" applyBorder="1" applyAlignment="1">
      <alignment horizontal="left" vertical="center" wrapText="1"/>
    </xf>
    <xf numFmtId="0" fontId="2" fillId="4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center" vertical="center" wrapText="1"/>
    </xf>
    <xf numFmtId="165" fontId="7" fillId="3" borderId="3" xfId="0" applyNumberFormat="1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left" vertical="center" wrapText="1"/>
    </xf>
    <xf numFmtId="0" fontId="2" fillId="3" borderId="4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2" fillId="0" borderId="6" xfId="0" applyFont="1" applyBorder="1" applyAlignment="1">
      <alignment horizontal="left" vertical="center" wrapText="1"/>
    </xf>
    <xf numFmtId="0" fontId="11" fillId="0" borderId="5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164" fontId="0" fillId="0" borderId="0" xfId="0" applyNumberFormat="1" applyAlignment="1">
      <alignment horizontal="left"/>
    </xf>
    <xf numFmtId="164" fontId="0" fillId="0" borderId="6" xfId="0" applyNumberFormat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12" fillId="0" borderId="1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165" fontId="2" fillId="4" borderId="2" xfId="0" applyNumberFormat="1" applyFont="1" applyFill="1" applyBorder="1" applyAlignment="1">
      <alignment horizontal="right" vertical="center" wrapText="1"/>
    </xf>
    <xf numFmtId="165" fontId="7" fillId="4" borderId="3" xfId="0" applyNumberFormat="1" applyFont="1" applyFill="1" applyBorder="1" applyAlignment="1">
      <alignment horizontal="right" vertical="center" wrapText="1"/>
    </xf>
    <xf numFmtId="0" fontId="2" fillId="0" borderId="2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4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2" fillId="4" borderId="5" xfId="0" applyFont="1" applyFill="1" applyBorder="1" applyAlignment="1">
      <alignment horizontal="right" vertical="center" wrapText="1"/>
    </xf>
    <xf numFmtId="0" fontId="2" fillId="4" borderId="0" xfId="0" applyFont="1" applyFill="1" applyAlignment="1">
      <alignment horizontal="right" vertical="center" wrapText="1"/>
    </xf>
    <xf numFmtId="0" fontId="2" fillId="4" borderId="0" xfId="0" applyFont="1" applyFill="1" applyAlignment="1">
      <alignment horizontal="left" vertical="center" wrapText="1"/>
    </xf>
    <xf numFmtId="0" fontId="2" fillId="4" borderId="6" xfId="0" applyFont="1" applyFill="1" applyBorder="1" applyAlignment="1">
      <alignment horizontal="left" vertical="center" wrapText="1"/>
    </xf>
    <xf numFmtId="2" fontId="7" fillId="4" borderId="0" xfId="0" applyNumberFormat="1" applyFont="1" applyFill="1" applyAlignment="1">
      <alignment horizontal="right" vertical="center" wrapText="1"/>
    </xf>
    <xf numFmtId="165" fontId="2" fillId="4" borderId="3" xfId="0" applyNumberFormat="1" applyFont="1" applyFill="1" applyBorder="1" applyAlignment="1">
      <alignment horizontal="right" vertical="center" wrapText="1"/>
    </xf>
    <xf numFmtId="9" fontId="2" fillId="0" borderId="5" xfId="0" applyNumberFormat="1" applyFont="1" applyBorder="1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165" fontId="7" fillId="2" borderId="0" xfId="0" applyNumberFormat="1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0" fillId="0" borderId="8" xfId="0" applyFont="1" applyBorder="1" applyAlignment="1">
      <alignment horizontal="left" vertical="center"/>
    </xf>
    <xf numFmtId="0" fontId="0" fillId="0" borderId="5" xfId="0" applyBorder="1" applyAlignment="1">
      <alignment horizontal="left"/>
    </xf>
    <xf numFmtId="0" fontId="0" fillId="0" borderId="5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6" xfId="0" applyBorder="1" applyAlignment="1">
      <alignment horizontal="left" vertical="top"/>
    </xf>
    <xf numFmtId="0" fontId="6" fillId="0" borderId="3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 wrapText="1"/>
    </xf>
    <xf numFmtId="0" fontId="2" fillId="0" borderId="14" xfId="0" applyFont="1" applyBorder="1" applyAlignment="1">
      <alignment horizontal="left" vertical="center" wrapText="1"/>
    </xf>
    <xf numFmtId="2" fontId="2" fillId="0" borderId="12" xfId="0" applyNumberFormat="1" applyFont="1" applyBorder="1" applyAlignment="1">
      <alignment horizontal="right" vertical="center" wrapText="1"/>
    </xf>
    <xf numFmtId="2" fontId="2" fillId="0" borderId="13" xfId="0" applyNumberFormat="1" applyFont="1" applyBorder="1" applyAlignment="1">
      <alignment horizontal="right" vertical="center" wrapText="1"/>
    </xf>
    <xf numFmtId="0" fontId="2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2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134816</xdr:colOff>
      <xdr:row>0</xdr:row>
      <xdr:rowOff>187570</xdr:rowOff>
    </xdr:from>
    <xdr:to>
      <xdr:col>32</xdr:col>
      <xdr:colOff>48173</xdr:colOff>
      <xdr:row>3</xdr:row>
      <xdr:rowOff>11724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499741-FF12-4A96-9B12-DFCF23696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1939" y="187570"/>
          <a:ext cx="1507696" cy="45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83"/>
  <sheetViews>
    <sheetView tabSelected="1" zoomScale="110" zoomScaleNormal="110" zoomScaleSheetLayoutView="93" workbookViewId="0">
      <selection activeCell="AR7" sqref="AR7"/>
    </sheetView>
  </sheetViews>
  <sheetFormatPr defaultRowHeight="14.4" x14ac:dyDescent="0.3"/>
  <cols>
    <col min="1" max="1" width="5.44140625" customWidth="1"/>
    <col min="2" max="4" width="2.88671875" customWidth="1"/>
    <col min="5" max="5" width="3.44140625" customWidth="1"/>
    <col min="6" max="17" width="2.88671875" customWidth="1"/>
    <col min="18" max="20" width="3.33203125" customWidth="1"/>
    <col min="21" max="21" width="2.88671875" customWidth="1"/>
    <col min="22" max="22" width="4.6640625" customWidth="1"/>
    <col min="23" max="207" width="2.88671875" customWidth="1"/>
  </cols>
  <sheetData>
    <row r="1" spans="1:49" ht="21" x14ac:dyDescent="0.3">
      <c r="A1" s="27" t="str">
        <f>Input!C2</f>
        <v>FLASYS SMART SOLUTIONS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9"/>
    </row>
    <row r="2" spans="1:49" x14ac:dyDescent="0.3">
      <c r="A2" s="16" t="str">
        <f>Input!C3</f>
        <v>11/12, WATER WORKS COLONY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17"/>
    </row>
    <row r="3" spans="1:49" x14ac:dyDescent="0.3">
      <c r="A3" s="16" t="str">
        <f>Input!C4</f>
        <v>HATHRAS, UTTAR PRADESH - 204101</v>
      </c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17"/>
    </row>
    <row r="4" spans="1:49" x14ac:dyDescent="0.3">
      <c r="A4" s="18" t="str">
        <f>_xlfn.CONCAT(Input!B5," ",Input!C5)</f>
        <v>GSTIN: 09DDBPM1003A1ZE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19"/>
    </row>
    <row r="5" spans="1:49" x14ac:dyDescent="0.3">
      <c r="A5" s="20" t="str">
        <f>Input!C6</f>
        <v>www.flasysdesign.com |Ph. : +91 7011558555  | email : contact@flasysdesign.com</v>
      </c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2"/>
    </row>
    <row r="6" spans="1:49" x14ac:dyDescent="0.3">
      <c r="A6" s="100" t="s">
        <v>19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01"/>
      <c r="AB6" s="101"/>
      <c r="AC6" s="101"/>
      <c r="AD6" s="101"/>
      <c r="AE6" s="101"/>
      <c r="AF6" s="101"/>
      <c r="AG6" s="101"/>
      <c r="AH6" s="102"/>
    </row>
    <row r="7" spans="1:49" x14ac:dyDescent="0.3">
      <c r="A7" s="100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2"/>
      <c r="AS7" s="23"/>
      <c r="AT7" s="23"/>
      <c r="AU7" s="23"/>
      <c r="AV7" s="23"/>
      <c r="AW7" s="23"/>
    </row>
    <row r="8" spans="1:49" x14ac:dyDescent="0.3">
      <c r="A8" s="1" t="s">
        <v>20</v>
      </c>
      <c r="B8" s="2"/>
      <c r="C8" s="2"/>
      <c r="D8" s="2"/>
      <c r="E8" s="2"/>
      <c r="F8" s="10" t="s">
        <v>8</v>
      </c>
      <c r="G8" s="75">
        <f>Input!C11</f>
        <v>12345</v>
      </c>
      <c r="H8" s="75"/>
      <c r="I8" s="75"/>
      <c r="J8" s="75"/>
      <c r="K8" s="75"/>
      <c r="L8" s="75"/>
      <c r="M8" s="75"/>
      <c r="N8" s="75"/>
      <c r="O8" s="75"/>
      <c r="P8" s="75"/>
      <c r="Q8" s="76"/>
      <c r="R8" s="1" t="s">
        <v>9</v>
      </c>
      <c r="S8" s="2"/>
      <c r="T8" s="2"/>
      <c r="U8" s="2"/>
      <c r="V8" s="2"/>
      <c r="W8" s="10" t="s">
        <v>8</v>
      </c>
      <c r="X8" s="75" t="str">
        <f>Input!C14</f>
        <v>N/A</v>
      </c>
      <c r="Y8" s="75"/>
      <c r="Z8" s="75"/>
      <c r="AA8" s="75"/>
      <c r="AB8" s="75"/>
      <c r="AC8" s="75"/>
      <c r="AD8" s="75"/>
      <c r="AE8" s="75"/>
      <c r="AF8" s="75"/>
      <c r="AG8" s="75"/>
      <c r="AH8" s="76"/>
    </row>
    <row r="9" spans="1:49" x14ac:dyDescent="0.3">
      <c r="A9" s="4" t="s">
        <v>21</v>
      </c>
      <c r="F9" s="66" t="s">
        <v>8</v>
      </c>
      <c r="G9" s="104">
        <f>Input!C12</f>
        <v>45351</v>
      </c>
      <c r="H9" s="104"/>
      <c r="I9" s="104"/>
      <c r="J9" s="104"/>
      <c r="K9" s="104"/>
      <c r="L9" s="104"/>
      <c r="M9" s="104"/>
      <c r="N9" s="104"/>
      <c r="O9" s="104"/>
      <c r="P9" s="104"/>
      <c r="Q9" s="105"/>
      <c r="R9" s="4" t="s">
        <v>10</v>
      </c>
      <c r="W9" s="66" t="s">
        <v>8</v>
      </c>
      <c r="X9" s="85" t="str">
        <f>Input!C15</f>
        <v>N/A</v>
      </c>
      <c r="Y9" s="85"/>
      <c r="Z9" s="85"/>
      <c r="AA9" s="85"/>
      <c r="AB9" s="85"/>
      <c r="AC9" s="85"/>
      <c r="AD9" s="85"/>
      <c r="AE9" s="85"/>
      <c r="AF9" s="85"/>
      <c r="AG9" s="85"/>
      <c r="AH9" s="86"/>
    </row>
    <row r="10" spans="1:49" x14ac:dyDescent="0.3">
      <c r="A10" s="4" t="s">
        <v>7</v>
      </c>
      <c r="F10" s="66" t="s">
        <v>8</v>
      </c>
      <c r="G10" s="85" t="str">
        <f>Input!C13</f>
        <v>UTTAR PRADESH</v>
      </c>
      <c r="H10" s="85"/>
      <c r="I10" s="85"/>
      <c r="J10" s="85"/>
      <c r="K10" s="85"/>
      <c r="L10" s="85"/>
      <c r="M10" s="85"/>
      <c r="N10" s="85"/>
      <c r="O10" s="85"/>
      <c r="P10" s="85"/>
      <c r="Q10" s="86"/>
      <c r="R10" s="4" t="s">
        <v>11</v>
      </c>
      <c r="W10" s="66" t="s">
        <v>8</v>
      </c>
      <c r="X10" s="85">
        <f>Input!C16</f>
        <v>204101</v>
      </c>
      <c r="Y10" s="85"/>
      <c r="Z10" s="85"/>
      <c r="AA10" s="85"/>
      <c r="AB10" s="85"/>
      <c r="AC10" s="85"/>
      <c r="AD10" s="85"/>
      <c r="AE10" s="85"/>
      <c r="AF10" s="85"/>
      <c r="AG10" s="85"/>
      <c r="AH10" s="86"/>
    </row>
    <row r="11" spans="1:49" ht="18" x14ac:dyDescent="0.35">
      <c r="A11" s="8" t="s">
        <v>0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8" t="s">
        <v>1</v>
      </c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3"/>
    </row>
    <row r="12" spans="1:49" x14ac:dyDescent="0.3">
      <c r="A12" s="150" t="str">
        <f>Input!C18</f>
        <v>Flasys</v>
      </c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6"/>
      <c r="R12" s="150" t="str">
        <f>A12</f>
        <v>Flasys</v>
      </c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6"/>
    </row>
    <row r="13" spans="1:49" x14ac:dyDescent="0.3">
      <c r="A13" s="151" t="str">
        <f>Input!C19</f>
        <v>11/12, water works colony Hathras Uttar Pradesh 204101</v>
      </c>
      <c r="B13" s="152"/>
      <c r="C13" s="152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3"/>
      <c r="R13" s="151" t="str">
        <f>A13</f>
        <v>11/12, water works colony Hathras Uttar Pradesh 204101</v>
      </c>
      <c r="S13" s="152"/>
      <c r="T13" s="152"/>
      <c r="U13" s="152"/>
      <c r="V13" s="152"/>
      <c r="W13" s="152"/>
      <c r="X13" s="152"/>
      <c r="Y13" s="152"/>
      <c r="Z13" s="152"/>
      <c r="AA13" s="152"/>
      <c r="AB13" s="152"/>
      <c r="AC13" s="152"/>
      <c r="AD13" s="152"/>
      <c r="AE13" s="152"/>
      <c r="AF13" s="152"/>
      <c r="AG13" s="152"/>
      <c r="AH13" s="153"/>
    </row>
    <row r="14" spans="1:49" x14ac:dyDescent="0.3">
      <c r="A14" s="151"/>
      <c r="B14" s="152"/>
      <c r="C14" s="152"/>
      <c r="D14" s="152"/>
      <c r="E14" s="152"/>
      <c r="F14" s="152"/>
      <c r="G14" s="152"/>
      <c r="H14" s="152"/>
      <c r="I14" s="152"/>
      <c r="J14" s="152"/>
      <c r="K14" s="152"/>
      <c r="L14" s="152"/>
      <c r="M14" s="152"/>
      <c r="N14" s="152"/>
      <c r="O14" s="152"/>
      <c r="P14" s="152"/>
      <c r="Q14" s="153"/>
      <c r="R14" s="151"/>
      <c r="S14" s="152"/>
      <c r="T14" s="152"/>
      <c r="U14" s="152"/>
      <c r="V14" s="152"/>
      <c r="W14" s="152"/>
      <c r="X14" s="152"/>
      <c r="Y14" s="152"/>
      <c r="Z14" s="152"/>
      <c r="AA14" s="152"/>
      <c r="AB14" s="152"/>
      <c r="AC14" s="152"/>
      <c r="AD14" s="152"/>
      <c r="AE14" s="152"/>
      <c r="AF14" s="152"/>
      <c r="AG14" s="152"/>
      <c r="AH14" s="153"/>
    </row>
    <row r="15" spans="1:49" x14ac:dyDescent="0.3">
      <c r="A15" s="151"/>
      <c r="B15" s="152"/>
      <c r="C15" s="152"/>
      <c r="D15" s="152"/>
      <c r="E15" s="152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3"/>
      <c r="R15" s="151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3"/>
    </row>
    <row r="16" spans="1:49" x14ac:dyDescent="0.3">
      <c r="A16" s="4" t="s">
        <v>12</v>
      </c>
      <c r="F16" s="66" t="s">
        <v>8</v>
      </c>
      <c r="G16" s="106" t="str">
        <f>Input!C20</f>
        <v>AA4561315EE</v>
      </c>
      <c r="H16" s="106"/>
      <c r="I16" s="106"/>
      <c r="J16" s="106"/>
      <c r="K16" s="106"/>
      <c r="L16" s="106"/>
      <c r="M16" s="106"/>
      <c r="N16" s="106"/>
      <c r="O16" s="106"/>
      <c r="P16" s="106"/>
      <c r="Q16" s="107"/>
      <c r="R16" s="4" t="s">
        <v>12</v>
      </c>
      <c r="W16" s="66" t="s">
        <v>8</v>
      </c>
      <c r="X16" s="106" t="str">
        <f>G16</f>
        <v>AA4561315EE</v>
      </c>
      <c r="Y16" s="106"/>
      <c r="Z16" s="106"/>
      <c r="AA16" s="106"/>
      <c r="AB16" s="106"/>
      <c r="AC16" s="106"/>
      <c r="AD16" s="106"/>
      <c r="AE16" s="106"/>
      <c r="AF16" s="106"/>
      <c r="AG16" s="106"/>
      <c r="AH16" s="107"/>
    </row>
    <row r="17" spans="1:34" x14ac:dyDescent="0.3">
      <c r="A17" s="4" t="s">
        <v>13</v>
      </c>
      <c r="F17" s="66" t="s">
        <v>8</v>
      </c>
      <c r="G17" s="106">
        <f>Input!C21</f>
        <v>1234567891</v>
      </c>
      <c r="H17" s="106"/>
      <c r="I17" s="106"/>
      <c r="J17" s="106"/>
      <c r="K17" s="106"/>
      <c r="L17" s="106"/>
      <c r="M17" s="106"/>
      <c r="N17" s="106"/>
      <c r="O17" s="106"/>
      <c r="P17" s="106"/>
      <c r="Q17" s="107"/>
      <c r="R17" s="4" t="s">
        <v>13</v>
      </c>
      <c r="W17" s="66" t="s">
        <v>8</v>
      </c>
      <c r="X17" s="106">
        <f>G17</f>
        <v>1234567891</v>
      </c>
      <c r="Y17" s="106"/>
      <c r="Z17" s="106"/>
      <c r="AA17" s="106"/>
      <c r="AB17" s="106"/>
      <c r="AC17" s="106"/>
      <c r="AD17" s="106"/>
      <c r="AE17" s="106"/>
      <c r="AF17" s="106"/>
      <c r="AG17" s="106"/>
      <c r="AH17" s="107"/>
    </row>
    <row r="18" spans="1:34" x14ac:dyDescent="0.3">
      <c r="A18" s="4" t="s">
        <v>14</v>
      </c>
      <c r="F18" s="66" t="s">
        <v>8</v>
      </c>
      <c r="G18" s="108">
        <f>Input!C22</f>
        <v>124523567895</v>
      </c>
      <c r="H18" s="106"/>
      <c r="I18" s="106"/>
      <c r="J18" s="106"/>
      <c r="K18" s="106"/>
      <c r="L18" s="106"/>
      <c r="M18" s="106"/>
      <c r="N18" s="106"/>
      <c r="O18" s="106"/>
      <c r="P18" s="106"/>
      <c r="Q18" s="107"/>
      <c r="R18" s="4" t="s">
        <v>14</v>
      </c>
      <c r="W18" s="66" t="s">
        <v>8</v>
      </c>
      <c r="X18" s="108">
        <f>G18</f>
        <v>124523567895</v>
      </c>
      <c r="Y18" s="106"/>
      <c r="Z18" s="106"/>
      <c r="AA18" s="106"/>
      <c r="AB18" s="106"/>
      <c r="AC18" s="106"/>
      <c r="AD18" s="106"/>
      <c r="AE18" s="106"/>
      <c r="AF18" s="106"/>
      <c r="AG18" s="106"/>
      <c r="AH18" s="107"/>
    </row>
    <row r="19" spans="1:34" x14ac:dyDescent="0.3">
      <c r="A19" s="4" t="s">
        <v>15</v>
      </c>
      <c r="F19" s="66" t="s">
        <v>8</v>
      </c>
      <c r="G19" s="106" t="str">
        <f>Input!C23</f>
        <v>Uttar Pradesh</v>
      </c>
      <c r="H19" s="106"/>
      <c r="I19" s="106"/>
      <c r="J19" s="106"/>
      <c r="K19" s="106"/>
      <c r="L19" s="106"/>
      <c r="M19" s="106"/>
      <c r="N19" s="106"/>
      <c r="O19" s="106"/>
      <c r="P19" s="106"/>
      <c r="Q19" s="107"/>
      <c r="R19" s="4" t="s">
        <v>15</v>
      </c>
      <c r="W19" s="66" t="s">
        <v>8</v>
      </c>
      <c r="X19" s="106" t="str">
        <f>G19</f>
        <v>Uttar Pradesh</v>
      </c>
      <c r="Y19" s="106"/>
      <c r="Z19" s="106"/>
      <c r="AA19" s="106"/>
      <c r="AB19" s="106"/>
      <c r="AC19" s="106"/>
      <c r="AD19" s="106"/>
      <c r="AE19" s="106"/>
      <c r="AF19" s="106"/>
      <c r="AG19" s="106"/>
      <c r="AH19" s="107"/>
    </row>
    <row r="20" spans="1:34" x14ac:dyDescent="0.3">
      <c r="A20" s="6" t="s">
        <v>16</v>
      </c>
      <c r="B20" s="7"/>
      <c r="C20" s="7"/>
      <c r="D20" s="7"/>
      <c r="E20" s="7"/>
      <c r="F20" s="11" t="s">
        <v>8</v>
      </c>
      <c r="G20" s="106" t="str">
        <f>Input!C24</f>
        <v>11DDBBG1222S1SD</v>
      </c>
      <c r="H20" s="106"/>
      <c r="I20" s="106"/>
      <c r="J20" s="106"/>
      <c r="K20" s="106"/>
      <c r="L20" s="106"/>
      <c r="M20" s="106"/>
      <c r="N20" s="106"/>
      <c r="O20" s="106"/>
      <c r="P20" s="106"/>
      <c r="Q20" s="107"/>
      <c r="R20" s="6" t="s">
        <v>16</v>
      </c>
      <c r="S20" s="7"/>
      <c r="T20" s="7"/>
      <c r="U20" s="7"/>
      <c r="V20" s="7"/>
      <c r="W20" s="11" t="s">
        <v>8</v>
      </c>
      <c r="X20" s="106" t="str">
        <f>G20</f>
        <v>11DDBBG1222S1SD</v>
      </c>
      <c r="Y20" s="106"/>
      <c r="Z20" s="106"/>
      <c r="AA20" s="106"/>
      <c r="AB20" s="106"/>
      <c r="AC20" s="106"/>
      <c r="AD20" s="106"/>
      <c r="AE20" s="106"/>
      <c r="AF20" s="106"/>
      <c r="AG20" s="106"/>
      <c r="AH20" s="107"/>
    </row>
    <row r="21" spans="1:34" x14ac:dyDescent="0.3">
      <c r="A21" s="77" t="s">
        <v>2</v>
      </c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</row>
    <row r="22" spans="1:34" x14ac:dyDescent="0.3">
      <c r="A22" s="24" t="s">
        <v>39</v>
      </c>
      <c r="B22" s="79" t="s">
        <v>22</v>
      </c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 t="s">
        <v>23</v>
      </c>
      <c r="V22" s="79"/>
      <c r="W22" s="79"/>
      <c r="X22" s="79"/>
      <c r="Y22" s="79"/>
      <c r="Z22" s="79"/>
      <c r="AA22" s="79"/>
      <c r="AB22" s="78" t="s">
        <v>3</v>
      </c>
      <c r="AC22" s="78"/>
      <c r="AD22" s="78"/>
      <c r="AE22" s="78"/>
      <c r="AF22" s="78"/>
      <c r="AG22" s="78"/>
      <c r="AH22" s="78"/>
    </row>
    <row r="23" spans="1:34" ht="29.4" customHeight="1" x14ac:dyDescent="0.3">
      <c r="A23" s="25">
        <v>1</v>
      </c>
      <c r="B23" s="81" t="s">
        <v>40</v>
      </c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3" t="s">
        <v>46</v>
      </c>
      <c r="V23" s="83"/>
      <c r="W23" s="83"/>
      <c r="X23" s="83"/>
      <c r="Y23" s="83"/>
      <c r="Z23" s="83"/>
      <c r="AA23" s="84"/>
      <c r="AB23" s="157">
        <f>Input!C25</f>
        <v>20</v>
      </c>
      <c r="AC23" s="158"/>
      <c r="AD23" s="158"/>
      <c r="AE23" s="158"/>
      <c r="AF23" s="155" t="s">
        <v>68</v>
      </c>
      <c r="AG23" s="155"/>
      <c r="AH23" s="156"/>
    </row>
    <row r="24" spans="1:34" ht="14.4" customHeight="1" x14ac:dyDescent="0.3">
      <c r="A24" s="68">
        <v>2</v>
      </c>
      <c r="B24" s="80" t="s">
        <v>24</v>
      </c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68" t="s">
        <v>25</v>
      </c>
      <c r="V24" s="68"/>
      <c r="W24" s="68"/>
      <c r="X24" s="68"/>
      <c r="Y24" s="68"/>
      <c r="Z24" s="68"/>
      <c r="AA24" s="68"/>
      <c r="AB24" s="82" t="s">
        <v>26</v>
      </c>
      <c r="AC24" s="82"/>
      <c r="AD24" s="82"/>
      <c r="AE24" s="82"/>
      <c r="AF24" s="82"/>
      <c r="AG24" s="82"/>
      <c r="AH24" s="82"/>
    </row>
    <row r="25" spans="1:34" x14ac:dyDescent="0.3">
      <c r="A25" s="68"/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68"/>
      <c r="V25" s="68"/>
      <c r="W25" s="68"/>
      <c r="X25" s="68"/>
      <c r="Y25" s="68"/>
      <c r="Z25" s="68"/>
      <c r="AA25" s="68"/>
      <c r="AB25" s="83"/>
      <c r="AC25" s="83"/>
      <c r="AD25" s="83"/>
      <c r="AE25" s="83"/>
      <c r="AF25" s="83"/>
      <c r="AG25" s="83"/>
      <c r="AH25" s="83"/>
    </row>
    <row r="26" spans="1:34" hidden="1" x14ac:dyDescent="0.3">
      <c r="A26" s="68">
        <v>3</v>
      </c>
      <c r="B26" s="103" t="s">
        <v>50</v>
      </c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83" t="s">
        <v>38</v>
      </c>
      <c r="V26" s="68"/>
      <c r="W26" s="68"/>
      <c r="X26" s="68"/>
      <c r="Y26" s="68"/>
      <c r="Z26" s="68"/>
      <c r="AA26" s="68"/>
      <c r="AB26" s="109" t="s">
        <v>35</v>
      </c>
      <c r="AC26" s="109"/>
      <c r="AD26" s="109"/>
      <c r="AE26" s="109"/>
      <c r="AF26" s="109"/>
      <c r="AG26" s="109"/>
      <c r="AH26" s="109"/>
    </row>
    <row r="27" spans="1:34" hidden="1" x14ac:dyDescent="0.3">
      <c r="A27" s="68"/>
      <c r="B27" s="103"/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  <c r="S27" s="103"/>
      <c r="T27" s="103"/>
      <c r="U27" s="68"/>
      <c r="V27" s="68"/>
      <c r="W27" s="68"/>
      <c r="X27" s="68"/>
      <c r="Y27" s="68"/>
      <c r="Z27" s="68"/>
      <c r="AA27" s="68"/>
      <c r="AB27" s="109"/>
      <c r="AC27" s="109"/>
      <c r="AD27" s="109"/>
      <c r="AE27" s="109"/>
      <c r="AF27" s="109"/>
      <c r="AG27" s="109"/>
      <c r="AH27" s="109"/>
    </row>
    <row r="28" spans="1:34" ht="29.4" customHeight="1" x14ac:dyDescent="0.3">
      <c r="A28" s="25">
        <v>3</v>
      </c>
      <c r="B28" s="164" t="s">
        <v>36</v>
      </c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6"/>
      <c r="U28" s="84" t="s">
        <v>38</v>
      </c>
      <c r="V28" s="162"/>
      <c r="W28" s="162"/>
      <c r="X28" s="162"/>
      <c r="Y28" s="162"/>
      <c r="Z28" s="162"/>
      <c r="AA28" s="163"/>
      <c r="AB28" s="84" t="s">
        <v>26</v>
      </c>
      <c r="AC28" s="110"/>
      <c r="AD28" s="110"/>
      <c r="AE28" s="110"/>
      <c r="AF28" s="110"/>
      <c r="AG28" s="110"/>
      <c r="AH28" s="111"/>
    </row>
    <row r="29" spans="1:34" ht="28.8" customHeight="1" x14ac:dyDescent="0.3">
      <c r="A29" s="25">
        <v>4</v>
      </c>
      <c r="B29" s="103" t="s">
        <v>27</v>
      </c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83" t="s">
        <v>28</v>
      </c>
      <c r="V29" s="83"/>
      <c r="W29" s="83"/>
      <c r="X29" s="83"/>
      <c r="Y29" s="83"/>
      <c r="Z29" s="83"/>
      <c r="AA29" s="83"/>
      <c r="AB29" s="83" t="s">
        <v>26</v>
      </c>
      <c r="AC29" s="83"/>
      <c r="AD29" s="83"/>
      <c r="AE29" s="83"/>
      <c r="AF29" s="83"/>
      <c r="AG29" s="83"/>
      <c r="AH29" s="83"/>
    </row>
    <row r="30" spans="1:34" ht="28.2" hidden="1" customHeight="1" x14ac:dyDescent="0.3">
      <c r="A30" s="25">
        <v>4</v>
      </c>
      <c r="B30" s="81" t="s">
        <v>51</v>
      </c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3" t="s">
        <v>52</v>
      </c>
      <c r="V30" s="83"/>
      <c r="W30" s="83"/>
      <c r="X30" s="83"/>
      <c r="Y30" s="83"/>
      <c r="Z30" s="83"/>
      <c r="AA30" s="83"/>
      <c r="AB30" s="83" t="s">
        <v>47</v>
      </c>
      <c r="AC30" s="83"/>
      <c r="AD30" s="83"/>
      <c r="AE30" s="83"/>
      <c r="AF30" s="83"/>
      <c r="AG30" s="83"/>
      <c r="AH30" s="83"/>
    </row>
    <row r="31" spans="1:34" ht="28.2" customHeight="1" x14ac:dyDescent="0.3">
      <c r="A31" s="25">
        <v>5</v>
      </c>
      <c r="B31" s="159" t="s">
        <v>29</v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1"/>
      <c r="U31" s="84" t="s">
        <v>30</v>
      </c>
      <c r="V31" s="110"/>
      <c r="W31" s="110"/>
      <c r="X31" s="110"/>
      <c r="Y31" s="110"/>
      <c r="Z31" s="110"/>
      <c r="AA31" s="111"/>
      <c r="AB31" s="84" t="s">
        <v>26</v>
      </c>
      <c r="AC31" s="110"/>
      <c r="AD31" s="110"/>
      <c r="AE31" s="110"/>
      <c r="AF31" s="110"/>
      <c r="AG31" s="110"/>
      <c r="AH31" s="111"/>
    </row>
    <row r="32" spans="1:34" ht="30.6" customHeight="1" x14ac:dyDescent="0.3">
      <c r="A32" s="25">
        <v>6</v>
      </c>
      <c r="B32" s="81" t="s">
        <v>31</v>
      </c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3" t="s">
        <v>28</v>
      </c>
      <c r="V32" s="83"/>
      <c r="W32" s="83"/>
      <c r="X32" s="83"/>
      <c r="Y32" s="83"/>
      <c r="Z32" s="83"/>
      <c r="AA32" s="83"/>
      <c r="AB32" s="84" t="s">
        <v>26</v>
      </c>
      <c r="AC32" s="110"/>
      <c r="AD32" s="110"/>
      <c r="AE32" s="110"/>
      <c r="AF32" s="110"/>
      <c r="AG32" s="110"/>
      <c r="AH32" s="111"/>
    </row>
    <row r="33" spans="1:34" x14ac:dyDescent="0.3">
      <c r="A33" s="68">
        <v>7</v>
      </c>
      <c r="B33" s="103" t="s">
        <v>53</v>
      </c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  <c r="S33" s="103"/>
      <c r="T33" s="103"/>
      <c r="U33" s="83" t="s">
        <v>32</v>
      </c>
      <c r="V33" s="83"/>
      <c r="W33" s="83"/>
      <c r="X33" s="83"/>
      <c r="Y33" s="83"/>
      <c r="Z33" s="83"/>
      <c r="AA33" s="83"/>
      <c r="AB33" s="83" t="s">
        <v>26</v>
      </c>
      <c r="AC33" s="83"/>
      <c r="AD33" s="83"/>
      <c r="AE33" s="83"/>
      <c r="AF33" s="83"/>
      <c r="AG33" s="83"/>
      <c r="AH33" s="83"/>
    </row>
    <row r="34" spans="1:34" x14ac:dyDescent="0.3">
      <c r="A34" s="68"/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83"/>
      <c r="V34" s="83"/>
      <c r="W34" s="83"/>
      <c r="X34" s="83"/>
      <c r="Y34" s="83"/>
      <c r="Z34" s="83"/>
      <c r="AA34" s="83"/>
      <c r="AB34" s="83"/>
      <c r="AC34" s="83"/>
      <c r="AD34" s="83"/>
      <c r="AE34" s="83"/>
      <c r="AF34" s="83"/>
      <c r="AG34" s="83"/>
      <c r="AH34" s="83"/>
    </row>
    <row r="35" spans="1:34" x14ac:dyDescent="0.3">
      <c r="A35" s="68">
        <v>8</v>
      </c>
      <c r="B35" s="80" t="s">
        <v>33</v>
      </c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68" t="s">
        <v>54</v>
      </c>
      <c r="V35" s="68"/>
      <c r="W35" s="68"/>
      <c r="X35" s="68"/>
      <c r="Y35" s="68"/>
      <c r="Z35" s="68"/>
      <c r="AA35" s="68"/>
      <c r="AB35" s="83" t="s">
        <v>26</v>
      </c>
      <c r="AC35" s="83"/>
      <c r="AD35" s="83"/>
      <c r="AE35" s="83"/>
      <c r="AF35" s="83"/>
      <c r="AG35" s="83"/>
      <c r="AH35" s="83"/>
    </row>
    <row r="36" spans="1:34" x14ac:dyDescent="0.3">
      <c r="A36" s="68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68"/>
      <c r="V36" s="68"/>
      <c r="W36" s="68"/>
      <c r="X36" s="68"/>
      <c r="Y36" s="68"/>
      <c r="Z36" s="68"/>
      <c r="AA36" s="68"/>
      <c r="AB36" s="83"/>
      <c r="AC36" s="83"/>
      <c r="AD36" s="83"/>
      <c r="AE36" s="83"/>
      <c r="AF36" s="83"/>
      <c r="AG36" s="83"/>
      <c r="AH36" s="83"/>
    </row>
    <row r="37" spans="1:34" x14ac:dyDescent="0.3">
      <c r="A37" s="25">
        <v>9</v>
      </c>
      <c r="B37" s="165" t="s">
        <v>34</v>
      </c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68" t="s">
        <v>48</v>
      </c>
      <c r="V37" s="68"/>
      <c r="W37" s="68"/>
      <c r="X37" s="68"/>
      <c r="Y37" s="68"/>
      <c r="Z37" s="68"/>
      <c r="AA37" s="68"/>
      <c r="AB37" s="68" t="s">
        <v>47</v>
      </c>
      <c r="AC37" s="68"/>
      <c r="AD37" s="68"/>
      <c r="AE37" s="68"/>
      <c r="AF37" s="68"/>
      <c r="AG37" s="68"/>
      <c r="AH37" s="68"/>
    </row>
    <row r="38" spans="1:34" ht="18.600000000000001" customHeight="1" x14ac:dyDescent="0.3">
      <c r="A38" s="68">
        <v>10</v>
      </c>
      <c r="B38" s="80" t="s">
        <v>37</v>
      </c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68" t="s">
        <v>48</v>
      </c>
      <c r="V38" s="68"/>
      <c r="W38" s="68"/>
      <c r="X38" s="68"/>
      <c r="Y38" s="68"/>
      <c r="Z38" s="68"/>
      <c r="AA38" s="68"/>
      <c r="AB38" s="68" t="s">
        <v>49</v>
      </c>
      <c r="AC38" s="68"/>
      <c r="AD38" s="68"/>
      <c r="AE38" s="68"/>
      <c r="AF38" s="68"/>
      <c r="AG38" s="68"/>
      <c r="AH38" s="68"/>
    </row>
    <row r="39" spans="1:34" ht="14.4" customHeight="1" x14ac:dyDescent="0.3">
      <c r="A39" s="68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</row>
    <row r="40" spans="1:34" x14ac:dyDescent="0.3">
      <c r="A40" s="69" t="s">
        <v>55</v>
      </c>
      <c r="B40" s="70"/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1"/>
    </row>
    <row r="41" spans="1:34" ht="14.4" customHeight="1" x14ac:dyDescent="0.3">
      <c r="A41" s="72">
        <v>1</v>
      </c>
      <c r="B41" s="122" t="s">
        <v>64</v>
      </c>
      <c r="C41" s="123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4"/>
      <c r="R41" s="136" t="s">
        <v>60</v>
      </c>
      <c r="S41" s="136"/>
      <c r="T41" s="136"/>
      <c r="U41" s="120">
        <f>R42*K43*1000</f>
        <v>1043599.9999999999</v>
      </c>
      <c r="V41" s="121"/>
      <c r="W41" s="121"/>
      <c r="X41" s="121"/>
      <c r="Y41" s="121"/>
      <c r="Z41" s="121"/>
      <c r="AA41" s="87" t="s">
        <v>59</v>
      </c>
      <c r="AB41" s="87"/>
      <c r="AC41" s="87"/>
      <c r="AD41" s="87"/>
      <c r="AE41" s="87"/>
      <c r="AF41" s="87"/>
      <c r="AG41" s="87"/>
      <c r="AH41" s="88"/>
    </row>
    <row r="42" spans="1:34" ht="14.4" customHeight="1" x14ac:dyDescent="0.3">
      <c r="A42" s="73"/>
      <c r="B42" s="125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9"/>
      <c r="R42" s="90">
        <f>Input!C26</f>
        <v>52.18</v>
      </c>
      <c r="S42" s="90"/>
      <c r="T42" s="90"/>
      <c r="U42" s="117" t="str" cm="1">
        <f t="array" ref="U42">INRInWords(U41)</f>
        <v>Rupees Ten Lakh Forty Three Thousand Six Hundred Only</v>
      </c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9"/>
    </row>
    <row r="43" spans="1:34" ht="14.4" customHeight="1" x14ac:dyDescent="0.3">
      <c r="A43" s="74"/>
      <c r="B43" s="126" t="s">
        <v>62</v>
      </c>
      <c r="C43" s="127"/>
      <c r="D43" s="127"/>
      <c r="E43" s="127"/>
      <c r="F43" s="127"/>
      <c r="G43" s="127"/>
      <c r="H43" s="127"/>
      <c r="I43" s="127"/>
      <c r="J43" s="127"/>
      <c r="K43" s="130">
        <f>AB23</f>
        <v>20</v>
      </c>
      <c r="L43" s="130"/>
      <c r="M43" s="130"/>
      <c r="N43" s="128" t="s">
        <v>63</v>
      </c>
      <c r="O43" s="128"/>
      <c r="P43" s="128"/>
      <c r="Q43" s="129"/>
      <c r="R43" s="89" t="s">
        <v>61</v>
      </c>
      <c r="S43" s="89"/>
      <c r="T43" s="89"/>
      <c r="U43" s="117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9"/>
    </row>
    <row r="44" spans="1:34" ht="16.2" customHeight="1" x14ac:dyDescent="0.3">
      <c r="A44" s="72">
        <v>2</v>
      </c>
      <c r="B44" s="122" t="s">
        <v>65</v>
      </c>
      <c r="C44" s="123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4"/>
      <c r="U44" s="131">
        <f>((U41/2)*B45)+((U41/2)*B46)</f>
        <v>156539.99999999997</v>
      </c>
      <c r="V44" s="121"/>
      <c r="W44" s="121"/>
      <c r="X44" s="121"/>
      <c r="Y44" s="121"/>
      <c r="Z44" s="121"/>
      <c r="AA44" s="87" t="s">
        <v>59</v>
      </c>
      <c r="AB44" s="87"/>
      <c r="AC44" s="87"/>
      <c r="AD44" s="87"/>
      <c r="AE44" s="87"/>
      <c r="AF44" s="87"/>
      <c r="AG44" s="87"/>
      <c r="AH44" s="88"/>
    </row>
    <row r="45" spans="1:34" ht="13.8" customHeight="1" x14ac:dyDescent="0.3">
      <c r="A45" s="73"/>
      <c r="B45" s="132">
        <v>0.12</v>
      </c>
      <c r="C45" s="133"/>
      <c r="D45" s="133"/>
      <c r="E45" s="133"/>
      <c r="F45" s="98" t="s">
        <v>66</v>
      </c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9"/>
      <c r="U45" s="118" t="str" cm="1">
        <f t="array" ref="U45">INRInWords(U44)</f>
        <v>Rupees One Lakh Fifty Six Thousand Five Hundred Forty Only</v>
      </c>
      <c r="V45" s="118"/>
      <c r="W45" s="118"/>
      <c r="X45" s="118"/>
      <c r="Y45" s="118"/>
      <c r="Z45" s="118"/>
      <c r="AA45" s="118"/>
      <c r="AB45" s="118"/>
      <c r="AC45" s="118"/>
      <c r="AD45" s="118"/>
      <c r="AE45" s="118"/>
      <c r="AF45" s="118"/>
      <c r="AG45" s="118"/>
      <c r="AH45" s="119"/>
    </row>
    <row r="46" spans="1:34" ht="13.2" customHeight="1" x14ac:dyDescent="0.3">
      <c r="A46" s="74"/>
      <c r="B46" s="132">
        <v>0.18</v>
      </c>
      <c r="C46" s="133"/>
      <c r="D46" s="133"/>
      <c r="E46" s="133"/>
      <c r="F46" s="98" t="s">
        <v>67</v>
      </c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  <c r="R46" s="98"/>
      <c r="S46" s="98"/>
      <c r="T46" s="99"/>
      <c r="U46" s="118"/>
      <c r="V46" s="118"/>
      <c r="W46" s="118"/>
      <c r="X46" s="118"/>
      <c r="Y46" s="118"/>
      <c r="Z46" s="118"/>
      <c r="AA46" s="118"/>
      <c r="AB46" s="118"/>
      <c r="AC46" s="118"/>
      <c r="AD46" s="118"/>
      <c r="AE46" s="118"/>
      <c r="AF46" s="118"/>
      <c r="AG46" s="118"/>
      <c r="AH46" s="119"/>
    </row>
    <row r="47" spans="1:34" ht="13.2" customHeight="1" x14ac:dyDescent="0.3">
      <c r="A47" s="72">
        <v>3</v>
      </c>
      <c r="B47" s="142" t="s">
        <v>41</v>
      </c>
      <c r="C47" s="143"/>
      <c r="D47" s="143"/>
      <c r="E47" s="143"/>
      <c r="F47" s="143"/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34" t="s">
        <v>60</v>
      </c>
      <c r="S47" s="134"/>
      <c r="T47" s="135"/>
      <c r="U47" s="91">
        <f>U41+U44</f>
        <v>1200139.9999999998</v>
      </c>
      <c r="V47" s="91"/>
      <c r="W47" s="91"/>
      <c r="X47" s="91"/>
      <c r="Y47" s="91"/>
      <c r="Z47" s="91"/>
      <c r="AA47" s="92" t="s">
        <v>59</v>
      </c>
      <c r="AB47" s="92"/>
      <c r="AC47" s="92"/>
      <c r="AD47" s="92"/>
      <c r="AE47" s="92"/>
      <c r="AF47" s="92"/>
      <c r="AG47" s="92"/>
      <c r="AH47" s="93"/>
    </row>
    <row r="48" spans="1:34" ht="12.6" customHeight="1" x14ac:dyDescent="0.3">
      <c r="A48" s="73"/>
      <c r="B48" s="144"/>
      <c r="C48" s="145"/>
      <c r="D48" s="145"/>
      <c r="E48" s="145"/>
      <c r="F48" s="145"/>
      <c r="G48" s="145"/>
      <c r="H48" s="145"/>
      <c r="I48" s="145"/>
      <c r="J48" s="145"/>
      <c r="K48" s="145"/>
      <c r="L48" s="145"/>
      <c r="M48" s="145"/>
      <c r="N48" s="145"/>
      <c r="O48" s="145"/>
      <c r="P48" s="145"/>
      <c r="Q48" s="145"/>
      <c r="R48" s="137">
        <f>U47/(K43*1000)</f>
        <v>60.006999999999991</v>
      </c>
      <c r="S48" s="138"/>
      <c r="T48" s="139"/>
      <c r="U48" s="94" t="str" cm="1">
        <f t="array" ref="U48">INRInWords(U47)</f>
        <v>Rupees Twelve Lakh One Hundred Forty Only</v>
      </c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5"/>
    </row>
    <row r="49" spans="1:34" ht="12.6" customHeight="1" x14ac:dyDescent="0.3">
      <c r="A49" s="74"/>
      <c r="B49" s="146"/>
      <c r="C49" s="147"/>
      <c r="D49" s="147"/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0" t="s">
        <v>61</v>
      </c>
      <c r="S49" s="140"/>
      <c r="T49" s="141"/>
      <c r="U49" s="96"/>
      <c r="V49" s="96"/>
      <c r="W49" s="96"/>
      <c r="X49" s="96"/>
      <c r="Y49" s="96"/>
      <c r="Z49" s="96"/>
      <c r="AA49" s="96"/>
      <c r="AB49" s="96"/>
      <c r="AC49" s="96"/>
      <c r="AD49" s="96"/>
      <c r="AE49" s="96"/>
      <c r="AF49" s="96"/>
      <c r="AG49" s="96"/>
      <c r="AH49" s="97"/>
    </row>
    <row r="50" spans="1:34" x14ac:dyDescent="0.3">
      <c r="A50" s="31" t="s">
        <v>42</v>
      </c>
      <c r="B50" s="67"/>
      <c r="C50" s="67"/>
      <c r="D50" s="67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1"/>
      <c r="V50" s="154" t="s">
        <v>17</v>
      </c>
      <c r="W50" s="154"/>
      <c r="X50" s="154"/>
      <c r="Y50" s="154"/>
      <c r="Z50" s="154"/>
      <c r="AA50" s="154"/>
      <c r="AB50" s="154"/>
      <c r="AC50" s="154"/>
      <c r="AD50" s="154"/>
      <c r="AE50" s="154"/>
      <c r="AF50" s="154"/>
      <c r="AG50" s="154"/>
      <c r="AH50" s="35"/>
    </row>
    <row r="51" spans="1:34" x14ac:dyDescent="0.3">
      <c r="A51" s="9"/>
      <c r="B51" s="67"/>
      <c r="C51" s="67"/>
      <c r="D51" s="67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2"/>
      <c r="V51" s="148" t="str">
        <f>_xlfn.CONCAT(Input!B7," ",Input!C7)</f>
        <v xml:space="preserve">   BANK NAME: BANK OF BARODA</v>
      </c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"/>
    </row>
    <row r="52" spans="1:34" x14ac:dyDescent="0.3">
      <c r="A52" s="9" t="s">
        <v>57</v>
      </c>
      <c r="S52" s="37"/>
      <c r="T52" s="37"/>
      <c r="U52" s="12"/>
      <c r="V52" s="148" t="str">
        <f>_xlfn.CONCAT(Input!B8," ",Input!C8)</f>
        <v xml:space="preserve">   A/C No.  : 54740200000293</v>
      </c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3"/>
    </row>
    <row r="53" spans="1:34" x14ac:dyDescent="0.3">
      <c r="A53" s="9" t="s">
        <v>56</v>
      </c>
      <c r="S53" s="37"/>
      <c r="T53" s="37"/>
      <c r="U53" s="12"/>
      <c r="V53" s="148" t="str">
        <f>_xlfn.CONCAT(Input!B9," ",Input!C9)</f>
        <v xml:space="preserve">   IFSC code : BARB0JALESA</v>
      </c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3"/>
    </row>
    <row r="54" spans="1:34" x14ac:dyDescent="0.3">
      <c r="A54" s="9"/>
      <c r="P54" s="67"/>
      <c r="Q54" s="67"/>
      <c r="S54" s="67"/>
      <c r="T54" s="67"/>
      <c r="U54" s="33"/>
      <c r="V54" s="149" t="str">
        <f>_xlfn.CONCAT(Input!B10," ",Input!C10)</f>
        <v xml:space="preserve">   BRANCH : JALESAR, UTTAR PRADESH</v>
      </c>
      <c r="W54" s="149"/>
      <c r="X54" s="149"/>
      <c r="Y54" s="149"/>
      <c r="Z54" s="149"/>
      <c r="AA54" s="149"/>
      <c r="AB54" s="149"/>
      <c r="AC54" s="149"/>
      <c r="AD54" s="149"/>
      <c r="AE54" s="149"/>
      <c r="AF54" s="149"/>
      <c r="AG54" s="149"/>
      <c r="AH54" s="34"/>
    </row>
    <row r="55" spans="1:34" x14ac:dyDescent="0.3">
      <c r="A55" s="26" t="s">
        <v>4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3"/>
      <c r="M55" s="115" t="str">
        <f>_xlfn.CONCAT("For"," ",Input!C2)</f>
        <v>For FLASYS SMART SOLUTIONS</v>
      </c>
      <c r="N55" s="116"/>
      <c r="O55" s="116"/>
      <c r="P55" s="116"/>
      <c r="Q55" s="116"/>
      <c r="R55" s="116"/>
      <c r="S55" s="116"/>
      <c r="T55" s="116"/>
      <c r="U55" s="113"/>
      <c r="V55" s="113"/>
      <c r="W55" s="113"/>
      <c r="X55" s="114"/>
      <c r="Y55" s="112" t="s">
        <v>18</v>
      </c>
      <c r="Z55" s="113"/>
      <c r="AA55" s="113"/>
      <c r="AB55" s="113"/>
      <c r="AC55" s="113"/>
      <c r="AD55" s="113"/>
      <c r="AE55" s="113"/>
      <c r="AF55" s="113"/>
      <c r="AG55" s="113"/>
      <c r="AH55" s="114"/>
    </row>
    <row r="56" spans="1:34" x14ac:dyDescent="0.3">
      <c r="A56" s="9" t="s">
        <v>5</v>
      </c>
      <c r="L56" s="5"/>
      <c r="X56" s="5"/>
      <c r="Y56" s="4"/>
      <c r="AH56" s="5"/>
    </row>
    <row r="57" spans="1:34" x14ac:dyDescent="0.3">
      <c r="A57" s="9" t="s">
        <v>69</v>
      </c>
      <c r="L57" s="5"/>
      <c r="X57" s="5"/>
      <c r="Y57" s="4"/>
      <c r="AH57" s="5"/>
    </row>
    <row r="58" spans="1:34" x14ac:dyDescent="0.3">
      <c r="A58" s="6"/>
      <c r="B58" s="7"/>
      <c r="C58" s="7"/>
      <c r="D58" s="7"/>
      <c r="E58" s="7"/>
      <c r="F58" s="7"/>
      <c r="G58" s="7"/>
      <c r="H58" s="7"/>
      <c r="I58" s="7"/>
      <c r="J58" s="7"/>
      <c r="K58" s="7"/>
      <c r="L58" s="1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15"/>
      <c r="Y58" s="6"/>
      <c r="Z58" s="7"/>
      <c r="AA58" s="7"/>
      <c r="AB58" s="7"/>
      <c r="AC58" s="7"/>
      <c r="AD58" s="7"/>
      <c r="AE58" s="7"/>
      <c r="AF58" s="7"/>
      <c r="AG58" s="7"/>
      <c r="AH58" s="15"/>
    </row>
    <row r="83" spans="1:34" x14ac:dyDescent="0.3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Q83">
        <v>1</v>
      </c>
      <c r="R83">
        <v>1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>
        <v>1</v>
      </c>
      <c r="AH83">
        <v>1</v>
      </c>
    </row>
  </sheetData>
  <mergeCells count="103">
    <mergeCell ref="V53:AG53"/>
    <mergeCell ref="V54:AG54"/>
    <mergeCell ref="A12:Q12"/>
    <mergeCell ref="R12:AH12"/>
    <mergeCell ref="A13:Q15"/>
    <mergeCell ref="R13:AH15"/>
    <mergeCell ref="V50:AG50"/>
    <mergeCell ref="AF23:AH23"/>
    <mergeCell ref="AB23:AE23"/>
    <mergeCell ref="B31:T31"/>
    <mergeCell ref="U31:AA31"/>
    <mergeCell ref="AB31:AH31"/>
    <mergeCell ref="U28:AA28"/>
    <mergeCell ref="AB28:AH28"/>
    <mergeCell ref="B28:T28"/>
    <mergeCell ref="A26:A27"/>
    <mergeCell ref="A33:A34"/>
    <mergeCell ref="A35:A36"/>
    <mergeCell ref="A38:A39"/>
    <mergeCell ref="B22:T22"/>
    <mergeCell ref="B37:T37"/>
    <mergeCell ref="B38:T39"/>
    <mergeCell ref="Y55:AH55"/>
    <mergeCell ref="M55:X55"/>
    <mergeCell ref="U42:AH43"/>
    <mergeCell ref="U41:Z41"/>
    <mergeCell ref="A41:A43"/>
    <mergeCell ref="B41:Q42"/>
    <mergeCell ref="B43:J43"/>
    <mergeCell ref="N43:Q43"/>
    <mergeCell ref="K43:M43"/>
    <mergeCell ref="U44:Z44"/>
    <mergeCell ref="AA44:AH44"/>
    <mergeCell ref="U45:AH46"/>
    <mergeCell ref="A44:A46"/>
    <mergeCell ref="B44:T44"/>
    <mergeCell ref="B45:E45"/>
    <mergeCell ref="R47:T47"/>
    <mergeCell ref="R41:T41"/>
    <mergeCell ref="B46:E46"/>
    <mergeCell ref="F46:T46"/>
    <mergeCell ref="R48:T48"/>
    <mergeCell ref="R49:T49"/>
    <mergeCell ref="B47:Q49"/>
    <mergeCell ref="V51:AG51"/>
    <mergeCell ref="V52:AG52"/>
    <mergeCell ref="AB26:AH27"/>
    <mergeCell ref="AB29:AH29"/>
    <mergeCell ref="B26:T27"/>
    <mergeCell ref="U32:AA32"/>
    <mergeCell ref="B32:T32"/>
    <mergeCell ref="AB32:AH32"/>
    <mergeCell ref="AB30:AH30"/>
    <mergeCell ref="U30:AA30"/>
    <mergeCell ref="B30:T30"/>
    <mergeCell ref="U35:AA36"/>
    <mergeCell ref="AB35:AH36"/>
    <mergeCell ref="U33:AA34"/>
    <mergeCell ref="AB33:AH34"/>
    <mergeCell ref="A6:AH7"/>
    <mergeCell ref="B33:T34"/>
    <mergeCell ref="B35:T36"/>
    <mergeCell ref="G8:Q8"/>
    <mergeCell ref="G9:Q9"/>
    <mergeCell ref="G10:Q10"/>
    <mergeCell ref="G16:Q16"/>
    <mergeCell ref="G17:Q17"/>
    <mergeCell ref="G18:Q18"/>
    <mergeCell ref="G19:Q19"/>
    <mergeCell ref="G20:Q20"/>
    <mergeCell ref="X9:AH9"/>
    <mergeCell ref="X16:AH16"/>
    <mergeCell ref="X17:AH17"/>
    <mergeCell ref="X18:AH18"/>
    <mergeCell ref="X19:AH19"/>
    <mergeCell ref="X20:AH20"/>
    <mergeCell ref="U29:AA29"/>
    <mergeCell ref="B29:T29"/>
    <mergeCell ref="U26:AA27"/>
    <mergeCell ref="AB37:AH37"/>
    <mergeCell ref="U38:AA39"/>
    <mergeCell ref="AB38:AH39"/>
    <mergeCell ref="U37:AA37"/>
    <mergeCell ref="A40:AH40"/>
    <mergeCell ref="A47:A49"/>
    <mergeCell ref="X8:AH8"/>
    <mergeCell ref="A21:AH21"/>
    <mergeCell ref="AB22:AH22"/>
    <mergeCell ref="U22:AA22"/>
    <mergeCell ref="B24:T25"/>
    <mergeCell ref="B23:T23"/>
    <mergeCell ref="U24:AA25"/>
    <mergeCell ref="AB24:AH25"/>
    <mergeCell ref="U23:AA23"/>
    <mergeCell ref="A24:A25"/>
    <mergeCell ref="X10:AH10"/>
    <mergeCell ref="AA41:AH41"/>
    <mergeCell ref="R43:T43"/>
    <mergeCell ref="R42:T42"/>
    <mergeCell ref="U47:Z47"/>
    <mergeCell ref="AA47:AH47"/>
    <mergeCell ref="U48:AH49"/>
    <mergeCell ref="F45:T45"/>
  </mergeCells>
  <pageMargins left="0.43307086614173229" right="0.23622047244094491" top="0.74803149606299213" bottom="0.74803149606299213" header="0.31496062992125984" footer="0.31496062992125984"/>
  <pageSetup paperSize="9" scale="83" fitToWidth="0" orientation="portrait" r:id="rId1"/>
  <rowBreaks count="4" manualBreakCount="4">
    <brk id="58" max="50" man="1"/>
    <brk id="65" max="50" man="1"/>
    <brk id="69" max="50" man="1"/>
    <brk id="75" max="50" man="1"/>
  </rowBreaks>
  <colBreaks count="3" manualBreakCount="3">
    <brk id="34" max="79" man="1"/>
    <brk id="39" max="79" man="1"/>
    <brk id="48" max="79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B4065-48CB-4592-B38A-F25715261099}">
  <sheetPr codeName="Sheet2">
    <tabColor rgb="FFFFFF00"/>
  </sheetPr>
  <dimension ref="B2:E29"/>
  <sheetViews>
    <sheetView workbookViewId="0">
      <selection activeCell="C26" sqref="C26"/>
    </sheetView>
  </sheetViews>
  <sheetFormatPr defaultRowHeight="14.4" x14ac:dyDescent="0.3"/>
  <cols>
    <col min="2" max="2" width="23.6640625" bestFit="1" customWidth="1"/>
    <col min="3" max="3" width="69.88671875" bestFit="1" customWidth="1"/>
  </cols>
  <sheetData>
    <row r="2" spans="2:5" x14ac:dyDescent="0.3">
      <c r="B2" s="52" t="s">
        <v>77</v>
      </c>
      <c r="C2" s="41" t="s">
        <v>43</v>
      </c>
    </row>
    <row r="3" spans="2:5" x14ac:dyDescent="0.3">
      <c r="B3" s="53" t="s">
        <v>83</v>
      </c>
      <c r="C3" s="42" t="s">
        <v>44</v>
      </c>
    </row>
    <row r="4" spans="2:5" x14ac:dyDescent="0.3">
      <c r="B4" s="53" t="s">
        <v>78</v>
      </c>
      <c r="C4" s="42" t="s">
        <v>45</v>
      </c>
    </row>
    <row r="5" spans="2:5" x14ac:dyDescent="0.3">
      <c r="B5" s="54" t="s">
        <v>79</v>
      </c>
      <c r="C5" s="42" t="s">
        <v>81</v>
      </c>
    </row>
    <row r="6" spans="2:5" x14ac:dyDescent="0.3">
      <c r="B6" s="54" t="s">
        <v>80</v>
      </c>
      <c r="C6" s="42" t="s">
        <v>58</v>
      </c>
    </row>
    <row r="7" spans="2:5" x14ac:dyDescent="0.3">
      <c r="B7" s="55" t="s">
        <v>89</v>
      </c>
      <c r="C7" s="43" t="s">
        <v>86</v>
      </c>
    </row>
    <row r="8" spans="2:5" x14ac:dyDescent="0.3">
      <c r="B8" s="56" t="s">
        <v>90</v>
      </c>
      <c r="C8" s="44">
        <v>54740200000293</v>
      </c>
    </row>
    <row r="9" spans="2:5" x14ac:dyDescent="0.3">
      <c r="B9" s="56" t="s">
        <v>91</v>
      </c>
      <c r="C9" s="45" t="s">
        <v>87</v>
      </c>
    </row>
    <row r="10" spans="2:5" x14ac:dyDescent="0.3">
      <c r="B10" s="57" t="s">
        <v>92</v>
      </c>
      <c r="C10" s="46" t="s">
        <v>88</v>
      </c>
    </row>
    <row r="11" spans="2:5" x14ac:dyDescent="0.3">
      <c r="B11" s="52" t="s">
        <v>20</v>
      </c>
      <c r="C11" s="43">
        <v>12345</v>
      </c>
    </row>
    <row r="12" spans="2:5" x14ac:dyDescent="0.3">
      <c r="B12" s="54" t="s">
        <v>21</v>
      </c>
      <c r="C12" s="47">
        <v>45351</v>
      </c>
    </row>
    <row r="13" spans="2:5" x14ac:dyDescent="0.3">
      <c r="B13" s="54" t="s">
        <v>7</v>
      </c>
      <c r="C13" s="45" t="s">
        <v>6</v>
      </c>
    </row>
    <row r="14" spans="2:5" x14ac:dyDescent="0.3">
      <c r="B14" s="54" t="s">
        <v>9</v>
      </c>
      <c r="C14" s="45" t="s">
        <v>85</v>
      </c>
    </row>
    <row r="15" spans="2:5" x14ac:dyDescent="0.3">
      <c r="B15" s="54" t="s">
        <v>10</v>
      </c>
      <c r="C15" s="45" t="s">
        <v>85</v>
      </c>
      <c r="D15" s="30"/>
      <c r="E15" s="30"/>
    </row>
    <row r="16" spans="2:5" x14ac:dyDescent="0.3">
      <c r="B16" s="58" t="s">
        <v>11</v>
      </c>
      <c r="C16" s="46">
        <v>204101</v>
      </c>
      <c r="D16" s="30"/>
      <c r="E16" s="30"/>
    </row>
    <row r="17" spans="2:5" x14ac:dyDescent="0.3">
      <c r="D17" s="30"/>
      <c r="E17" s="30"/>
    </row>
    <row r="18" spans="2:5" x14ac:dyDescent="0.3">
      <c r="B18" s="59" t="s">
        <v>71</v>
      </c>
      <c r="C18" s="48" t="s">
        <v>72</v>
      </c>
      <c r="D18" s="30"/>
      <c r="E18" s="30"/>
    </row>
    <row r="19" spans="2:5" x14ac:dyDescent="0.3">
      <c r="B19" s="60" t="s">
        <v>70</v>
      </c>
      <c r="C19" s="49" t="s">
        <v>73</v>
      </c>
      <c r="D19" s="30"/>
      <c r="E19" s="30"/>
    </row>
    <row r="20" spans="2:5" x14ac:dyDescent="0.3">
      <c r="B20" s="61" t="s">
        <v>12</v>
      </c>
      <c r="C20" s="49" t="s">
        <v>74</v>
      </c>
      <c r="D20" s="30"/>
      <c r="E20" s="30"/>
    </row>
    <row r="21" spans="2:5" x14ac:dyDescent="0.3">
      <c r="B21" s="61" t="s">
        <v>13</v>
      </c>
      <c r="C21" s="49">
        <v>1234567891</v>
      </c>
    </row>
    <row r="22" spans="2:5" x14ac:dyDescent="0.3">
      <c r="B22" s="61" t="s">
        <v>14</v>
      </c>
      <c r="C22" s="50">
        <v>124523567895</v>
      </c>
    </row>
    <row r="23" spans="2:5" x14ac:dyDescent="0.3">
      <c r="B23" s="61" t="s">
        <v>15</v>
      </c>
      <c r="C23" s="49" t="s">
        <v>75</v>
      </c>
    </row>
    <row r="24" spans="2:5" x14ac:dyDescent="0.3">
      <c r="B24" s="62" t="s">
        <v>16</v>
      </c>
      <c r="C24" s="51" t="s">
        <v>76</v>
      </c>
    </row>
    <row r="25" spans="2:5" x14ac:dyDescent="0.3">
      <c r="B25" s="63" t="s">
        <v>82</v>
      </c>
      <c r="C25" s="39">
        <v>20</v>
      </c>
    </row>
    <row r="26" spans="2:5" x14ac:dyDescent="0.3">
      <c r="B26" s="64" t="s">
        <v>84</v>
      </c>
      <c r="C26" s="40">
        <v>52.18</v>
      </c>
    </row>
    <row r="27" spans="2:5" x14ac:dyDescent="0.3">
      <c r="C27" s="36"/>
    </row>
    <row r="28" spans="2:5" x14ac:dyDescent="0.3">
      <c r="C28" s="36"/>
    </row>
    <row r="29" spans="2:5" x14ac:dyDescent="0.3">
      <c r="C29" s="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Quotation</vt:lpstr>
      <vt:lpstr>Input</vt:lpstr>
      <vt:lpstr>Quotation!Print_Area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ANKESH</dc:creator>
  <cp:lastModifiedBy>Ankesh Mishra</cp:lastModifiedBy>
  <cp:lastPrinted>2025-05-31T07:38:03Z</cp:lastPrinted>
  <dcterms:created xsi:type="dcterms:W3CDTF">2021-04-21T02:23:20Z</dcterms:created>
  <dcterms:modified xsi:type="dcterms:W3CDTF">2025-06-04T08:08:28Z</dcterms:modified>
</cp:coreProperties>
</file>