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from chat GPT\Other\"/>
    </mc:Choice>
  </mc:AlternateContent>
  <xr:revisionPtr revIDLastSave="0" documentId="13_ncr:1_{16989F2C-C1A5-4AB3-A5BB-17A1E5947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" sheetId="1" r:id="rId1"/>
    <sheet name="Sheet1" sheetId="2" r:id="rId2"/>
  </sheets>
  <definedNames>
    <definedName name="_xlnm.Print_Area" localSheetId="0">BOQ!$A$1:$M$98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8" i="1" l="1"/>
  <c r="F61" i="1"/>
  <c r="F49" i="1"/>
  <c r="F19" i="1"/>
  <c r="F14" i="1"/>
  <c r="F13" i="1"/>
  <c r="F16" i="1"/>
  <c r="F5" i="1"/>
  <c r="F9" i="1"/>
  <c r="F7" i="1"/>
  <c r="F34" i="1"/>
  <c r="F35" i="1"/>
  <c r="F36" i="1"/>
  <c r="F37" i="1"/>
  <c r="F38" i="1"/>
  <c r="F47" i="1"/>
  <c r="F46" i="1"/>
  <c r="F45" i="1"/>
  <c r="F44" i="1"/>
  <c r="F43" i="1"/>
  <c r="F42" i="1"/>
  <c r="F41" i="1"/>
  <c r="F40" i="1"/>
  <c r="F33" i="1"/>
  <c r="F53" i="1" s="1"/>
  <c r="F56" i="1" s="1"/>
  <c r="F58" i="1" s="1"/>
  <c r="F32" i="1"/>
  <c r="F28" i="1"/>
  <c r="F27" i="1"/>
  <c r="F26" i="1"/>
  <c r="F25" i="1"/>
  <c r="F24" i="1"/>
  <c r="F22" i="1"/>
  <c r="F21" i="1"/>
  <c r="F17" i="1"/>
  <c r="F29" i="1"/>
  <c r="F11" i="1"/>
  <c r="F30" i="1"/>
  <c r="C13" i="2"/>
  <c r="B13" i="2"/>
</calcChain>
</file>

<file path=xl/sharedStrings.xml><?xml version="1.0" encoding="utf-8"?>
<sst xmlns="http://schemas.openxmlformats.org/spreadsheetml/2006/main" count="174" uniqueCount="113">
  <si>
    <t>Item No</t>
  </si>
  <si>
    <t>Description of Items</t>
  </si>
  <si>
    <t>UOM</t>
  </si>
  <si>
    <t>Specification</t>
  </si>
  <si>
    <t xml:space="preserve">PV Solar Module </t>
  </si>
  <si>
    <t>Nos</t>
  </si>
  <si>
    <t>Cables</t>
  </si>
  <si>
    <t xml:space="preserve">Copper Green Cable 6 sq. mm </t>
  </si>
  <si>
    <t xml:space="preserve">TUV Approved </t>
  </si>
  <si>
    <t>Inverter Stand with 3mm fibre sheet thickness</t>
  </si>
  <si>
    <t>GI angle with black paint</t>
  </si>
  <si>
    <t>Solar String Inverter</t>
  </si>
  <si>
    <t xml:space="preserve">Array Combiner Box </t>
  </si>
  <si>
    <t>Earthing System</t>
  </si>
  <si>
    <t>MC4 Connectors Male-Female Pair</t>
  </si>
  <si>
    <t>Cable Tie</t>
  </si>
  <si>
    <t>Inverter to ACCB</t>
  </si>
  <si>
    <t>EARTHING CABLE</t>
  </si>
  <si>
    <t>3 Phase, 400 V AC String Inverter</t>
  </si>
  <si>
    <t>Miscellaneous</t>
  </si>
  <si>
    <t>Meter</t>
  </si>
  <si>
    <t>As per IS:3043-1987</t>
  </si>
  <si>
    <t>HDPE Pipe Elbow and T</t>
  </si>
  <si>
    <t>325 Wp, Polycrystaline (72 Cells)</t>
  </si>
  <si>
    <t>Module Mounting Structure</t>
  </si>
  <si>
    <t>HDPE Pipe/DWC</t>
  </si>
  <si>
    <t>Earthing Board</t>
  </si>
  <si>
    <t>Danger Board</t>
  </si>
  <si>
    <t>Cable Tag for Ac cable</t>
  </si>
  <si>
    <t>Numbering Ferrules</t>
  </si>
  <si>
    <t>Communication Cable</t>
  </si>
  <si>
    <t>Mounting Structure</t>
  </si>
  <si>
    <t>AC Cable for Data Logger</t>
  </si>
  <si>
    <t>Nos.</t>
  </si>
  <si>
    <t>ACCB</t>
  </si>
  <si>
    <t>Module Cleaning arrangement</t>
  </si>
  <si>
    <t>Motor Pump set</t>
  </si>
  <si>
    <t>Pipe</t>
  </si>
  <si>
    <t>UPVC/ GI</t>
  </si>
  <si>
    <t>Coupler</t>
  </si>
  <si>
    <t>Elbow</t>
  </si>
  <si>
    <t>Tee</t>
  </si>
  <si>
    <t>Water Taps/ Nozzels</t>
  </si>
  <si>
    <t>UV protected</t>
  </si>
  <si>
    <t>Civil</t>
  </si>
  <si>
    <t>GI B CLASS REPUTED MAKE</t>
  </si>
  <si>
    <t>Pkt.</t>
  </si>
  <si>
    <t>UV protected hdpe pipe</t>
  </si>
  <si>
    <t xml:space="preserve">Copper Green Cable 4 sq. mm </t>
  </si>
  <si>
    <t>According to IS:3043 Standard, 600 mm x 600 mm</t>
  </si>
  <si>
    <t>Earthing Pit and Electrode with hardware</t>
  </si>
  <si>
    <t>Modules to Inverter ( Red &amp; Black)</t>
  </si>
  <si>
    <t>1C Solar DC Cable</t>
  </si>
  <si>
    <t>CAPACITY:</t>
  </si>
  <si>
    <t>1 Set</t>
  </si>
  <si>
    <t>As per IE Act./ IE Rules</t>
  </si>
  <si>
    <t>50kVA, String Inverter</t>
  </si>
  <si>
    <t xml:space="preserve">                                     PROJECT:</t>
  </si>
  <si>
    <t>Lightening Arrester</t>
  </si>
  <si>
    <t>3.5C*35 sqmm Cu. Armound, XLPE Cable</t>
  </si>
  <si>
    <t>ACCB to Main ACCB</t>
  </si>
  <si>
    <t>12.10.</t>
  </si>
  <si>
    <t>SunSniffer Sensor</t>
  </si>
  <si>
    <t>SunSniffer String Reader</t>
  </si>
  <si>
    <t>SunSniffer Gateway</t>
  </si>
  <si>
    <t>Total:</t>
  </si>
  <si>
    <t>SunSniffer sensor and gateway numbers of 
50kW (153 Modules)</t>
  </si>
  <si>
    <t>String Number</t>
  </si>
  <si>
    <t>String 1</t>
  </si>
  <si>
    <t>String 2</t>
  </si>
  <si>
    <t>String 3</t>
  </si>
  <si>
    <t>String 4</t>
  </si>
  <si>
    <t>String 5</t>
  </si>
  <si>
    <t>String 6</t>
  </si>
  <si>
    <t>String 7</t>
  </si>
  <si>
    <t>String 8</t>
  </si>
  <si>
    <t>String 9</t>
  </si>
  <si>
    <t>Flexible Pipe</t>
  </si>
  <si>
    <t>each of 20-30 meter length</t>
  </si>
  <si>
    <t>Set</t>
  </si>
  <si>
    <t>as standard</t>
  </si>
  <si>
    <t>PVC type</t>
  </si>
  <si>
    <t>price/number</t>
  </si>
  <si>
    <t>rupees/watt</t>
  </si>
  <si>
    <t>rupees/meter</t>
  </si>
  <si>
    <t>Total Price (Rupees)</t>
  </si>
  <si>
    <t>rupees/Nos</t>
  </si>
  <si>
    <t>9-in 9-out</t>
  </si>
  <si>
    <t>rupees/piece</t>
  </si>
  <si>
    <t>with Radius of protection of 65 Meters (ESE)</t>
  </si>
  <si>
    <t>rupees/nos</t>
  </si>
  <si>
    <t>rupees/packet</t>
  </si>
  <si>
    <t>RS-485 (shielded)</t>
  </si>
  <si>
    <t>I &amp; C</t>
  </si>
  <si>
    <t>100 kWp</t>
  </si>
  <si>
    <t>Data Logger/Monitoring</t>
  </si>
  <si>
    <t>SunSniffer</t>
  </si>
  <si>
    <t>with module sensor, string reader and gateway</t>
  </si>
  <si>
    <t>Lot</t>
  </si>
  <si>
    <r>
      <t>Made up of Poly Carbonate Enclosures have IP - 66, Fuse- 15A</t>
    </r>
    <r>
      <rPr>
        <sz val="11"/>
        <color theme="1"/>
        <rFont val="Calibri"/>
        <family val="2"/>
        <scheme val="minor"/>
      </rPr>
      <t xml:space="preserve">, Class Type-II </t>
    </r>
    <r>
      <rPr>
        <b/>
        <sz val="11"/>
        <color theme="1"/>
        <rFont val="Calibri"/>
        <family val="2"/>
        <scheme val="minor"/>
      </rPr>
      <t>DC SPD</t>
    </r>
  </si>
  <si>
    <r>
      <t xml:space="preserve">100 kW, CRCA metal Sheet (1.6mm thick) with powder coated, Double compression Gland, Cu busbar, </t>
    </r>
    <r>
      <rPr>
        <sz val="11"/>
        <color theme="1"/>
        <rFont val="Calibri"/>
        <family val="2"/>
        <scheme val="minor"/>
      </rPr>
      <t xml:space="preserve"> Type-II AC </t>
    </r>
    <r>
      <rPr>
        <b/>
        <sz val="11"/>
        <color theme="1"/>
        <rFont val="Calibri"/>
        <family val="2"/>
        <scheme val="minor"/>
      </rPr>
      <t>SPD</t>
    </r>
    <r>
      <rPr>
        <sz val="11"/>
        <color theme="1"/>
        <rFont val="Calibri"/>
        <family val="2"/>
        <scheme val="minor"/>
      </rPr>
      <t xml:space="preserve">, RYB LED Indicators, </t>
    </r>
    <r>
      <rPr>
        <b/>
        <sz val="11"/>
        <color theme="1"/>
        <rFont val="Calibri"/>
        <family val="2"/>
        <scheme val="minor"/>
      </rPr>
      <t>0.5S Class MFM</t>
    </r>
    <r>
      <rPr>
        <sz val="11"/>
        <color theme="1"/>
        <rFont val="Calibri"/>
        <family val="2"/>
        <scheme val="minor"/>
      </rPr>
      <t xml:space="preserve"> with CT's, IP-65 Outdoor Type Stand mounted</t>
    </r>
  </si>
  <si>
    <t>2-IN 1-OUT
100A/100A (MCCB) Incoming and 200A (MCCB) Outgoing</t>
  </si>
  <si>
    <t>GI/Aluminium tin shed structure</t>
  </si>
  <si>
    <t>Lightening Arrester with mounting pole</t>
  </si>
  <si>
    <t>Metering Box</t>
  </si>
  <si>
    <t>as per discom</t>
  </si>
  <si>
    <t>3.5C*70 sq .mm Al. Armound, XLPE Cable</t>
  </si>
  <si>
    <t>1.5 mm sq. Reputed make</t>
  </si>
  <si>
    <t>1 HP</t>
  </si>
  <si>
    <t>Netmetering fee other charges</t>
  </si>
  <si>
    <t>Earthing strip 25x3</t>
  </si>
  <si>
    <r>
      <t xml:space="preserve">BILL OF MATERIAL
</t>
    </r>
    <r>
      <rPr>
        <b/>
        <sz val="12"/>
        <color rgb="FF0070C0"/>
        <rFont val="Calibri"/>
        <family val="2"/>
        <scheme val="minor"/>
      </rPr>
      <t>Flasys Design</t>
    </r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</si>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</sst>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"/>
  <sheetViews>
    <sheetView tabSelected="1" zoomScaleSheetLayoutView="100" workbookViewId="0">
      <selection activeCell="F11" sqref="F11"/>
    </sheetView>
  </sheetViews>
  <sheetFormatPr defaultRowHeight="14.4" x14ac:dyDescent="0.3"/>
  <cols>
    <col min="1" max="1" width="8.5546875" customWidth="1"/>
    <col min="2" max="2" width="34.88671875" style="8" customWidth="1"/>
    <col min="3" max="3" width="43.33203125" customWidth="1"/>
    <col min="4" max="4" width="12.44140625" style="22" customWidth="1"/>
    <col min="5" max="5" width="10.6640625" style="22" customWidth="1"/>
    <col min="6" max="6" width="30" style="22" customWidth="1"/>
    <col min="7" max="7" width="14.5546875" bestFit="1" customWidth="1"/>
    <col min="8" max="8" width="13.5546875" bestFit="1" customWidth="1"/>
  </cols>
  <sheetData>
    <row r="1" spans="1:8" ht="19.5" customHeight="1" x14ac:dyDescent="0.3">
      <c r="A1" s="40" t="s">
        <v>111</v>
      </c>
      <c r="B1" s="41"/>
      <c r="C1" s="41"/>
      <c r="D1" s="41"/>
      <c r="E1" s="41"/>
      <c r="F1" s="41"/>
    </row>
    <row r="2" spans="1:8" ht="19.5" customHeight="1" x14ac:dyDescent="0.3">
      <c r="A2" s="40"/>
      <c r="B2" s="41"/>
      <c r="C2" s="41"/>
      <c r="D2" s="41"/>
      <c r="E2" s="41"/>
      <c r="F2" s="41"/>
    </row>
    <row r="3" spans="1:8" ht="15.6" x14ac:dyDescent="0.3">
      <c r="A3" s="36" t="s">
        <v>57</v>
      </c>
      <c r="B3" s="37"/>
      <c r="C3" s="15" t="s">
        <v>112</v>
      </c>
      <c r="D3" s="23" t="s">
        <v>53</v>
      </c>
      <c r="E3" s="17" t="s">
        <v>94</v>
      </c>
      <c r="F3" s="17" t="s">
        <v>85</v>
      </c>
      <c r="G3" s="25" t="s">
        <v>82</v>
      </c>
    </row>
    <row r="4" spans="1:8" x14ac:dyDescent="0.3">
      <c r="A4" s="13" t="s">
        <v>0</v>
      </c>
      <c r="B4" s="14" t="s">
        <v>1</v>
      </c>
      <c r="C4" s="13" t="s">
        <v>3</v>
      </c>
      <c r="D4" s="13" t="s">
        <v>2</v>
      </c>
      <c r="E4" s="13"/>
      <c r="F4" s="13"/>
    </row>
    <row r="5" spans="1:8" x14ac:dyDescent="0.3">
      <c r="A5" s="11">
        <v>1</v>
      </c>
      <c r="B5" s="3" t="s">
        <v>4</v>
      </c>
      <c r="C5" s="3" t="s">
        <v>23</v>
      </c>
      <c r="D5" s="11" t="s">
        <v>5</v>
      </c>
      <c r="E5" s="11">
        <v>308</v>
      </c>
      <c r="F5" s="29">
        <f>100000*G5</f>
        <v>1900000</v>
      </c>
      <c r="G5" s="25">
        <v>19</v>
      </c>
      <c r="H5" s="30" t="s">
        <v>83</v>
      </c>
    </row>
    <row r="6" spans="1:8" x14ac:dyDescent="0.3">
      <c r="A6" s="9">
        <v>2</v>
      </c>
      <c r="B6" s="2" t="s">
        <v>11</v>
      </c>
      <c r="C6" s="5"/>
      <c r="D6" s="9"/>
      <c r="E6" s="9"/>
      <c r="F6" s="9"/>
      <c r="G6" s="22"/>
    </row>
    <row r="7" spans="1:8" x14ac:dyDescent="0.3">
      <c r="A7" s="11">
        <v>2.2000000000000002</v>
      </c>
      <c r="B7" s="3" t="s">
        <v>56</v>
      </c>
      <c r="C7" s="6" t="s">
        <v>18</v>
      </c>
      <c r="D7" s="12" t="s">
        <v>5</v>
      </c>
      <c r="E7" s="11">
        <v>2</v>
      </c>
      <c r="F7" s="29">
        <f>100000*G7</f>
        <v>450000</v>
      </c>
      <c r="G7" s="25">
        <v>4.5</v>
      </c>
      <c r="H7" s="30" t="s">
        <v>83</v>
      </c>
    </row>
    <row r="8" spans="1:8" x14ac:dyDescent="0.3">
      <c r="A8" s="9">
        <v>3</v>
      </c>
      <c r="B8" s="4" t="s">
        <v>95</v>
      </c>
      <c r="C8" s="5"/>
      <c r="D8" s="9"/>
      <c r="E8" s="16"/>
      <c r="F8" s="16"/>
      <c r="G8" s="22"/>
    </row>
    <row r="9" spans="1:8" x14ac:dyDescent="0.3">
      <c r="A9" s="11">
        <v>3.1</v>
      </c>
      <c r="B9" s="1" t="s">
        <v>96</v>
      </c>
      <c r="C9" s="1" t="s">
        <v>97</v>
      </c>
      <c r="D9" s="11" t="s">
        <v>98</v>
      </c>
      <c r="E9" s="10">
        <v>1</v>
      </c>
      <c r="F9" s="31">
        <f>100000*G9</f>
        <v>200000</v>
      </c>
      <c r="G9" s="25">
        <v>2</v>
      </c>
      <c r="H9" s="25" t="s">
        <v>83</v>
      </c>
    </row>
    <row r="10" spans="1:8" x14ac:dyDescent="0.3">
      <c r="A10" s="9">
        <v>4</v>
      </c>
      <c r="B10" s="4" t="s">
        <v>12</v>
      </c>
      <c r="C10" s="5"/>
      <c r="D10" s="9"/>
      <c r="E10" s="16"/>
      <c r="F10" s="16"/>
      <c r="G10" s="22"/>
    </row>
    <row r="11" spans="1:8" ht="28.8" x14ac:dyDescent="0.3">
      <c r="A11" s="11">
        <v>4.0999999999999996</v>
      </c>
      <c r="B11" s="1" t="s">
        <v>87</v>
      </c>
      <c r="C11" s="1" t="s">
        <v>99</v>
      </c>
      <c r="D11" s="11" t="s">
        <v>5</v>
      </c>
      <c r="E11" s="10">
        <v>2</v>
      </c>
      <c r="F11" s="31">
        <f>E11*G11</f>
        <v>30000</v>
      </c>
      <c r="G11" s="25">
        <v>15000</v>
      </c>
      <c r="H11" s="30" t="s">
        <v>86</v>
      </c>
    </row>
    <row r="12" spans="1:8" x14ac:dyDescent="0.3">
      <c r="A12" s="9">
        <v>5</v>
      </c>
      <c r="B12" s="2" t="s">
        <v>34</v>
      </c>
      <c r="C12" s="5"/>
      <c r="D12" s="9"/>
      <c r="E12" s="9"/>
      <c r="F12" s="9"/>
      <c r="G12" s="22"/>
    </row>
    <row r="13" spans="1:8" ht="72" x14ac:dyDescent="0.3">
      <c r="A13" s="11">
        <v>5.0999999999999996</v>
      </c>
      <c r="B13" s="1" t="s">
        <v>101</v>
      </c>
      <c r="C13" s="1" t="s">
        <v>100</v>
      </c>
      <c r="D13" s="11" t="s">
        <v>5</v>
      </c>
      <c r="E13" s="11">
        <v>1</v>
      </c>
      <c r="F13" s="31">
        <f>E13*G13</f>
        <v>50000</v>
      </c>
      <c r="G13" s="25">
        <v>50000</v>
      </c>
      <c r="H13" s="30" t="s">
        <v>86</v>
      </c>
    </row>
    <row r="14" spans="1:8" x14ac:dyDescent="0.3">
      <c r="A14" s="11">
        <v>5.2</v>
      </c>
      <c r="B14" s="1" t="s">
        <v>104</v>
      </c>
      <c r="C14" s="1" t="s">
        <v>105</v>
      </c>
      <c r="D14" s="11" t="s">
        <v>5</v>
      </c>
      <c r="E14" s="11">
        <v>1</v>
      </c>
      <c r="F14" s="31">
        <f>E14*G14</f>
        <v>10000</v>
      </c>
      <c r="G14" s="25">
        <v>10000</v>
      </c>
      <c r="H14" s="30" t="s">
        <v>86</v>
      </c>
    </row>
    <row r="15" spans="1:8" x14ac:dyDescent="0.3">
      <c r="A15" s="9">
        <v>7</v>
      </c>
      <c r="B15" s="2" t="s">
        <v>31</v>
      </c>
      <c r="C15" s="5"/>
      <c r="D15" s="9"/>
      <c r="E15" s="9"/>
      <c r="F15" s="9"/>
      <c r="G15" s="22"/>
    </row>
    <row r="16" spans="1:8" x14ac:dyDescent="0.3">
      <c r="A16" s="11">
        <v>7.1</v>
      </c>
      <c r="B16" s="1" t="s">
        <v>24</v>
      </c>
      <c r="C16" s="1" t="s">
        <v>102</v>
      </c>
      <c r="D16" s="11" t="s">
        <v>5</v>
      </c>
      <c r="E16" s="11" t="s">
        <v>54</v>
      </c>
      <c r="F16" s="29">
        <f>100000*G16</f>
        <v>300000</v>
      </c>
      <c r="G16" s="25">
        <v>3</v>
      </c>
      <c r="H16" s="24" t="s">
        <v>83</v>
      </c>
    </row>
    <row r="17" spans="1:22" ht="28.8" x14ac:dyDescent="0.3">
      <c r="A17" s="11">
        <v>7.2</v>
      </c>
      <c r="B17" s="1" t="s">
        <v>9</v>
      </c>
      <c r="C17" s="3" t="s">
        <v>10</v>
      </c>
      <c r="D17" s="11" t="s">
        <v>5</v>
      </c>
      <c r="E17" s="11">
        <v>2</v>
      </c>
      <c r="F17" s="31">
        <f>E17*G17</f>
        <v>6000</v>
      </c>
      <c r="G17" s="25">
        <v>3000</v>
      </c>
      <c r="H17" s="24" t="s">
        <v>88</v>
      </c>
    </row>
    <row r="18" spans="1:22" x14ac:dyDescent="0.3">
      <c r="A18" s="9">
        <v>8</v>
      </c>
      <c r="B18" s="2" t="s">
        <v>58</v>
      </c>
      <c r="C18" s="5"/>
      <c r="D18" s="9"/>
      <c r="E18" s="9"/>
      <c r="F18" s="9"/>
      <c r="G18" s="22"/>
    </row>
    <row r="19" spans="1:22" x14ac:dyDescent="0.3">
      <c r="A19" s="11">
        <v>8.1</v>
      </c>
      <c r="B19" s="18" t="s">
        <v>103</v>
      </c>
      <c r="C19" s="7" t="s">
        <v>89</v>
      </c>
      <c r="D19" s="11" t="s">
        <v>5</v>
      </c>
      <c r="E19" s="11">
        <v>1</v>
      </c>
      <c r="F19" s="33">
        <f>E19*G19</f>
        <v>30000</v>
      </c>
      <c r="G19" s="32">
        <v>30000</v>
      </c>
      <c r="H19" s="24" t="s">
        <v>88</v>
      </c>
    </row>
    <row r="20" spans="1:22" x14ac:dyDescent="0.3">
      <c r="A20" s="9">
        <v>9</v>
      </c>
      <c r="B20" s="2" t="s">
        <v>13</v>
      </c>
      <c r="C20" s="2"/>
      <c r="D20" s="9"/>
      <c r="E20" s="9"/>
      <c r="F20" s="9"/>
      <c r="G20" s="22"/>
    </row>
    <row r="21" spans="1:22" x14ac:dyDescent="0.3">
      <c r="A21" s="11">
        <v>9.1</v>
      </c>
      <c r="B21" s="1" t="s">
        <v>50</v>
      </c>
      <c r="C21" s="1" t="s">
        <v>49</v>
      </c>
      <c r="D21" s="11" t="s">
        <v>5</v>
      </c>
      <c r="E21" s="11">
        <v>6</v>
      </c>
      <c r="F21" s="31">
        <f>E21*G21</f>
        <v>18000</v>
      </c>
      <c r="G21" s="25">
        <v>3000</v>
      </c>
      <c r="H21" s="24" t="s">
        <v>90</v>
      </c>
    </row>
    <row r="22" spans="1:22" x14ac:dyDescent="0.3">
      <c r="A22" s="11">
        <v>9.1999999999999993</v>
      </c>
      <c r="B22" s="3" t="s">
        <v>110</v>
      </c>
      <c r="C22" s="3" t="s">
        <v>21</v>
      </c>
      <c r="D22" s="11" t="s">
        <v>20</v>
      </c>
      <c r="E22" s="10">
        <v>550</v>
      </c>
      <c r="F22" s="31">
        <f>E22*G22</f>
        <v>33000</v>
      </c>
      <c r="G22" s="22">
        <v>60</v>
      </c>
      <c r="H22" t="s">
        <v>84</v>
      </c>
    </row>
    <row r="23" spans="1:22" x14ac:dyDescent="0.3">
      <c r="A23" s="9">
        <v>10</v>
      </c>
      <c r="B23" s="2" t="s">
        <v>6</v>
      </c>
      <c r="C23" s="2"/>
      <c r="D23" s="9"/>
      <c r="E23" s="9"/>
      <c r="F23" s="9"/>
      <c r="G23" s="22"/>
    </row>
    <row r="24" spans="1:22" x14ac:dyDescent="0.3">
      <c r="A24" s="11">
        <v>10.1</v>
      </c>
      <c r="B24" s="3" t="s">
        <v>51</v>
      </c>
      <c r="C24" s="3" t="s">
        <v>52</v>
      </c>
      <c r="D24" s="11" t="s">
        <v>20</v>
      </c>
      <c r="E24" s="11">
        <v>3000</v>
      </c>
      <c r="F24" s="31">
        <f t="shared" ref="F24:F28" si="0">E24*G24</f>
        <v>84000</v>
      </c>
      <c r="G24" s="25">
        <v>28</v>
      </c>
      <c r="H24" t="s">
        <v>84</v>
      </c>
      <c r="U24" s="25"/>
      <c r="V24" s="8"/>
    </row>
    <row r="25" spans="1:22" x14ac:dyDescent="0.3">
      <c r="A25" s="11">
        <v>10.199999999999999</v>
      </c>
      <c r="B25" s="7" t="s">
        <v>16</v>
      </c>
      <c r="C25" s="7" t="s">
        <v>59</v>
      </c>
      <c r="D25" s="11" t="s">
        <v>20</v>
      </c>
      <c r="E25" s="11">
        <v>100</v>
      </c>
      <c r="F25" s="31">
        <f t="shared" si="0"/>
        <v>143400</v>
      </c>
      <c r="G25" s="25">
        <v>1434</v>
      </c>
      <c r="H25" s="24" t="s">
        <v>84</v>
      </c>
      <c r="U25" s="25"/>
      <c r="V25" s="24"/>
    </row>
    <row r="26" spans="1:22" x14ac:dyDescent="0.3">
      <c r="A26" s="11">
        <v>10.3</v>
      </c>
      <c r="B26" s="7" t="s">
        <v>60</v>
      </c>
      <c r="C26" s="7" t="s">
        <v>106</v>
      </c>
      <c r="D26" s="11" t="s">
        <v>20</v>
      </c>
      <c r="E26" s="11">
        <v>50</v>
      </c>
      <c r="F26" s="31">
        <f t="shared" si="0"/>
        <v>21350</v>
      </c>
      <c r="G26" s="22">
        <v>427</v>
      </c>
      <c r="H26" s="24" t="s">
        <v>84</v>
      </c>
      <c r="U26" s="25"/>
      <c r="V26" s="24"/>
    </row>
    <row r="27" spans="1:22" x14ac:dyDescent="0.3">
      <c r="A27" s="11">
        <v>10.5</v>
      </c>
      <c r="B27" s="7" t="s">
        <v>17</v>
      </c>
      <c r="C27" s="3" t="s">
        <v>7</v>
      </c>
      <c r="D27" s="11" t="s">
        <v>20</v>
      </c>
      <c r="E27" s="11">
        <v>10</v>
      </c>
      <c r="F27" s="31">
        <f t="shared" si="0"/>
        <v>785</v>
      </c>
      <c r="G27" s="22">
        <v>78.5</v>
      </c>
      <c r="H27" s="24" t="s">
        <v>84</v>
      </c>
    </row>
    <row r="28" spans="1:22" x14ac:dyDescent="0.3">
      <c r="A28" s="11">
        <v>10.6</v>
      </c>
      <c r="B28" s="7" t="s">
        <v>17</v>
      </c>
      <c r="C28" s="3" t="s">
        <v>48</v>
      </c>
      <c r="D28" s="11" t="s">
        <v>20</v>
      </c>
      <c r="E28" s="11">
        <v>30</v>
      </c>
      <c r="F28" s="31">
        <f t="shared" si="0"/>
        <v>900</v>
      </c>
      <c r="G28" s="22">
        <v>30</v>
      </c>
      <c r="H28" s="24" t="s">
        <v>84</v>
      </c>
    </row>
    <row r="29" spans="1:22" x14ac:dyDescent="0.3">
      <c r="A29" s="11">
        <v>3.5</v>
      </c>
      <c r="B29" s="1" t="s">
        <v>30</v>
      </c>
      <c r="C29" s="1" t="s">
        <v>92</v>
      </c>
      <c r="D29" s="11" t="s">
        <v>20</v>
      </c>
      <c r="E29" s="10">
        <v>50</v>
      </c>
      <c r="F29" s="31">
        <f t="shared" ref="F29" si="1">E29*G29</f>
        <v>2000</v>
      </c>
      <c r="G29" s="22">
        <v>40</v>
      </c>
      <c r="H29" t="s">
        <v>84</v>
      </c>
    </row>
    <row r="30" spans="1:22" x14ac:dyDescent="0.3">
      <c r="A30" s="11">
        <v>3.6</v>
      </c>
      <c r="B30" s="1" t="s">
        <v>32</v>
      </c>
      <c r="C30" s="1" t="s">
        <v>107</v>
      </c>
      <c r="D30" s="11" t="s">
        <v>20</v>
      </c>
      <c r="E30" s="10">
        <v>10</v>
      </c>
      <c r="F30" s="31">
        <f>E30*G30</f>
        <v>70</v>
      </c>
      <c r="G30" s="22">
        <v>7</v>
      </c>
      <c r="H30" t="s">
        <v>84</v>
      </c>
    </row>
    <row r="31" spans="1:22" x14ac:dyDescent="0.3">
      <c r="A31" s="9">
        <v>11</v>
      </c>
      <c r="B31" s="2" t="s">
        <v>35</v>
      </c>
      <c r="C31" s="2"/>
      <c r="D31" s="9"/>
      <c r="E31" s="9"/>
      <c r="F31" s="9"/>
      <c r="G31" s="22"/>
    </row>
    <row r="32" spans="1:22" x14ac:dyDescent="0.3">
      <c r="A32" s="11">
        <v>11.1</v>
      </c>
      <c r="B32" s="3" t="s">
        <v>36</v>
      </c>
      <c r="C32" s="3" t="s">
        <v>108</v>
      </c>
      <c r="D32" s="11" t="s">
        <v>33</v>
      </c>
      <c r="E32" s="11">
        <v>1</v>
      </c>
      <c r="F32" s="31">
        <f>E32*G32</f>
        <v>7000</v>
      </c>
      <c r="G32" s="22">
        <v>7000</v>
      </c>
      <c r="H32" s="24" t="s">
        <v>90</v>
      </c>
    </row>
    <row r="33" spans="1:8" x14ac:dyDescent="0.3">
      <c r="A33" s="11">
        <v>11.2</v>
      </c>
      <c r="B33" s="3" t="s">
        <v>37</v>
      </c>
      <c r="C33" s="3" t="s">
        <v>45</v>
      </c>
      <c r="D33" s="11" t="s">
        <v>20</v>
      </c>
      <c r="E33" s="11">
        <v>200</v>
      </c>
      <c r="F33" s="31">
        <f>E33*G33</f>
        <v>14000</v>
      </c>
      <c r="G33" s="22">
        <v>70</v>
      </c>
      <c r="H33" s="24" t="s">
        <v>84</v>
      </c>
    </row>
    <row r="34" spans="1:8" x14ac:dyDescent="0.3">
      <c r="A34" s="11">
        <v>11.3</v>
      </c>
      <c r="B34" s="3" t="s">
        <v>39</v>
      </c>
      <c r="C34" s="3" t="s">
        <v>38</v>
      </c>
      <c r="D34" s="11" t="s">
        <v>5</v>
      </c>
      <c r="E34" s="11">
        <v>84</v>
      </c>
      <c r="F34" s="31">
        <f t="shared" ref="F34:F38" si="2">E34*G34</f>
        <v>2100</v>
      </c>
      <c r="G34" s="22">
        <v>25</v>
      </c>
      <c r="H34" s="24" t="s">
        <v>84</v>
      </c>
    </row>
    <row r="35" spans="1:8" x14ac:dyDescent="0.3">
      <c r="A35" s="11">
        <v>11.4</v>
      </c>
      <c r="B35" s="3" t="s">
        <v>40</v>
      </c>
      <c r="C35" s="3" t="s">
        <v>38</v>
      </c>
      <c r="D35" s="11" t="s">
        <v>5</v>
      </c>
      <c r="E35" s="11">
        <v>10</v>
      </c>
      <c r="F35" s="31">
        <f t="shared" si="2"/>
        <v>250</v>
      </c>
      <c r="G35" s="22">
        <v>25</v>
      </c>
      <c r="H35" s="24" t="s">
        <v>84</v>
      </c>
    </row>
    <row r="36" spans="1:8" x14ac:dyDescent="0.3">
      <c r="A36" s="11">
        <v>11.5</v>
      </c>
      <c r="B36" s="3" t="s">
        <v>41</v>
      </c>
      <c r="C36" s="3" t="s">
        <v>38</v>
      </c>
      <c r="D36" s="11" t="s">
        <v>5</v>
      </c>
      <c r="E36" s="11">
        <v>6</v>
      </c>
      <c r="F36" s="31">
        <f t="shared" si="2"/>
        <v>150</v>
      </c>
      <c r="G36" s="22">
        <v>25</v>
      </c>
      <c r="H36" s="24" t="s">
        <v>84</v>
      </c>
    </row>
    <row r="37" spans="1:8" x14ac:dyDescent="0.3">
      <c r="A37" s="11">
        <v>11.6</v>
      </c>
      <c r="B37" s="3" t="s">
        <v>77</v>
      </c>
      <c r="C37" s="3" t="s">
        <v>78</v>
      </c>
      <c r="D37" s="11" t="s">
        <v>5</v>
      </c>
      <c r="E37" s="11">
        <v>1</v>
      </c>
      <c r="F37" s="31">
        <f t="shared" si="2"/>
        <v>1000</v>
      </c>
      <c r="G37" s="22">
        <v>1000</v>
      </c>
      <c r="H37" s="24" t="s">
        <v>86</v>
      </c>
    </row>
    <row r="38" spans="1:8" x14ac:dyDescent="0.3">
      <c r="A38" s="11">
        <v>11.7</v>
      </c>
      <c r="B38" s="3" t="s">
        <v>42</v>
      </c>
      <c r="C38" s="3"/>
      <c r="D38" s="11" t="s">
        <v>33</v>
      </c>
      <c r="E38" s="11">
        <v>10</v>
      </c>
      <c r="F38" s="31">
        <f t="shared" si="2"/>
        <v>300</v>
      </c>
      <c r="G38" s="22">
        <v>30</v>
      </c>
      <c r="H38" s="24" t="s">
        <v>84</v>
      </c>
    </row>
    <row r="39" spans="1:8" x14ac:dyDescent="0.3">
      <c r="A39" s="9">
        <v>12</v>
      </c>
      <c r="B39" s="2" t="s">
        <v>19</v>
      </c>
      <c r="C39" s="2"/>
      <c r="D39" s="9"/>
      <c r="E39" s="9"/>
      <c r="F39" s="9"/>
      <c r="G39" s="22"/>
    </row>
    <row r="40" spans="1:8" x14ac:dyDescent="0.3">
      <c r="A40" s="11">
        <v>12.1</v>
      </c>
      <c r="B40" s="3" t="s">
        <v>25</v>
      </c>
      <c r="C40" s="3" t="s">
        <v>47</v>
      </c>
      <c r="D40" s="11" t="s">
        <v>20</v>
      </c>
      <c r="E40" s="11">
        <v>150</v>
      </c>
      <c r="F40" s="31">
        <f t="shared" ref="F40:F47" si="3">E40*G40</f>
        <v>7050</v>
      </c>
      <c r="G40" s="25">
        <v>47</v>
      </c>
      <c r="H40" s="24" t="s">
        <v>84</v>
      </c>
    </row>
    <row r="41" spans="1:8" x14ac:dyDescent="0.3">
      <c r="A41" s="11">
        <v>12.2</v>
      </c>
      <c r="B41" s="3" t="s">
        <v>22</v>
      </c>
      <c r="C41" s="3" t="s">
        <v>43</v>
      </c>
      <c r="D41" s="11" t="s">
        <v>46</v>
      </c>
      <c r="E41" s="11">
        <v>4</v>
      </c>
      <c r="F41" s="31">
        <f t="shared" si="3"/>
        <v>800</v>
      </c>
      <c r="G41" s="22">
        <v>200</v>
      </c>
      <c r="H41" s="24" t="s">
        <v>91</v>
      </c>
    </row>
    <row r="42" spans="1:8" x14ac:dyDescent="0.3">
      <c r="A42" s="11">
        <v>12.3</v>
      </c>
      <c r="B42" s="3" t="s">
        <v>15</v>
      </c>
      <c r="C42" s="3" t="s">
        <v>43</v>
      </c>
      <c r="D42" s="11" t="s">
        <v>46</v>
      </c>
      <c r="E42" s="11">
        <v>1</v>
      </c>
      <c r="F42" s="31">
        <f t="shared" si="3"/>
        <v>5000</v>
      </c>
      <c r="G42" s="22">
        <v>5000</v>
      </c>
      <c r="H42" s="24" t="s">
        <v>91</v>
      </c>
    </row>
    <row r="43" spans="1:8" x14ac:dyDescent="0.3">
      <c r="A43" s="11">
        <v>12.4</v>
      </c>
      <c r="B43" s="3" t="s">
        <v>14</v>
      </c>
      <c r="C43" s="3" t="s">
        <v>8</v>
      </c>
      <c r="D43" s="11" t="s">
        <v>5</v>
      </c>
      <c r="E43" s="11">
        <v>40</v>
      </c>
      <c r="F43" s="31">
        <f t="shared" si="3"/>
        <v>3200</v>
      </c>
      <c r="G43" s="22">
        <v>80</v>
      </c>
      <c r="H43" s="24" t="s">
        <v>90</v>
      </c>
    </row>
    <row r="44" spans="1:8" x14ac:dyDescent="0.3">
      <c r="A44" s="11">
        <v>12.6</v>
      </c>
      <c r="B44" s="20" t="s">
        <v>27</v>
      </c>
      <c r="C44" s="19" t="s">
        <v>55</v>
      </c>
      <c r="D44" s="21" t="s">
        <v>5</v>
      </c>
      <c r="E44" s="21">
        <v>1</v>
      </c>
      <c r="F44" s="31">
        <f t="shared" si="3"/>
        <v>125</v>
      </c>
      <c r="G44" s="22">
        <v>125</v>
      </c>
      <c r="H44" s="24" t="s">
        <v>90</v>
      </c>
    </row>
    <row r="45" spans="1:8" x14ac:dyDescent="0.3">
      <c r="A45" s="11">
        <v>12.8</v>
      </c>
      <c r="B45" s="20" t="s">
        <v>26</v>
      </c>
      <c r="C45" s="19" t="s">
        <v>80</v>
      </c>
      <c r="D45" s="21" t="s">
        <v>5</v>
      </c>
      <c r="E45" s="21">
        <v>6</v>
      </c>
      <c r="F45" s="31">
        <f t="shared" si="3"/>
        <v>750</v>
      </c>
      <c r="G45" s="22">
        <v>125</v>
      </c>
      <c r="H45" s="24" t="s">
        <v>90</v>
      </c>
    </row>
    <row r="46" spans="1:8" x14ac:dyDescent="0.3">
      <c r="A46" s="11">
        <v>12.9</v>
      </c>
      <c r="B46" s="20" t="s">
        <v>28</v>
      </c>
      <c r="C46" s="19" t="s">
        <v>80</v>
      </c>
      <c r="D46" s="21" t="s">
        <v>79</v>
      </c>
      <c r="E46" s="21">
        <v>2</v>
      </c>
      <c r="F46" s="31">
        <f t="shared" si="3"/>
        <v>160</v>
      </c>
      <c r="G46" s="22">
        <v>80</v>
      </c>
      <c r="H46" s="24" t="s">
        <v>90</v>
      </c>
    </row>
    <row r="47" spans="1:8" x14ac:dyDescent="0.3">
      <c r="A47" s="11" t="s">
        <v>61</v>
      </c>
      <c r="B47" s="20" t="s">
        <v>29</v>
      </c>
      <c r="C47" s="19" t="s">
        <v>81</v>
      </c>
      <c r="D47" s="21" t="s">
        <v>46</v>
      </c>
      <c r="E47" s="21">
        <v>1</v>
      </c>
      <c r="F47" s="31">
        <f t="shared" si="3"/>
        <v>100</v>
      </c>
      <c r="G47" s="22">
        <v>100</v>
      </c>
      <c r="H47" s="24" t="s">
        <v>91</v>
      </c>
    </row>
    <row r="48" spans="1:8" x14ac:dyDescent="0.3">
      <c r="A48" s="9">
        <v>13</v>
      </c>
      <c r="B48" s="2" t="s">
        <v>44</v>
      </c>
      <c r="C48" s="2"/>
      <c r="D48" s="9"/>
      <c r="E48" s="9"/>
      <c r="F48" s="9"/>
      <c r="G48" s="22"/>
    </row>
    <row r="49" spans="1:8" x14ac:dyDescent="0.3">
      <c r="A49" s="11">
        <v>13.4</v>
      </c>
      <c r="B49" s="7" t="s">
        <v>93</v>
      </c>
      <c r="C49" s="7"/>
      <c r="D49" s="11"/>
      <c r="E49" s="11"/>
      <c r="F49" s="31">
        <f>100000*G49</f>
        <v>150000</v>
      </c>
      <c r="G49" s="22">
        <v>1.5</v>
      </c>
      <c r="H49" s="24" t="s">
        <v>83</v>
      </c>
    </row>
    <row r="50" spans="1:8" x14ac:dyDescent="0.3">
      <c r="A50" s="11">
        <v>13.5</v>
      </c>
      <c r="B50" s="7" t="s">
        <v>109</v>
      </c>
      <c r="C50" s="7"/>
      <c r="D50" s="11"/>
      <c r="E50" s="11"/>
      <c r="F50" s="31"/>
    </row>
    <row r="51" spans="1:8" x14ac:dyDescent="0.3">
      <c r="B51" s="24"/>
    </row>
    <row r="52" spans="1:8" x14ac:dyDescent="0.3">
      <c r="B52" s="24"/>
    </row>
    <row r="53" spans="1:8" x14ac:dyDescent="0.3">
      <c r="B53" s="24"/>
      <c r="E53" s="34" t="s">
        <v>65</v>
      </c>
      <c r="F53" s="35">
        <f>SUM(F4:F50)</f>
        <v>3471490</v>
      </c>
    </row>
    <row r="54" spans="1:8" x14ac:dyDescent="0.3">
      <c r="B54" s="24"/>
    </row>
    <row r="55" spans="1:8" x14ac:dyDescent="0.3">
      <c r="B55" s="24"/>
    </row>
    <row r="56" spans="1:8" x14ac:dyDescent="0.3">
      <c r="F56" s="22">
        <f>(F53*11)/100</f>
        <v>381863.9</v>
      </c>
    </row>
    <row r="58" spans="1:8" x14ac:dyDescent="0.3">
      <c r="F58" s="35">
        <f>SUM(F56,F53)</f>
        <v>3853353.9</v>
      </c>
      <c r="G58">
        <f>(F58*5)/100</f>
        <v>192667.69500000001</v>
      </c>
    </row>
    <row r="61" spans="1:8" x14ac:dyDescent="0.3">
      <c r="F61" s="35">
        <f>SUM(G58,F58)</f>
        <v>4046021.5949999997</v>
      </c>
    </row>
  </sheetData>
  <mergeCells count="2">
    <mergeCell ref="A1:F2"/>
    <mergeCell ref="A3:B3"/>
  </mergeCells>
  <pageMargins left="0.7" right="0.7" top="0.75" bottom="0.75" header="0.3" footer="0.3"/>
  <pageSetup paperSize="9" scale="47" orientation="portrait" r:id="rId1"/>
  <rowBreaks count="3" manualBreakCount="3">
    <brk id="54" max="13" man="1"/>
    <brk id="78" max="12" man="1"/>
    <brk id="81" max="13" man="1"/>
  </rowBreaks>
  <colBreaks count="1" manualBreakCount="1">
    <brk id="6" max="1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activeCell="H13" sqref="H13"/>
    </sheetView>
  </sheetViews>
  <sheetFormatPr defaultRowHeight="14.4" x14ac:dyDescent="0.3"/>
  <cols>
    <col min="2" max="4" width="13.6640625" customWidth="1"/>
    <col min="9" max="9" width="9.109375" customWidth="1"/>
  </cols>
  <sheetData>
    <row r="1" spans="1:9" ht="15" customHeight="1" x14ac:dyDescent="0.3">
      <c r="A1" s="39" t="s">
        <v>66</v>
      </c>
      <c r="B1" s="39"/>
      <c r="C1" s="39"/>
      <c r="D1" s="39"/>
    </row>
    <row r="2" spans="1:9" x14ac:dyDescent="0.3">
      <c r="A2" s="39"/>
      <c r="B2" s="39"/>
      <c r="C2" s="39"/>
      <c r="D2" s="39"/>
    </row>
    <row r="3" spans="1:9" ht="30" customHeight="1" x14ac:dyDescent="0.3">
      <c r="A3" s="26" t="s">
        <v>67</v>
      </c>
      <c r="B3" s="26" t="s">
        <v>62</v>
      </c>
      <c r="C3" s="26" t="s">
        <v>63</v>
      </c>
      <c r="D3" s="26" t="s">
        <v>64</v>
      </c>
    </row>
    <row r="4" spans="1:9" x14ac:dyDescent="0.3">
      <c r="A4" s="11" t="s">
        <v>68</v>
      </c>
      <c r="B4" s="11">
        <v>17</v>
      </c>
      <c r="C4" s="11">
        <v>1</v>
      </c>
      <c r="D4" s="38">
        <v>1</v>
      </c>
    </row>
    <row r="5" spans="1:9" x14ac:dyDescent="0.3">
      <c r="A5" s="11" t="s">
        <v>69</v>
      </c>
      <c r="B5" s="11">
        <v>17</v>
      </c>
      <c r="C5" s="11">
        <v>1</v>
      </c>
      <c r="D5" s="38"/>
      <c r="H5" s="25"/>
      <c r="I5" s="25"/>
    </row>
    <row r="6" spans="1:9" x14ac:dyDescent="0.3">
      <c r="A6" s="11" t="s">
        <v>70</v>
      </c>
      <c r="B6" s="11">
        <v>17</v>
      </c>
      <c r="C6" s="11">
        <v>1</v>
      </c>
      <c r="D6" s="38"/>
      <c r="H6" s="25"/>
      <c r="I6" s="25"/>
    </row>
    <row r="7" spans="1:9" x14ac:dyDescent="0.3">
      <c r="A7" s="11" t="s">
        <v>71</v>
      </c>
      <c r="B7" s="11">
        <v>17</v>
      </c>
      <c r="C7" s="11">
        <v>1</v>
      </c>
      <c r="D7" s="38"/>
      <c r="H7" s="25"/>
      <c r="I7" s="25"/>
    </row>
    <row r="8" spans="1:9" x14ac:dyDescent="0.3">
      <c r="A8" s="11" t="s">
        <v>72</v>
      </c>
      <c r="B8" s="11">
        <v>17</v>
      </c>
      <c r="C8" s="11">
        <v>1</v>
      </c>
      <c r="D8" s="38"/>
      <c r="H8" s="25"/>
      <c r="I8" s="25"/>
    </row>
    <row r="9" spans="1:9" x14ac:dyDescent="0.3">
      <c r="A9" s="11" t="s">
        <v>73</v>
      </c>
      <c r="B9" s="11">
        <v>17</v>
      </c>
      <c r="C9" s="11">
        <v>1</v>
      </c>
      <c r="D9" s="38"/>
      <c r="H9" s="25"/>
      <c r="I9" s="25"/>
    </row>
    <row r="10" spans="1:9" x14ac:dyDescent="0.3">
      <c r="A10" s="11" t="s">
        <v>74</v>
      </c>
      <c r="B10" s="11">
        <v>17</v>
      </c>
      <c r="C10" s="11">
        <v>1</v>
      </c>
      <c r="D10" s="38"/>
      <c r="H10" s="25"/>
      <c r="I10" s="25"/>
    </row>
    <row r="11" spans="1:9" x14ac:dyDescent="0.3">
      <c r="A11" s="11" t="s">
        <v>75</v>
      </c>
      <c r="B11" s="11">
        <v>17</v>
      </c>
      <c r="C11" s="11">
        <v>1</v>
      </c>
      <c r="D11" s="38"/>
      <c r="H11" s="25"/>
      <c r="I11" s="25"/>
    </row>
    <row r="12" spans="1:9" x14ac:dyDescent="0.3">
      <c r="A12" s="11" t="s">
        <v>76</v>
      </c>
      <c r="B12" s="11">
        <v>17</v>
      </c>
      <c r="C12" s="11">
        <v>1</v>
      </c>
      <c r="D12" s="38"/>
      <c r="H12" s="25"/>
      <c r="I12" s="25"/>
    </row>
    <row r="13" spans="1:9" x14ac:dyDescent="0.3">
      <c r="A13" s="28" t="s">
        <v>65</v>
      </c>
      <c r="B13" s="27">
        <f>SUM(B4:B12)</f>
        <v>153</v>
      </c>
      <c r="C13" s="27">
        <f>SUM(C4:C12)</f>
        <v>9</v>
      </c>
      <c r="D13" s="27">
        <v>1</v>
      </c>
      <c r="H13" s="25"/>
      <c r="I13" s="25"/>
    </row>
  </sheetData>
  <mergeCells count="2">
    <mergeCell ref="D4:D12"/>
    <mergeCell ref="A1: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BOQ</vt:lpstr>
      <vt:lpstr>Sheet1</vt:lpstr>
      <vt:lpstr>BOQ!Print_Area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Ankesh Mishra</cp:lastModifiedBy>
  <cp:lastPrinted>2019-02-19T04:57:41Z</cp:lastPrinted>
  <dcterms:created xsi:type="dcterms:W3CDTF">2018-02-21T14:00:42Z</dcterms:created>
  <dcterms:modified xsi:type="dcterms:W3CDTF">2025-05-31T07:53:18Z</dcterms:modified>
</cp:coreProperties>
</file>